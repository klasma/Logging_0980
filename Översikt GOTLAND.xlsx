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45883</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45883</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45883</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45883</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45883</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45883</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45883</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45883</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45883</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17762-2024</t>
        </is>
      </c>
      <c r="B18" s="1" t="n">
        <v>45418</v>
      </c>
      <c r="C18" s="1" t="n">
        <v>45883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6913-2025</t>
        </is>
      </c>
      <c r="B19" s="1" t="n">
        <v>45701.43809027778</v>
      </c>
      <c r="C19" s="1" t="n">
        <v>45883</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45883</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45883</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45883</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45883</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45883</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44928-2022</t>
        </is>
      </c>
      <c r="B25" s="1" t="n">
        <v>44841</v>
      </c>
      <c r="C25" s="1" t="n">
        <v>45883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2222-2024</t>
        </is>
      </c>
      <c r="B26" s="1" t="n">
        <v>45309</v>
      </c>
      <c r="C26" s="1" t="n">
        <v>45883</v>
      </c>
      <c r="D26" t="inlineStr">
        <is>
          <t>GOTLANDS LÄN</t>
        </is>
      </c>
      <c r="E26" t="inlineStr">
        <is>
          <t>GOTLAND</t>
        </is>
      </c>
      <c r="F26" t="inlineStr">
        <is>
          <t>Kyrkan</t>
        </is>
      </c>
      <c r="G26" t="n">
        <v>10.6</v>
      </c>
      <c r="H26" t="n">
        <v>0</v>
      </c>
      <c r="I26" t="n">
        <v>6</v>
      </c>
      <c r="J26" t="n">
        <v>2</v>
      </c>
      <c r="K26" t="n">
        <v>5</v>
      </c>
      <c r="L26" t="n">
        <v>0</v>
      </c>
      <c r="M26" t="n">
        <v>0</v>
      </c>
      <c r="N26" t="n">
        <v>0</v>
      </c>
      <c r="O26" t="n">
        <v>7</v>
      </c>
      <c r="P26" t="n">
        <v>5</v>
      </c>
      <c r="Q26" t="n">
        <v>13</v>
      </c>
      <c r="R26" s="2" t="inlineStr">
        <is>
          <t>Granrotsspindling
Gulsträngad fagerspindling
Svartgrön spindling
Tvillingspindling
Vit taggsvamp
Denisespindling
Odörspindling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2804-2023</t>
        </is>
      </c>
      <c r="B27" s="1" t="n">
        <v>44944</v>
      </c>
      <c r="C27" s="1" t="n">
        <v>45883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45883</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45883</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45883</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28287-2024</t>
        </is>
      </c>
      <c r="B31" s="1" t="n">
        <v>45477</v>
      </c>
      <c r="C31" s="1" t="n">
        <v>45883</v>
      </c>
      <c r="D31" t="inlineStr">
        <is>
          <t>GOTLANDS LÄN</t>
        </is>
      </c>
      <c r="E31" t="inlineStr">
        <is>
          <t>GOTLAND</t>
        </is>
      </c>
      <c r="G31" t="n">
        <v>23.4</v>
      </c>
      <c r="H31" t="n">
        <v>2</v>
      </c>
      <c r="I31" t="n">
        <v>0</v>
      </c>
      <c r="J31" t="n">
        <v>10</v>
      </c>
      <c r="K31" t="n">
        <v>0</v>
      </c>
      <c r="L31" t="n">
        <v>1</v>
      </c>
      <c r="M31" t="n">
        <v>0</v>
      </c>
      <c r="N31" t="n">
        <v>0</v>
      </c>
      <c r="O31" t="n">
        <v>11</v>
      </c>
      <c r="P31" t="n">
        <v>1</v>
      </c>
      <c r="Q31" t="n">
        <v>12</v>
      </c>
      <c r="R31" s="2" t="inlineStr">
        <is>
          <t>Ask
Axveronika
Backtimjan
Flentimotej
Gulsparv
Jordtistel
Piggtistel
Silversmygare
Smedbock
Solvända
Vårstarr
Blåsippa</t>
        </is>
      </c>
      <c r="S31">
        <f>HYPERLINK("https://klasma.github.io/Logging_0980/artfynd/A 28287-2024 artfynd.xlsx", "A 28287-2024")</f>
        <v/>
      </c>
      <c r="T31">
        <f>HYPERLINK("https://klasma.github.io/Logging_0980/kartor/A 28287-2024 karta.png", "A 28287-2024")</f>
        <v/>
      </c>
      <c r="V31">
        <f>HYPERLINK("https://klasma.github.io/Logging_0980/klagomål/A 28287-2024 FSC-klagomål.docx", "A 28287-2024")</f>
        <v/>
      </c>
      <c r="W31">
        <f>HYPERLINK("https://klasma.github.io/Logging_0980/klagomålsmail/A 28287-2024 FSC-klagomål mail.docx", "A 28287-2024")</f>
        <v/>
      </c>
      <c r="X31">
        <f>HYPERLINK("https://klasma.github.io/Logging_0980/tillsyn/A 28287-2024 tillsynsbegäran.docx", "A 28287-2024")</f>
        <v/>
      </c>
      <c r="Y31">
        <f>HYPERLINK("https://klasma.github.io/Logging_0980/tillsynsmail/A 28287-2024 tillsynsbegäran mail.docx", "A 28287-2024")</f>
        <v/>
      </c>
      <c r="Z31">
        <f>HYPERLINK("https://klasma.github.io/Logging_0980/fåglar/A 28287-2024 prioriterade fågelarter.docx", "A 28287-2024")</f>
        <v/>
      </c>
    </row>
    <row r="32" ht="15" customHeight="1">
      <c r="A32" t="inlineStr">
        <is>
          <t>A 3324-2023</t>
        </is>
      </c>
      <c r="B32" s="1" t="n">
        <v>44949</v>
      </c>
      <c r="C32" s="1" t="n">
        <v>45883</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15850-2025</t>
        </is>
      </c>
      <c r="B33" s="1" t="n">
        <v>45748.92798611111</v>
      </c>
      <c r="C33" s="1" t="n">
        <v>45883</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30542-2025</t>
        </is>
      </c>
      <c r="B34" s="1" t="n">
        <v>45831</v>
      </c>
      <c r="C34" s="1" t="n">
        <v>45883</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63872-2021</t>
        </is>
      </c>
      <c r="B35" s="1" t="n">
        <v>44509</v>
      </c>
      <c r="C35" s="1" t="n">
        <v>45883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45883</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45883</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45883</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45883</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45883</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45883</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45883</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45883</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45883</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45883</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45883</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4984-2025</t>
        </is>
      </c>
      <c r="B52" s="1" t="n">
        <v>45691.29891203704</v>
      </c>
      <c r="C52" s="1" t="n">
        <v>45883</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27280-2023</t>
        </is>
      </c>
      <c r="B53" s="1" t="n">
        <v>45096</v>
      </c>
      <c r="C53" s="1" t="n">
        <v>45883</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10419-2025</t>
        </is>
      </c>
      <c r="B54" s="1" t="n">
        <v>45720</v>
      </c>
      <c r="C54" s="1" t="n">
        <v>45883</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18541-2024</t>
        </is>
      </c>
      <c r="B55" s="1" t="n">
        <v>45425</v>
      </c>
      <c r="C55" s="1" t="n">
        <v>45883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45883</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16353-2025</t>
        </is>
      </c>
      <c r="B57" s="1" t="n">
        <v>45751</v>
      </c>
      <c r="C57" s="1" t="n">
        <v>45883</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45883</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45883</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45883</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45883</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45883</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45883</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45883</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44944-2022</t>
        </is>
      </c>
      <c r="B66" s="1" t="n">
        <v>44841</v>
      </c>
      <c r="C66" s="1" t="n">
        <v>45883</v>
      </c>
      <c r="D66" t="inlineStr">
        <is>
          <t>GOTLANDS LÄN</t>
        </is>
      </c>
      <c r="E66" t="inlineStr">
        <is>
          <t>GOTLAND</t>
        </is>
      </c>
      <c r="G66" t="n">
        <v>2.8</v>
      </c>
      <c r="H66" t="n">
        <v>0</v>
      </c>
      <c r="I66" t="n">
        <v>3</v>
      </c>
      <c r="J66" t="n">
        <v>2</v>
      </c>
      <c r="K66" t="n">
        <v>0</v>
      </c>
      <c r="L66" t="n">
        <v>0</v>
      </c>
      <c r="M66" t="n">
        <v>0</v>
      </c>
      <c r="N66" t="n">
        <v>0</v>
      </c>
      <c r="O66" t="n">
        <v>2</v>
      </c>
      <c r="P66" t="n">
        <v>0</v>
      </c>
      <c r="Q66" t="n">
        <v>5</v>
      </c>
      <c r="R66" s="2" t="inlineStr">
        <is>
          <t>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54055-2022</t>
        </is>
      </c>
      <c r="B67" s="1" t="n">
        <v>44881</v>
      </c>
      <c r="C67" s="1" t="n">
        <v>45883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45883</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39425-2023</t>
        </is>
      </c>
      <c r="B69" s="1" t="n">
        <v>45166</v>
      </c>
      <c r="C69" s="1" t="n">
        <v>45883</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32326-2024</t>
        </is>
      </c>
      <c r="B70" s="1" t="n">
        <v>45512</v>
      </c>
      <c r="C70" s="1" t="n">
        <v>45883</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16375-2025</t>
        </is>
      </c>
      <c r="B71" s="1" t="n">
        <v>45751.41064814815</v>
      </c>
      <c r="C71" s="1" t="n">
        <v>45883</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45883</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45883</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54523-2023</t>
        </is>
      </c>
      <c r="B74" s="1" t="n">
        <v>45233</v>
      </c>
      <c r="C74" s="1" t="n">
        <v>45883</v>
      </c>
      <c r="D74" t="inlineStr">
        <is>
          <t>GOTLANDS LÄN</t>
        </is>
      </c>
      <c r="E74" t="inlineStr">
        <is>
          <t>GOTLAND</t>
        </is>
      </c>
      <c r="G74" t="n">
        <v>3.7</v>
      </c>
      <c r="H74" t="n">
        <v>2</v>
      </c>
      <c r="I74" t="n">
        <v>0</v>
      </c>
      <c r="J74" t="n">
        <v>1</v>
      </c>
      <c r="K74" t="n">
        <v>1</v>
      </c>
      <c r="L74" t="n">
        <v>0</v>
      </c>
      <c r="M74" t="n">
        <v>0</v>
      </c>
      <c r="N74" t="n">
        <v>0</v>
      </c>
      <c r="O74" t="n">
        <v>2</v>
      </c>
      <c r="P74" t="n">
        <v>1</v>
      </c>
      <c r="Q74" t="n">
        <v>4</v>
      </c>
      <c r="R74" s="2" t="inlineStr">
        <is>
          <t>Sommarklynne
Åkerkulla
Brudsporre
Kärrknipprot</t>
        </is>
      </c>
      <c r="S74">
        <f>HYPERLINK("https://klasma.github.io/Logging_0980/artfynd/A 54523-2023 artfynd.xlsx", "A 54523-2023")</f>
        <v/>
      </c>
      <c r="T74">
        <f>HYPERLINK("https://klasma.github.io/Logging_0980/kartor/A 54523-2023 karta.png", "A 54523-2023")</f>
        <v/>
      </c>
      <c r="V74">
        <f>HYPERLINK("https://klasma.github.io/Logging_0980/klagomål/A 54523-2023 FSC-klagomål.docx", "A 54523-2023")</f>
        <v/>
      </c>
      <c r="W74">
        <f>HYPERLINK("https://klasma.github.io/Logging_0980/klagomålsmail/A 54523-2023 FSC-klagomål mail.docx", "A 54523-2023")</f>
        <v/>
      </c>
      <c r="X74">
        <f>HYPERLINK("https://klasma.github.io/Logging_0980/tillsyn/A 54523-2023 tillsynsbegäran.docx", "A 54523-2023")</f>
        <v/>
      </c>
      <c r="Y74">
        <f>HYPERLINK("https://klasma.github.io/Logging_0980/tillsynsmail/A 54523-2023 tillsynsbegäran mail.docx", "A 54523-2023")</f>
        <v/>
      </c>
    </row>
    <row r="75" ht="15" customHeight="1">
      <c r="A75" t="inlineStr">
        <is>
          <t>A 6159-2023</t>
        </is>
      </c>
      <c r="B75" s="1" t="n">
        <v>44964</v>
      </c>
      <c r="C75" s="1" t="n">
        <v>45883</v>
      </c>
      <c r="D75" t="inlineStr">
        <is>
          <t>GOTLANDS LÄN</t>
        </is>
      </c>
      <c r="E75" t="inlineStr">
        <is>
          <t>GOTLAND</t>
        </is>
      </c>
      <c r="G75" t="n">
        <v>2</v>
      </c>
      <c r="H75" t="n">
        <v>0</v>
      </c>
      <c r="I75" t="n">
        <v>2</v>
      </c>
      <c r="J75" t="n">
        <v>2</v>
      </c>
      <c r="K75" t="n">
        <v>0</v>
      </c>
      <c r="L75" t="n">
        <v>0</v>
      </c>
      <c r="M75" t="n">
        <v>0</v>
      </c>
      <c r="N75" t="n">
        <v>0</v>
      </c>
      <c r="O75" t="n">
        <v>2</v>
      </c>
      <c r="P75" t="n">
        <v>0</v>
      </c>
      <c r="Q75" t="n">
        <v>4</v>
      </c>
      <c r="R75" s="2" t="inlineStr">
        <is>
          <t>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8265-2023</t>
        </is>
      </c>
      <c r="B76" s="1" t="n">
        <v>44974</v>
      </c>
      <c r="C76" s="1" t="n">
        <v>45883</v>
      </c>
      <c r="D76" t="inlineStr">
        <is>
          <t>GOTLANDS LÄN</t>
        </is>
      </c>
      <c r="E76" t="inlineStr">
        <is>
          <t>GOTLAND</t>
        </is>
      </c>
      <c r="G76" t="n">
        <v>3.3</v>
      </c>
      <c r="H76" t="n">
        <v>4</v>
      </c>
      <c r="I76" t="n">
        <v>3</v>
      </c>
      <c r="J76" t="n">
        <v>0</v>
      </c>
      <c r="K76" t="n">
        <v>0</v>
      </c>
      <c r="L76" t="n">
        <v>0</v>
      </c>
      <c r="M76" t="n">
        <v>0</v>
      </c>
      <c r="N76" t="n">
        <v>0</v>
      </c>
      <c r="O76" t="n">
        <v>0</v>
      </c>
      <c r="P76" t="n">
        <v>0</v>
      </c>
      <c r="Q76" t="n">
        <v>4</v>
      </c>
      <c r="R76" s="2" t="inlineStr">
        <is>
          <t>Flugblomster
Purpurknipprot
Tvåblad
Salepsrot</t>
        </is>
      </c>
      <c r="S76">
        <f>HYPERLINK("https://klasma.github.io/Logging_0980/artfynd/A 8265-2023 artfynd.xlsx", "A 8265-2023")</f>
        <v/>
      </c>
      <c r="T76">
        <f>HYPERLINK("https://klasma.github.io/Logging_0980/kartor/A 8265-2023 karta.png", "A 8265-2023")</f>
        <v/>
      </c>
      <c r="V76">
        <f>HYPERLINK("https://klasma.github.io/Logging_0980/klagomål/A 8265-2023 FSC-klagomål.docx", "A 8265-2023")</f>
        <v/>
      </c>
      <c r="W76">
        <f>HYPERLINK("https://klasma.github.io/Logging_0980/klagomålsmail/A 8265-2023 FSC-klagomål mail.docx", "A 8265-2023")</f>
        <v/>
      </c>
      <c r="X76">
        <f>HYPERLINK("https://klasma.github.io/Logging_0980/tillsyn/A 8265-2023 tillsynsbegäran.docx", "A 8265-2023")</f>
        <v/>
      </c>
      <c r="Y76">
        <f>HYPERLINK("https://klasma.github.io/Logging_0980/tillsynsmail/A 8265-2023 tillsynsbegäran mail.docx", "A 8265-2023")</f>
        <v/>
      </c>
    </row>
    <row r="77" ht="15" customHeight="1">
      <c r="A77" t="inlineStr">
        <is>
          <t>A 186-2023</t>
        </is>
      </c>
      <c r="B77" s="1" t="n">
        <v>44928</v>
      </c>
      <c r="C77" s="1" t="n">
        <v>45883</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43197-2023</t>
        </is>
      </c>
      <c r="B78" s="1" t="n">
        <v>45183</v>
      </c>
      <c r="C78" s="1" t="n">
        <v>45883</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56717-2024</t>
        </is>
      </c>
      <c r="B79" s="1" t="n">
        <v>45628.3166550926</v>
      </c>
      <c r="C79" s="1" t="n">
        <v>45883</v>
      </c>
      <c r="D79" t="inlineStr">
        <is>
          <t>GOTLANDS LÄN</t>
        </is>
      </c>
      <c r="E79" t="inlineStr">
        <is>
          <t>GOTLAND</t>
        </is>
      </c>
      <c r="G79" t="n">
        <v>9.699999999999999</v>
      </c>
      <c r="H79" t="n">
        <v>0</v>
      </c>
      <c r="I79" t="n">
        <v>2</v>
      </c>
      <c r="J79" t="n">
        <v>2</v>
      </c>
      <c r="K79" t="n">
        <v>0</v>
      </c>
      <c r="L79" t="n">
        <v>0</v>
      </c>
      <c r="M79" t="n">
        <v>0</v>
      </c>
      <c r="N79" t="n">
        <v>0</v>
      </c>
      <c r="O79" t="n">
        <v>2</v>
      </c>
      <c r="P79" t="n">
        <v>0</v>
      </c>
      <c r="Q79" t="n">
        <v>4</v>
      </c>
      <c r="R79" s="2" t="inlineStr">
        <is>
          <t>Ekvaxskivling
Odörspindling
Fjällig taggsvamp s.str.
Kattfotslav</t>
        </is>
      </c>
      <c r="S79">
        <f>HYPERLINK("https://klasma.github.io/Logging_0980/artfynd/A 56717-2024 artfynd.xlsx", "A 56717-2024")</f>
        <v/>
      </c>
      <c r="T79">
        <f>HYPERLINK("https://klasma.github.io/Logging_0980/kartor/A 56717-2024 karta.png", "A 56717-2024")</f>
        <v/>
      </c>
      <c r="V79">
        <f>HYPERLINK("https://klasma.github.io/Logging_0980/klagomål/A 56717-2024 FSC-klagomål.docx", "A 56717-2024")</f>
        <v/>
      </c>
      <c r="W79">
        <f>HYPERLINK("https://klasma.github.io/Logging_0980/klagomålsmail/A 56717-2024 FSC-klagomål mail.docx", "A 56717-2024")</f>
        <v/>
      </c>
      <c r="X79">
        <f>HYPERLINK("https://klasma.github.io/Logging_0980/tillsyn/A 56717-2024 tillsynsbegäran.docx", "A 56717-2024")</f>
        <v/>
      </c>
      <c r="Y79">
        <f>HYPERLINK("https://klasma.github.io/Logging_0980/tillsynsmail/A 56717-2024 tillsynsbegäran mail.docx", "A 56717-2024")</f>
        <v/>
      </c>
    </row>
    <row r="80" ht="15" customHeight="1">
      <c r="A80" t="inlineStr">
        <is>
          <t>A 1971-2023</t>
        </is>
      </c>
      <c r="B80" s="1" t="n">
        <v>44939</v>
      </c>
      <c r="C80" s="1" t="n">
        <v>45883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45883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45883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44933-2022</t>
        </is>
      </c>
      <c r="B83" s="1" t="n">
        <v>44841</v>
      </c>
      <c r="C83" s="1" t="n">
        <v>45883</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2485-2025</t>
        </is>
      </c>
      <c r="B84" s="1" t="n">
        <v>45673</v>
      </c>
      <c r="C84" s="1" t="n">
        <v>45883</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45883</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45883</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45883</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45883</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45883</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45883</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45883</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45883</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5235-2025</t>
        </is>
      </c>
      <c r="B93" s="1" t="n">
        <v>45692.26797453704</v>
      </c>
      <c r="C93" s="1" t="n">
        <v>45883</v>
      </c>
      <c r="D93" t="inlineStr">
        <is>
          <t>GOTLANDS LÄN</t>
        </is>
      </c>
      <c r="E93" t="inlineStr">
        <is>
          <t>GOTLAND</t>
        </is>
      </c>
      <c r="G93" t="n">
        <v>7.6</v>
      </c>
      <c r="H93" t="n">
        <v>1</v>
      </c>
      <c r="I93" t="n">
        <v>2</v>
      </c>
      <c r="J93" t="n">
        <v>1</v>
      </c>
      <c r="K93" t="n">
        <v>0</v>
      </c>
      <c r="L93" t="n">
        <v>0</v>
      </c>
      <c r="M93" t="n">
        <v>0</v>
      </c>
      <c r="N93" t="n">
        <v>0</v>
      </c>
      <c r="O93" t="n">
        <v>1</v>
      </c>
      <c r="P93" t="n">
        <v>0</v>
      </c>
      <c r="Q93" t="n">
        <v>3</v>
      </c>
      <c r="R93" s="2" t="inlineStr">
        <is>
          <t>Svinrot
Blåmossa
Tvåblad</t>
        </is>
      </c>
      <c r="S93">
        <f>HYPERLINK("https://klasma.github.io/Logging_0980/artfynd/A 5235-2025 artfynd.xlsx", "A 5235-2025")</f>
        <v/>
      </c>
      <c r="T93">
        <f>HYPERLINK("https://klasma.github.io/Logging_0980/kartor/A 5235-2025 karta.png", "A 5235-2025")</f>
        <v/>
      </c>
      <c r="V93">
        <f>HYPERLINK("https://klasma.github.io/Logging_0980/klagomål/A 5235-2025 FSC-klagomål.docx", "A 5235-2025")</f>
        <v/>
      </c>
      <c r="W93">
        <f>HYPERLINK("https://klasma.github.io/Logging_0980/klagomålsmail/A 5235-2025 FSC-klagomål mail.docx", "A 5235-2025")</f>
        <v/>
      </c>
      <c r="X93">
        <f>HYPERLINK("https://klasma.github.io/Logging_0980/tillsyn/A 5235-2025 tillsynsbegäran.docx", "A 5235-2025")</f>
        <v/>
      </c>
      <c r="Y93">
        <f>HYPERLINK("https://klasma.github.io/Logging_0980/tillsynsmail/A 5235-2025 tillsynsbegäran mail.docx", "A 5235-2025")</f>
        <v/>
      </c>
    </row>
    <row r="94" ht="15" customHeight="1">
      <c r="A94" t="inlineStr">
        <is>
          <t>A 53552-2021</t>
        </is>
      </c>
      <c r="B94" s="1" t="n">
        <v>44468</v>
      </c>
      <c r="C94" s="1" t="n">
        <v>45883</v>
      </c>
      <c r="D94" t="inlineStr">
        <is>
          <t>GOTLANDS LÄN</t>
        </is>
      </c>
      <c r="E94" t="inlineStr">
        <is>
          <t>GOTLAND</t>
        </is>
      </c>
      <c r="G94" t="n">
        <v>6.2</v>
      </c>
      <c r="H94" t="n">
        <v>2</v>
      </c>
      <c r="I94" t="n">
        <v>0</v>
      </c>
      <c r="J94" t="n">
        <v>1</v>
      </c>
      <c r="K94" t="n">
        <v>0</v>
      </c>
      <c r="L94" t="n">
        <v>0</v>
      </c>
      <c r="M94" t="n">
        <v>0</v>
      </c>
      <c r="N94" t="n">
        <v>0</v>
      </c>
      <c r="O94" t="n">
        <v>1</v>
      </c>
      <c r="P94" t="n">
        <v>0</v>
      </c>
      <c r="Q94" t="n">
        <v>3</v>
      </c>
      <c r="R94" s="2" t="inlineStr">
        <is>
          <t>Bredbrämad bastardsvärmare
Grönvit nattviol
Gullviva</t>
        </is>
      </c>
      <c r="S94">
        <f>HYPERLINK("https://klasma.github.io/Logging_0980/artfynd/A 53552-2021 artfynd.xlsx", "A 53552-2021")</f>
        <v/>
      </c>
      <c r="T94">
        <f>HYPERLINK("https://klasma.github.io/Logging_0980/kartor/A 53552-2021 karta.png", "A 53552-2021")</f>
        <v/>
      </c>
      <c r="V94">
        <f>HYPERLINK("https://klasma.github.io/Logging_0980/klagomål/A 53552-2021 FSC-klagomål.docx", "A 53552-2021")</f>
        <v/>
      </c>
      <c r="W94">
        <f>HYPERLINK("https://klasma.github.io/Logging_0980/klagomålsmail/A 53552-2021 FSC-klagomål mail.docx", "A 53552-2021")</f>
        <v/>
      </c>
      <c r="X94">
        <f>HYPERLINK("https://klasma.github.io/Logging_0980/tillsyn/A 53552-2021 tillsynsbegäran.docx", "A 53552-2021")</f>
        <v/>
      </c>
      <c r="Y94">
        <f>HYPERLINK("https://klasma.github.io/Logging_0980/tillsynsmail/A 53552-2021 tillsynsbegäran mail.docx", "A 53552-2021")</f>
        <v/>
      </c>
    </row>
    <row r="95" ht="15" customHeight="1">
      <c r="A95" t="inlineStr">
        <is>
          <t>A 17982-2023</t>
        </is>
      </c>
      <c r="B95" s="1" t="n">
        <v>45040</v>
      </c>
      <c r="C95" s="1" t="n">
        <v>45883</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17975-2024</t>
        </is>
      </c>
      <c r="B96" s="1" t="n">
        <v>45419.85546296297</v>
      </c>
      <c r="C96" s="1" t="n">
        <v>45883</v>
      </c>
      <c r="D96" t="inlineStr">
        <is>
          <t>GOTLANDS LÄN</t>
        </is>
      </c>
      <c r="E96" t="inlineStr">
        <is>
          <t>GOTLAND</t>
        </is>
      </c>
      <c r="G96" t="n">
        <v>7.9</v>
      </c>
      <c r="H96" t="n">
        <v>0</v>
      </c>
      <c r="I96" t="n">
        <v>1</v>
      </c>
      <c r="J96" t="n">
        <v>1</v>
      </c>
      <c r="K96" t="n">
        <v>0</v>
      </c>
      <c r="L96" t="n">
        <v>1</v>
      </c>
      <c r="M96" t="n">
        <v>0</v>
      </c>
      <c r="N96" t="n">
        <v>0</v>
      </c>
      <c r="O96" t="n">
        <v>2</v>
      </c>
      <c r="P96" t="n">
        <v>1</v>
      </c>
      <c r="Q96" t="n">
        <v>3</v>
      </c>
      <c r="R96" s="2" t="inlineStr">
        <is>
          <t>Ask
Skugglosta
Strävlosta</t>
        </is>
      </c>
      <c r="S96">
        <f>HYPERLINK("https://klasma.github.io/Logging_0980/artfynd/A 17975-2024 artfynd.xlsx", "A 17975-2024")</f>
        <v/>
      </c>
      <c r="T96">
        <f>HYPERLINK("https://klasma.github.io/Logging_0980/kartor/A 17975-2024 karta.png", "A 17975-2024")</f>
        <v/>
      </c>
      <c r="V96">
        <f>HYPERLINK("https://klasma.github.io/Logging_0980/klagomål/A 17975-2024 FSC-klagomål.docx", "A 17975-2024")</f>
        <v/>
      </c>
      <c r="W96">
        <f>HYPERLINK("https://klasma.github.io/Logging_0980/klagomålsmail/A 17975-2024 FSC-klagomål mail.docx", "A 17975-2024")</f>
        <v/>
      </c>
      <c r="X96">
        <f>HYPERLINK("https://klasma.github.io/Logging_0980/tillsyn/A 17975-2024 tillsynsbegäran.docx", "A 17975-2024")</f>
        <v/>
      </c>
      <c r="Y96">
        <f>HYPERLINK("https://klasma.github.io/Logging_0980/tillsynsmail/A 17975-2024 tillsynsbegäran mail.docx", "A 17975-2024")</f>
        <v/>
      </c>
    </row>
    <row r="97" ht="15" customHeight="1">
      <c r="A97" t="inlineStr">
        <is>
          <t>A 13499-2022</t>
        </is>
      </c>
      <c r="B97" s="1" t="n">
        <v>44647.79203703703</v>
      </c>
      <c r="C97" s="1" t="n">
        <v>45883</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45883</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45883</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45883</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45883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45883</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45883</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45883</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45883</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45883</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9930-2021</t>
        </is>
      </c>
      <c r="B107" s="1" t="n">
        <v>44252</v>
      </c>
      <c r="C107" s="1" t="n">
        <v>45883</v>
      </c>
      <c r="D107" t="inlineStr">
        <is>
          <t>GOTLANDS LÄN</t>
        </is>
      </c>
      <c r="E107" t="inlineStr">
        <is>
          <t>GOTLAND</t>
        </is>
      </c>
      <c r="G107" t="n">
        <v>1.9</v>
      </c>
      <c r="H107" t="n">
        <v>0</v>
      </c>
      <c r="I107" t="n">
        <v>0</v>
      </c>
      <c r="J107" t="n">
        <v>0</v>
      </c>
      <c r="K107" t="n">
        <v>0</v>
      </c>
      <c r="L107" t="n">
        <v>1</v>
      </c>
      <c r="M107" t="n">
        <v>1</v>
      </c>
      <c r="N107" t="n">
        <v>0</v>
      </c>
      <c r="O107" t="n">
        <v>2</v>
      </c>
      <c r="P107" t="n">
        <v>2</v>
      </c>
      <c r="Q107" t="n">
        <v>2</v>
      </c>
      <c r="R107" s="2" t="inlineStr">
        <is>
          <t>Lundalm
Ask</t>
        </is>
      </c>
      <c r="S107">
        <f>HYPERLINK("https://klasma.github.io/Logging_0980/artfynd/A 9930-2021 artfynd.xlsx", "A 9930-2021")</f>
        <v/>
      </c>
      <c r="T107">
        <f>HYPERLINK("https://klasma.github.io/Logging_0980/kartor/A 9930-2021 karta.png", "A 9930-2021")</f>
        <v/>
      </c>
      <c r="V107">
        <f>HYPERLINK("https://klasma.github.io/Logging_0980/klagomål/A 9930-2021 FSC-klagomål.docx", "A 9930-2021")</f>
        <v/>
      </c>
      <c r="W107">
        <f>HYPERLINK("https://klasma.github.io/Logging_0980/klagomålsmail/A 9930-2021 FSC-klagomål mail.docx", "A 9930-2021")</f>
        <v/>
      </c>
      <c r="X107">
        <f>HYPERLINK("https://klasma.github.io/Logging_0980/tillsyn/A 9930-2021 tillsynsbegäran.docx", "A 9930-2021")</f>
        <v/>
      </c>
      <c r="Y107">
        <f>HYPERLINK("https://klasma.github.io/Logging_0980/tillsynsmail/A 9930-2021 tillsynsbegäran mail.docx", "A 9930-2021")</f>
        <v/>
      </c>
    </row>
    <row r="108" ht="15" customHeight="1">
      <c r="A108" t="inlineStr">
        <is>
          <t>A 48126-2022</t>
        </is>
      </c>
      <c r="B108" s="1" t="n">
        <v>44857</v>
      </c>
      <c r="C108" s="1" t="n">
        <v>45883</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45883</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26077-2024</t>
        </is>
      </c>
      <c r="B110" s="1" t="n">
        <v>45467</v>
      </c>
      <c r="C110" s="1" t="n">
        <v>45883</v>
      </c>
      <c r="D110" t="inlineStr">
        <is>
          <t>GOTLANDS LÄN</t>
        </is>
      </c>
      <c r="E110" t="inlineStr">
        <is>
          <t>GOTLAND</t>
        </is>
      </c>
      <c r="G110" t="n">
        <v>4.6</v>
      </c>
      <c r="H110" t="n">
        <v>0</v>
      </c>
      <c r="I110" t="n">
        <v>0</v>
      </c>
      <c r="J110" t="n">
        <v>1</v>
      </c>
      <c r="K110" t="n">
        <v>0</v>
      </c>
      <c r="L110" t="n">
        <v>1</v>
      </c>
      <c r="M110" t="n">
        <v>0</v>
      </c>
      <c r="N110" t="n">
        <v>0</v>
      </c>
      <c r="O110" t="n">
        <v>2</v>
      </c>
      <c r="P110" t="n">
        <v>1</v>
      </c>
      <c r="Q110" t="n">
        <v>2</v>
      </c>
      <c r="R110" s="2" t="inlineStr">
        <is>
          <t>Ask
Tallticka</t>
        </is>
      </c>
      <c r="S110">
        <f>HYPERLINK("https://klasma.github.io/Logging_0980/artfynd/A 26077-2024 artfynd.xlsx", "A 26077-2024")</f>
        <v/>
      </c>
      <c r="T110">
        <f>HYPERLINK("https://klasma.github.io/Logging_0980/kartor/A 26077-2024 karta.png", "A 26077-2024")</f>
        <v/>
      </c>
      <c r="V110">
        <f>HYPERLINK("https://klasma.github.io/Logging_0980/klagomål/A 26077-2024 FSC-klagomål.docx", "A 26077-2024")</f>
        <v/>
      </c>
      <c r="W110">
        <f>HYPERLINK("https://klasma.github.io/Logging_0980/klagomålsmail/A 26077-2024 FSC-klagomål mail.docx", "A 26077-2024")</f>
        <v/>
      </c>
      <c r="X110">
        <f>HYPERLINK("https://klasma.github.io/Logging_0980/tillsyn/A 26077-2024 tillsynsbegäran.docx", "A 26077-2024")</f>
        <v/>
      </c>
      <c r="Y110">
        <f>HYPERLINK("https://klasma.github.io/Logging_0980/tillsynsmail/A 26077-2024 tillsynsbegäran mail.docx", "A 26077-2024")</f>
        <v/>
      </c>
    </row>
    <row r="111" ht="15" customHeight="1">
      <c r="A111" t="inlineStr">
        <is>
          <t>A 64263-2020</t>
        </is>
      </c>
      <c r="B111" s="1" t="n">
        <v>44168</v>
      </c>
      <c r="C111" s="1" t="n">
        <v>45883</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58701-2020</t>
        </is>
      </c>
      <c r="B112" s="1" t="n">
        <v>44146</v>
      </c>
      <c r="C112" s="1" t="n">
        <v>45883</v>
      </c>
      <c r="D112" t="inlineStr">
        <is>
          <t>GOTLANDS LÄN</t>
        </is>
      </c>
      <c r="E112" t="inlineStr">
        <is>
          <t>GOTLAND</t>
        </is>
      </c>
      <c r="G112" t="n">
        <v>5.5</v>
      </c>
      <c r="H112" t="n">
        <v>0</v>
      </c>
      <c r="I112" t="n">
        <v>0</v>
      </c>
      <c r="J112" t="n">
        <v>1</v>
      </c>
      <c r="K112" t="n">
        <v>1</v>
      </c>
      <c r="L112" t="n">
        <v>0</v>
      </c>
      <c r="M112" t="n">
        <v>0</v>
      </c>
      <c r="N112" t="n">
        <v>0</v>
      </c>
      <c r="O112" t="n">
        <v>2</v>
      </c>
      <c r="P112" t="n">
        <v>1</v>
      </c>
      <c r="Q112" t="n">
        <v>2</v>
      </c>
      <c r="R112" s="2" t="inlineStr">
        <is>
          <t>Vit taggsvamp
Odörspindling</t>
        </is>
      </c>
      <c r="S112">
        <f>HYPERLINK("https://klasma.github.io/Logging_0980/artfynd/A 58701-2020 artfynd.xlsx", "A 58701-2020")</f>
        <v/>
      </c>
      <c r="T112">
        <f>HYPERLINK("https://klasma.github.io/Logging_0980/kartor/A 58701-2020 karta.png", "A 58701-2020")</f>
        <v/>
      </c>
      <c r="V112">
        <f>HYPERLINK("https://klasma.github.io/Logging_0980/klagomål/A 58701-2020 FSC-klagomål.docx", "A 58701-2020")</f>
        <v/>
      </c>
      <c r="W112">
        <f>HYPERLINK("https://klasma.github.io/Logging_0980/klagomålsmail/A 58701-2020 FSC-klagomål mail.docx", "A 58701-2020")</f>
        <v/>
      </c>
      <c r="X112">
        <f>HYPERLINK("https://klasma.github.io/Logging_0980/tillsyn/A 58701-2020 tillsynsbegäran.docx", "A 58701-2020")</f>
        <v/>
      </c>
      <c r="Y112">
        <f>HYPERLINK("https://klasma.github.io/Logging_0980/tillsynsmail/A 58701-2020 tillsynsbegäran mail.docx", "A 58701-2020")</f>
        <v/>
      </c>
    </row>
    <row r="113" ht="15" customHeight="1">
      <c r="A113" t="inlineStr">
        <is>
          <t>A 43321-2020</t>
        </is>
      </c>
      <c r="B113" s="1" t="n">
        <v>44081</v>
      </c>
      <c r="C113" s="1" t="n">
        <v>45883</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73144-2021</t>
        </is>
      </c>
      <c r="B114" s="1" t="n">
        <v>44550</v>
      </c>
      <c r="C114" s="1" t="n">
        <v>45883</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28276-2024</t>
        </is>
      </c>
      <c r="B115" s="1" t="n">
        <v>45477</v>
      </c>
      <c r="C115" s="1" t="n">
        <v>45883</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28276-2024 artfynd.xlsx", "A 28276-2024")</f>
        <v/>
      </c>
      <c r="T115">
        <f>HYPERLINK("https://klasma.github.io/Logging_0980/kartor/A 28276-2024 karta.png", "A 28276-2024")</f>
        <v/>
      </c>
      <c r="V115">
        <f>HYPERLINK("https://klasma.github.io/Logging_0980/klagomål/A 28276-2024 FSC-klagomål.docx", "A 28276-2024")</f>
        <v/>
      </c>
      <c r="W115">
        <f>HYPERLINK("https://klasma.github.io/Logging_0980/klagomålsmail/A 28276-2024 FSC-klagomål mail.docx", "A 28276-2024")</f>
        <v/>
      </c>
      <c r="X115">
        <f>HYPERLINK("https://klasma.github.io/Logging_0980/tillsyn/A 28276-2024 tillsynsbegäran.docx", "A 28276-2024")</f>
        <v/>
      </c>
      <c r="Y115">
        <f>HYPERLINK("https://klasma.github.io/Logging_0980/tillsynsmail/A 28276-2024 tillsynsbegäran mail.docx", "A 28276-2024")</f>
        <v/>
      </c>
    </row>
    <row r="116" ht="15" customHeight="1">
      <c r="A116" t="inlineStr">
        <is>
          <t>A 54357-2024</t>
        </is>
      </c>
      <c r="B116" s="1" t="n">
        <v>45617.40662037037</v>
      </c>
      <c r="C116" s="1" t="n">
        <v>45883</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21879-2025</t>
        </is>
      </c>
      <c r="B117" s="1" t="n">
        <v>45784.40533564815</v>
      </c>
      <c r="C117" s="1" t="n">
        <v>45883</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45883</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45883</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45883</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45883</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45883</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45883</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45883</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45883</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45883</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45883</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62552-2022</t>
        </is>
      </c>
      <c r="B130" s="1" t="n">
        <v>44924</v>
      </c>
      <c r="C130" s="1" t="n">
        <v>45883</v>
      </c>
      <c r="D130" t="inlineStr">
        <is>
          <t>GOTLANDS LÄN</t>
        </is>
      </c>
      <c r="E130" t="inlineStr">
        <is>
          <t>GOTLAND</t>
        </is>
      </c>
      <c r="G130" t="n">
        <v>1.6</v>
      </c>
      <c r="H130" t="n">
        <v>0</v>
      </c>
      <c r="I130" t="n">
        <v>0</v>
      </c>
      <c r="J130" t="n">
        <v>1</v>
      </c>
      <c r="K130" t="n">
        <v>0</v>
      </c>
      <c r="L130" t="n">
        <v>0</v>
      </c>
      <c r="M130" t="n">
        <v>0</v>
      </c>
      <c r="N130" t="n">
        <v>0</v>
      </c>
      <c r="O130" t="n">
        <v>1</v>
      </c>
      <c r="P130" t="n">
        <v>0</v>
      </c>
      <c r="Q130" t="n">
        <v>1</v>
      </c>
      <c r="R130" s="2" t="inlineStr">
        <is>
          <t>Äggspindling</t>
        </is>
      </c>
      <c r="S130">
        <f>HYPERLINK("https://klasma.github.io/Logging_0980/artfynd/A 62552-2022 artfynd.xlsx", "A 62552-2022")</f>
        <v/>
      </c>
      <c r="T130">
        <f>HYPERLINK("https://klasma.github.io/Logging_0980/kartor/A 62552-2022 karta.png", "A 62552-2022")</f>
        <v/>
      </c>
      <c r="V130">
        <f>HYPERLINK("https://klasma.github.io/Logging_0980/klagomål/A 62552-2022 FSC-klagomål.docx", "A 62552-2022")</f>
        <v/>
      </c>
      <c r="W130">
        <f>HYPERLINK("https://klasma.github.io/Logging_0980/klagomålsmail/A 62552-2022 FSC-klagomål mail.docx", "A 62552-2022")</f>
        <v/>
      </c>
      <c r="X130">
        <f>HYPERLINK("https://klasma.github.io/Logging_0980/tillsyn/A 62552-2022 tillsynsbegäran.docx", "A 62552-2022")</f>
        <v/>
      </c>
      <c r="Y130">
        <f>HYPERLINK("https://klasma.github.io/Logging_0980/tillsynsmail/A 62552-2022 tillsynsbegäran mail.docx", "A 62552-2022")</f>
        <v/>
      </c>
    </row>
    <row r="131" ht="15" customHeight="1">
      <c r="A131" t="inlineStr">
        <is>
          <t>A 20429-2025</t>
        </is>
      </c>
      <c r="B131" s="1" t="n">
        <v>45775.47728009259</v>
      </c>
      <c r="C131" s="1" t="n">
        <v>45883</v>
      </c>
      <c r="D131" t="inlineStr">
        <is>
          <t>GOTLANDS LÄN</t>
        </is>
      </c>
      <c r="E131" t="inlineStr">
        <is>
          <t>GOTLAND</t>
        </is>
      </c>
      <c r="G131" t="n">
        <v>1.4</v>
      </c>
      <c r="H131" t="n">
        <v>1</v>
      </c>
      <c r="I131" t="n">
        <v>0</v>
      </c>
      <c r="J131" t="n">
        <v>0</v>
      </c>
      <c r="K131" t="n">
        <v>0</v>
      </c>
      <c r="L131" t="n">
        <v>0</v>
      </c>
      <c r="M131" t="n">
        <v>0</v>
      </c>
      <c r="N131" t="n">
        <v>0</v>
      </c>
      <c r="O131" t="n">
        <v>0</v>
      </c>
      <c r="P131" t="n">
        <v>0</v>
      </c>
      <c r="Q131" t="n">
        <v>1</v>
      </c>
      <c r="R131" s="2" t="inlineStr">
        <is>
          <t>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44088-2022</t>
        </is>
      </c>
      <c r="B132" s="1" t="n">
        <v>44839</v>
      </c>
      <c r="C132" s="1" t="n">
        <v>45883</v>
      </c>
      <c r="D132" t="inlineStr">
        <is>
          <t>GOTLANDS LÄN</t>
        </is>
      </c>
      <c r="E132" t="inlineStr">
        <is>
          <t>GOTLAND</t>
        </is>
      </c>
      <c r="G132" t="n">
        <v>1.5</v>
      </c>
      <c r="H132" t="n">
        <v>0</v>
      </c>
      <c r="I132" t="n">
        <v>1</v>
      </c>
      <c r="J132" t="n">
        <v>0</v>
      </c>
      <c r="K132" t="n">
        <v>0</v>
      </c>
      <c r="L132" t="n">
        <v>0</v>
      </c>
      <c r="M132" t="n">
        <v>0</v>
      </c>
      <c r="N132" t="n">
        <v>0</v>
      </c>
      <c r="O132" t="n">
        <v>0</v>
      </c>
      <c r="P132" t="n">
        <v>0</v>
      </c>
      <c r="Q132" t="n">
        <v>1</v>
      </c>
      <c r="R132" s="2" t="inlineStr">
        <is>
          <t>Strävlosta</t>
        </is>
      </c>
      <c r="S132">
        <f>HYPERLINK("https://klasma.github.io/Logging_0980/artfynd/A 44088-2022 artfynd.xlsx", "A 44088-2022")</f>
        <v/>
      </c>
      <c r="T132">
        <f>HYPERLINK("https://klasma.github.io/Logging_0980/kartor/A 44088-2022 karta.png", "A 44088-2022")</f>
        <v/>
      </c>
      <c r="V132">
        <f>HYPERLINK("https://klasma.github.io/Logging_0980/klagomål/A 44088-2022 FSC-klagomål.docx", "A 44088-2022")</f>
        <v/>
      </c>
      <c r="W132">
        <f>HYPERLINK("https://klasma.github.io/Logging_0980/klagomålsmail/A 44088-2022 FSC-klagomål mail.docx", "A 44088-2022")</f>
        <v/>
      </c>
      <c r="X132">
        <f>HYPERLINK("https://klasma.github.io/Logging_0980/tillsyn/A 44088-2022 tillsynsbegäran.docx", "A 44088-2022")</f>
        <v/>
      </c>
      <c r="Y132">
        <f>HYPERLINK("https://klasma.github.io/Logging_0980/tillsynsmail/A 44088-2022 tillsynsbegäran mail.docx", "A 44088-2022")</f>
        <v/>
      </c>
    </row>
    <row r="133" ht="15" customHeight="1">
      <c r="A133" t="inlineStr">
        <is>
          <t>A 12379-2024</t>
        </is>
      </c>
      <c r="B133" s="1" t="n">
        <v>45379.28155092592</v>
      </c>
      <c r="C133" s="1" t="n">
        <v>45883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45883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44308-2021</t>
        </is>
      </c>
      <c r="B135" s="1" t="n">
        <v>44434</v>
      </c>
      <c r="C135" s="1" t="n">
        <v>45883</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447-2023</t>
        </is>
      </c>
      <c r="B136" s="1" t="n">
        <v>44929</v>
      </c>
      <c r="C136" s="1" t="n">
        <v>45883</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947-2023</t>
        </is>
      </c>
      <c r="B137" s="1" t="n">
        <v>44934</v>
      </c>
      <c r="C137" s="1" t="n">
        <v>45883</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44958-2020</t>
        </is>
      </c>
      <c r="B138" s="1" t="n">
        <v>44088</v>
      </c>
      <c r="C138" s="1" t="n">
        <v>45883</v>
      </c>
      <c r="D138" t="inlineStr">
        <is>
          <t>GOTLANDS LÄN</t>
        </is>
      </c>
      <c r="E138" t="inlineStr">
        <is>
          <t>GOTLAND</t>
        </is>
      </c>
      <c r="G138" t="n">
        <v>0.6</v>
      </c>
      <c r="H138" t="n">
        <v>1</v>
      </c>
      <c r="I138" t="n">
        <v>0</v>
      </c>
      <c r="J138" t="n">
        <v>1</v>
      </c>
      <c r="K138" t="n">
        <v>0</v>
      </c>
      <c r="L138" t="n">
        <v>0</v>
      </c>
      <c r="M138" t="n">
        <v>0</v>
      </c>
      <c r="N138" t="n">
        <v>0</v>
      </c>
      <c r="O138" t="n">
        <v>1</v>
      </c>
      <c r="P138" t="n">
        <v>0</v>
      </c>
      <c r="Q138" t="n">
        <v>1</v>
      </c>
      <c r="R138" s="2" t="inlineStr">
        <is>
          <t>Hornuggla</t>
        </is>
      </c>
      <c r="S138">
        <f>HYPERLINK("https://klasma.github.io/Logging_0980/artfynd/A 44958-2020 artfynd.xlsx", "A 44958-2020")</f>
        <v/>
      </c>
      <c r="T138">
        <f>HYPERLINK("https://klasma.github.io/Logging_0980/kartor/A 44958-2020 karta.png", "A 44958-2020")</f>
        <v/>
      </c>
      <c r="V138">
        <f>HYPERLINK("https://klasma.github.io/Logging_0980/klagomål/A 44958-2020 FSC-klagomål.docx", "A 44958-2020")</f>
        <v/>
      </c>
      <c r="W138">
        <f>HYPERLINK("https://klasma.github.io/Logging_0980/klagomålsmail/A 44958-2020 FSC-klagomål mail.docx", "A 44958-2020")</f>
        <v/>
      </c>
      <c r="X138">
        <f>HYPERLINK("https://klasma.github.io/Logging_0980/tillsyn/A 44958-2020 tillsynsbegäran.docx", "A 44958-2020")</f>
        <v/>
      </c>
      <c r="Y138">
        <f>HYPERLINK("https://klasma.github.io/Logging_0980/tillsynsmail/A 44958-2020 tillsynsbegäran mail.docx", "A 44958-2020")</f>
        <v/>
      </c>
      <c r="Z138">
        <f>HYPERLINK("https://klasma.github.io/Logging_0980/fåglar/A 44958-2020 prioriterade fågelarter.docx", "A 44958-2020")</f>
        <v/>
      </c>
    </row>
    <row r="139" ht="15" customHeight="1">
      <c r="A139" t="inlineStr">
        <is>
          <t>A 9862-2024</t>
        </is>
      </c>
      <c r="B139" s="1" t="n">
        <v>45363</v>
      </c>
      <c r="C139" s="1" t="n">
        <v>45883</v>
      </c>
      <c r="D139" t="inlineStr">
        <is>
          <t>GOTLANDS LÄN</t>
        </is>
      </c>
      <c r="E139" t="inlineStr">
        <is>
          <t>GOTLAND</t>
        </is>
      </c>
      <c r="G139" t="n">
        <v>3.5</v>
      </c>
      <c r="H139" t="n">
        <v>1</v>
      </c>
      <c r="I139" t="n">
        <v>0</v>
      </c>
      <c r="J139" t="n">
        <v>0</v>
      </c>
      <c r="K139" t="n">
        <v>0</v>
      </c>
      <c r="L139" t="n">
        <v>0</v>
      </c>
      <c r="M139" t="n">
        <v>0</v>
      </c>
      <c r="N139" t="n">
        <v>0</v>
      </c>
      <c r="O139" t="n">
        <v>0</v>
      </c>
      <c r="P139" t="n">
        <v>0</v>
      </c>
      <c r="Q139" t="n">
        <v>1</v>
      </c>
      <c r="R139" s="2" t="inlineStr">
        <is>
          <t>Nattviol</t>
        </is>
      </c>
      <c r="S139">
        <f>HYPERLINK("https://klasma.github.io/Logging_0980/artfynd/A 9862-2024 artfynd.xlsx", "A 9862-2024")</f>
        <v/>
      </c>
      <c r="T139">
        <f>HYPERLINK("https://klasma.github.io/Logging_0980/kartor/A 9862-2024 karta.png", "A 9862-2024")</f>
        <v/>
      </c>
      <c r="V139">
        <f>HYPERLINK("https://klasma.github.io/Logging_0980/klagomål/A 9862-2024 FSC-klagomål.docx", "A 9862-2024")</f>
        <v/>
      </c>
      <c r="W139">
        <f>HYPERLINK("https://klasma.github.io/Logging_0980/klagomålsmail/A 9862-2024 FSC-klagomål mail.docx", "A 9862-2024")</f>
        <v/>
      </c>
      <c r="X139">
        <f>HYPERLINK("https://klasma.github.io/Logging_0980/tillsyn/A 9862-2024 tillsynsbegäran.docx", "A 9862-2024")</f>
        <v/>
      </c>
      <c r="Y139">
        <f>HYPERLINK("https://klasma.github.io/Logging_0980/tillsynsmail/A 9862-2024 tillsynsbegäran mail.docx", "A 9862-2024")</f>
        <v/>
      </c>
    </row>
    <row r="140" ht="15" customHeight="1">
      <c r="A140" t="inlineStr">
        <is>
          <t>A 24245-2022</t>
        </is>
      </c>
      <c r="B140" s="1" t="n">
        <v>44725</v>
      </c>
      <c r="C140" s="1" t="n">
        <v>45883</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49304-2024</t>
        </is>
      </c>
      <c r="B141" s="1" t="n">
        <v>45595.54996527778</v>
      </c>
      <c r="C141" s="1" t="n">
        <v>45883</v>
      </c>
      <c r="D141" t="inlineStr">
        <is>
          <t>GOTLANDS LÄN</t>
        </is>
      </c>
      <c r="E141" t="inlineStr">
        <is>
          <t>GOTLAND</t>
        </is>
      </c>
      <c r="G141" t="n">
        <v>10.8</v>
      </c>
      <c r="H141" t="n">
        <v>0</v>
      </c>
      <c r="I141" t="n">
        <v>0</v>
      </c>
      <c r="J141" t="n">
        <v>1</v>
      </c>
      <c r="K141" t="n">
        <v>0</v>
      </c>
      <c r="L141" t="n">
        <v>0</v>
      </c>
      <c r="M141" t="n">
        <v>0</v>
      </c>
      <c r="N141" t="n">
        <v>0</v>
      </c>
      <c r="O141" t="n">
        <v>1</v>
      </c>
      <c r="P141" t="n">
        <v>0</v>
      </c>
      <c r="Q141" t="n">
        <v>1</v>
      </c>
      <c r="R141" s="2" t="inlineStr">
        <is>
          <t>Åkerranunkel</t>
        </is>
      </c>
      <c r="S141">
        <f>HYPERLINK("https://klasma.github.io/Logging_0980/artfynd/A 49304-2024 artfynd.xlsx", "A 49304-2024")</f>
        <v/>
      </c>
      <c r="T141">
        <f>HYPERLINK("https://klasma.github.io/Logging_0980/kartor/A 49304-2024 karta.png", "A 49304-2024")</f>
        <v/>
      </c>
      <c r="V141">
        <f>HYPERLINK("https://klasma.github.io/Logging_0980/klagomål/A 49304-2024 FSC-klagomål.docx", "A 49304-2024")</f>
        <v/>
      </c>
      <c r="W141">
        <f>HYPERLINK("https://klasma.github.io/Logging_0980/klagomålsmail/A 49304-2024 FSC-klagomål mail.docx", "A 49304-2024")</f>
        <v/>
      </c>
      <c r="X141">
        <f>HYPERLINK("https://klasma.github.io/Logging_0980/tillsyn/A 49304-2024 tillsynsbegäran.docx", "A 49304-2024")</f>
        <v/>
      </c>
      <c r="Y141">
        <f>HYPERLINK("https://klasma.github.io/Logging_0980/tillsynsmail/A 49304-2024 tillsynsbegäran mail.docx", "A 49304-2024")</f>
        <v/>
      </c>
    </row>
    <row r="142" ht="15" customHeight="1">
      <c r="A142" t="inlineStr">
        <is>
          <t>A 25977-2024</t>
        </is>
      </c>
      <c r="B142" s="1" t="n">
        <v>45467.69356481481</v>
      </c>
      <c r="C142" s="1" t="n">
        <v>45883</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2213-2023</t>
        </is>
      </c>
      <c r="B143" s="1" t="n">
        <v>44942</v>
      </c>
      <c r="C143" s="1" t="n">
        <v>45883</v>
      </c>
      <c r="D143" t="inlineStr">
        <is>
          <t>GOTLANDS LÄN</t>
        </is>
      </c>
      <c r="E143" t="inlineStr">
        <is>
          <t>GOTLAND</t>
        </is>
      </c>
      <c r="G143" t="n">
        <v>2.7</v>
      </c>
      <c r="H143" t="n">
        <v>0</v>
      </c>
      <c r="I143" t="n">
        <v>0</v>
      </c>
      <c r="J143" t="n">
        <v>1</v>
      </c>
      <c r="K143" t="n">
        <v>0</v>
      </c>
      <c r="L143" t="n">
        <v>0</v>
      </c>
      <c r="M143" t="n">
        <v>0</v>
      </c>
      <c r="N143" t="n">
        <v>0</v>
      </c>
      <c r="O143" t="n">
        <v>1</v>
      </c>
      <c r="P143" t="n">
        <v>0</v>
      </c>
      <c r="Q143" t="n">
        <v>1</v>
      </c>
      <c r="R143" s="2" t="inlineStr">
        <is>
          <t>Odörspindling</t>
        </is>
      </c>
      <c r="S143">
        <f>HYPERLINK("https://klasma.github.io/Logging_0980/artfynd/A 2213-2023 artfynd.xlsx", "A 2213-2023")</f>
        <v/>
      </c>
      <c r="T143">
        <f>HYPERLINK("https://klasma.github.io/Logging_0980/kartor/A 2213-2023 karta.png", "A 2213-2023")</f>
        <v/>
      </c>
      <c r="V143">
        <f>HYPERLINK("https://klasma.github.io/Logging_0980/klagomål/A 2213-2023 FSC-klagomål.docx", "A 2213-2023")</f>
        <v/>
      </c>
      <c r="W143">
        <f>HYPERLINK("https://klasma.github.io/Logging_0980/klagomålsmail/A 2213-2023 FSC-klagomål mail.docx", "A 2213-2023")</f>
        <v/>
      </c>
      <c r="X143">
        <f>HYPERLINK("https://klasma.github.io/Logging_0980/tillsyn/A 2213-2023 tillsynsbegäran.docx", "A 2213-2023")</f>
        <v/>
      </c>
      <c r="Y143">
        <f>HYPERLINK("https://klasma.github.io/Logging_0980/tillsynsmail/A 2213-2023 tillsynsbegäran mail.docx", "A 2213-2023")</f>
        <v/>
      </c>
    </row>
    <row r="144" ht="15" customHeight="1">
      <c r="A144" t="inlineStr">
        <is>
          <t>A 63576-2021</t>
        </is>
      </c>
      <c r="B144" s="1" t="n">
        <v>44508</v>
      </c>
      <c r="C144" s="1" t="n">
        <v>45883</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65927-2021</t>
        </is>
      </c>
      <c r="B145" s="1" t="n">
        <v>44516</v>
      </c>
      <c r="C145" s="1" t="n">
        <v>45883</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49847-2023</t>
        </is>
      </c>
      <c r="B146" s="1" t="n">
        <v>45212</v>
      </c>
      <c r="C146" s="1" t="n">
        <v>45883</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64700-2021</t>
        </is>
      </c>
      <c r="B147" s="1" t="n">
        <v>44511</v>
      </c>
      <c r="C147" s="1" t="n">
        <v>45883</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46527-2023</t>
        </is>
      </c>
      <c r="B148" s="1" t="n">
        <v>45197</v>
      </c>
      <c r="C148" s="1" t="n">
        <v>45883</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12324-2025</t>
        </is>
      </c>
      <c r="B149" s="1" t="n">
        <v>45730</v>
      </c>
      <c r="C149" s="1" t="n">
        <v>45883</v>
      </c>
      <c r="D149" t="inlineStr">
        <is>
          <t>GOTLANDS LÄN</t>
        </is>
      </c>
      <c r="E149" t="inlineStr">
        <is>
          <t>GOTLAND</t>
        </is>
      </c>
      <c r="G149" t="n">
        <v>5</v>
      </c>
      <c r="H149" t="n">
        <v>0</v>
      </c>
      <c r="I149" t="n">
        <v>0</v>
      </c>
      <c r="J149" t="n">
        <v>0</v>
      </c>
      <c r="K149" t="n">
        <v>1</v>
      </c>
      <c r="L149" t="n">
        <v>0</v>
      </c>
      <c r="M149" t="n">
        <v>0</v>
      </c>
      <c r="N149" t="n">
        <v>0</v>
      </c>
      <c r="O149" t="n">
        <v>1</v>
      </c>
      <c r="P149" t="n">
        <v>1</v>
      </c>
      <c r="Q149" t="n">
        <v>1</v>
      </c>
      <c r="R149" s="2" t="inlineStr">
        <is>
          <t>Sommarklynne</t>
        </is>
      </c>
      <c r="S149">
        <f>HYPERLINK("https://klasma.github.io/Logging_0980/artfynd/A 12324-2025 artfynd.xlsx", "A 12324-2025")</f>
        <v/>
      </c>
      <c r="T149">
        <f>HYPERLINK("https://klasma.github.io/Logging_0980/kartor/A 12324-2025 karta.png", "A 12324-2025")</f>
        <v/>
      </c>
      <c r="V149">
        <f>HYPERLINK("https://klasma.github.io/Logging_0980/klagomål/A 12324-2025 FSC-klagomål.docx", "A 12324-2025")</f>
        <v/>
      </c>
      <c r="W149">
        <f>HYPERLINK("https://klasma.github.io/Logging_0980/klagomålsmail/A 12324-2025 FSC-klagomål mail.docx", "A 12324-2025")</f>
        <v/>
      </c>
      <c r="X149">
        <f>HYPERLINK("https://klasma.github.io/Logging_0980/tillsyn/A 12324-2025 tillsynsbegäran.docx", "A 12324-2025")</f>
        <v/>
      </c>
      <c r="Y149">
        <f>HYPERLINK("https://klasma.github.io/Logging_0980/tillsynsmail/A 12324-2025 tillsynsbegäran mail.docx", "A 12324-2025")</f>
        <v/>
      </c>
    </row>
    <row r="150" ht="15" customHeight="1">
      <c r="A150" t="inlineStr">
        <is>
          <t>A 61796-2022</t>
        </is>
      </c>
      <c r="B150" s="1" t="n">
        <v>44917</v>
      </c>
      <c r="C150" s="1" t="n">
        <v>45883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27589-2023</t>
        </is>
      </c>
      <c r="B151" s="1" t="n">
        <v>45097</v>
      </c>
      <c r="C151" s="1" t="n">
        <v>45883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35574-2024</t>
        </is>
      </c>
      <c r="B152" s="1" t="n">
        <v>45531</v>
      </c>
      <c r="C152" s="1" t="n">
        <v>45883</v>
      </c>
      <c r="D152" t="inlineStr">
        <is>
          <t>GOTLANDS LÄN</t>
        </is>
      </c>
      <c r="E152" t="inlineStr">
        <is>
          <t>GOTLAND</t>
        </is>
      </c>
      <c r="G152" t="n">
        <v>5.7</v>
      </c>
      <c r="H152" t="n">
        <v>0</v>
      </c>
      <c r="I152" t="n">
        <v>1</v>
      </c>
      <c r="J152" t="n">
        <v>0</v>
      </c>
      <c r="K152" t="n">
        <v>0</v>
      </c>
      <c r="L152" t="n">
        <v>0</v>
      </c>
      <c r="M152" t="n">
        <v>0</v>
      </c>
      <c r="N152" t="n">
        <v>0</v>
      </c>
      <c r="O152" t="n">
        <v>0</v>
      </c>
      <c r="P152" t="n">
        <v>0</v>
      </c>
      <c r="Q152" t="n">
        <v>1</v>
      </c>
      <c r="R152" s="2" t="inlineStr">
        <is>
          <t>Murgröna</t>
        </is>
      </c>
      <c r="S152">
        <f>HYPERLINK("https://klasma.github.io/Logging_0980/artfynd/A 35574-2024 artfynd.xlsx", "A 35574-2024")</f>
        <v/>
      </c>
      <c r="T152">
        <f>HYPERLINK("https://klasma.github.io/Logging_0980/kartor/A 35574-2024 karta.png", "A 35574-2024")</f>
        <v/>
      </c>
      <c r="V152">
        <f>HYPERLINK("https://klasma.github.io/Logging_0980/klagomål/A 35574-2024 FSC-klagomål.docx", "A 35574-2024")</f>
        <v/>
      </c>
      <c r="W152">
        <f>HYPERLINK("https://klasma.github.io/Logging_0980/klagomålsmail/A 35574-2024 FSC-klagomål mail.docx", "A 35574-2024")</f>
        <v/>
      </c>
      <c r="X152">
        <f>HYPERLINK("https://klasma.github.io/Logging_0980/tillsyn/A 35574-2024 tillsynsbegäran.docx", "A 35574-2024")</f>
        <v/>
      </c>
      <c r="Y152">
        <f>HYPERLINK("https://klasma.github.io/Logging_0980/tillsynsmail/A 35574-2024 tillsynsbegäran mail.docx", "A 35574-2024")</f>
        <v/>
      </c>
    </row>
    <row r="153" ht="15" customHeight="1">
      <c r="A153" t="inlineStr">
        <is>
          <t>A 7637-2025</t>
        </is>
      </c>
      <c r="B153" s="1" t="n">
        <v>45705.77181712963</v>
      </c>
      <c r="C153" s="1" t="n">
        <v>45883</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21466-2025</t>
        </is>
      </c>
      <c r="B154" s="1" t="n">
        <v>45782</v>
      </c>
      <c r="C154" s="1" t="n">
        <v>45883</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15637-2024</t>
        </is>
      </c>
      <c r="B155" s="1" t="n">
        <v>45403.6684837963</v>
      </c>
      <c r="C155" s="1" t="n">
        <v>45883</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48155-2024</t>
        </is>
      </c>
      <c r="B156" s="1" t="n">
        <v>45589.68863425926</v>
      </c>
      <c r="C156" s="1" t="n">
        <v>45883</v>
      </c>
      <c r="D156" t="inlineStr">
        <is>
          <t>GOTLANDS LÄN</t>
        </is>
      </c>
      <c r="E156" t="inlineStr">
        <is>
          <t>GOTLAND</t>
        </is>
      </c>
      <c r="G156" t="n">
        <v>2.4</v>
      </c>
      <c r="H156" t="n">
        <v>1</v>
      </c>
      <c r="I156" t="n">
        <v>0</v>
      </c>
      <c r="J156" t="n">
        <v>0</v>
      </c>
      <c r="K156" t="n">
        <v>0</v>
      </c>
      <c r="L156" t="n">
        <v>0</v>
      </c>
      <c r="M156" t="n">
        <v>0</v>
      </c>
      <c r="N156" t="n">
        <v>0</v>
      </c>
      <c r="O156" t="n">
        <v>0</v>
      </c>
      <c r="P156" t="n">
        <v>0</v>
      </c>
      <c r="Q156" t="n">
        <v>1</v>
      </c>
      <c r="R156" s="2" t="inlineStr">
        <is>
          <t>Gröngöling</t>
        </is>
      </c>
      <c r="S156">
        <f>HYPERLINK("https://klasma.github.io/Logging_0980/artfynd/A 48155-2024 artfynd.xlsx", "A 48155-2024")</f>
        <v/>
      </c>
      <c r="T156">
        <f>HYPERLINK("https://klasma.github.io/Logging_0980/kartor/A 48155-2024 karta.png", "A 48155-2024")</f>
        <v/>
      </c>
      <c r="V156">
        <f>HYPERLINK("https://klasma.github.io/Logging_0980/klagomål/A 48155-2024 FSC-klagomål.docx", "A 48155-2024")</f>
        <v/>
      </c>
      <c r="W156">
        <f>HYPERLINK("https://klasma.github.io/Logging_0980/klagomålsmail/A 48155-2024 FSC-klagomål mail.docx", "A 48155-2024")</f>
        <v/>
      </c>
      <c r="X156">
        <f>HYPERLINK("https://klasma.github.io/Logging_0980/tillsyn/A 48155-2024 tillsynsbegäran.docx", "A 48155-2024")</f>
        <v/>
      </c>
      <c r="Y156">
        <f>HYPERLINK("https://klasma.github.io/Logging_0980/tillsynsmail/A 48155-2024 tillsynsbegäran mail.docx", "A 48155-2024")</f>
        <v/>
      </c>
      <c r="Z156">
        <f>HYPERLINK("https://klasma.github.io/Logging_0980/fåglar/A 48155-2024 prioriterade fågelarter.docx", "A 48155-2024")</f>
        <v/>
      </c>
    </row>
    <row r="157" ht="15" customHeight="1">
      <c r="A157" t="inlineStr">
        <is>
          <t>A 12924-2025</t>
        </is>
      </c>
      <c r="B157" s="1" t="n">
        <v>45734</v>
      </c>
      <c r="C157" s="1" t="n">
        <v>45883</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10440-2024</t>
        </is>
      </c>
      <c r="B158" s="1" t="n">
        <v>45366.32818287037</v>
      </c>
      <c r="C158" s="1" t="n">
        <v>45883</v>
      </c>
      <c r="D158" t="inlineStr">
        <is>
          <t>GOTLANDS LÄN</t>
        </is>
      </c>
      <c r="E158" t="inlineStr">
        <is>
          <t>GOTLAND</t>
        </is>
      </c>
      <c r="G158" t="n">
        <v>2.5</v>
      </c>
      <c r="H158" t="n">
        <v>1</v>
      </c>
      <c r="I158" t="n">
        <v>0</v>
      </c>
      <c r="J158" t="n">
        <v>1</v>
      </c>
      <c r="K158" t="n">
        <v>0</v>
      </c>
      <c r="L158" t="n">
        <v>0</v>
      </c>
      <c r="M158" t="n">
        <v>0</v>
      </c>
      <c r="N158" t="n">
        <v>0</v>
      </c>
      <c r="O158" t="n">
        <v>1</v>
      </c>
      <c r="P158" t="n">
        <v>0</v>
      </c>
      <c r="Q158" t="n">
        <v>1</v>
      </c>
      <c r="R158" s="2" t="inlineStr">
        <is>
          <t>Mindre hackspett</t>
        </is>
      </c>
      <c r="S158">
        <f>HYPERLINK("https://klasma.github.io/Logging_0980/artfynd/A 10440-2024 artfynd.xlsx", "A 10440-2024")</f>
        <v/>
      </c>
      <c r="T158">
        <f>HYPERLINK("https://klasma.github.io/Logging_0980/kartor/A 10440-2024 karta.png", "A 10440-2024")</f>
        <v/>
      </c>
      <c r="V158">
        <f>HYPERLINK("https://klasma.github.io/Logging_0980/klagomål/A 10440-2024 FSC-klagomål.docx", "A 10440-2024")</f>
        <v/>
      </c>
      <c r="W158">
        <f>HYPERLINK("https://klasma.github.io/Logging_0980/klagomålsmail/A 10440-2024 FSC-klagomål mail.docx", "A 10440-2024")</f>
        <v/>
      </c>
      <c r="X158">
        <f>HYPERLINK("https://klasma.github.io/Logging_0980/tillsyn/A 10440-2024 tillsynsbegäran.docx", "A 10440-2024")</f>
        <v/>
      </c>
      <c r="Y158">
        <f>HYPERLINK("https://klasma.github.io/Logging_0980/tillsynsmail/A 10440-2024 tillsynsbegäran mail.docx", "A 10440-2024")</f>
        <v/>
      </c>
      <c r="Z158">
        <f>HYPERLINK("https://klasma.github.io/Logging_0980/fåglar/A 10440-2024 prioriterade fågelarter.docx", "A 10440-2024")</f>
        <v/>
      </c>
    </row>
    <row r="159" ht="15" customHeight="1">
      <c r="A159" t="inlineStr">
        <is>
          <t>A 2476-2025</t>
        </is>
      </c>
      <c r="B159" s="1" t="n">
        <v>45673</v>
      </c>
      <c r="C159" s="1" t="n">
        <v>45883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6303-2024</t>
        </is>
      </c>
      <c r="B160" s="1" t="n">
        <v>45338.35376157407</v>
      </c>
      <c r="C160" s="1" t="n">
        <v>45883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10995-2023</t>
        </is>
      </c>
      <c r="B161" s="1" t="n">
        <v>44986</v>
      </c>
      <c r="C161" s="1" t="n">
        <v>45883</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44468-2024</t>
        </is>
      </c>
      <c r="B162" s="1" t="n">
        <v>45574.36651620371</v>
      </c>
      <c r="C162" s="1" t="n">
        <v>45883</v>
      </c>
      <c r="D162" t="inlineStr">
        <is>
          <t>GOTLANDS LÄN</t>
        </is>
      </c>
      <c r="E162" t="inlineStr">
        <is>
          <t>GOTLAND</t>
        </is>
      </c>
      <c r="G162" t="n">
        <v>7</v>
      </c>
      <c r="H162" t="n">
        <v>0</v>
      </c>
      <c r="I162" t="n">
        <v>0</v>
      </c>
      <c r="J162" t="n">
        <v>0</v>
      </c>
      <c r="K162" t="n">
        <v>0</v>
      </c>
      <c r="L162" t="n">
        <v>0</v>
      </c>
      <c r="M162" t="n">
        <v>1</v>
      </c>
      <c r="N162" t="n">
        <v>0</v>
      </c>
      <c r="O162" t="n">
        <v>1</v>
      </c>
      <c r="P162" t="n">
        <v>1</v>
      </c>
      <c r="Q162" t="n">
        <v>1</v>
      </c>
      <c r="R162" s="2" t="inlineStr">
        <is>
          <t>Skogsalm</t>
        </is>
      </c>
      <c r="S162">
        <f>HYPERLINK("https://klasma.github.io/Logging_0980/artfynd/A 44468-2024 artfynd.xlsx", "A 44468-2024")</f>
        <v/>
      </c>
      <c r="T162">
        <f>HYPERLINK("https://klasma.github.io/Logging_0980/kartor/A 44468-2024 karta.png", "A 44468-2024")</f>
        <v/>
      </c>
      <c r="V162">
        <f>HYPERLINK("https://klasma.github.io/Logging_0980/klagomål/A 44468-2024 FSC-klagomål.docx", "A 44468-2024")</f>
        <v/>
      </c>
      <c r="W162">
        <f>HYPERLINK("https://klasma.github.io/Logging_0980/klagomålsmail/A 44468-2024 FSC-klagomål mail.docx", "A 44468-2024")</f>
        <v/>
      </c>
      <c r="X162">
        <f>HYPERLINK("https://klasma.github.io/Logging_0980/tillsyn/A 44468-2024 tillsynsbegäran.docx", "A 44468-2024")</f>
        <v/>
      </c>
      <c r="Y162">
        <f>HYPERLINK("https://klasma.github.io/Logging_0980/tillsynsmail/A 44468-2024 tillsynsbegäran mail.docx", "A 44468-2024")</f>
        <v/>
      </c>
    </row>
    <row r="163" ht="15" customHeight="1">
      <c r="A163" t="inlineStr">
        <is>
          <t>A 26461-2025</t>
        </is>
      </c>
      <c r="B163" s="1" t="n">
        <v>45807.43337962963</v>
      </c>
      <c r="C163" s="1" t="n">
        <v>45883</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34809-2024</t>
        </is>
      </c>
      <c r="B164" s="1" t="n">
        <v>45526</v>
      </c>
      <c r="C164" s="1" t="n">
        <v>45883</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43219-2023</t>
        </is>
      </c>
      <c r="B165" s="1" t="n">
        <v>45183</v>
      </c>
      <c r="C165" s="1" t="n">
        <v>45883</v>
      </c>
      <c r="D165" t="inlineStr">
        <is>
          <t>GOTLANDS LÄN</t>
        </is>
      </c>
      <c r="E165" t="inlineStr">
        <is>
          <t>GOTLAND</t>
        </is>
      </c>
      <c r="G165" t="n">
        <v>3.6</v>
      </c>
      <c r="H165" t="n">
        <v>1</v>
      </c>
      <c r="I165" t="n">
        <v>0</v>
      </c>
      <c r="J165" t="n">
        <v>0</v>
      </c>
      <c r="K165" t="n">
        <v>0</v>
      </c>
      <c r="L165" t="n">
        <v>0</v>
      </c>
      <c r="M165" t="n">
        <v>0</v>
      </c>
      <c r="N165" t="n">
        <v>0</v>
      </c>
      <c r="O165" t="n">
        <v>0</v>
      </c>
      <c r="P165" t="n">
        <v>0</v>
      </c>
      <c r="Q165" t="n">
        <v>1</v>
      </c>
      <c r="R165" s="2" t="inlineStr">
        <is>
          <t>Skogsduva</t>
        </is>
      </c>
      <c r="S165">
        <f>HYPERLINK("https://klasma.github.io/Logging_0980/artfynd/A 43219-2023 artfynd.xlsx", "A 43219-2023")</f>
        <v/>
      </c>
      <c r="T165">
        <f>HYPERLINK("https://klasma.github.io/Logging_0980/kartor/A 43219-2023 karta.png", "A 43219-2023")</f>
        <v/>
      </c>
      <c r="V165">
        <f>HYPERLINK("https://klasma.github.io/Logging_0980/klagomål/A 43219-2023 FSC-klagomål.docx", "A 43219-2023")</f>
        <v/>
      </c>
      <c r="W165">
        <f>HYPERLINK("https://klasma.github.io/Logging_0980/klagomålsmail/A 43219-2023 FSC-klagomål mail.docx", "A 43219-2023")</f>
        <v/>
      </c>
      <c r="X165">
        <f>HYPERLINK("https://klasma.github.io/Logging_0980/tillsyn/A 43219-2023 tillsynsbegäran.docx", "A 43219-2023")</f>
        <v/>
      </c>
      <c r="Y165">
        <f>HYPERLINK("https://klasma.github.io/Logging_0980/tillsynsmail/A 43219-2023 tillsynsbegäran mail.docx", "A 43219-2023")</f>
        <v/>
      </c>
      <c r="Z165">
        <f>HYPERLINK("https://klasma.github.io/Logging_0980/fåglar/A 43219-2023 prioriterade fågelarter.docx", "A 43219-2023")</f>
        <v/>
      </c>
    </row>
    <row r="166" ht="15" customHeight="1">
      <c r="A166" t="inlineStr">
        <is>
          <t>A 61561-2023</t>
        </is>
      </c>
      <c r="B166" s="1" t="n">
        <v>45265</v>
      </c>
      <c r="C166" s="1" t="n">
        <v>45883</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8725-2025</t>
        </is>
      </c>
      <c r="B167" s="1" t="n">
        <v>45712</v>
      </c>
      <c r="C167" s="1" t="n">
        <v>45883</v>
      </c>
      <c r="D167" t="inlineStr">
        <is>
          <t>GOTLANDS LÄN</t>
        </is>
      </c>
      <c r="E167" t="inlineStr">
        <is>
          <t>GOTLAND</t>
        </is>
      </c>
      <c r="G167" t="n">
        <v>4.4</v>
      </c>
      <c r="H167" t="n">
        <v>1</v>
      </c>
      <c r="I167" t="n">
        <v>0</v>
      </c>
      <c r="J167" t="n">
        <v>1</v>
      </c>
      <c r="K167" t="n">
        <v>0</v>
      </c>
      <c r="L167" t="n">
        <v>0</v>
      </c>
      <c r="M167" t="n">
        <v>0</v>
      </c>
      <c r="N167" t="n">
        <v>0</v>
      </c>
      <c r="O167" t="n">
        <v>1</v>
      </c>
      <c r="P167" t="n">
        <v>0</v>
      </c>
      <c r="Q167" t="n">
        <v>1</v>
      </c>
      <c r="R167" s="2" t="inlineStr">
        <is>
          <t>Spillkråka</t>
        </is>
      </c>
      <c r="S167">
        <f>HYPERLINK("https://klasma.github.io/Logging_0980/artfynd/A 8725-2025 artfynd.xlsx", "A 8725-2025")</f>
        <v/>
      </c>
      <c r="T167">
        <f>HYPERLINK("https://klasma.github.io/Logging_0980/kartor/A 8725-2025 karta.png", "A 8725-2025")</f>
        <v/>
      </c>
      <c r="V167">
        <f>HYPERLINK("https://klasma.github.io/Logging_0980/klagomål/A 8725-2025 FSC-klagomål.docx", "A 8725-2025")</f>
        <v/>
      </c>
      <c r="W167">
        <f>HYPERLINK("https://klasma.github.io/Logging_0980/klagomålsmail/A 8725-2025 FSC-klagomål mail.docx", "A 8725-2025")</f>
        <v/>
      </c>
      <c r="X167">
        <f>HYPERLINK("https://klasma.github.io/Logging_0980/tillsyn/A 8725-2025 tillsynsbegäran.docx", "A 8725-2025")</f>
        <v/>
      </c>
      <c r="Y167">
        <f>HYPERLINK("https://klasma.github.io/Logging_0980/tillsynsmail/A 8725-2025 tillsynsbegäran mail.docx", "A 8725-2025")</f>
        <v/>
      </c>
      <c r="Z167">
        <f>HYPERLINK("https://klasma.github.io/Logging_0980/fåglar/A 8725-2025 prioriterade fågelarter.docx", "A 8725-2025")</f>
        <v/>
      </c>
    </row>
    <row r="168" ht="15" customHeight="1">
      <c r="A168" t="inlineStr">
        <is>
          <t>A 34141-2024</t>
        </is>
      </c>
      <c r="B168" s="1" t="n">
        <v>45524.36229166666</v>
      </c>
      <c r="C168" s="1" t="n">
        <v>45883</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45883</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45883</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45883</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45883</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45883</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46019-2020</t>
        </is>
      </c>
      <c r="B174" s="1" t="n">
        <v>44091</v>
      </c>
      <c r="C174" s="1" t="n">
        <v>45883</v>
      </c>
      <c r="D174" t="inlineStr">
        <is>
          <t>GOTLANDS LÄN</t>
        </is>
      </c>
      <c r="E174" t="inlineStr">
        <is>
          <t>GOTLAND</t>
        </is>
      </c>
      <c r="G174" t="n">
        <v>1.8</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45883</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45883</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45883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45883</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45883</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45883</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45883</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45883</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45883</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45883</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45883</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45883</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45883</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45883</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45883</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45883</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45883</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45883</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45883</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45883</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45883</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45883</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45883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1229-2021</t>
        </is>
      </c>
      <c r="B214" s="1" t="n">
        <v>44208</v>
      </c>
      <c r="C214" s="1" t="n">
        <v>45883</v>
      </c>
      <c r="D214" t="inlineStr">
        <is>
          <t>GOTLANDS LÄN</t>
        </is>
      </c>
      <c r="E214" t="inlineStr">
        <is>
          <t>GOTLAND</t>
        </is>
      </c>
      <c r="G214" t="n">
        <v>5.3</v>
      </c>
      <c r="H214" t="n">
        <v>0</v>
      </c>
      <c r="I214" t="n">
        <v>0</v>
      </c>
      <c r="J214" t="n">
        <v>0</v>
      </c>
      <c r="K214" t="n">
        <v>0</v>
      </c>
      <c r="L214" t="n">
        <v>0</v>
      </c>
      <c r="M214" t="n">
        <v>0</v>
      </c>
      <c r="N214" t="n">
        <v>0</v>
      </c>
      <c r="O214" t="n">
        <v>0</v>
      </c>
      <c r="P214" t="n">
        <v>0</v>
      </c>
      <c r="Q214" t="n">
        <v>0</v>
      </c>
      <c r="R214" s="2" t="inlineStr"/>
    </row>
    <row r="215" ht="15" customHeight="1">
      <c r="A215" t="inlineStr">
        <is>
          <t>A 62120-2020</t>
        </is>
      </c>
      <c r="B215" s="1" t="n">
        <v>44158</v>
      </c>
      <c r="C215" s="1" t="n">
        <v>45883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3271-2021</t>
        </is>
      </c>
      <c r="B216" s="1" t="n">
        <v>44217</v>
      </c>
      <c r="C216" s="1" t="n">
        <v>45883</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45883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45883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45883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45883</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45883</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45883</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45883</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45883</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58815-2021</t>
        </is>
      </c>
      <c r="B225" s="1" t="n">
        <v>44489</v>
      </c>
      <c r="C225" s="1" t="n">
        <v>45883</v>
      </c>
      <c r="D225" t="inlineStr">
        <is>
          <t>GOTLANDS LÄN</t>
        </is>
      </c>
      <c r="E225" t="inlineStr">
        <is>
          <t>GOTLAND</t>
        </is>
      </c>
      <c r="G225" t="n">
        <v>4.1</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45883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45883</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45883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45883</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45883</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27930-2021</t>
        </is>
      </c>
      <c r="B231" s="1" t="n">
        <v>44354</v>
      </c>
      <c r="C231" s="1" t="n">
        <v>45883</v>
      </c>
      <c r="D231" t="inlineStr">
        <is>
          <t>GOTLANDS LÄN</t>
        </is>
      </c>
      <c r="E231" t="inlineStr">
        <is>
          <t>GOTLAND</t>
        </is>
      </c>
      <c r="G231" t="n">
        <v>2.5</v>
      </c>
      <c r="H231" t="n">
        <v>0</v>
      </c>
      <c r="I231" t="n">
        <v>0</v>
      </c>
      <c r="J231" t="n">
        <v>0</v>
      </c>
      <c r="K231" t="n">
        <v>0</v>
      </c>
      <c r="L231" t="n">
        <v>0</v>
      </c>
      <c r="M231" t="n">
        <v>0</v>
      </c>
      <c r="N231" t="n">
        <v>0</v>
      </c>
      <c r="O231" t="n">
        <v>0</v>
      </c>
      <c r="P231" t="n">
        <v>0</v>
      </c>
      <c r="Q231" t="n">
        <v>0</v>
      </c>
      <c r="R231" s="2" t="inlineStr"/>
    </row>
    <row r="232" ht="15" customHeight="1">
      <c r="A232" t="inlineStr">
        <is>
          <t>A 37569-2022</t>
        </is>
      </c>
      <c r="B232" s="1" t="n">
        <v>44809.68125</v>
      </c>
      <c r="C232" s="1" t="n">
        <v>45883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45883</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65393-2021</t>
        </is>
      </c>
      <c r="B234" s="1" t="n">
        <v>44515</v>
      </c>
      <c r="C234" s="1" t="n">
        <v>45883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61962-2024</t>
        </is>
      </c>
      <c r="B235" s="1" t="n">
        <v>45653.54340277778</v>
      </c>
      <c r="C235" s="1" t="n">
        <v>45883</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61964-2024</t>
        </is>
      </c>
      <c r="B236" s="1" t="n">
        <v>45653.54789351852</v>
      </c>
      <c r="C236" s="1" t="n">
        <v>45883</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10492-2023</t>
        </is>
      </c>
      <c r="B237" s="1" t="n">
        <v>44987</v>
      </c>
      <c r="C237" s="1" t="n">
        <v>45883</v>
      </c>
      <c r="D237" t="inlineStr">
        <is>
          <t>GOTLANDS LÄN</t>
        </is>
      </c>
      <c r="E237" t="inlineStr">
        <is>
          <t>GOTLAND</t>
        </is>
      </c>
      <c r="G237" t="n">
        <v>1</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45883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45883</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23910-2021</t>
        </is>
      </c>
      <c r="B240" s="1" t="n">
        <v>44335</v>
      </c>
      <c r="C240" s="1" t="n">
        <v>45883</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5909-2025</t>
        </is>
      </c>
      <c r="B241" s="1" t="n">
        <v>45695.40634259259</v>
      </c>
      <c r="C241" s="1" t="n">
        <v>45883</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10653-2023</t>
        </is>
      </c>
      <c r="B242" s="1" t="n">
        <v>44988.48859953704</v>
      </c>
      <c r="C242" s="1" t="n">
        <v>45883</v>
      </c>
      <c r="D242" t="inlineStr">
        <is>
          <t>GOTLANDS LÄN</t>
        </is>
      </c>
      <c r="E242" t="inlineStr">
        <is>
          <t>GOTLAND</t>
        </is>
      </c>
      <c r="F242" t="inlineStr">
        <is>
          <t>Kyrkan</t>
        </is>
      </c>
      <c r="G242" t="n">
        <v>3</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45883</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6108-2025</t>
        </is>
      </c>
      <c r="B244" s="1" t="n">
        <v>45698.29880787037</v>
      </c>
      <c r="C244" s="1" t="n">
        <v>45883</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8701-2025</t>
        </is>
      </c>
      <c r="B245" s="1" t="n">
        <v>45712</v>
      </c>
      <c r="C245" s="1" t="n">
        <v>45883</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15001-2025</t>
        </is>
      </c>
      <c r="B246" s="1" t="n">
        <v>45743</v>
      </c>
      <c r="C246" s="1" t="n">
        <v>45883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4990-2025</t>
        </is>
      </c>
      <c r="B247" s="1" t="n">
        <v>45691</v>
      </c>
      <c r="C247" s="1" t="n">
        <v>45883</v>
      </c>
      <c r="D247" t="inlineStr">
        <is>
          <t>GOTLANDS LÄN</t>
        </is>
      </c>
      <c r="E247" t="inlineStr">
        <is>
          <t>GOTLAND</t>
        </is>
      </c>
      <c r="G247" t="n">
        <v>7.7</v>
      </c>
      <c r="H247" t="n">
        <v>0</v>
      </c>
      <c r="I247" t="n">
        <v>0</v>
      </c>
      <c r="J247" t="n">
        <v>0</v>
      </c>
      <c r="K247" t="n">
        <v>0</v>
      </c>
      <c r="L247" t="n">
        <v>0</v>
      </c>
      <c r="M247" t="n">
        <v>0</v>
      </c>
      <c r="N247" t="n">
        <v>0</v>
      </c>
      <c r="O247" t="n">
        <v>0</v>
      </c>
      <c r="P247" t="n">
        <v>0</v>
      </c>
      <c r="Q247" t="n">
        <v>0</v>
      </c>
      <c r="R247" s="2" t="inlineStr"/>
    </row>
    <row r="248" ht="15" customHeight="1">
      <c r="A248" t="inlineStr">
        <is>
          <t>A 17354-2022</t>
        </is>
      </c>
      <c r="B248" s="1" t="n">
        <v>44678</v>
      </c>
      <c r="C248" s="1" t="n">
        <v>45883</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45883</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9613-2025</t>
        </is>
      </c>
      <c r="B250" s="1" t="n">
        <v>45715</v>
      </c>
      <c r="C250" s="1" t="n">
        <v>45883</v>
      </c>
      <c r="D250" t="inlineStr">
        <is>
          <t>GOTLANDS LÄN</t>
        </is>
      </c>
      <c r="E250" t="inlineStr">
        <is>
          <t>GOTLAND</t>
        </is>
      </c>
      <c r="G250" t="n">
        <v>3.5</v>
      </c>
      <c r="H250" t="n">
        <v>0</v>
      </c>
      <c r="I250" t="n">
        <v>0</v>
      </c>
      <c r="J250" t="n">
        <v>0</v>
      </c>
      <c r="K250" t="n">
        <v>0</v>
      </c>
      <c r="L250" t="n">
        <v>0</v>
      </c>
      <c r="M250" t="n">
        <v>0</v>
      </c>
      <c r="N250" t="n">
        <v>0</v>
      </c>
      <c r="O250" t="n">
        <v>0</v>
      </c>
      <c r="P250" t="n">
        <v>0</v>
      </c>
      <c r="Q250" t="n">
        <v>0</v>
      </c>
      <c r="R250" s="2" t="inlineStr"/>
    </row>
    <row r="251" ht="15" customHeight="1">
      <c r="A251" t="inlineStr">
        <is>
          <t>A 22495-2022</t>
        </is>
      </c>
      <c r="B251" s="1" t="n">
        <v>44713.6452199074</v>
      </c>
      <c r="C251" s="1" t="n">
        <v>45883</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15595-2024</t>
        </is>
      </c>
      <c r="B252" s="1" t="n">
        <v>45401.81480324074</v>
      </c>
      <c r="C252" s="1" t="n">
        <v>45883</v>
      </c>
      <c r="D252" t="inlineStr">
        <is>
          <t>GOTLANDS LÄN</t>
        </is>
      </c>
      <c r="E252" t="inlineStr">
        <is>
          <t>GOTLAND</t>
        </is>
      </c>
      <c r="G252" t="n">
        <v>6.4</v>
      </c>
      <c r="H252" t="n">
        <v>0</v>
      </c>
      <c r="I252" t="n">
        <v>0</v>
      </c>
      <c r="J252" t="n">
        <v>0</v>
      </c>
      <c r="K252" t="n">
        <v>0</v>
      </c>
      <c r="L252" t="n">
        <v>0</v>
      </c>
      <c r="M252" t="n">
        <v>0</v>
      </c>
      <c r="N252" t="n">
        <v>0</v>
      </c>
      <c r="O252" t="n">
        <v>0</v>
      </c>
      <c r="P252" t="n">
        <v>0</v>
      </c>
      <c r="Q252" t="n">
        <v>0</v>
      </c>
      <c r="R252" s="2" t="inlineStr"/>
    </row>
    <row r="253" ht="15" customHeight="1">
      <c r="A253" t="inlineStr">
        <is>
          <t>A 43081-2022</t>
        </is>
      </c>
      <c r="B253" s="1" t="n">
        <v>44833</v>
      </c>
      <c r="C253" s="1" t="n">
        <v>45883</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5751-2024</t>
        </is>
      </c>
      <c r="B254" s="1" t="n">
        <v>45335.32702546296</v>
      </c>
      <c r="C254" s="1" t="n">
        <v>45883</v>
      </c>
      <c r="D254" t="inlineStr">
        <is>
          <t>GOTLANDS LÄN</t>
        </is>
      </c>
      <c r="E254" t="inlineStr">
        <is>
          <t>GOTLAND</t>
        </is>
      </c>
      <c r="G254" t="n">
        <v>4.2</v>
      </c>
      <c r="H254" t="n">
        <v>0</v>
      </c>
      <c r="I254" t="n">
        <v>0</v>
      </c>
      <c r="J254" t="n">
        <v>0</v>
      </c>
      <c r="K254" t="n">
        <v>0</v>
      </c>
      <c r="L254" t="n">
        <v>0</v>
      </c>
      <c r="M254" t="n">
        <v>0</v>
      </c>
      <c r="N254" t="n">
        <v>0</v>
      </c>
      <c r="O254" t="n">
        <v>0</v>
      </c>
      <c r="P254" t="n">
        <v>0</v>
      </c>
      <c r="Q254" t="n">
        <v>0</v>
      </c>
      <c r="R254" s="2" t="inlineStr"/>
    </row>
    <row r="255" ht="15" customHeight="1">
      <c r="A255" t="inlineStr">
        <is>
          <t>A 32958-2021</t>
        </is>
      </c>
      <c r="B255" s="1" t="n">
        <v>44376</v>
      </c>
      <c r="C255" s="1" t="n">
        <v>45883</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5884-2025</t>
        </is>
      </c>
      <c r="B256" s="1" t="n">
        <v>45695.37482638889</v>
      </c>
      <c r="C256" s="1" t="n">
        <v>45883</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5897-2025</t>
        </is>
      </c>
      <c r="B257" s="1" t="n">
        <v>45695.39273148148</v>
      </c>
      <c r="C257" s="1" t="n">
        <v>45883</v>
      </c>
      <c r="D257" t="inlineStr">
        <is>
          <t>GOTLANDS LÄN</t>
        </is>
      </c>
      <c r="E257" t="inlineStr">
        <is>
          <t>GOTLAND</t>
        </is>
      </c>
      <c r="G257" t="n">
        <v>3.7</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45883</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45883</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26810-2021</t>
        </is>
      </c>
      <c r="B260" s="1" t="n">
        <v>44349.55087962963</v>
      </c>
      <c r="C260" s="1" t="n">
        <v>45883</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55334-2024</t>
        </is>
      </c>
      <c r="B261" s="1" t="n">
        <v>45621</v>
      </c>
      <c r="C261" s="1" t="n">
        <v>45883</v>
      </c>
      <c r="D261" t="inlineStr">
        <is>
          <t>GOTLANDS LÄN</t>
        </is>
      </c>
      <c r="E261" t="inlineStr">
        <is>
          <t>GOTLAND</t>
        </is>
      </c>
      <c r="G261" t="n">
        <v>21.7</v>
      </c>
      <c r="H261" t="n">
        <v>0</v>
      </c>
      <c r="I261" t="n">
        <v>0</v>
      </c>
      <c r="J261" t="n">
        <v>0</v>
      </c>
      <c r="K261" t="n">
        <v>0</v>
      </c>
      <c r="L261" t="n">
        <v>0</v>
      </c>
      <c r="M261" t="n">
        <v>0</v>
      </c>
      <c r="N261" t="n">
        <v>0</v>
      </c>
      <c r="O261" t="n">
        <v>0</v>
      </c>
      <c r="P261" t="n">
        <v>0</v>
      </c>
      <c r="Q261" t="n">
        <v>0</v>
      </c>
      <c r="R261" s="2" t="inlineStr"/>
    </row>
    <row r="262" ht="15" customHeight="1">
      <c r="A262" t="inlineStr">
        <is>
          <t>A 24966-2023</t>
        </is>
      </c>
      <c r="B262" s="1" t="n">
        <v>45085</v>
      </c>
      <c r="C262" s="1" t="n">
        <v>45883</v>
      </c>
      <c r="D262" t="inlineStr">
        <is>
          <t>GOTLANDS LÄN</t>
        </is>
      </c>
      <c r="E262" t="inlineStr">
        <is>
          <t>GOTLAND</t>
        </is>
      </c>
      <c r="G262" t="n">
        <v>7</v>
      </c>
      <c r="H262" t="n">
        <v>0</v>
      </c>
      <c r="I262" t="n">
        <v>0</v>
      </c>
      <c r="J262" t="n">
        <v>0</v>
      </c>
      <c r="K262" t="n">
        <v>0</v>
      </c>
      <c r="L262" t="n">
        <v>0</v>
      </c>
      <c r="M262" t="n">
        <v>0</v>
      </c>
      <c r="N262" t="n">
        <v>0</v>
      </c>
      <c r="O262" t="n">
        <v>0</v>
      </c>
      <c r="P262" t="n">
        <v>0</v>
      </c>
      <c r="Q262" t="n">
        <v>0</v>
      </c>
      <c r="R262" s="2" t="inlineStr"/>
    </row>
    <row r="263" ht="15" customHeight="1">
      <c r="A263" t="inlineStr">
        <is>
          <t>A 17901-2023</t>
        </is>
      </c>
      <c r="B263" s="1" t="n">
        <v>45039</v>
      </c>
      <c r="C263" s="1" t="n">
        <v>45883</v>
      </c>
      <c r="D263" t="inlineStr">
        <is>
          <t>GOTLANDS LÄN</t>
        </is>
      </c>
      <c r="E263" t="inlineStr">
        <is>
          <t>GOTLAND</t>
        </is>
      </c>
      <c r="F263" t="inlineStr">
        <is>
          <t>Kyrkan</t>
        </is>
      </c>
      <c r="G263" t="n">
        <v>0.6</v>
      </c>
      <c r="H263" t="n">
        <v>0</v>
      </c>
      <c r="I263" t="n">
        <v>0</v>
      </c>
      <c r="J263" t="n">
        <v>0</v>
      </c>
      <c r="K263" t="n">
        <v>0</v>
      </c>
      <c r="L263" t="n">
        <v>0</v>
      </c>
      <c r="M263" t="n">
        <v>0</v>
      </c>
      <c r="N263" t="n">
        <v>0</v>
      </c>
      <c r="O263" t="n">
        <v>0</v>
      </c>
      <c r="P263" t="n">
        <v>0</v>
      </c>
      <c r="Q263" t="n">
        <v>0</v>
      </c>
      <c r="R263" s="2" t="inlineStr"/>
    </row>
    <row r="264" ht="15" customHeight="1">
      <c r="A264" t="inlineStr">
        <is>
          <t>A 46189-2022</t>
        </is>
      </c>
      <c r="B264" s="1" t="n">
        <v>44847</v>
      </c>
      <c r="C264" s="1" t="n">
        <v>45883</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5923-2023</t>
        </is>
      </c>
      <c r="B265" s="1" t="n">
        <v>44963.69503472222</v>
      </c>
      <c r="C265" s="1" t="n">
        <v>45883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33853-2024</t>
        </is>
      </c>
      <c r="B266" s="1" t="n">
        <v>45520.64298611111</v>
      </c>
      <c r="C266" s="1" t="n">
        <v>45883</v>
      </c>
      <c r="D266" t="inlineStr">
        <is>
          <t>GOTLANDS LÄN</t>
        </is>
      </c>
      <c r="E266" t="inlineStr">
        <is>
          <t>GOTLAND</t>
        </is>
      </c>
      <c r="G266" t="n">
        <v>3.9</v>
      </c>
      <c r="H266" t="n">
        <v>0</v>
      </c>
      <c r="I266" t="n">
        <v>0</v>
      </c>
      <c r="J266" t="n">
        <v>0</v>
      </c>
      <c r="K266" t="n">
        <v>0</v>
      </c>
      <c r="L266" t="n">
        <v>0</v>
      </c>
      <c r="M266" t="n">
        <v>0</v>
      </c>
      <c r="N266" t="n">
        <v>0</v>
      </c>
      <c r="O266" t="n">
        <v>0</v>
      </c>
      <c r="P266" t="n">
        <v>0</v>
      </c>
      <c r="Q266" t="n">
        <v>0</v>
      </c>
      <c r="R266" s="2" t="inlineStr"/>
    </row>
    <row r="267" ht="15" customHeight="1">
      <c r="A267" t="inlineStr">
        <is>
          <t>A 18918-2025</t>
        </is>
      </c>
      <c r="B267" s="1" t="n">
        <v>45764</v>
      </c>
      <c r="C267" s="1" t="n">
        <v>45883</v>
      </c>
      <c r="D267" t="inlineStr">
        <is>
          <t>GOTLANDS LÄN</t>
        </is>
      </c>
      <c r="E267" t="inlineStr">
        <is>
          <t>GOTLAND</t>
        </is>
      </c>
      <c r="G267" t="n">
        <v>1.7</v>
      </c>
      <c r="H267" t="n">
        <v>0</v>
      </c>
      <c r="I267" t="n">
        <v>0</v>
      </c>
      <c r="J267" t="n">
        <v>0</v>
      </c>
      <c r="K267" t="n">
        <v>0</v>
      </c>
      <c r="L267" t="n">
        <v>0</v>
      </c>
      <c r="M267" t="n">
        <v>0</v>
      </c>
      <c r="N267" t="n">
        <v>0</v>
      </c>
      <c r="O267" t="n">
        <v>0</v>
      </c>
      <c r="P267" t="n">
        <v>0</v>
      </c>
      <c r="Q267" t="n">
        <v>0</v>
      </c>
      <c r="R267" s="2" t="inlineStr"/>
    </row>
    <row r="268" ht="15" customHeight="1">
      <c r="A268" t="inlineStr">
        <is>
          <t>A 2674-2023</t>
        </is>
      </c>
      <c r="B268" s="1" t="n">
        <v>44944</v>
      </c>
      <c r="C268" s="1" t="n">
        <v>45883</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52892-2021</t>
        </is>
      </c>
      <c r="B269" s="1" t="n">
        <v>44467.49048611111</v>
      </c>
      <c r="C269" s="1" t="n">
        <v>45883</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10655-2023</t>
        </is>
      </c>
      <c r="B270" s="1" t="n">
        <v>44988.49543981482</v>
      </c>
      <c r="C270" s="1" t="n">
        <v>45883</v>
      </c>
      <c r="D270" t="inlineStr">
        <is>
          <t>GOTLANDS LÄN</t>
        </is>
      </c>
      <c r="E270" t="inlineStr">
        <is>
          <t>GOTLAND</t>
        </is>
      </c>
      <c r="F270" t="inlineStr">
        <is>
          <t>Kyrkan</t>
        </is>
      </c>
      <c r="G270" t="n">
        <v>2</v>
      </c>
      <c r="H270" t="n">
        <v>0</v>
      </c>
      <c r="I270" t="n">
        <v>0</v>
      </c>
      <c r="J270" t="n">
        <v>0</v>
      </c>
      <c r="K270" t="n">
        <v>0</v>
      </c>
      <c r="L270" t="n">
        <v>0</v>
      </c>
      <c r="M270" t="n">
        <v>0</v>
      </c>
      <c r="N270" t="n">
        <v>0</v>
      </c>
      <c r="O270" t="n">
        <v>0</v>
      </c>
      <c r="P270" t="n">
        <v>0</v>
      </c>
      <c r="Q270" t="n">
        <v>0</v>
      </c>
      <c r="R270" s="2" t="inlineStr"/>
    </row>
    <row r="271" ht="15" customHeight="1">
      <c r="A271" t="inlineStr">
        <is>
          <t>A 1713-2025</t>
        </is>
      </c>
      <c r="B271" s="1" t="n">
        <v>45671.32342592593</v>
      </c>
      <c r="C271" s="1" t="n">
        <v>45883</v>
      </c>
      <c r="D271" t="inlineStr">
        <is>
          <t>GOTLANDS LÄN</t>
        </is>
      </c>
      <c r="E271" t="inlineStr">
        <is>
          <t>GOTLAND</t>
        </is>
      </c>
      <c r="G271" t="n">
        <v>10.1</v>
      </c>
      <c r="H271" t="n">
        <v>0</v>
      </c>
      <c r="I271" t="n">
        <v>0</v>
      </c>
      <c r="J271" t="n">
        <v>0</v>
      </c>
      <c r="K271" t="n">
        <v>0</v>
      </c>
      <c r="L271" t="n">
        <v>0</v>
      </c>
      <c r="M271" t="n">
        <v>0</v>
      </c>
      <c r="N271" t="n">
        <v>0</v>
      </c>
      <c r="O271" t="n">
        <v>0</v>
      </c>
      <c r="P271" t="n">
        <v>0</v>
      </c>
      <c r="Q271" t="n">
        <v>0</v>
      </c>
      <c r="R271" s="2" t="inlineStr"/>
    </row>
    <row r="272" ht="15" customHeight="1">
      <c r="A272" t="inlineStr">
        <is>
          <t>A 46396-2023</t>
        </is>
      </c>
      <c r="B272" s="1" t="n">
        <v>45197</v>
      </c>
      <c r="C272" s="1" t="n">
        <v>45883</v>
      </c>
      <c r="D272" t="inlineStr">
        <is>
          <t>GOTLANDS LÄN</t>
        </is>
      </c>
      <c r="E272" t="inlineStr">
        <is>
          <t>GOTLAND</t>
        </is>
      </c>
      <c r="G272" t="n">
        <v>1.4</v>
      </c>
      <c r="H272" t="n">
        <v>0</v>
      </c>
      <c r="I272" t="n">
        <v>0</v>
      </c>
      <c r="J272" t="n">
        <v>0</v>
      </c>
      <c r="K272" t="n">
        <v>0</v>
      </c>
      <c r="L272" t="n">
        <v>0</v>
      </c>
      <c r="M272" t="n">
        <v>0</v>
      </c>
      <c r="N272" t="n">
        <v>0</v>
      </c>
      <c r="O272" t="n">
        <v>0</v>
      </c>
      <c r="P272" t="n">
        <v>0</v>
      </c>
      <c r="Q272" t="n">
        <v>0</v>
      </c>
      <c r="R272" s="2" t="inlineStr"/>
    </row>
    <row r="273" ht="15" customHeight="1">
      <c r="A273" t="inlineStr">
        <is>
          <t>A 2719-2023</t>
        </is>
      </c>
      <c r="B273" s="1" t="n">
        <v>44944.55361111111</v>
      </c>
      <c r="C273" s="1" t="n">
        <v>45883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26891-2024</t>
        </is>
      </c>
      <c r="B274" s="1" t="n">
        <v>45470.65540509259</v>
      </c>
      <c r="C274" s="1" t="n">
        <v>45883</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22031-2024</t>
        </is>
      </c>
      <c r="B275" s="1" t="n">
        <v>45443.60075231481</v>
      </c>
      <c r="C275" s="1" t="n">
        <v>45883</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44204-2022</t>
        </is>
      </c>
      <c r="B276" s="1" t="n">
        <v>44839</v>
      </c>
      <c r="C276" s="1" t="n">
        <v>45883</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42007-2023</t>
        </is>
      </c>
      <c r="B277" s="1" t="n">
        <v>45177</v>
      </c>
      <c r="C277" s="1" t="n">
        <v>45883</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49314-2024</t>
        </is>
      </c>
      <c r="B278" s="1" t="n">
        <v>45595.55893518519</v>
      </c>
      <c r="C278" s="1" t="n">
        <v>45883</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9887-2025</t>
        </is>
      </c>
      <c r="B279" s="1" t="n">
        <v>45716</v>
      </c>
      <c r="C279" s="1" t="n">
        <v>45883</v>
      </c>
      <c r="D279" t="inlineStr">
        <is>
          <t>GOTLANDS LÄN</t>
        </is>
      </c>
      <c r="E279" t="inlineStr">
        <is>
          <t>GOTLAND</t>
        </is>
      </c>
      <c r="G279" t="n">
        <v>7.5</v>
      </c>
      <c r="H279" t="n">
        <v>0</v>
      </c>
      <c r="I279" t="n">
        <v>0</v>
      </c>
      <c r="J279" t="n">
        <v>0</v>
      </c>
      <c r="K279" t="n">
        <v>0</v>
      </c>
      <c r="L279" t="n">
        <v>0</v>
      </c>
      <c r="M279" t="n">
        <v>0</v>
      </c>
      <c r="N279" t="n">
        <v>0</v>
      </c>
      <c r="O279" t="n">
        <v>0</v>
      </c>
      <c r="P279" t="n">
        <v>0</v>
      </c>
      <c r="Q279" t="n">
        <v>0</v>
      </c>
      <c r="R279" s="2" t="inlineStr"/>
    </row>
    <row r="280" ht="15" customHeight="1">
      <c r="A280" t="inlineStr">
        <is>
          <t>A 44919-2022</t>
        </is>
      </c>
      <c r="B280" s="1" t="n">
        <v>44841</v>
      </c>
      <c r="C280" s="1" t="n">
        <v>45883</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17724-2024</t>
        </is>
      </c>
      <c r="B281" s="1" t="n">
        <v>45418.55096064815</v>
      </c>
      <c r="C281" s="1" t="n">
        <v>45883</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34312-2024</t>
        </is>
      </c>
      <c r="B282" s="1" t="n">
        <v>45524.69703703704</v>
      </c>
      <c r="C282" s="1" t="n">
        <v>45883</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48503-2023</t>
        </is>
      </c>
      <c r="B283" s="1" t="n">
        <v>45207</v>
      </c>
      <c r="C283" s="1" t="n">
        <v>45883</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38165-2023</t>
        </is>
      </c>
      <c r="B284" s="1" t="n">
        <v>45161</v>
      </c>
      <c r="C284" s="1" t="n">
        <v>45883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65901-2021</t>
        </is>
      </c>
      <c r="B285" s="1" t="n">
        <v>44516</v>
      </c>
      <c r="C285" s="1" t="n">
        <v>45883</v>
      </c>
      <c r="D285" t="inlineStr">
        <is>
          <t>GOTLANDS LÄN</t>
        </is>
      </c>
      <c r="E285" t="inlineStr">
        <is>
          <t>GOTLAND</t>
        </is>
      </c>
      <c r="G285" t="n">
        <v>4.9</v>
      </c>
      <c r="H285" t="n">
        <v>0</v>
      </c>
      <c r="I285" t="n">
        <v>0</v>
      </c>
      <c r="J285" t="n">
        <v>0</v>
      </c>
      <c r="K285" t="n">
        <v>0</v>
      </c>
      <c r="L285" t="n">
        <v>0</v>
      </c>
      <c r="M285" t="n">
        <v>0</v>
      </c>
      <c r="N285" t="n">
        <v>0</v>
      </c>
      <c r="O285" t="n">
        <v>0</v>
      </c>
      <c r="P285" t="n">
        <v>0</v>
      </c>
      <c r="Q285" t="n">
        <v>0</v>
      </c>
      <c r="R285" s="2" t="inlineStr"/>
    </row>
    <row r="286" ht="15" customHeight="1">
      <c r="A286" t="inlineStr">
        <is>
          <t>A 15216-2025</t>
        </is>
      </c>
      <c r="B286" s="1" t="n">
        <v>45744</v>
      </c>
      <c r="C286" s="1" t="n">
        <v>45883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6153-2024</t>
        </is>
      </c>
      <c r="B287" s="1" t="n">
        <v>45337</v>
      </c>
      <c r="C287" s="1" t="n">
        <v>45883</v>
      </c>
      <c r="D287" t="inlineStr">
        <is>
          <t>GOTLANDS LÄN</t>
        </is>
      </c>
      <c r="E287" t="inlineStr">
        <is>
          <t>GOTLAND</t>
        </is>
      </c>
      <c r="G287" t="n">
        <v>14.2</v>
      </c>
      <c r="H287" t="n">
        <v>0</v>
      </c>
      <c r="I287" t="n">
        <v>0</v>
      </c>
      <c r="J287" t="n">
        <v>0</v>
      </c>
      <c r="K287" t="n">
        <v>0</v>
      </c>
      <c r="L287" t="n">
        <v>0</v>
      </c>
      <c r="M287" t="n">
        <v>0</v>
      </c>
      <c r="N287" t="n">
        <v>0</v>
      </c>
      <c r="O287" t="n">
        <v>0</v>
      </c>
      <c r="P287" t="n">
        <v>0</v>
      </c>
      <c r="Q287" t="n">
        <v>0</v>
      </c>
      <c r="R287" s="2" t="inlineStr"/>
    </row>
    <row r="288" ht="15" customHeight="1">
      <c r="A288" t="inlineStr">
        <is>
          <t>A 44649-2021</t>
        </is>
      </c>
      <c r="B288" s="1" t="n">
        <v>44437</v>
      </c>
      <c r="C288" s="1" t="n">
        <v>45883</v>
      </c>
      <c r="D288" t="inlineStr">
        <is>
          <t>GOTLANDS LÄN</t>
        </is>
      </c>
      <c r="E288" t="inlineStr">
        <is>
          <t>GOTLAND</t>
        </is>
      </c>
      <c r="G288" t="n">
        <v>8.1</v>
      </c>
      <c r="H288" t="n">
        <v>0</v>
      </c>
      <c r="I288" t="n">
        <v>0</v>
      </c>
      <c r="J288" t="n">
        <v>0</v>
      </c>
      <c r="K288" t="n">
        <v>0</v>
      </c>
      <c r="L288" t="n">
        <v>0</v>
      </c>
      <c r="M288" t="n">
        <v>0</v>
      </c>
      <c r="N288" t="n">
        <v>0</v>
      </c>
      <c r="O288" t="n">
        <v>0</v>
      </c>
      <c r="P288" t="n">
        <v>0</v>
      </c>
      <c r="Q288" t="n">
        <v>0</v>
      </c>
      <c r="R288" s="2" t="inlineStr"/>
    </row>
    <row r="289" ht="15" customHeight="1">
      <c r="A289" t="inlineStr">
        <is>
          <t>A 69112-2021</t>
        </is>
      </c>
      <c r="B289" s="1" t="n">
        <v>44530</v>
      </c>
      <c r="C289" s="1" t="n">
        <v>45883</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45883</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27596-2023</t>
        </is>
      </c>
      <c r="B291" s="1" t="n">
        <v>45097</v>
      </c>
      <c r="C291" s="1" t="n">
        <v>45883</v>
      </c>
      <c r="D291" t="inlineStr">
        <is>
          <t>GOTLANDS LÄN</t>
        </is>
      </c>
      <c r="E291" t="inlineStr">
        <is>
          <t>GOTLAND</t>
        </is>
      </c>
      <c r="G291" t="n">
        <v>3.6</v>
      </c>
      <c r="H291" t="n">
        <v>0</v>
      </c>
      <c r="I291" t="n">
        <v>0</v>
      </c>
      <c r="J291" t="n">
        <v>0</v>
      </c>
      <c r="K291" t="n">
        <v>0</v>
      </c>
      <c r="L291" t="n">
        <v>0</v>
      </c>
      <c r="M291" t="n">
        <v>0</v>
      </c>
      <c r="N291" t="n">
        <v>0</v>
      </c>
      <c r="O291" t="n">
        <v>0</v>
      </c>
      <c r="P291" t="n">
        <v>0</v>
      </c>
      <c r="Q291" t="n">
        <v>0</v>
      </c>
      <c r="R291" s="2" t="inlineStr"/>
    </row>
    <row r="292" ht="15" customHeight="1">
      <c r="A292" t="inlineStr">
        <is>
          <t>A 44304-2021</t>
        </is>
      </c>
      <c r="B292" s="1" t="n">
        <v>44434</v>
      </c>
      <c r="C292" s="1" t="n">
        <v>45883</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24825-2024</t>
        </is>
      </c>
      <c r="B293" s="1" t="n">
        <v>45461</v>
      </c>
      <c r="C293" s="1" t="n">
        <v>45883</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7638-2025</t>
        </is>
      </c>
      <c r="B294" s="1" t="n">
        <v>45705.77306712963</v>
      </c>
      <c r="C294" s="1" t="n">
        <v>45883</v>
      </c>
      <c r="D294" t="inlineStr">
        <is>
          <t>GOTLANDS LÄN</t>
        </is>
      </c>
      <c r="E294" t="inlineStr">
        <is>
          <t>GOTLAND</t>
        </is>
      </c>
      <c r="G294" t="n">
        <v>2.2</v>
      </c>
      <c r="H294" t="n">
        <v>0</v>
      </c>
      <c r="I294" t="n">
        <v>0</v>
      </c>
      <c r="J294" t="n">
        <v>0</v>
      </c>
      <c r="K294" t="n">
        <v>0</v>
      </c>
      <c r="L294" t="n">
        <v>0</v>
      </c>
      <c r="M294" t="n">
        <v>0</v>
      </c>
      <c r="N294" t="n">
        <v>0</v>
      </c>
      <c r="O294" t="n">
        <v>0</v>
      </c>
      <c r="P294" t="n">
        <v>0</v>
      </c>
      <c r="Q294" t="n">
        <v>0</v>
      </c>
      <c r="R294" s="2" t="inlineStr"/>
    </row>
    <row r="295" ht="15" customHeight="1">
      <c r="A295" t="inlineStr">
        <is>
          <t>A 6696-2023</t>
        </is>
      </c>
      <c r="B295" s="1" t="n">
        <v>44966.66425925926</v>
      </c>
      <c r="C295" s="1" t="n">
        <v>45883</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50482-2024</t>
        </is>
      </c>
      <c r="B296" s="1" t="n">
        <v>45601.48114583334</v>
      </c>
      <c r="C296" s="1" t="n">
        <v>45883</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45883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1394-2023</t>
        </is>
      </c>
      <c r="B298" s="1" t="n">
        <v>44936.72997685185</v>
      </c>
      <c r="C298" s="1" t="n">
        <v>45883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45883</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32669-2024</t>
        </is>
      </c>
      <c r="B300" s="1" t="n">
        <v>45514</v>
      </c>
      <c r="C300" s="1" t="n">
        <v>45883</v>
      </c>
      <c r="D300" t="inlineStr">
        <is>
          <t>GOTLANDS LÄN</t>
        </is>
      </c>
      <c r="E300" t="inlineStr">
        <is>
          <t>GOTLAND</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58230-2024</t>
        </is>
      </c>
      <c r="B301" s="1" t="n">
        <v>45632.51625</v>
      </c>
      <c r="C301" s="1" t="n">
        <v>45883</v>
      </c>
      <c r="D301" t="inlineStr">
        <is>
          <t>GOTLANDS LÄN</t>
        </is>
      </c>
      <c r="E301" t="inlineStr">
        <is>
          <t>GOTLAND</t>
        </is>
      </c>
      <c r="G301" t="n">
        <v>7.3</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45883</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1462-2025</t>
        </is>
      </c>
      <c r="B303" s="1" t="n">
        <v>45670.36319444444</v>
      </c>
      <c r="C303" s="1" t="n">
        <v>45883</v>
      </c>
      <c r="D303" t="inlineStr">
        <is>
          <t>GOTLANDS LÄN</t>
        </is>
      </c>
      <c r="E303" t="inlineStr">
        <is>
          <t>GOTLAND</t>
        </is>
      </c>
      <c r="G303" t="n">
        <v>2.8</v>
      </c>
      <c r="H303" t="n">
        <v>0</v>
      </c>
      <c r="I303" t="n">
        <v>0</v>
      </c>
      <c r="J303" t="n">
        <v>0</v>
      </c>
      <c r="K303" t="n">
        <v>0</v>
      </c>
      <c r="L303" t="n">
        <v>0</v>
      </c>
      <c r="M303" t="n">
        <v>0</v>
      </c>
      <c r="N303" t="n">
        <v>0</v>
      </c>
      <c r="O303" t="n">
        <v>0</v>
      </c>
      <c r="P303" t="n">
        <v>0</v>
      </c>
      <c r="Q303" t="n">
        <v>0</v>
      </c>
      <c r="R303" s="2" t="inlineStr"/>
    </row>
    <row r="304" ht="15" customHeight="1">
      <c r="A304" t="inlineStr">
        <is>
          <t>A 21247-2022</t>
        </is>
      </c>
      <c r="B304" s="1" t="n">
        <v>44705.38832175926</v>
      </c>
      <c r="C304" s="1" t="n">
        <v>45883</v>
      </c>
      <c r="D304" t="inlineStr">
        <is>
          <t>GOTLANDS LÄN</t>
        </is>
      </c>
      <c r="E304" t="inlineStr">
        <is>
          <t>GOTLAND</t>
        </is>
      </c>
      <c r="G304" t="n">
        <v>16.2</v>
      </c>
      <c r="H304" t="n">
        <v>0</v>
      </c>
      <c r="I304" t="n">
        <v>0</v>
      </c>
      <c r="J304" t="n">
        <v>0</v>
      </c>
      <c r="K304" t="n">
        <v>0</v>
      </c>
      <c r="L304" t="n">
        <v>0</v>
      </c>
      <c r="M304" t="n">
        <v>0</v>
      </c>
      <c r="N304" t="n">
        <v>0</v>
      </c>
      <c r="O304" t="n">
        <v>0</v>
      </c>
      <c r="P304" t="n">
        <v>0</v>
      </c>
      <c r="Q304" t="n">
        <v>0</v>
      </c>
      <c r="R304" s="2" t="inlineStr"/>
    </row>
    <row r="305" ht="15" customHeight="1">
      <c r="A305" t="inlineStr">
        <is>
          <t>A 456-2023</t>
        </is>
      </c>
      <c r="B305" s="1" t="n">
        <v>44929.87122685185</v>
      </c>
      <c r="C305" s="1" t="n">
        <v>45883</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2714-2023</t>
        </is>
      </c>
      <c r="B306" s="1" t="n">
        <v>44944.54896990741</v>
      </c>
      <c r="C306" s="1" t="n">
        <v>45883</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25129-2023</t>
        </is>
      </c>
      <c r="B307" s="1" t="n">
        <v>45086.44261574074</v>
      </c>
      <c r="C307" s="1" t="n">
        <v>45883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17343-2025</t>
        </is>
      </c>
      <c r="B308" s="1" t="n">
        <v>45756.6687037037</v>
      </c>
      <c r="C308" s="1" t="n">
        <v>45883</v>
      </c>
      <c r="D308" t="inlineStr">
        <is>
          <t>GOTLANDS LÄN</t>
        </is>
      </c>
      <c r="E308" t="inlineStr">
        <is>
          <t>GOTLAND</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24192-2023</t>
        </is>
      </c>
      <c r="B309" s="1" t="n">
        <v>45079</v>
      </c>
      <c r="C309" s="1" t="n">
        <v>45883</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45883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4421-2024</t>
        </is>
      </c>
      <c r="B311" s="1" t="n">
        <v>45327.45173611111</v>
      </c>
      <c r="C311" s="1" t="n">
        <v>45883</v>
      </c>
      <c r="D311" t="inlineStr">
        <is>
          <t>GOTLANDS LÄN</t>
        </is>
      </c>
      <c r="E311" t="inlineStr">
        <is>
          <t>GOTLAND</t>
        </is>
      </c>
      <c r="G311" t="n">
        <v>5.1</v>
      </c>
      <c r="H311" t="n">
        <v>0</v>
      </c>
      <c r="I311" t="n">
        <v>0</v>
      </c>
      <c r="J311" t="n">
        <v>0</v>
      </c>
      <c r="K311" t="n">
        <v>0</v>
      </c>
      <c r="L311" t="n">
        <v>0</v>
      </c>
      <c r="M311" t="n">
        <v>0</v>
      </c>
      <c r="N311" t="n">
        <v>0</v>
      </c>
      <c r="O311" t="n">
        <v>0</v>
      </c>
      <c r="P311" t="n">
        <v>0</v>
      </c>
      <c r="Q311" t="n">
        <v>0</v>
      </c>
      <c r="R311" s="2" t="inlineStr"/>
    </row>
    <row r="312" ht="15" customHeight="1">
      <c r="A312" t="inlineStr">
        <is>
          <t>A 18742-2025</t>
        </is>
      </c>
      <c r="B312" s="1" t="n">
        <v>45763</v>
      </c>
      <c r="C312" s="1" t="n">
        <v>45883</v>
      </c>
      <c r="D312" t="inlineStr">
        <is>
          <t>GOTLANDS LÄN</t>
        </is>
      </c>
      <c r="E312" t="inlineStr">
        <is>
          <t>GOTLAND</t>
        </is>
      </c>
      <c r="G312" t="n">
        <v>3.4</v>
      </c>
      <c r="H312" t="n">
        <v>0</v>
      </c>
      <c r="I312" t="n">
        <v>0</v>
      </c>
      <c r="J312" t="n">
        <v>0</v>
      </c>
      <c r="K312" t="n">
        <v>0</v>
      </c>
      <c r="L312" t="n">
        <v>0</v>
      </c>
      <c r="M312" t="n">
        <v>0</v>
      </c>
      <c r="N312" t="n">
        <v>0</v>
      </c>
      <c r="O312" t="n">
        <v>0</v>
      </c>
      <c r="P312" t="n">
        <v>0</v>
      </c>
      <c r="Q312" t="n">
        <v>0</v>
      </c>
      <c r="R312" s="2" t="inlineStr"/>
    </row>
    <row r="313" ht="15" customHeight="1">
      <c r="A313" t="inlineStr">
        <is>
          <t>A 51782-2023</t>
        </is>
      </c>
      <c r="B313" s="1" t="n">
        <v>45222.80952546297</v>
      </c>
      <c r="C313" s="1" t="n">
        <v>45883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54268-2022</t>
        </is>
      </c>
      <c r="B314" s="1" t="n">
        <v>44882</v>
      </c>
      <c r="C314" s="1" t="n">
        <v>45883</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5386-2023</t>
        </is>
      </c>
      <c r="B315" s="1" t="n">
        <v>44959</v>
      </c>
      <c r="C315" s="1" t="n">
        <v>45883</v>
      </c>
      <c r="D315" t="inlineStr">
        <is>
          <t>GOTLANDS LÄN</t>
        </is>
      </c>
      <c r="E315" t="inlineStr">
        <is>
          <t>GOTLAND</t>
        </is>
      </c>
      <c r="G315" t="n">
        <v>5.4</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45883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7026-2023</t>
        </is>
      </c>
      <c r="B317" s="1" t="n">
        <v>44968.30340277778</v>
      </c>
      <c r="C317" s="1" t="n">
        <v>45883</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20855-2023</t>
        </is>
      </c>
      <c r="B318" s="1" t="n">
        <v>45058.82172453704</v>
      </c>
      <c r="C318" s="1" t="n">
        <v>45883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45883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1000-2024</t>
        </is>
      </c>
      <c r="B320" s="1" t="n">
        <v>45301.63371527778</v>
      </c>
      <c r="C320" s="1" t="n">
        <v>45883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1010-2024</t>
        </is>
      </c>
      <c r="B321" s="1" t="n">
        <v>45301</v>
      </c>
      <c r="C321" s="1" t="n">
        <v>45883</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57534-2022</t>
        </is>
      </c>
      <c r="B322" s="1" t="n">
        <v>44896</v>
      </c>
      <c r="C322" s="1" t="n">
        <v>45883</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45883</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25866-2022</t>
        </is>
      </c>
      <c r="B324" s="1" t="n">
        <v>44733</v>
      </c>
      <c r="C324" s="1" t="n">
        <v>45883</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43229-2023</t>
        </is>
      </c>
      <c r="B325" s="1" t="n">
        <v>45183.46704861111</v>
      </c>
      <c r="C325" s="1" t="n">
        <v>45883</v>
      </c>
      <c r="D325" t="inlineStr">
        <is>
          <t>GOTLANDS LÄN</t>
        </is>
      </c>
      <c r="E325" t="inlineStr">
        <is>
          <t>GOTLAND</t>
        </is>
      </c>
      <c r="G325" t="n">
        <v>7.1</v>
      </c>
      <c r="H325" t="n">
        <v>0</v>
      </c>
      <c r="I325" t="n">
        <v>0</v>
      </c>
      <c r="J325" t="n">
        <v>0</v>
      </c>
      <c r="K325" t="n">
        <v>0</v>
      </c>
      <c r="L325" t="n">
        <v>0</v>
      </c>
      <c r="M325" t="n">
        <v>0</v>
      </c>
      <c r="N325" t="n">
        <v>0</v>
      </c>
      <c r="O325" t="n">
        <v>0</v>
      </c>
      <c r="P325" t="n">
        <v>0</v>
      </c>
      <c r="Q325" t="n">
        <v>0</v>
      </c>
      <c r="R325" s="2" t="inlineStr"/>
    </row>
    <row r="326" ht="15" customHeight="1">
      <c r="A326" t="inlineStr">
        <is>
          <t>A 1175-2025</t>
        </is>
      </c>
      <c r="B326" s="1" t="n">
        <v>45667.34449074074</v>
      </c>
      <c r="C326" s="1" t="n">
        <v>45883</v>
      </c>
      <c r="D326" t="inlineStr">
        <is>
          <t>GOTLANDS LÄN</t>
        </is>
      </c>
      <c r="E326" t="inlineStr">
        <is>
          <t>GOTLAND</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27095-2022</t>
        </is>
      </c>
      <c r="B327" s="1" t="n">
        <v>44741</v>
      </c>
      <c r="C327" s="1" t="n">
        <v>45883</v>
      </c>
      <c r="D327" t="inlineStr">
        <is>
          <t>GOTLANDS LÄN</t>
        </is>
      </c>
      <c r="E327" t="inlineStr">
        <is>
          <t>GOTLAND</t>
        </is>
      </c>
      <c r="F327" t="inlineStr">
        <is>
          <t>Övriga Aktiebolag</t>
        </is>
      </c>
      <c r="G327" t="n">
        <v>2.9</v>
      </c>
      <c r="H327" t="n">
        <v>0</v>
      </c>
      <c r="I327" t="n">
        <v>0</v>
      </c>
      <c r="J327" t="n">
        <v>0</v>
      </c>
      <c r="K327" t="n">
        <v>0</v>
      </c>
      <c r="L327" t="n">
        <v>0</v>
      </c>
      <c r="M327" t="n">
        <v>0</v>
      </c>
      <c r="N327" t="n">
        <v>0</v>
      </c>
      <c r="O327" t="n">
        <v>0</v>
      </c>
      <c r="P327" t="n">
        <v>0</v>
      </c>
      <c r="Q327" t="n">
        <v>0</v>
      </c>
      <c r="R327" s="2" t="inlineStr"/>
    </row>
    <row r="328" ht="15" customHeight="1">
      <c r="A328" t="inlineStr">
        <is>
          <t>A 22899-2023</t>
        </is>
      </c>
      <c r="B328" s="1" t="n">
        <v>45072</v>
      </c>
      <c r="C328" s="1" t="n">
        <v>45883</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23978-2023</t>
        </is>
      </c>
      <c r="B329" s="1" t="n">
        <v>45078</v>
      </c>
      <c r="C329" s="1" t="n">
        <v>45883</v>
      </c>
      <c r="D329" t="inlineStr">
        <is>
          <t>GOTLANDS LÄN</t>
        </is>
      </c>
      <c r="E329" t="inlineStr">
        <is>
          <t>GOTLAND</t>
        </is>
      </c>
      <c r="F329" t="inlineStr">
        <is>
          <t>Naturvårdsverket</t>
        </is>
      </c>
      <c r="G329" t="n">
        <v>1.7</v>
      </c>
      <c r="H329" t="n">
        <v>0</v>
      </c>
      <c r="I329" t="n">
        <v>0</v>
      </c>
      <c r="J329" t="n">
        <v>0</v>
      </c>
      <c r="K329" t="n">
        <v>0</v>
      </c>
      <c r="L329" t="n">
        <v>0</v>
      </c>
      <c r="M329" t="n">
        <v>0</v>
      </c>
      <c r="N329" t="n">
        <v>0</v>
      </c>
      <c r="O329" t="n">
        <v>0</v>
      </c>
      <c r="P329" t="n">
        <v>0</v>
      </c>
      <c r="Q329" t="n">
        <v>0</v>
      </c>
      <c r="R329" s="2" t="inlineStr"/>
    </row>
    <row r="330" ht="15" customHeight="1">
      <c r="A330" t="inlineStr">
        <is>
          <t>A 34407-2023</t>
        </is>
      </c>
      <c r="B330" s="1" t="n">
        <v>45132</v>
      </c>
      <c r="C330" s="1" t="n">
        <v>45883</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11013-2024</t>
        </is>
      </c>
      <c r="B331" s="1" t="n">
        <v>45370</v>
      </c>
      <c r="C331" s="1" t="n">
        <v>45883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45883</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27694-2024</t>
        </is>
      </c>
      <c r="B333" s="1" t="n">
        <v>45475</v>
      </c>
      <c r="C333" s="1" t="n">
        <v>45883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15083-2025</t>
        </is>
      </c>
      <c r="B334" s="1" t="n">
        <v>45743</v>
      </c>
      <c r="C334" s="1" t="n">
        <v>45883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45883</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13037-2025</t>
        </is>
      </c>
      <c r="B336" s="1" t="n">
        <v>45734</v>
      </c>
      <c r="C336" s="1" t="n">
        <v>45883</v>
      </c>
      <c r="D336" t="inlineStr">
        <is>
          <t>GOTLANDS LÄN</t>
        </is>
      </c>
      <c r="E336" t="inlineStr">
        <is>
          <t>GOTLAND</t>
        </is>
      </c>
      <c r="G336" t="n">
        <v>9.5</v>
      </c>
      <c r="H336" t="n">
        <v>0</v>
      </c>
      <c r="I336" t="n">
        <v>0</v>
      </c>
      <c r="J336" t="n">
        <v>0</v>
      </c>
      <c r="K336" t="n">
        <v>0</v>
      </c>
      <c r="L336" t="n">
        <v>0</v>
      </c>
      <c r="M336" t="n">
        <v>0</v>
      </c>
      <c r="N336" t="n">
        <v>0</v>
      </c>
      <c r="O336" t="n">
        <v>0</v>
      </c>
      <c r="P336" t="n">
        <v>0</v>
      </c>
      <c r="Q336" t="n">
        <v>0</v>
      </c>
      <c r="R336" s="2" t="inlineStr"/>
    </row>
    <row r="337" ht="15" customHeight="1">
      <c r="A337" t="inlineStr">
        <is>
          <t>A 458-2023</t>
        </is>
      </c>
      <c r="B337" s="1" t="n">
        <v>44929</v>
      </c>
      <c r="C337" s="1" t="n">
        <v>45883</v>
      </c>
      <c r="D337" t="inlineStr">
        <is>
          <t>GOTLANDS LÄN</t>
        </is>
      </c>
      <c r="E337" t="inlineStr">
        <is>
          <t>GOTLAND</t>
        </is>
      </c>
      <c r="G337" t="n">
        <v>3.6</v>
      </c>
      <c r="H337" t="n">
        <v>0</v>
      </c>
      <c r="I337" t="n">
        <v>0</v>
      </c>
      <c r="J337" t="n">
        <v>0</v>
      </c>
      <c r="K337" t="n">
        <v>0</v>
      </c>
      <c r="L337" t="n">
        <v>0</v>
      </c>
      <c r="M337" t="n">
        <v>0</v>
      </c>
      <c r="N337" t="n">
        <v>0</v>
      </c>
      <c r="O337" t="n">
        <v>0</v>
      </c>
      <c r="P337" t="n">
        <v>0</v>
      </c>
      <c r="Q337" t="n">
        <v>0</v>
      </c>
      <c r="R337" s="2" t="inlineStr"/>
    </row>
    <row r="338" ht="15" customHeight="1">
      <c r="A338" t="inlineStr">
        <is>
          <t>A 6099-2024</t>
        </is>
      </c>
      <c r="B338" s="1" t="n">
        <v>45337</v>
      </c>
      <c r="C338" s="1" t="n">
        <v>45883</v>
      </c>
      <c r="D338" t="inlineStr">
        <is>
          <t>GOTLANDS LÄN</t>
        </is>
      </c>
      <c r="E338" t="inlineStr">
        <is>
          <t>GOTLAND</t>
        </is>
      </c>
      <c r="G338" t="n">
        <v>12.6</v>
      </c>
      <c r="H338" t="n">
        <v>0</v>
      </c>
      <c r="I338" t="n">
        <v>0</v>
      </c>
      <c r="J338" t="n">
        <v>0</v>
      </c>
      <c r="K338" t="n">
        <v>0</v>
      </c>
      <c r="L338" t="n">
        <v>0</v>
      </c>
      <c r="M338" t="n">
        <v>0</v>
      </c>
      <c r="N338" t="n">
        <v>0</v>
      </c>
      <c r="O338" t="n">
        <v>0</v>
      </c>
      <c r="P338" t="n">
        <v>0</v>
      </c>
      <c r="Q338" t="n">
        <v>0</v>
      </c>
      <c r="R338" s="2" t="inlineStr"/>
    </row>
    <row r="339" ht="15" customHeight="1">
      <c r="A339" t="inlineStr">
        <is>
          <t>A 44228-2022</t>
        </is>
      </c>
      <c r="B339" s="1" t="n">
        <v>44839.51599537037</v>
      </c>
      <c r="C339" s="1" t="n">
        <v>45883</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45883</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1273-2023</t>
        </is>
      </c>
      <c r="B341" s="1" t="n">
        <v>44936</v>
      </c>
      <c r="C341" s="1" t="n">
        <v>45883</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45883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45692-2023</t>
        </is>
      </c>
      <c r="B343" s="1" t="n">
        <v>45195</v>
      </c>
      <c r="C343" s="1" t="n">
        <v>45883</v>
      </c>
      <c r="D343" t="inlineStr">
        <is>
          <t>GOTLANDS LÄN</t>
        </is>
      </c>
      <c r="E343" t="inlineStr">
        <is>
          <t>GOTLAND</t>
        </is>
      </c>
      <c r="G343" t="n">
        <v>5.3</v>
      </c>
      <c r="H343" t="n">
        <v>0</v>
      </c>
      <c r="I343" t="n">
        <v>0</v>
      </c>
      <c r="J343" t="n">
        <v>0</v>
      </c>
      <c r="K343" t="n">
        <v>0</v>
      </c>
      <c r="L343" t="n">
        <v>0</v>
      </c>
      <c r="M343" t="n">
        <v>0</v>
      </c>
      <c r="N343" t="n">
        <v>0</v>
      </c>
      <c r="O343" t="n">
        <v>0</v>
      </c>
      <c r="P343" t="n">
        <v>0</v>
      </c>
      <c r="Q343" t="n">
        <v>0</v>
      </c>
      <c r="R343" s="2" t="inlineStr"/>
    </row>
    <row r="344" ht="15" customHeight="1">
      <c r="A344" t="inlineStr">
        <is>
          <t>A 49884-2023</t>
        </is>
      </c>
      <c r="B344" s="1" t="n">
        <v>45213</v>
      </c>
      <c r="C344" s="1" t="n">
        <v>45883</v>
      </c>
      <c r="D344" t="inlineStr">
        <is>
          <t>GOTLANDS LÄN</t>
        </is>
      </c>
      <c r="E344" t="inlineStr">
        <is>
          <t>GOTLAND</t>
        </is>
      </c>
      <c r="G344" t="n">
        <v>8.9</v>
      </c>
      <c r="H344" t="n">
        <v>0</v>
      </c>
      <c r="I344" t="n">
        <v>0</v>
      </c>
      <c r="J344" t="n">
        <v>0</v>
      </c>
      <c r="K344" t="n">
        <v>0</v>
      </c>
      <c r="L344" t="n">
        <v>0</v>
      </c>
      <c r="M344" t="n">
        <v>0</v>
      </c>
      <c r="N344" t="n">
        <v>0</v>
      </c>
      <c r="O344" t="n">
        <v>0</v>
      </c>
      <c r="P344" t="n">
        <v>0</v>
      </c>
      <c r="Q344" t="n">
        <v>0</v>
      </c>
      <c r="R344" s="2" t="inlineStr"/>
    </row>
    <row r="345" ht="15" customHeight="1">
      <c r="A345" t="inlineStr">
        <is>
          <t>A 33876-2024</t>
        </is>
      </c>
      <c r="B345" s="1" t="n">
        <v>45521.87988425926</v>
      </c>
      <c r="C345" s="1" t="n">
        <v>45883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46778-2020</t>
        </is>
      </c>
      <c r="B346" s="1" t="n">
        <v>44096</v>
      </c>
      <c r="C346" s="1" t="n">
        <v>45883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17847-2025</t>
        </is>
      </c>
      <c r="B347" s="1" t="n">
        <v>45758</v>
      </c>
      <c r="C347" s="1" t="n">
        <v>45883</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47762-2023</t>
        </is>
      </c>
      <c r="B348" s="1" t="n">
        <v>45203.86256944444</v>
      </c>
      <c r="C348" s="1" t="n">
        <v>45883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876-2024</t>
        </is>
      </c>
      <c r="B349" s="1" t="n">
        <v>45301</v>
      </c>
      <c r="C349" s="1" t="n">
        <v>45883</v>
      </c>
      <c r="D349" t="inlineStr">
        <is>
          <t>GOTLANDS LÄN</t>
        </is>
      </c>
      <c r="E349" t="inlineStr">
        <is>
          <t>GOTLAND</t>
        </is>
      </c>
      <c r="G349" t="n">
        <v>5.3</v>
      </c>
      <c r="H349" t="n">
        <v>0</v>
      </c>
      <c r="I349" t="n">
        <v>0</v>
      </c>
      <c r="J349" t="n">
        <v>0</v>
      </c>
      <c r="K349" t="n">
        <v>0</v>
      </c>
      <c r="L349" t="n">
        <v>0</v>
      </c>
      <c r="M349" t="n">
        <v>0</v>
      </c>
      <c r="N349" t="n">
        <v>0</v>
      </c>
      <c r="O349" t="n">
        <v>0</v>
      </c>
      <c r="P349" t="n">
        <v>0</v>
      </c>
      <c r="Q349" t="n">
        <v>0</v>
      </c>
      <c r="R349" s="2" t="inlineStr"/>
    </row>
    <row r="350" ht="15" customHeight="1">
      <c r="A350" t="inlineStr">
        <is>
          <t>A 6796-2025</t>
        </is>
      </c>
      <c r="B350" s="1" t="n">
        <v>45700.66559027778</v>
      </c>
      <c r="C350" s="1" t="n">
        <v>45883</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28285-2024</t>
        </is>
      </c>
      <c r="B351" s="1" t="n">
        <v>45477</v>
      </c>
      <c r="C351" s="1" t="n">
        <v>45883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61100-2022</t>
        </is>
      </c>
      <c r="B352" s="1" t="n">
        <v>44915</v>
      </c>
      <c r="C352" s="1" t="n">
        <v>45883</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22704-2023</t>
        </is>
      </c>
      <c r="B353" s="1" t="n">
        <v>45071</v>
      </c>
      <c r="C353" s="1" t="n">
        <v>45883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61682-2024</t>
        </is>
      </c>
      <c r="B354" s="1" t="n">
        <v>45647.48824074074</v>
      </c>
      <c r="C354" s="1" t="n">
        <v>45883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28425-2023</t>
        </is>
      </c>
      <c r="B355" s="1" t="n">
        <v>45102</v>
      </c>
      <c r="C355" s="1" t="n">
        <v>45883</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58476-2022</t>
        </is>
      </c>
      <c r="B356" s="1" t="n">
        <v>44902</v>
      </c>
      <c r="C356" s="1" t="n">
        <v>45883</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45883</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43223-2023</t>
        </is>
      </c>
      <c r="B358" s="1" t="n">
        <v>45183.45642361111</v>
      </c>
      <c r="C358" s="1" t="n">
        <v>45883</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43785-2024</t>
        </is>
      </c>
      <c r="B359" s="1" t="n">
        <v>45570</v>
      </c>
      <c r="C359" s="1" t="n">
        <v>45883</v>
      </c>
      <c r="D359" t="inlineStr">
        <is>
          <t>GOTLANDS LÄN</t>
        </is>
      </c>
      <c r="E359" t="inlineStr">
        <is>
          <t>GOTLAND</t>
        </is>
      </c>
      <c r="G359" t="n">
        <v>12.6</v>
      </c>
      <c r="H359" t="n">
        <v>0</v>
      </c>
      <c r="I359" t="n">
        <v>0</v>
      </c>
      <c r="J359" t="n">
        <v>0</v>
      </c>
      <c r="K359" t="n">
        <v>0</v>
      </c>
      <c r="L359" t="n">
        <v>0</v>
      </c>
      <c r="M359" t="n">
        <v>0</v>
      </c>
      <c r="N359" t="n">
        <v>0</v>
      </c>
      <c r="O359" t="n">
        <v>0</v>
      </c>
      <c r="P359" t="n">
        <v>0</v>
      </c>
      <c r="Q359" t="n">
        <v>0</v>
      </c>
      <c r="R359" s="2" t="inlineStr"/>
    </row>
    <row r="360" ht="15" customHeight="1">
      <c r="A360" t="inlineStr">
        <is>
          <t>A 12327-2025</t>
        </is>
      </c>
      <c r="B360" s="1" t="n">
        <v>45730</v>
      </c>
      <c r="C360" s="1" t="n">
        <v>45883</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3431-2025</t>
        </is>
      </c>
      <c r="B361" s="1" t="n">
        <v>45680.42935185185</v>
      </c>
      <c r="C361" s="1" t="n">
        <v>45883</v>
      </c>
      <c r="D361" t="inlineStr">
        <is>
          <t>GOTLANDS LÄN</t>
        </is>
      </c>
      <c r="E361" t="inlineStr">
        <is>
          <t>GOTLAND</t>
        </is>
      </c>
      <c r="G361" t="n">
        <v>4.8</v>
      </c>
      <c r="H361" t="n">
        <v>0</v>
      </c>
      <c r="I361" t="n">
        <v>0</v>
      </c>
      <c r="J361" t="n">
        <v>0</v>
      </c>
      <c r="K361" t="n">
        <v>0</v>
      </c>
      <c r="L361" t="n">
        <v>0</v>
      </c>
      <c r="M361" t="n">
        <v>0</v>
      </c>
      <c r="N361" t="n">
        <v>0</v>
      </c>
      <c r="O361" t="n">
        <v>0</v>
      </c>
      <c r="P361" t="n">
        <v>0</v>
      </c>
      <c r="Q361" t="n">
        <v>0</v>
      </c>
      <c r="R361" s="2" t="inlineStr"/>
    </row>
    <row r="362" ht="15" customHeight="1">
      <c r="A362" t="inlineStr">
        <is>
          <t>A 46545-2024</t>
        </is>
      </c>
      <c r="B362" s="1" t="n">
        <v>45582.65831018519</v>
      </c>
      <c r="C362" s="1" t="n">
        <v>45883</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12209-2024</t>
        </is>
      </c>
      <c r="B363" s="1" t="n">
        <v>45378</v>
      </c>
      <c r="C363" s="1" t="n">
        <v>45883</v>
      </c>
      <c r="D363" t="inlineStr">
        <is>
          <t>GOTLANDS LÄN</t>
        </is>
      </c>
      <c r="E363" t="inlineStr">
        <is>
          <t>GOTLAND</t>
        </is>
      </c>
      <c r="G363" t="n">
        <v>5.3</v>
      </c>
      <c r="H363" t="n">
        <v>0</v>
      </c>
      <c r="I363" t="n">
        <v>0</v>
      </c>
      <c r="J363" t="n">
        <v>0</v>
      </c>
      <c r="K363" t="n">
        <v>0</v>
      </c>
      <c r="L363" t="n">
        <v>0</v>
      </c>
      <c r="M363" t="n">
        <v>0</v>
      </c>
      <c r="N363" t="n">
        <v>0</v>
      </c>
      <c r="O363" t="n">
        <v>0</v>
      </c>
      <c r="P363" t="n">
        <v>0</v>
      </c>
      <c r="Q363" t="n">
        <v>0</v>
      </c>
      <c r="R363" s="2" t="inlineStr"/>
    </row>
    <row r="364" ht="15" customHeight="1">
      <c r="A364" t="inlineStr">
        <is>
          <t>A 12210-2024</t>
        </is>
      </c>
      <c r="B364" s="1" t="n">
        <v>45378</v>
      </c>
      <c r="C364" s="1" t="n">
        <v>45883</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1364-2025</t>
        </is>
      </c>
      <c r="B365" s="1" t="n">
        <v>45667.63929398148</v>
      </c>
      <c r="C365" s="1" t="n">
        <v>45883</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15042-2025</t>
        </is>
      </c>
      <c r="B366" s="1" t="n">
        <v>45743</v>
      </c>
      <c r="C366" s="1" t="n">
        <v>45883</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60086-2022</t>
        </is>
      </c>
      <c r="B367" s="1" t="n">
        <v>44909</v>
      </c>
      <c r="C367" s="1" t="n">
        <v>45883</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45883</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28480-2023</t>
        </is>
      </c>
      <c r="B369" s="1" t="n">
        <v>45103</v>
      </c>
      <c r="C369" s="1" t="n">
        <v>45883</v>
      </c>
      <c r="D369" t="inlineStr">
        <is>
          <t>GOTLANDS LÄN</t>
        </is>
      </c>
      <c r="E369" t="inlineStr">
        <is>
          <t>GOTLAND</t>
        </is>
      </c>
      <c r="G369" t="n">
        <v>5.7</v>
      </c>
      <c r="H369" t="n">
        <v>0</v>
      </c>
      <c r="I369" t="n">
        <v>0</v>
      </c>
      <c r="J369" t="n">
        <v>0</v>
      </c>
      <c r="K369" t="n">
        <v>0</v>
      </c>
      <c r="L369" t="n">
        <v>0</v>
      </c>
      <c r="M369" t="n">
        <v>0</v>
      </c>
      <c r="N369" t="n">
        <v>0</v>
      </c>
      <c r="O369" t="n">
        <v>0</v>
      </c>
      <c r="P369" t="n">
        <v>0</v>
      </c>
      <c r="Q369" t="n">
        <v>0</v>
      </c>
      <c r="R369" s="2" t="inlineStr"/>
    </row>
    <row r="370" ht="15" customHeight="1">
      <c r="A370" t="inlineStr">
        <is>
          <t>A 28485-2023</t>
        </is>
      </c>
      <c r="B370" s="1" t="n">
        <v>45103.43731481482</v>
      </c>
      <c r="C370" s="1" t="n">
        <v>45883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2180-2025</t>
        </is>
      </c>
      <c r="B371" s="1" t="n">
        <v>45673</v>
      </c>
      <c r="C371" s="1" t="n">
        <v>45883</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15436-2025</t>
        </is>
      </c>
      <c r="B372" s="1" t="n">
        <v>45747.47462962963</v>
      </c>
      <c r="C372" s="1" t="n">
        <v>45883</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10652-2025</t>
        </is>
      </c>
      <c r="B373" s="1" t="n">
        <v>45721.68640046296</v>
      </c>
      <c r="C373" s="1" t="n">
        <v>45883</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62915-2021</t>
        </is>
      </c>
      <c r="B374" s="1" t="n">
        <v>44504</v>
      </c>
      <c r="C374" s="1" t="n">
        <v>45883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49257-2024</t>
        </is>
      </c>
      <c r="B375" s="1" t="n">
        <v>45595.47627314815</v>
      </c>
      <c r="C375" s="1" t="n">
        <v>45883</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21792-2024</t>
        </is>
      </c>
      <c r="B376" s="1" t="n">
        <v>45442.64326388889</v>
      </c>
      <c r="C376" s="1" t="n">
        <v>45883</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44949-2023</t>
        </is>
      </c>
      <c r="B377" s="1" t="n">
        <v>45190.69520833333</v>
      </c>
      <c r="C377" s="1" t="n">
        <v>45883</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45539.67310185185</v>
      </c>
      <c r="C378" s="1" t="n">
        <v>45883</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18993-2025</t>
        </is>
      </c>
      <c r="B379" s="1" t="n">
        <v>45764</v>
      </c>
      <c r="C379" s="1" t="n">
        <v>45883</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45883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45883</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17688-2024</t>
        </is>
      </c>
      <c r="B382" s="1" t="n">
        <v>45418.43575231481</v>
      </c>
      <c r="C382" s="1" t="n">
        <v>45883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7837-2024</t>
        </is>
      </c>
      <c r="B383" s="1" t="n">
        <v>45349.83787037037</v>
      </c>
      <c r="C383" s="1" t="n">
        <v>45883</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3964-2024</t>
        </is>
      </c>
      <c r="B384" s="1" t="n">
        <v>45322</v>
      </c>
      <c r="C384" s="1" t="n">
        <v>45883</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45084-2024</t>
        </is>
      </c>
      <c r="B385" s="1" t="n">
        <v>45575</v>
      </c>
      <c r="C385" s="1" t="n">
        <v>45883</v>
      </c>
      <c r="D385" t="inlineStr">
        <is>
          <t>GOTLANDS LÄN</t>
        </is>
      </c>
      <c r="E385" t="inlineStr">
        <is>
          <t>GOTLAND</t>
        </is>
      </c>
      <c r="G385" t="n">
        <v>6.8</v>
      </c>
      <c r="H385" t="n">
        <v>0</v>
      </c>
      <c r="I385" t="n">
        <v>0</v>
      </c>
      <c r="J385" t="n">
        <v>0</v>
      </c>
      <c r="K385" t="n">
        <v>0</v>
      </c>
      <c r="L385" t="n">
        <v>0</v>
      </c>
      <c r="M385" t="n">
        <v>0</v>
      </c>
      <c r="N385" t="n">
        <v>0</v>
      </c>
      <c r="O385" t="n">
        <v>0</v>
      </c>
      <c r="P385" t="n">
        <v>0</v>
      </c>
      <c r="Q385" t="n">
        <v>0</v>
      </c>
      <c r="R385" s="2" t="inlineStr"/>
    </row>
    <row r="386" ht="15" customHeight="1">
      <c r="A386" t="inlineStr">
        <is>
          <t>A 2774-2024</t>
        </is>
      </c>
      <c r="B386" s="1" t="n">
        <v>45314.62375</v>
      </c>
      <c r="C386" s="1" t="n">
        <v>45883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4568-2025</t>
        </is>
      </c>
      <c r="B387" s="1" t="n">
        <v>45687</v>
      </c>
      <c r="C387" s="1" t="n">
        <v>45883</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13627-2023</t>
        </is>
      </c>
      <c r="B388" s="1" t="n">
        <v>45006</v>
      </c>
      <c r="C388" s="1" t="n">
        <v>45883</v>
      </c>
      <c r="D388" t="inlineStr">
        <is>
          <t>GOTLANDS LÄN</t>
        </is>
      </c>
      <c r="E388" t="inlineStr">
        <is>
          <t>GOTLAND</t>
        </is>
      </c>
      <c r="G388" t="n">
        <v>10.7</v>
      </c>
      <c r="H388" t="n">
        <v>0</v>
      </c>
      <c r="I388" t="n">
        <v>0</v>
      </c>
      <c r="J388" t="n">
        <v>0</v>
      </c>
      <c r="K388" t="n">
        <v>0</v>
      </c>
      <c r="L388" t="n">
        <v>0</v>
      </c>
      <c r="M388" t="n">
        <v>0</v>
      </c>
      <c r="N388" t="n">
        <v>0</v>
      </c>
      <c r="O388" t="n">
        <v>0</v>
      </c>
      <c r="P388" t="n">
        <v>0</v>
      </c>
      <c r="Q388" t="n">
        <v>0</v>
      </c>
      <c r="R388" s="2" t="inlineStr"/>
    </row>
    <row r="389" ht="15" customHeight="1">
      <c r="A389" t="inlineStr">
        <is>
          <t>A 60709-2023</t>
        </is>
      </c>
      <c r="B389" s="1" t="n">
        <v>45260</v>
      </c>
      <c r="C389" s="1" t="n">
        <v>45883</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64208-2021</t>
        </is>
      </c>
      <c r="B390" s="1" t="n">
        <v>44510</v>
      </c>
      <c r="C390" s="1" t="n">
        <v>45883</v>
      </c>
      <c r="D390" t="inlineStr">
        <is>
          <t>GOTLANDS LÄN</t>
        </is>
      </c>
      <c r="E390" t="inlineStr">
        <is>
          <t>GOTLAND</t>
        </is>
      </c>
      <c r="G390" t="n">
        <v>4.7</v>
      </c>
      <c r="H390" t="n">
        <v>0</v>
      </c>
      <c r="I390" t="n">
        <v>0</v>
      </c>
      <c r="J390" t="n">
        <v>0</v>
      </c>
      <c r="K390" t="n">
        <v>0</v>
      </c>
      <c r="L390" t="n">
        <v>0</v>
      </c>
      <c r="M390" t="n">
        <v>0</v>
      </c>
      <c r="N390" t="n">
        <v>0</v>
      </c>
      <c r="O390" t="n">
        <v>0</v>
      </c>
      <c r="P390" t="n">
        <v>0</v>
      </c>
      <c r="Q390" t="n">
        <v>0</v>
      </c>
      <c r="R390" s="2" t="inlineStr"/>
    </row>
    <row r="391" ht="15" customHeight="1">
      <c r="A391" t="inlineStr">
        <is>
          <t>A 39764-2022</t>
        </is>
      </c>
      <c r="B391" s="1" t="n">
        <v>44819</v>
      </c>
      <c r="C391" s="1" t="n">
        <v>45883</v>
      </c>
      <c r="D391" t="inlineStr">
        <is>
          <t>GOTLANDS LÄN</t>
        </is>
      </c>
      <c r="E391" t="inlineStr">
        <is>
          <t>GOTLAND</t>
        </is>
      </c>
      <c r="F391" t="inlineStr">
        <is>
          <t>Kyrkan</t>
        </is>
      </c>
      <c r="G391" t="n">
        <v>3.7</v>
      </c>
      <c r="H391" t="n">
        <v>0</v>
      </c>
      <c r="I391" t="n">
        <v>0</v>
      </c>
      <c r="J391" t="n">
        <v>0</v>
      </c>
      <c r="K391" t="n">
        <v>0</v>
      </c>
      <c r="L391" t="n">
        <v>0</v>
      </c>
      <c r="M391" t="n">
        <v>0</v>
      </c>
      <c r="N391" t="n">
        <v>0</v>
      </c>
      <c r="O391" t="n">
        <v>0</v>
      </c>
      <c r="P391" t="n">
        <v>0</v>
      </c>
      <c r="Q391" t="n">
        <v>0</v>
      </c>
      <c r="R391" s="2" t="inlineStr"/>
    </row>
    <row r="392" ht="15" customHeight="1">
      <c r="A392" t="inlineStr">
        <is>
          <t>A 14915-2025</t>
        </is>
      </c>
      <c r="B392" s="1" t="n">
        <v>45743.53121527778</v>
      </c>
      <c r="C392" s="1" t="n">
        <v>45883</v>
      </c>
      <c r="D392" t="inlineStr">
        <is>
          <t>GOTLANDS LÄN</t>
        </is>
      </c>
      <c r="E392" t="inlineStr">
        <is>
          <t>GOTLAND</t>
        </is>
      </c>
      <c r="G392" t="n">
        <v>5.9</v>
      </c>
      <c r="H392" t="n">
        <v>0</v>
      </c>
      <c r="I392" t="n">
        <v>0</v>
      </c>
      <c r="J392" t="n">
        <v>0</v>
      </c>
      <c r="K392" t="n">
        <v>0</v>
      </c>
      <c r="L392" t="n">
        <v>0</v>
      </c>
      <c r="M392" t="n">
        <v>0</v>
      </c>
      <c r="N392" t="n">
        <v>0</v>
      </c>
      <c r="O392" t="n">
        <v>0</v>
      </c>
      <c r="P392" t="n">
        <v>0</v>
      </c>
      <c r="Q392" t="n">
        <v>0</v>
      </c>
      <c r="R392" s="2" t="inlineStr"/>
    </row>
    <row r="393" ht="15" customHeight="1">
      <c r="A393" t="inlineStr">
        <is>
          <t>A 35512-2023</t>
        </is>
      </c>
      <c r="B393" s="1" t="n">
        <v>45147.25623842593</v>
      </c>
      <c r="C393" s="1" t="n">
        <v>45883</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5905-2024</t>
        </is>
      </c>
      <c r="B394" s="1" t="n">
        <v>45335.88993055555</v>
      </c>
      <c r="C394" s="1" t="n">
        <v>45883</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5217-2023</t>
        </is>
      </c>
      <c r="B395" s="1" t="n">
        <v>44959.39582175926</v>
      </c>
      <c r="C395" s="1" t="n">
        <v>45883</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1291-2023</t>
        </is>
      </c>
      <c r="B396" s="1" t="n">
        <v>44936.47561342592</v>
      </c>
      <c r="C396" s="1" t="n">
        <v>45883</v>
      </c>
      <c r="D396" t="inlineStr">
        <is>
          <t>GOTLANDS LÄN</t>
        </is>
      </c>
      <c r="E396" t="inlineStr">
        <is>
          <t>GOTLAND</t>
        </is>
      </c>
      <c r="G396" t="n">
        <v>7.4</v>
      </c>
      <c r="H396" t="n">
        <v>0</v>
      </c>
      <c r="I396" t="n">
        <v>0</v>
      </c>
      <c r="J396" t="n">
        <v>0</v>
      </c>
      <c r="K396" t="n">
        <v>0</v>
      </c>
      <c r="L396" t="n">
        <v>0</v>
      </c>
      <c r="M396" t="n">
        <v>0</v>
      </c>
      <c r="N396" t="n">
        <v>0</v>
      </c>
      <c r="O396" t="n">
        <v>0</v>
      </c>
      <c r="P396" t="n">
        <v>0</v>
      </c>
      <c r="Q396" t="n">
        <v>0</v>
      </c>
      <c r="R396" s="2" t="inlineStr"/>
    </row>
    <row r="397" ht="15" customHeight="1">
      <c r="A397" t="inlineStr">
        <is>
          <t>A 58211-2024</t>
        </is>
      </c>
      <c r="B397" s="1" t="n">
        <v>45632.49292824074</v>
      </c>
      <c r="C397" s="1" t="n">
        <v>45883</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45883</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43790-2024</t>
        </is>
      </c>
      <c r="B399" s="1" t="n">
        <v>45571</v>
      </c>
      <c r="C399" s="1" t="n">
        <v>45883</v>
      </c>
      <c r="D399" t="inlineStr">
        <is>
          <t>GOTLANDS LÄN</t>
        </is>
      </c>
      <c r="E399" t="inlineStr">
        <is>
          <t>GOTLAND</t>
        </is>
      </c>
      <c r="G399" t="n">
        <v>3.5</v>
      </c>
      <c r="H399" t="n">
        <v>0</v>
      </c>
      <c r="I399" t="n">
        <v>0</v>
      </c>
      <c r="J399" t="n">
        <v>0</v>
      </c>
      <c r="K399" t="n">
        <v>0</v>
      </c>
      <c r="L399" t="n">
        <v>0</v>
      </c>
      <c r="M399" t="n">
        <v>0</v>
      </c>
      <c r="N399" t="n">
        <v>0</v>
      </c>
      <c r="O399" t="n">
        <v>0</v>
      </c>
      <c r="P399" t="n">
        <v>0</v>
      </c>
      <c r="Q399" t="n">
        <v>0</v>
      </c>
      <c r="R399" s="2" t="inlineStr"/>
    </row>
    <row r="400" ht="15" customHeight="1">
      <c r="A400" t="inlineStr">
        <is>
          <t>A 30956-2024</t>
        </is>
      </c>
      <c r="B400" s="1" t="n">
        <v>45499.42527777778</v>
      </c>
      <c r="C400" s="1" t="n">
        <v>45883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30892-2024</t>
        </is>
      </c>
      <c r="B401" s="1" t="n">
        <v>45491</v>
      </c>
      <c r="C401" s="1" t="n">
        <v>45883</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41373-2024</t>
        </is>
      </c>
      <c r="B402" s="1" t="n">
        <v>45559.82556712963</v>
      </c>
      <c r="C402" s="1" t="n">
        <v>45883</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1477-2024</t>
        </is>
      </c>
      <c r="B403" s="1" t="n">
        <v>45305.37987268518</v>
      </c>
      <c r="C403" s="1" t="n">
        <v>45883</v>
      </c>
      <c r="D403" t="inlineStr">
        <is>
          <t>GOTLANDS LÄN</t>
        </is>
      </c>
      <c r="E403" t="inlineStr">
        <is>
          <t>GOTLAND</t>
        </is>
      </c>
      <c r="G403" t="n">
        <v>6.9</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45883</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1677-2023</t>
        </is>
      </c>
      <c r="B405" s="1" t="n">
        <v>44938</v>
      </c>
      <c r="C405" s="1" t="n">
        <v>45883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59469-2024</t>
        </is>
      </c>
      <c r="B406" s="1" t="n">
        <v>45638</v>
      </c>
      <c r="C406" s="1" t="n">
        <v>45883</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7858-2025</t>
        </is>
      </c>
      <c r="B407" s="1" t="n">
        <v>45706.68633101852</v>
      </c>
      <c r="C407" s="1" t="n">
        <v>45883</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45244-2024</t>
        </is>
      </c>
      <c r="B408" s="1" t="n">
        <v>45576</v>
      </c>
      <c r="C408" s="1" t="n">
        <v>45883</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53935-2024</t>
        </is>
      </c>
      <c r="B409" s="1" t="n">
        <v>45615</v>
      </c>
      <c r="C409" s="1" t="n">
        <v>45883</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37591-2023</t>
        </is>
      </c>
      <c r="B410" s="1" t="n">
        <v>45159</v>
      </c>
      <c r="C410" s="1" t="n">
        <v>45883</v>
      </c>
      <c r="D410" t="inlineStr">
        <is>
          <t>GOTLANDS LÄN</t>
        </is>
      </c>
      <c r="E410" t="inlineStr">
        <is>
          <t>GOTLAND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45883</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45106-2024</t>
        </is>
      </c>
      <c r="B412" s="1" t="n">
        <v>45575</v>
      </c>
      <c r="C412" s="1" t="n">
        <v>45883</v>
      </c>
      <c r="D412" t="inlineStr">
        <is>
          <t>GOTLANDS LÄN</t>
        </is>
      </c>
      <c r="E412" t="inlineStr">
        <is>
          <t>GOTLAND</t>
        </is>
      </c>
      <c r="G412" t="n">
        <v>10</v>
      </c>
      <c r="H412" t="n">
        <v>0</v>
      </c>
      <c r="I412" t="n">
        <v>0</v>
      </c>
      <c r="J412" t="n">
        <v>0</v>
      </c>
      <c r="K412" t="n">
        <v>0</v>
      </c>
      <c r="L412" t="n">
        <v>0</v>
      </c>
      <c r="M412" t="n">
        <v>0</v>
      </c>
      <c r="N412" t="n">
        <v>0</v>
      </c>
      <c r="O412" t="n">
        <v>0</v>
      </c>
      <c r="P412" t="n">
        <v>0</v>
      </c>
      <c r="Q412" t="n">
        <v>0</v>
      </c>
      <c r="R412" s="2" t="inlineStr"/>
    </row>
    <row r="413" ht="15" customHeight="1">
      <c r="A413" t="inlineStr">
        <is>
          <t>A 45112-2024</t>
        </is>
      </c>
      <c r="B413" s="1" t="n">
        <v>45575</v>
      </c>
      <c r="C413" s="1" t="n">
        <v>45883</v>
      </c>
      <c r="D413" t="inlineStr">
        <is>
          <t>GOTLANDS LÄN</t>
        </is>
      </c>
      <c r="E413" t="inlineStr">
        <is>
          <t>GOTLAND</t>
        </is>
      </c>
      <c r="G413" t="n">
        <v>5.1</v>
      </c>
      <c r="H413" t="n">
        <v>0</v>
      </c>
      <c r="I413" t="n">
        <v>0</v>
      </c>
      <c r="J413" t="n">
        <v>0</v>
      </c>
      <c r="K413" t="n">
        <v>0</v>
      </c>
      <c r="L413" t="n">
        <v>0</v>
      </c>
      <c r="M413" t="n">
        <v>0</v>
      </c>
      <c r="N413" t="n">
        <v>0</v>
      </c>
      <c r="O413" t="n">
        <v>0</v>
      </c>
      <c r="P413" t="n">
        <v>0</v>
      </c>
      <c r="Q413" t="n">
        <v>0</v>
      </c>
      <c r="R413" s="2" t="inlineStr"/>
    </row>
    <row r="414" ht="15" customHeight="1">
      <c r="A414" t="inlineStr">
        <is>
          <t>A 18223-2025</t>
        </is>
      </c>
      <c r="B414" s="1" t="n">
        <v>45761</v>
      </c>
      <c r="C414" s="1" t="n">
        <v>45883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4420-2025</t>
        </is>
      </c>
      <c r="B415" s="1" t="n">
        <v>45686.47157407407</v>
      </c>
      <c r="C415" s="1" t="n">
        <v>45883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45883</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5891-2025</t>
        </is>
      </c>
      <c r="B417" s="1" t="n">
        <v>45695.38327546296</v>
      </c>
      <c r="C417" s="1" t="n">
        <v>45883</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8260-2023</t>
        </is>
      </c>
      <c r="B418" s="1" t="n">
        <v>44974.61608796296</v>
      </c>
      <c r="C418" s="1" t="n">
        <v>45883</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64969-2023</t>
        </is>
      </c>
      <c r="B419" s="1" t="n">
        <v>45284.54009259259</v>
      </c>
      <c r="C419" s="1" t="n">
        <v>45883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48843-2024</t>
        </is>
      </c>
      <c r="B420" s="1" t="n">
        <v>45593</v>
      </c>
      <c r="C420" s="1" t="n">
        <v>45883</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17541-2024</t>
        </is>
      </c>
      <c r="B421" s="1" t="n">
        <v>45415</v>
      </c>
      <c r="C421" s="1" t="n">
        <v>45883</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3150-2025</t>
        </is>
      </c>
      <c r="B422" s="1" t="n">
        <v>45679.28974537037</v>
      </c>
      <c r="C422" s="1" t="n">
        <v>45883</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8484-2025</t>
        </is>
      </c>
      <c r="B423" s="1" t="n">
        <v>45709</v>
      </c>
      <c r="C423" s="1" t="n">
        <v>45883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45883</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45883</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45883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2241-2025</t>
        </is>
      </c>
      <c r="B427" s="1" t="n">
        <v>45673.48710648148</v>
      </c>
      <c r="C427" s="1" t="n">
        <v>45883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7835-2024</t>
        </is>
      </c>
      <c r="B428" s="1" t="n">
        <v>45349.83138888889</v>
      </c>
      <c r="C428" s="1" t="n">
        <v>45883</v>
      </c>
      <c r="D428" t="inlineStr">
        <is>
          <t>GOTLANDS LÄN</t>
        </is>
      </c>
      <c r="E428" t="inlineStr">
        <is>
          <t>GOTLAND</t>
        </is>
      </c>
      <c r="G428" t="n">
        <v>3.8</v>
      </c>
      <c r="H428" t="n">
        <v>0</v>
      </c>
      <c r="I428" t="n">
        <v>0</v>
      </c>
      <c r="J428" t="n">
        <v>0</v>
      </c>
      <c r="K428" t="n">
        <v>0</v>
      </c>
      <c r="L428" t="n">
        <v>0</v>
      </c>
      <c r="M428" t="n">
        <v>0</v>
      </c>
      <c r="N428" t="n">
        <v>0</v>
      </c>
      <c r="O428" t="n">
        <v>0</v>
      </c>
      <c r="P428" t="n">
        <v>0</v>
      </c>
      <c r="Q428" t="n">
        <v>0</v>
      </c>
      <c r="R428" s="2" t="inlineStr"/>
    </row>
    <row r="429" ht="15" customHeight="1">
      <c r="A429" t="inlineStr">
        <is>
          <t>A 20794-2025</t>
        </is>
      </c>
      <c r="B429" s="1" t="n">
        <v>45776</v>
      </c>
      <c r="C429" s="1" t="n">
        <v>45883</v>
      </c>
      <c r="D429" t="inlineStr">
        <is>
          <t>GOTLANDS LÄN</t>
        </is>
      </c>
      <c r="E429" t="inlineStr">
        <is>
          <t>GOTLAND</t>
        </is>
      </c>
      <c r="G429" t="n">
        <v>6</v>
      </c>
      <c r="H429" t="n">
        <v>0</v>
      </c>
      <c r="I429" t="n">
        <v>0</v>
      </c>
      <c r="J429" t="n">
        <v>0</v>
      </c>
      <c r="K429" t="n">
        <v>0</v>
      </c>
      <c r="L429" t="n">
        <v>0</v>
      </c>
      <c r="M429" t="n">
        <v>0</v>
      </c>
      <c r="N429" t="n">
        <v>0</v>
      </c>
      <c r="O429" t="n">
        <v>0</v>
      </c>
      <c r="P429" t="n">
        <v>0</v>
      </c>
      <c r="Q429" t="n">
        <v>0</v>
      </c>
      <c r="R429" s="2" t="inlineStr"/>
    </row>
    <row r="430" ht="15" customHeight="1">
      <c r="A430" t="inlineStr">
        <is>
          <t>A 20812-2025</t>
        </is>
      </c>
      <c r="B430" s="1" t="n">
        <v>45776</v>
      </c>
      <c r="C430" s="1" t="n">
        <v>45883</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20805-2025</t>
        </is>
      </c>
      <c r="B431" s="1" t="n">
        <v>45776</v>
      </c>
      <c r="C431" s="1" t="n">
        <v>45883</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45883</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48734-2022</t>
        </is>
      </c>
      <c r="B433" s="1" t="n">
        <v>44855</v>
      </c>
      <c r="C433" s="1" t="n">
        <v>45883</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45883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45883</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29809-2022</t>
        </is>
      </c>
      <c r="B436" s="1" t="n">
        <v>44755.8713425926</v>
      </c>
      <c r="C436" s="1" t="n">
        <v>45883</v>
      </c>
      <c r="D436" t="inlineStr">
        <is>
          <t>GOTLANDS LÄN</t>
        </is>
      </c>
      <c r="E436" t="inlineStr">
        <is>
          <t>GOTLAND</t>
        </is>
      </c>
      <c r="G436" t="n">
        <v>11.5</v>
      </c>
      <c r="H436" t="n">
        <v>0</v>
      </c>
      <c r="I436" t="n">
        <v>0</v>
      </c>
      <c r="J436" t="n">
        <v>0</v>
      </c>
      <c r="K436" t="n">
        <v>0</v>
      </c>
      <c r="L436" t="n">
        <v>0</v>
      </c>
      <c r="M436" t="n">
        <v>0</v>
      </c>
      <c r="N436" t="n">
        <v>0</v>
      </c>
      <c r="O436" t="n">
        <v>0</v>
      </c>
      <c r="P436" t="n">
        <v>0</v>
      </c>
      <c r="Q436" t="n">
        <v>0</v>
      </c>
      <c r="R436" s="2" t="inlineStr"/>
    </row>
    <row r="437" ht="15" customHeight="1">
      <c r="A437" t="inlineStr">
        <is>
          <t>A 1345-2025</t>
        </is>
      </c>
      <c r="B437" s="1" t="n">
        <v>45667.60511574074</v>
      </c>
      <c r="C437" s="1" t="n">
        <v>45883</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5943-2024</t>
        </is>
      </c>
      <c r="B438" s="1" t="n">
        <v>45336</v>
      </c>
      <c r="C438" s="1" t="n">
        <v>45883</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54073-2022</t>
        </is>
      </c>
      <c r="B439" s="1" t="n">
        <v>44881.50380787037</v>
      </c>
      <c r="C439" s="1" t="n">
        <v>45883</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16361-2024</t>
        </is>
      </c>
      <c r="B440" s="1" t="n">
        <v>45407</v>
      </c>
      <c r="C440" s="1" t="n">
        <v>45883</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21389-2025</t>
        </is>
      </c>
      <c r="B441" s="1" t="n">
        <v>45782</v>
      </c>
      <c r="C441" s="1" t="n">
        <v>45883</v>
      </c>
      <c r="D441" t="inlineStr">
        <is>
          <t>GOTLANDS LÄN</t>
        </is>
      </c>
      <c r="E441" t="inlineStr">
        <is>
          <t>GOTLAND</t>
        </is>
      </c>
      <c r="G441" t="n">
        <v>4.1</v>
      </c>
      <c r="H441" t="n">
        <v>0</v>
      </c>
      <c r="I441" t="n">
        <v>0</v>
      </c>
      <c r="J441" t="n">
        <v>0</v>
      </c>
      <c r="K441" t="n">
        <v>0</v>
      </c>
      <c r="L441" t="n">
        <v>0</v>
      </c>
      <c r="M441" t="n">
        <v>0</v>
      </c>
      <c r="N441" t="n">
        <v>0</v>
      </c>
      <c r="O441" t="n">
        <v>0</v>
      </c>
      <c r="P441" t="n">
        <v>0</v>
      </c>
      <c r="Q441" t="n">
        <v>0</v>
      </c>
      <c r="R441" s="2" t="inlineStr"/>
    </row>
    <row r="442" ht="15" customHeight="1">
      <c r="A442" t="inlineStr">
        <is>
          <t>A 41038-2023</t>
        </is>
      </c>
      <c r="B442" s="1" t="n">
        <v>45173.60959490741</v>
      </c>
      <c r="C442" s="1" t="n">
        <v>45883</v>
      </c>
      <c r="D442" t="inlineStr">
        <is>
          <t>GOTLANDS LÄN</t>
        </is>
      </c>
      <c r="E442" t="inlineStr">
        <is>
          <t>GOTLAND</t>
        </is>
      </c>
      <c r="G442" t="n">
        <v>2.7</v>
      </c>
      <c r="H442" t="n">
        <v>0</v>
      </c>
      <c r="I442" t="n">
        <v>0</v>
      </c>
      <c r="J442" t="n">
        <v>0</v>
      </c>
      <c r="K442" t="n">
        <v>0</v>
      </c>
      <c r="L442" t="n">
        <v>0</v>
      </c>
      <c r="M442" t="n">
        <v>0</v>
      </c>
      <c r="N442" t="n">
        <v>0</v>
      </c>
      <c r="O442" t="n">
        <v>0</v>
      </c>
      <c r="P442" t="n">
        <v>0</v>
      </c>
      <c r="Q442" t="n">
        <v>0</v>
      </c>
      <c r="R442" s="2" t="inlineStr"/>
    </row>
    <row r="443" ht="15" customHeight="1">
      <c r="A443" t="inlineStr">
        <is>
          <t>A 21142-2025</t>
        </is>
      </c>
      <c r="B443" s="1" t="n">
        <v>45779</v>
      </c>
      <c r="C443" s="1" t="n">
        <v>45883</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21651-2025</t>
        </is>
      </c>
      <c r="B444" s="1" t="n">
        <v>45783</v>
      </c>
      <c r="C444" s="1" t="n">
        <v>45883</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45883</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12599-2025</t>
        </is>
      </c>
      <c r="B446" s="1" t="n">
        <v>45733.29546296296</v>
      </c>
      <c r="C446" s="1" t="n">
        <v>45883</v>
      </c>
      <c r="D446" t="inlineStr">
        <is>
          <t>GOTLANDS LÄN</t>
        </is>
      </c>
      <c r="E446" t="inlineStr">
        <is>
          <t>GOTLAND</t>
        </is>
      </c>
      <c r="G446" t="n">
        <v>4.7</v>
      </c>
      <c r="H446" t="n">
        <v>0</v>
      </c>
      <c r="I446" t="n">
        <v>0</v>
      </c>
      <c r="J446" t="n">
        <v>0</v>
      </c>
      <c r="K446" t="n">
        <v>0</v>
      </c>
      <c r="L446" t="n">
        <v>0</v>
      </c>
      <c r="M446" t="n">
        <v>0</v>
      </c>
      <c r="N446" t="n">
        <v>0</v>
      </c>
      <c r="O446" t="n">
        <v>0</v>
      </c>
      <c r="P446" t="n">
        <v>0</v>
      </c>
      <c r="Q446" t="n">
        <v>0</v>
      </c>
      <c r="R446" s="2" t="inlineStr"/>
    </row>
    <row r="447" ht="15" customHeight="1">
      <c r="A447" t="inlineStr">
        <is>
          <t>A 34142-2024</t>
        </is>
      </c>
      <c r="B447" s="1" t="n">
        <v>45524.36521990741</v>
      </c>
      <c r="C447" s="1" t="n">
        <v>45883</v>
      </c>
      <c r="D447" t="inlineStr">
        <is>
          <t>GOTLANDS LÄN</t>
        </is>
      </c>
      <c r="E447" t="inlineStr">
        <is>
          <t>GOTLAND</t>
        </is>
      </c>
      <c r="G447" t="n">
        <v>6</v>
      </c>
      <c r="H447" t="n">
        <v>0</v>
      </c>
      <c r="I447" t="n">
        <v>0</v>
      </c>
      <c r="J447" t="n">
        <v>0</v>
      </c>
      <c r="K447" t="n">
        <v>0</v>
      </c>
      <c r="L447" t="n">
        <v>0</v>
      </c>
      <c r="M447" t="n">
        <v>0</v>
      </c>
      <c r="N447" t="n">
        <v>0</v>
      </c>
      <c r="O447" t="n">
        <v>0</v>
      </c>
      <c r="P447" t="n">
        <v>0</v>
      </c>
      <c r="Q447" t="n">
        <v>0</v>
      </c>
      <c r="R447" s="2" t="inlineStr"/>
    </row>
    <row r="448" ht="15" customHeight="1">
      <c r="A448" t="inlineStr">
        <is>
          <t>A 14427-2024</t>
        </is>
      </c>
      <c r="B448" s="1" t="n">
        <v>45394</v>
      </c>
      <c r="C448" s="1" t="n">
        <v>45883</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45883</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31802-2024</t>
        </is>
      </c>
      <c r="B450" s="1" t="n">
        <v>45509</v>
      </c>
      <c r="C450" s="1" t="n">
        <v>45883</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7034-2023</t>
        </is>
      </c>
      <c r="B451" s="1" t="n">
        <v>44968.32108796296</v>
      </c>
      <c r="C451" s="1" t="n">
        <v>45883</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7042-2023</t>
        </is>
      </c>
      <c r="B452" s="1" t="n">
        <v>44968</v>
      </c>
      <c r="C452" s="1" t="n">
        <v>45883</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14570-2025</t>
        </is>
      </c>
      <c r="B453" s="1" t="n">
        <v>45741.87113425926</v>
      </c>
      <c r="C453" s="1" t="n">
        <v>45883</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23516-2023</t>
        </is>
      </c>
      <c r="B454" s="1" t="n">
        <v>45076.93391203704</v>
      </c>
      <c r="C454" s="1" t="n">
        <v>45883</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64660-2023</t>
        </is>
      </c>
      <c r="B455" s="1" t="n">
        <v>45281.60122685185</v>
      </c>
      <c r="C455" s="1" t="n">
        <v>45883</v>
      </c>
      <c r="D455" t="inlineStr">
        <is>
          <t>GOTLANDS LÄN</t>
        </is>
      </c>
      <c r="E455" t="inlineStr">
        <is>
          <t>GOTLAND</t>
        </is>
      </c>
      <c r="G455" t="n">
        <v>6.3</v>
      </c>
      <c r="H455" t="n">
        <v>0</v>
      </c>
      <c r="I455" t="n">
        <v>0</v>
      </c>
      <c r="J455" t="n">
        <v>0</v>
      </c>
      <c r="K455" t="n">
        <v>0</v>
      </c>
      <c r="L455" t="n">
        <v>0</v>
      </c>
      <c r="M455" t="n">
        <v>0</v>
      </c>
      <c r="N455" t="n">
        <v>0</v>
      </c>
      <c r="O455" t="n">
        <v>0</v>
      </c>
      <c r="P455" t="n">
        <v>0</v>
      </c>
      <c r="Q455" t="n">
        <v>0</v>
      </c>
      <c r="R455" s="2" t="inlineStr"/>
    </row>
    <row r="456" ht="15" customHeight="1">
      <c r="A456" t="inlineStr">
        <is>
          <t>A 8684-2025</t>
        </is>
      </c>
      <c r="B456" s="1" t="n">
        <v>45712.45605324074</v>
      </c>
      <c r="C456" s="1" t="n">
        <v>45883</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63763-2023</t>
        </is>
      </c>
      <c r="B457" s="1" t="n">
        <v>45278.33944444444</v>
      </c>
      <c r="C457" s="1" t="n">
        <v>45883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8036-2022</t>
        </is>
      </c>
      <c r="B458" s="1" t="n">
        <v>44609.44362268518</v>
      </c>
      <c r="C458" s="1" t="n">
        <v>45883</v>
      </c>
      <c r="D458" t="inlineStr">
        <is>
          <t>GOTLANDS LÄN</t>
        </is>
      </c>
      <c r="E458" t="inlineStr">
        <is>
          <t>GOTLAND</t>
        </is>
      </c>
      <c r="G458" t="n">
        <v>6.1</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45883</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44508.34518518519</v>
      </c>
      <c r="C460" s="1" t="n">
        <v>45883</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46375-2024</t>
        </is>
      </c>
      <c r="B461" s="1" t="n">
        <v>45582</v>
      </c>
      <c r="C461" s="1" t="n">
        <v>45883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57356-2023</t>
        </is>
      </c>
      <c r="B462" s="1" t="n">
        <v>45240</v>
      </c>
      <c r="C462" s="1" t="n">
        <v>45883</v>
      </c>
      <c r="D462" t="inlineStr">
        <is>
          <t>GOTLANDS LÄN</t>
        </is>
      </c>
      <c r="E462" t="inlineStr">
        <is>
          <t>GOTLAND</t>
        </is>
      </c>
      <c r="G462" t="n">
        <v>6.4</v>
      </c>
      <c r="H462" t="n">
        <v>0</v>
      </c>
      <c r="I462" t="n">
        <v>0</v>
      </c>
      <c r="J462" t="n">
        <v>0</v>
      </c>
      <c r="K462" t="n">
        <v>0</v>
      </c>
      <c r="L462" t="n">
        <v>0</v>
      </c>
      <c r="M462" t="n">
        <v>0</v>
      </c>
      <c r="N462" t="n">
        <v>0</v>
      </c>
      <c r="O462" t="n">
        <v>0</v>
      </c>
      <c r="P462" t="n">
        <v>0</v>
      </c>
      <c r="Q462" t="n">
        <v>0</v>
      </c>
      <c r="R462" s="2" t="inlineStr"/>
    </row>
    <row r="463" ht="15" customHeight="1">
      <c r="A463" t="inlineStr">
        <is>
          <t>A 10656-2024</t>
        </is>
      </c>
      <c r="B463" s="1" t="n">
        <v>45368</v>
      </c>
      <c r="C463" s="1" t="n">
        <v>45883</v>
      </c>
      <c r="D463" t="inlineStr">
        <is>
          <t>GOTLANDS LÄN</t>
        </is>
      </c>
      <c r="E463" t="inlineStr">
        <is>
          <t>GOTLAND</t>
        </is>
      </c>
      <c r="G463" t="n">
        <v>1.5</v>
      </c>
      <c r="H463" t="n">
        <v>0</v>
      </c>
      <c r="I463" t="n">
        <v>0</v>
      </c>
      <c r="J463" t="n">
        <v>0</v>
      </c>
      <c r="K463" t="n">
        <v>0</v>
      </c>
      <c r="L463" t="n">
        <v>0</v>
      </c>
      <c r="M463" t="n">
        <v>0</v>
      </c>
      <c r="N463" t="n">
        <v>0</v>
      </c>
      <c r="O463" t="n">
        <v>0</v>
      </c>
      <c r="P463" t="n">
        <v>0</v>
      </c>
      <c r="Q463" t="n">
        <v>0</v>
      </c>
      <c r="R463" s="2" t="inlineStr"/>
    </row>
    <row r="464" ht="15" customHeight="1">
      <c r="A464" t="inlineStr">
        <is>
          <t>A 1734-2025</t>
        </is>
      </c>
      <c r="B464" s="1" t="n">
        <v>45671.3840625</v>
      </c>
      <c r="C464" s="1" t="n">
        <v>45883</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28506-2023</t>
        </is>
      </c>
      <c r="B465" s="1" t="n">
        <v>45103</v>
      </c>
      <c r="C465" s="1" t="n">
        <v>45883</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45883</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20993-2023</t>
        </is>
      </c>
      <c r="B467" s="1" t="n">
        <v>45056</v>
      </c>
      <c r="C467" s="1" t="n">
        <v>45883</v>
      </c>
      <c r="D467" t="inlineStr">
        <is>
          <t>GOTLANDS LÄN</t>
        </is>
      </c>
      <c r="E467" t="inlineStr">
        <is>
          <t>GOTLAND</t>
        </is>
      </c>
      <c r="G467" t="n">
        <v>7.1</v>
      </c>
      <c r="H467" t="n">
        <v>0</v>
      </c>
      <c r="I467" t="n">
        <v>0</v>
      </c>
      <c r="J467" t="n">
        <v>0</v>
      </c>
      <c r="K467" t="n">
        <v>0</v>
      </c>
      <c r="L467" t="n">
        <v>0</v>
      </c>
      <c r="M467" t="n">
        <v>0</v>
      </c>
      <c r="N467" t="n">
        <v>0</v>
      </c>
      <c r="O467" t="n">
        <v>0</v>
      </c>
      <c r="P467" t="n">
        <v>0</v>
      </c>
      <c r="Q467" t="n">
        <v>0</v>
      </c>
      <c r="R467" s="2" t="inlineStr"/>
    </row>
    <row r="468" ht="15" customHeight="1">
      <c r="A468" t="inlineStr">
        <is>
          <t>A 60908-2024</t>
        </is>
      </c>
      <c r="B468" s="1" t="n">
        <v>45645.31320601852</v>
      </c>
      <c r="C468" s="1" t="n">
        <v>45883</v>
      </c>
      <c r="D468" t="inlineStr">
        <is>
          <t>GOTLANDS LÄN</t>
        </is>
      </c>
      <c r="E468" t="inlineStr">
        <is>
          <t>GOTLAND</t>
        </is>
      </c>
      <c r="G468" t="n">
        <v>7.1</v>
      </c>
      <c r="H468" t="n">
        <v>0</v>
      </c>
      <c r="I468" t="n">
        <v>0</v>
      </c>
      <c r="J468" t="n">
        <v>0</v>
      </c>
      <c r="K468" t="n">
        <v>0</v>
      </c>
      <c r="L468" t="n">
        <v>0</v>
      </c>
      <c r="M468" t="n">
        <v>0</v>
      </c>
      <c r="N468" t="n">
        <v>0</v>
      </c>
      <c r="O468" t="n">
        <v>0</v>
      </c>
      <c r="P468" t="n">
        <v>0</v>
      </c>
      <c r="Q468" t="n">
        <v>0</v>
      </c>
      <c r="R468" s="2" t="inlineStr"/>
    </row>
    <row r="469" ht="15" customHeight="1">
      <c r="A469" t="inlineStr">
        <is>
          <t>A 23188-2025</t>
        </is>
      </c>
      <c r="B469" s="1" t="n">
        <v>45791</v>
      </c>
      <c r="C469" s="1" t="n">
        <v>45883</v>
      </c>
      <c r="D469" t="inlineStr">
        <is>
          <t>GOTLANDS LÄN</t>
        </is>
      </c>
      <c r="E469" t="inlineStr">
        <is>
          <t>GOTLAND</t>
        </is>
      </c>
      <c r="G469" t="n">
        <v>6.2</v>
      </c>
      <c r="H469" t="n">
        <v>0</v>
      </c>
      <c r="I469" t="n">
        <v>0</v>
      </c>
      <c r="J469" t="n">
        <v>0</v>
      </c>
      <c r="K469" t="n">
        <v>0</v>
      </c>
      <c r="L469" t="n">
        <v>0</v>
      </c>
      <c r="M469" t="n">
        <v>0</v>
      </c>
      <c r="N469" t="n">
        <v>0</v>
      </c>
      <c r="O469" t="n">
        <v>0</v>
      </c>
      <c r="P469" t="n">
        <v>0</v>
      </c>
      <c r="Q469" t="n">
        <v>0</v>
      </c>
      <c r="R469" s="2" t="inlineStr"/>
    </row>
    <row r="470" ht="15" customHeight="1">
      <c r="A470" t="inlineStr">
        <is>
          <t>A 12596-2023</t>
        </is>
      </c>
      <c r="B470" s="1" t="n">
        <v>45000.43310185185</v>
      </c>
      <c r="C470" s="1" t="n">
        <v>45883</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2125-2025</t>
        </is>
      </c>
      <c r="B471" s="1" t="n">
        <v>45672.64940972222</v>
      </c>
      <c r="C471" s="1" t="n">
        <v>45883</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12155-2023</t>
        </is>
      </c>
      <c r="B472" s="1" t="n">
        <v>44998.49106481481</v>
      </c>
      <c r="C472" s="1" t="n">
        <v>45883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23473-2025</t>
        </is>
      </c>
      <c r="B473" s="1" t="n">
        <v>45792</v>
      </c>
      <c r="C473" s="1" t="n">
        <v>45883</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457-2023</t>
        </is>
      </c>
      <c r="B474" s="1" t="n">
        <v>44929.87238425926</v>
      </c>
      <c r="C474" s="1" t="n">
        <v>45883</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459-2023</t>
        </is>
      </c>
      <c r="B475" s="1" t="n">
        <v>44929.87423611111</v>
      </c>
      <c r="C475" s="1" t="n">
        <v>45883</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38234-2023</t>
        </is>
      </c>
      <c r="B476" s="1" t="n">
        <v>45161.56663194444</v>
      </c>
      <c r="C476" s="1" t="n">
        <v>45883</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50744-2024</t>
        </is>
      </c>
      <c r="B477" s="1" t="n">
        <v>45602.4187037037</v>
      </c>
      <c r="C477" s="1" t="n">
        <v>45883</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23856-2025</t>
        </is>
      </c>
      <c r="B478" s="1" t="n">
        <v>45793</v>
      </c>
      <c r="C478" s="1" t="n">
        <v>45883</v>
      </c>
      <c r="D478" t="inlineStr">
        <is>
          <t>GOTLANDS LÄN</t>
        </is>
      </c>
      <c r="E478" t="inlineStr">
        <is>
          <t>GOTLAND</t>
        </is>
      </c>
      <c r="G478" t="n">
        <v>4.4</v>
      </c>
      <c r="H478" t="n">
        <v>0</v>
      </c>
      <c r="I478" t="n">
        <v>0</v>
      </c>
      <c r="J478" t="n">
        <v>0</v>
      </c>
      <c r="K478" t="n">
        <v>0</v>
      </c>
      <c r="L478" t="n">
        <v>0</v>
      </c>
      <c r="M478" t="n">
        <v>0</v>
      </c>
      <c r="N478" t="n">
        <v>0</v>
      </c>
      <c r="O478" t="n">
        <v>0</v>
      </c>
      <c r="P478" t="n">
        <v>0</v>
      </c>
      <c r="Q478" t="n">
        <v>0</v>
      </c>
      <c r="R478" s="2" t="inlineStr"/>
    </row>
    <row r="479" ht="15" customHeight="1">
      <c r="A479" t="inlineStr">
        <is>
          <t>A 23700-2025</t>
        </is>
      </c>
      <c r="B479" s="1" t="n">
        <v>45793</v>
      </c>
      <c r="C479" s="1" t="n">
        <v>45883</v>
      </c>
      <c r="D479" t="inlineStr">
        <is>
          <t>GOTLANDS LÄN</t>
        </is>
      </c>
      <c r="E479" t="inlineStr">
        <is>
          <t>GOTLAND</t>
        </is>
      </c>
      <c r="G479" t="n">
        <v>2.2</v>
      </c>
      <c r="H479" t="n">
        <v>0</v>
      </c>
      <c r="I479" t="n">
        <v>0</v>
      </c>
      <c r="J479" t="n">
        <v>0</v>
      </c>
      <c r="K479" t="n">
        <v>0</v>
      </c>
      <c r="L479" t="n">
        <v>0</v>
      </c>
      <c r="M479" t="n">
        <v>0</v>
      </c>
      <c r="N479" t="n">
        <v>0</v>
      </c>
      <c r="O479" t="n">
        <v>0</v>
      </c>
      <c r="P479" t="n">
        <v>0</v>
      </c>
      <c r="Q479" t="n">
        <v>0</v>
      </c>
      <c r="R479" s="2" t="inlineStr"/>
    </row>
    <row r="480" ht="15" customHeight="1">
      <c r="A480" t="inlineStr">
        <is>
          <t>A 15073-2025</t>
        </is>
      </c>
      <c r="B480" s="1" t="n">
        <v>45743</v>
      </c>
      <c r="C480" s="1" t="n">
        <v>45883</v>
      </c>
      <c r="D480" t="inlineStr">
        <is>
          <t>GOTLANDS LÄN</t>
        </is>
      </c>
      <c r="E480" t="inlineStr">
        <is>
          <t>GOTLAND</t>
        </is>
      </c>
      <c r="G480" t="n">
        <v>12.1</v>
      </c>
      <c r="H480" t="n">
        <v>0</v>
      </c>
      <c r="I480" t="n">
        <v>0</v>
      </c>
      <c r="J480" t="n">
        <v>0</v>
      </c>
      <c r="K480" t="n">
        <v>0</v>
      </c>
      <c r="L480" t="n">
        <v>0</v>
      </c>
      <c r="M480" t="n">
        <v>0</v>
      </c>
      <c r="N480" t="n">
        <v>0</v>
      </c>
      <c r="O480" t="n">
        <v>0</v>
      </c>
      <c r="P480" t="n">
        <v>0</v>
      </c>
      <c r="Q480" t="n">
        <v>0</v>
      </c>
      <c r="R480" s="2" t="inlineStr"/>
    </row>
    <row r="481" ht="15" customHeight="1">
      <c r="A481" t="inlineStr">
        <is>
          <t>A 53934-2024</t>
        </is>
      </c>
      <c r="B481" s="1" t="n">
        <v>45615</v>
      </c>
      <c r="C481" s="1" t="n">
        <v>45883</v>
      </c>
      <c r="D481" t="inlineStr">
        <is>
          <t>GOTLANDS LÄN</t>
        </is>
      </c>
      <c r="E481" t="inlineStr">
        <is>
          <t>GOTLAND</t>
        </is>
      </c>
      <c r="G481" t="n">
        <v>5</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45883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6749-2025</t>
        </is>
      </c>
      <c r="B483" s="1" t="n">
        <v>45700</v>
      </c>
      <c r="C483" s="1" t="n">
        <v>45883</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15075-2025</t>
        </is>
      </c>
      <c r="B484" s="1" t="n">
        <v>45743</v>
      </c>
      <c r="C484" s="1" t="n">
        <v>45883</v>
      </c>
      <c r="D484" t="inlineStr">
        <is>
          <t>GOTLANDS LÄN</t>
        </is>
      </c>
      <c r="E484" t="inlineStr">
        <is>
          <t>GOTLAND</t>
        </is>
      </c>
      <c r="G484" t="n">
        <v>20.9</v>
      </c>
      <c r="H484" t="n">
        <v>0</v>
      </c>
      <c r="I484" t="n">
        <v>0</v>
      </c>
      <c r="J484" t="n">
        <v>0</v>
      </c>
      <c r="K484" t="n">
        <v>0</v>
      </c>
      <c r="L484" t="n">
        <v>0</v>
      </c>
      <c r="M484" t="n">
        <v>0</v>
      </c>
      <c r="N484" t="n">
        <v>0</v>
      </c>
      <c r="O484" t="n">
        <v>0</v>
      </c>
      <c r="P484" t="n">
        <v>0</v>
      </c>
      <c r="Q484" t="n">
        <v>0</v>
      </c>
      <c r="R484" s="2" t="inlineStr"/>
    </row>
    <row r="485" ht="15" customHeight="1">
      <c r="A485" t="inlineStr">
        <is>
          <t>A 23698-2025</t>
        </is>
      </c>
      <c r="B485" s="1" t="n">
        <v>45793</v>
      </c>
      <c r="C485" s="1" t="n">
        <v>45883</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44624.57945601852</v>
      </c>
      <c r="C486" s="1" t="n">
        <v>45883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1446-2025</t>
        </is>
      </c>
      <c r="B487" s="1" t="n">
        <v>45669.86035879629</v>
      </c>
      <c r="C487" s="1" t="n">
        <v>45883</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10813-2025</t>
        </is>
      </c>
      <c r="B488" s="1" t="n">
        <v>45722.54163194444</v>
      </c>
      <c r="C488" s="1" t="n">
        <v>45883</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17227-2021</t>
        </is>
      </c>
      <c r="B489" s="1" t="n">
        <v>44298.49725694444</v>
      </c>
      <c r="C489" s="1" t="n">
        <v>45883</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5462-2025</t>
        </is>
      </c>
      <c r="B490" s="1" t="n">
        <v>45693.29331018519</v>
      </c>
      <c r="C490" s="1" t="n">
        <v>45883</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45883</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31264-2021</t>
        </is>
      </c>
      <c r="B492" s="1" t="n">
        <v>44368</v>
      </c>
      <c r="C492" s="1" t="n">
        <v>45883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43901-2023</t>
        </is>
      </c>
      <c r="B493" s="1" t="n">
        <v>45187</v>
      </c>
      <c r="C493" s="1" t="n">
        <v>45883</v>
      </c>
      <c r="D493" t="inlineStr">
        <is>
          <t>GOTLANDS LÄN</t>
        </is>
      </c>
      <c r="E493" t="inlineStr">
        <is>
          <t>GOTLAND</t>
        </is>
      </c>
      <c r="G493" t="n">
        <v>5.4</v>
      </c>
      <c r="H493" t="n">
        <v>0</v>
      </c>
      <c r="I493" t="n">
        <v>0</v>
      </c>
      <c r="J493" t="n">
        <v>0</v>
      </c>
      <c r="K493" t="n">
        <v>0</v>
      </c>
      <c r="L493" t="n">
        <v>0</v>
      </c>
      <c r="M493" t="n">
        <v>0</v>
      </c>
      <c r="N493" t="n">
        <v>0</v>
      </c>
      <c r="O493" t="n">
        <v>0</v>
      </c>
      <c r="P493" t="n">
        <v>0</v>
      </c>
      <c r="Q493" t="n">
        <v>0</v>
      </c>
      <c r="R493" s="2" t="inlineStr"/>
    </row>
    <row r="494" ht="15" customHeight="1">
      <c r="A494" t="inlineStr">
        <is>
          <t>A 11634-2024</t>
        </is>
      </c>
      <c r="B494" s="1" t="n">
        <v>45373</v>
      </c>
      <c r="C494" s="1" t="n">
        <v>45883</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1351-2025</t>
        </is>
      </c>
      <c r="B495" s="1" t="n">
        <v>45667.62246527777</v>
      </c>
      <c r="C495" s="1" t="n">
        <v>45883</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10746-2025</t>
        </is>
      </c>
      <c r="B496" s="1" t="n">
        <v>45722.42766203704</v>
      </c>
      <c r="C496" s="1" t="n">
        <v>45883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45883</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39496-2022</t>
        </is>
      </c>
      <c r="B498" s="1" t="n">
        <v>44818</v>
      </c>
      <c r="C498" s="1" t="n">
        <v>45883</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25796-2025</t>
        </is>
      </c>
      <c r="B499" s="1" t="n">
        <v>45804.39543981481</v>
      </c>
      <c r="C499" s="1" t="n">
        <v>45883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49874-2024</t>
        </is>
      </c>
      <c r="B500" s="1" t="n">
        <v>45597.49274305555</v>
      </c>
      <c r="C500" s="1" t="n">
        <v>45883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3930-2025</t>
        </is>
      </c>
      <c r="B501" s="1" t="n">
        <v>45684.45427083333</v>
      </c>
      <c r="C501" s="1" t="n">
        <v>45883</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45883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25678-2025</t>
        </is>
      </c>
      <c r="B503" s="1" t="n">
        <v>45803.64118055555</v>
      </c>
      <c r="C503" s="1" t="n">
        <v>45883</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46400-2023</t>
        </is>
      </c>
      <c r="B504" s="1" t="n">
        <v>45197.49290509259</v>
      </c>
      <c r="C504" s="1" t="n">
        <v>45883</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45883</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19002-2025</t>
        </is>
      </c>
      <c r="B506" s="1" t="n">
        <v>45764</v>
      </c>
      <c r="C506" s="1" t="n">
        <v>45883</v>
      </c>
      <c r="D506" t="inlineStr">
        <is>
          <t>GOTLANDS LÄN</t>
        </is>
      </c>
      <c r="E506" t="inlineStr">
        <is>
          <t>GOTLAND</t>
        </is>
      </c>
      <c r="G506" t="n">
        <v>2.1</v>
      </c>
      <c r="H506" t="n">
        <v>0</v>
      </c>
      <c r="I506" t="n">
        <v>0</v>
      </c>
      <c r="J506" t="n">
        <v>0</v>
      </c>
      <c r="K506" t="n">
        <v>0</v>
      </c>
      <c r="L506" t="n">
        <v>0</v>
      </c>
      <c r="M506" t="n">
        <v>0</v>
      </c>
      <c r="N506" t="n">
        <v>0</v>
      </c>
      <c r="O506" t="n">
        <v>0</v>
      </c>
      <c r="P506" t="n">
        <v>0</v>
      </c>
      <c r="Q506" t="n">
        <v>0</v>
      </c>
      <c r="R506" s="2" t="inlineStr"/>
    </row>
    <row r="507" ht="15" customHeight="1">
      <c r="A507" t="inlineStr">
        <is>
          <t>A 33932-2025</t>
        </is>
      </c>
      <c r="B507" s="1" t="n">
        <v>45842</v>
      </c>
      <c r="C507" s="1" t="n">
        <v>45883</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45883</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45883</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26391-2025</t>
        </is>
      </c>
      <c r="B510" s="1" t="n">
        <v>45806</v>
      </c>
      <c r="C510" s="1" t="n">
        <v>45883</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45883</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35133-2025</t>
        </is>
      </c>
      <c r="B512" s="1" t="n">
        <v>45852.6363425926</v>
      </c>
      <c r="C512" s="1" t="n">
        <v>45883</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35141-2025</t>
        </is>
      </c>
      <c r="B513" s="1" t="n">
        <v>45852.65206018519</v>
      </c>
      <c r="C513" s="1" t="n">
        <v>45883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35096-2025</t>
        </is>
      </c>
      <c r="B514" s="1" t="n">
        <v>45852.54356481481</v>
      </c>
      <c r="C514" s="1" t="n">
        <v>45883</v>
      </c>
      <c r="D514" t="inlineStr">
        <is>
          <t>GOTLANDS LÄN</t>
        </is>
      </c>
      <c r="E514" t="inlineStr">
        <is>
          <t>GOTLAND</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61897-2024</t>
        </is>
      </c>
      <c r="B515" s="1" t="n">
        <v>45652.75685185185</v>
      </c>
      <c r="C515" s="1" t="n">
        <v>45883</v>
      </c>
      <c r="D515" t="inlineStr">
        <is>
          <t>GOTLANDS LÄN</t>
        </is>
      </c>
      <c r="E515" t="inlineStr">
        <is>
          <t>GOTLAND</t>
        </is>
      </c>
      <c r="G515" t="n">
        <v>6.4</v>
      </c>
      <c r="H515" t="n">
        <v>0</v>
      </c>
      <c r="I515" t="n">
        <v>0</v>
      </c>
      <c r="J515" t="n">
        <v>0</v>
      </c>
      <c r="K515" t="n">
        <v>0</v>
      </c>
      <c r="L515" t="n">
        <v>0</v>
      </c>
      <c r="M515" t="n">
        <v>0</v>
      </c>
      <c r="N515" t="n">
        <v>0</v>
      </c>
      <c r="O515" t="n">
        <v>0</v>
      </c>
      <c r="P515" t="n">
        <v>0</v>
      </c>
      <c r="Q515" t="n">
        <v>0</v>
      </c>
      <c r="R515" s="2" t="inlineStr"/>
    </row>
    <row r="516" ht="15" customHeight="1">
      <c r="A516" t="inlineStr">
        <is>
          <t>A 49962-2023</t>
        </is>
      </c>
      <c r="B516" s="1" t="n">
        <v>45215.38775462963</v>
      </c>
      <c r="C516" s="1" t="n">
        <v>45883</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5674-2025</t>
        </is>
      </c>
      <c r="B517" s="1" t="n">
        <v>45694.28993055555</v>
      </c>
      <c r="C517" s="1" t="n">
        <v>45883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5676-2025</t>
        </is>
      </c>
      <c r="B518" s="1" t="n">
        <v>45694.29512731481</v>
      </c>
      <c r="C518" s="1" t="n">
        <v>45883</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20165-2022</t>
        </is>
      </c>
      <c r="B519" s="1" t="n">
        <v>44698.49854166667</v>
      </c>
      <c r="C519" s="1" t="n">
        <v>45883</v>
      </c>
      <c r="D519" t="inlineStr">
        <is>
          <t>GOTLANDS LÄN</t>
        </is>
      </c>
      <c r="E519" t="inlineStr">
        <is>
          <t>GOTLAND</t>
        </is>
      </c>
      <c r="G519" t="n">
        <v>4.1</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45883</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45883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40294-2022</t>
        </is>
      </c>
      <c r="B522" s="1" t="n">
        <v>44821</v>
      </c>
      <c r="C522" s="1" t="n">
        <v>45883</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12032-2025</t>
        </is>
      </c>
      <c r="B523" s="1" t="n">
        <v>45728.64472222222</v>
      </c>
      <c r="C523" s="1" t="n">
        <v>45883</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38787-2023</t>
        </is>
      </c>
      <c r="B524" s="1" t="n">
        <v>45163</v>
      </c>
      <c r="C524" s="1" t="n">
        <v>45883</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26465-2025</t>
        </is>
      </c>
      <c r="B525" s="1" t="n">
        <v>45807.44377314814</v>
      </c>
      <c r="C525" s="1" t="n">
        <v>45883</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35142-2025</t>
        </is>
      </c>
      <c r="B526" s="1" t="n">
        <v>45852.65532407408</v>
      </c>
      <c r="C526" s="1" t="n">
        <v>45883</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20307-2025</t>
        </is>
      </c>
      <c r="B527" s="1" t="n">
        <v>45774.95546296296</v>
      </c>
      <c r="C527" s="1" t="n">
        <v>45883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26660-2025</t>
        </is>
      </c>
      <c r="B528" s="1" t="n">
        <v>45810.39737268518</v>
      </c>
      <c r="C528" s="1" t="n">
        <v>45883</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35123-2025</t>
        </is>
      </c>
      <c r="B529" s="1" t="n">
        <v>45852.614375</v>
      </c>
      <c r="C529" s="1" t="n">
        <v>45883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35129-2025</t>
        </is>
      </c>
      <c r="B530" s="1" t="n">
        <v>45852.63224537037</v>
      </c>
      <c r="C530" s="1" t="n">
        <v>45883</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45883</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27348-2025</t>
        </is>
      </c>
      <c r="B532" s="1" t="n">
        <v>45812.62451388889</v>
      </c>
      <c r="C532" s="1" t="n">
        <v>45883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35290-2025</t>
        </is>
      </c>
      <c r="B533" s="1" t="n">
        <v>45854.38502314815</v>
      </c>
      <c r="C533" s="1" t="n">
        <v>45883</v>
      </c>
      <c r="D533" t="inlineStr">
        <is>
          <t>GOTLANDS LÄN</t>
        </is>
      </c>
      <c r="E533" t="inlineStr">
        <is>
          <t>GOTLAND</t>
        </is>
      </c>
      <c r="G533" t="n">
        <v>5.4</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45883</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45883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27371-2025</t>
        </is>
      </c>
      <c r="B536" s="1" t="n">
        <v>45812</v>
      </c>
      <c r="C536" s="1" t="n">
        <v>45883</v>
      </c>
      <c r="D536" t="inlineStr">
        <is>
          <t>GOTLANDS LÄN</t>
        </is>
      </c>
      <c r="E536" t="inlineStr">
        <is>
          <t>GOTLAND</t>
        </is>
      </c>
      <c r="G536" t="n">
        <v>8</v>
      </c>
      <c r="H536" t="n">
        <v>0</v>
      </c>
      <c r="I536" t="n">
        <v>0</v>
      </c>
      <c r="J536" t="n">
        <v>0</v>
      </c>
      <c r="K536" t="n">
        <v>0</v>
      </c>
      <c r="L536" t="n">
        <v>0</v>
      </c>
      <c r="M536" t="n">
        <v>0</v>
      </c>
      <c r="N536" t="n">
        <v>0</v>
      </c>
      <c r="O536" t="n">
        <v>0</v>
      </c>
      <c r="P536" t="n">
        <v>0</v>
      </c>
      <c r="Q536" t="n">
        <v>0</v>
      </c>
      <c r="R536" s="2" t="inlineStr"/>
    </row>
    <row r="537" ht="15" customHeight="1">
      <c r="A537" t="inlineStr">
        <is>
          <t>A 27355-2025</t>
        </is>
      </c>
      <c r="B537" s="1" t="n">
        <v>45812</v>
      </c>
      <c r="C537" s="1" t="n">
        <v>45883</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6739-2025</t>
        </is>
      </c>
      <c r="B538" s="1" t="n">
        <v>45700</v>
      </c>
      <c r="C538" s="1" t="n">
        <v>45883</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7850-2025</t>
        </is>
      </c>
      <c r="B539" s="1" t="n">
        <v>45706</v>
      </c>
      <c r="C539" s="1" t="n">
        <v>45883</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35550-2025</t>
        </is>
      </c>
      <c r="B540" s="1" t="n">
        <v>45856.49324074074</v>
      </c>
      <c r="C540" s="1" t="n">
        <v>45883</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45883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883-2025</t>
        </is>
      </c>
      <c r="B542" s="1" t="n">
        <v>45665</v>
      </c>
      <c r="C542" s="1" t="n">
        <v>45883</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35537-2025</t>
        </is>
      </c>
      <c r="B543" s="1" t="n">
        <v>45856</v>
      </c>
      <c r="C543" s="1" t="n">
        <v>45883</v>
      </c>
      <c r="D543" t="inlineStr">
        <is>
          <t>GOTLANDS LÄN</t>
        </is>
      </c>
      <c r="E543" t="inlineStr">
        <is>
          <t>GOTLAND</t>
        </is>
      </c>
      <c r="G543" t="n">
        <v>16.8</v>
      </c>
      <c r="H543" t="n">
        <v>0</v>
      </c>
      <c r="I543" t="n">
        <v>0</v>
      </c>
      <c r="J543" t="n">
        <v>0</v>
      </c>
      <c r="K543" t="n">
        <v>0</v>
      </c>
      <c r="L543" t="n">
        <v>0</v>
      </c>
      <c r="M543" t="n">
        <v>0</v>
      </c>
      <c r="N543" t="n">
        <v>0</v>
      </c>
      <c r="O543" t="n">
        <v>0</v>
      </c>
      <c r="P543" t="n">
        <v>0</v>
      </c>
      <c r="Q543" t="n">
        <v>0</v>
      </c>
      <c r="R543" s="2" t="inlineStr"/>
    </row>
    <row r="544" ht="15" customHeight="1">
      <c r="A544" t="inlineStr">
        <is>
          <t>A 18938-2025</t>
        </is>
      </c>
      <c r="B544" s="1" t="n">
        <v>45764.49172453704</v>
      </c>
      <c r="C544" s="1" t="n">
        <v>45883</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8444-2025</t>
        </is>
      </c>
      <c r="B545" s="1" t="n">
        <v>45709</v>
      </c>
      <c r="C545" s="1" t="n">
        <v>45883</v>
      </c>
      <c r="D545" t="inlineStr">
        <is>
          <t>GOTLANDS LÄN</t>
        </is>
      </c>
      <c r="E545" t="inlineStr">
        <is>
          <t>GOTLAND</t>
        </is>
      </c>
      <c r="G545" t="n">
        <v>5.2</v>
      </c>
      <c r="H545" t="n">
        <v>0</v>
      </c>
      <c r="I545" t="n">
        <v>0</v>
      </c>
      <c r="J545" t="n">
        <v>0</v>
      </c>
      <c r="K545" t="n">
        <v>0</v>
      </c>
      <c r="L545" t="n">
        <v>0</v>
      </c>
      <c r="M545" t="n">
        <v>0</v>
      </c>
      <c r="N545" t="n">
        <v>0</v>
      </c>
      <c r="O545" t="n">
        <v>0</v>
      </c>
      <c r="P545" t="n">
        <v>0</v>
      </c>
      <c r="Q545" t="n">
        <v>0</v>
      </c>
      <c r="R545" s="2" t="inlineStr"/>
    </row>
    <row r="546" ht="15" customHeight="1">
      <c r="A546" t="inlineStr">
        <is>
          <t>A 10497-2025</t>
        </is>
      </c>
      <c r="B546" s="1" t="n">
        <v>45721</v>
      </c>
      <c r="C546" s="1" t="n">
        <v>45883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1066-2024</t>
        </is>
      </c>
      <c r="B547" s="1" t="n">
        <v>45302.285</v>
      </c>
      <c r="C547" s="1" t="n">
        <v>45883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17144-2025</t>
        </is>
      </c>
      <c r="B548" s="1" t="n">
        <v>45755.9499537037</v>
      </c>
      <c r="C548" s="1" t="n">
        <v>45883</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10158-2025</t>
        </is>
      </c>
      <c r="B549" s="1" t="n">
        <v>45719</v>
      </c>
      <c r="C549" s="1" t="n">
        <v>45883</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19905-2025</t>
        </is>
      </c>
      <c r="B550" s="1" t="n">
        <v>45771</v>
      </c>
      <c r="C550" s="1" t="n">
        <v>45883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29196-2025</t>
        </is>
      </c>
      <c r="B551" s="1" t="n">
        <v>45822</v>
      </c>
      <c r="C551" s="1" t="n">
        <v>45883</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56009-2024</t>
        </is>
      </c>
      <c r="B552" s="1" t="n">
        <v>45623.80864583333</v>
      </c>
      <c r="C552" s="1" t="n">
        <v>45883</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45883</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29207-2025</t>
        </is>
      </c>
      <c r="B554" s="1" t="n">
        <v>45823</v>
      </c>
      <c r="C554" s="1" t="n">
        <v>45883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30104-2025</t>
        </is>
      </c>
      <c r="B555" s="1" t="n">
        <v>45826.68806712963</v>
      </c>
      <c r="C555" s="1" t="n">
        <v>45883</v>
      </c>
      <c r="D555" t="inlineStr">
        <is>
          <t>GOTLANDS LÄN</t>
        </is>
      </c>
      <c r="E555" t="inlineStr">
        <is>
          <t>GOTLAND</t>
        </is>
      </c>
      <c r="G555" t="n">
        <v>15.4</v>
      </c>
      <c r="H555" t="n">
        <v>0</v>
      </c>
      <c r="I555" t="n">
        <v>0</v>
      </c>
      <c r="J555" t="n">
        <v>0</v>
      </c>
      <c r="K555" t="n">
        <v>0</v>
      </c>
      <c r="L555" t="n">
        <v>0</v>
      </c>
      <c r="M555" t="n">
        <v>0</v>
      </c>
      <c r="N555" t="n">
        <v>0</v>
      </c>
      <c r="O555" t="n">
        <v>0</v>
      </c>
      <c r="P555" t="n">
        <v>0</v>
      </c>
      <c r="Q555" t="n">
        <v>0</v>
      </c>
      <c r="R555" s="2" t="inlineStr"/>
    </row>
    <row r="556" ht="15" customHeight="1">
      <c r="A556" t="inlineStr">
        <is>
          <t>A 30157-2025</t>
        </is>
      </c>
      <c r="B556" s="1" t="n">
        <v>45826</v>
      </c>
      <c r="C556" s="1" t="n">
        <v>45883</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36319-2025</t>
        </is>
      </c>
      <c r="B557" s="1" t="n">
        <v>45868.38543981482</v>
      </c>
      <c r="C557" s="1" t="n">
        <v>45883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30061-2025</t>
        </is>
      </c>
      <c r="B558" s="1" t="n">
        <v>45826.61488425926</v>
      </c>
      <c r="C558" s="1" t="n">
        <v>45883</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45883</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61386-2023</t>
        </is>
      </c>
      <c r="B560" s="1" t="n">
        <v>45264</v>
      </c>
      <c r="C560" s="1" t="n">
        <v>45883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58160-2024</t>
        </is>
      </c>
      <c r="B561" s="1" t="n">
        <v>45632.44927083333</v>
      </c>
      <c r="C561" s="1" t="n">
        <v>45883</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873-2024</t>
        </is>
      </c>
      <c r="B562" s="1" t="n">
        <v>45301</v>
      </c>
      <c r="C562" s="1" t="n">
        <v>45883</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49411-2023</t>
        </is>
      </c>
      <c r="B563" s="1" t="n">
        <v>45205</v>
      </c>
      <c r="C563" s="1" t="n">
        <v>45883</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22275-2023</t>
        </is>
      </c>
      <c r="B564" s="1" t="n">
        <v>45070.39875</v>
      </c>
      <c r="C564" s="1" t="n">
        <v>45883</v>
      </c>
      <c r="D564" t="inlineStr">
        <is>
          <t>GOTLANDS LÄN</t>
        </is>
      </c>
      <c r="E564" t="inlineStr">
        <is>
          <t>GOTLAND</t>
        </is>
      </c>
      <c r="G564" t="n">
        <v>7.2</v>
      </c>
      <c r="H564" t="n">
        <v>0</v>
      </c>
      <c r="I564" t="n">
        <v>0</v>
      </c>
      <c r="J564" t="n">
        <v>0</v>
      </c>
      <c r="K564" t="n">
        <v>0</v>
      </c>
      <c r="L564" t="n">
        <v>0</v>
      </c>
      <c r="M564" t="n">
        <v>0</v>
      </c>
      <c r="N564" t="n">
        <v>0</v>
      </c>
      <c r="O564" t="n">
        <v>0</v>
      </c>
      <c r="P564" t="n">
        <v>0</v>
      </c>
      <c r="Q564" t="n">
        <v>0</v>
      </c>
      <c r="R564" s="2" t="inlineStr"/>
    </row>
    <row r="565" ht="15" customHeight="1">
      <c r="A565" t="inlineStr">
        <is>
          <t>A 12322-2025</t>
        </is>
      </c>
      <c r="B565" s="1" t="n">
        <v>45730</v>
      </c>
      <c r="C565" s="1" t="n">
        <v>45883</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14797-2024</t>
        </is>
      </c>
      <c r="B566" s="1" t="n">
        <v>45397.87030092593</v>
      </c>
      <c r="C566" s="1" t="n">
        <v>45883</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999-2024</t>
        </is>
      </c>
      <c r="B567" s="1" t="n">
        <v>45301</v>
      </c>
      <c r="C567" s="1" t="n">
        <v>45883</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61596-2023</t>
        </is>
      </c>
      <c r="B568" s="1" t="n">
        <v>45265</v>
      </c>
      <c r="C568" s="1" t="n">
        <v>45883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30488-2025</t>
        </is>
      </c>
      <c r="B569" s="1" t="n">
        <v>45830</v>
      </c>
      <c r="C569" s="1" t="n">
        <v>45883</v>
      </c>
      <c r="D569" t="inlineStr">
        <is>
          <t>GOTLANDS LÄN</t>
        </is>
      </c>
      <c r="E569" t="inlineStr">
        <is>
          <t>GOTLAND</t>
        </is>
      </c>
      <c r="F569" t="inlineStr">
        <is>
          <t>Kyrkan</t>
        </is>
      </c>
      <c r="G569" t="n">
        <v>3.9</v>
      </c>
      <c r="H569" t="n">
        <v>0</v>
      </c>
      <c r="I569" t="n">
        <v>0</v>
      </c>
      <c r="J569" t="n">
        <v>0</v>
      </c>
      <c r="K569" t="n">
        <v>0</v>
      </c>
      <c r="L569" t="n">
        <v>0</v>
      </c>
      <c r="M569" t="n">
        <v>0</v>
      </c>
      <c r="N569" t="n">
        <v>0</v>
      </c>
      <c r="O569" t="n">
        <v>0</v>
      </c>
      <c r="P569" t="n">
        <v>0</v>
      </c>
      <c r="Q569" t="n">
        <v>0</v>
      </c>
      <c r="R569" s="2" t="inlineStr"/>
    </row>
    <row r="570" ht="15" customHeight="1">
      <c r="A570" t="inlineStr">
        <is>
          <t>A 14638-2025</t>
        </is>
      </c>
      <c r="B570" s="1" t="n">
        <v>45742</v>
      </c>
      <c r="C570" s="1" t="n">
        <v>45883</v>
      </c>
      <c r="D570" t="inlineStr">
        <is>
          <t>GOTLANDS LÄN</t>
        </is>
      </c>
      <c r="E570" t="inlineStr">
        <is>
          <t>GOTLAND</t>
        </is>
      </c>
      <c r="G570" t="n">
        <v>13.4</v>
      </c>
      <c r="H570" t="n">
        <v>0</v>
      </c>
      <c r="I570" t="n">
        <v>0</v>
      </c>
      <c r="J570" t="n">
        <v>0</v>
      </c>
      <c r="K570" t="n">
        <v>0</v>
      </c>
      <c r="L570" t="n">
        <v>0</v>
      </c>
      <c r="M570" t="n">
        <v>0</v>
      </c>
      <c r="N570" t="n">
        <v>0</v>
      </c>
      <c r="O570" t="n">
        <v>0</v>
      </c>
      <c r="P570" t="n">
        <v>0</v>
      </c>
      <c r="Q570" t="n">
        <v>0</v>
      </c>
      <c r="R570" s="2" t="inlineStr"/>
    </row>
    <row r="571" ht="15" customHeight="1">
      <c r="A571" t="inlineStr">
        <is>
          <t>A 30489-2025</t>
        </is>
      </c>
      <c r="B571" s="1" t="n">
        <v>45830</v>
      </c>
      <c r="C571" s="1" t="n">
        <v>45883</v>
      </c>
      <c r="D571" t="inlineStr">
        <is>
          <t>GOTLANDS LÄN</t>
        </is>
      </c>
      <c r="E571" t="inlineStr">
        <is>
          <t>GOTLAND</t>
        </is>
      </c>
      <c r="G571" t="n">
        <v>4.6</v>
      </c>
      <c r="H571" t="n">
        <v>0</v>
      </c>
      <c r="I571" t="n">
        <v>0</v>
      </c>
      <c r="J571" t="n">
        <v>0</v>
      </c>
      <c r="K571" t="n">
        <v>0</v>
      </c>
      <c r="L571" t="n">
        <v>0</v>
      </c>
      <c r="M571" t="n">
        <v>0</v>
      </c>
      <c r="N571" t="n">
        <v>0</v>
      </c>
      <c r="O571" t="n">
        <v>0</v>
      </c>
      <c r="P571" t="n">
        <v>0</v>
      </c>
      <c r="Q571" t="n">
        <v>0</v>
      </c>
      <c r="R571" s="2" t="inlineStr"/>
    </row>
    <row r="572" ht="15" customHeight="1">
      <c r="A572" t="inlineStr">
        <is>
          <t>A 60675-2021</t>
        </is>
      </c>
      <c r="B572" s="1" t="n">
        <v>44496.64855324074</v>
      </c>
      <c r="C572" s="1" t="n">
        <v>45883</v>
      </c>
      <c r="D572" t="inlineStr">
        <is>
          <t>GOTLANDS LÄN</t>
        </is>
      </c>
      <c r="E572" t="inlineStr">
        <is>
          <t>GOTLAND</t>
        </is>
      </c>
      <c r="G572" t="n">
        <v>4.6</v>
      </c>
      <c r="H572" t="n">
        <v>0</v>
      </c>
      <c r="I572" t="n">
        <v>0</v>
      </c>
      <c r="J572" t="n">
        <v>0</v>
      </c>
      <c r="K572" t="n">
        <v>0</v>
      </c>
      <c r="L572" t="n">
        <v>0</v>
      </c>
      <c r="M572" t="n">
        <v>0</v>
      </c>
      <c r="N572" t="n">
        <v>0</v>
      </c>
      <c r="O572" t="n">
        <v>0</v>
      </c>
      <c r="P572" t="n">
        <v>0</v>
      </c>
      <c r="Q572" t="n">
        <v>0</v>
      </c>
      <c r="R572" s="2" t="inlineStr"/>
    </row>
    <row r="573" ht="15" customHeight="1">
      <c r="A573" t="inlineStr">
        <is>
          <t>A 37728-2024</t>
        </is>
      </c>
      <c r="B573" s="1" t="n">
        <v>45541</v>
      </c>
      <c r="C573" s="1" t="n">
        <v>45883</v>
      </c>
      <c r="D573" t="inlineStr">
        <is>
          <t>GOTLANDS LÄN</t>
        </is>
      </c>
      <c r="E573" t="inlineStr">
        <is>
          <t>GOTLAND</t>
        </is>
      </c>
      <c r="G573" t="n">
        <v>0.4</v>
      </c>
      <c r="H573" t="n">
        <v>0</v>
      </c>
      <c r="I573" t="n">
        <v>0</v>
      </c>
      <c r="J573" t="n">
        <v>0</v>
      </c>
      <c r="K573" t="n">
        <v>0</v>
      </c>
      <c r="L573" t="n">
        <v>0</v>
      </c>
      <c r="M573" t="n">
        <v>0</v>
      </c>
      <c r="N573" t="n">
        <v>0</v>
      </c>
      <c r="O573" t="n">
        <v>0</v>
      </c>
      <c r="P573" t="n">
        <v>0</v>
      </c>
      <c r="Q573" t="n">
        <v>0</v>
      </c>
      <c r="R573" s="2" t="inlineStr"/>
    </row>
    <row r="574" ht="15" customHeight="1">
      <c r="A574" t="inlineStr">
        <is>
          <t>A 22287-2022</t>
        </is>
      </c>
      <c r="B574" s="1" t="n">
        <v>44712</v>
      </c>
      <c r="C574" s="1" t="n">
        <v>45883</v>
      </c>
      <c r="D574" t="inlineStr">
        <is>
          <t>GOTLANDS LÄN</t>
        </is>
      </c>
      <c r="E574" t="inlineStr">
        <is>
          <t>GOTLAND</t>
        </is>
      </c>
      <c r="G574" t="n">
        <v>6.1</v>
      </c>
      <c r="H574" t="n">
        <v>0</v>
      </c>
      <c r="I574" t="n">
        <v>0</v>
      </c>
      <c r="J574" t="n">
        <v>0</v>
      </c>
      <c r="K574" t="n">
        <v>0</v>
      </c>
      <c r="L574" t="n">
        <v>0</v>
      </c>
      <c r="M574" t="n">
        <v>0</v>
      </c>
      <c r="N574" t="n">
        <v>0</v>
      </c>
      <c r="O574" t="n">
        <v>0</v>
      </c>
      <c r="P574" t="n">
        <v>0</v>
      </c>
      <c r="Q574" t="n">
        <v>0</v>
      </c>
      <c r="R574" s="2" t="inlineStr"/>
    </row>
    <row r="575" ht="15" customHeight="1">
      <c r="A575" t="inlineStr">
        <is>
          <t>A 54074-2022</t>
        </is>
      </c>
      <c r="B575" s="1" t="n">
        <v>44881</v>
      </c>
      <c r="C575" s="1" t="n">
        <v>45883</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65249-2023</t>
        </is>
      </c>
      <c r="B576" s="1" t="n">
        <v>45290</v>
      </c>
      <c r="C576" s="1" t="n">
        <v>45883</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2035-2025</t>
        </is>
      </c>
      <c r="B577" s="1" t="n">
        <v>45672</v>
      </c>
      <c r="C577" s="1" t="n">
        <v>45883</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30135-2025</t>
        </is>
      </c>
      <c r="B578" s="1" t="n">
        <v>45826</v>
      </c>
      <c r="C578" s="1" t="n">
        <v>45883</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32686-2025</t>
        </is>
      </c>
      <c r="B579" s="1" t="n">
        <v>45838</v>
      </c>
      <c r="C579" s="1" t="n">
        <v>45883</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32379-2025</t>
        </is>
      </c>
      <c r="B580" s="1" t="n">
        <v>45837</v>
      </c>
      <c r="C580" s="1" t="n">
        <v>45883</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13910-2025</t>
        </is>
      </c>
      <c r="B581" s="1" t="n">
        <v>45737</v>
      </c>
      <c r="C581" s="1" t="n">
        <v>45883</v>
      </c>
      <c r="D581" t="inlineStr">
        <is>
          <t>GOTLANDS LÄN</t>
        </is>
      </c>
      <c r="E581" t="inlineStr">
        <is>
          <t>GOTLAND</t>
        </is>
      </c>
      <c r="F581" t="inlineStr">
        <is>
          <t>Kommuner</t>
        </is>
      </c>
      <c r="G581" t="n">
        <v>3.2</v>
      </c>
      <c r="H581" t="n">
        <v>0</v>
      </c>
      <c r="I581" t="n">
        <v>0</v>
      </c>
      <c r="J581" t="n">
        <v>0</v>
      </c>
      <c r="K581" t="n">
        <v>0</v>
      </c>
      <c r="L581" t="n">
        <v>0</v>
      </c>
      <c r="M581" t="n">
        <v>0</v>
      </c>
      <c r="N581" t="n">
        <v>0</v>
      </c>
      <c r="O581" t="n">
        <v>0</v>
      </c>
      <c r="P581" t="n">
        <v>0</v>
      </c>
      <c r="Q581" t="n">
        <v>0</v>
      </c>
      <c r="R581" s="2" t="inlineStr"/>
    </row>
    <row r="582" ht="15" customHeight="1">
      <c r="A582" t="inlineStr">
        <is>
          <t>A 32467-2025</t>
        </is>
      </c>
      <c r="B582" s="1" t="n">
        <v>45838.42111111111</v>
      </c>
      <c r="C582" s="1" t="n">
        <v>45883</v>
      </c>
      <c r="D582" t="inlineStr">
        <is>
          <t>GOTLANDS LÄN</t>
        </is>
      </c>
      <c r="E582" t="inlineStr">
        <is>
          <t>GOTLAND</t>
        </is>
      </c>
      <c r="G582" t="n">
        <v>4.3</v>
      </c>
      <c r="H582" t="n">
        <v>0</v>
      </c>
      <c r="I582" t="n">
        <v>0</v>
      </c>
      <c r="J582" t="n">
        <v>0</v>
      </c>
      <c r="K582" t="n">
        <v>0</v>
      </c>
      <c r="L582" t="n">
        <v>0</v>
      </c>
      <c r="M582" t="n">
        <v>0</v>
      </c>
      <c r="N582" t="n">
        <v>0</v>
      </c>
      <c r="O582" t="n">
        <v>0</v>
      </c>
      <c r="P582" t="n">
        <v>0</v>
      </c>
      <c r="Q582" t="n">
        <v>0</v>
      </c>
      <c r="R582" s="2" t="inlineStr"/>
    </row>
    <row r="583" ht="15" customHeight="1">
      <c r="A583" t="inlineStr">
        <is>
          <t>A 32378-2025</t>
        </is>
      </c>
      <c r="B583" s="1" t="n">
        <v>45837</v>
      </c>
      <c r="C583" s="1" t="n">
        <v>45883</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1728-2025</t>
        </is>
      </c>
      <c r="B584" s="1" t="n">
        <v>45671.3565162037</v>
      </c>
      <c r="C584" s="1" t="n">
        <v>45883</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17780-2022</t>
        </is>
      </c>
      <c r="B585" s="1" t="n">
        <v>44682.82622685185</v>
      </c>
      <c r="C585" s="1" t="n">
        <v>45883</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16109-2025</t>
        </is>
      </c>
      <c r="B586" s="1" t="n">
        <v>45750</v>
      </c>
      <c r="C586" s="1" t="n">
        <v>45883</v>
      </c>
      <c r="D586" t="inlineStr">
        <is>
          <t>GOTLANDS LÄN</t>
        </is>
      </c>
      <c r="E586" t="inlineStr">
        <is>
          <t>GOTLAND</t>
        </is>
      </c>
      <c r="G586" t="n">
        <v>4.9</v>
      </c>
      <c r="H586" t="n">
        <v>0</v>
      </c>
      <c r="I586" t="n">
        <v>0</v>
      </c>
      <c r="J586" t="n">
        <v>0</v>
      </c>
      <c r="K586" t="n">
        <v>0</v>
      </c>
      <c r="L586" t="n">
        <v>0</v>
      </c>
      <c r="M586" t="n">
        <v>0</v>
      </c>
      <c r="N586" t="n">
        <v>0</v>
      </c>
      <c r="O586" t="n">
        <v>0</v>
      </c>
      <c r="P586" t="n">
        <v>0</v>
      </c>
      <c r="Q586" t="n">
        <v>0</v>
      </c>
      <c r="R586" s="2" t="inlineStr"/>
    </row>
    <row r="587" ht="15" customHeight="1">
      <c r="A587" t="inlineStr">
        <is>
          <t>A 33078-2025</t>
        </is>
      </c>
      <c r="B587" s="1" t="n">
        <v>45840</v>
      </c>
      <c r="C587" s="1" t="n">
        <v>45883</v>
      </c>
      <c r="D587" t="inlineStr">
        <is>
          <t>GOTLANDS LÄN</t>
        </is>
      </c>
      <c r="E587" t="inlineStr">
        <is>
          <t>GOTLAND</t>
        </is>
      </c>
      <c r="G587" t="n">
        <v>0.8</v>
      </c>
      <c r="H587" t="n">
        <v>0</v>
      </c>
      <c r="I587" t="n">
        <v>0</v>
      </c>
      <c r="J587" t="n">
        <v>0</v>
      </c>
      <c r="K587" t="n">
        <v>0</v>
      </c>
      <c r="L587" t="n">
        <v>0</v>
      </c>
      <c r="M587" t="n">
        <v>0</v>
      </c>
      <c r="N587" t="n">
        <v>0</v>
      </c>
      <c r="O587" t="n">
        <v>0</v>
      </c>
      <c r="P587" t="n">
        <v>0</v>
      </c>
      <c r="Q587" t="n">
        <v>0</v>
      </c>
      <c r="R587" s="2" t="inlineStr"/>
    </row>
    <row r="588" ht="15" customHeight="1">
      <c r="A588" t="inlineStr">
        <is>
          <t>A 59986-2022</t>
        </is>
      </c>
      <c r="B588" s="1" t="n">
        <v>44909</v>
      </c>
      <c r="C588" s="1" t="n">
        <v>45883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14536-2021</t>
        </is>
      </c>
      <c r="B589" s="1" t="n">
        <v>44279.66168981481</v>
      </c>
      <c r="C589" s="1" t="n">
        <v>45883</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20660-2025</t>
        </is>
      </c>
      <c r="B590" s="1" t="n">
        <v>45776</v>
      </c>
      <c r="C590" s="1" t="n">
        <v>45883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33007-2025</t>
        </is>
      </c>
      <c r="B591" s="1" t="n">
        <v>45840</v>
      </c>
      <c r="C591" s="1" t="n">
        <v>45883</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33011-2025</t>
        </is>
      </c>
      <c r="B592" s="1" t="n">
        <v>45840</v>
      </c>
      <c r="C592" s="1" t="n">
        <v>45883</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11874-2024</t>
        </is>
      </c>
      <c r="B593" s="1" t="n">
        <v>45376.46956018519</v>
      </c>
      <c r="C593" s="1" t="n">
        <v>45883</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2292-2021</t>
        </is>
      </c>
      <c r="B594" s="1" t="n">
        <v>44212</v>
      </c>
      <c r="C594" s="1" t="n">
        <v>45883</v>
      </c>
      <c r="D594" t="inlineStr">
        <is>
          <t>GOTLANDS LÄN</t>
        </is>
      </c>
      <c r="E594" t="inlineStr">
        <is>
          <t>GOTLAND</t>
        </is>
      </c>
      <c r="G594" t="n">
        <v>3</v>
      </c>
      <c r="H594" t="n">
        <v>0</v>
      </c>
      <c r="I594" t="n">
        <v>0</v>
      </c>
      <c r="J594" t="n">
        <v>0</v>
      </c>
      <c r="K594" t="n">
        <v>0</v>
      </c>
      <c r="L594" t="n">
        <v>0</v>
      </c>
      <c r="M594" t="n">
        <v>0</v>
      </c>
      <c r="N594" t="n">
        <v>0</v>
      </c>
      <c r="O594" t="n">
        <v>0</v>
      </c>
      <c r="P594" t="n">
        <v>0</v>
      </c>
      <c r="Q594" t="n">
        <v>0</v>
      </c>
      <c r="R594" s="2" t="inlineStr"/>
    </row>
    <row r="595" ht="15" customHeight="1">
      <c r="A595" t="inlineStr">
        <is>
          <t>A 42041-2024</t>
        </is>
      </c>
      <c r="B595" s="1" t="n">
        <v>45561</v>
      </c>
      <c r="C595" s="1" t="n">
        <v>45883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61694-2023</t>
        </is>
      </c>
      <c r="B596" s="1" t="n">
        <v>45264</v>
      </c>
      <c r="C596" s="1" t="n">
        <v>45883</v>
      </c>
      <c r="D596" t="inlineStr">
        <is>
          <t>GOTLANDS LÄN</t>
        </is>
      </c>
      <c r="E596" t="inlineStr">
        <is>
          <t>GOTLAND</t>
        </is>
      </c>
      <c r="G596" t="n">
        <v>4.6</v>
      </c>
      <c r="H596" t="n">
        <v>0</v>
      </c>
      <c r="I596" t="n">
        <v>0</v>
      </c>
      <c r="J596" t="n">
        <v>0</v>
      </c>
      <c r="K596" t="n">
        <v>0</v>
      </c>
      <c r="L596" t="n">
        <v>0</v>
      </c>
      <c r="M596" t="n">
        <v>0</v>
      </c>
      <c r="N596" t="n">
        <v>0</v>
      </c>
      <c r="O596" t="n">
        <v>0</v>
      </c>
      <c r="P596" t="n">
        <v>0</v>
      </c>
      <c r="Q596" t="n">
        <v>0</v>
      </c>
      <c r="R596" s="2" t="inlineStr"/>
    </row>
    <row r="597" ht="15" customHeight="1">
      <c r="A597" t="inlineStr">
        <is>
          <t>A 64555-2023</t>
        </is>
      </c>
      <c r="B597" s="1" t="n">
        <v>45281</v>
      </c>
      <c r="C597" s="1" t="n">
        <v>45883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64831-2023</t>
        </is>
      </c>
      <c r="B598" s="1" t="n">
        <v>45282.44924768519</v>
      </c>
      <c r="C598" s="1" t="n">
        <v>45883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14804-2021</t>
        </is>
      </c>
      <c r="B599" s="1" t="n">
        <v>44280</v>
      </c>
      <c r="C599" s="1" t="n">
        <v>45883</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999-2023</t>
        </is>
      </c>
      <c r="B600" s="1" t="n">
        <v>44935</v>
      </c>
      <c r="C600" s="1" t="n">
        <v>45883</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45883</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44955.5502662037</v>
      </c>
      <c r="C602" s="1" t="n">
        <v>45883</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44955.73359953704</v>
      </c>
      <c r="C603" s="1" t="n">
        <v>45883</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39479-2022</t>
        </is>
      </c>
      <c r="B604" s="1" t="n">
        <v>44818</v>
      </c>
      <c r="C604" s="1" t="n">
        <v>45883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45883</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22883-2024</t>
        </is>
      </c>
      <c r="B606" s="1" t="n">
        <v>45448.66368055555</v>
      </c>
      <c r="C606" s="1" t="n">
        <v>45883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811-2023</t>
        </is>
      </c>
      <c r="B607" s="1" t="n">
        <v>44931</v>
      </c>
      <c r="C607" s="1" t="n">
        <v>45883</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c r="A608" t="inlineStr">
        <is>
          <t>A 46389-2021</t>
        </is>
      </c>
      <c r="B608" s="1" t="n">
        <v>44443</v>
      </c>
      <c r="C608" s="1" t="n">
        <v>45883</v>
      </c>
      <c r="D608" t="inlineStr">
        <is>
          <t>GOTLANDS LÄN</t>
        </is>
      </c>
      <c r="E608" t="inlineStr">
        <is>
          <t>GOTLAND</t>
        </is>
      </c>
      <c r="F608" t="inlineStr">
        <is>
          <t>Kyrkan</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2025-08-14T08:26:55Z</dcterms:created>
  <dcterms:modified xmlns:dcterms="http://purl.org/dc/terms/" xmlns:xsi="http://www.w3.org/2001/XMLSchema-instance" xsi:type="dcterms:W3CDTF">2025-08-14T08:26:56Z</dcterms:modified>
</cp:coreProperties>
</file>