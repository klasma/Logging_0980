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46100</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46100</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46100</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46100</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46100</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46100</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46100</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46100</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46100</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46100</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46100</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46100</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62132-2023</t>
        </is>
      </c>
      <c r="B27" s="1" t="n">
        <v>45267</v>
      </c>
      <c r="C27" s="1" t="n">
        <v>46100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15629-2024</t>
        </is>
      </c>
      <c r="B28" s="1" t="n">
        <v>45402.78372685185</v>
      </c>
      <c r="C28" s="1" t="n">
        <v>46100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46100</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46100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46100</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46100</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46100</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46100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46100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46100</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46100</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46100</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46100</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46100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46100</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46100</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22404-2024</t>
        </is>
      </c>
      <c r="B50" s="1" t="n">
        <v>45446</v>
      </c>
      <c r="C50" s="1" t="n">
        <v>46100</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1719-2025</t>
        </is>
      </c>
      <c r="B51" s="1" t="n">
        <v>45671</v>
      </c>
      <c r="C51" s="1" t="n">
        <v>46100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46100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46100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46100</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46100</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2649-2023</t>
        </is>
      </c>
      <c r="B57" s="1" t="n">
        <v>44943</v>
      </c>
      <c r="C57" s="1" t="n">
        <v>46100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46100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46100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46100</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46100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46100</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46100</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44944-2022</t>
        </is>
      </c>
      <c r="B64" s="1" t="n">
        <v>44841</v>
      </c>
      <c r="C64" s="1" t="n">
        <v>46100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46100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46100</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46100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46100</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25205-2021</t>
        </is>
      </c>
      <c r="B69" s="1" t="n">
        <v>44342</v>
      </c>
      <c r="C69" s="1" t="n">
        <v>46100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46100</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46100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46100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46100</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46100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16823-2024</t>
        </is>
      </c>
      <c r="B76" s="1" t="n">
        <v>45411</v>
      </c>
      <c r="C76" s="1" t="n">
        <v>46100</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46100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46100</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39425-2023</t>
        </is>
      </c>
      <c r="B79" s="1" t="n">
        <v>45166</v>
      </c>
      <c r="C79" s="1" t="n">
        <v>46100</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46100</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46100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46100</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46100</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46100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35293-2025</t>
        </is>
      </c>
      <c r="B85" s="1" t="n">
        <v>45854.39438657407</v>
      </c>
      <c r="C85" s="1" t="n">
        <v>46100</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52245-2025</t>
        </is>
      </c>
      <c r="B86" s="1" t="n">
        <v>45953.47115740741</v>
      </c>
      <c r="C86" s="1" t="n">
        <v>46100</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6839-2026</t>
        </is>
      </c>
      <c r="B87" s="1" t="n">
        <v>46057.41193287037</v>
      </c>
      <c r="C87" s="1" t="n">
        <v>46100</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29331-2021</t>
        </is>
      </c>
      <c r="B88" s="1" t="n">
        <v>44361</v>
      </c>
      <c r="C88" s="1" t="n">
        <v>46100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46100</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46100</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46100</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44933-2022</t>
        </is>
      </c>
      <c r="B92" s="1" t="n">
        <v>44841</v>
      </c>
      <c r="C92" s="1" t="n">
        <v>46100</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40099-2025</t>
        </is>
      </c>
      <c r="B93" s="1" t="n">
        <v>45894.48462962963</v>
      </c>
      <c r="C93" s="1" t="n">
        <v>46100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56717-2024</t>
        </is>
      </c>
      <c r="B94" s="1" t="n">
        <v>45628.3166550926</v>
      </c>
      <c r="C94" s="1" t="n">
        <v>46100</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1971-2023</t>
        </is>
      </c>
      <c r="B95" s="1" t="n">
        <v>44939</v>
      </c>
      <c r="C95" s="1" t="n">
        <v>46100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186-2023</t>
        </is>
      </c>
      <c r="B96" s="1" t="n">
        <v>44928</v>
      </c>
      <c r="C96" s="1" t="n">
        <v>46100</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2485-2025</t>
        </is>
      </c>
      <c r="B97" s="1" t="n">
        <v>45673</v>
      </c>
      <c r="C97" s="1" t="n">
        <v>46100</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20833-2024</t>
        </is>
      </c>
      <c r="B98" s="1" t="n">
        <v>45439</v>
      </c>
      <c r="C98" s="1" t="n">
        <v>46100</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8265-2023</t>
        </is>
      </c>
      <c r="B99" s="1" t="n">
        <v>44974</v>
      </c>
      <c r="C99" s="1" t="n">
        <v>46100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54523-2023</t>
        </is>
      </c>
      <c r="B100" s="1" t="n">
        <v>45233</v>
      </c>
      <c r="C100" s="1" t="n">
        <v>46100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57463-2025</t>
        </is>
      </c>
      <c r="B101" s="1" t="n">
        <v>45980.54174768519</v>
      </c>
      <c r="C101" s="1" t="n">
        <v>46100</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52250-2025</t>
        </is>
      </c>
      <c r="B102" s="1" t="n">
        <v>45953.48998842593</v>
      </c>
      <c r="C102" s="1" t="n">
        <v>46100</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13203-2026</t>
        </is>
      </c>
      <c r="B103" s="1" t="n">
        <v>46093</v>
      </c>
      <c r="C103" s="1" t="n">
        <v>46100</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6836-2026</t>
        </is>
      </c>
      <c r="B104" s="1" t="n">
        <v>46057.40902777778</v>
      </c>
      <c r="C104" s="1" t="n">
        <v>46100</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46100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43013-2022</t>
        </is>
      </c>
      <c r="B107" s="1" t="n">
        <v>44833</v>
      </c>
      <c r="C107" s="1" t="n">
        <v>46100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32718-2021</t>
        </is>
      </c>
      <c r="B108" s="1" t="n">
        <v>44375</v>
      </c>
      <c r="C108" s="1" t="n">
        <v>46100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73144-2021</t>
        </is>
      </c>
      <c r="B109" s="1" t="n">
        <v>44550</v>
      </c>
      <c r="C109" s="1" t="n">
        <v>46100</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17975-2024</t>
        </is>
      </c>
      <c r="B110" s="1" t="n">
        <v>45419.85546296297</v>
      </c>
      <c r="C110" s="1" t="n">
        <v>46100</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13499-2022</t>
        </is>
      </c>
      <c r="B111" s="1" t="n">
        <v>44647.79203703703</v>
      </c>
      <c r="C111" s="1" t="n">
        <v>46100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46100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17982-2023</t>
        </is>
      </c>
      <c r="B113" s="1" t="n">
        <v>45040</v>
      </c>
      <c r="C113" s="1" t="n">
        <v>46100</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48126-2022</t>
        </is>
      </c>
      <c r="B114" s="1" t="n">
        <v>44857</v>
      </c>
      <c r="C114" s="1" t="n">
        <v>46100</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53552-2021</t>
        </is>
      </c>
      <c r="B115" s="1" t="n">
        <v>44468</v>
      </c>
      <c r="C115" s="1" t="n">
        <v>46100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46100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30490-2025</t>
        </is>
      </c>
      <c r="B117" s="1" t="n">
        <v>45830</v>
      </c>
      <c r="C117" s="1" t="n">
        <v>46100</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55334-2024</t>
        </is>
      </c>
      <c r="B118" s="1" t="n">
        <v>45621</v>
      </c>
      <c r="C118" s="1" t="n">
        <v>46100</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46100</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20831-2024</t>
        </is>
      </c>
      <c r="B120" s="1" t="n">
        <v>45439</v>
      </c>
      <c r="C120" s="1" t="n">
        <v>46100</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1520-2026</t>
        </is>
      </c>
      <c r="B121" s="1" t="n">
        <v>46034.35891203704</v>
      </c>
      <c r="C121" s="1" t="n">
        <v>46100</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46100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28261-2024</t>
        </is>
      </c>
      <c r="B125" s="1" t="n">
        <v>45477</v>
      </c>
      <c r="C125" s="1" t="n">
        <v>46100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46100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55649-2024</t>
        </is>
      </c>
      <c r="B128" s="1" t="n">
        <v>45622.63053240741</v>
      </c>
      <c r="C128" s="1" t="n">
        <v>46100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46100</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46100</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20838-2024</t>
        </is>
      </c>
      <c r="B131" s="1" t="n">
        <v>45439</v>
      </c>
      <c r="C131" s="1" t="n">
        <v>46100</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21879-2025</t>
        </is>
      </c>
      <c r="B132" s="1" t="n">
        <v>45784.40533564815</v>
      </c>
      <c r="C132" s="1" t="n">
        <v>46100</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7070-2022</t>
        </is>
      </c>
      <c r="B133" s="1" t="n">
        <v>44603</v>
      </c>
      <c r="C133" s="1" t="n">
        <v>46100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12914-2025</t>
        </is>
      </c>
      <c r="B134" s="1" t="n">
        <v>45733</v>
      </c>
      <c r="C134" s="1" t="n">
        <v>46100</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26077-2024</t>
        </is>
      </c>
      <c r="B135" s="1" t="n">
        <v>45467</v>
      </c>
      <c r="C135" s="1" t="n">
        <v>46100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20429-2025</t>
        </is>
      </c>
      <c r="B136" s="1" t="n">
        <v>45775.47728009259</v>
      </c>
      <c r="C136" s="1" t="n">
        <v>46100</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43219-2023</t>
        </is>
      </c>
      <c r="B137" s="1" t="n">
        <v>45183</v>
      </c>
      <c r="C137" s="1" t="n">
        <v>46100</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63162-2025</t>
        </is>
      </c>
      <c r="B138" s="1" t="n">
        <v>46010.37629629629</v>
      </c>
      <c r="C138" s="1" t="n">
        <v>46100</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46100</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46100</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46100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24245-2022</t>
        </is>
      </c>
      <c r="B143" s="1" t="n">
        <v>44725</v>
      </c>
      <c r="C143" s="1" t="n">
        <v>46100</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46100</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13939-2021</t>
        </is>
      </c>
      <c r="B145" s="1" t="n">
        <v>44277</v>
      </c>
      <c r="C145" s="1" t="n">
        <v>46100</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12324-2025</t>
        </is>
      </c>
      <c r="B146" s="1" t="n">
        <v>45730</v>
      </c>
      <c r="C146" s="1" t="n">
        <v>46100</v>
      </c>
      <c r="D146" t="inlineStr">
        <is>
          <t>GOTLANDS LÄN</t>
        </is>
      </c>
      <c r="E146" t="inlineStr">
        <is>
          <t>GOTLAND</t>
        </is>
      </c>
      <c r="G146" t="n">
        <v>5</v>
      </c>
      <c r="H146" t="n">
        <v>0</v>
      </c>
      <c r="I146" t="n">
        <v>0</v>
      </c>
      <c r="J146" t="n">
        <v>0</v>
      </c>
      <c r="K146" t="n">
        <v>1</v>
      </c>
      <c r="L146" t="n">
        <v>0</v>
      </c>
      <c r="M146" t="n">
        <v>0</v>
      </c>
      <c r="N146" t="n">
        <v>0</v>
      </c>
      <c r="O146" t="n">
        <v>1</v>
      </c>
      <c r="P146" t="n">
        <v>1</v>
      </c>
      <c r="Q146" t="n">
        <v>1</v>
      </c>
      <c r="R146" s="2" t="inlineStr">
        <is>
          <t>Sommarklynne</t>
        </is>
      </c>
      <c r="S146">
        <f>HYPERLINK("https://klasma.github.io/Logging_0980/artfynd/A 12324-2025 artfynd.xlsx", "A 12324-2025")</f>
        <v/>
      </c>
      <c r="T146">
        <f>HYPERLINK("https://klasma.github.io/Logging_0980/kartor/A 12324-2025 karta.png", "A 12324-2025")</f>
        <v/>
      </c>
      <c r="V146">
        <f>HYPERLINK("https://klasma.github.io/Logging_0980/klagomål/A 12324-2025 FSC-klagomål.docx", "A 12324-2025")</f>
        <v/>
      </c>
      <c r="W146">
        <f>HYPERLINK("https://klasma.github.io/Logging_0980/klagomålsmail/A 12324-2025 FSC-klagomål mail.docx", "A 12324-2025")</f>
        <v/>
      </c>
      <c r="X146">
        <f>HYPERLINK("https://klasma.github.io/Logging_0980/tillsyn/A 12324-2025 tillsynsbegäran.docx", "A 12324-2025")</f>
        <v/>
      </c>
      <c r="Y146">
        <f>HYPERLINK("https://klasma.github.io/Logging_0980/tillsynsmail/A 12324-2025 tillsynsbegäran mail.docx", "A 12324-2025")</f>
        <v/>
      </c>
    </row>
    <row r="147" ht="15" customHeight="1">
      <c r="A147" t="inlineStr">
        <is>
          <t>A 49847-2023</t>
        </is>
      </c>
      <c r="B147" s="1" t="n">
        <v>45212</v>
      </c>
      <c r="C147" s="1" t="n">
        <v>46100</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2476-2025</t>
        </is>
      </c>
      <c r="B148" s="1" t="n">
        <v>45673</v>
      </c>
      <c r="C148" s="1" t="n">
        <v>46100</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44308-2021</t>
        </is>
      </c>
      <c r="B149" s="1" t="n">
        <v>44434</v>
      </c>
      <c r="C149" s="1" t="n">
        <v>46100</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44304-2021</t>
        </is>
      </c>
      <c r="B150" s="1" t="n">
        <v>44434</v>
      </c>
      <c r="C150" s="1" t="n">
        <v>46100</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447-2023</t>
        </is>
      </c>
      <c r="B151" s="1" t="n">
        <v>44929</v>
      </c>
      <c r="C151" s="1" t="n">
        <v>46100</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39812-2025</t>
        </is>
      </c>
      <c r="B152" s="1" t="n">
        <v>45891</v>
      </c>
      <c r="C152" s="1" t="n">
        <v>46100</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46527-2023</t>
        </is>
      </c>
      <c r="B153" s="1" t="n">
        <v>45197</v>
      </c>
      <c r="C153" s="1" t="n">
        <v>46100</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10995-2023</t>
        </is>
      </c>
      <c r="B154" s="1" t="n">
        <v>44986</v>
      </c>
      <c r="C154" s="1" t="n">
        <v>46100</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63576-2021</t>
        </is>
      </c>
      <c r="B155" s="1" t="n">
        <v>44508</v>
      </c>
      <c r="C155" s="1" t="n">
        <v>46100</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34809-2024</t>
        </is>
      </c>
      <c r="B156" s="1" t="n">
        <v>45526</v>
      </c>
      <c r="C156" s="1" t="n">
        <v>46100</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21466-2025</t>
        </is>
      </c>
      <c r="B157" s="1" t="n">
        <v>45782</v>
      </c>
      <c r="C157" s="1" t="n">
        <v>46100</v>
      </c>
      <c r="D157" t="inlineStr">
        <is>
          <t>GOTLANDS LÄN</t>
        </is>
      </c>
      <c r="E157" t="inlineStr">
        <is>
          <t>GOTLAND</t>
        </is>
      </c>
      <c r="F157" t="inlineStr">
        <is>
          <t>Övriga statliga verk och myndigheter</t>
        </is>
      </c>
      <c r="G157" t="n">
        <v>1.7</v>
      </c>
      <c r="H157" t="n">
        <v>1</v>
      </c>
      <c r="I157" t="n">
        <v>0</v>
      </c>
      <c r="J157" t="n">
        <v>0</v>
      </c>
      <c r="K157" t="n">
        <v>0</v>
      </c>
      <c r="L157" t="n">
        <v>0</v>
      </c>
      <c r="M157" t="n">
        <v>0</v>
      </c>
      <c r="N157" t="n">
        <v>0</v>
      </c>
      <c r="O157" t="n">
        <v>0</v>
      </c>
      <c r="P157" t="n">
        <v>0</v>
      </c>
      <c r="Q157" t="n">
        <v>1</v>
      </c>
      <c r="R157" s="2" t="inlineStr">
        <is>
          <t>Blåsippa</t>
        </is>
      </c>
      <c r="S157">
        <f>HYPERLINK("https://klasma.github.io/Logging_0980/artfynd/A 21466-2025 artfynd.xlsx", "A 21466-2025")</f>
        <v/>
      </c>
      <c r="T157">
        <f>HYPERLINK("https://klasma.github.io/Logging_0980/kartor/A 21466-2025 karta.png", "A 21466-2025")</f>
        <v/>
      </c>
      <c r="V157">
        <f>HYPERLINK("https://klasma.github.io/Logging_0980/klagomål/A 21466-2025 FSC-klagomål.docx", "A 21466-2025")</f>
        <v/>
      </c>
      <c r="W157">
        <f>HYPERLINK("https://klasma.github.io/Logging_0980/klagomålsmail/A 21466-2025 FSC-klagomål mail.docx", "A 21466-2025")</f>
        <v/>
      </c>
      <c r="X157">
        <f>HYPERLINK("https://klasma.github.io/Logging_0980/tillsyn/A 21466-2025 tillsynsbegäran.docx", "A 21466-2025")</f>
        <v/>
      </c>
      <c r="Y157">
        <f>HYPERLINK("https://klasma.github.io/Logging_0980/tillsynsmail/A 21466-2025 tillsynsbegäran mail.docx", "A 21466-2025")</f>
        <v/>
      </c>
    </row>
    <row r="158" ht="15" customHeight="1">
      <c r="A158" t="inlineStr">
        <is>
          <t>A 17723-2021</t>
        </is>
      </c>
      <c r="B158" s="1" t="n">
        <v>44300</v>
      </c>
      <c r="C158" s="1" t="n">
        <v>46100</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49304-2024</t>
        </is>
      </c>
      <c r="B159" s="1" t="n">
        <v>45595.54996527778</v>
      </c>
      <c r="C159" s="1" t="n">
        <v>46100</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22782-2023</t>
        </is>
      </c>
      <c r="B160" s="1" t="n">
        <v>45072</v>
      </c>
      <c r="C160" s="1" t="n">
        <v>46100</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10440-2024</t>
        </is>
      </c>
      <c r="B161" s="1" t="n">
        <v>45366.32818287037</v>
      </c>
      <c r="C161" s="1" t="n">
        <v>46100</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6303-2024</t>
        </is>
      </c>
      <c r="B162" s="1" t="n">
        <v>45338.35376157407</v>
      </c>
      <c r="C162" s="1" t="n">
        <v>46100</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62552-2022</t>
        </is>
      </c>
      <c r="B163" s="1" t="n">
        <v>44924</v>
      </c>
      <c r="C163" s="1" t="n">
        <v>46100</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44088-2022</t>
        </is>
      </c>
      <c r="B164" s="1" t="n">
        <v>44839</v>
      </c>
      <c r="C164" s="1" t="n">
        <v>46100</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25977-2024</t>
        </is>
      </c>
      <c r="B165" s="1" t="n">
        <v>45467.69356481481</v>
      </c>
      <c r="C165" s="1" t="n">
        <v>46100</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27589-2023</t>
        </is>
      </c>
      <c r="B166" s="1" t="n">
        <v>45097</v>
      </c>
      <c r="C166" s="1" t="n">
        <v>46100</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26461-2025</t>
        </is>
      </c>
      <c r="B167" s="1" t="n">
        <v>45807.43337962963</v>
      </c>
      <c r="C167" s="1" t="n">
        <v>46100</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65927-2021</t>
        </is>
      </c>
      <c r="B168" s="1" t="n">
        <v>44516</v>
      </c>
      <c r="C168" s="1" t="n">
        <v>46100</v>
      </c>
      <c r="D168" t="inlineStr">
        <is>
          <t>GOTLANDS LÄN</t>
        </is>
      </c>
      <c r="E168" t="inlineStr">
        <is>
          <t>GOTLAND</t>
        </is>
      </c>
      <c r="G168" t="n">
        <v>3.1</v>
      </c>
      <c r="H168" t="n">
        <v>1</v>
      </c>
      <c r="I168" t="n">
        <v>0</v>
      </c>
      <c r="J168" t="n">
        <v>0</v>
      </c>
      <c r="K168" t="n">
        <v>1</v>
      </c>
      <c r="L168" t="n">
        <v>0</v>
      </c>
      <c r="M168" t="n">
        <v>0</v>
      </c>
      <c r="N168" t="n">
        <v>0</v>
      </c>
      <c r="O168" t="n">
        <v>1</v>
      </c>
      <c r="P168" t="n">
        <v>1</v>
      </c>
      <c r="Q168" t="n">
        <v>1</v>
      </c>
      <c r="R168" s="2" t="inlineStr">
        <is>
          <t>Grenigt kungsljus</t>
        </is>
      </c>
      <c r="S168">
        <f>HYPERLINK("https://klasma.github.io/Logging_0980/artfynd/A 65927-2021 artfynd.xlsx", "A 65927-2021")</f>
        <v/>
      </c>
      <c r="T168">
        <f>HYPERLINK("https://klasma.github.io/Logging_0980/kartor/A 65927-2021 karta.png", "A 65927-2021")</f>
        <v/>
      </c>
      <c r="V168">
        <f>HYPERLINK("https://klasma.github.io/Logging_0980/klagomål/A 65927-2021 FSC-klagomål.docx", "A 65927-2021")</f>
        <v/>
      </c>
      <c r="W168">
        <f>HYPERLINK("https://klasma.github.io/Logging_0980/klagomålsmail/A 65927-2021 FSC-klagomål mail.docx", "A 65927-2021")</f>
        <v/>
      </c>
      <c r="X168">
        <f>HYPERLINK("https://klasma.github.io/Logging_0980/tillsyn/A 65927-2021 tillsynsbegäran.docx", "A 65927-2021")</f>
        <v/>
      </c>
      <c r="Y168">
        <f>HYPERLINK("https://klasma.github.io/Logging_0980/tillsynsmail/A 65927-2021 tillsynsbegäran mail.docx", "A 65927-2021")</f>
        <v/>
      </c>
    </row>
    <row r="169" ht="15" customHeight="1">
      <c r="A169" t="inlineStr">
        <is>
          <t>A 947-2023</t>
        </is>
      </c>
      <c r="B169" s="1" t="n">
        <v>44934</v>
      </c>
      <c r="C169" s="1" t="n">
        <v>46100</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35467-2021</t>
        </is>
      </c>
      <c r="B170" s="1" t="n">
        <v>44385</v>
      </c>
      <c r="C170" s="1" t="n">
        <v>46100</v>
      </c>
      <c r="D170" t="inlineStr">
        <is>
          <t>GOTLANDS LÄN</t>
        </is>
      </c>
      <c r="E170" t="inlineStr">
        <is>
          <t>GOTLAND</t>
        </is>
      </c>
      <c r="G170" t="n">
        <v>12.7</v>
      </c>
      <c r="H170" t="n">
        <v>0</v>
      </c>
      <c r="I170" t="n">
        <v>0</v>
      </c>
      <c r="J170" t="n">
        <v>1</v>
      </c>
      <c r="K170" t="n">
        <v>0</v>
      </c>
      <c r="L170" t="n">
        <v>0</v>
      </c>
      <c r="M170" t="n">
        <v>0</v>
      </c>
      <c r="N170" t="n">
        <v>0</v>
      </c>
      <c r="O170" t="n">
        <v>1</v>
      </c>
      <c r="P170" t="n">
        <v>0</v>
      </c>
      <c r="Q170" t="n">
        <v>1</v>
      </c>
      <c r="R170" s="2" t="inlineStr">
        <is>
          <t>Loppstarr</t>
        </is>
      </c>
      <c r="S170">
        <f>HYPERLINK("https://klasma.github.io/Logging_0980/artfynd/A 35467-2021 artfynd.xlsx", "A 35467-2021")</f>
        <v/>
      </c>
      <c r="T170">
        <f>HYPERLINK("https://klasma.github.io/Logging_0980/kartor/A 35467-2021 karta.png", "A 35467-2021")</f>
        <v/>
      </c>
      <c r="V170">
        <f>HYPERLINK("https://klasma.github.io/Logging_0980/klagomål/A 35467-2021 FSC-klagomål.docx", "A 35467-2021")</f>
        <v/>
      </c>
      <c r="W170">
        <f>HYPERLINK("https://klasma.github.io/Logging_0980/klagomålsmail/A 35467-2021 FSC-klagomål mail.docx", "A 35467-2021")</f>
        <v/>
      </c>
      <c r="X170">
        <f>HYPERLINK("https://klasma.github.io/Logging_0980/tillsyn/A 35467-2021 tillsynsbegäran.docx", "A 35467-2021")</f>
        <v/>
      </c>
      <c r="Y170">
        <f>HYPERLINK("https://klasma.github.io/Logging_0980/tillsynsmail/A 35467-2021 tillsynsbegäran mail.docx", "A 35467-2021")</f>
        <v/>
      </c>
    </row>
    <row r="171" ht="15" customHeight="1">
      <c r="A171" t="inlineStr">
        <is>
          <t>A 44619-2025</t>
        </is>
      </c>
      <c r="B171" s="1" t="n">
        <v>45917</v>
      </c>
      <c r="C171" s="1" t="n">
        <v>46100</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Ögonpyrola</t>
        </is>
      </c>
      <c r="S171">
        <f>HYPERLINK("https://klasma.github.io/Logging_0980/artfynd/A 44619-2025 artfynd.xlsx", "A 44619-2025")</f>
        <v/>
      </c>
      <c r="T171">
        <f>HYPERLINK("https://klasma.github.io/Logging_0980/kartor/A 44619-2025 karta.png", "A 44619-2025")</f>
        <v/>
      </c>
      <c r="V171">
        <f>HYPERLINK("https://klasma.github.io/Logging_0980/klagomål/A 44619-2025 FSC-klagomål.docx", "A 44619-2025")</f>
        <v/>
      </c>
      <c r="W171">
        <f>HYPERLINK("https://klasma.github.io/Logging_0980/klagomålsmail/A 44619-2025 FSC-klagomål mail.docx", "A 44619-2025")</f>
        <v/>
      </c>
      <c r="X171">
        <f>HYPERLINK("https://klasma.github.io/Logging_0980/tillsyn/A 44619-2025 tillsynsbegäran.docx", "A 44619-2025")</f>
        <v/>
      </c>
      <c r="Y171">
        <f>HYPERLINK("https://klasma.github.io/Logging_0980/tillsynsmail/A 44619-2025 tillsynsbegäran mail.docx", "A 44619-2025")</f>
        <v/>
      </c>
    </row>
    <row r="172" ht="15" customHeight="1">
      <c r="A172" t="inlineStr">
        <is>
          <t>A 1477-2024</t>
        </is>
      </c>
      <c r="B172" s="1" t="n">
        <v>45305.37987268518</v>
      </c>
      <c r="C172" s="1" t="n">
        <v>46100</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61561-2023</t>
        </is>
      </c>
      <c r="B173" s="1" t="n">
        <v>45265</v>
      </c>
      <c r="C173" s="1" t="n">
        <v>46100</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7637-2025</t>
        </is>
      </c>
      <c r="B174" s="1" t="n">
        <v>45705.77181712963</v>
      </c>
      <c r="C174" s="1" t="n">
        <v>46100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9862-2024</t>
        </is>
      </c>
      <c r="B175" s="1" t="n">
        <v>45363</v>
      </c>
      <c r="C175" s="1" t="n">
        <v>46100</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34141-2024</t>
        </is>
      </c>
      <c r="B176" s="1" t="n">
        <v>45524.36229166666</v>
      </c>
      <c r="C176" s="1" t="n">
        <v>46100</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61796-2022</t>
        </is>
      </c>
      <c r="B177" s="1" t="n">
        <v>44917</v>
      </c>
      <c r="C177" s="1" t="n">
        <v>46100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46100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46100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46100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46100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46100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46100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49726-2025</t>
        </is>
      </c>
      <c r="B184" s="1" t="n">
        <v>45939.84466435185</v>
      </c>
      <c r="C184" s="1" t="n">
        <v>46100</v>
      </c>
      <c r="D184" t="inlineStr">
        <is>
          <t>GOTLANDS LÄN</t>
        </is>
      </c>
      <c r="E184" t="inlineStr">
        <is>
          <t>GOTLAND</t>
        </is>
      </c>
      <c r="F184" t="inlineStr">
        <is>
          <t>Kyrkan</t>
        </is>
      </c>
      <c r="G184" t="n">
        <v>5.4</v>
      </c>
      <c r="H184" t="n">
        <v>0</v>
      </c>
      <c r="I184" t="n">
        <v>0</v>
      </c>
      <c r="J184" t="n">
        <v>1</v>
      </c>
      <c r="K184" t="n">
        <v>0</v>
      </c>
      <c r="L184" t="n">
        <v>0</v>
      </c>
      <c r="M184" t="n">
        <v>0</v>
      </c>
      <c r="N184" t="n">
        <v>0</v>
      </c>
      <c r="O184" t="n">
        <v>1</v>
      </c>
      <c r="P184" t="n">
        <v>0</v>
      </c>
      <c r="Q184" t="n">
        <v>1</v>
      </c>
      <c r="R184" s="2" t="inlineStr">
        <is>
          <t>Odörspindling</t>
        </is>
      </c>
      <c r="S184">
        <f>HYPERLINK("https://klasma.github.io/Logging_0980/artfynd/A 49726-2025 artfynd.xlsx", "A 49726-2025")</f>
        <v/>
      </c>
      <c r="T184">
        <f>HYPERLINK("https://klasma.github.io/Logging_0980/kartor/A 49726-2025 karta.png", "A 49726-2025")</f>
        <v/>
      </c>
      <c r="V184">
        <f>HYPERLINK("https://klasma.github.io/Logging_0980/klagomål/A 49726-2025 FSC-klagomål.docx", "A 49726-2025")</f>
        <v/>
      </c>
      <c r="W184">
        <f>HYPERLINK("https://klasma.github.io/Logging_0980/klagomålsmail/A 49726-2025 FSC-klagomål mail.docx", "A 49726-2025")</f>
        <v/>
      </c>
      <c r="X184">
        <f>HYPERLINK("https://klasma.github.io/Logging_0980/tillsyn/A 49726-2025 tillsynsbegäran.docx", "A 49726-2025")</f>
        <v/>
      </c>
      <c r="Y184">
        <f>HYPERLINK("https://klasma.github.io/Logging_0980/tillsynsmail/A 49726-2025 tillsynsbegäran mail.docx", "A 49726-2025")</f>
        <v/>
      </c>
    </row>
    <row r="185" ht="15" customHeight="1">
      <c r="A185" t="inlineStr">
        <is>
          <t>A 12924-2025</t>
        </is>
      </c>
      <c r="B185" s="1" t="n">
        <v>45734</v>
      </c>
      <c r="C185" s="1" t="n">
        <v>46100</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63149-2025</t>
        </is>
      </c>
      <c r="B186" s="1" t="n">
        <v>46010</v>
      </c>
      <c r="C186" s="1" t="n">
        <v>46100</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11708-2026</t>
        </is>
      </c>
      <c r="B187" s="1" t="n">
        <v>46084</v>
      </c>
      <c r="C187" s="1" t="n">
        <v>46100</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10013-2026</t>
        </is>
      </c>
      <c r="B188" s="1" t="n">
        <v>46073</v>
      </c>
      <c r="C188" s="1" t="n">
        <v>46100</v>
      </c>
      <c r="D188" t="inlineStr">
        <is>
          <t>GOTLANDS LÄN</t>
        </is>
      </c>
      <c r="E188" t="inlineStr">
        <is>
          <t>GOTLAND</t>
        </is>
      </c>
      <c r="G188" t="n">
        <v>10.5</v>
      </c>
      <c r="H188" t="n">
        <v>0</v>
      </c>
      <c r="I188" t="n">
        <v>0</v>
      </c>
      <c r="J188" t="n">
        <v>0</v>
      </c>
      <c r="K188" t="n">
        <v>1</v>
      </c>
      <c r="L188" t="n">
        <v>0</v>
      </c>
      <c r="M188" t="n">
        <v>0</v>
      </c>
      <c r="N188" t="n">
        <v>0</v>
      </c>
      <c r="O188" t="n">
        <v>1</v>
      </c>
      <c r="P188" t="n">
        <v>1</v>
      </c>
      <c r="Q188" t="n">
        <v>1</v>
      </c>
      <c r="R188" s="2" t="inlineStr">
        <is>
          <t>Skogskorn</t>
        </is>
      </c>
      <c r="S188">
        <f>HYPERLINK("https://klasma.github.io/Logging_0980/artfynd/A 10013-2026 artfynd.xlsx", "A 10013-2026")</f>
        <v/>
      </c>
      <c r="T188">
        <f>HYPERLINK("https://klasma.github.io/Logging_0980/kartor/A 10013-2026 karta.png", "A 10013-2026")</f>
        <v/>
      </c>
      <c r="V188">
        <f>HYPERLINK("https://klasma.github.io/Logging_0980/klagomål/A 10013-2026 FSC-klagomål.docx", "A 10013-2026")</f>
        <v/>
      </c>
      <c r="W188">
        <f>HYPERLINK("https://klasma.github.io/Logging_0980/klagomålsmail/A 10013-2026 FSC-klagomål mail.docx", "A 10013-2026")</f>
        <v/>
      </c>
      <c r="X188">
        <f>HYPERLINK("https://klasma.github.io/Logging_0980/tillsyn/A 10013-2026 tillsynsbegäran.docx", "A 10013-2026")</f>
        <v/>
      </c>
      <c r="Y188">
        <f>HYPERLINK("https://klasma.github.io/Logging_0980/tillsynsmail/A 10013-2026 tillsynsbegäran mail.docx", "A 10013-2026")</f>
        <v/>
      </c>
    </row>
    <row r="189" ht="15" customHeight="1">
      <c r="A189" t="inlineStr">
        <is>
          <t>A 19901-2021</t>
        </is>
      </c>
      <c r="B189" s="1" t="n">
        <v>44312</v>
      </c>
      <c r="C189" s="1" t="n">
        <v>46100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46100</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46100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46100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46100</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46100</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46100</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46100</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24123-2022</t>
        </is>
      </c>
      <c r="B206" s="1" t="n">
        <v>44725.4384375</v>
      </c>
      <c r="C206" s="1" t="n">
        <v>46100</v>
      </c>
      <c r="D206" t="inlineStr">
        <is>
          <t>GOTLANDS LÄN</t>
        </is>
      </c>
      <c r="E206" t="inlineStr">
        <is>
          <t>GOTLAND</t>
        </is>
      </c>
      <c r="G206" t="n">
        <v>6</v>
      </c>
      <c r="H206" t="n">
        <v>0</v>
      </c>
      <c r="I206" t="n">
        <v>0</v>
      </c>
      <c r="J206" t="n">
        <v>0</v>
      </c>
      <c r="K206" t="n">
        <v>0</v>
      </c>
      <c r="L206" t="n">
        <v>0</v>
      </c>
      <c r="M206" t="n">
        <v>0</v>
      </c>
      <c r="N206" t="n">
        <v>0</v>
      </c>
      <c r="O206" t="n">
        <v>0</v>
      </c>
      <c r="P206" t="n">
        <v>0</v>
      </c>
      <c r="Q206" t="n">
        <v>0</v>
      </c>
      <c r="R206" s="2" t="inlineStr"/>
    </row>
    <row r="207" ht="15" customHeight="1">
      <c r="A207" t="inlineStr">
        <is>
          <t>A 44207-2022</t>
        </is>
      </c>
      <c r="B207" s="1" t="n">
        <v>44839</v>
      </c>
      <c r="C207" s="1" t="n">
        <v>46100</v>
      </c>
      <c r="D207" t="inlineStr">
        <is>
          <t>GOTLANDS LÄN</t>
        </is>
      </c>
      <c r="E207" t="inlineStr">
        <is>
          <t>GOTLAND</t>
        </is>
      </c>
      <c r="G207" t="n">
        <v>3.8</v>
      </c>
      <c r="H207" t="n">
        <v>0</v>
      </c>
      <c r="I207" t="n">
        <v>0</v>
      </c>
      <c r="J207" t="n">
        <v>0</v>
      </c>
      <c r="K207" t="n">
        <v>0</v>
      </c>
      <c r="L207" t="n">
        <v>0</v>
      </c>
      <c r="M207" t="n">
        <v>0</v>
      </c>
      <c r="N207" t="n">
        <v>0</v>
      </c>
      <c r="O207" t="n">
        <v>0</v>
      </c>
      <c r="P207" t="n">
        <v>0</v>
      </c>
      <c r="Q207" t="n">
        <v>0</v>
      </c>
      <c r="R207" s="2" t="inlineStr"/>
    </row>
    <row r="208" ht="15" customHeight="1">
      <c r="A208" t="inlineStr">
        <is>
          <t>A 19447-2021</t>
        </is>
      </c>
      <c r="B208" s="1" t="n">
        <v>44310.72780092592</v>
      </c>
      <c r="C208" s="1" t="n">
        <v>46100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46100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46100</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46100</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46100</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46100</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46100</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46100</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71010-2021</t>
        </is>
      </c>
      <c r="B219" s="1" t="n">
        <v>44538.63775462963</v>
      </c>
      <c r="C219" s="1" t="n">
        <v>46100</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46100</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46100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46100</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46100</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46100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17901-2023</t>
        </is>
      </c>
      <c r="B225" s="1" t="n">
        <v>45039</v>
      </c>
      <c r="C225" s="1" t="n">
        <v>46100</v>
      </c>
      <c r="D225" t="inlineStr">
        <is>
          <t>GOTLANDS LÄN</t>
        </is>
      </c>
      <c r="E225" t="inlineStr">
        <is>
          <t>GOTLAND</t>
        </is>
      </c>
      <c r="F225" t="inlineStr">
        <is>
          <t>Kyrkan</t>
        </is>
      </c>
      <c r="G225" t="n">
        <v>0.6</v>
      </c>
      <c r="H225" t="n">
        <v>0</v>
      </c>
      <c r="I225" t="n">
        <v>0</v>
      </c>
      <c r="J225" t="n">
        <v>0</v>
      </c>
      <c r="K225" t="n">
        <v>0</v>
      </c>
      <c r="L225" t="n">
        <v>0</v>
      </c>
      <c r="M225" t="n">
        <v>0</v>
      </c>
      <c r="N225" t="n">
        <v>0</v>
      </c>
      <c r="O225" t="n">
        <v>0</v>
      </c>
      <c r="P225" t="n">
        <v>0</v>
      </c>
      <c r="Q225" t="n">
        <v>0</v>
      </c>
      <c r="R225" s="2" t="inlineStr"/>
    </row>
    <row r="226" ht="15" customHeight="1">
      <c r="A226" t="inlineStr">
        <is>
          <t>A 456-2023</t>
        </is>
      </c>
      <c r="B226" s="1" t="n">
        <v>44929.87122685185</v>
      </c>
      <c r="C226" s="1" t="n">
        <v>46100</v>
      </c>
      <c r="D226" t="inlineStr">
        <is>
          <t>GOTLANDS LÄN</t>
        </is>
      </c>
      <c r="E226" t="inlineStr">
        <is>
          <t>GOTLAND</t>
        </is>
      </c>
      <c r="G226" t="n">
        <v>3.2</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46100</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46189-2022</t>
        </is>
      </c>
      <c r="B228" s="1" t="n">
        <v>44847</v>
      </c>
      <c r="C228" s="1" t="n">
        <v>46100</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46100</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57522-2022</t>
        </is>
      </c>
      <c r="B230" s="1" t="n">
        <v>44896</v>
      </c>
      <c r="C230" s="1" t="n">
        <v>46100</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14797-2024</t>
        </is>
      </c>
      <c r="B231" s="1" t="n">
        <v>45397.87030092593</v>
      </c>
      <c r="C231" s="1" t="n">
        <v>46100</v>
      </c>
      <c r="D231" t="inlineStr">
        <is>
          <t>GOTLANDS LÄN</t>
        </is>
      </c>
      <c r="E231" t="inlineStr">
        <is>
          <t>GOTLAND</t>
        </is>
      </c>
      <c r="G231" t="n">
        <v>8.1</v>
      </c>
      <c r="H231" t="n">
        <v>0</v>
      </c>
      <c r="I231" t="n">
        <v>0</v>
      </c>
      <c r="J231" t="n">
        <v>0</v>
      </c>
      <c r="K231" t="n">
        <v>0</v>
      </c>
      <c r="L231" t="n">
        <v>0</v>
      </c>
      <c r="M231" t="n">
        <v>0</v>
      </c>
      <c r="N231" t="n">
        <v>0</v>
      </c>
      <c r="O231" t="n">
        <v>0</v>
      </c>
      <c r="P231" t="n">
        <v>0</v>
      </c>
      <c r="Q231" t="n">
        <v>0</v>
      </c>
      <c r="R231" s="2" t="inlineStr"/>
    </row>
    <row r="232" ht="15" customHeight="1">
      <c r="A232" t="inlineStr">
        <is>
          <t>A 30055-2021</t>
        </is>
      </c>
      <c r="B232" s="1" t="n">
        <v>44363</v>
      </c>
      <c r="C232" s="1" t="n">
        <v>46100</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46100</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7837-2024</t>
        </is>
      </c>
      <c r="B234" s="1" t="n">
        <v>45349.83787037037</v>
      </c>
      <c r="C234" s="1" t="n">
        <v>46100</v>
      </c>
      <c r="D234" t="inlineStr">
        <is>
          <t>GOTLANDS LÄN</t>
        </is>
      </c>
      <c r="E234" t="inlineStr">
        <is>
          <t>GOTLAND</t>
        </is>
      </c>
      <c r="G234" t="n">
        <v>5</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46100</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1394-2023</t>
        </is>
      </c>
      <c r="B236" s="1" t="n">
        <v>44936.72997685185</v>
      </c>
      <c r="C236" s="1" t="n">
        <v>46100</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23910-2021</t>
        </is>
      </c>
      <c r="B237" s="1" t="n">
        <v>44335</v>
      </c>
      <c r="C237" s="1" t="n">
        <v>46100</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2676-2023</t>
        </is>
      </c>
      <c r="B238" s="1" t="n">
        <v>44944</v>
      </c>
      <c r="C238" s="1" t="n">
        <v>46100</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4387-2023</t>
        </is>
      </c>
      <c r="B239" s="1" t="n">
        <v>44955.73359953704</v>
      </c>
      <c r="C239" s="1" t="n">
        <v>46100</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49411-2023</t>
        </is>
      </c>
      <c r="B240" s="1" t="n">
        <v>45205</v>
      </c>
      <c r="C240" s="1" t="n">
        <v>46100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37728-2024</t>
        </is>
      </c>
      <c r="B241" s="1" t="n">
        <v>45541</v>
      </c>
      <c r="C241" s="1" t="n">
        <v>46100</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46100</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2241-2025</t>
        </is>
      </c>
      <c r="B243" s="1" t="n">
        <v>45673.48710648148</v>
      </c>
      <c r="C243" s="1" t="n">
        <v>46100</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46100</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46100</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46100</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61386-2023</t>
        </is>
      </c>
      <c r="B247" s="1" t="n">
        <v>45264</v>
      </c>
      <c r="C247" s="1" t="n">
        <v>46100</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13498-2022</t>
        </is>
      </c>
      <c r="B248" s="1" t="n">
        <v>44647.78866898148</v>
      </c>
      <c r="C248" s="1" t="n">
        <v>46100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13500-2022</t>
        </is>
      </c>
      <c r="B249" s="1" t="n">
        <v>44647.79513888889</v>
      </c>
      <c r="C249" s="1" t="n">
        <v>46100</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46100</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46100</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46100</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25866-2022</t>
        </is>
      </c>
      <c r="B253" s="1" t="n">
        <v>44733</v>
      </c>
      <c r="C253" s="1" t="n">
        <v>46100</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46100</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25129-2023</t>
        </is>
      </c>
      <c r="B255" s="1" t="n">
        <v>45086.44261574074</v>
      </c>
      <c r="C255" s="1" t="n">
        <v>46100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22275-2023</t>
        </is>
      </c>
      <c r="B256" s="1" t="n">
        <v>45070.39875</v>
      </c>
      <c r="C256" s="1" t="n">
        <v>46100</v>
      </c>
      <c r="D256" t="inlineStr">
        <is>
          <t>GOTLANDS LÄN</t>
        </is>
      </c>
      <c r="E256" t="inlineStr">
        <is>
          <t>GOTLAND</t>
        </is>
      </c>
      <c r="G256" t="n">
        <v>7.2</v>
      </c>
      <c r="H256" t="n">
        <v>0</v>
      </c>
      <c r="I256" t="n">
        <v>0</v>
      </c>
      <c r="J256" t="n">
        <v>0</v>
      </c>
      <c r="K256" t="n">
        <v>0</v>
      </c>
      <c r="L256" t="n">
        <v>0</v>
      </c>
      <c r="M256" t="n">
        <v>0</v>
      </c>
      <c r="N256" t="n">
        <v>0</v>
      </c>
      <c r="O256" t="n">
        <v>0</v>
      </c>
      <c r="P256" t="n">
        <v>0</v>
      </c>
      <c r="Q256" t="n">
        <v>0</v>
      </c>
      <c r="R256" s="2" t="inlineStr"/>
    </row>
    <row r="257" ht="15" customHeight="1">
      <c r="A257" t="inlineStr">
        <is>
          <t>A 14635-2023</t>
        </is>
      </c>
      <c r="B257" s="1" t="n">
        <v>45013.69365740741</v>
      </c>
      <c r="C257" s="1" t="n">
        <v>46100</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63763-2023</t>
        </is>
      </c>
      <c r="B258" s="1" t="n">
        <v>45278.33944444444</v>
      </c>
      <c r="C258" s="1" t="n">
        <v>46100</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7635-2025</t>
        </is>
      </c>
      <c r="B259" s="1" t="n">
        <v>45705</v>
      </c>
      <c r="C259" s="1" t="n">
        <v>46100</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7636-2025</t>
        </is>
      </c>
      <c r="B260" s="1" t="n">
        <v>45705.7687962963</v>
      </c>
      <c r="C260" s="1" t="n">
        <v>46100</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7639-2025</t>
        </is>
      </c>
      <c r="B261" s="1" t="n">
        <v>45705.77465277778</v>
      </c>
      <c r="C261" s="1" t="n">
        <v>46100</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46100</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15434-2024</t>
        </is>
      </c>
      <c r="B263" s="1" t="n">
        <v>45401.38836805556</v>
      </c>
      <c r="C263" s="1" t="n">
        <v>46100</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9887-2025</t>
        </is>
      </c>
      <c r="B264" s="1" t="n">
        <v>45716</v>
      </c>
      <c r="C264" s="1" t="n">
        <v>46100</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12209-2024</t>
        </is>
      </c>
      <c r="B265" s="1" t="n">
        <v>45378</v>
      </c>
      <c r="C265" s="1" t="n">
        <v>46100</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12210-2024</t>
        </is>
      </c>
      <c r="B266" s="1" t="n">
        <v>45378</v>
      </c>
      <c r="C266" s="1" t="n">
        <v>46100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46100</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46100</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2180-2025</t>
        </is>
      </c>
      <c r="B269" s="1" t="n">
        <v>45673</v>
      </c>
      <c r="C269" s="1" t="n">
        <v>46100</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59986-2022</t>
        </is>
      </c>
      <c r="B270" s="1" t="n">
        <v>44909</v>
      </c>
      <c r="C270" s="1" t="n">
        <v>46100</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31802-2024</t>
        </is>
      </c>
      <c r="B271" s="1" t="n">
        <v>45509</v>
      </c>
      <c r="C271" s="1" t="n">
        <v>46100</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54074-2022</t>
        </is>
      </c>
      <c r="B272" s="1" t="n">
        <v>44881</v>
      </c>
      <c r="C272" s="1" t="n">
        <v>46100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20993-2023</t>
        </is>
      </c>
      <c r="B273" s="1" t="n">
        <v>45056</v>
      </c>
      <c r="C273" s="1" t="n">
        <v>46100</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61694-2023</t>
        </is>
      </c>
      <c r="B274" s="1" t="n">
        <v>45264</v>
      </c>
      <c r="C274" s="1" t="n">
        <v>46100</v>
      </c>
      <c r="D274" t="inlineStr">
        <is>
          <t>GOTLANDS LÄN</t>
        </is>
      </c>
      <c r="E274" t="inlineStr">
        <is>
          <t>GOTLAND</t>
        </is>
      </c>
      <c r="G274" t="n">
        <v>4.6</v>
      </c>
      <c r="H274" t="n">
        <v>0</v>
      </c>
      <c r="I274" t="n">
        <v>0</v>
      </c>
      <c r="J274" t="n">
        <v>0</v>
      </c>
      <c r="K274" t="n">
        <v>0</v>
      </c>
      <c r="L274" t="n">
        <v>0</v>
      </c>
      <c r="M274" t="n">
        <v>0</v>
      </c>
      <c r="N274" t="n">
        <v>0</v>
      </c>
      <c r="O274" t="n">
        <v>0</v>
      </c>
      <c r="P274" t="n">
        <v>0</v>
      </c>
      <c r="Q274" t="n">
        <v>0</v>
      </c>
      <c r="R274" s="2" t="inlineStr"/>
    </row>
    <row r="275" ht="15" customHeight="1">
      <c r="A275" t="inlineStr">
        <is>
          <t>A 15042-2025</t>
        </is>
      </c>
      <c r="B275" s="1" t="n">
        <v>45743</v>
      </c>
      <c r="C275" s="1" t="n">
        <v>46100</v>
      </c>
      <c r="D275" t="inlineStr">
        <is>
          <t>GOTLANDS LÄN</t>
        </is>
      </c>
      <c r="E275" t="inlineStr">
        <is>
          <t>GOTLAND</t>
        </is>
      </c>
      <c r="G275" t="n">
        <v>8.5</v>
      </c>
      <c r="H275" t="n">
        <v>0</v>
      </c>
      <c r="I275" t="n">
        <v>0</v>
      </c>
      <c r="J275" t="n">
        <v>0</v>
      </c>
      <c r="K275" t="n">
        <v>0</v>
      </c>
      <c r="L275" t="n">
        <v>0</v>
      </c>
      <c r="M275" t="n">
        <v>0</v>
      </c>
      <c r="N275" t="n">
        <v>0</v>
      </c>
      <c r="O275" t="n">
        <v>0</v>
      </c>
      <c r="P275" t="n">
        <v>0</v>
      </c>
      <c r="Q275" t="n">
        <v>0</v>
      </c>
      <c r="R275" s="2" t="inlineStr"/>
    </row>
    <row r="276" ht="15" customHeight="1">
      <c r="A276" t="inlineStr">
        <is>
          <t>A 20356-2022</t>
        </is>
      </c>
      <c r="B276" s="1" t="n">
        <v>44699</v>
      </c>
      <c r="C276" s="1" t="n">
        <v>46100</v>
      </c>
      <c r="D276" t="inlineStr">
        <is>
          <t>GOTLANDS LÄN</t>
        </is>
      </c>
      <c r="E276" t="inlineStr">
        <is>
          <t>GOTLAND</t>
        </is>
      </c>
      <c r="F276" t="inlineStr">
        <is>
          <t>Övriga Aktiebolag</t>
        </is>
      </c>
      <c r="G276" t="n">
        <v>4.4</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46100</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64208-2021</t>
        </is>
      </c>
      <c r="B278" s="1" t="n">
        <v>44510</v>
      </c>
      <c r="C278" s="1" t="n">
        <v>46100</v>
      </c>
      <c r="D278" t="inlineStr">
        <is>
          <t>GOTLANDS LÄN</t>
        </is>
      </c>
      <c r="E278" t="inlineStr">
        <is>
          <t>GOTLAND</t>
        </is>
      </c>
      <c r="G278" t="n">
        <v>4.7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46100</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54268-2022</t>
        </is>
      </c>
      <c r="B280" s="1" t="n">
        <v>44882</v>
      </c>
      <c r="C280" s="1" t="n">
        <v>46100</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12327-2025</t>
        </is>
      </c>
      <c r="B281" s="1" t="n">
        <v>45730</v>
      </c>
      <c r="C281" s="1" t="n">
        <v>46100</v>
      </c>
      <c r="D281" t="inlineStr">
        <is>
          <t>GOTLANDS LÄN</t>
        </is>
      </c>
      <c r="E281" t="inlineStr">
        <is>
          <t>GOTLAND</t>
        </is>
      </c>
      <c r="G281" t="n">
        <v>1.8</v>
      </c>
      <c r="H281" t="n">
        <v>0</v>
      </c>
      <c r="I281" t="n">
        <v>0</v>
      </c>
      <c r="J281" t="n">
        <v>0</v>
      </c>
      <c r="K281" t="n">
        <v>0</v>
      </c>
      <c r="L281" t="n">
        <v>0</v>
      </c>
      <c r="M281" t="n">
        <v>0</v>
      </c>
      <c r="N281" t="n">
        <v>0</v>
      </c>
      <c r="O281" t="n">
        <v>0</v>
      </c>
      <c r="P281" t="n">
        <v>0</v>
      </c>
      <c r="Q281" t="n">
        <v>0</v>
      </c>
      <c r="R281" s="2" t="inlineStr"/>
    </row>
    <row r="282" ht="15" customHeight="1">
      <c r="A282" t="inlineStr">
        <is>
          <t>A 1446-2025</t>
        </is>
      </c>
      <c r="B282" s="1" t="n">
        <v>45669.86035879629</v>
      </c>
      <c r="C282" s="1" t="n">
        <v>46100</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1462-2025</t>
        </is>
      </c>
      <c r="B283" s="1" t="n">
        <v>45670.36319444444</v>
      </c>
      <c r="C283" s="1" t="n">
        <v>46100</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46100</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57685-2022</t>
        </is>
      </c>
      <c r="B285" s="1" t="n">
        <v>44897.4777662037</v>
      </c>
      <c r="C285" s="1" t="n">
        <v>46100</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811-2023</t>
        </is>
      </c>
      <c r="B286" s="1" t="n">
        <v>44931</v>
      </c>
      <c r="C286" s="1" t="n">
        <v>46100</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4420-2025</t>
        </is>
      </c>
      <c r="B287" s="1" t="n">
        <v>45686.47157407407</v>
      </c>
      <c r="C287" s="1" t="n">
        <v>46100</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45106-2024</t>
        </is>
      </c>
      <c r="B288" s="1" t="n">
        <v>45575</v>
      </c>
      <c r="C288" s="1" t="n">
        <v>46100</v>
      </c>
      <c r="D288" t="inlineStr">
        <is>
          <t>GOTLANDS LÄN</t>
        </is>
      </c>
      <c r="E288" t="inlineStr">
        <is>
          <t>GOTLAND</t>
        </is>
      </c>
      <c r="G288" t="n">
        <v>10</v>
      </c>
      <c r="H288" t="n">
        <v>0</v>
      </c>
      <c r="I288" t="n">
        <v>0</v>
      </c>
      <c r="J288" t="n">
        <v>0</v>
      </c>
      <c r="K288" t="n">
        <v>0</v>
      </c>
      <c r="L288" t="n">
        <v>0</v>
      </c>
      <c r="M288" t="n">
        <v>0</v>
      </c>
      <c r="N288" t="n">
        <v>0</v>
      </c>
      <c r="O288" t="n">
        <v>0</v>
      </c>
      <c r="P288" t="n">
        <v>0</v>
      </c>
      <c r="Q288" t="n">
        <v>0</v>
      </c>
      <c r="R288" s="2" t="inlineStr"/>
    </row>
    <row r="289" ht="15" customHeight="1">
      <c r="A289" t="inlineStr">
        <is>
          <t>A 45112-2024</t>
        </is>
      </c>
      <c r="B289" s="1" t="n">
        <v>45575</v>
      </c>
      <c r="C289" s="1" t="n">
        <v>46100</v>
      </c>
      <c r="D289" t="inlineStr">
        <is>
          <t>GOTLANDS LÄN</t>
        </is>
      </c>
      <c r="E289" t="inlineStr">
        <is>
          <t>GOTLAND</t>
        </is>
      </c>
      <c r="G289" t="n">
        <v>5.1</v>
      </c>
      <c r="H289" t="n">
        <v>0</v>
      </c>
      <c r="I289" t="n">
        <v>0</v>
      </c>
      <c r="J289" t="n">
        <v>0</v>
      </c>
      <c r="K289" t="n">
        <v>0</v>
      </c>
      <c r="L289" t="n">
        <v>0</v>
      </c>
      <c r="M289" t="n">
        <v>0</v>
      </c>
      <c r="N289" t="n">
        <v>0</v>
      </c>
      <c r="O289" t="n">
        <v>0</v>
      </c>
      <c r="P289" t="n">
        <v>0</v>
      </c>
      <c r="Q289" t="n">
        <v>0</v>
      </c>
      <c r="R289" s="2" t="inlineStr"/>
    </row>
    <row r="290" ht="15" customHeight="1">
      <c r="A290" t="inlineStr">
        <is>
          <t>A 14427-2024</t>
        </is>
      </c>
      <c r="B290" s="1" t="n">
        <v>45394</v>
      </c>
      <c r="C290" s="1" t="n">
        <v>46100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5905-2024</t>
        </is>
      </c>
      <c r="B291" s="1" t="n">
        <v>45335.88993055555</v>
      </c>
      <c r="C291" s="1" t="n">
        <v>46100</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7026-2023</t>
        </is>
      </c>
      <c r="B292" s="1" t="n">
        <v>44968.30340277778</v>
      </c>
      <c r="C292" s="1" t="n">
        <v>46100</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3431-2025</t>
        </is>
      </c>
      <c r="B293" s="1" t="n">
        <v>45680.42935185185</v>
      </c>
      <c r="C293" s="1" t="n">
        <v>46100</v>
      </c>
      <c r="D293" t="inlineStr">
        <is>
          <t>GOTLANDS LÄN</t>
        </is>
      </c>
      <c r="E293" t="inlineStr">
        <is>
          <t>GOTLAND</t>
        </is>
      </c>
      <c r="G293" t="n">
        <v>4.8</v>
      </c>
      <c r="H293" t="n">
        <v>0</v>
      </c>
      <c r="I293" t="n">
        <v>0</v>
      </c>
      <c r="J293" t="n">
        <v>0</v>
      </c>
      <c r="K293" t="n">
        <v>0</v>
      </c>
      <c r="L293" t="n">
        <v>0</v>
      </c>
      <c r="M293" t="n">
        <v>0</v>
      </c>
      <c r="N293" t="n">
        <v>0</v>
      </c>
      <c r="O293" t="n">
        <v>0</v>
      </c>
      <c r="P293" t="n">
        <v>0</v>
      </c>
      <c r="Q293" t="n">
        <v>0</v>
      </c>
      <c r="R293" s="2" t="inlineStr"/>
    </row>
    <row r="294" ht="15" customHeight="1">
      <c r="A294" t="inlineStr">
        <is>
          <t>A 34407-2023</t>
        </is>
      </c>
      <c r="B294" s="1" t="n">
        <v>45132</v>
      </c>
      <c r="C294" s="1" t="n">
        <v>46100</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30892-2024</t>
        </is>
      </c>
      <c r="B295" s="1" t="n">
        <v>45491</v>
      </c>
      <c r="C295" s="1" t="n">
        <v>46100</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52892-2021</t>
        </is>
      </c>
      <c r="B296" s="1" t="n">
        <v>44467.49048611111</v>
      </c>
      <c r="C296" s="1" t="n">
        <v>46100</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32958-2021</t>
        </is>
      </c>
      <c r="B297" s="1" t="n">
        <v>44376</v>
      </c>
      <c r="C297" s="1" t="n">
        <v>46100</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1351-2025</t>
        </is>
      </c>
      <c r="B298" s="1" t="n">
        <v>45667.62246527777</v>
      </c>
      <c r="C298" s="1" t="n">
        <v>46100</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35142-2025</t>
        </is>
      </c>
      <c r="B299" s="1" t="n">
        <v>45852.65532407408</v>
      </c>
      <c r="C299" s="1" t="n">
        <v>46100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49874-2024</t>
        </is>
      </c>
      <c r="B300" s="1" t="n">
        <v>45597.49274305555</v>
      </c>
      <c r="C300" s="1" t="n">
        <v>46100</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35141-2025</t>
        </is>
      </c>
      <c r="B301" s="1" t="n">
        <v>45852.65206018519</v>
      </c>
      <c r="C301" s="1" t="n">
        <v>46100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49257-2024</t>
        </is>
      </c>
      <c r="B302" s="1" t="n">
        <v>45595.47627314815</v>
      </c>
      <c r="C302" s="1" t="n">
        <v>46100</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49315-2024</t>
        </is>
      </c>
      <c r="B303" s="1" t="n">
        <v>45595</v>
      </c>
      <c r="C303" s="1" t="n">
        <v>46100</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7858-2025</t>
        </is>
      </c>
      <c r="B304" s="1" t="n">
        <v>45706.68633101852</v>
      </c>
      <c r="C304" s="1" t="n">
        <v>46100</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46545-2024</t>
        </is>
      </c>
      <c r="B305" s="1" t="n">
        <v>45582.65831018519</v>
      </c>
      <c r="C305" s="1" t="n">
        <v>46100</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999-2023</t>
        </is>
      </c>
      <c r="B306" s="1" t="n">
        <v>44935</v>
      </c>
      <c r="C306" s="1" t="n">
        <v>46100</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1364-2025</t>
        </is>
      </c>
      <c r="B307" s="1" t="n">
        <v>45667.63929398148</v>
      </c>
      <c r="C307" s="1" t="n">
        <v>46100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2125-2025</t>
        </is>
      </c>
      <c r="B308" s="1" t="n">
        <v>45672.64940972222</v>
      </c>
      <c r="C308" s="1" t="n">
        <v>46100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51782-2023</t>
        </is>
      </c>
      <c r="B309" s="1" t="n">
        <v>45222.80952546297</v>
      </c>
      <c r="C309" s="1" t="n">
        <v>46100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14141-2024</t>
        </is>
      </c>
      <c r="B310" s="1" t="n">
        <v>45392.85193287037</v>
      </c>
      <c r="C310" s="1" t="n">
        <v>46100</v>
      </c>
      <c r="D310" t="inlineStr">
        <is>
          <t>GOTLANDS LÄN</t>
        </is>
      </c>
      <c r="E310" t="inlineStr">
        <is>
          <t>GOTLAND</t>
        </is>
      </c>
      <c r="G310" t="n">
        <v>5.3</v>
      </c>
      <c r="H310" t="n">
        <v>0</v>
      </c>
      <c r="I310" t="n">
        <v>0</v>
      </c>
      <c r="J310" t="n">
        <v>0</v>
      </c>
      <c r="K310" t="n">
        <v>0</v>
      </c>
      <c r="L310" t="n">
        <v>0</v>
      </c>
      <c r="M310" t="n">
        <v>0</v>
      </c>
      <c r="N310" t="n">
        <v>0</v>
      </c>
      <c r="O310" t="n">
        <v>0</v>
      </c>
      <c r="P310" t="n">
        <v>0</v>
      </c>
      <c r="Q310" t="n">
        <v>0</v>
      </c>
      <c r="R310" s="2" t="inlineStr"/>
    </row>
    <row r="311" ht="15" customHeight="1">
      <c r="A311" t="inlineStr">
        <is>
          <t>A 60675-2021</t>
        </is>
      </c>
      <c r="B311" s="1" t="n">
        <v>44496.64855324074</v>
      </c>
      <c r="C311" s="1" t="n">
        <v>46100</v>
      </c>
      <c r="D311" t="inlineStr">
        <is>
          <t>GOTLANDS LÄN</t>
        </is>
      </c>
      <c r="E311" t="inlineStr">
        <is>
          <t>GOTLAND</t>
        </is>
      </c>
      <c r="G311" t="n">
        <v>4.6</v>
      </c>
      <c r="H311" t="n">
        <v>0</v>
      </c>
      <c r="I311" t="n">
        <v>0</v>
      </c>
      <c r="J311" t="n">
        <v>0</v>
      </c>
      <c r="K311" t="n">
        <v>0</v>
      </c>
      <c r="L311" t="n">
        <v>0</v>
      </c>
      <c r="M311" t="n">
        <v>0</v>
      </c>
      <c r="N311" t="n">
        <v>0</v>
      </c>
      <c r="O311" t="n">
        <v>0</v>
      </c>
      <c r="P311" t="n">
        <v>0</v>
      </c>
      <c r="Q311" t="n">
        <v>0</v>
      </c>
      <c r="R311" s="2" t="inlineStr"/>
    </row>
    <row r="312" ht="15" customHeight="1">
      <c r="A312" t="inlineStr">
        <is>
          <t>A 12155-2023</t>
        </is>
      </c>
      <c r="B312" s="1" t="n">
        <v>44998.49106481481</v>
      </c>
      <c r="C312" s="1" t="n">
        <v>46100</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46100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14638-2025</t>
        </is>
      </c>
      <c r="B314" s="1" t="n">
        <v>45742</v>
      </c>
      <c r="C314" s="1" t="n">
        <v>46100</v>
      </c>
      <c r="D314" t="inlineStr">
        <is>
          <t>GOTLANDS LÄN</t>
        </is>
      </c>
      <c r="E314" t="inlineStr">
        <is>
          <t>GOTLAND</t>
        </is>
      </c>
      <c r="G314" t="n">
        <v>13.4</v>
      </c>
      <c r="H314" t="n">
        <v>0</v>
      </c>
      <c r="I314" t="n">
        <v>0</v>
      </c>
      <c r="J314" t="n">
        <v>0</v>
      </c>
      <c r="K314" t="n">
        <v>0</v>
      </c>
      <c r="L314" t="n">
        <v>0</v>
      </c>
      <c r="M314" t="n">
        <v>0</v>
      </c>
      <c r="N314" t="n">
        <v>0</v>
      </c>
      <c r="O314" t="n">
        <v>0</v>
      </c>
      <c r="P314" t="n">
        <v>0</v>
      </c>
      <c r="Q314" t="n">
        <v>0</v>
      </c>
      <c r="R314" s="2" t="inlineStr"/>
    </row>
    <row r="315" ht="15" customHeight="1">
      <c r="A315" t="inlineStr">
        <is>
          <t>A 27596-2023</t>
        </is>
      </c>
      <c r="B315" s="1" t="n">
        <v>45097</v>
      </c>
      <c r="C315" s="1" t="n">
        <v>46100</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4421-2024</t>
        </is>
      </c>
      <c r="B316" s="1" t="n">
        <v>45327.45173611111</v>
      </c>
      <c r="C316" s="1" t="n">
        <v>46100</v>
      </c>
      <c r="D316" t="inlineStr">
        <is>
          <t>GOTLANDS LÄN</t>
        </is>
      </c>
      <c r="E316" t="inlineStr">
        <is>
          <t>GOTLAND</t>
        </is>
      </c>
      <c r="G316" t="n">
        <v>5.1</v>
      </c>
      <c r="H316" t="n">
        <v>0</v>
      </c>
      <c r="I316" t="n">
        <v>0</v>
      </c>
      <c r="J316" t="n">
        <v>0</v>
      </c>
      <c r="K316" t="n">
        <v>0</v>
      </c>
      <c r="L316" t="n">
        <v>0</v>
      </c>
      <c r="M316" t="n">
        <v>0</v>
      </c>
      <c r="N316" t="n">
        <v>0</v>
      </c>
      <c r="O316" t="n">
        <v>0</v>
      </c>
      <c r="P316" t="n">
        <v>0</v>
      </c>
      <c r="Q316" t="n">
        <v>0</v>
      </c>
      <c r="R316" s="2" t="inlineStr"/>
    </row>
    <row r="317" ht="15" customHeight="1">
      <c r="A317" t="inlineStr">
        <is>
          <t>A 56115-2023</t>
        </is>
      </c>
      <c r="B317" s="1" t="n">
        <v>45236</v>
      </c>
      <c r="C317" s="1" t="n">
        <v>46100</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2774-2024</t>
        </is>
      </c>
      <c r="B318" s="1" t="n">
        <v>45314.62375</v>
      </c>
      <c r="C318" s="1" t="n">
        <v>46100</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64969-2023</t>
        </is>
      </c>
      <c r="B319" s="1" t="n">
        <v>45284.54009259259</v>
      </c>
      <c r="C319" s="1" t="n">
        <v>46100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9947-2024</t>
        </is>
      </c>
      <c r="B320" s="1" t="n">
        <v>45363</v>
      </c>
      <c r="C320" s="1" t="n">
        <v>46100</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42007-2023</t>
        </is>
      </c>
      <c r="B321" s="1" t="n">
        <v>45177</v>
      </c>
      <c r="C321" s="1" t="n">
        <v>46100</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33853-2024</t>
        </is>
      </c>
      <c r="B322" s="1" t="n">
        <v>45520.64298611111</v>
      </c>
      <c r="C322" s="1" t="n">
        <v>46100</v>
      </c>
      <c r="D322" t="inlineStr">
        <is>
          <t>GOTLANDS LÄN</t>
        </is>
      </c>
      <c r="E322" t="inlineStr">
        <is>
          <t>GOTLAND</t>
        </is>
      </c>
      <c r="G322" t="n">
        <v>3.9</v>
      </c>
      <c r="H322" t="n">
        <v>0</v>
      </c>
      <c r="I322" t="n">
        <v>0</v>
      </c>
      <c r="J322" t="n">
        <v>0</v>
      </c>
      <c r="K322" t="n">
        <v>0</v>
      </c>
      <c r="L322" t="n">
        <v>0</v>
      </c>
      <c r="M322" t="n">
        <v>0</v>
      </c>
      <c r="N322" t="n">
        <v>0</v>
      </c>
      <c r="O322" t="n">
        <v>0</v>
      </c>
      <c r="P322" t="n">
        <v>0</v>
      </c>
      <c r="Q322" t="n">
        <v>0</v>
      </c>
      <c r="R322" s="2" t="inlineStr"/>
    </row>
    <row r="323" ht="15" customHeight="1">
      <c r="A323" t="inlineStr">
        <is>
          <t>A 20165-2022</t>
        </is>
      </c>
      <c r="B323" s="1" t="n">
        <v>44698.49854166667</v>
      </c>
      <c r="C323" s="1" t="n">
        <v>46100</v>
      </c>
      <c r="D323" t="inlineStr">
        <is>
          <t>GOTLANDS LÄN</t>
        </is>
      </c>
      <c r="E323" t="inlineStr">
        <is>
          <t>GOTLAND</t>
        </is>
      </c>
      <c r="G323" t="n">
        <v>4.1</v>
      </c>
      <c r="H323" t="n">
        <v>0</v>
      </c>
      <c r="I323" t="n">
        <v>0</v>
      </c>
      <c r="J323" t="n">
        <v>0</v>
      </c>
      <c r="K323" t="n">
        <v>0</v>
      </c>
      <c r="L323" t="n">
        <v>0</v>
      </c>
      <c r="M323" t="n">
        <v>0</v>
      </c>
      <c r="N323" t="n">
        <v>0</v>
      </c>
      <c r="O323" t="n">
        <v>0</v>
      </c>
      <c r="P323" t="n">
        <v>0</v>
      </c>
      <c r="Q323" t="n">
        <v>0</v>
      </c>
      <c r="R323" s="2" t="inlineStr"/>
    </row>
    <row r="324" ht="15" customHeight="1">
      <c r="A324" t="inlineStr">
        <is>
          <t>A 18223-2025</t>
        </is>
      </c>
      <c r="B324" s="1" t="n">
        <v>45761</v>
      </c>
      <c r="C324" s="1" t="n">
        <v>46100</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31264-2021</t>
        </is>
      </c>
      <c r="B325" s="1" t="n">
        <v>44368</v>
      </c>
      <c r="C325" s="1" t="n">
        <v>46100</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46100</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46100</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24001-2021</t>
        </is>
      </c>
      <c r="B328" s="1" t="n">
        <v>44335</v>
      </c>
      <c r="C328" s="1" t="n">
        <v>46100</v>
      </c>
      <c r="D328" t="inlineStr">
        <is>
          <t>GOTLANDS LÄN</t>
        </is>
      </c>
      <c r="E328" t="inlineStr">
        <is>
          <t>GOTLAND</t>
        </is>
      </c>
      <c r="G328" t="n">
        <v>3.4</v>
      </c>
      <c r="H328" t="n">
        <v>0</v>
      </c>
      <c r="I328" t="n">
        <v>0</v>
      </c>
      <c r="J328" t="n">
        <v>0</v>
      </c>
      <c r="K328" t="n">
        <v>0</v>
      </c>
      <c r="L328" t="n">
        <v>0</v>
      </c>
      <c r="M328" t="n">
        <v>0</v>
      </c>
      <c r="N328" t="n">
        <v>0</v>
      </c>
      <c r="O328" t="n">
        <v>0</v>
      </c>
      <c r="P328" t="n">
        <v>0</v>
      </c>
      <c r="Q328" t="n">
        <v>0</v>
      </c>
      <c r="R328" s="2" t="inlineStr"/>
    </row>
    <row r="329" ht="15" customHeight="1">
      <c r="A329" t="inlineStr">
        <is>
          <t>A 39479-2022</t>
        </is>
      </c>
      <c r="B329" s="1" t="n">
        <v>44818</v>
      </c>
      <c r="C329" s="1" t="n">
        <v>46100</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39496-2022</t>
        </is>
      </c>
      <c r="B330" s="1" t="n">
        <v>44818</v>
      </c>
      <c r="C330" s="1" t="n">
        <v>46100</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43223-2023</t>
        </is>
      </c>
      <c r="B331" s="1" t="n">
        <v>45183.45642361111</v>
      </c>
      <c r="C331" s="1" t="n">
        <v>46100</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61962-2024</t>
        </is>
      </c>
      <c r="B332" s="1" t="n">
        <v>45653.54340277778</v>
      </c>
      <c r="C332" s="1" t="n">
        <v>46100</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27930-2021</t>
        </is>
      </c>
      <c r="B333" s="1" t="n">
        <v>44354</v>
      </c>
      <c r="C333" s="1" t="n">
        <v>46100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59469-2024</t>
        </is>
      </c>
      <c r="B334" s="1" t="n">
        <v>45638</v>
      </c>
      <c r="C334" s="1" t="n">
        <v>46100</v>
      </c>
      <c r="D334" t="inlineStr">
        <is>
          <t>GOTLANDS LÄN</t>
        </is>
      </c>
      <c r="E334" t="inlineStr">
        <is>
          <t>GOTLAND</t>
        </is>
      </c>
      <c r="G334" t="n">
        <v>0.4</v>
      </c>
      <c r="H334" t="n">
        <v>0</v>
      </c>
      <c r="I334" t="n">
        <v>0</v>
      </c>
      <c r="J334" t="n">
        <v>0</v>
      </c>
      <c r="K334" t="n">
        <v>0</v>
      </c>
      <c r="L334" t="n">
        <v>0</v>
      </c>
      <c r="M334" t="n">
        <v>0</v>
      </c>
      <c r="N334" t="n">
        <v>0</v>
      </c>
      <c r="O334" t="n">
        <v>0</v>
      </c>
      <c r="P334" t="n">
        <v>0</v>
      </c>
      <c r="Q334" t="n">
        <v>0</v>
      </c>
      <c r="R334" s="2" t="inlineStr"/>
    </row>
    <row r="335" ht="15" customHeight="1">
      <c r="A335" t="inlineStr">
        <is>
          <t>A 39849-2025</t>
        </is>
      </c>
      <c r="B335" s="1" t="n">
        <v>45891.58502314815</v>
      </c>
      <c r="C335" s="1" t="n">
        <v>46100</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15083-2025</t>
        </is>
      </c>
      <c r="B336" s="1" t="n">
        <v>45743</v>
      </c>
      <c r="C336" s="1" t="n">
        <v>46100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39814-2025</t>
        </is>
      </c>
      <c r="B337" s="1" t="n">
        <v>45891.52694444444</v>
      </c>
      <c r="C337" s="1" t="n">
        <v>46100</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39819-2025</t>
        </is>
      </c>
      <c r="B338" s="1" t="n">
        <v>45891.53418981482</v>
      </c>
      <c r="C338" s="1" t="n">
        <v>46100</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46389-2021</t>
        </is>
      </c>
      <c r="B339" s="1" t="n">
        <v>44443</v>
      </c>
      <c r="C339" s="1" t="n">
        <v>46100</v>
      </c>
      <c r="D339" t="inlineStr">
        <is>
          <t>GOTLANDS LÄN</t>
        </is>
      </c>
      <c r="E339" t="inlineStr">
        <is>
          <t>GOTLAND</t>
        </is>
      </c>
      <c r="F339" t="inlineStr">
        <is>
          <t>Kyrkan</t>
        </is>
      </c>
      <c r="G339" t="n">
        <v>2.1</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46100</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46100</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46100</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5751-2024</t>
        </is>
      </c>
      <c r="B343" s="1" t="n">
        <v>45335.32702546296</v>
      </c>
      <c r="C343" s="1" t="n">
        <v>46100</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6696-2023</t>
        </is>
      </c>
      <c r="B344" s="1" t="n">
        <v>44966.66425925926</v>
      </c>
      <c r="C344" s="1" t="n">
        <v>46100</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44949-2023</t>
        </is>
      </c>
      <c r="B345" s="1" t="n">
        <v>45190.69520833333</v>
      </c>
      <c r="C345" s="1" t="n">
        <v>46100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28480-2023</t>
        </is>
      </c>
      <c r="B346" s="1" t="n">
        <v>45103</v>
      </c>
      <c r="C346" s="1" t="n">
        <v>46100</v>
      </c>
      <c r="D346" t="inlineStr">
        <is>
          <t>GOTLANDS LÄN</t>
        </is>
      </c>
      <c r="E346" t="inlineStr">
        <is>
          <t>GOTLAND</t>
        </is>
      </c>
      <c r="G346" t="n">
        <v>5.7</v>
      </c>
      <c r="H346" t="n">
        <v>0</v>
      </c>
      <c r="I346" t="n">
        <v>0</v>
      </c>
      <c r="J346" t="n">
        <v>0</v>
      </c>
      <c r="K346" t="n">
        <v>0</v>
      </c>
      <c r="L346" t="n">
        <v>0</v>
      </c>
      <c r="M346" t="n">
        <v>0</v>
      </c>
      <c r="N346" t="n">
        <v>0</v>
      </c>
      <c r="O346" t="n">
        <v>0</v>
      </c>
      <c r="P346" t="n">
        <v>0</v>
      </c>
      <c r="Q346" t="n">
        <v>0</v>
      </c>
      <c r="R346" s="2" t="inlineStr"/>
    </row>
    <row r="347" ht="15" customHeight="1">
      <c r="A347" t="inlineStr">
        <is>
          <t>A 28485-2023</t>
        </is>
      </c>
      <c r="B347" s="1" t="n">
        <v>45103.43731481482</v>
      </c>
      <c r="C347" s="1" t="n">
        <v>46100</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4990-2025</t>
        </is>
      </c>
      <c r="B348" s="1" t="n">
        <v>45691</v>
      </c>
      <c r="C348" s="1" t="n">
        <v>46100</v>
      </c>
      <c r="D348" t="inlineStr">
        <is>
          <t>GOTLANDS LÄN</t>
        </is>
      </c>
      <c r="E348" t="inlineStr">
        <is>
          <t>GOTLAND</t>
        </is>
      </c>
      <c r="G348" t="n">
        <v>7.7</v>
      </c>
      <c r="H348" t="n">
        <v>0</v>
      </c>
      <c r="I348" t="n">
        <v>0</v>
      </c>
      <c r="J348" t="n">
        <v>0</v>
      </c>
      <c r="K348" t="n">
        <v>0</v>
      </c>
      <c r="L348" t="n">
        <v>0</v>
      </c>
      <c r="M348" t="n">
        <v>0</v>
      </c>
      <c r="N348" t="n">
        <v>0</v>
      </c>
      <c r="O348" t="n">
        <v>0</v>
      </c>
      <c r="P348" t="n">
        <v>0</v>
      </c>
      <c r="Q348" t="n">
        <v>0</v>
      </c>
      <c r="R348" s="2" t="inlineStr"/>
    </row>
    <row r="349" ht="15" customHeight="1">
      <c r="A349" t="inlineStr">
        <is>
          <t>A 40373-2025</t>
        </is>
      </c>
      <c r="B349" s="1" t="n">
        <v>45895.51821759259</v>
      </c>
      <c r="C349" s="1" t="n">
        <v>46100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17682-2024</t>
        </is>
      </c>
      <c r="B350" s="1" t="n">
        <v>45418.42966435185</v>
      </c>
      <c r="C350" s="1" t="n">
        <v>46100</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61897-2024</t>
        </is>
      </c>
      <c r="B351" s="1" t="n">
        <v>45652.75685185185</v>
      </c>
      <c r="C351" s="1" t="n">
        <v>46100</v>
      </c>
      <c r="D351" t="inlineStr">
        <is>
          <t>GOTLANDS LÄN</t>
        </is>
      </c>
      <c r="E351" t="inlineStr">
        <is>
          <t>GOTLAND</t>
        </is>
      </c>
      <c r="G351" t="n">
        <v>6.4</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46100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12032-2025</t>
        </is>
      </c>
      <c r="B353" s="1" t="n">
        <v>45728.64472222222</v>
      </c>
      <c r="C353" s="1" t="n">
        <v>46100</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1066-2024</t>
        </is>
      </c>
      <c r="B354" s="1" t="n">
        <v>45302.285</v>
      </c>
      <c r="C354" s="1" t="n">
        <v>46100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15595-2024</t>
        </is>
      </c>
      <c r="B355" s="1" t="n">
        <v>45401.81480324074</v>
      </c>
      <c r="C355" s="1" t="n">
        <v>46100</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40103-2025</t>
        </is>
      </c>
      <c r="B356" s="1" t="n">
        <v>45894.4880324074</v>
      </c>
      <c r="C356" s="1" t="n">
        <v>46100</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37202-2024</t>
        </is>
      </c>
      <c r="B357" s="1" t="n">
        <v>45539.67310185185</v>
      </c>
      <c r="C357" s="1" t="n">
        <v>46100</v>
      </c>
      <c r="D357" t="inlineStr">
        <is>
          <t>GOTLANDS LÄN</t>
        </is>
      </c>
      <c r="E357" t="inlineStr">
        <is>
          <t>GOTLAND</t>
        </is>
      </c>
      <c r="G357" t="n">
        <v>0.3</v>
      </c>
      <c r="H357" t="n">
        <v>0</v>
      </c>
      <c r="I357" t="n">
        <v>0</v>
      </c>
      <c r="J357" t="n">
        <v>0</v>
      </c>
      <c r="K357" t="n">
        <v>0</v>
      </c>
      <c r="L357" t="n">
        <v>0</v>
      </c>
      <c r="M357" t="n">
        <v>0</v>
      </c>
      <c r="N357" t="n">
        <v>0</v>
      </c>
      <c r="O357" t="n">
        <v>0</v>
      </c>
      <c r="P357" t="n">
        <v>0</v>
      </c>
      <c r="Q357" t="n">
        <v>0</v>
      </c>
      <c r="R357" s="2" t="inlineStr"/>
    </row>
    <row r="358" ht="15" customHeight="1">
      <c r="A358" t="inlineStr">
        <is>
          <t>A 30815-2023</t>
        </is>
      </c>
      <c r="B358" s="1" t="n">
        <v>45112</v>
      </c>
      <c r="C358" s="1" t="n">
        <v>46100</v>
      </c>
      <c r="D358" t="inlineStr">
        <is>
          <t>GOTLANDS LÄN</t>
        </is>
      </c>
      <c r="E358" t="inlineStr">
        <is>
          <t>GOTLAND</t>
        </is>
      </c>
      <c r="G358" t="n">
        <v>6</v>
      </c>
      <c r="H358" t="n">
        <v>0</v>
      </c>
      <c r="I358" t="n">
        <v>0</v>
      </c>
      <c r="J358" t="n">
        <v>0</v>
      </c>
      <c r="K358" t="n">
        <v>0</v>
      </c>
      <c r="L358" t="n">
        <v>0</v>
      </c>
      <c r="M358" t="n">
        <v>0</v>
      </c>
      <c r="N358" t="n">
        <v>0</v>
      </c>
      <c r="O358" t="n">
        <v>0</v>
      </c>
      <c r="P358" t="n">
        <v>0</v>
      </c>
      <c r="Q358" t="n">
        <v>0</v>
      </c>
      <c r="R358" s="2" t="inlineStr"/>
    </row>
    <row r="359" ht="15" customHeight="1">
      <c r="A359" t="inlineStr">
        <is>
          <t>A 46400-2023</t>
        </is>
      </c>
      <c r="B359" s="1" t="n">
        <v>45197.49290509259</v>
      </c>
      <c r="C359" s="1" t="n">
        <v>46100</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10492-2023</t>
        </is>
      </c>
      <c r="B360" s="1" t="n">
        <v>44987</v>
      </c>
      <c r="C360" s="1" t="n">
        <v>46100</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21164-2024</t>
        </is>
      </c>
      <c r="B361" s="1" t="n">
        <v>45440</v>
      </c>
      <c r="C361" s="1" t="n">
        <v>46100</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17541-2024</t>
        </is>
      </c>
      <c r="B362" s="1" t="n">
        <v>45415</v>
      </c>
      <c r="C362" s="1" t="n">
        <v>46100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883-2025</t>
        </is>
      </c>
      <c r="B363" s="1" t="n">
        <v>45665</v>
      </c>
      <c r="C363" s="1" t="n">
        <v>46100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13910-2025</t>
        </is>
      </c>
      <c r="B364" s="1" t="n">
        <v>45737</v>
      </c>
      <c r="C364" s="1" t="n">
        <v>46100</v>
      </c>
      <c r="D364" t="inlineStr">
        <is>
          <t>GOTLANDS LÄN</t>
        </is>
      </c>
      <c r="E364" t="inlineStr">
        <is>
          <t>GOTLAND</t>
        </is>
      </c>
      <c r="F364" t="inlineStr">
        <is>
          <t>Kommuner</t>
        </is>
      </c>
      <c r="G364" t="n">
        <v>3.2</v>
      </c>
      <c r="H364" t="n">
        <v>0</v>
      </c>
      <c r="I364" t="n">
        <v>0</v>
      </c>
      <c r="J364" t="n">
        <v>0</v>
      </c>
      <c r="K364" t="n">
        <v>0</v>
      </c>
      <c r="L364" t="n">
        <v>0</v>
      </c>
      <c r="M364" t="n">
        <v>0</v>
      </c>
      <c r="N364" t="n">
        <v>0</v>
      </c>
      <c r="O364" t="n">
        <v>0</v>
      </c>
      <c r="P364" t="n">
        <v>0</v>
      </c>
      <c r="Q364" t="n">
        <v>0</v>
      </c>
      <c r="R364" s="2" t="inlineStr"/>
    </row>
    <row r="365" ht="15" customHeight="1">
      <c r="A365" t="inlineStr">
        <is>
          <t>A 49693-2023</t>
        </is>
      </c>
      <c r="B365" s="1" t="n">
        <v>45212.38138888889</v>
      </c>
      <c r="C365" s="1" t="n">
        <v>46100</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49697-2023</t>
        </is>
      </c>
      <c r="B366" s="1" t="n">
        <v>45212.38909722222</v>
      </c>
      <c r="C366" s="1" t="n">
        <v>46100</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34312-2024</t>
        </is>
      </c>
      <c r="B367" s="1" t="n">
        <v>45524.69703703704</v>
      </c>
      <c r="C367" s="1" t="n">
        <v>46100</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20794-2025</t>
        </is>
      </c>
      <c r="B368" s="1" t="n">
        <v>45776</v>
      </c>
      <c r="C368" s="1" t="n">
        <v>46100</v>
      </c>
      <c r="D368" t="inlineStr">
        <is>
          <t>GOTLANDS LÄN</t>
        </is>
      </c>
      <c r="E368" t="inlineStr">
        <is>
          <t>GOTLAND</t>
        </is>
      </c>
      <c r="G368" t="n">
        <v>6</v>
      </c>
      <c r="H368" t="n">
        <v>0</v>
      </c>
      <c r="I368" t="n">
        <v>0</v>
      </c>
      <c r="J368" t="n">
        <v>0</v>
      </c>
      <c r="K368" t="n">
        <v>0</v>
      </c>
      <c r="L368" t="n">
        <v>0</v>
      </c>
      <c r="M368" t="n">
        <v>0</v>
      </c>
      <c r="N368" t="n">
        <v>0</v>
      </c>
      <c r="O368" t="n">
        <v>0</v>
      </c>
      <c r="P368" t="n">
        <v>0</v>
      </c>
      <c r="Q368" t="n">
        <v>0</v>
      </c>
      <c r="R368" s="2" t="inlineStr"/>
    </row>
    <row r="369" ht="15" customHeight="1">
      <c r="A369" t="inlineStr">
        <is>
          <t>A 44919-2022</t>
        </is>
      </c>
      <c r="B369" s="1" t="n">
        <v>44841</v>
      </c>
      <c r="C369" s="1" t="n">
        <v>46100</v>
      </c>
      <c r="D369" t="inlineStr">
        <is>
          <t>GOTLANDS LÄN</t>
        </is>
      </c>
      <c r="E369" t="inlineStr">
        <is>
          <t>GOTLAND</t>
        </is>
      </c>
      <c r="G369" t="n">
        <v>2.2</v>
      </c>
      <c r="H369" t="n">
        <v>0</v>
      </c>
      <c r="I369" t="n">
        <v>0</v>
      </c>
      <c r="J369" t="n">
        <v>0</v>
      </c>
      <c r="K369" t="n">
        <v>0</v>
      </c>
      <c r="L369" t="n">
        <v>0</v>
      </c>
      <c r="M369" t="n">
        <v>0</v>
      </c>
      <c r="N369" t="n">
        <v>0</v>
      </c>
      <c r="O369" t="n">
        <v>0</v>
      </c>
      <c r="P369" t="n">
        <v>0</v>
      </c>
      <c r="Q369" t="n">
        <v>0</v>
      </c>
      <c r="R369" s="2" t="inlineStr"/>
    </row>
    <row r="370" ht="15" customHeight="1">
      <c r="A370" t="inlineStr">
        <is>
          <t>A 16501-2023</t>
        </is>
      </c>
      <c r="B370" s="1" t="n">
        <v>45029</v>
      </c>
      <c r="C370" s="1" t="n">
        <v>46100</v>
      </c>
      <c r="D370" t="inlineStr">
        <is>
          <t>GOTLANDS LÄN</t>
        </is>
      </c>
      <c r="E370" t="inlineStr">
        <is>
          <t>GOTLAND</t>
        </is>
      </c>
      <c r="G370" t="n">
        <v>3.1</v>
      </c>
      <c r="H370" t="n">
        <v>0</v>
      </c>
      <c r="I370" t="n">
        <v>0</v>
      </c>
      <c r="J370" t="n">
        <v>0</v>
      </c>
      <c r="K370" t="n">
        <v>0</v>
      </c>
      <c r="L370" t="n">
        <v>0</v>
      </c>
      <c r="M370" t="n">
        <v>0</v>
      </c>
      <c r="N370" t="n">
        <v>0</v>
      </c>
      <c r="O370" t="n">
        <v>0</v>
      </c>
      <c r="P370" t="n">
        <v>0</v>
      </c>
      <c r="Q370" t="n">
        <v>0</v>
      </c>
      <c r="R370" s="2" t="inlineStr"/>
    </row>
    <row r="371" ht="15" customHeight="1">
      <c r="A371" t="inlineStr">
        <is>
          <t>A 40499-2025</t>
        </is>
      </c>
      <c r="B371" s="1" t="n">
        <v>45896.32517361111</v>
      </c>
      <c r="C371" s="1" t="n">
        <v>46100</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48503-2023</t>
        </is>
      </c>
      <c r="B372" s="1" t="n">
        <v>45207</v>
      </c>
      <c r="C372" s="1" t="n">
        <v>46100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20805-2025</t>
        </is>
      </c>
      <c r="B373" s="1" t="n">
        <v>45776</v>
      </c>
      <c r="C373" s="1" t="n">
        <v>46100</v>
      </c>
      <c r="D373" t="inlineStr">
        <is>
          <t>GOTLANDS LÄN</t>
        </is>
      </c>
      <c r="E373" t="inlineStr">
        <is>
          <t>GOTLAND</t>
        </is>
      </c>
      <c r="G373" t="n">
        <v>3.1</v>
      </c>
      <c r="H373" t="n">
        <v>0</v>
      </c>
      <c r="I373" t="n">
        <v>0</v>
      </c>
      <c r="J373" t="n">
        <v>0</v>
      </c>
      <c r="K373" t="n">
        <v>0</v>
      </c>
      <c r="L373" t="n">
        <v>0</v>
      </c>
      <c r="M373" t="n">
        <v>0</v>
      </c>
      <c r="N373" t="n">
        <v>0</v>
      </c>
      <c r="O373" t="n">
        <v>0</v>
      </c>
      <c r="P373" t="n">
        <v>0</v>
      </c>
      <c r="Q373" t="n">
        <v>0</v>
      </c>
      <c r="R373" s="2" t="inlineStr"/>
    </row>
    <row r="374" ht="15" customHeight="1">
      <c r="A374" t="inlineStr">
        <is>
          <t>A 21389-2025</t>
        </is>
      </c>
      <c r="B374" s="1" t="n">
        <v>45782</v>
      </c>
      <c r="C374" s="1" t="n">
        <v>46100</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27095-2022</t>
        </is>
      </c>
      <c r="B375" s="1" t="n">
        <v>44741</v>
      </c>
      <c r="C375" s="1" t="n">
        <v>46100</v>
      </c>
      <c r="D375" t="inlineStr">
        <is>
          <t>GOTLANDS LÄN</t>
        </is>
      </c>
      <c r="E375" t="inlineStr">
        <is>
          <t>GOTLAND</t>
        </is>
      </c>
      <c r="F375" t="inlineStr">
        <is>
          <t>Övriga Aktiebolag</t>
        </is>
      </c>
      <c r="G375" t="n">
        <v>2.9</v>
      </c>
      <c r="H375" t="n">
        <v>0</v>
      </c>
      <c r="I375" t="n">
        <v>0</v>
      </c>
      <c r="J375" t="n">
        <v>0</v>
      </c>
      <c r="K375" t="n">
        <v>0</v>
      </c>
      <c r="L375" t="n">
        <v>0</v>
      </c>
      <c r="M375" t="n">
        <v>0</v>
      </c>
      <c r="N375" t="n">
        <v>0</v>
      </c>
      <c r="O375" t="n">
        <v>0</v>
      </c>
      <c r="P375" t="n">
        <v>0</v>
      </c>
      <c r="Q375" t="n">
        <v>0</v>
      </c>
      <c r="R375" s="2" t="inlineStr"/>
    </row>
    <row r="376" ht="15" customHeight="1">
      <c r="A376" t="inlineStr">
        <is>
          <t>A 458-2023</t>
        </is>
      </c>
      <c r="B376" s="1" t="n">
        <v>44929</v>
      </c>
      <c r="C376" s="1" t="n">
        <v>46100</v>
      </c>
      <c r="D376" t="inlineStr">
        <is>
          <t>GOTLANDS LÄN</t>
        </is>
      </c>
      <c r="E376" t="inlineStr">
        <is>
          <t>GOTLAND</t>
        </is>
      </c>
      <c r="G376" t="n">
        <v>3.6</v>
      </c>
      <c r="H376" t="n">
        <v>0</v>
      </c>
      <c r="I376" t="n">
        <v>0</v>
      </c>
      <c r="J376" t="n">
        <v>0</v>
      </c>
      <c r="K376" t="n">
        <v>0</v>
      </c>
      <c r="L376" t="n">
        <v>0</v>
      </c>
      <c r="M376" t="n">
        <v>0</v>
      </c>
      <c r="N376" t="n">
        <v>0</v>
      </c>
      <c r="O376" t="n">
        <v>0</v>
      </c>
      <c r="P376" t="n">
        <v>0</v>
      </c>
      <c r="Q376" t="n">
        <v>0</v>
      </c>
      <c r="R376" s="2" t="inlineStr"/>
    </row>
    <row r="377" ht="15" customHeight="1">
      <c r="A377" t="inlineStr">
        <is>
          <t>A 1291-2023</t>
        </is>
      </c>
      <c r="B377" s="1" t="n">
        <v>44936.47561342592</v>
      </c>
      <c r="C377" s="1" t="n">
        <v>46100</v>
      </c>
      <c r="D377" t="inlineStr">
        <is>
          <t>GOTLANDS LÄN</t>
        </is>
      </c>
      <c r="E377" t="inlineStr">
        <is>
          <t>GOTLAND</t>
        </is>
      </c>
      <c r="G377" t="n">
        <v>7.4</v>
      </c>
      <c r="H377" t="n">
        <v>0</v>
      </c>
      <c r="I377" t="n">
        <v>0</v>
      </c>
      <c r="J377" t="n">
        <v>0</v>
      </c>
      <c r="K377" t="n">
        <v>0</v>
      </c>
      <c r="L377" t="n">
        <v>0</v>
      </c>
      <c r="M377" t="n">
        <v>0</v>
      </c>
      <c r="N377" t="n">
        <v>0</v>
      </c>
      <c r="O377" t="n">
        <v>0</v>
      </c>
      <c r="P377" t="n">
        <v>0</v>
      </c>
      <c r="Q377" t="n">
        <v>0</v>
      </c>
      <c r="R377" s="2" t="inlineStr"/>
    </row>
    <row r="378" ht="15" customHeight="1">
      <c r="A378" t="inlineStr">
        <is>
          <t>A 24825-2024</t>
        </is>
      </c>
      <c r="B378" s="1" t="n">
        <v>45461</v>
      </c>
      <c r="C378" s="1" t="n">
        <v>46100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32330-2024</t>
        </is>
      </c>
      <c r="B379" s="1" t="n">
        <v>45512</v>
      </c>
      <c r="C379" s="1" t="n">
        <v>46100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5891-2025</t>
        </is>
      </c>
      <c r="B380" s="1" t="n">
        <v>45695.38327546296</v>
      </c>
      <c r="C380" s="1" t="n">
        <v>46100</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21651-2025</t>
        </is>
      </c>
      <c r="B381" s="1" t="n">
        <v>45783</v>
      </c>
      <c r="C381" s="1" t="n">
        <v>46100</v>
      </c>
      <c r="D381" t="inlineStr">
        <is>
          <t>GOTLANDS LÄN</t>
        </is>
      </c>
      <c r="E381" t="inlineStr">
        <is>
          <t>GOTLAND</t>
        </is>
      </c>
      <c r="G381" t="n">
        <v>4.2</v>
      </c>
      <c r="H381" t="n">
        <v>0</v>
      </c>
      <c r="I381" t="n">
        <v>0</v>
      </c>
      <c r="J381" t="n">
        <v>0</v>
      </c>
      <c r="K381" t="n">
        <v>0</v>
      </c>
      <c r="L381" t="n">
        <v>0</v>
      </c>
      <c r="M381" t="n">
        <v>0</v>
      </c>
      <c r="N381" t="n">
        <v>0</v>
      </c>
      <c r="O381" t="n">
        <v>0</v>
      </c>
      <c r="P381" t="n">
        <v>0</v>
      </c>
      <c r="Q381" t="n">
        <v>0</v>
      </c>
      <c r="R381" s="2" t="inlineStr"/>
    </row>
    <row r="382" ht="15" customHeight="1">
      <c r="A382" t="inlineStr">
        <is>
          <t>A 22031-2024</t>
        </is>
      </c>
      <c r="B382" s="1" t="n">
        <v>45443.60075231481</v>
      </c>
      <c r="C382" s="1" t="n">
        <v>46100</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17688-2024</t>
        </is>
      </c>
      <c r="B383" s="1" t="n">
        <v>45418.43575231481</v>
      </c>
      <c r="C383" s="1" t="n">
        <v>46100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14804-2021</t>
        </is>
      </c>
      <c r="B384" s="1" t="n">
        <v>44280</v>
      </c>
      <c r="C384" s="1" t="n">
        <v>46100</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2719-2023</t>
        </is>
      </c>
      <c r="B385" s="1" t="n">
        <v>44944.55361111111</v>
      </c>
      <c r="C385" s="1" t="n">
        <v>46100</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17144-2025</t>
        </is>
      </c>
      <c r="B386" s="1" t="n">
        <v>45755.9499537037</v>
      </c>
      <c r="C386" s="1" t="n">
        <v>46100</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49314-2024</t>
        </is>
      </c>
      <c r="B387" s="1" t="n">
        <v>45595.55893518519</v>
      </c>
      <c r="C387" s="1" t="n">
        <v>46100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9875-2025</t>
        </is>
      </c>
      <c r="B388" s="1" t="n">
        <v>45716</v>
      </c>
      <c r="C388" s="1" t="n">
        <v>46100</v>
      </c>
      <c r="D388" t="inlineStr">
        <is>
          <t>GOTLANDS LÄN</t>
        </is>
      </c>
      <c r="E388" t="inlineStr">
        <is>
          <t>GOTLAND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29809-2022</t>
        </is>
      </c>
      <c r="B389" s="1" t="n">
        <v>44755.8713425926</v>
      </c>
      <c r="C389" s="1" t="n">
        <v>46100</v>
      </c>
      <c r="D389" t="inlineStr">
        <is>
          <t>GOTLANDS LÄN</t>
        </is>
      </c>
      <c r="E389" t="inlineStr">
        <is>
          <t>GOTLAND</t>
        </is>
      </c>
      <c r="G389" t="n">
        <v>11.5</v>
      </c>
      <c r="H389" t="n">
        <v>0</v>
      </c>
      <c r="I389" t="n">
        <v>0</v>
      </c>
      <c r="J389" t="n">
        <v>0</v>
      </c>
      <c r="K389" t="n">
        <v>0</v>
      </c>
      <c r="L389" t="n">
        <v>0</v>
      </c>
      <c r="M389" t="n">
        <v>0</v>
      </c>
      <c r="N389" t="n">
        <v>0</v>
      </c>
      <c r="O389" t="n">
        <v>0</v>
      </c>
      <c r="P389" t="n">
        <v>0</v>
      </c>
      <c r="Q389" t="n">
        <v>0</v>
      </c>
      <c r="R389" s="2" t="inlineStr"/>
    </row>
    <row r="390" ht="15" customHeight="1">
      <c r="A390" t="inlineStr">
        <is>
          <t>A 27694-2024</t>
        </is>
      </c>
      <c r="B390" s="1" t="n">
        <v>45475</v>
      </c>
      <c r="C390" s="1" t="n">
        <v>46100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41551-2025</t>
        </is>
      </c>
      <c r="B391" s="1" t="n">
        <v>45901.58854166666</v>
      </c>
      <c r="C391" s="1" t="n">
        <v>46100</v>
      </c>
      <c r="D391" t="inlineStr">
        <is>
          <t>GOTLANDS LÄN</t>
        </is>
      </c>
      <c r="E391" t="inlineStr">
        <is>
          <t>GOTLAND</t>
        </is>
      </c>
      <c r="G391" t="n">
        <v>5.6</v>
      </c>
      <c r="H391" t="n">
        <v>0</v>
      </c>
      <c r="I391" t="n">
        <v>0</v>
      </c>
      <c r="J391" t="n">
        <v>0</v>
      </c>
      <c r="K391" t="n">
        <v>0</v>
      </c>
      <c r="L391" t="n">
        <v>0</v>
      </c>
      <c r="M391" t="n">
        <v>0</v>
      </c>
      <c r="N391" t="n">
        <v>0</v>
      </c>
      <c r="O391" t="n">
        <v>0</v>
      </c>
      <c r="P391" t="n">
        <v>0</v>
      </c>
      <c r="Q391" t="n">
        <v>0</v>
      </c>
      <c r="R391" s="2" t="inlineStr"/>
    </row>
    <row r="392" ht="15" customHeight="1">
      <c r="A392" t="inlineStr">
        <is>
          <t>A 39764-2022</t>
        </is>
      </c>
      <c r="B392" s="1" t="n">
        <v>44819</v>
      </c>
      <c r="C392" s="1" t="n">
        <v>46100</v>
      </c>
      <c r="D392" t="inlineStr">
        <is>
          <t>GOTLANDS LÄN</t>
        </is>
      </c>
      <c r="E392" t="inlineStr">
        <is>
          <t>GOTLAND</t>
        </is>
      </c>
      <c r="F392" t="inlineStr">
        <is>
          <t>Kyrkan</t>
        </is>
      </c>
      <c r="G392" t="n">
        <v>3.7</v>
      </c>
      <c r="H392" t="n">
        <v>0</v>
      </c>
      <c r="I392" t="n">
        <v>0</v>
      </c>
      <c r="J392" t="n">
        <v>0</v>
      </c>
      <c r="K392" t="n">
        <v>0</v>
      </c>
      <c r="L392" t="n">
        <v>0</v>
      </c>
      <c r="M392" t="n">
        <v>0</v>
      </c>
      <c r="N392" t="n">
        <v>0</v>
      </c>
      <c r="O392" t="n">
        <v>0</v>
      </c>
      <c r="P392" t="n">
        <v>0</v>
      </c>
      <c r="Q392" t="n">
        <v>0</v>
      </c>
      <c r="R392" s="2" t="inlineStr"/>
    </row>
    <row r="393" ht="15" customHeight="1">
      <c r="A393" t="inlineStr">
        <is>
          <t>A 16361-2024</t>
        </is>
      </c>
      <c r="B393" s="1" t="n">
        <v>45407</v>
      </c>
      <c r="C393" s="1" t="n">
        <v>46100</v>
      </c>
      <c r="D393" t="inlineStr">
        <is>
          <t>GOTLANDS LÄN</t>
        </is>
      </c>
      <c r="E393" t="inlineStr">
        <is>
          <t>GOTLAND</t>
        </is>
      </c>
      <c r="G393" t="n">
        <v>6</v>
      </c>
      <c r="H393" t="n">
        <v>0</v>
      </c>
      <c r="I393" t="n">
        <v>0</v>
      </c>
      <c r="J393" t="n">
        <v>0</v>
      </c>
      <c r="K393" t="n">
        <v>0</v>
      </c>
      <c r="L393" t="n">
        <v>0</v>
      </c>
      <c r="M393" t="n">
        <v>0</v>
      </c>
      <c r="N393" t="n">
        <v>0</v>
      </c>
      <c r="O393" t="n">
        <v>0</v>
      </c>
      <c r="P393" t="n">
        <v>0</v>
      </c>
      <c r="Q393" t="n">
        <v>0</v>
      </c>
      <c r="R393" s="2" t="inlineStr"/>
    </row>
    <row r="394" ht="15" customHeight="1">
      <c r="A394" t="inlineStr">
        <is>
          <t>A 6099-2024</t>
        </is>
      </c>
      <c r="B394" s="1" t="n">
        <v>45337</v>
      </c>
      <c r="C394" s="1" t="n">
        <v>46100</v>
      </c>
      <c r="D394" t="inlineStr">
        <is>
          <t>GOTLANDS LÄN</t>
        </is>
      </c>
      <c r="E394" t="inlineStr">
        <is>
          <t>GOTLAND</t>
        </is>
      </c>
      <c r="G394" t="n">
        <v>12.6</v>
      </c>
      <c r="H394" t="n">
        <v>0</v>
      </c>
      <c r="I394" t="n">
        <v>0</v>
      </c>
      <c r="J394" t="n">
        <v>0</v>
      </c>
      <c r="K394" t="n">
        <v>0</v>
      </c>
      <c r="L394" t="n">
        <v>0</v>
      </c>
      <c r="M394" t="n">
        <v>0</v>
      </c>
      <c r="N394" t="n">
        <v>0</v>
      </c>
      <c r="O394" t="n">
        <v>0</v>
      </c>
      <c r="P394" t="n">
        <v>0</v>
      </c>
      <c r="Q394" t="n">
        <v>0</v>
      </c>
      <c r="R394" s="2" t="inlineStr"/>
    </row>
    <row r="395" ht="15" customHeight="1">
      <c r="A395" t="inlineStr">
        <is>
          <t>A 8260-2023</t>
        </is>
      </c>
      <c r="B395" s="1" t="n">
        <v>44974.61608796296</v>
      </c>
      <c r="C395" s="1" t="n">
        <v>46100</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43081-2022</t>
        </is>
      </c>
      <c r="B396" s="1" t="n">
        <v>44833</v>
      </c>
      <c r="C396" s="1" t="n">
        <v>46100</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46100</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10656-2024</t>
        </is>
      </c>
      <c r="B398" s="1" t="n">
        <v>45368</v>
      </c>
      <c r="C398" s="1" t="n">
        <v>46100</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1175-2025</t>
        </is>
      </c>
      <c r="B399" s="1" t="n">
        <v>45667.34449074074</v>
      </c>
      <c r="C399" s="1" t="n">
        <v>46100</v>
      </c>
      <c r="D399" t="inlineStr">
        <is>
          <t>GOTLANDS LÄN</t>
        </is>
      </c>
      <c r="E399" t="inlineStr">
        <is>
          <t>GOTLAND</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57356-2023</t>
        </is>
      </c>
      <c r="B400" s="1" t="n">
        <v>45240</v>
      </c>
      <c r="C400" s="1" t="n">
        <v>46100</v>
      </c>
      <c r="D400" t="inlineStr">
        <is>
          <t>GOTLANDS LÄN</t>
        </is>
      </c>
      <c r="E400" t="inlineStr">
        <is>
          <t>GOTLAND</t>
        </is>
      </c>
      <c r="G400" t="n">
        <v>6.4</v>
      </c>
      <c r="H400" t="n">
        <v>0</v>
      </c>
      <c r="I400" t="n">
        <v>0</v>
      </c>
      <c r="J400" t="n">
        <v>0</v>
      </c>
      <c r="K400" t="n">
        <v>0</v>
      </c>
      <c r="L400" t="n">
        <v>0</v>
      </c>
      <c r="M400" t="n">
        <v>0</v>
      </c>
      <c r="N400" t="n">
        <v>0</v>
      </c>
      <c r="O400" t="n">
        <v>0</v>
      </c>
      <c r="P400" t="n">
        <v>0</v>
      </c>
      <c r="Q400" t="n">
        <v>0</v>
      </c>
      <c r="R400" s="2" t="inlineStr"/>
    </row>
    <row r="401" ht="15" customHeight="1">
      <c r="A401" t="inlineStr">
        <is>
          <t>A 22287-2022</t>
        </is>
      </c>
      <c r="B401" s="1" t="n">
        <v>44712</v>
      </c>
      <c r="C401" s="1" t="n">
        <v>46100</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28506-2023</t>
        </is>
      </c>
      <c r="B402" s="1" t="n">
        <v>45103</v>
      </c>
      <c r="C402" s="1" t="n">
        <v>46100</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57534-2022</t>
        </is>
      </c>
      <c r="B403" s="1" t="n">
        <v>44896</v>
      </c>
      <c r="C403" s="1" t="n">
        <v>46100</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23188-2025</t>
        </is>
      </c>
      <c r="B404" s="1" t="n">
        <v>45791</v>
      </c>
      <c r="C404" s="1" t="n">
        <v>46100</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42201-2023</t>
        </is>
      </c>
      <c r="B405" s="1" t="n">
        <v>45179</v>
      </c>
      <c r="C405" s="1" t="n">
        <v>46100</v>
      </c>
      <c r="D405" t="inlineStr">
        <is>
          <t>GOTLANDS LÄN</t>
        </is>
      </c>
      <c r="E405" t="inlineStr">
        <is>
          <t>GOTLAND</t>
        </is>
      </c>
      <c r="G405" t="n">
        <v>11.9</v>
      </c>
      <c r="H405" t="n">
        <v>0</v>
      </c>
      <c r="I405" t="n">
        <v>0</v>
      </c>
      <c r="J405" t="n">
        <v>0</v>
      </c>
      <c r="K405" t="n">
        <v>0</v>
      </c>
      <c r="L405" t="n">
        <v>0</v>
      </c>
      <c r="M405" t="n">
        <v>0</v>
      </c>
      <c r="N405" t="n">
        <v>0</v>
      </c>
      <c r="O405" t="n">
        <v>0</v>
      </c>
      <c r="P405" t="n">
        <v>0</v>
      </c>
      <c r="Q405" t="n">
        <v>0</v>
      </c>
      <c r="R405" s="2" t="inlineStr"/>
    </row>
    <row r="406" ht="15" customHeight="1">
      <c r="A406" t="inlineStr">
        <is>
          <t>A 3150-2025</t>
        </is>
      </c>
      <c r="B406" s="1" t="n">
        <v>45679.28974537037</v>
      </c>
      <c r="C406" s="1" t="n">
        <v>46100</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39278-2025</t>
        </is>
      </c>
      <c r="B407" s="1" t="n">
        <v>45889</v>
      </c>
      <c r="C407" s="1" t="n">
        <v>46100</v>
      </c>
      <c r="D407" t="inlineStr">
        <is>
          <t>GOTLANDS LÄN</t>
        </is>
      </c>
      <c r="E407" t="inlineStr">
        <is>
          <t>GOTLAND</t>
        </is>
      </c>
      <c r="G407" t="n">
        <v>3.7</v>
      </c>
      <c r="H407" t="n">
        <v>0</v>
      </c>
      <c r="I407" t="n">
        <v>0</v>
      </c>
      <c r="J407" t="n">
        <v>0</v>
      </c>
      <c r="K407" t="n">
        <v>0</v>
      </c>
      <c r="L407" t="n">
        <v>0</v>
      </c>
      <c r="M407" t="n">
        <v>0</v>
      </c>
      <c r="N407" t="n">
        <v>0</v>
      </c>
      <c r="O407" t="n">
        <v>0</v>
      </c>
      <c r="P407" t="n">
        <v>0</v>
      </c>
      <c r="Q407" t="n">
        <v>0</v>
      </c>
      <c r="R407" s="2" t="inlineStr"/>
    </row>
    <row r="408" ht="15" customHeight="1">
      <c r="A408" t="inlineStr">
        <is>
          <t>A 42041-2024</t>
        </is>
      </c>
      <c r="B408" s="1" t="n">
        <v>45561</v>
      </c>
      <c r="C408" s="1" t="n">
        <v>46100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64660-2023</t>
        </is>
      </c>
      <c r="B409" s="1" t="n">
        <v>45281.60122685185</v>
      </c>
      <c r="C409" s="1" t="n">
        <v>46100</v>
      </c>
      <c r="D409" t="inlineStr">
        <is>
          <t>GOTLANDS LÄN</t>
        </is>
      </c>
      <c r="E409" t="inlineStr">
        <is>
          <t>GOTLAND</t>
        </is>
      </c>
      <c r="G409" t="n">
        <v>6.3</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46100</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23473-2025</t>
        </is>
      </c>
      <c r="B411" s="1" t="n">
        <v>45792</v>
      </c>
      <c r="C411" s="1" t="n">
        <v>46100</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23698-2025</t>
        </is>
      </c>
      <c r="B412" s="1" t="n">
        <v>45793</v>
      </c>
      <c r="C412" s="1" t="n">
        <v>46100</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15073-2025</t>
        </is>
      </c>
      <c r="B413" s="1" t="n">
        <v>45743</v>
      </c>
      <c r="C413" s="1" t="n">
        <v>46100</v>
      </c>
      <c r="D413" t="inlineStr">
        <is>
          <t>GOTLANDS LÄN</t>
        </is>
      </c>
      <c r="E413" t="inlineStr">
        <is>
          <t>GOTLAND</t>
        </is>
      </c>
      <c r="G413" t="n">
        <v>12.1</v>
      </c>
      <c r="H413" t="n">
        <v>0</v>
      </c>
      <c r="I413" t="n">
        <v>0</v>
      </c>
      <c r="J413" t="n">
        <v>0</v>
      </c>
      <c r="K413" t="n">
        <v>0</v>
      </c>
      <c r="L413" t="n">
        <v>0</v>
      </c>
      <c r="M413" t="n">
        <v>0</v>
      </c>
      <c r="N413" t="n">
        <v>0</v>
      </c>
      <c r="O413" t="n">
        <v>0</v>
      </c>
      <c r="P413" t="n">
        <v>0</v>
      </c>
      <c r="Q413" t="n">
        <v>0</v>
      </c>
      <c r="R413" s="2" t="inlineStr"/>
    </row>
    <row r="414" ht="15" customHeight="1">
      <c r="A414" t="inlineStr">
        <is>
          <t>A 15436-2025</t>
        </is>
      </c>
      <c r="B414" s="1" t="n">
        <v>45747.47462962963</v>
      </c>
      <c r="C414" s="1" t="n">
        <v>46100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41435-2025</t>
        </is>
      </c>
      <c r="B415" s="1" t="n">
        <v>45901.39974537037</v>
      </c>
      <c r="C415" s="1" t="n">
        <v>46100</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21247-2022</t>
        </is>
      </c>
      <c r="B416" s="1" t="n">
        <v>44705.38832175926</v>
      </c>
      <c r="C416" s="1" t="n">
        <v>46100</v>
      </c>
      <c r="D416" t="inlineStr">
        <is>
          <t>GOTLANDS LÄN</t>
        </is>
      </c>
      <c r="E416" t="inlineStr">
        <is>
          <t>GOTLAND</t>
        </is>
      </c>
      <c r="G416" t="n">
        <v>16.2</v>
      </c>
      <c r="H416" t="n">
        <v>0</v>
      </c>
      <c r="I416" t="n">
        <v>0</v>
      </c>
      <c r="J416" t="n">
        <v>0</v>
      </c>
      <c r="K416" t="n">
        <v>0</v>
      </c>
      <c r="L416" t="n">
        <v>0</v>
      </c>
      <c r="M416" t="n">
        <v>0</v>
      </c>
      <c r="N416" t="n">
        <v>0</v>
      </c>
      <c r="O416" t="n">
        <v>0</v>
      </c>
      <c r="P416" t="n">
        <v>0</v>
      </c>
      <c r="Q416" t="n">
        <v>0</v>
      </c>
      <c r="R416" s="2" t="inlineStr"/>
    </row>
    <row r="417" ht="15" customHeight="1">
      <c r="A417" t="inlineStr">
        <is>
          <t>A 20855-2023</t>
        </is>
      </c>
      <c r="B417" s="1" t="n">
        <v>45058.82172453704</v>
      </c>
      <c r="C417" s="1" t="n">
        <v>46100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6749-2025</t>
        </is>
      </c>
      <c r="B418" s="1" t="n">
        <v>45700</v>
      </c>
      <c r="C418" s="1" t="n">
        <v>46100</v>
      </c>
      <c r="D418" t="inlineStr">
        <is>
          <t>GOTLANDS LÄN</t>
        </is>
      </c>
      <c r="E418" t="inlineStr">
        <is>
          <t>GOTLAND</t>
        </is>
      </c>
      <c r="G418" t="n">
        <v>4.5</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46100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17780-2022</t>
        </is>
      </c>
      <c r="B420" s="1" t="n">
        <v>44682.82622685185</v>
      </c>
      <c r="C420" s="1" t="n">
        <v>46100</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63516-2023</t>
        </is>
      </c>
      <c r="B421" s="1" t="n">
        <v>45274</v>
      </c>
      <c r="C421" s="1" t="n">
        <v>46100</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1000-2024</t>
        </is>
      </c>
      <c r="B422" s="1" t="n">
        <v>45301.63371527778</v>
      </c>
      <c r="C422" s="1" t="n">
        <v>46100</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1010-2024</t>
        </is>
      </c>
      <c r="B423" s="1" t="n">
        <v>45301</v>
      </c>
      <c r="C423" s="1" t="n">
        <v>46100</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65249-2023</t>
        </is>
      </c>
      <c r="B424" s="1" t="n">
        <v>45290</v>
      </c>
      <c r="C424" s="1" t="n">
        <v>46100</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5462-2025</t>
        </is>
      </c>
      <c r="B425" s="1" t="n">
        <v>45693.29331018519</v>
      </c>
      <c r="C425" s="1" t="n">
        <v>46100</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30956-2024</t>
        </is>
      </c>
      <c r="B426" s="1" t="n">
        <v>45499.42527777778</v>
      </c>
      <c r="C426" s="1" t="n">
        <v>46100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53935-2024</t>
        </is>
      </c>
      <c r="B427" s="1" t="n">
        <v>45615</v>
      </c>
      <c r="C427" s="1" t="n">
        <v>46100</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12596-2023</t>
        </is>
      </c>
      <c r="B428" s="1" t="n">
        <v>45000.43310185185</v>
      </c>
      <c r="C428" s="1" t="n">
        <v>46100</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8045-2022</t>
        </is>
      </c>
      <c r="B429" s="1" t="n">
        <v>44609</v>
      </c>
      <c r="C429" s="1" t="n">
        <v>46100</v>
      </c>
      <c r="D429" t="inlineStr">
        <is>
          <t>GOTLANDS LÄN</t>
        </is>
      </c>
      <c r="E429" t="inlineStr">
        <is>
          <t>GOTLAND</t>
        </is>
      </c>
      <c r="G429" t="n">
        <v>7</v>
      </c>
      <c r="H429" t="n">
        <v>0</v>
      </c>
      <c r="I429" t="n">
        <v>0</v>
      </c>
      <c r="J429" t="n">
        <v>0</v>
      </c>
      <c r="K429" t="n">
        <v>0</v>
      </c>
      <c r="L429" t="n">
        <v>0</v>
      </c>
      <c r="M429" t="n">
        <v>0</v>
      </c>
      <c r="N429" t="n">
        <v>0</v>
      </c>
      <c r="O429" t="n">
        <v>0</v>
      </c>
      <c r="P429" t="n">
        <v>0</v>
      </c>
      <c r="Q429" t="n">
        <v>0</v>
      </c>
      <c r="R429" s="2" t="inlineStr"/>
    </row>
    <row r="430" ht="15" customHeight="1">
      <c r="A430" t="inlineStr">
        <is>
          <t>A 69112-2021</t>
        </is>
      </c>
      <c r="B430" s="1" t="n">
        <v>44530</v>
      </c>
      <c r="C430" s="1" t="n">
        <v>46100</v>
      </c>
      <c r="D430" t="inlineStr">
        <is>
          <t>GOTLANDS LÄN</t>
        </is>
      </c>
      <c r="E430" t="inlineStr">
        <is>
          <t>GOTLAND</t>
        </is>
      </c>
      <c r="G430" t="n">
        <v>4.2</v>
      </c>
      <c r="H430" t="n">
        <v>0</v>
      </c>
      <c r="I430" t="n">
        <v>0</v>
      </c>
      <c r="J430" t="n">
        <v>0</v>
      </c>
      <c r="K430" t="n">
        <v>0</v>
      </c>
      <c r="L430" t="n">
        <v>0</v>
      </c>
      <c r="M430" t="n">
        <v>0</v>
      </c>
      <c r="N430" t="n">
        <v>0</v>
      </c>
      <c r="O430" t="n">
        <v>0</v>
      </c>
      <c r="P430" t="n">
        <v>0</v>
      </c>
      <c r="Q430" t="n">
        <v>0</v>
      </c>
      <c r="R430" s="2" t="inlineStr"/>
    </row>
    <row r="431" ht="15" customHeight="1">
      <c r="A431" t="inlineStr">
        <is>
          <t>A 48734-2022</t>
        </is>
      </c>
      <c r="B431" s="1" t="n">
        <v>44855</v>
      </c>
      <c r="C431" s="1" t="n">
        <v>46100</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23516-2023</t>
        </is>
      </c>
      <c r="B432" s="1" t="n">
        <v>45076.93391203704</v>
      </c>
      <c r="C432" s="1" t="n">
        <v>46100</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43231-2023</t>
        </is>
      </c>
      <c r="B433" s="1" t="n">
        <v>45183.47025462963</v>
      </c>
      <c r="C433" s="1" t="n">
        <v>46100</v>
      </c>
      <c r="D433" t="inlineStr">
        <is>
          <t>GOTLANDS LÄN</t>
        </is>
      </c>
      <c r="E433" t="inlineStr">
        <is>
          <t>GOTLAND</t>
        </is>
      </c>
      <c r="G433" t="n">
        <v>3.6</v>
      </c>
      <c r="H433" t="n">
        <v>0</v>
      </c>
      <c r="I433" t="n">
        <v>0</v>
      </c>
      <c r="J433" t="n">
        <v>0</v>
      </c>
      <c r="K433" t="n">
        <v>0</v>
      </c>
      <c r="L433" t="n">
        <v>0</v>
      </c>
      <c r="M433" t="n">
        <v>0</v>
      </c>
      <c r="N433" t="n">
        <v>0</v>
      </c>
      <c r="O433" t="n">
        <v>0</v>
      </c>
      <c r="P433" t="n">
        <v>0</v>
      </c>
      <c r="Q433" t="n">
        <v>0</v>
      </c>
      <c r="R433" s="2" t="inlineStr"/>
    </row>
    <row r="434" ht="15" customHeight="1">
      <c r="A434" t="inlineStr">
        <is>
          <t>A 58230-2024</t>
        </is>
      </c>
      <c r="B434" s="1" t="n">
        <v>45632.51625</v>
      </c>
      <c r="C434" s="1" t="n">
        <v>46100</v>
      </c>
      <c r="D434" t="inlineStr">
        <is>
          <t>GOTLANDS LÄN</t>
        </is>
      </c>
      <c r="E434" t="inlineStr">
        <is>
          <t>GOTLAND</t>
        </is>
      </c>
      <c r="G434" t="n">
        <v>7.3</v>
      </c>
      <c r="H434" t="n">
        <v>0</v>
      </c>
      <c r="I434" t="n">
        <v>0</v>
      </c>
      <c r="J434" t="n">
        <v>0</v>
      </c>
      <c r="K434" t="n">
        <v>0</v>
      </c>
      <c r="L434" t="n">
        <v>0</v>
      </c>
      <c r="M434" t="n">
        <v>0</v>
      </c>
      <c r="N434" t="n">
        <v>0</v>
      </c>
      <c r="O434" t="n">
        <v>0</v>
      </c>
      <c r="P434" t="n">
        <v>0</v>
      </c>
      <c r="Q434" t="n">
        <v>0</v>
      </c>
      <c r="R434" s="2" t="inlineStr"/>
    </row>
    <row r="435" ht="15" customHeight="1">
      <c r="A435" t="inlineStr">
        <is>
          <t>A 64555-2023</t>
        </is>
      </c>
      <c r="B435" s="1" t="n">
        <v>45281</v>
      </c>
      <c r="C435" s="1" t="n">
        <v>46100</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457-2023</t>
        </is>
      </c>
      <c r="B436" s="1" t="n">
        <v>44929.87238425926</v>
      </c>
      <c r="C436" s="1" t="n">
        <v>46100</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459-2023</t>
        </is>
      </c>
      <c r="B437" s="1" t="n">
        <v>44929.87423611111</v>
      </c>
      <c r="C437" s="1" t="n">
        <v>46100</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999-2024</t>
        </is>
      </c>
      <c r="B438" s="1" t="n">
        <v>45301</v>
      </c>
      <c r="C438" s="1" t="n">
        <v>46100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46100</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47762-2023</t>
        </is>
      </c>
      <c r="B440" s="1" t="n">
        <v>45203.86256944444</v>
      </c>
      <c r="C440" s="1" t="n">
        <v>46100</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42608-2025</t>
        </is>
      </c>
      <c r="B441" s="1" t="n">
        <v>45905</v>
      </c>
      <c r="C441" s="1" t="n">
        <v>46100</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46100</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40294-2022</t>
        </is>
      </c>
      <c r="B443" s="1" t="n">
        <v>44821</v>
      </c>
      <c r="C443" s="1" t="n">
        <v>46100</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27602-2023</t>
        </is>
      </c>
      <c r="B444" s="1" t="n">
        <v>45097</v>
      </c>
      <c r="C444" s="1" t="n">
        <v>46100</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58780-2024</t>
        </is>
      </c>
      <c r="B445" s="1" t="n">
        <v>45635.84113425926</v>
      </c>
      <c r="C445" s="1" t="n">
        <v>46100</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876-2024</t>
        </is>
      </c>
      <c r="B446" s="1" t="n">
        <v>45301</v>
      </c>
      <c r="C446" s="1" t="n">
        <v>46100</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12322-2025</t>
        </is>
      </c>
      <c r="B447" s="1" t="n">
        <v>45730</v>
      </c>
      <c r="C447" s="1" t="n">
        <v>46100</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46100</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14536-2021</t>
        </is>
      </c>
      <c r="B449" s="1" t="n">
        <v>44279.66168981481</v>
      </c>
      <c r="C449" s="1" t="n">
        <v>46100</v>
      </c>
      <c r="D449" t="inlineStr">
        <is>
          <t>GOTLANDS LÄN</t>
        </is>
      </c>
      <c r="E449" t="inlineStr">
        <is>
          <t>GOTLAND</t>
        </is>
      </c>
      <c r="G449" t="n">
        <v>8.5</v>
      </c>
      <c r="H449" t="n">
        <v>0</v>
      </c>
      <c r="I449" t="n">
        <v>0</v>
      </c>
      <c r="J449" t="n">
        <v>0</v>
      </c>
      <c r="K449" t="n">
        <v>0</v>
      </c>
      <c r="L449" t="n">
        <v>0</v>
      </c>
      <c r="M449" t="n">
        <v>0</v>
      </c>
      <c r="N449" t="n">
        <v>0</v>
      </c>
      <c r="O449" t="n">
        <v>0</v>
      </c>
      <c r="P449" t="n">
        <v>0</v>
      </c>
      <c r="Q449" t="n">
        <v>0</v>
      </c>
      <c r="R449" s="2" t="inlineStr"/>
    </row>
    <row r="450" ht="15" customHeight="1">
      <c r="A450" t="inlineStr">
        <is>
          <t>A 5923-2023</t>
        </is>
      </c>
      <c r="B450" s="1" t="n">
        <v>44963.69503472222</v>
      </c>
      <c r="C450" s="1" t="n">
        <v>46100</v>
      </c>
      <c r="D450" t="inlineStr">
        <is>
          <t>GOTLANDS LÄN</t>
        </is>
      </c>
      <c r="E450" t="inlineStr">
        <is>
          <t>GOTLAND</t>
        </is>
      </c>
      <c r="G450" t="n">
        <v>2.6</v>
      </c>
      <c r="H450" t="n">
        <v>0</v>
      </c>
      <c r="I450" t="n">
        <v>0</v>
      </c>
      <c r="J450" t="n">
        <v>0</v>
      </c>
      <c r="K450" t="n">
        <v>0</v>
      </c>
      <c r="L450" t="n">
        <v>0</v>
      </c>
      <c r="M450" t="n">
        <v>0</v>
      </c>
      <c r="N450" t="n">
        <v>0</v>
      </c>
      <c r="O450" t="n">
        <v>0</v>
      </c>
      <c r="P450" t="n">
        <v>0</v>
      </c>
      <c r="Q450" t="n">
        <v>0</v>
      </c>
      <c r="R450" s="2" t="inlineStr"/>
    </row>
    <row r="451" ht="15" customHeight="1">
      <c r="A451" t="inlineStr">
        <is>
          <t>A 25796-2025</t>
        </is>
      </c>
      <c r="B451" s="1" t="n">
        <v>45804.39543981481</v>
      </c>
      <c r="C451" s="1" t="n">
        <v>46100</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10158-2025</t>
        </is>
      </c>
      <c r="B452" s="1" t="n">
        <v>45719</v>
      </c>
      <c r="C452" s="1" t="n">
        <v>46100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50482-2024</t>
        </is>
      </c>
      <c r="B453" s="1" t="n">
        <v>45601.48114583334</v>
      </c>
      <c r="C453" s="1" t="n">
        <v>46100</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24192-2023</t>
        </is>
      </c>
      <c r="B454" s="1" t="n">
        <v>45079</v>
      </c>
      <c r="C454" s="1" t="n">
        <v>46100</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30282-2022</t>
        </is>
      </c>
      <c r="B455" s="1" t="n">
        <v>44760</v>
      </c>
      <c r="C455" s="1" t="n">
        <v>46100</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5943-2024</t>
        </is>
      </c>
      <c r="B456" s="1" t="n">
        <v>45336</v>
      </c>
      <c r="C456" s="1" t="n">
        <v>46100</v>
      </c>
      <c r="D456" t="inlineStr">
        <is>
          <t>GOTLANDS LÄN</t>
        </is>
      </c>
      <c r="E456" t="inlineStr">
        <is>
          <t>GOTLAND</t>
        </is>
      </c>
      <c r="G456" t="n">
        <v>4.3</v>
      </c>
      <c r="H456" t="n">
        <v>0</v>
      </c>
      <c r="I456" t="n">
        <v>0</v>
      </c>
      <c r="J456" t="n">
        <v>0</v>
      </c>
      <c r="K456" t="n">
        <v>0</v>
      </c>
      <c r="L456" t="n">
        <v>0</v>
      </c>
      <c r="M456" t="n">
        <v>0</v>
      </c>
      <c r="N456" t="n">
        <v>0</v>
      </c>
      <c r="O456" t="n">
        <v>0</v>
      </c>
      <c r="P456" t="n">
        <v>0</v>
      </c>
      <c r="Q456" t="n">
        <v>0</v>
      </c>
      <c r="R456" s="2" t="inlineStr"/>
    </row>
    <row r="457" ht="15" customHeight="1">
      <c r="A457" t="inlineStr">
        <is>
          <t>A 7835-2024</t>
        </is>
      </c>
      <c r="B457" s="1" t="n">
        <v>45349.83138888889</v>
      </c>
      <c r="C457" s="1" t="n">
        <v>46100</v>
      </c>
      <c r="D457" t="inlineStr">
        <is>
          <t>GOTLANDS LÄN</t>
        </is>
      </c>
      <c r="E457" t="inlineStr">
        <is>
          <t>GOTLAND</t>
        </is>
      </c>
      <c r="G457" t="n">
        <v>3.8</v>
      </c>
      <c r="H457" t="n">
        <v>0</v>
      </c>
      <c r="I457" t="n">
        <v>0</v>
      </c>
      <c r="J457" t="n">
        <v>0</v>
      </c>
      <c r="K457" t="n">
        <v>0</v>
      </c>
      <c r="L457" t="n">
        <v>0</v>
      </c>
      <c r="M457" t="n">
        <v>0</v>
      </c>
      <c r="N457" t="n">
        <v>0</v>
      </c>
      <c r="O457" t="n">
        <v>0</v>
      </c>
      <c r="P457" t="n">
        <v>0</v>
      </c>
      <c r="Q457" t="n">
        <v>0</v>
      </c>
      <c r="R457" s="2" t="inlineStr"/>
    </row>
    <row r="458" ht="15" customHeight="1">
      <c r="A458" t="inlineStr">
        <is>
          <t>A 10650-2022</t>
        </is>
      </c>
      <c r="B458" s="1" t="n">
        <v>44624.57945601852</v>
      </c>
      <c r="C458" s="1" t="n">
        <v>46100</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38234-2023</t>
        </is>
      </c>
      <c r="B459" s="1" t="n">
        <v>45161.56663194444</v>
      </c>
      <c r="C459" s="1" t="n">
        <v>46100</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1273-2023</t>
        </is>
      </c>
      <c r="B460" s="1" t="n">
        <v>44936</v>
      </c>
      <c r="C460" s="1" t="n">
        <v>46100</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26810-2021</t>
        </is>
      </c>
      <c r="B461" s="1" t="n">
        <v>44349.55087962963</v>
      </c>
      <c r="C461" s="1" t="n">
        <v>46100</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26465-2025</t>
        </is>
      </c>
      <c r="B462" s="1" t="n">
        <v>45807.44377314814</v>
      </c>
      <c r="C462" s="1" t="n">
        <v>46100</v>
      </c>
      <c r="D462" t="inlineStr">
        <is>
          <t>GOTLANDS LÄN</t>
        </is>
      </c>
      <c r="E462" t="inlineStr">
        <is>
          <t>GOTLAND</t>
        </is>
      </c>
      <c r="G462" t="n">
        <v>4.5</v>
      </c>
      <c r="H462" t="n">
        <v>0</v>
      </c>
      <c r="I462" t="n">
        <v>0</v>
      </c>
      <c r="J462" t="n">
        <v>0</v>
      </c>
      <c r="K462" t="n">
        <v>0</v>
      </c>
      <c r="L462" t="n">
        <v>0</v>
      </c>
      <c r="M462" t="n">
        <v>0</v>
      </c>
      <c r="N462" t="n">
        <v>0</v>
      </c>
      <c r="O462" t="n">
        <v>0</v>
      </c>
      <c r="P462" t="n">
        <v>0</v>
      </c>
      <c r="Q462" t="n">
        <v>0</v>
      </c>
      <c r="R462" s="2" t="inlineStr"/>
    </row>
    <row r="463" ht="15" customHeight="1">
      <c r="A463" t="inlineStr">
        <is>
          <t>A 26457-2025</t>
        </is>
      </c>
      <c r="B463" s="1" t="n">
        <v>45807.42773148148</v>
      </c>
      <c r="C463" s="1" t="n">
        <v>46100</v>
      </c>
      <c r="D463" t="inlineStr">
        <is>
          <t>GOTLANDS LÄN</t>
        </is>
      </c>
      <c r="E463" t="inlineStr">
        <is>
          <t>GOTLAND</t>
        </is>
      </c>
      <c r="G463" t="n">
        <v>5.7</v>
      </c>
      <c r="H463" t="n">
        <v>0</v>
      </c>
      <c r="I463" t="n">
        <v>0</v>
      </c>
      <c r="J463" t="n">
        <v>0</v>
      </c>
      <c r="K463" t="n">
        <v>0</v>
      </c>
      <c r="L463" t="n">
        <v>0</v>
      </c>
      <c r="M463" t="n">
        <v>0</v>
      </c>
      <c r="N463" t="n">
        <v>0</v>
      </c>
      <c r="O463" t="n">
        <v>0</v>
      </c>
      <c r="P463" t="n">
        <v>0</v>
      </c>
      <c r="Q463" t="n">
        <v>0</v>
      </c>
      <c r="R463" s="2" t="inlineStr"/>
    </row>
    <row r="464" ht="15" customHeight="1">
      <c r="A464" t="inlineStr">
        <is>
          <t>A 26467-2025</t>
        </is>
      </c>
      <c r="B464" s="1" t="n">
        <v>45807.44640046296</v>
      </c>
      <c r="C464" s="1" t="n">
        <v>46100</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28425-2023</t>
        </is>
      </c>
      <c r="B465" s="1" t="n">
        <v>45102</v>
      </c>
      <c r="C465" s="1" t="n">
        <v>46100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43911-2025</t>
        </is>
      </c>
      <c r="B466" s="1" t="n">
        <v>45914.3881712963</v>
      </c>
      <c r="C466" s="1" t="n">
        <v>46100</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46100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13037-2025</t>
        </is>
      </c>
      <c r="B468" s="1" t="n">
        <v>45734</v>
      </c>
      <c r="C468" s="1" t="n">
        <v>46100</v>
      </c>
      <c r="D468" t="inlineStr">
        <is>
          <t>GOTLANDS LÄN</t>
        </is>
      </c>
      <c r="E468" t="inlineStr">
        <is>
          <t>GOTLAND</t>
        </is>
      </c>
      <c r="G468" t="n">
        <v>9.5</v>
      </c>
      <c r="H468" t="n">
        <v>0</v>
      </c>
      <c r="I468" t="n">
        <v>0</v>
      </c>
      <c r="J468" t="n">
        <v>0</v>
      </c>
      <c r="K468" t="n">
        <v>0</v>
      </c>
      <c r="L468" t="n">
        <v>0</v>
      </c>
      <c r="M468" t="n">
        <v>0</v>
      </c>
      <c r="N468" t="n">
        <v>0</v>
      </c>
      <c r="O468" t="n">
        <v>0</v>
      </c>
      <c r="P468" t="n">
        <v>0</v>
      </c>
      <c r="Q468" t="n">
        <v>0</v>
      </c>
      <c r="R468" s="2" t="inlineStr"/>
    </row>
    <row r="469" ht="15" customHeight="1">
      <c r="A469" t="inlineStr">
        <is>
          <t>A 26660-2025</t>
        </is>
      </c>
      <c r="B469" s="1" t="n">
        <v>45810.39737268518</v>
      </c>
      <c r="C469" s="1" t="n">
        <v>46100</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23978-2023</t>
        </is>
      </c>
      <c r="B470" s="1" t="n">
        <v>45078</v>
      </c>
      <c r="C470" s="1" t="n">
        <v>46100</v>
      </c>
      <c r="D470" t="inlineStr">
        <is>
          <t>GOTLANDS LÄN</t>
        </is>
      </c>
      <c r="E470" t="inlineStr">
        <is>
          <t>GOTLAND</t>
        </is>
      </c>
      <c r="F470" t="inlineStr">
        <is>
          <t>Naturvårdsverket</t>
        </is>
      </c>
      <c r="G470" t="n">
        <v>1.7</v>
      </c>
      <c r="H470" t="n">
        <v>0</v>
      </c>
      <c r="I470" t="n">
        <v>0</v>
      </c>
      <c r="J470" t="n">
        <v>0</v>
      </c>
      <c r="K470" t="n">
        <v>0</v>
      </c>
      <c r="L470" t="n">
        <v>0</v>
      </c>
      <c r="M470" t="n">
        <v>0</v>
      </c>
      <c r="N470" t="n">
        <v>0</v>
      </c>
      <c r="O470" t="n">
        <v>0</v>
      </c>
      <c r="P470" t="n">
        <v>0</v>
      </c>
      <c r="Q470" t="n">
        <v>0</v>
      </c>
      <c r="R470" s="2" t="inlineStr"/>
    </row>
    <row r="471" ht="15" customHeight="1">
      <c r="A471" t="inlineStr">
        <is>
          <t>A 49884-2023</t>
        </is>
      </c>
      <c r="B471" s="1" t="n">
        <v>45213</v>
      </c>
      <c r="C471" s="1" t="n">
        <v>46100</v>
      </c>
      <c r="D471" t="inlineStr">
        <is>
          <t>GOTLANDS LÄN</t>
        </is>
      </c>
      <c r="E471" t="inlineStr">
        <is>
          <t>GOTLAND</t>
        </is>
      </c>
      <c r="G471" t="n">
        <v>8.9</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46100</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27355-2025</t>
        </is>
      </c>
      <c r="B473" s="1" t="n">
        <v>45812</v>
      </c>
      <c r="C473" s="1" t="n">
        <v>46100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43200-2023</t>
        </is>
      </c>
      <c r="B474" s="1" t="n">
        <v>45183</v>
      </c>
      <c r="C474" s="1" t="n">
        <v>46100</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43951-2025</t>
        </is>
      </c>
      <c r="B475" s="1" t="n">
        <v>45915.38119212963</v>
      </c>
      <c r="C475" s="1" t="n">
        <v>46100</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44410-2025</t>
        </is>
      </c>
      <c r="B476" s="1" t="n">
        <v>45916.53699074074</v>
      </c>
      <c r="C476" s="1" t="n">
        <v>46100</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27371-2025</t>
        </is>
      </c>
      <c r="B477" s="1" t="n">
        <v>45812</v>
      </c>
      <c r="C477" s="1" t="n">
        <v>46100</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3935-2025</t>
        </is>
      </c>
      <c r="B478" s="1" t="n">
        <v>45684.46070601852</v>
      </c>
      <c r="C478" s="1" t="n">
        <v>46100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44405-2025</t>
        </is>
      </c>
      <c r="B479" s="1" t="n">
        <v>45916.52405092592</v>
      </c>
      <c r="C479" s="1" t="n">
        <v>46100</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10746-2025</t>
        </is>
      </c>
      <c r="B480" s="1" t="n">
        <v>45722.42766203704</v>
      </c>
      <c r="C480" s="1" t="n">
        <v>46100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21792-2024</t>
        </is>
      </c>
      <c r="B481" s="1" t="n">
        <v>45442.64326388889</v>
      </c>
      <c r="C481" s="1" t="n">
        <v>46100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7850-2025</t>
        </is>
      </c>
      <c r="B482" s="1" t="n">
        <v>45706</v>
      </c>
      <c r="C482" s="1" t="n">
        <v>46100</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6739-2025</t>
        </is>
      </c>
      <c r="B483" s="1" t="n">
        <v>45700</v>
      </c>
      <c r="C483" s="1" t="n">
        <v>46100</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8444-2025</t>
        </is>
      </c>
      <c r="B484" s="1" t="n">
        <v>45709</v>
      </c>
      <c r="C484" s="1" t="n">
        <v>46100</v>
      </c>
      <c r="D484" t="inlineStr">
        <is>
          <t>GOTLANDS LÄN</t>
        </is>
      </c>
      <c r="E484" t="inlineStr">
        <is>
          <t>GOTLAND</t>
        </is>
      </c>
      <c r="G484" t="n">
        <v>5.2</v>
      </c>
      <c r="H484" t="n">
        <v>0</v>
      </c>
      <c r="I484" t="n">
        <v>0</v>
      </c>
      <c r="J484" t="n">
        <v>0</v>
      </c>
      <c r="K484" t="n">
        <v>0</v>
      </c>
      <c r="L484" t="n">
        <v>0</v>
      </c>
      <c r="M484" t="n">
        <v>0</v>
      </c>
      <c r="N484" t="n">
        <v>0</v>
      </c>
      <c r="O484" t="n">
        <v>0</v>
      </c>
      <c r="P484" t="n">
        <v>0</v>
      </c>
      <c r="Q484" t="n">
        <v>0</v>
      </c>
      <c r="R484" s="2" t="inlineStr"/>
    </row>
    <row r="485" ht="15" customHeight="1">
      <c r="A485" t="inlineStr">
        <is>
          <t>A 19905-2025</t>
        </is>
      </c>
      <c r="B485" s="1" t="n">
        <v>45771</v>
      </c>
      <c r="C485" s="1" t="n">
        <v>46100</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48843-2024</t>
        </is>
      </c>
      <c r="B486" s="1" t="n">
        <v>45593</v>
      </c>
      <c r="C486" s="1" t="n">
        <v>46100</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26391-2025</t>
        </is>
      </c>
      <c r="B487" s="1" t="n">
        <v>45806</v>
      </c>
      <c r="C487" s="1" t="n">
        <v>46100</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10653-2023</t>
        </is>
      </c>
      <c r="B488" s="1" t="n">
        <v>44988.48859953704</v>
      </c>
      <c r="C488" s="1" t="n">
        <v>46100</v>
      </c>
      <c r="D488" t="inlineStr">
        <is>
          <t>GOTLANDS LÄN</t>
        </is>
      </c>
      <c r="E488" t="inlineStr">
        <is>
          <t>GOTLAND</t>
        </is>
      </c>
      <c r="F488" t="inlineStr">
        <is>
          <t>Kyrkan</t>
        </is>
      </c>
      <c r="G488" t="n">
        <v>3</v>
      </c>
      <c r="H488" t="n">
        <v>0</v>
      </c>
      <c r="I488" t="n">
        <v>0</v>
      </c>
      <c r="J488" t="n">
        <v>0</v>
      </c>
      <c r="K488" t="n">
        <v>0</v>
      </c>
      <c r="L488" t="n">
        <v>0</v>
      </c>
      <c r="M488" t="n">
        <v>0</v>
      </c>
      <c r="N488" t="n">
        <v>0</v>
      </c>
      <c r="O488" t="n">
        <v>0</v>
      </c>
      <c r="P488" t="n">
        <v>0</v>
      </c>
      <c r="Q488" t="n">
        <v>0</v>
      </c>
      <c r="R488" s="2" t="inlineStr"/>
    </row>
    <row r="489" ht="15" customHeight="1">
      <c r="A489" t="inlineStr">
        <is>
          <t>A 43229-2023</t>
        </is>
      </c>
      <c r="B489" s="1" t="n">
        <v>45183.46704861111</v>
      </c>
      <c r="C489" s="1" t="n">
        <v>46100</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46836-2025</t>
        </is>
      </c>
      <c r="B490" s="1" t="n">
        <v>45928.31511574074</v>
      </c>
      <c r="C490" s="1" t="n">
        <v>46100</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29207-2025</t>
        </is>
      </c>
      <c r="B491" s="1" t="n">
        <v>45823</v>
      </c>
      <c r="C491" s="1" t="n">
        <v>46100</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41038-2023</t>
        </is>
      </c>
      <c r="B492" s="1" t="n">
        <v>45173.60959490741</v>
      </c>
      <c r="C492" s="1" t="n">
        <v>46100</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29196-2025</t>
        </is>
      </c>
      <c r="B493" s="1" t="n">
        <v>45822</v>
      </c>
      <c r="C493" s="1" t="n">
        <v>46100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35512-2023</t>
        </is>
      </c>
      <c r="B494" s="1" t="n">
        <v>45147.25623842593</v>
      </c>
      <c r="C494" s="1" t="n">
        <v>46100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11874-2024</t>
        </is>
      </c>
      <c r="B495" s="1" t="n">
        <v>45376.46956018519</v>
      </c>
      <c r="C495" s="1" t="n">
        <v>46100</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20225-2025</t>
        </is>
      </c>
      <c r="B496" s="1" t="n">
        <v>45772.65802083333</v>
      </c>
      <c r="C496" s="1" t="n">
        <v>46100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30061-2025</t>
        </is>
      </c>
      <c r="B497" s="1" t="n">
        <v>45826.61488425926</v>
      </c>
      <c r="C497" s="1" t="n">
        <v>46100</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1677-2023</t>
        </is>
      </c>
      <c r="B498" s="1" t="n">
        <v>44938</v>
      </c>
      <c r="C498" s="1" t="n">
        <v>46100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64831-2023</t>
        </is>
      </c>
      <c r="B499" s="1" t="n">
        <v>45282.44924768519</v>
      </c>
      <c r="C499" s="1" t="n">
        <v>46100</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24966-2023</t>
        </is>
      </c>
      <c r="B500" s="1" t="n">
        <v>45085</v>
      </c>
      <c r="C500" s="1" t="n">
        <v>46100</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57652-2023</t>
        </is>
      </c>
      <c r="B501" s="1" t="n">
        <v>45246</v>
      </c>
      <c r="C501" s="1" t="n">
        <v>46100</v>
      </c>
      <c r="D501" t="inlineStr">
        <is>
          <t>GOTLANDS LÄN</t>
        </is>
      </c>
      <c r="E501" t="inlineStr">
        <is>
          <t>GOTLAND</t>
        </is>
      </c>
      <c r="G501" t="n">
        <v>7.2</v>
      </c>
      <c r="H501" t="n">
        <v>0</v>
      </c>
      <c r="I501" t="n">
        <v>0</v>
      </c>
      <c r="J501" t="n">
        <v>0</v>
      </c>
      <c r="K501" t="n">
        <v>0</v>
      </c>
      <c r="L501" t="n">
        <v>0</v>
      </c>
      <c r="M501" t="n">
        <v>0</v>
      </c>
      <c r="N501" t="n">
        <v>0</v>
      </c>
      <c r="O501" t="n">
        <v>0</v>
      </c>
      <c r="P501" t="n">
        <v>0</v>
      </c>
      <c r="Q501" t="n">
        <v>0</v>
      </c>
      <c r="R501" s="2" t="inlineStr"/>
    </row>
    <row r="502" ht="15" customHeight="1">
      <c r="A502" t="inlineStr">
        <is>
          <t>A 47637-2025</t>
        </is>
      </c>
      <c r="B502" s="1" t="n">
        <v>45931.49753472222</v>
      </c>
      <c r="C502" s="1" t="n">
        <v>46100</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58160-2024</t>
        </is>
      </c>
      <c r="B503" s="1" t="n">
        <v>45632.44927083333</v>
      </c>
      <c r="C503" s="1" t="n">
        <v>46100</v>
      </c>
      <c r="D503" t="inlineStr">
        <is>
          <t>GOTLANDS LÄN</t>
        </is>
      </c>
      <c r="E503" t="inlineStr">
        <is>
          <t>GOTLAND</t>
        </is>
      </c>
      <c r="G503" t="n">
        <v>5.6</v>
      </c>
      <c r="H503" t="n">
        <v>0</v>
      </c>
      <c r="I503" t="n">
        <v>0</v>
      </c>
      <c r="J503" t="n">
        <v>0</v>
      </c>
      <c r="K503" t="n">
        <v>0</v>
      </c>
      <c r="L503" t="n">
        <v>0</v>
      </c>
      <c r="M503" t="n">
        <v>0</v>
      </c>
      <c r="N503" t="n">
        <v>0</v>
      </c>
      <c r="O503" t="n">
        <v>0</v>
      </c>
      <c r="P503" t="n">
        <v>0</v>
      </c>
      <c r="Q503" t="n">
        <v>0</v>
      </c>
      <c r="R503" s="2" t="inlineStr"/>
    </row>
    <row r="504" ht="15" customHeight="1">
      <c r="A504" t="inlineStr">
        <is>
          <t>A 8036-2022</t>
        </is>
      </c>
      <c r="B504" s="1" t="n">
        <v>44609.44362268518</v>
      </c>
      <c r="C504" s="1" t="n">
        <v>46100</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46375-2024</t>
        </is>
      </c>
      <c r="B505" s="1" t="n">
        <v>45582</v>
      </c>
      <c r="C505" s="1" t="n">
        <v>46100</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50928-2025</t>
        </is>
      </c>
      <c r="B506" s="1" t="n">
        <v>45946.67896990741</v>
      </c>
      <c r="C506" s="1" t="n">
        <v>46100</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51262-2025</t>
        </is>
      </c>
      <c r="B507" s="1" t="n">
        <v>45949.49872685185</v>
      </c>
      <c r="C507" s="1" t="n">
        <v>46100</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62915-2021</t>
        </is>
      </c>
      <c r="B508" s="1" t="n">
        <v>44504</v>
      </c>
      <c r="C508" s="1" t="n">
        <v>46100</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32378-2025</t>
        </is>
      </c>
      <c r="B509" s="1" t="n">
        <v>45837</v>
      </c>
      <c r="C509" s="1" t="n">
        <v>46100</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7638-2025</t>
        </is>
      </c>
      <c r="B510" s="1" t="n">
        <v>45705.77306712963</v>
      </c>
      <c r="C510" s="1" t="n">
        <v>46100</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4377-2023</t>
        </is>
      </c>
      <c r="B511" s="1" t="n">
        <v>44955.5502662037</v>
      </c>
      <c r="C511" s="1" t="n">
        <v>46100</v>
      </c>
      <c r="D511" t="inlineStr">
        <is>
          <t>GOTLANDS LÄN</t>
        </is>
      </c>
      <c r="E511" t="inlineStr">
        <is>
          <t>GOTLAND</t>
        </is>
      </c>
      <c r="F511" t="inlineStr">
        <is>
          <t>Kyrkan</t>
        </is>
      </c>
      <c r="G511" t="n">
        <v>0.6</v>
      </c>
      <c r="H511" t="n">
        <v>0</v>
      </c>
      <c r="I511" t="n">
        <v>0</v>
      </c>
      <c r="J511" t="n">
        <v>0</v>
      </c>
      <c r="K511" t="n">
        <v>0</v>
      </c>
      <c r="L511" t="n">
        <v>0</v>
      </c>
      <c r="M511" t="n">
        <v>0</v>
      </c>
      <c r="N511" t="n">
        <v>0</v>
      </c>
      <c r="O511" t="n">
        <v>0</v>
      </c>
      <c r="P511" t="n">
        <v>0</v>
      </c>
      <c r="Q511" t="n">
        <v>0</v>
      </c>
      <c r="R511" s="2" t="inlineStr"/>
    </row>
    <row r="512" ht="15" customHeight="1">
      <c r="A512" t="inlineStr">
        <is>
          <t>A 52249-2025</t>
        </is>
      </c>
      <c r="B512" s="1" t="n">
        <v>45953.48637731482</v>
      </c>
      <c r="C512" s="1" t="n">
        <v>46100</v>
      </c>
      <c r="D512" t="inlineStr">
        <is>
          <t>GOTLANDS LÄN</t>
        </is>
      </c>
      <c r="E512" t="inlineStr">
        <is>
          <t>GOTLAND</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43901-2023</t>
        </is>
      </c>
      <c r="B513" s="1" t="n">
        <v>45187</v>
      </c>
      <c r="C513" s="1" t="n">
        <v>46100</v>
      </c>
      <c r="D513" t="inlineStr">
        <is>
          <t>GOTLANDS LÄN</t>
        </is>
      </c>
      <c r="E513" t="inlineStr">
        <is>
          <t>GOTLAND</t>
        </is>
      </c>
      <c r="G513" t="n">
        <v>5.4</v>
      </c>
      <c r="H513" t="n">
        <v>0</v>
      </c>
      <c r="I513" t="n">
        <v>0</v>
      </c>
      <c r="J513" t="n">
        <v>0</v>
      </c>
      <c r="K513" t="n">
        <v>0</v>
      </c>
      <c r="L513" t="n">
        <v>0</v>
      </c>
      <c r="M513" t="n">
        <v>0</v>
      </c>
      <c r="N513" t="n">
        <v>0</v>
      </c>
      <c r="O513" t="n">
        <v>0</v>
      </c>
      <c r="P513" t="n">
        <v>0</v>
      </c>
      <c r="Q513" t="n">
        <v>0</v>
      </c>
      <c r="R513" s="2" t="inlineStr"/>
    </row>
    <row r="514" ht="15" customHeight="1">
      <c r="A514" t="inlineStr">
        <is>
          <t>A 17532-2024</t>
        </is>
      </c>
      <c r="B514" s="1" t="n">
        <v>45415</v>
      </c>
      <c r="C514" s="1" t="n">
        <v>46100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45692-2023</t>
        </is>
      </c>
      <c r="B515" s="1" t="n">
        <v>45195</v>
      </c>
      <c r="C515" s="1" t="n">
        <v>46100</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46100</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32467-2025</t>
        </is>
      </c>
      <c r="B517" s="1" t="n">
        <v>45838.42111111111</v>
      </c>
      <c r="C517" s="1" t="n">
        <v>46100</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52637-2025</t>
        </is>
      </c>
      <c r="B518" s="1" t="n">
        <v>45954.75099537037</v>
      </c>
      <c r="C518" s="1" t="n">
        <v>46100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37222-2021</t>
        </is>
      </c>
      <c r="B519" s="1" t="n">
        <v>44396</v>
      </c>
      <c r="C519" s="1" t="n">
        <v>46100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32379-2025</t>
        </is>
      </c>
      <c r="B520" s="1" t="n">
        <v>45837</v>
      </c>
      <c r="C520" s="1" t="n">
        <v>46100</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46396-2023</t>
        </is>
      </c>
      <c r="B521" s="1" t="n">
        <v>45197</v>
      </c>
      <c r="C521" s="1" t="n">
        <v>46100</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46100</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35550-2025</t>
        </is>
      </c>
      <c r="B523" s="1" t="n">
        <v>45856.49324074074</v>
      </c>
      <c r="C523" s="1" t="n">
        <v>46100</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33007-2025</t>
        </is>
      </c>
      <c r="B524" s="1" t="n">
        <v>45840</v>
      </c>
      <c r="C524" s="1" t="n">
        <v>46100</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53577-2025</t>
        </is>
      </c>
      <c r="B525" s="1" t="n">
        <v>45960.42224537037</v>
      </c>
      <c r="C525" s="1" t="n">
        <v>46100</v>
      </c>
      <c r="D525" t="inlineStr">
        <is>
          <t>GOTLANDS LÄN</t>
        </is>
      </c>
      <c r="E525" t="inlineStr">
        <is>
          <t>GOTLAND</t>
        </is>
      </c>
      <c r="F525" t="inlineStr">
        <is>
          <t>Övriga Aktiebolag</t>
        </is>
      </c>
      <c r="G525" t="n">
        <v>3.3</v>
      </c>
      <c r="H525" t="n">
        <v>0</v>
      </c>
      <c r="I525" t="n">
        <v>0</v>
      </c>
      <c r="J525" t="n">
        <v>0</v>
      </c>
      <c r="K525" t="n">
        <v>0</v>
      </c>
      <c r="L525" t="n">
        <v>0</v>
      </c>
      <c r="M525" t="n">
        <v>0</v>
      </c>
      <c r="N525" t="n">
        <v>0</v>
      </c>
      <c r="O525" t="n">
        <v>0</v>
      </c>
      <c r="P525" t="n">
        <v>0</v>
      </c>
      <c r="Q525" t="n">
        <v>0</v>
      </c>
      <c r="R525" s="2" t="inlineStr"/>
    </row>
    <row r="526" ht="15" customHeight="1">
      <c r="A526" t="inlineStr">
        <is>
          <t>A 53569-2025</t>
        </is>
      </c>
      <c r="B526" s="1" t="n">
        <v>45960.41155092593</v>
      </c>
      <c r="C526" s="1" t="n">
        <v>46100</v>
      </c>
      <c r="D526" t="inlineStr">
        <is>
          <t>GOTLANDS LÄN</t>
        </is>
      </c>
      <c r="E526" t="inlineStr">
        <is>
          <t>GOTLAND</t>
        </is>
      </c>
      <c r="F526" t="inlineStr">
        <is>
          <t>Övriga Aktiebolag</t>
        </is>
      </c>
      <c r="G526" t="n">
        <v>11.3</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46100</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58132-2023</t>
        </is>
      </c>
      <c r="B528" s="1" t="n">
        <v>45250</v>
      </c>
      <c r="C528" s="1" t="n">
        <v>46100</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22899-2023</t>
        </is>
      </c>
      <c r="B529" s="1" t="n">
        <v>45072</v>
      </c>
      <c r="C529" s="1" t="n">
        <v>46100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28285-2024</t>
        </is>
      </c>
      <c r="B530" s="1" t="n">
        <v>45477</v>
      </c>
      <c r="C530" s="1" t="n">
        <v>46100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51963-2024</t>
        </is>
      </c>
      <c r="B531" s="1" t="n">
        <v>45607.64833333333</v>
      </c>
      <c r="C531" s="1" t="n">
        <v>46100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15413-2025</t>
        </is>
      </c>
      <c r="B532" s="1" t="n">
        <v>45747.451875</v>
      </c>
      <c r="C532" s="1" t="n">
        <v>46100</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35096-2025</t>
        </is>
      </c>
      <c r="B533" s="1" t="n">
        <v>45852.54356481481</v>
      </c>
      <c r="C533" s="1" t="n">
        <v>46100</v>
      </c>
      <c r="D533" t="inlineStr">
        <is>
          <t>GOTLANDS LÄN</t>
        </is>
      </c>
      <c r="E533" t="inlineStr">
        <is>
          <t>GOTLAND</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35123-2025</t>
        </is>
      </c>
      <c r="B534" s="1" t="n">
        <v>45852.614375</v>
      </c>
      <c r="C534" s="1" t="n">
        <v>46100</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46100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46100</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35290-2025</t>
        </is>
      </c>
      <c r="B537" s="1" t="n">
        <v>45854.38502314815</v>
      </c>
      <c r="C537" s="1" t="n">
        <v>46100</v>
      </c>
      <c r="D537" t="inlineStr">
        <is>
          <t>GOTLANDS LÄN</t>
        </is>
      </c>
      <c r="E537" t="inlineStr">
        <is>
          <t>GOTLAND</t>
        </is>
      </c>
      <c r="G537" t="n">
        <v>5.4</v>
      </c>
      <c r="H537" t="n">
        <v>0</v>
      </c>
      <c r="I537" t="n">
        <v>0</v>
      </c>
      <c r="J537" t="n">
        <v>0</v>
      </c>
      <c r="K537" t="n">
        <v>0</v>
      </c>
      <c r="L537" t="n">
        <v>0</v>
      </c>
      <c r="M537" t="n">
        <v>0</v>
      </c>
      <c r="N537" t="n">
        <v>0</v>
      </c>
      <c r="O537" t="n">
        <v>0</v>
      </c>
      <c r="P537" t="n">
        <v>0</v>
      </c>
      <c r="Q537" t="n">
        <v>0</v>
      </c>
      <c r="R537" s="2" t="inlineStr"/>
    </row>
    <row r="538" ht="15" customHeight="1">
      <c r="A538" t="inlineStr">
        <is>
          <t>A 2674-2023</t>
        </is>
      </c>
      <c r="B538" s="1" t="n">
        <v>44944</v>
      </c>
      <c r="C538" s="1" t="n">
        <v>46100</v>
      </c>
      <c r="D538" t="inlineStr">
        <is>
          <t>GOTLANDS LÄN</t>
        </is>
      </c>
      <c r="E538" t="inlineStr">
        <is>
          <t>GOTLAND</t>
        </is>
      </c>
      <c r="G538" t="n">
        <v>2.5</v>
      </c>
      <c r="H538" t="n">
        <v>0</v>
      </c>
      <c r="I538" t="n">
        <v>0</v>
      </c>
      <c r="J538" t="n">
        <v>0</v>
      </c>
      <c r="K538" t="n">
        <v>0</v>
      </c>
      <c r="L538" t="n">
        <v>0</v>
      </c>
      <c r="M538" t="n">
        <v>0</v>
      </c>
      <c r="N538" t="n">
        <v>0</v>
      </c>
      <c r="O538" t="n">
        <v>0</v>
      </c>
      <c r="P538" t="n">
        <v>0</v>
      </c>
      <c r="Q538" t="n">
        <v>0</v>
      </c>
      <c r="R538" s="2" t="inlineStr"/>
    </row>
    <row r="539" ht="15" customHeight="1">
      <c r="A539" t="inlineStr">
        <is>
          <t>A 61100-2022</t>
        </is>
      </c>
      <c r="B539" s="1" t="n">
        <v>44915</v>
      </c>
      <c r="C539" s="1" t="n">
        <v>46100</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30104-2025</t>
        </is>
      </c>
      <c r="B540" s="1" t="n">
        <v>45826.68806712963</v>
      </c>
      <c r="C540" s="1" t="n">
        <v>46100</v>
      </c>
      <c r="D540" t="inlineStr">
        <is>
          <t>GOTLANDS LÄN</t>
        </is>
      </c>
      <c r="E540" t="inlineStr">
        <is>
          <t>GOTLAND</t>
        </is>
      </c>
      <c r="G540" t="n">
        <v>15.4</v>
      </c>
      <c r="H540" t="n">
        <v>0</v>
      </c>
      <c r="I540" t="n">
        <v>0</v>
      </c>
      <c r="J540" t="n">
        <v>0</v>
      </c>
      <c r="K540" t="n">
        <v>0</v>
      </c>
      <c r="L540" t="n">
        <v>0</v>
      </c>
      <c r="M540" t="n">
        <v>0</v>
      </c>
      <c r="N540" t="n">
        <v>0</v>
      </c>
      <c r="O540" t="n">
        <v>0</v>
      </c>
      <c r="P540" t="n">
        <v>0</v>
      </c>
      <c r="Q540" t="n">
        <v>0</v>
      </c>
      <c r="R540" s="2" t="inlineStr"/>
    </row>
    <row r="541" ht="15" customHeight="1">
      <c r="A541" t="inlineStr">
        <is>
          <t>A 32669-2024</t>
        </is>
      </c>
      <c r="B541" s="1" t="n">
        <v>45514</v>
      </c>
      <c r="C541" s="1" t="n">
        <v>46100</v>
      </c>
      <c r="D541" t="inlineStr">
        <is>
          <t>GOTLANDS LÄN</t>
        </is>
      </c>
      <c r="E541" t="inlineStr">
        <is>
          <t>GOTLAND</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47578-2025</t>
        </is>
      </c>
      <c r="B542" s="1" t="n">
        <v>45931</v>
      </c>
      <c r="C542" s="1" t="n">
        <v>46100</v>
      </c>
      <c r="D542" t="inlineStr">
        <is>
          <t>GOTLANDS LÄN</t>
        </is>
      </c>
      <c r="E542" t="inlineStr">
        <is>
          <t>GOTLAND</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581-2023</t>
        </is>
      </c>
      <c r="B543" s="1" t="n">
        <v>44930</v>
      </c>
      <c r="C543" s="1" t="n">
        <v>46100</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35537-2025</t>
        </is>
      </c>
      <c r="B544" s="1" t="n">
        <v>45856</v>
      </c>
      <c r="C544" s="1" t="n">
        <v>46100</v>
      </c>
      <c r="D544" t="inlineStr">
        <is>
          <t>GOTLANDS LÄN</t>
        </is>
      </c>
      <c r="E544" t="inlineStr">
        <is>
          <t>GOTLAND</t>
        </is>
      </c>
      <c r="G544" t="n">
        <v>16.8</v>
      </c>
      <c r="H544" t="n">
        <v>0</v>
      </c>
      <c r="I544" t="n">
        <v>0</v>
      </c>
      <c r="J544" t="n">
        <v>0</v>
      </c>
      <c r="K544" t="n">
        <v>0</v>
      </c>
      <c r="L544" t="n">
        <v>0</v>
      </c>
      <c r="M544" t="n">
        <v>0</v>
      </c>
      <c r="N544" t="n">
        <v>0</v>
      </c>
      <c r="O544" t="n">
        <v>0</v>
      </c>
      <c r="P544" t="n">
        <v>0</v>
      </c>
      <c r="Q544" t="n">
        <v>0</v>
      </c>
      <c r="R544" s="2" t="inlineStr"/>
    </row>
    <row r="545" ht="15" customHeight="1">
      <c r="A545" t="inlineStr">
        <is>
          <t>A 33011-2025</t>
        </is>
      </c>
      <c r="B545" s="1" t="n">
        <v>45840</v>
      </c>
      <c r="C545" s="1" t="n">
        <v>46100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10655-2023</t>
        </is>
      </c>
      <c r="B546" s="1" t="n">
        <v>44988.49543981482</v>
      </c>
      <c r="C546" s="1" t="n">
        <v>46100</v>
      </c>
      <c r="D546" t="inlineStr">
        <is>
          <t>GOTLANDS LÄN</t>
        </is>
      </c>
      <c r="E546" t="inlineStr">
        <is>
          <t>GOTLAND</t>
        </is>
      </c>
      <c r="F546" t="inlineStr">
        <is>
          <t>Kyrkan</t>
        </is>
      </c>
      <c r="G546" t="n">
        <v>2</v>
      </c>
      <c r="H546" t="n">
        <v>0</v>
      </c>
      <c r="I546" t="n">
        <v>0</v>
      </c>
      <c r="J546" t="n">
        <v>0</v>
      </c>
      <c r="K546" t="n">
        <v>0</v>
      </c>
      <c r="L546" t="n">
        <v>0</v>
      </c>
      <c r="M546" t="n">
        <v>0</v>
      </c>
      <c r="N546" t="n">
        <v>0</v>
      </c>
      <c r="O546" t="n">
        <v>0</v>
      </c>
      <c r="P546" t="n">
        <v>0</v>
      </c>
      <c r="Q546" t="n">
        <v>0</v>
      </c>
      <c r="R546" s="2" t="inlineStr"/>
    </row>
    <row r="547" ht="15" customHeight="1">
      <c r="A547" t="inlineStr">
        <is>
          <t>A 49690-2025</t>
        </is>
      </c>
      <c r="B547" s="1" t="n">
        <v>45939.66730324074</v>
      </c>
      <c r="C547" s="1" t="n">
        <v>46100</v>
      </c>
      <c r="D547" t="inlineStr">
        <is>
          <t>GOTLANDS LÄN</t>
        </is>
      </c>
      <c r="E547" t="inlineStr">
        <is>
          <t>GOTLAND</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44649-2021</t>
        </is>
      </c>
      <c r="B548" s="1" t="n">
        <v>44437</v>
      </c>
      <c r="C548" s="1" t="n">
        <v>46100</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46100</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30488-2025</t>
        </is>
      </c>
      <c r="B550" s="1" t="n">
        <v>45830</v>
      </c>
      <c r="C550" s="1" t="n">
        <v>46100</v>
      </c>
      <c r="D550" t="inlineStr">
        <is>
          <t>GOTLANDS LÄN</t>
        </is>
      </c>
      <c r="E550" t="inlineStr">
        <is>
          <t>GOTLAND</t>
        </is>
      </c>
      <c r="F550" t="inlineStr">
        <is>
          <t>Kyrkan</t>
        </is>
      </c>
      <c r="G550" t="n">
        <v>3.9</v>
      </c>
      <c r="H550" t="n">
        <v>0</v>
      </c>
      <c r="I550" t="n">
        <v>0</v>
      </c>
      <c r="J550" t="n">
        <v>0</v>
      </c>
      <c r="K550" t="n">
        <v>0</v>
      </c>
      <c r="L550" t="n">
        <v>0</v>
      </c>
      <c r="M550" t="n">
        <v>0</v>
      </c>
      <c r="N550" t="n">
        <v>0</v>
      </c>
      <c r="O550" t="n">
        <v>0</v>
      </c>
      <c r="P550" t="n">
        <v>0</v>
      </c>
      <c r="Q550" t="n">
        <v>0</v>
      </c>
      <c r="R550" s="2" t="inlineStr"/>
    </row>
    <row r="551" ht="15" customHeight="1">
      <c r="A551" t="inlineStr">
        <is>
          <t>A 15216-2025</t>
        </is>
      </c>
      <c r="B551" s="1" t="n">
        <v>45744</v>
      </c>
      <c r="C551" s="1" t="n">
        <v>46100</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15001-2025</t>
        </is>
      </c>
      <c r="B552" s="1" t="n">
        <v>45743</v>
      </c>
      <c r="C552" s="1" t="n">
        <v>46100</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43790-2024</t>
        </is>
      </c>
      <c r="B553" s="1" t="n">
        <v>45571</v>
      </c>
      <c r="C553" s="1" t="n">
        <v>46100</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17847-2025</t>
        </is>
      </c>
      <c r="B554" s="1" t="n">
        <v>45758</v>
      </c>
      <c r="C554" s="1" t="n">
        <v>46100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56688-2025</t>
        </is>
      </c>
      <c r="B555" s="1" t="n">
        <v>45975.84331018518</v>
      </c>
      <c r="C555" s="1" t="n">
        <v>46100</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18742-2025</t>
        </is>
      </c>
      <c r="B556" s="1" t="n">
        <v>45763</v>
      </c>
      <c r="C556" s="1" t="n">
        <v>46100</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35129-2025</t>
        </is>
      </c>
      <c r="B557" s="1" t="n">
        <v>45852.63224537037</v>
      </c>
      <c r="C557" s="1" t="n">
        <v>46100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56799-2025</t>
        </is>
      </c>
      <c r="B558" s="1" t="n">
        <v>45978.43392361111</v>
      </c>
      <c r="C558" s="1" t="n">
        <v>46100</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46100</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46100</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46100</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49724-2025</t>
        </is>
      </c>
      <c r="B562" s="1" t="n">
        <v>45939.83730324074</v>
      </c>
      <c r="C562" s="1" t="n">
        <v>46100</v>
      </c>
      <c r="D562" t="inlineStr">
        <is>
          <t>GOTLANDS LÄN</t>
        </is>
      </c>
      <c r="E562" t="inlineStr">
        <is>
          <t>GOTLAND</t>
        </is>
      </c>
      <c r="F562" t="inlineStr">
        <is>
          <t>Kyrkan</t>
        </is>
      </c>
      <c r="G562" t="n">
        <v>3.1</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46100</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49730-2025</t>
        </is>
      </c>
      <c r="B564" s="1" t="n">
        <v>45939.87613425926</v>
      </c>
      <c r="C564" s="1" t="n">
        <v>46100</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2714-2023</t>
        </is>
      </c>
      <c r="B565" s="1" t="n">
        <v>44944.54896990741</v>
      </c>
      <c r="C565" s="1" t="n">
        <v>46100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30489-2025</t>
        </is>
      </c>
      <c r="B566" s="1" t="n">
        <v>45830</v>
      </c>
      <c r="C566" s="1" t="n">
        <v>46100</v>
      </c>
      <c r="D566" t="inlineStr">
        <is>
          <t>GOTLANDS LÄN</t>
        </is>
      </c>
      <c r="E566" t="inlineStr">
        <is>
          <t>GOTLAND</t>
        </is>
      </c>
      <c r="G566" t="n">
        <v>4.6</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46100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21142-2025</t>
        </is>
      </c>
      <c r="B568" s="1" t="n">
        <v>45779</v>
      </c>
      <c r="C568" s="1" t="n">
        <v>46100</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6108-2025</t>
        </is>
      </c>
      <c r="B569" s="1" t="n">
        <v>45698.29880787037</v>
      </c>
      <c r="C569" s="1" t="n">
        <v>46100</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46100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50421-2025</t>
        </is>
      </c>
      <c r="B571" s="1" t="n">
        <v>45944.66049768519</v>
      </c>
      <c r="C571" s="1" t="n">
        <v>46100</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44938.39715277778</v>
      </c>
      <c r="C572" s="1" t="n">
        <v>46100</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17343-2025</t>
        </is>
      </c>
      <c r="B573" s="1" t="n">
        <v>45756.6687037037</v>
      </c>
      <c r="C573" s="1" t="n">
        <v>46100</v>
      </c>
      <c r="D573" t="inlineStr">
        <is>
          <t>GOTLANDS LÄN</t>
        </is>
      </c>
      <c r="E573" t="inlineStr">
        <is>
          <t>GOTLAND</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18938-2025</t>
        </is>
      </c>
      <c r="B574" s="1" t="n">
        <v>45764.49172453704</v>
      </c>
      <c r="C574" s="1" t="n">
        <v>46100</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42338-2023</t>
        </is>
      </c>
      <c r="B575" s="1" t="n">
        <v>45180</v>
      </c>
      <c r="C575" s="1" t="n">
        <v>46100</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20307-2025</t>
        </is>
      </c>
      <c r="B576" s="1" t="n">
        <v>45774.95546296296</v>
      </c>
      <c r="C576" s="1" t="n">
        <v>46100</v>
      </c>
      <c r="D576" t="inlineStr">
        <is>
          <t>GOTLANDS LÄN</t>
        </is>
      </c>
      <c r="E576" t="inlineStr">
        <is>
          <t>GOTLAND</t>
        </is>
      </c>
      <c r="G576" t="n">
        <v>6.8</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46100</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46100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59197-2025</t>
        </is>
      </c>
      <c r="B579" s="1" t="n">
        <v>45988.59846064815</v>
      </c>
      <c r="C579" s="1" t="n">
        <v>46100</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50431-2025</t>
        </is>
      </c>
      <c r="B580" s="1" t="n">
        <v>45944.68453703704</v>
      </c>
      <c r="C580" s="1" t="n">
        <v>46100</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36319-2025</t>
        </is>
      </c>
      <c r="B581" s="1" t="n">
        <v>45868</v>
      </c>
      <c r="C581" s="1" t="n">
        <v>46100</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46100</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46100</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46100</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46100</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46100</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46100</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46100</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46100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46100</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46100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46100</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46100</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62066-2025</t>
        </is>
      </c>
      <c r="B594" s="1" t="n">
        <v>46006.34738425926</v>
      </c>
      <c r="C594" s="1" t="n">
        <v>46100</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62103-2025</t>
        </is>
      </c>
      <c r="B595" s="1" t="n">
        <v>46006</v>
      </c>
      <c r="C595" s="1" t="n">
        <v>46100</v>
      </c>
      <c r="D595" t="inlineStr">
        <is>
          <t>GOTLANDS LÄN</t>
        </is>
      </c>
      <c r="E595" t="inlineStr">
        <is>
          <t>GOTLAND</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47147-2025</t>
        </is>
      </c>
      <c r="B596" s="1" t="n">
        <v>45929</v>
      </c>
      <c r="C596" s="1" t="n">
        <v>46100</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46100</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54584-2025</t>
        </is>
      </c>
      <c r="B598" s="1" t="n">
        <v>45965.71788194445</v>
      </c>
      <c r="C598" s="1" t="n">
        <v>46100</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38649-2025</t>
        </is>
      </c>
      <c r="B599" s="1" t="n">
        <v>45884</v>
      </c>
      <c r="C599" s="1" t="n">
        <v>46100</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7625-2026</t>
        </is>
      </c>
      <c r="B600" s="1" t="n">
        <v>46062.35135416667</v>
      </c>
      <c r="C600" s="1" t="n">
        <v>46100</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7627-2026</t>
        </is>
      </c>
      <c r="B601" s="1" t="n">
        <v>46062.35465277778</v>
      </c>
      <c r="C601" s="1" t="n">
        <v>46100</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61078-2025</t>
        </is>
      </c>
      <c r="B602" s="1" t="n">
        <v>46000</v>
      </c>
      <c r="C602" s="1" t="n">
        <v>46100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36-2026</t>
        </is>
      </c>
      <c r="B603" s="1" t="n">
        <v>46024.38886574074</v>
      </c>
      <c r="C603" s="1" t="n">
        <v>46100</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62674-2025</t>
        </is>
      </c>
      <c r="B604" s="1" t="n">
        <v>46008</v>
      </c>
      <c r="C604" s="1" t="n">
        <v>46100</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9543-2026</t>
        </is>
      </c>
      <c r="B605" s="1" t="n">
        <v>46071.62486111111</v>
      </c>
      <c r="C605" s="1" t="n">
        <v>46100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9518-2026</t>
        </is>
      </c>
      <c r="B606" s="1" t="n">
        <v>46071.59653935185</v>
      </c>
      <c r="C606" s="1" t="n">
        <v>46100</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9524-2026</t>
        </is>
      </c>
      <c r="B607" s="1" t="n">
        <v>46071.60108796296</v>
      </c>
      <c r="C607" s="1" t="n">
        <v>46100</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63105-2025</t>
        </is>
      </c>
      <c r="B608" s="1" t="n">
        <v>46009</v>
      </c>
      <c r="C608" s="1" t="n">
        <v>46100</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63152-2025</t>
        </is>
      </c>
      <c r="B609" s="1" t="n">
        <v>46010</v>
      </c>
      <c r="C609" s="1" t="n">
        <v>46100</v>
      </c>
      <c r="D609" t="inlineStr">
        <is>
          <t>GOTLANDS LÄN</t>
        </is>
      </c>
      <c r="E609" t="inlineStr">
        <is>
          <t>GOTLAND</t>
        </is>
      </c>
      <c r="G609" t="n">
        <v>1.5</v>
      </c>
      <c r="H609" t="n">
        <v>0</v>
      </c>
      <c r="I609" t="n">
        <v>0</v>
      </c>
      <c r="J609" t="n">
        <v>0</v>
      </c>
      <c r="K609" t="n">
        <v>0</v>
      </c>
      <c r="L609" t="n">
        <v>0</v>
      </c>
      <c r="M609" t="n">
        <v>0</v>
      </c>
      <c r="N609" t="n">
        <v>0</v>
      </c>
      <c r="O609" t="n">
        <v>0</v>
      </c>
      <c r="P609" t="n">
        <v>0</v>
      </c>
      <c r="Q609" t="n">
        <v>0</v>
      </c>
      <c r="R609" s="2" t="inlineStr"/>
    </row>
    <row r="610" ht="15" customHeight="1">
      <c r="A610" t="inlineStr">
        <is>
          <t>A 9519-2026</t>
        </is>
      </c>
      <c r="B610" s="1" t="n">
        <v>46071.59820601852</v>
      </c>
      <c r="C610" s="1" t="n">
        <v>46100</v>
      </c>
      <c r="D610" t="inlineStr">
        <is>
          <t>GOTLANDS LÄN</t>
        </is>
      </c>
      <c r="E610" t="inlineStr">
        <is>
          <t>GOTLAND</t>
        </is>
      </c>
      <c r="G610" t="n">
        <v>4</v>
      </c>
      <c r="H610" t="n">
        <v>0</v>
      </c>
      <c r="I610" t="n">
        <v>0</v>
      </c>
      <c r="J610" t="n">
        <v>0</v>
      </c>
      <c r="K610" t="n">
        <v>0</v>
      </c>
      <c r="L610" t="n">
        <v>0</v>
      </c>
      <c r="M610" t="n">
        <v>0</v>
      </c>
      <c r="N610" t="n">
        <v>0</v>
      </c>
      <c r="O610" t="n">
        <v>0</v>
      </c>
      <c r="P610" t="n">
        <v>0</v>
      </c>
      <c r="Q610" t="n">
        <v>0</v>
      </c>
      <c r="R610" s="2" t="inlineStr"/>
    </row>
    <row r="611" ht="15" customHeight="1">
      <c r="A611" t="inlineStr">
        <is>
          <t>A 9521-2026</t>
        </is>
      </c>
      <c r="B611" s="1" t="n">
        <v>46071.59969907408</v>
      </c>
      <c r="C611" s="1" t="n">
        <v>46100</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9504-2026</t>
        </is>
      </c>
      <c r="B612" s="1" t="n">
        <v>46071.57730324074</v>
      </c>
      <c r="C612" s="1" t="n">
        <v>46100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9540-2026</t>
        </is>
      </c>
      <c r="B613" s="1" t="n">
        <v>46071.61961805556</v>
      </c>
      <c r="C613" s="1" t="n">
        <v>46100</v>
      </c>
      <c r="D613" t="inlineStr">
        <is>
          <t>GOTLANDS LÄN</t>
        </is>
      </c>
      <c r="E613" t="inlineStr">
        <is>
          <t>GOTLAND</t>
        </is>
      </c>
      <c r="G613" t="n">
        <v>2.8</v>
      </c>
      <c r="H613" t="n">
        <v>0</v>
      </c>
      <c r="I613" t="n">
        <v>0</v>
      </c>
      <c r="J613" t="n">
        <v>0</v>
      </c>
      <c r="K613" t="n">
        <v>0</v>
      </c>
      <c r="L613" t="n">
        <v>0</v>
      </c>
      <c r="M613" t="n">
        <v>0</v>
      </c>
      <c r="N613" t="n">
        <v>0</v>
      </c>
      <c r="O613" t="n">
        <v>0</v>
      </c>
      <c r="P613" t="n">
        <v>0</v>
      </c>
      <c r="Q613" t="n">
        <v>0</v>
      </c>
      <c r="R613" s="2" t="inlineStr"/>
    </row>
    <row r="614" ht="15" customHeight="1">
      <c r="A614" t="inlineStr">
        <is>
          <t>A 1355-2026</t>
        </is>
      </c>
      <c r="B614" s="1" t="n">
        <v>46031.59909722222</v>
      </c>
      <c r="C614" s="1" t="n">
        <v>46100</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9901-2026</t>
        </is>
      </c>
      <c r="B615" s="1" t="n">
        <v>46073.40391203704</v>
      </c>
      <c r="C615" s="1" t="n">
        <v>46100</v>
      </c>
      <c r="D615" t="inlineStr">
        <is>
          <t>GOTLANDS LÄN</t>
        </is>
      </c>
      <c r="E615" t="inlineStr">
        <is>
          <t>GOTLAND</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10486-2026</t>
        </is>
      </c>
      <c r="B616" s="1" t="n">
        <v>46077.51425925926</v>
      </c>
      <c r="C616" s="1" t="n">
        <v>46100</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1898-2026</t>
        </is>
      </c>
      <c r="B617" s="1" t="n">
        <v>46035.52024305556</v>
      </c>
      <c r="C617" s="1" t="n">
        <v>46100</v>
      </c>
      <c r="D617" t="inlineStr">
        <is>
          <t>GOTLANDS LÄN</t>
        </is>
      </c>
      <c r="E617" t="inlineStr">
        <is>
          <t>GOTLAND</t>
        </is>
      </c>
      <c r="G617" t="n">
        <v>3.7</v>
      </c>
      <c r="H617" t="n">
        <v>0</v>
      </c>
      <c r="I617" t="n">
        <v>0</v>
      </c>
      <c r="J617" t="n">
        <v>0</v>
      </c>
      <c r="K617" t="n">
        <v>0</v>
      </c>
      <c r="L617" t="n">
        <v>0</v>
      </c>
      <c r="M617" t="n">
        <v>0</v>
      </c>
      <c r="N617" t="n">
        <v>0</v>
      </c>
      <c r="O617" t="n">
        <v>0</v>
      </c>
      <c r="P617" t="n">
        <v>0</v>
      </c>
      <c r="Q617" t="n">
        <v>0</v>
      </c>
      <c r="R617" s="2" t="inlineStr"/>
    </row>
    <row r="618" ht="15" customHeight="1">
      <c r="A618" t="inlineStr">
        <is>
          <t>A 10284-2026</t>
        </is>
      </c>
      <c r="B618" s="1" t="n">
        <v>46076</v>
      </c>
      <c r="C618" s="1" t="n">
        <v>46100</v>
      </c>
      <c r="D618" t="inlineStr">
        <is>
          <t>GOTLANDS LÄN</t>
        </is>
      </c>
      <c r="E618" t="inlineStr">
        <is>
          <t>GOTLAND</t>
        </is>
      </c>
      <c r="G618" t="n">
        <v>5.2</v>
      </c>
      <c r="H618" t="n">
        <v>0</v>
      </c>
      <c r="I618" t="n">
        <v>0</v>
      </c>
      <c r="J618" t="n">
        <v>0</v>
      </c>
      <c r="K618" t="n">
        <v>0</v>
      </c>
      <c r="L618" t="n">
        <v>0</v>
      </c>
      <c r="M618" t="n">
        <v>0</v>
      </c>
      <c r="N618" t="n">
        <v>0</v>
      </c>
      <c r="O618" t="n">
        <v>0</v>
      </c>
      <c r="P618" t="n">
        <v>0</v>
      </c>
      <c r="Q618" t="n">
        <v>0</v>
      </c>
      <c r="R618" s="2" t="inlineStr"/>
    </row>
    <row r="619" ht="15" customHeight="1">
      <c r="A619" t="inlineStr">
        <is>
          <t>A 2415-2026</t>
        </is>
      </c>
      <c r="B619" s="1" t="n">
        <v>46036.76203703704</v>
      </c>
      <c r="C619" s="1" t="n">
        <v>46100</v>
      </c>
      <c r="D619" t="inlineStr">
        <is>
          <t>GOTLANDS LÄN</t>
        </is>
      </c>
      <c r="E619" t="inlineStr">
        <is>
          <t>GOTLAND</t>
        </is>
      </c>
      <c r="G619" t="n">
        <v>6.9</v>
      </c>
      <c r="H619" t="n">
        <v>0</v>
      </c>
      <c r="I619" t="n">
        <v>0</v>
      </c>
      <c r="J619" t="n">
        <v>0</v>
      </c>
      <c r="K619" t="n">
        <v>0</v>
      </c>
      <c r="L619" t="n">
        <v>0</v>
      </c>
      <c r="M619" t="n">
        <v>0</v>
      </c>
      <c r="N619" t="n">
        <v>0</v>
      </c>
      <c r="O619" t="n">
        <v>0</v>
      </c>
      <c r="P619" t="n">
        <v>0</v>
      </c>
      <c r="Q619" t="n">
        <v>0</v>
      </c>
      <c r="R619" s="2" t="inlineStr"/>
    </row>
    <row r="620" ht="15" customHeight="1">
      <c r="A620" t="inlineStr">
        <is>
          <t>A 62836-2025</t>
        </is>
      </c>
      <c r="B620" s="1" t="n">
        <v>46008</v>
      </c>
      <c r="C620" s="1" t="n">
        <v>46100</v>
      </c>
      <c r="D620" t="inlineStr">
        <is>
          <t>GOTLANDS LÄN</t>
        </is>
      </c>
      <c r="E620" t="inlineStr">
        <is>
          <t>GOTLAND</t>
        </is>
      </c>
      <c r="G620" t="n">
        <v>6.5</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46100</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11414-2026</t>
        </is>
      </c>
      <c r="B622" s="1" t="n">
        <v>46083.46336805556</v>
      </c>
      <c r="C622" s="1" t="n">
        <v>46100</v>
      </c>
      <c r="D622" t="inlineStr">
        <is>
          <t>GOTLANDS LÄN</t>
        </is>
      </c>
      <c r="E622" t="inlineStr">
        <is>
          <t>GOTLAND</t>
        </is>
      </c>
      <c r="G622" t="n">
        <v>4.9</v>
      </c>
      <c r="H622" t="n">
        <v>0</v>
      </c>
      <c r="I622" t="n">
        <v>0</v>
      </c>
      <c r="J622" t="n">
        <v>0</v>
      </c>
      <c r="K622" t="n">
        <v>0</v>
      </c>
      <c r="L622" t="n">
        <v>0</v>
      </c>
      <c r="M622" t="n">
        <v>0</v>
      </c>
      <c r="N622" t="n">
        <v>0</v>
      </c>
      <c r="O622" t="n">
        <v>0</v>
      </c>
      <c r="P622" t="n">
        <v>0</v>
      </c>
      <c r="Q622" t="n">
        <v>0</v>
      </c>
      <c r="R622" s="2" t="inlineStr"/>
    </row>
    <row r="623" ht="15" customHeight="1">
      <c r="A623" t="inlineStr">
        <is>
          <t>A 11424-2026</t>
        </is>
      </c>
      <c r="B623" s="1" t="n">
        <v>46083.48068287037</v>
      </c>
      <c r="C623" s="1" t="n">
        <v>46100</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53587-2025</t>
        </is>
      </c>
      <c r="B624" s="1" t="n">
        <v>45960.43681712963</v>
      </c>
      <c r="C624" s="1" t="n">
        <v>46100</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11982-2026</t>
        </is>
      </c>
      <c r="B625" s="1" t="n">
        <v>46085.6434375</v>
      </c>
      <c r="C625" s="1" t="n">
        <v>46100</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53561-2025</t>
        </is>
      </c>
      <c r="B626" s="1" t="n">
        <v>45960.4059375</v>
      </c>
      <c r="C626" s="1" t="n">
        <v>46100</v>
      </c>
      <c r="D626" t="inlineStr">
        <is>
          <t>GOTLANDS LÄN</t>
        </is>
      </c>
      <c r="E626" t="inlineStr">
        <is>
          <t>GOTLAND</t>
        </is>
      </c>
      <c r="F626" t="inlineStr">
        <is>
          <t>Övriga Aktiebolag</t>
        </is>
      </c>
      <c r="G626" t="n">
        <v>2.4</v>
      </c>
      <c r="H626" t="n">
        <v>0</v>
      </c>
      <c r="I626" t="n">
        <v>0</v>
      </c>
      <c r="J626" t="n">
        <v>0</v>
      </c>
      <c r="K626" t="n">
        <v>0</v>
      </c>
      <c r="L626" t="n">
        <v>0</v>
      </c>
      <c r="M626" t="n">
        <v>0</v>
      </c>
      <c r="N626" t="n">
        <v>0</v>
      </c>
      <c r="O626" t="n">
        <v>0</v>
      </c>
      <c r="P626" t="n">
        <v>0</v>
      </c>
      <c r="Q626" t="n">
        <v>0</v>
      </c>
      <c r="R626" s="2" t="inlineStr"/>
    </row>
    <row r="627" ht="15" customHeight="1">
      <c r="A627" t="inlineStr">
        <is>
          <t>A 12135-2026</t>
        </is>
      </c>
      <c r="B627" s="1" t="n">
        <v>46086</v>
      </c>
      <c r="C627" s="1" t="n">
        <v>46100</v>
      </c>
      <c r="D627" t="inlineStr">
        <is>
          <t>GOTLANDS LÄN</t>
        </is>
      </c>
      <c r="E627" t="inlineStr">
        <is>
          <t>GOTLAND</t>
        </is>
      </c>
      <c r="G627" t="n">
        <v>3</v>
      </c>
      <c r="H627" t="n">
        <v>0</v>
      </c>
      <c r="I627" t="n">
        <v>0</v>
      </c>
      <c r="J627" t="n">
        <v>0</v>
      </c>
      <c r="K627" t="n">
        <v>0</v>
      </c>
      <c r="L627" t="n">
        <v>0</v>
      </c>
      <c r="M627" t="n">
        <v>0</v>
      </c>
      <c r="N627" t="n">
        <v>0</v>
      </c>
      <c r="O627" t="n">
        <v>0</v>
      </c>
      <c r="P627" t="n">
        <v>0</v>
      </c>
      <c r="Q627" t="n">
        <v>0</v>
      </c>
      <c r="R627" s="2" t="inlineStr"/>
    </row>
    <row r="628" ht="15" customHeight="1">
      <c r="A628" t="inlineStr">
        <is>
          <t>A 60384-2025</t>
        </is>
      </c>
      <c r="B628" s="1" t="n">
        <v>45995</v>
      </c>
      <c r="C628" s="1" t="n">
        <v>46100</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1839-2026</t>
        </is>
      </c>
      <c r="B629" s="1" t="n">
        <v>46035.3942824074</v>
      </c>
      <c r="C629" s="1" t="n">
        <v>46100</v>
      </c>
      <c r="D629" t="inlineStr">
        <is>
          <t>GOTLANDS LÄN</t>
        </is>
      </c>
      <c r="E629" t="inlineStr">
        <is>
          <t>GOTLAND</t>
        </is>
      </c>
      <c r="G629" t="n">
        <v>3.5</v>
      </c>
      <c r="H629" t="n">
        <v>0</v>
      </c>
      <c r="I629" t="n">
        <v>0</v>
      </c>
      <c r="J629" t="n">
        <v>0</v>
      </c>
      <c r="K629" t="n">
        <v>0</v>
      </c>
      <c r="L629" t="n">
        <v>0</v>
      </c>
      <c r="M629" t="n">
        <v>0</v>
      </c>
      <c r="N629" t="n">
        <v>0</v>
      </c>
      <c r="O629" t="n">
        <v>0</v>
      </c>
      <c r="P629" t="n">
        <v>0</v>
      </c>
      <c r="Q629" t="n">
        <v>0</v>
      </c>
      <c r="R629" s="2" t="inlineStr"/>
    </row>
    <row r="630" ht="15" customHeight="1">
      <c r="A630" t="inlineStr">
        <is>
          <t>A 4639-2026</t>
        </is>
      </c>
      <c r="B630" s="1" t="n">
        <v>46048.39880787037</v>
      </c>
      <c r="C630" s="1" t="n">
        <v>46100</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4662-2026</t>
        </is>
      </c>
      <c r="B631" s="1" t="n">
        <v>46048.40949074074</v>
      </c>
      <c r="C631" s="1" t="n">
        <v>46100</v>
      </c>
      <c r="D631" t="inlineStr">
        <is>
          <t>GOTLANDS LÄN</t>
        </is>
      </c>
      <c r="E631" t="inlineStr">
        <is>
          <t>GOTLAND</t>
        </is>
      </c>
      <c r="G631" t="n">
        <v>7.6</v>
      </c>
      <c r="H631" t="n">
        <v>0</v>
      </c>
      <c r="I631" t="n">
        <v>0</v>
      </c>
      <c r="J631" t="n">
        <v>0</v>
      </c>
      <c r="K631" t="n">
        <v>0</v>
      </c>
      <c r="L631" t="n">
        <v>0</v>
      </c>
      <c r="M631" t="n">
        <v>0</v>
      </c>
      <c r="N631" t="n">
        <v>0</v>
      </c>
      <c r="O631" t="n">
        <v>0</v>
      </c>
      <c r="P631" t="n">
        <v>0</v>
      </c>
      <c r="Q631" t="n">
        <v>0</v>
      </c>
      <c r="R631" s="2" t="inlineStr"/>
    </row>
    <row r="632" ht="15" customHeight="1">
      <c r="A632" t="inlineStr">
        <is>
          <t>A 63000-2025</t>
        </is>
      </c>
      <c r="B632" s="1" t="n">
        <v>46009</v>
      </c>
      <c r="C632" s="1" t="n">
        <v>46100</v>
      </c>
      <c r="D632" t="inlineStr">
        <is>
          <t>GOTLANDS LÄN</t>
        </is>
      </c>
      <c r="E632" t="inlineStr">
        <is>
          <t>GOTLAND</t>
        </is>
      </c>
      <c r="F632" t="inlineStr">
        <is>
          <t>Övriga Aktiebolag</t>
        </is>
      </c>
      <c r="G632" t="n">
        <v>1.7</v>
      </c>
      <c r="H632" t="n">
        <v>0</v>
      </c>
      <c r="I632" t="n">
        <v>0</v>
      </c>
      <c r="J632" t="n">
        <v>0</v>
      </c>
      <c r="K632" t="n">
        <v>0</v>
      </c>
      <c r="L632" t="n">
        <v>0</v>
      </c>
      <c r="M632" t="n">
        <v>0</v>
      </c>
      <c r="N632" t="n">
        <v>0</v>
      </c>
      <c r="O632" t="n">
        <v>0</v>
      </c>
      <c r="P632" t="n">
        <v>0</v>
      </c>
      <c r="Q632" t="n">
        <v>0</v>
      </c>
      <c r="R632" s="2" t="inlineStr"/>
    </row>
    <row r="633" ht="15" customHeight="1">
      <c r="A633" t="inlineStr">
        <is>
          <t>A 4646-2026</t>
        </is>
      </c>
      <c r="B633" s="1" t="n">
        <v>46048.40357638889</v>
      </c>
      <c r="C633" s="1" t="n">
        <v>46100</v>
      </c>
      <c r="D633" t="inlineStr">
        <is>
          <t>GOTLANDS LÄN</t>
        </is>
      </c>
      <c r="E633" t="inlineStr">
        <is>
          <t>GOTLAND</t>
        </is>
      </c>
      <c r="G633" t="n">
        <v>2.7</v>
      </c>
      <c r="H633" t="n">
        <v>0</v>
      </c>
      <c r="I633" t="n">
        <v>0</v>
      </c>
      <c r="J633" t="n">
        <v>0</v>
      </c>
      <c r="K633" t="n">
        <v>0</v>
      </c>
      <c r="L633" t="n">
        <v>0</v>
      </c>
      <c r="M633" t="n">
        <v>0</v>
      </c>
      <c r="N633" t="n">
        <v>0</v>
      </c>
      <c r="O633" t="n">
        <v>0</v>
      </c>
      <c r="P633" t="n">
        <v>0</v>
      </c>
      <c r="Q633" t="n">
        <v>0</v>
      </c>
      <c r="R633" s="2" t="inlineStr"/>
    </row>
    <row r="634" ht="15" customHeight="1">
      <c r="A634" t="inlineStr">
        <is>
          <t>A 4634-2026</t>
        </is>
      </c>
      <c r="B634" s="1" t="n">
        <v>46048.39304398148</v>
      </c>
      <c r="C634" s="1" t="n">
        <v>46100</v>
      </c>
      <c r="D634" t="inlineStr">
        <is>
          <t>GOTLANDS LÄN</t>
        </is>
      </c>
      <c r="E634" t="inlineStr">
        <is>
          <t>GOTLAND</t>
        </is>
      </c>
      <c r="G634" t="n">
        <v>7.8</v>
      </c>
      <c r="H634" t="n">
        <v>0</v>
      </c>
      <c r="I634" t="n">
        <v>0</v>
      </c>
      <c r="J634" t="n">
        <v>0</v>
      </c>
      <c r="K634" t="n">
        <v>0</v>
      </c>
      <c r="L634" t="n">
        <v>0</v>
      </c>
      <c r="M634" t="n">
        <v>0</v>
      </c>
      <c r="N634" t="n">
        <v>0</v>
      </c>
      <c r="O634" t="n">
        <v>0</v>
      </c>
      <c r="P634" t="n">
        <v>0</v>
      </c>
      <c r="Q634" t="n">
        <v>0</v>
      </c>
      <c r="R634" s="2" t="inlineStr"/>
    </row>
    <row r="635" ht="15" customHeight="1">
      <c r="A635" t="inlineStr">
        <is>
          <t>A 4670-2026</t>
        </is>
      </c>
      <c r="B635" s="1" t="n">
        <v>46048.41733796296</v>
      </c>
      <c r="C635" s="1" t="n">
        <v>46100</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62754-2025</t>
        </is>
      </c>
      <c r="B636" s="1" t="n">
        <v>46008</v>
      </c>
      <c r="C636" s="1" t="n">
        <v>46100</v>
      </c>
      <c r="D636" t="inlineStr">
        <is>
          <t>GOTLANDS LÄN</t>
        </is>
      </c>
      <c r="E636" t="inlineStr">
        <is>
          <t>GOTLAND</t>
        </is>
      </c>
      <c r="F636" t="inlineStr">
        <is>
          <t>Övriga Aktiebolag</t>
        </is>
      </c>
      <c r="G636" t="n">
        <v>2.9</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46100</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1854-2026</t>
        </is>
      </c>
      <c r="B638" s="1" t="n">
        <v>46035.4171875</v>
      </c>
      <c r="C638" s="1" t="n">
        <v>46100</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13482-2026</t>
        </is>
      </c>
      <c r="B639" s="1" t="n">
        <v>46094</v>
      </c>
      <c r="C639" s="1" t="n">
        <v>46100</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13486-2026</t>
        </is>
      </c>
      <c r="B640" s="1" t="n">
        <v>46094</v>
      </c>
      <c r="C640" s="1" t="n">
        <v>46100</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5863-2026</t>
        </is>
      </c>
      <c r="B641" s="1" t="n">
        <v>46052.36697916667</v>
      </c>
      <c r="C641" s="1" t="n">
        <v>46100</v>
      </c>
      <c r="D641" t="inlineStr">
        <is>
          <t>GOTLANDS LÄN</t>
        </is>
      </c>
      <c r="E641" t="inlineStr">
        <is>
          <t>GOTLAND</t>
        </is>
      </c>
      <c r="G641" t="n">
        <v>1.8</v>
      </c>
      <c r="H641" t="n">
        <v>0</v>
      </c>
      <c r="I641" t="n">
        <v>0</v>
      </c>
      <c r="J641" t="n">
        <v>0</v>
      </c>
      <c r="K641" t="n">
        <v>0</v>
      </c>
      <c r="L641" t="n">
        <v>0</v>
      </c>
      <c r="M641" t="n">
        <v>0</v>
      </c>
      <c r="N641" t="n">
        <v>0</v>
      </c>
      <c r="O641" t="n">
        <v>0</v>
      </c>
      <c r="P641" t="n">
        <v>0</v>
      </c>
      <c r="Q641" t="n">
        <v>0</v>
      </c>
      <c r="R641" s="2" t="inlineStr"/>
    </row>
    <row r="642" ht="15" customHeight="1">
      <c r="A642" t="inlineStr">
        <is>
          <t>A 6207-2026</t>
        </is>
      </c>
      <c r="B642" s="1" t="n">
        <v>46055.42083333333</v>
      </c>
      <c r="C642" s="1" t="n">
        <v>46100</v>
      </c>
      <c r="D642" t="inlineStr">
        <is>
          <t>GOTLANDS LÄN</t>
        </is>
      </c>
      <c r="E642" t="inlineStr">
        <is>
          <t>GOTLAND</t>
        </is>
      </c>
      <c r="G642" t="n">
        <v>7.6</v>
      </c>
      <c r="H642" t="n">
        <v>0</v>
      </c>
      <c r="I642" t="n">
        <v>0</v>
      </c>
      <c r="J642" t="n">
        <v>0</v>
      </c>
      <c r="K642" t="n">
        <v>0</v>
      </c>
      <c r="L642" t="n">
        <v>0</v>
      </c>
      <c r="M642" t="n">
        <v>0</v>
      </c>
      <c r="N642" t="n">
        <v>0</v>
      </c>
      <c r="O642" t="n">
        <v>0</v>
      </c>
      <c r="P642" t="n">
        <v>0</v>
      </c>
      <c r="Q642" t="n">
        <v>0</v>
      </c>
      <c r="R642" s="2" t="inlineStr"/>
    </row>
    <row r="643" ht="15" customHeight="1">
      <c r="A643" t="inlineStr">
        <is>
          <t>A 6218-2026</t>
        </is>
      </c>
      <c r="B643" s="1" t="n">
        <v>46055.42859953704</v>
      </c>
      <c r="C643" s="1" t="n">
        <v>46100</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6959-2026</t>
        </is>
      </c>
      <c r="B644" s="1" t="n">
        <v>46057.580625</v>
      </c>
      <c r="C644" s="1" t="n">
        <v>46100</v>
      </c>
      <c r="D644" t="inlineStr">
        <is>
          <t>GOTLANDS LÄN</t>
        </is>
      </c>
      <c r="E644" t="inlineStr">
        <is>
          <t>GOTLAND</t>
        </is>
      </c>
      <c r="F644" t="inlineStr">
        <is>
          <t>Kyrkan</t>
        </is>
      </c>
      <c r="G644" t="n">
        <v>1.2</v>
      </c>
      <c r="H644" t="n">
        <v>0</v>
      </c>
      <c r="I644" t="n">
        <v>0</v>
      </c>
      <c r="J644" t="n">
        <v>0</v>
      </c>
      <c r="K644" t="n">
        <v>0</v>
      </c>
      <c r="L644" t="n">
        <v>0</v>
      </c>
      <c r="M644" t="n">
        <v>0</v>
      </c>
      <c r="N644" t="n">
        <v>0</v>
      </c>
      <c r="O644" t="n">
        <v>0</v>
      </c>
      <c r="P644" t="n">
        <v>0</v>
      </c>
      <c r="Q644" t="n">
        <v>0</v>
      </c>
      <c r="R644" s="2" t="inlineStr"/>
    </row>
    <row r="645" ht="15" customHeight="1">
      <c r="A645" t="inlineStr">
        <is>
          <t>A 3067-2026</t>
        </is>
      </c>
      <c r="B645" s="1" t="n">
        <v>46040.59025462963</v>
      </c>
      <c r="C645" s="1" t="n">
        <v>46100</v>
      </c>
      <c r="D645" t="inlineStr">
        <is>
          <t>GOTLANDS LÄN</t>
        </is>
      </c>
      <c r="E645" t="inlineStr">
        <is>
          <t>GOTLAND</t>
        </is>
      </c>
      <c r="G645" t="n">
        <v>7.8</v>
      </c>
      <c r="H645" t="n">
        <v>0</v>
      </c>
      <c r="I645" t="n">
        <v>0</v>
      </c>
      <c r="J645" t="n">
        <v>0</v>
      </c>
      <c r="K645" t="n">
        <v>0</v>
      </c>
      <c r="L645" t="n">
        <v>0</v>
      </c>
      <c r="M645" t="n">
        <v>0</v>
      </c>
      <c r="N645" t="n">
        <v>0</v>
      </c>
      <c r="O645" t="n">
        <v>0</v>
      </c>
      <c r="P645" t="n">
        <v>0</v>
      </c>
      <c r="Q645" t="n">
        <v>0</v>
      </c>
      <c r="R645" s="2" t="inlineStr"/>
    </row>
    <row r="646" ht="15" customHeight="1">
      <c r="A646" t="inlineStr">
        <is>
          <t>A 6960-2026</t>
        </is>
      </c>
      <c r="B646" s="1" t="n">
        <v>46057.58105324074</v>
      </c>
      <c r="C646" s="1" t="n">
        <v>46100</v>
      </c>
      <c r="D646" t="inlineStr">
        <is>
          <t>GOTLANDS LÄN</t>
        </is>
      </c>
      <c r="E646" t="inlineStr">
        <is>
          <t>GOTLAND</t>
        </is>
      </c>
      <c r="F646" t="inlineStr">
        <is>
          <t>Kyrkan</t>
        </is>
      </c>
      <c r="G646" t="n">
        <v>2.4</v>
      </c>
      <c r="H646" t="n">
        <v>0</v>
      </c>
      <c r="I646" t="n">
        <v>0</v>
      </c>
      <c r="J646" t="n">
        <v>0</v>
      </c>
      <c r="K646" t="n">
        <v>0</v>
      </c>
      <c r="L646" t="n">
        <v>0</v>
      </c>
      <c r="M646" t="n">
        <v>0</v>
      </c>
      <c r="N646" t="n">
        <v>0</v>
      </c>
      <c r="O646" t="n">
        <v>0</v>
      </c>
      <c r="P646" t="n">
        <v>0</v>
      </c>
      <c r="Q646" t="n">
        <v>0</v>
      </c>
      <c r="R646" s="2" t="inlineStr"/>
    </row>
    <row r="647" ht="15" customHeight="1">
      <c r="A647" t="inlineStr">
        <is>
          <t>A 2134-2026</t>
        </is>
      </c>
      <c r="B647" s="1" t="n">
        <v>46036</v>
      </c>
      <c r="C647" s="1" t="n">
        <v>46100</v>
      </c>
      <c r="D647" t="inlineStr">
        <is>
          <t>GOTLANDS LÄN</t>
        </is>
      </c>
      <c r="E647" t="inlineStr">
        <is>
          <t>GOTLAND</t>
        </is>
      </c>
      <c r="G647" t="n">
        <v>1.7</v>
      </c>
      <c r="H647" t="n">
        <v>0</v>
      </c>
      <c r="I647" t="n">
        <v>0</v>
      </c>
      <c r="J647" t="n">
        <v>0</v>
      </c>
      <c r="K647" t="n">
        <v>0</v>
      </c>
      <c r="L647" t="n">
        <v>0</v>
      </c>
      <c r="M647" t="n">
        <v>0</v>
      </c>
      <c r="N647" t="n">
        <v>0</v>
      </c>
      <c r="O647" t="n">
        <v>0</v>
      </c>
      <c r="P647" t="n">
        <v>0</v>
      </c>
      <c r="Q647" t="n">
        <v>0</v>
      </c>
      <c r="R647" s="2" t="inlineStr"/>
    </row>
    <row r="648">
      <c r="A648" t="inlineStr">
        <is>
          <t>A 2135-2026</t>
        </is>
      </c>
      <c r="B648" s="1" t="n">
        <v>46036</v>
      </c>
      <c r="C648" s="1" t="n">
        <v>46100</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2026-03-19T11:35:25Z</dcterms:created>
  <dcterms:modified xmlns:dcterms="http://purl.org/dc/terms/" xmlns:xsi="http://www.w3.org/2001/XMLSchema-instance" xsi:type="dcterms:W3CDTF">2026-03-19T11:35:26Z</dcterms:modified>
</cp:coreProperties>
</file>