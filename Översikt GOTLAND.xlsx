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46108</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46108</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46108</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46108</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46108</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46108</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46108</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46108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46108</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46108</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46108</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46108</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46108</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62132-2023</t>
        </is>
      </c>
      <c r="B28" s="1" t="n">
        <v>45267</v>
      </c>
      <c r="C28" s="1" t="n">
        <v>46108</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46108</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46108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46108</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46108</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46108</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44204-2022</t>
        </is>
      </c>
      <c r="B35" s="1" t="n">
        <v>44839</v>
      </c>
      <c r="C35" s="1" t="n">
        <v>46108</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35141-2022</t>
        </is>
      </c>
      <c r="B36" s="1" t="n">
        <v>44797.53318287037</v>
      </c>
      <c r="C36" s="1" t="n">
        <v>46108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46108</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46108</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46108</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46108</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46108</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46108</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6052-2024</t>
        </is>
      </c>
      <c r="B46" s="1" t="n">
        <v>45336</v>
      </c>
      <c r="C46" s="1" t="n">
        <v>46108</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45248-2024</t>
        </is>
      </c>
      <c r="B47" s="1" t="n">
        <v>45576</v>
      </c>
      <c r="C47" s="1" t="n">
        <v>46108</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14354-2024</t>
        </is>
      </c>
      <c r="B48" s="1" t="n">
        <v>45393</v>
      </c>
      <c r="C48" s="1" t="n">
        <v>46108</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46108</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1719-2025</t>
        </is>
      </c>
      <c r="B50" s="1" t="n">
        <v>45671</v>
      </c>
      <c r="C50" s="1" t="n">
        <v>46108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46108</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46108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46108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46108</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46108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46108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46108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1769-2022</t>
        </is>
      </c>
      <c r="B60" s="1" t="n">
        <v>44574</v>
      </c>
      <c r="C60" s="1" t="n">
        <v>46108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46108</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46108</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56687-2025</t>
        </is>
      </c>
      <c r="B64" s="1" t="n">
        <v>45975.84065972222</v>
      </c>
      <c r="C64" s="1" t="n">
        <v>46108</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46108</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46108</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46108</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46108</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25205-2021</t>
        </is>
      </c>
      <c r="B69" s="1" t="n">
        <v>44342</v>
      </c>
      <c r="C69" s="1" t="n">
        <v>46108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46108</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7038-2023</t>
        </is>
      </c>
      <c r="B71" s="1" t="n">
        <v>44968</v>
      </c>
      <c r="C71" s="1" t="n">
        <v>46108</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53584-2025</t>
        </is>
      </c>
      <c r="B72" s="1" t="n">
        <v>45960.43130787037</v>
      </c>
      <c r="C72" s="1" t="n">
        <v>46108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46108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57773-2025</t>
        </is>
      </c>
      <c r="B74" s="1" t="n">
        <v>45981.56349537037</v>
      </c>
      <c r="C74" s="1" t="n">
        <v>46108</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46108</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46108</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16375-2025</t>
        </is>
      </c>
      <c r="B80" s="1" t="n">
        <v>45751.41064814815</v>
      </c>
      <c r="C80" s="1" t="n">
        <v>46108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39425-2023</t>
        </is>
      </c>
      <c r="B81" s="1" t="n">
        <v>45166</v>
      </c>
      <c r="C81" s="1" t="n">
        <v>46108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10274-2026</t>
        </is>
      </c>
      <c r="B82" s="1" t="n">
        <v>46076.58261574074</v>
      </c>
      <c r="C82" s="1" t="n">
        <v>46108</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46108</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46108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46108</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35293-2025</t>
        </is>
      </c>
      <c r="B86" s="1" t="n">
        <v>45854.39438657407</v>
      </c>
      <c r="C86" s="1" t="n">
        <v>46108</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42936-2024</t>
        </is>
      </c>
      <c r="B87" s="1" t="n">
        <v>45567</v>
      </c>
      <c r="C87" s="1" t="n">
        <v>46108</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46108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46108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46108</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44933-2022</t>
        </is>
      </c>
      <c r="B91" s="1" t="n">
        <v>44841</v>
      </c>
      <c r="C91" s="1" t="n">
        <v>46108</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40099-2025</t>
        </is>
      </c>
      <c r="B92" s="1" t="n">
        <v>45894.48462962963</v>
      </c>
      <c r="C92" s="1" t="n">
        <v>46108</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56717-2024</t>
        </is>
      </c>
      <c r="B93" s="1" t="n">
        <v>45628.3166550926</v>
      </c>
      <c r="C93" s="1" t="n">
        <v>46108</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2485-2025</t>
        </is>
      </c>
      <c r="B94" s="1" t="n">
        <v>45673</v>
      </c>
      <c r="C94" s="1" t="n">
        <v>46108</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46108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46108</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46108</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57463-2025</t>
        </is>
      </c>
      <c r="B98" s="1" t="n">
        <v>45980.54174768519</v>
      </c>
      <c r="C98" s="1" t="n">
        <v>46108</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46108</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52250-2025</t>
        </is>
      </c>
      <c r="B100" s="1" t="n">
        <v>45953.48998842593</v>
      </c>
      <c r="C100" s="1" t="n">
        <v>46108</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186-2023</t>
        </is>
      </c>
      <c r="B101" s="1" t="n">
        <v>44928</v>
      </c>
      <c r="C101" s="1" t="n">
        <v>46108</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13203-2026</t>
        </is>
      </c>
      <c r="B102" s="1" t="n">
        <v>46093</v>
      </c>
      <c r="C102" s="1" t="n">
        <v>46108</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6836-2026</t>
        </is>
      </c>
      <c r="B103" s="1" t="n">
        <v>46057.40902777778</v>
      </c>
      <c r="C103" s="1" t="n">
        <v>46108</v>
      </c>
      <c r="D103" t="inlineStr">
        <is>
          <t>GOTLANDS LÄN</t>
        </is>
      </c>
      <c r="E103" t="inlineStr">
        <is>
          <t>GOTLAND</t>
        </is>
      </c>
      <c r="G103" t="n">
        <v>3.8</v>
      </c>
      <c r="H103" t="n">
        <v>1</v>
      </c>
      <c r="I103" t="n">
        <v>3</v>
      </c>
      <c r="J103" t="n">
        <v>0</v>
      </c>
      <c r="K103" t="n">
        <v>1</v>
      </c>
      <c r="L103" t="n">
        <v>0</v>
      </c>
      <c r="M103" t="n">
        <v>0</v>
      </c>
      <c r="N103" t="n">
        <v>0</v>
      </c>
      <c r="O103" t="n">
        <v>1</v>
      </c>
      <c r="P103" t="n">
        <v>1</v>
      </c>
      <c r="Q103" t="n">
        <v>4</v>
      </c>
      <c r="R103" s="2" t="inlineStr">
        <is>
          <t>Knärot
Fransig jordstjärna
Rödgul trumpetsvamp
Svavelriska</t>
        </is>
      </c>
      <c r="S103">
        <f>HYPERLINK("https://klasma.github.io/Logging_0980/artfynd/A 6836-2026 artfynd.xlsx", "A 6836-2026")</f>
        <v/>
      </c>
      <c r="T103">
        <f>HYPERLINK("https://klasma.github.io/Logging_0980/kartor/A 6836-2026 karta.png", "A 6836-2026")</f>
        <v/>
      </c>
      <c r="U103">
        <f>HYPERLINK("https://klasma.github.io/Logging_0980/knärot/A 6836-2026 karta knärot.png", "A 6836-2026")</f>
        <v/>
      </c>
      <c r="V103">
        <f>HYPERLINK("https://klasma.github.io/Logging_0980/klagomål/A 6836-2026 FSC-klagomål.docx", "A 6836-2026")</f>
        <v/>
      </c>
      <c r="W103">
        <f>HYPERLINK("https://klasma.github.io/Logging_0980/klagomålsmail/A 6836-2026 FSC-klagomål mail.docx", "A 6836-2026")</f>
        <v/>
      </c>
      <c r="X103">
        <f>HYPERLINK("https://klasma.github.io/Logging_0980/tillsyn/A 6836-2026 tillsynsbegäran.docx", "A 6836-2026")</f>
        <v/>
      </c>
      <c r="Y103">
        <f>HYPERLINK("https://klasma.github.io/Logging_0980/tillsynsmail/A 6836-2026 tillsynsbegäran mail.docx", "A 6836-2026")</f>
        <v/>
      </c>
    </row>
    <row r="104" ht="15" customHeight="1">
      <c r="A104" t="inlineStr">
        <is>
          <t>A 20833-2024</t>
        </is>
      </c>
      <c r="B104" s="1" t="n">
        <v>45439</v>
      </c>
      <c r="C104" s="1" t="n">
        <v>46108</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8265-2023</t>
        </is>
      </c>
      <c r="B105" s="1" t="n">
        <v>44974</v>
      </c>
      <c r="C105" s="1" t="n">
        <v>46108</v>
      </c>
      <c r="D105" t="inlineStr">
        <is>
          <t>GOTLANDS LÄN</t>
        </is>
      </c>
      <c r="E105" t="inlineStr">
        <is>
          <t>GOTLAND</t>
        </is>
      </c>
      <c r="G105" t="n">
        <v>3.3</v>
      </c>
      <c r="H105" t="n">
        <v>4</v>
      </c>
      <c r="I105" t="n">
        <v>3</v>
      </c>
      <c r="J105" t="n">
        <v>0</v>
      </c>
      <c r="K105" t="n">
        <v>0</v>
      </c>
      <c r="L105" t="n">
        <v>0</v>
      </c>
      <c r="M105" t="n">
        <v>0</v>
      </c>
      <c r="N105" t="n">
        <v>0</v>
      </c>
      <c r="O105" t="n">
        <v>0</v>
      </c>
      <c r="P105" t="n">
        <v>0</v>
      </c>
      <c r="Q105" t="n">
        <v>4</v>
      </c>
      <c r="R105" s="2" t="inlineStr">
        <is>
          <t>Flugblomster
Purpurknipprot
Tvåblad
Salepsrot</t>
        </is>
      </c>
      <c r="S105">
        <f>HYPERLINK("https://klasma.github.io/Logging_0980/artfynd/A 8265-2023 artfynd.xlsx", "A 8265-2023")</f>
        <v/>
      </c>
      <c r="T105">
        <f>HYPERLINK("https://klasma.github.io/Logging_0980/kartor/A 8265-2023 karta.png", "A 8265-2023")</f>
        <v/>
      </c>
      <c r="V105">
        <f>HYPERLINK("https://klasma.github.io/Logging_0980/klagomål/A 8265-2023 FSC-klagomål.docx", "A 8265-2023")</f>
        <v/>
      </c>
      <c r="W105">
        <f>HYPERLINK("https://klasma.github.io/Logging_0980/klagomålsmail/A 8265-2023 FSC-klagomål mail.docx", "A 8265-2023")</f>
        <v/>
      </c>
      <c r="X105">
        <f>HYPERLINK("https://klasma.github.io/Logging_0980/tillsyn/A 8265-2023 tillsynsbegäran.docx", "A 8265-2023")</f>
        <v/>
      </c>
      <c r="Y105">
        <f>HYPERLINK("https://klasma.github.io/Logging_0980/tillsynsmail/A 8265-2023 tillsynsbegäran mail.docx", "A 8265-2023")</f>
        <v/>
      </c>
    </row>
    <row r="106" ht="15" customHeight="1">
      <c r="A106" t="inlineStr">
        <is>
          <t>A 44323-2021</t>
        </is>
      </c>
      <c r="B106" s="1" t="n">
        <v>44434</v>
      </c>
      <c r="C106" s="1" t="n">
        <v>46108</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46108</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46108</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13499-2022</t>
        </is>
      </c>
      <c r="B109" s="1" t="n">
        <v>44647.79203703703</v>
      </c>
      <c r="C109" s="1" t="n">
        <v>46108</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46108</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43013-2022</t>
        </is>
      </c>
      <c r="B111" s="1" t="n">
        <v>44833</v>
      </c>
      <c r="C111" s="1" t="n">
        <v>46108</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73144-2021</t>
        </is>
      </c>
      <c r="B112" s="1" t="n">
        <v>44550</v>
      </c>
      <c r="C112" s="1" t="n">
        <v>46108</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48126-2022</t>
        </is>
      </c>
      <c r="B113" s="1" t="n">
        <v>44857</v>
      </c>
      <c r="C113" s="1" t="n">
        <v>46108</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46108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46108</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46108</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46108</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46108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30490-2025</t>
        </is>
      </c>
      <c r="B119" s="1" t="n">
        <v>45830</v>
      </c>
      <c r="C119" s="1" t="n">
        <v>46108</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53552-2021</t>
        </is>
      </c>
      <c r="B120" s="1" t="n">
        <v>44468</v>
      </c>
      <c r="C120" s="1" t="n">
        <v>46108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20831-2024</t>
        </is>
      </c>
      <c r="B122" s="1" t="n">
        <v>45439</v>
      </c>
      <c r="C122" s="1" t="n">
        <v>46108</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46108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46108</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46108</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46108</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46108</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28276-2024</t>
        </is>
      </c>
      <c r="B128" s="1" t="n">
        <v>45477</v>
      </c>
      <c r="C128" s="1" t="n">
        <v>46108</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28276-2024 artfynd.xlsx", "A 28276-2024")</f>
        <v/>
      </c>
      <c r="T128">
        <f>HYPERLINK("https://klasma.github.io/Logging_0980/kartor/A 28276-2024 karta.png", "A 28276-2024")</f>
        <v/>
      </c>
      <c r="V128">
        <f>HYPERLINK("https://klasma.github.io/Logging_0980/klagomål/A 28276-2024 FSC-klagomål.docx", "A 28276-2024")</f>
        <v/>
      </c>
      <c r="W128">
        <f>HYPERLINK("https://klasma.github.io/Logging_0980/klagomålsmail/A 28276-2024 FSC-klagomål mail.docx", "A 28276-2024")</f>
        <v/>
      </c>
      <c r="X128">
        <f>HYPERLINK("https://klasma.github.io/Logging_0980/tillsyn/A 28276-2024 tillsynsbegäran.docx", "A 28276-2024")</f>
        <v/>
      </c>
      <c r="Y128">
        <f>HYPERLINK("https://klasma.github.io/Logging_0980/tillsynsmail/A 28276-2024 tillsynsbegäran mail.docx", "A 28276-2024")</f>
        <v/>
      </c>
    </row>
    <row r="129" ht="15" customHeight="1">
      <c r="A129" t="inlineStr">
        <is>
          <t>A 28261-2024</t>
        </is>
      </c>
      <c r="B129" s="1" t="n">
        <v>45477</v>
      </c>
      <c r="C129" s="1" t="n">
        <v>46108</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46108</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46108</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20429-2025</t>
        </is>
      </c>
      <c r="B132" s="1" t="n">
        <v>45775.47728009259</v>
      </c>
      <c r="C132" s="1" t="n">
        <v>46108</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12914-2025</t>
        </is>
      </c>
      <c r="B133" s="1" t="n">
        <v>45733</v>
      </c>
      <c r="C133" s="1" t="n">
        <v>46108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21879-2025</t>
        </is>
      </c>
      <c r="B134" s="1" t="n">
        <v>45784.40533564815</v>
      </c>
      <c r="C134" s="1" t="n">
        <v>46108</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54357-2024</t>
        </is>
      </c>
      <c r="B135" s="1" t="n">
        <v>45617.40662037037</v>
      </c>
      <c r="C135" s="1" t="n">
        <v>46108</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46108</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63162-2025</t>
        </is>
      </c>
      <c r="B137" s="1" t="n">
        <v>46010.37629629629</v>
      </c>
      <c r="C137" s="1" t="n">
        <v>46108</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26077-2024</t>
        </is>
      </c>
      <c r="B138" s="1" t="n">
        <v>45467</v>
      </c>
      <c r="C138" s="1" t="n">
        <v>46108</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62760-2025</t>
        </is>
      </c>
      <c r="B139" s="1" t="n">
        <v>46008</v>
      </c>
      <c r="C139" s="1" t="n">
        <v>46108</v>
      </c>
      <c r="D139" t="inlineStr">
        <is>
          <t>GOTLANDS LÄN</t>
        </is>
      </c>
      <c r="E139" t="inlineStr">
        <is>
          <t>GOTLAND</t>
        </is>
      </c>
      <c r="F139" t="inlineStr">
        <is>
          <t>Övriga Aktiebolag</t>
        </is>
      </c>
      <c r="G139" t="n">
        <v>4.6</v>
      </c>
      <c r="H139" t="n">
        <v>1</v>
      </c>
      <c r="I139" t="n">
        <v>2</v>
      </c>
      <c r="J139" t="n">
        <v>0</v>
      </c>
      <c r="K139" t="n">
        <v>0</v>
      </c>
      <c r="L139" t="n">
        <v>0</v>
      </c>
      <c r="M139" t="n">
        <v>0</v>
      </c>
      <c r="N139" t="n">
        <v>0</v>
      </c>
      <c r="O139" t="n">
        <v>0</v>
      </c>
      <c r="P139" t="n">
        <v>0</v>
      </c>
      <c r="Q139" t="n">
        <v>2</v>
      </c>
      <c r="R139" s="2" t="inlineStr">
        <is>
          <t>Nästrot
Vårärt</t>
        </is>
      </c>
      <c r="S139">
        <f>HYPERLINK("https://klasma.github.io/Logging_0980/artfynd/A 62760-2025 artfynd.xlsx", "A 62760-2025")</f>
        <v/>
      </c>
      <c r="T139">
        <f>HYPERLINK("https://klasma.github.io/Logging_0980/kartor/A 62760-2025 karta.png", "A 62760-2025")</f>
        <v/>
      </c>
      <c r="V139">
        <f>HYPERLINK("https://klasma.github.io/Logging_0980/klagomål/A 62760-2025 FSC-klagomål.docx", "A 62760-2025")</f>
        <v/>
      </c>
      <c r="W139">
        <f>HYPERLINK("https://klasma.github.io/Logging_0980/klagomålsmail/A 62760-2025 FSC-klagomål mail.docx", "A 62760-2025")</f>
        <v/>
      </c>
      <c r="X139">
        <f>HYPERLINK("https://klasma.github.io/Logging_0980/tillsyn/A 62760-2025 tillsynsbegäran.docx", "A 62760-2025")</f>
        <v/>
      </c>
      <c r="Y139">
        <f>HYPERLINK("https://klasma.github.io/Logging_0980/tillsynsmail/A 62760-2025 tillsynsbegäran mail.docx", "A 62760-2025")</f>
        <v/>
      </c>
    </row>
    <row r="140" ht="15" customHeight="1">
      <c r="A140" t="inlineStr">
        <is>
          <t>A 43219-2023</t>
        </is>
      </c>
      <c r="B140" s="1" t="n">
        <v>45183</v>
      </c>
      <c r="C140" s="1" t="n">
        <v>46108</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46362-2021</t>
        </is>
      </c>
      <c r="B141" s="1" t="n">
        <v>44442</v>
      </c>
      <c r="C141" s="1" t="n">
        <v>46108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49847-2023</t>
        </is>
      </c>
      <c r="B142" s="1" t="n">
        <v>45212</v>
      </c>
      <c r="C142" s="1" t="n">
        <v>46108</v>
      </c>
      <c r="D142" t="inlineStr">
        <is>
          <t>GOTLANDS LÄN</t>
        </is>
      </c>
      <c r="E142" t="inlineStr">
        <is>
          <t>GOTLAND</t>
        </is>
      </c>
      <c r="G142" t="n">
        <v>35.2</v>
      </c>
      <c r="H142" t="n">
        <v>0</v>
      </c>
      <c r="I142" t="n">
        <v>0</v>
      </c>
      <c r="J142" t="n">
        <v>0</v>
      </c>
      <c r="K142" t="n">
        <v>1</v>
      </c>
      <c r="L142" t="n">
        <v>0</v>
      </c>
      <c r="M142" t="n">
        <v>0</v>
      </c>
      <c r="N142" t="n">
        <v>0</v>
      </c>
      <c r="O142" t="n">
        <v>1</v>
      </c>
      <c r="P142" t="n">
        <v>1</v>
      </c>
      <c r="Q142" t="n">
        <v>1</v>
      </c>
      <c r="R142" s="2" t="inlineStr">
        <is>
          <t>Strandviol</t>
        </is>
      </c>
      <c r="S142">
        <f>HYPERLINK("https://klasma.github.io/Logging_0980/artfynd/A 49847-2023 artfynd.xlsx", "A 49847-2023")</f>
        <v/>
      </c>
      <c r="T142">
        <f>HYPERLINK("https://klasma.github.io/Logging_0980/kartor/A 49847-2023 karta.png", "A 49847-2023")</f>
        <v/>
      </c>
      <c r="V142">
        <f>HYPERLINK("https://klasma.github.io/Logging_0980/klagomål/A 49847-2023 FSC-klagomål.docx", "A 49847-2023")</f>
        <v/>
      </c>
      <c r="W142">
        <f>HYPERLINK("https://klasma.github.io/Logging_0980/klagomålsmail/A 49847-2023 FSC-klagomål mail.docx", "A 49847-2023")</f>
        <v/>
      </c>
      <c r="X142">
        <f>HYPERLINK("https://klasma.github.io/Logging_0980/tillsyn/A 49847-2023 tillsynsbegäran.docx", "A 49847-2023")</f>
        <v/>
      </c>
      <c r="Y142">
        <f>HYPERLINK("https://klasma.github.io/Logging_0980/tillsynsmail/A 49847-2023 tillsynsbegäran mail.docx", "A 49847-2023")</f>
        <v/>
      </c>
    </row>
    <row r="143" ht="15" customHeight="1">
      <c r="A143" t="inlineStr">
        <is>
          <t>A 44308-2021</t>
        </is>
      </c>
      <c r="B143" s="1" t="n">
        <v>44434</v>
      </c>
      <c r="C143" s="1" t="n">
        <v>46108</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39812-2025</t>
        </is>
      </c>
      <c r="B144" s="1" t="n">
        <v>45891</v>
      </c>
      <c r="C144" s="1" t="n">
        <v>46108</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46527-2023</t>
        </is>
      </c>
      <c r="B145" s="1" t="n">
        <v>45197</v>
      </c>
      <c r="C145" s="1" t="n">
        <v>46108</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24245-2022</t>
        </is>
      </c>
      <c r="B146" s="1" t="n">
        <v>44725</v>
      </c>
      <c r="C146" s="1" t="n">
        <v>46108</v>
      </c>
      <c r="D146" t="inlineStr">
        <is>
          <t>GOTLANDS LÄN</t>
        </is>
      </c>
      <c r="E146" t="inlineStr">
        <is>
          <t>GOTLAND</t>
        </is>
      </c>
      <c r="G146" t="n">
        <v>4.9</v>
      </c>
      <c r="H146" t="n">
        <v>0</v>
      </c>
      <c r="I146" t="n">
        <v>0</v>
      </c>
      <c r="J146" t="n">
        <v>0</v>
      </c>
      <c r="K146" t="n">
        <v>0</v>
      </c>
      <c r="L146" t="n">
        <v>1</v>
      </c>
      <c r="M146" t="n">
        <v>0</v>
      </c>
      <c r="N146" t="n">
        <v>0</v>
      </c>
      <c r="O146" t="n">
        <v>1</v>
      </c>
      <c r="P146" t="n">
        <v>1</v>
      </c>
      <c r="Q146" t="n">
        <v>1</v>
      </c>
      <c r="R146" s="2" t="inlineStr">
        <is>
          <t>Slät taggsvamp</t>
        </is>
      </c>
      <c r="S146">
        <f>HYPERLINK("https://klasma.github.io/Logging_0980/artfynd/A 24245-2022 artfynd.xlsx", "A 24245-2022")</f>
        <v/>
      </c>
      <c r="T146">
        <f>HYPERLINK("https://klasma.github.io/Logging_0980/kartor/A 24245-2022 karta.png", "A 24245-2022")</f>
        <v/>
      </c>
      <c r="V146">
        <f>HYPERLINK("https://klasma.github.io/Logging_0980/klagomål/A 24245-2022 FSC-klagomål.docx", "A 24245-2022")</f>
        <v/>
      </c>
      <c r="W146">
        <f>HYPERLINK("https://klasma.github.io/Logging_0980/klagomålsmail/A 24245-2022 FSC-klagomål mail.docx", "A 24245-2022")</f>
        <v/>
      </c>
      <c r="X146">
        <f>HYPERLINK("https://klasma.github.io/Logging_0980/tillsyn/A 24245-2022 tillsynsbegäran.docx", "A 24245-2022")</f>
        <v/>
      </c>
      <c r="Y146">
        <f>HYPERLINK("https://klasma.github.io/Logging_0980/tillsynsmail/A 24245-2022 tillsynsbegäran mail.docx", "A 24245-2022")</f>
        <v/>
      </c>
    </row>
    <row r="147" ht="15" customHeight="1">
      <c r="A147" t="inlineStr">
        <is>
          <t>A 22883-2024</t>
        </is>
      </c>
      <c r="B147" s="1" t="n">
        <v>45448.66368055555</v>
      </c>
      <c r="C147" s="1" t="n">
        <v>46108</v>
      </c>
      <c r="D147" t="inlineStr">
        <is>
          <t>GOTLANDS LÄN</t>
        </is>
      </c>
      <c r="E147" t="inlineStr">
        <is>
          <t>GOTLAND</t>
        </is>
      </c>
      <c r="G147" t="n">
        <v>0.5</v>
      </c>
      <c r="H147" t="n">
        <v>0</v>
      </c>
      <c r="I147" t="n">
        <v>0</v>
      </c>
      <c r="J147" t="n">
        <v>0</v>
      </c>
      <c r="K147" t="n">
        <v>1</v>
      </c>
      <c r="L147" t="n">
        <v>0</v>
      </c>
      <c r="M147" t="n">
        <v>0</v>
      </c>
      <c r="N147" t="n">
        <v>0</v>
      </c>
      <c r="O147" t="n">
        <v>1</v>
      </c>
      <c r="P147" t="n">
        <v>1</v>
      </c>
      <c r="Q147" t="n">
        <v>1</v>
      </c>
      <c r="R147" s="2" t="inlineStr">
        <is>
          <t>Gotlandsmåra</t>
        </is>
      </c>
      <c r="S147">
        <f>HYPERLINK("https://klasma.github.io/Logging_0980/artfynd/A 22883-2024 artfynd.xlsx", "A 22883-2024")</f>
        <v/>
      </c>
      <c r="T147">
        <f>HYPERLINK("https://klasma.github.io/Logging_0980/kartor/A 22883-2024 karta.png", "A 22883-2024")</f>
        <v/>
      </c>
      <c r="V147">
        <f>HYPERLINK("https://klasma.github.io/Logging_0980/klagomål/A 22883-2024 FSC-klagomål.docx", "A 22883-2024")</f>
        <v/>
      </c>
      <c r="W147">
        <f>HYPERLINK("https://klasma.github.io/Logging_0980/klagomålsmail/A 22883-2024 FSC-klagomål mail.docx", "A 22883-2024")</f>
        <v/>
      </c>
      <c r="X147">
        <f>HYPERLINK("https://klasma.github.io/Logging_0980/tillsyn/A 22883-2024 tillsynsbegäran.docx", "A 22883-2024")</f>
        <v/>
      </c>
      <c r="Y147">
        <f>HYPERLINK("https://klasma.github.io/Logging_0980/tillsynsmail/A 22883-2024 tillsynsbegäran mail.docx", "A 22883-2024")</f>
        <v/>
      </c>
    </row>
    <row r="148" ht="15" customHeight="1">
      <c r="A148" t="inlineStr">
        <is>
          <t>A 17723-2021</t>
        </is>
      </c>
      <c r="B148" s="1" t="n">
        <v>44300</v>
      </c>
      <c r="C148" s="1" t="n">
        <v>46108</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35467-2021</t>
        </is>
      </c>
      <c r="B149" s="1" t="n">
        <v>44385</v>
      </c>
      <c r="C149" s="1" t="n">
        <v>46108</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46108</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6303-2024</t>
        </is>
      </c>
      <c r="B151" s="1" t="n">
        <v>45338.35376157407</v>
      </c>
      <c r="C151" s="1" t="n">
        <v>46108</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46108</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46108</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46108</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10995-2023</t>
        </is>
      </c>
      <c r="B155" s="1" t="n">
        <v>44986</v>
      </c>
      <c r="C155" s="1" t="n">
        <v>46108</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49726-2025</t>
        </is>
      </c>
      <c r="B156" s="1" t="n">
        <v>45939.84466435185</v>
      </c>
      <c r="C156" s="1" t="n">
        <v>46108</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63576-2021</t>
        </is>
      </c>
      <c r="B157" s="1" t="n">
        <v>44508</v>
      </c>
      <c r="C157" s="1" t="n">
        <v>46108</v>
      </c>
      <c r="D157" t="inlineStr">
        <is>
          <t>GOTLANDS LÄN</t>
        </is>
      </c>
      <c r="E157" t="inlineStr">
        <is>
          <t>GOTLAND</t>
        </is>
      </c>
      <c r="F157" t="inlineStr">
        <is>
          <t>Kyrkan</t>
        </is>
      </c>
      <c r="G157" t="n">
        <v>4.1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63576-2021 artfynd.xlsx", "A 63576-2021")</f>
        <v/>
      </c>
      <c r="T157">
        <f>HYPERLINK("https://klasma.github.io/Logging_0980/kartor/A 63576-2021 karta.png", "A 63576-2021")</f>
        <v/>
      </c>
      <c r="V157">
        <f>HYPERLINK("https://klasma.github.io/Logging_0980/klagomål/A 63576-2021 FSC-klagomål.docx", "A 63576-2021")</f>
        <v/>
      </c>
      <c r="W157">
        <f>HYPERLINK("https://klasma.github.io/Logging_0980/klagomålsmail/A 63576-2021 FSC-klagomål mail.docx", "A 63576-2021")</f>
        <v/>
      </c>
      <c r="X157">
        <f>HYPERLINK("https://klasma.github.io/Logging_0980/tillsyn/A 63576-2021 tillsynsbegäran.docx", "A 63576-2021")</f>
        <v/>
      </c>
      <c r="Y157">
        <f>HYPERLINK("https://klasma.github.io/Logging_0980/tillsynsmail/A 63576-2021 tillsynsbegäran mail.docx", "A 63576-2021")</f>
        <v/>
      </c>
    </row>
    <row r="158" ht="15" customHeight="1">
      <c r="A158" t="inlineStr">
        <is>
          <t>A 65927-2021</t>
        </is>
      </c>
      <c r="B158" s="1" t="n">
        <v>44516</v>
      </c>
      <c r="C158" s="1" t="n">
        <v>46108</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46108</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21466-2025</t>
        </is>
      </c>
      <c r="B160" s="1" t="n">
        <v>45782</v>
      </c>
      <c r="C160" s="1" t="n">
        <v>46108</v>
      </c>
      <c r="D160" t="inlineStr">
        <is>
          <t>GOTLANDS LÄN</t>
        </is>
      </c>
      <c r="E160" t="inlineStr">
        <is>
          <t>GOTLAND</t>
        </is>
      </c>
      <c r="F160" t="inlineStr">
        <is>
          <t>Övriga statliga verk och myndigheter</t>
        </is>
      </c>
      <c r="G160" t="n">
        <v>1.7</v>
      </c>
      <c r="H160" t="n">
        <v>1</v>
      </c>
      <c r="I160" t="n">
        <v>0</v>
      </c>
      <c r="J160" t="n">
        <v>0</v>
      </c>
      <c r="K160" t="n">
        <v>0</v>
      </c>
      <c r="L160" t="n">
        <v>0</v>
      </c>
      <c r="M160" t="n">
        <v>0</v>
      </c>
      <c r="N160" t="n">
        <v>0</v>
      </c>
      <c r="O160" t="n">
        <v>0</v>
      </c>
      <c r="P160" t="n">
        <v>0</v>
      </c>
      <c r="Q160" t="n">
        <v>1</v>
      </c>
      <c r="R160" s="2" t="inlineStr">
        <is>
          <t>Blåsippa</t>
        </is>
      </c>
      <c r="S160">
        <f>HYPERLINK("https://klasma.github.io/Logging_0980/artfynd/A 21466-2025 artfynd.xlsx", "A 21466-2025")</f>
        <v/>
      </c>
      <c r="T160">
        <f>HYPERLINK("https://klasma.github.io/Logging_0980/kartor/A 21466-2025 karta.png", "A 21466-2025")</f>
        <v/>
      </c>
      <c r="V160">
        <f>HYPERLINK("https://klasma.github.io/Logging_0980/klagomål/A 21466-2025 FSC-klagomål.docx", "A 21466-2025")</f>
        <v/>
      </c>
      <c r="W160">
        <f>HYPERLINK("https://klasma.github.io/Logging_0980/klagomålsmail/A 21466-2025 FSC-klagomål mail.docx", "A 21466-2025")</f>
        <v/>
      </c>
      <c r="X160">
        <f>HYPERLINK("https://klasma.github.io/Logging_0980/tillsyn/A 21466-2025 tillsynsbegäran.docx", "A 21466-2025")</f>
        <v/>
      </c>
      <c r="Y160">
        <f>HYPERLINK("https://klasma.github.io/Logging_0980/tillsynsmail/A 21466-2025 tillsynsbegäran mail.docx", "A 21466-2025")</f>
        <v/>
      </c>
    </row>
    <row r="161" ht="15" customHeight="1">
      <c r="A161" t="inlineStr">
        <is>
          <t>A 61561-2023</t>
        </is>
      </c>
      <c r="B161" s="1" t="n">
        <v>45265</v>
      </c>
      <c r="C161" s="1" t="n">
        <v>46108</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10440-2024</t>
        </is>
      </c>
      <c r="B162" s="1" t="n">
        <v>45366.32818287037</v>
      </c>
      <c r="C162" s="1" t="n">
        <v>46108</v>
      </c>
      <c r="D162" t="inlineStr">
        <is>
          <t>GOTLANDS LÄN</t>
        </is>
      </c>
      <c r="E162" t="inlineStr">
        <is>
          <t>GOTLAND</t>
        </is>
      </c>
      <c r="G162" t="n">
        <v>2.5</v>
      </c>
      <c r="H162" t="n">
        <v>1</v>
      </c>
      <c r="I162" t="n">
        <v>0</v>
      </c>
      <c r="J162" t="n">
        <v>1</v>
      </c>
      <c r="K162" t="n">
        <v>0</v>
      </c>
      <c r="L162" t="n">
        <v>0</v>
      </c>
      <c r="M162" t="n">
        <v>0</v>
      </c>
      <c r="N162" t="n">
        <v>0</v>
      </c>
      <c r="O162" t="n">
        <v>1</v>
      </c>
      <c r="P162" t="n">
        <v>0</v>
      </c>
      <c r="Q162" t="n">
        <v>1</v>
      </c>
      <c r="R162" s="2" t="inlineStr">
        <is>
          <t>Mindre hackspett</t>
        </is>
      </c>
      <c r="S162">
        <f>HYPERLINK("https://klasma.github.io/Logging_0980/artfynd/A 10440-2024 artfynd.xlsx", "A 10440-2024")</f>
        <v/>
      </c>
      <c r="T162">
        <f>HYPERLINK("https://klasma.github.io/Logging_0980/kartor/A 10440-2024 karta.png", "A 10440-2024")</f>
        <v/>
      </c>
      <c r="V162">
        <f>HYPERLINK("https://klasma.github.io/Logging_0980/klagomål/A 10440-2024 FSC-klagomål.docx", "A 10440-2024")</f>
        <v/>
      </c>
      <c r="W162">
        <f>HYPERLINK("https://klasma.github.io/Logging_0980/klagomålsmail/A 10440-2024 FSC-klagomål mail.docx", "A 10440-2024")</f>
        <v/>
      </c>
      <c r="X162">
        <f>HYPERLINK("https://klasma.github.io/Logging_0980/tillsyn/A 10440-2024 tillsynsbegäran.docx", "A 10440-2024")</f>
        <v/>
      </c>
      <c r="Y162">
        <f>HYPERLINK("https://klasma.github.io/Logging_0980/tillsynsmail/A 10440-2024 tillsynsbegäran mail.docx", "A 10440-2024")</f>
        <v/>
      </c>
      <c r="Z162">
        <f>HYPERLINK("https://klasma.github.io/Logging_0980/fåglar/A 10440-2024 prioriterade fågelarter.docx", "A 10440-2024")</f>
        <v/>
      </c>
    </row>
    <row r="163" ht="15" customHeight="1">
      <c r="A163" t="inlineStr">
        <is>
          <t>A 12324-2025</t>
        </is>
      </c>
      <c r="B163" s="1" t="n">
        <v>45730</v>
      </c>
      <c r="C163" s="1" t="n">
        <v>46108</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2476-2025</t>
        </is>
      </c>
      <c r="B164" s="1" t="n">
        <v>45673</v>
      </c>
      <c r="C164" s="1" t="n">
        <v>46108</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44304-2021</t>
        </is>
      </c>
      <c r="B165" s="1" t="n">
        <v>44434</v>
      </c>
      <c r="C165" s="1" t="n">
        <v>46108</v>
      </c>
      <c r="D165" t="inlineStr">
        <is>
          <t>GOTLANDS LÄN</t>
        </is>
      </c>
      <c r="E165" t="inlineStr">
        <is>
          <t>GOTLAND</t>
        </is>
      </c>
      <c r="G165" t="n">
        <v>5.8</v>
      </c>
      <c r="H165" t="n">
        <v>0</v>
      </c>
      <c r="I165" t="n">
        <v>0</v>
      </c>
      <c r="J165" t="n">
        <v>1</v>
      </c>
      <c r="K165" t="n">
        <v>0</v>
      </c>
      <c r="L165" t="n">
        <v>0</v>
      </c>
      <c r="M165" t="n">
        <v>0</v>
      </c>
      <c r="N165" t="n">
        <v>0</v>
      </c>
      <c r="O165" t="n">
        <v>1</v>
      </c>
      <c r="P165" t="n">
        <v>0</v>
      </c>
      <c r="Q165" t="n">
        <v>1</v>
      </c>
      <c r="R165" s="2" t="inlineStr">
        <is>
          <t>Svinrot</t>
        </is>
      </c>
      <c r="S165">
        <f>HYPERLINK("https://klasma.github.io/Logging_0980/artfynd/A 44304-2021 artfynd.xlsx", "A 44304-2021")</f>
        <v/>
      </c>
      <c r="T165">
        <f>HYPERLINK("https://klasma.github.io/Logging_0980/kartor/A 44304-2021 karta.png", "A 44304-2021")</f>
        <v/>
      </c>
      <c r="V165">
        <f>HYPERLINK("https://klasma.github.io/Logging_0980/klagomål/A 44304-2021 FSC-klagomål.docx", "A 44304-2021")</f>
        <v/>
      </c>
      <c r="W165">
        <f>HYPERLINK("https://klasma.github.io/Logging_0980/klagomålsmail/A 44304-2021 FSC-klagomål mail.docx", "A 44304-2021")</f>
        <v/>
      </c>
      <c r="X165">
        <f>HYPERLINK("https://klasma.github.io/Logging_0980/tillsyn/A 44304-2021 tillsynsbegäran.docx", "A 44304-2021")</f>
        <v/>
      </c>
      <c r="Y165">
        <f>HYPERLINK("https://klasma.github.io/Logging_0980/tillsynsmail/A 44304-2021 tillsynsbegäran mail.docx", "A 44304-2021")</f>
        <v/>
      </c>
    </row>
    <row r="166" ht="15" customHeight="1">
      <c r="A166" t="inlineStr">
        <is>
          <t>A 447-2023</t>
        </is>
      </c>
      <c r="B166" s="1" t="n">
        <v>44929</v>
      </c>
      <c r="C166" s="1" t="n">
        <v>46108</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34809-2024</t>
        </is>
      </c>
      <c r="B167" s="1" t="n">
        <v>45526</v>
      </c>
      <c r="C167" s="1" t="n">
        <v>46108</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26461-2025</t>
        </is>
      </c>
      <c r="B168" s="1" t="n">
        <v>45807.43337962963</v>
      </c>
      <c r="C168" s="1" t="n">
        <v>46108</v>
      </c>
      <c r="D168" t="inlineStr">
        <is>
          <t>GOTLANDS LÄN</t>
        </is>
      </c>
      <c r="E168" t="inlineStr">
        <is>
          <t>GOTLAND</t>
        </is>
      </c>
      <c r="G168" t="n">
        <v>4.1</v>
      </c>
      <c r="H168" t="n">
        <v>0</v>
      </c>
      <c r="I168" t="n">
        <v>0</v>
      </c>
      <c r="J168" t="n">
        <v>0</v>
      </c>
      <c r="K168" t="n">
        <v>1</v>
      </c>
      <c r="L168" t="n">
        <v>0</v>
      </c>
      <c r="M168" t="n">
        <v>0</v>
      </c>
      <c r="N168" t="n">
        <v>0</v>
      </c>
      <c r="O168" t="n">
        <v>1</v>
      </c>
      <c r="P168" t="n">
        <v>1</v>
      </c>
      <c r="Q168" t="n">
        <v>1</v>
      </c>
      <c r="R168" s="2" t="inlineStr">
        <is>
          <t>Gotlandsmåra</t>
        </is>
      </c>
      <c r="S168">
        <f>HYPERLINK("https://klasma.github.io/Logging_0980/artfynd/A 26461-2025 artfynd.xlsx", "A 26461-2025")</f>
        <v/>
      </c>
      <c r="T168">
        <f>HYPERLINK("https://klasma.github.io/Logging_0980/kartor/A 26461-2025 karta.png", "A 26461-2025")</f>
        <v/>
      </c>
      <c r="V168">
        <f>HYPERLINK("https://klasma.github.io/Logging_0980/klagomål/A 26461-2025 FSC-klagomål.docx", "A 26461-2025")</f>
        <v/>
      </c>
      <c r="W168">
        <f>HYPERLINK("https://klasma.github.io/Logging_0980/klagomålsmail/A 26461-2025 FSC-klagomål mail.docx", "A 26461-2025")</f>
        <v/>
      </c>
      <c r="X168">
        <f>HYPERLINK("https://klasma.github.io/Logging_0980/tillsyn/A 26461-2025 tillsynsbegäran.docx", "A 26461-2025")</f>
        <v/>
      </c>
      <c r="Y168">
        <f>HYPERLINK("https://klasma.github.io/Logging_0980/tillsynsmail/A 26461-2025 tillsynsbegäran mail.docx", "A 26461-2025")</f>
        <v/>
      </c>
    </row>
    <row r="169" ht="15" customHeight="1">
      <c r="A169" t="inlineStr">
        <is>
          <t>A 63149-2025</t>
        </is>
      </c>
      <c r="B169" s="1" t="n">
        <v>46010</v>
      </c>
      <c r="C169" s="1" t="n">
        <v>46108</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49304-2024</t>
        </is>
      </c>
      <c r="B170" s="1" t="n">
        <v>45595.54996527778</v>
      </c>
      <c r="C170" s="1" t="n">
        <v>46108</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46108</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11708-2026</t>
        </is>
      </c>
      <c r="B172" s="1" t="n">
        <v>46084</v>
      </c>
      <c r="C172" s="1" t="n">
        <v>46108</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44088-2022</t>
        </is>
      </c>
      <c r="B173" s="1" t="n">
        <v>44839</v>
      </c>
      <c r="C173" s="1" t="n">
        <v>46108</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10013-2026</t>
        </is>
      </c>
      <c r="B174" s="1" t="n">
        <v>46073</v>
      </c>
      <c r="C174" s="1" t="n">
        <v>46108</v>
      </c>
      <c r="D174" t="inlineStr">
        <is>
          <t>GOTLANDS LÄN</t>
        </is>
      </c>
      <c r="E174" t="inlineStr">
        <is>
          <t>GOTLAND</t>
        </is>
      </c>
      <c r="G174" t="n">
        <v>10.5</v>
      </c>
      <c r="H174" t="n">
        <v>0</v>
      </c>
      <c r="I174" t="n">
        <v>0</v>
      </c>
      <c r="J174" t="n">
        <v>0</v>
      </c>
      <c r="K174" t="n">
        <v>1</v>
      </c>
      <c r="L174" t="n">
        <v>0</v>
      </c>
      <c r="M174" t="n">
        <v>0</v>
      </c>
      <c r="N174" t="n">
        <v>0</v>
      </c>
      <c r="O174" t="n">
        <v>1</v>
      </c>
      <c r="P174" t="n">
        <v>1</v>
      </c>
      <c r="Q174" t="n">
        <v>1</v>
      </c>
      <c r="R174" s="2" t="inlineStr">
        <is>
          <t>Skogskorn</t>
        </is>
      </c>
      <c r="S174">
        <f>HYPERLINK("https://klasma.github.io/Logging_0980/artfynd/A 10013-2026 artfynd.xlsx", "A 10013-2026")</f>
        <v/>
      </c>
      <c r="T174">
        <f>HYPERLINK("https://klasma.github.io/Logging_0980/kartor/A 10013-2026 karta.png", "A 10013-2026")</f>
        <v/>
      </c>
      <c r="V174">
        <f>HYPERLINK("https://klasma.github.io/Logging_0980/klagomål/A 10013-2026 FSC-klagomål.docx", "A 10013-2026")</f>
        <v/>
      </c>
      <c r="W174">
        <f>HYPERLINK("https://klasma.github.io/Logging_0980/klagomålsmail/A 10013-2026 FSC-klagomål mail.docx", "A 10013-2026")</f>
        <v/>
      </c>
      <c r="X174">
        <f>HYPERLINK("https://klasma.github.io/Logging_0980/tillsyn/A 10013-2026 tillsynsbegäran.docx", "A 10013-2026")</f>
        <v/>
      </c>
      <c r="Y174">
        <f>HYPERLINK("https://klasma.github.io/Logging_0980/tillsynsmail/A 10013-2026 tillsynsbegäran mail.docx", "A 10013-2026")</f>
        <v/>
      </c>
    </row>
    <row r="175" ht="15" customHeight="1">
      <c r="A175" t="inlineStr">
        <is>
          <t>A 1477-2024</t>
        </is>
      </c>
      <c r="B175" s="1" t="n">
        <v>45305.37987268518</v>
      </c>
      <c r="C175" s="1" t="n">
        <v>46108</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9862-2024</t>
        </is>
      </c>
      <c r="B176" s="1" t="n">
        <v>45363</v>
      </c>
      <c r="C176" s="1" t="n">
        <v>46108</v>
      </c>
      <c r="D176" t="inlineStr">
        <is>
          <t>GOTLANDS LÄN</t>
        </is>
      </c>
      <c r="E176" t="inlineStr">
        <is>
          <t>GOTLAND</t>
        </is>
      </c>
      <c r="G176" t="n">
        <v>3.5</v>
      </c>
      <c r="H176" t="n">
        <v>1</v>
      </c>
      <c r="I176" t="n">
        <v>0</v>
      </c>
      <c r="J176" t="n">
        <v>0</v>
      </c>
      <c r="K176" t="n">
        <v>0</v>
      </c>
      <c r="L176" t="n">
        <v>0</v>
      </c>
      <c r="M176" t="n">
        <v>0</v>
      </c>
      <c r="N176" t="n">
        <v>0</v>
      </c>
      <c r="O176" t="n">
        <v>0</v>
      </c>
      <c r="P176" t="n">
        <v>0</v>
      </c>
      <c r="Q176" t="n">
        <v>1</v>
      </c>
      <c r="R176" s="2" t="inlineStr">
        <is>
          <t>Nattviol</t>
        </is>
      </c>
      <c r="S176">
        <f>HYPERLINK("https://klasma.github.io/Logging_0980/artfynd/A 9862-2024 artfynd.xlsx", "A 9862-2024")</f>
        <v/>
      </c>
      <c r="T176">
        <f>HYPERLINK("https://klasma.github.io/Logging_0980/kartor/A 9862-2024 karta.png", "A 9862-2024")</f>
        <v/>
      </c>
      <c r="V176">
        <f>HYPERLINK("https://klasma.github.io/Logging_0980/klagomål/A 9862-2024 FSC-klagomål.docx", "A 9862-2024")</f>
        <v/>
      </c>
      <c r="W176">
        <f>HYPERLINK("https://klasma.github.io/Logging_0980/klagomålsmail/A 9862-2024 FSC-klagomål mail.docx", "A 9862-2024")</f>
        <v/>
      </c>
      <c r="X176">
        <f>HYPERLINK("https://klasma.github.io/Logging_0980/tillsyn/A 9862-2024 tillsynsbegäran.docx", "A 9862-2024")</f>
        <v/>
      </c>
      <c r="Y176">
        <f>HYPERLINK("https://klasma.github.io/Logging_0980/tillsynsmail/A 9862-2024 tillsynsbegäran mail.docx", "A 9862-2024")</f>
        <v/>
      </c>
    </row>
    <row r="177" ht="15" customHeight="1">
      <c r="A177" t="inlineStr">
        <is>
          <t>A 34141-2024</t>
        </is>
      </c>
      <c r="B177" s="1" t="n">
        <v>45524.36229166666</v>
      </c>
      <c r="C177" s="1" t="n">
        <v>46108</v>
      </c>
      <c r="D177" t="inlineStr">
        <is>
          <t>GOTLANDS LÄN</t>
        </is>
      </c>
      <c r="E177" t="inlineStr">
        <is>
          <t>GOTLAND</t>
        </is>
      </c>
      <c r="G177" t="n">
        <v>0.9</v>
      </c>
      <c r="H177" t="n">
        <v>0</v>
      </c>
      <c r="I177" t="n">
        <v>1</v>
      </c>
      <c r="J177" t="n">
        <v>0</v>
      </c>
      <c r="K177" t="n">
        <v>0</v>
      </c>
      <c r="L177" t="n">
        <v>0</v>
      </c>
      <c r="M177" t="n">
        <v>0</v>
      </c>
      <c r="N177" t="n">
        <v>0</v>
      </c>
      <c r="O177" t="n">
        <v>0</v>
      </c>
      <c r="P177" t="n">
        <v>0</v>
      </c>
      <c r="Q177" t="n">
        <v>1</v>
      </c>
      <c r="R177" s="2" t="inlineStr">
        <is>
          <t>Strävlosta</t>
        </is>
      </c>
      <c r="S177">
        <f>HYPERLINK("https://klasma.github.io/Logging_0980/artfynd/A 34141-2024 artfynd.xlsx", "A 34141-2024")</f>
        <v/>
      </c>
      <c r="T177">
        <f>HYPERLINK("https://klasma.github.io/Logging_0980/kartor/A 34141-2024 karta.png", "A 34141-2024")</f>
        <v/>
      </c>
      <c r="V177">
        <f>HYPERLINK("https://klasma.github.io/Logging_0980/klagomål/A 34141-2024 FSC-klagomål.docx", "A 34141-2024")</f>
        <v/>
      </c>
      <c r="W177">
        <f>HYPERLINK("https://klasma.github.io/Logging_0980/klagomålsmail/A 34141-2024 FSC-klagomål mail.docx", "A 34141-2024")</f>
        <v/>
      </c>
      <c r="X177">
        <f>HYPERLINK("https://klasma.github.io/Logging_0980/tillsyn/A 34141-2024 tillsynsbegäran.docx", "A 34141-2024")</f>
        <v/>
      </c>
      <c r="Y177">
        <f>HYPERLINK("https://klasma.github.io/Logging_0980/tillsynsmail/A 34141-2024 tillsynsbegäran mail.docx", "A 34141-2024")</f>
        <v/>
      </c>
    </row>
    <row r="178" ht="15" customHeight="1">
      <c r="A178" t="inlineStr">
        <is>
          <t>A 7637-2025</t>
        </is>
      </c>
      <c r="B178" s="1" t="n">
        <v>45705.77181712963</v>
      </c>
      <c r="C178" s="1" t="n">
        <v>46108</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61796-2022</t>
        </is>
      </c>
      <c r="B179" s="1" t="n">
        <v>44917</v>
      </c>
      <c r="C179" s="1" t="n">
        <v>46108</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12924-2025</t>
        </is>
      </c>
      <c r="B180" s="1" t="n">
        <v>45734</v>
      </c>
      <c r="C180" s="1" t="n">
        <v>46108</v>
      </c>
      <c r="D180" t="inlineStr">
        <is>
          <t>GOTLANDS LÄN</t>
        </is>
      </c>
      <c r="E180" t="inlineStr">
        <is>
          <t>GOTLAND</t>
        </is>
      </c>
      <c r="G180" t="n">
        <v>11.7</v>
      </c>
      <c r="H180" t="n">
        <v>0</v>
      </c>
      <c r="I180" t="n">
        <v>0</v>
      </c>
      <c r="J180" t="n">
        <v>0</v>
      </c>
      <c r="K180" t="n">
        <v>1</v>
      </c>
      <c r="L180" t="n">
        <v>0</v>
      </c>
      <c r="M180" t="n">
        <v>0</v>
      </c>
      <c r="N180" t="n">
        <v>0</v>
      </c>
      <c r="O180" t="n">
        <v>1</v>
      </c>
      <c r="P180" t="n">
        <v>1</v>
      </c>
      <c r="Q180" t="n">
        <v>1</v>
      </c>
      <c r="R180" s="2" t="inlineStr">
        <is>
          <t>Gotlandsmåra</t>
        </is>
      </c>
      <c r="S180">
        <f>HYPERLINK("https://klasma.github.io/Logging_0980/artfynd/A 12924-2025 artfynd.xlsx", "A 12924-2025")</f>
        <v/>
      </c>
      <c r="T180">
        <f>HYPERLINK("https://klasma.github.io/Logging_0980/kartor/A 12924-2025 karta.png", "A 12924-2025")</f>
        <v/>
      </c>
      <c r="V180">
        <f>HYPERLINK("https://klasma.github.io/Logging_0980/klagomål/A 12924-2025 FSC-klagomål.docx", "A 12924-2025")</f>
        <v/>
      </c>
      <c r="W180">
        <f>HYPERLINK("https://klasma.github.io/Logging_0980/klagomålsmail/A 12924-2025 FSC-klagomål mail.docx", "A 12924-2025")</f>
        <v/>
      </c>
      <c r="X180">
        <f>HYPERLINK("https://klasma.github.io/Logging_0980/tillsyn/A 12924-2025 tillsynsbegäran.docx", "A 12924-2025")</f>
        <v/>
      </c>
      <c r="Y180">
        <f>HYPERLINK("https://klasma.github.io/Logging_0980/tillsynsmail/A 12924-2025 tillsynsbegäran mail.docx", "A 12924-2025")</f>
        <v/>
      </c>
    </row>
    <row r="181" ht="15" customHeight="1">
      <c r="A181" t="inlineStr">
        <is>
          <t>A 10218-2025</t>
        </is>
      </c>
      <c r="B181" s="1" t="n">
        <v>45720</v>
      </c>
      <c r="C181" s="1" t="n">
        <v>46108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46108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46108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46108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46108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46108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46108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46108</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46108</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46108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46108</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46108</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46108</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46108</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46108</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46108</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46108</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46108</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46108</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46108</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46108</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46108</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46108</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46108</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46108</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46108</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46108</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46108</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46108</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46108</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45106-2024</t>
        </is>
      </c>
      <c r="B225" s="1" t="n">
        <v>45575</v>
      </c>
      <c r="C225" s="1" t="n">
        <v>46108</v>
      </c>
      <c r="D225" t="inlineStr">
        <is>
          <t>GOTLANDS LÄN</t>
        </is>
      </c>
      <c r="E225" t="inlineStr">
        <is>
          <t>GOTLAND</t>
        </is>
      </c>
      <c r="G225" t="n">
        <v>10</v>
      </c>
      <c r="H225" t="n">
        <v>0</v>
      </c>
      <c r="I225" t="n">
        <v>0</v>
      </c>
      <c r="J225" t="n">
        <v>0</v>
      </c>
      <c r="K225" t="n">
        <v>0</v>
      </c>
      <c r="L225" t="n">
        <v>0</v>
      </c>
      <c r="M225" t="n">
        <v>0</v>
      </c>
      <c r="N225" t="n">
        <v>0</v>
      </c>
      <c r="O225" t="n">
        <v>0</v>
      </c>
      <c r="P225" t="n">
        <v>0</v>
      </c>
      <c r="Q225" t="n">
        <v>0</v>
      </c>
      <c r="R225" s="2" t="inlineStr"/>
    </row>
    <row r="226" ht="15" customHeight="1">
      <c r="A226" t="inlineStr">
        <is>
          <t>A 45112-2024</t>
        </is>
      </c>
      <c r="B226" s="1" t="n">
        <v>45575</v>
      </c>
      <c r="C226" s="1" t="n">
        <v>46108</v>
      </c>
      <c r="D226" t="inlineStr">
        <is>
          <t>GOTLANDS LÄN</t>
        </is>
      </c>
      <c r="E226" t="inlineStr">
        <is>
          <t>GOTLAND</t>
        </is>
      </c>
      <c r="G226" t="n">
        <v>5.1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12599-2025</t>
        </is>
      </c>
      <c r="B228" s="1" t="n">
        <v>45733.29546296296</v>
      </c>
      <c r="C228" s="1" t="n">
        <v>46108</v>
      </c>
      <c r="D228" t="inlineStr">
        <is>
          <t>GOTLANDS LÄN</t>
        </is>
      </c>
      <c r="E228" t="inlineStr">
        <is>
          <t>GOTLAND</t>
        </is>
      </c>
      <c r="G228" t="n">
        <v>4.7</v>
      </c>
      <c r="H228" t="n">
        <v>0</v>
      </c>
      <c r="I228" t="n">
        <v>0</v>
      </c>
      <c r="J228" t="n">
        <v>0</v>
      </c>
      <c r="K228" t="n">
        <v>0</v>
      </c>
      <c r="L228" t="n">
        <v>0</v>
      </c>
      <c r="M228" t="n">
        <v>0</v>
      </c>
      <c r="N228" t="n">
        <v>0</v>
      </c>
      <c r="O228" t="n">
        <v>0</v>
      </c>
      <c r="P228" t="n">
        <v>0</v>
      </c>
      <c r="Q228" t="n">
        <v>0</v>
      </c>
      <c r="R228" s="2" t="inlineStr"/>
    </row>
    <row r="229" ht="15" customHeight="1">
      <c r="A229" t="inlineStr">
        <is>
          <t>A 7026-2023</t>
        </is>
      </c>
      <c r="B229" s="1" t="n">
        <v>44968.30340277778</v>
      </c>
      <c r="C229" s="1" t="n">
        <v>46108</v>
      </c>
      <c r="D229" t="inlineStr">
        <is>
          <t>GOTLANDS LÄN</t>
        </is>
      </c>
      <c r="E229" t="inlineStr">
        <is>
          <t>GOTLAND</t>
        </is>
      </c>
      <c r="G229" t="n">
        <v>2.9</v>
      </c>
      <c r="H229" t="n">
        <v>0</v>
      </c>
      <c r="I229" t="n">
        <v>0</v>
      </c>
      <c r="J229" t="n">
        <v>0</v>
      </c>
      <c r="K229" t="n">
        <v>0</v>
      </c>
      <c r="L229" t="n">
        <v>0</v>
      </c>
      <c r="M229" t="n">
        <v>0</v>
      </c>
      <c r="N229" t="n">
        <v>0</v>
      </c>
      <c r="O229" t="n">
        <v>0</v>
      </c>
      <c r="P229" t="n">
        <v>0</v>
      </c>
      <c r="Q229" t="n">
        <v>0</v>
      </c>
      <c r="R229" s="2" t="inlineStr"/>
    </row>
    <row r="230" ht="15" customHeight="1">
      <c r="A230" t="inlineStr">
        <is>
          <t>A 25866-2022</t>
        </is>
      </c>
      <c r="B230" s="1" t="n">
        <v>44733</v>
      </c>
      <c r="C230" s="1" t="n">
        <v>46108</v>
      </c>
      <c r="D230" t="inlineStr">
        <is>
          <t>GOTLANDS LÄN</t>
        </is>
      </c>
      <c r="E230" t="inlineStr">
        <is>
          <t>GOTLAND</t>
        </is>
      </c>
      <c r="G230" t="n">
        <v>2.9</v>
      </c>
      <c r="H230" t="n">
        <v>0</v>
      </c>
      <c r="I230" t="n">
        <v>0</v>
      </c>
      <c r="J230" t="n">
        <v>0</v>
      </c>
      <c r="K230" t="n">
        <v>0</v>
      </c>
      <c r="L230" t="n">
        <v>0</v>
      </c>
      <c r="M230" t="n">
        <v>0</v>
      </c>
      <c r="N230" t="n">
        <v>0</v>
      </c>
      <c r="O230" t="n">
        <v>0</v>
      </c>
      <c r="P230" t="n">
        <v>0</v>
      </c>
      <c r="Q230" t="n">
        <v>0</v>
      </c>
      <c r="R230" s="2" t="inlineStr"/>
    </row>
    <row r="231" ht="15" customHeight="1">
      <c r="A231" t="inlineStr">
        <is>
          <t>A 52892-2021</t>
        </is>
      </c>
      <c r="B231" s="1" t="n">
        <v>44467.49048611111</v>
      </c>
      <c r="C231" s="1" t="n">
        <v>46108</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1351-2025</t>
        </is>
      </c>
      <c r="B232" s="1" t="n">
        <v>45667.62246527777</v>
      </c>
      <c r="C232" s="1" t="n">
        <v>46108</v>
      </c>
      <c r="D232" t="inlineStr">
        <is>
          <t>GOTLANDS LÄN</t>
        </is>
      </c>
      <c r="E232" t="inlineStr">
        <is>
          <t>GOTLAND</t>
        </is>
      </c>
      <c r="G232" t="n">
        <v>1.3</v>
      </c>
      <c r="H232" t="n">
        <v>0</v>
      </c>
      <c r="I232" t="n">
        <v>0</v>
      </c>
      <c r="J232" t="n">
        <v>0</v>
      </c>
      <c r="K232" t="n">
        <v>0</v>
      </c>
      <c r="L232" t="n">
        <v>0</v>
      </c>
      <c r="M232" t="n">
        <v>0</v>
      </c>
      <c r="N232" t="n">
        <v>0</v>
      </c>
      <c r="O232" t="n">
        <v>0</v>
      </c>
      <c r="P232" t="n">
        <v>0</v>
      </c>
      <c r="Q232" t="n">
        <v>0</v>
      </c>
      <c r="R232" s="2" t="inlineStr"/>
    </row>
    <row r="233" ht="15" customHeight="1">
      <c r="A233" t="inlineStr">
        <is>
          <t>A 49874-2024</t>
        </is>
      </c>
      <c r="B233" s="1" t="n">
        <v>45597.49274305555</v>
      </c>
      <c r="C233" s="1" t="n">
        <v>46108</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9887-2025</t>
        </is>
      </c>
      <c r="B234" s="1" t="n">
        <v>45716</v>
      </c>
      <c r="C234" s="1" t="n">
        <v>46108</v>
      </c>
      <c r="D234" t="inlineStr">
        <is>
          <t>GOTLANDS LÄN</t>
        </is>
      </c>
      <c r="E234" t="inlineStr">
        <is>
          <t>GOTLAND</t>
        </is>
      </c>
      <c r="G234" t="n">
        <v>7.5</v>
      </c>
      <c r="H234" t="n">
        <v>0</v>
      </c>
      <c r="I234" t="n">
        <v>0</v>
      </c>
      <c r="J234" t="n">
        <v>0</v>
      </c>
      <c r="K234" t="n">
        <v>0</v>
      </c>
      <c r="L234" t="n">
        <v>0</v>
      </c>
      <c r="M234" t="n">
        <v>0</v>
      </c>
      <c r="N234" t="n">
        <v>0</v>
      </c>
      <c r="O234" t="n">
        <v>0</v>
      </c>
      <c r="P234" t="n">
        <v>0</v>
      </c>
      <c r="Q234" t="n">
        <v>0</v>
      </c>
      <c r="R234" s="2" t="inlineStr"/>
    </row>
    <row r="235" ht="15" customHeight="1">
      <c r="A235" t="inlineStr">
        <is>
          <t>A 12209-2024</t>
        </is>
      </c>
      <c r="B235" s="1" t="n">
        <v>45378</v>
      </c>
      <c r="C235" s="1" t="n">
        <v>46108</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12210-2024</t>
        </is>
      </c>
      <c r="B236" s="1" t="n">
        <v>45378</v>
      </c>
      <c r="C236" s="1" t="n">
        <v>46108</v>
      </c>
      <c r="D236" t="inlineStr">
        <is>
          <t>GOTLANDS LÄN</t>
        </is>
      </c>
      <c r="E236" t="inlineStr">
        <is>
          <t>GOTLAND</t>
        </is>
      </c>
      <c r="G236" t="n">
        <v>4.1</v>
      </c>
      <c r="H236" t="n">
        <v>0</v>
      </c>
      <c r="I236" t="n">
        <v>0</v>
      </c>
      <c r="J236" t="n">
        <v>0</v>
      </c>
      <c r="K236" t="n">
        <v>0</v>
      </c>
      <c r="L236" t="n">
        <v>0</v>
      </c>
      <c r="M236" t="n">
        <v>0</v>
      </c>
      <c r="N236" t="n">
        <v>0</v>
      </c>
      <c r="O236" t="n">
        <v>0</v>
      </c>
      <c r="P236" t="n">
        <v>0</v>
      </c>
      <c r="Q236" t="n">
        <v>0</v>
      </c>
      <c r="R236" s="2" t="inlineStr"/>
    </row>
    <row r="237" ht="15" customHeight="1">
      <c r="A237" t="inlineStr">
        <is>
          <t>A 59986-2022</t>
        </is>
      </c>
      <c r="B237" s="1" t="n">
        <v>44909</v>
      </c>
      <c r="C237" s="1" t="n">
        <v>46108</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46108</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51782-2023</t>
        </is>
      </c>
      <c r="B239" s="1" t="n">
        <v>45222.80952546297</v>
      </c>
      <c r="C239" s="1" t="n">
        <v>46108</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46108</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46108</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46108</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46108</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14638-2025</t>
        </is>
      </c>
      <c r="B244" s="1" t="n">
        <v>45742</v>
      </c>
      <c r="C244" s="1" t="n">
        <v>46108</v>
      </c>
      <c r="D244" t="inlineStr">
        <is>
          <t>GOTLANDS LÄN</t>
        </is>
      </c>
      <c r="E244" t="inlineStr">
        <is>
          <t>GOTLAND</t>
        </is>
      </c>
      <c r="G244" t="n">
        <v>13.4</v>
      </c>
      <c r="H244" t="n">
        <v>0</v>
      </c>
      <c r="I244" t="n">
        <v>0</v>
      </c>
      <c r="J244" t="n">
        <v>0</v>
      </c>
      <c r="K244" t="n">
        <v>0</v>
      </c>
      <c r="L244" t="n">
        <v>0</v>
      </c>
      <c r="M244" t="n">
        <v>0</v>
      </c>
      <c r="N244" t="n">
        <v>0</v>
      </c>
      <c r="O244" t="n">
        <v>0</v>
      </c>
      <c r="P244" t="n">
        <v>0</v>
      </c>
      <c r="Q244" t="n">
        <v>0</v>
      </c>
      <c r="R244" s="2" t="inlineStr"/>
    </row>
    <row r="245" ht="15" customHeight="1">
      <c r="A245" t="inlineStr">
        <is>
          <t>A 31802-2024</t>
        </is>
      </c>
      <c r="B245" s="1" t="n">
        <v>45509</v>
      </c>
      <c r="C245" s="1" t="n">
        <v>46108</v>
      </c>
      <c r="D245" t="inlineStr">
        <is>
          <t>GOTLANDS LÄN</t>
        </is>
      </c>
      <c r="E245" t="inlineStr">
        <is>
          <t>GOTLAND</t>
        </is>
      </c>
      <c r="G245" t="n">
        <v>2.8</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46108</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4421-2024</t>
        </is>
      </c>
      <c r="B247" s="1" t="n">
        <v>45327.45173611111</v>
      </c>
      <c r="C247" s="1" t="n">
        <v>46108</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21507-2021</t>
        </is>
      </c>
      <c r="B248" s="1" t="n">
        <v>44321</v>
      </c>
      <c r="C248" s="1" t="n">
        <v>46108</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20993-2023</t>
        </is>
      </c>
      <c r="B249" s="1" t="n">
        <v>45056</v>
      </c>
      <c r="C249" s="1" t="n">
        <v>46108</v>
      </c>
      <c r="D249" t="inlineStr">
        <is>
          <t>GOTLANDS LÄN</t>
        </is>
      </c>
      <c r="E249" t="inlineStr">
        <is>
          <t>GOTLAND</t>
        </is>
      </c>
      <c r="G249" t="n">
        <v>7.1</v>
      </c>
      <c r="H249" t="n">
        <v>0</v>
      </c>
      <c r="I249" t="n">
        <v>0</v>
      </c>
      <c r="J249" t="n">
        <v>0</v>
      </c>
      <c r="K249" t="n">
        <v>0</v>
      </c>
      <c r="L249" t="n">
        <v>0</v>
      </c>
      <c r="M249" t="n">
        <v>0</v>
      </c>
      <c r="N249" t="n">
        <v>0</v>
      </c>
      <c r="O249" t="n">
        <v>0</v>
      </c>
      <c r="P249" t="n">
        <v>0</v>
      </c>
      <c r="Q249" t="n">
        <v>0</v>
      </c>
      <c r="R249" s="2" t="inlineStr"/>
    </row>
    <row r="250" ht="15" customHeight="1">
      <c r="A250" t="inlineStr">
        <is>
          <t>A 15042-2025</t>
        </is>
      </c>
      <c r="B250" s="1" t="n">
        <v>45743</v>
      </c>
      <c r="C250" s="1" t="n">
        <v>46108</v>
      </c>
      <c r="D250" t="inlineStr">
        <is>
          <t>GOTLANDS LÄN</t>
        </is>
      </c>
      <c r="E250" t="inlineStr">
        <is>
          <t>GOTLAND</t>
        </is>
      </c>
      <c r="G250" t="n">
        <v>8.5</v>
      </c>
      <c r="H250" t="n">
        <v>0</v>
      </c>
      <c r="I250" t="n">
        <v>0</v>
      </c>
      <c r="J250" t="n">
        <v>0</v>
      </c>
      <c r="K250" t="n">
        <v>0</v>
      </c>
      <c r="L250" t="n">
        <v>0</v>
      </c>
      <c r="M250" t="n">
        <v>0</v>
      </c>
      <c r="N250" t="n">
        <v>0</v>
      </c>
      <c r="O250" t="n">
        <v>0</v>
      </c>
      <c r="P250" t="n">
        <v>0</v>
      </c>
      <c r="Q250" t="n">
        <v>0</v>
      </c>
      <c r="R250" s="2" t="inlineStr"/>
    </row>
    <row r="251" ht="15" customHeight="1">
      <c r="A251" t="inlineStr">
        <is>
          <t>A 35141-2025</t>
        </is>
      </c>
      <c r="B251" s="1" t="n">
        <v>45852.65206018519</v>
      </c>
      <c r="C251" s="1" t="n">
        <v>46108</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12327-2025</t>
        </is>
      </c>
      <c r="B252" s="1" t="n">
        <v>45730</v>
      </c>
      <c r="C252" s="1" t="n">
        <v>46108</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20165-2022</t>
        </is>
      </c>
      <c r="B253" s="1" t="n">
        <v>44698.49854166667</v>
      </c>
      <c r="C253" s="1" t="n">
        <v>46108</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57219-2021</t>
        </is>
      </c>
      <c r="B254" s="1" t="n">
        <v>44483</v>
      </c>
      <c r="C254" s="1" t="n">
        <v>46108</v>
      </c>
      <c r="D254" t="inlineStr">
        <is>
          <t>GOTLANDS LÄN</t>
        </is>
      </c>
      <c r="E254" t="inlineStr">
        <is>
          <t>GOTLAND</t>
        </is>
      </c>
      <c r="F254" t="inlineStr">
        <is>
          <t>Kyrkan</t>
        </is>
      </c>
      <c r="G254" t="n">
        <v>4</v>
      </c>
      <c r="H254" t="n">
        <v>0</v>
      </c>
      <c r="I254" t="n">
        <v>0</v>
      </c>
      <c r="J254" t="n">
        <v>0</v>
      </c>
      <c r="K254" t="n">
        <v>0</v>
      </c>
      <c r="L254" t="n">
        <v>0</v>
      </c>
      <c r="M254" t="n">
        <v>0</v>
      </c>
      <c r="N254" t="n">
        <v>0</v>
      </c>
      <c r="O254" t="n">
        <v>0</v>
      </c>
      <c r="P254" t="n">
        <v>0</v>
      </c>
      <c r="Q254" t="n">
        <v>0</v>
      </c>
      <c r="R254" s="2" t="inlineStr"/>
    </row>
    <row r="255" ht="15" customHeight="1">
      <c r="A255" t="inlineStr">
        <is>
          <t>A 4420-2025</t>
        </is>
      </c>
      <c r="B255" s="1" t="n">
        <v>45686.47157407407</v>
      </c>
      <c r="C255" s="1" t="n">
        <v>46108</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31264-2021</t>
        </is>
      </c>
      <c r="B256" s="1" t="n">
        <v>44368</v>
      </c>
      <c r="C256" s="1" t="n">
        <v>46108</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14427-2024</t>
        </is>
      </c>
      <c r="B257" s="1" t="n">
        <v>45394</v>
      </c>
      <c r="C257" s="1" t="n">
        <v>46108</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46108</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17901-2023</t>
        </is>
      </c>
      <c r="B259" s="1" t="n">
        <v>45039</v>
      </c>
      <c r="C259" s="1" t="n">
        <v>46108</v>
      </c>
      <c r="D259" t="inlineStr">
        <is>
          <t>GOTLANDS LÄN</t>
        </is>
      </c>
      <c r="E259" t="inlineStr">
        <is>
          <t>GOTLAND</t>
        </is>
      </c>
      <c r="F259" t="inlineStr">
        <is>
          <t>Kyrkan</t>
        </is>
      </c>
      <c r="G259" t="n">
        <v>0.6</v>
      </c>
      <c r="H259" t="n">
        <v>0</v>
      </c>
      <c r="I259" t="n">
        <v>0</v>
      </c>
      <c r="J259" t="n">
        <v>0</v>
      </c>
      <c r="K259" t="n">
        <v>0</v>
      </c>
      <c r="L259" t="n">
        <v>0</v>
      </c>
      <c r="M259" t="n">
        <v>0</v>
      </c>
      <c r="N259" t="n">
        <v>0</v>
      </c>
      <c r="O259" t="n">
        <v>0</v>
      </c>
      <c r="P259" t="n">
        <v>0</v>
      </c>
      <c r="Q259" t="n">
        <v>0</v>
      </c>
      <c r="R259" s="2" t="inlineStr"/>
    </row>
    <row r="260" ht="15" customHeight="1">
      <c r="A260" t="inlineStr">
        <is>
          <t>A 43223-2023</t>
        </is>
      </c>
      <c r="B260" s="1" t="n">
        <v>45183.45642361111</v>
      </c>
      <c r="C260" s="1" t="n">
        <v>46108</v>
      </c>
      <c r="D260" t="inlineStr">
        <is>
          <t>GOTLANDS LÄN</t>
        </is>
      </c>
      <c r="E260" t="inlineStr">
        <is>
          <t>GOTLAND</t>
        </is>
      </c>
      <c r="G260" t="n">
        <v>1.8</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46108</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39849-2025</t>
        </is>
      </c>
      <c r="B262" s="1" t="n">
        <v>45891.58502314815</v>
      </c>
      <c r="C262" s="1" t="n">
        <v>46108</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456-2023</t>
        </is>
      </c>
      <c r="B263" s="1" t="n">
        <v>44929.87122685185</v>
      </c>
      <c r="C263" s="1" t="n">
        <v>46108</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49257-2024</t>
        </is>
      </c>
      <c r="B264" s="1" t="n">
        <v>45595.47627314815</v>
      </c>
      <c r="C264" s="1" t="n">
        <v>46108</v>
      </c>
      <c r="D264" t="inlineStr">
        <is>
          <t>GOTLANDS LÄN</t>
        </is>
      </c>
      <c r="E264" t="inlineStr">
        <is>
          <t>GOTLAND</t>
        </is>
      </c>
      <c r="G264" t="n">
        <v>6.3</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46108</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46108</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46108</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46108</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49315-2024</t>
        </is>
      </c>
      <c r="B269" s="1" t="n">
        <v>45595</v>
      </c>
      <c r="C269" s="1" t="n">
        <v>46108</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46108</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46108</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46108</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46108</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5751-2024</t>
        </is>
      </c>
      <c r="B274" s="1" t="n">
        <v>45335.32702546296</v>
      </c>
      <c r="C274" s="1" t="n">
        <v>46108</v>
      </c>
      <c r="D274" t="inlineStr">
        <is>
          <t>GOTLANDS LÄN</t>
        </is>
      </c>
      <c r="E274" t="inlineStr">
        <is>
          <t>GOTLAND</t>
        </is>
      </c>
      <c r="G274" t="n">
        <v>4.2</v>
      </c>
      <c r="H274" t="n">
        <v>0</v>
      </c>
      <c r="I274" t="n">
        <v>0</v>
      </c>
      <c r="J274" t="n">
        <v>0</v>
      </c>
      <c r="K274" t="n">
        <v>0</v>
      </c>
      <c r="L274" t="n">
        <v>0</v>
      </c>
      <c r="M274" t="n">
        <v>0</v>
      </c>
      <c r="N274" t="n">
        <v>0</v>
      </c>
      <c r="O274" t="n">
        <v>0</v>
      </c>
      <c r="P274" t="n">
        <v>0</v>
      </c>
      <c r="Q274" t="n">
        <v>0</v>
      </c>
      <c r="R274" s="2" t="inlineStr"/>
    </row>
    <row r="275" ht="15" customHeight="1">
      <c r="A275" t="inlineStr">
        <is>
          <t>A 6696-2023</t>
        </is>
      </c>
      <c r="B275" s="1" t="n">
        <v>44966.66425925926</v>
      </c>
      <c r="C275" s="1" t="n">
        <v>46108</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40103-2025</t>
        </is>
      </c>
      <c r="B276" s="1" t="n">
        <v>45894.4880324074</v>
      </c>
      <c r="C276" s="1" t="n">
        <v>46108</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28480-2023</t>
        </is>
      </c>
      <c r="B277" s="1" t="n">
        <v>45103</v>
      </c>
      <c r="C277" s="1" t="n">
        <v>46108</v>
      </c>
      <c r="D277" t="inlineStr">
        <is>
          <t>GOTLANDS LÄN</t>
        </is>
      </c>
      <c r="E277" t="inlineStr">
        <is>
          <t>GOTLAND</t>
        </is>
      </c>
      <c r="G277" t="n">
        <v>5.7</v>
      </c>
      <c r="H277" t="n">
        <v>0</v>
      </c>
      <c r="I277" t="n">
        <v>0</v>
      </c>
      <c r="J277" t="n">
        <v>0</v>
      </c>
      <c r="K277" t="n">
        <v>0</v>
      </c>
      <c r="L277" t="n">
        <v>0</v>
      </c>
      <c r="M277" t="n">
        <v>0</v>
      </c>
      <c r="N277" t="n">
        <v>0</v>
      </c>
      <c r="O277" t="n">
        <v>0</v>
      </c>
      <c r="P277" t="n">
        <v>0</v>
      </c>
      <c r="Q277" t="n">
        <v>0</v>
      </c>
      <c r="R277" s="2" t="inlineStr"/>
    </row>
    <row r="278" ht="15" customHeight="1">
      <c r="A278" t="inlineStr">
        <is>
          <t>A 28485-2023</t>
        </is>
      </c>
      <c r="B278" s="1" t="n">
        <v>45103.43731481482</v>
      </c>
      <c r="C278" s="1" t="n">
        <v>46108</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4990-2025</t>
        </is>
      </c>
      <c r="B279" s="1" t="n">
        <v>45691</v>
      </c>
      <c r="C279" s="1" t="n">
        <v>46108</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40499-2025</t>
        </is>
      </c>
      <c r="B280" s="1" t="n">
        <v>45896.32517361111</v>
      </c>
      <c r="C280" s="1" t="n">
        <v>46108</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46108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38165-2023</t>
        </is>
      </c>
      <c r="B282" s="1" t="n">
        <v>45161</v>
      </c>
      <c r="C282" s="1" t="n">
        <v>46108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46108</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39278-2025</t>
        </is>
      </c>
      <c r="B284" s="1" t="n">
        <v>45889</v>
      </c>
      <c r="C284" s="1" t="n">
        <v>46108</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63229-2021</t>
        </is>
      </c>
      <c r="B285" s="1" t="n">
        <v>44508.34518518519</v>
      </c>
      <c r="C285" s="1" t="n">
        <v>46108</v>
      </c>
      <c r="D285" t="inlineStr">
        <is>
          <t>GOTLANDS LÄN</t>
        </is>
      </c>
      <c r="E285" t="inlineStr">
        <is>
          <t>GOTLAND</t>
        </is>
      </c>
      <c r="F285" t="inlineStr">
        <is>
          <t>Kyrkan</t>
        </is>
      </c>
      <c r="G285" t="n">
        <v>3.8</v>
      </c>
      <c r="H285" t="n">
        <v>0</v>
      </c>
      <c r="I285" t="n">
        <v>0</v>
      </c>
      <c r="J285" t="n">
        <v>0</v>
      </c>
      <c r="K285" t="n">
        <v>0</v>
      </c>
      <c r="L285" t="n">
        <v>0</v>
      </c>
      <c r="M285" t="n">
        <v>0</v>
      </c>
      <c r="N285" t="n">
        <v>0</v>
      </c>
      <c r="O285" t="n">
        <v>0</v>
      </c>
      <c r="P285" t="n">
        <v>0</v>
      </c>
      <c r="Q285" t="n">
        <v>0</v>
      </c>
      <c r="R285" s="2" t="inlineStr"/>
    </row>
    <row r="286" ht="15" customHeight="1">
      <c r="A286" t="inlineStr">
        <is>
          <t>A 61596-2023</t>
        </is>
      </c>
      <c r="B286" s="1" t="n">
        <v>45265</v>
      </c>
      <c r="C286" s="1" t="n">
        <v>46108</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46108</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46108</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44228-2022</t>
        </is>
      </c>
      <c r="B289" s="1" t="n">
        <v>44839.51599537037</v>
      </c>
      <c r="C289" s="1" t="n">
        <v>46108</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61386-2023</t>
        </is>
      </c>
      <c r="B290" s="1" t="n">
        <v>45264</v>
      </c>
      <c r="C290" s="1" t="n">
        <v>46108</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46108</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46108</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34312-2024</t>
        </is>
      </c>
      <c r="B293" s="1" t="n">
        <v>45524.69703703704</v>
      </c>
      <c r="C293" s="1" t="n">
        <v>46108</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27593-2023</t>
        </is>
      </c>
      <c r="B294" s="1" t="n">
        <v>45097</v>
      </c>
      <c r="C294" s="1" t="n">
        <v>46108</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25129-2023</t>
        </is>
      </c>
      <c r="B295" s="1" t="n">
        <v>45086.44261574074</v>
      </c>
      <c r="C295" s="1" t="n">
        <v>46108</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46108</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46108</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24825-2024</t>
        </is>
      </c>
      <c r="B298" s="1" t="n">
        <v>45461</v>
      </c>
      <c r="C298" s="1" t="n">
        <v>46108</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46108</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22031-2024</t>
        </is>
      </c>
      <c r="B300" s="1" t="n">
        <v>45443.60075231481</v>
      </c>
      <c r="C300" s="1" t="n">
        <v>46108</v>
      </c>
      <c r="D300" t="inlineStr">
        <is>
          <t>GOTLANDS LÄN</t>
        </is>
      </c>
      <c r="E300" t="inlineStr">
        <is>
          <t>GOTLAND</t>
        </is>
      </c>
      <c r="G300" t="n">
        <v>2.3</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46108</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46108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56009-2024</t>
        </is>
      </c>
      <c r="B304" s="1" t="n">
        <v>45623.80864583333</v>
      </c>
      <c r="C304" s="1" t="n">
        <v>46108</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46108</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43911-2025</t>
        </is>
      </c>
      <c r="B306" s="1" t="n">
        <v>45914.3881712963</v>
      </c>
      <c r="C306" s="1" t="n">
        <v>46108</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54073-2022</t>
        </is>
      </c>
      <c r="B307" s="1" t="n">
        <v>44881.50380787037</v>
      </c>
      <c r="C307" s="1" t="n">
        <v>46108</v>
      </c>
      <c r="D307" t="inlineStr">
        <is>
          <t>GOTLANDS LÄN</t>
        </is>
      </c>
      <c r="E307" t="inlineStr">
        <is>
          <t>GOTLAND</t>
        </is>
      </c>
      <c r="G307" t="n">
        <v>3.8</v>
      </c>
      <c r="H307" t="n">
        <v>0</v>
      </c>
      <c r="I307" t="n">
        <v>0</v>
      </c>
      <c r="J307" t="n">
        <v>0</v>
      </c>
      <c r="K307" t="n">
        <v>0</v>
      </c>
      <c r="L307" t="n">
        <v>0</v>
      </c>
      <c r="M307" t="n">
        <v>0</v>
      </c>
      <c r="N307" t="n">
        <v>0</v>
      </c>
      <c r="O307" t="n">
        <v>0</v>
      </c>
      <c r="P307" t="n">
        <v>0</v>
      </c>
      <c r="Q307" t="n">
        <v>0</v>
      </c>
      <c r="R307" s="2" t="inlineStr"/>
    </row>
    <row r="308" ht="15" customHeight="1">
      <c r="A308" t="inlineStr">
        <is>
          <t>A 6099-2024</t>
        </is>
      </c>
      <c r="B308" s="1" t="n">
        <v>45337</v>
      </c>
      <c r="C308" s="1" t="n">
        <v>46108</v>
      </c>
      <c r="D308" t="inlineStr">
        <is>
          <t>GOTLANDS LÄN</t>
        </is>
      </c>
      <c r="E308" t="inlineStr">
        <is>
          <t>GOTLAND</t>
        </is>
      </c>
      <c r="G308" t="n">
        <v>12.6</v>
      </c>
      <c r="H308" t="n">
        <v>0</v>
      </c>
      <c r="I308" t="n">
        <v>0</v>
      </c>
      <c r="J308" t="n">
        <v>0</v>
      </c>
      <c r="K308" t="n">
        <v>0</v>
      </c>
      <c r="L308" t="n">
        <v>0</v>
      </c>
      <c r="M308" t="n">
        <v>0</v>
      </c>
      <c r="N308" t="n">
        <v>0</v>
      </c>
      <c r="O308" t="n">
        <v>0</v>
      </c>
      <c r="P308" t="n">
        <v>0</v>
      </c>
      <c r="Q308" t="n">
        <v>0</v>
      </c>
      <c r="R308" s="2" t="inlineStr"/>
    </row>
    <row r="309" ht="15" customHeight="1">
      <c r="A309" t="inlineStr">
        <is>
          <t>A 8260-2023</t>
        </is>
      </c>
      <c r="B309" s="1" t="n">
        <v>44974.61608796296</v>
      </c>
      <c r="C309" s="1" t="n">
        <v>46108</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3964-2024</t>
        </is>
      </c>
      <c r="B310" s="1" t="n">
        <v>45322</v>
      </c>
      <c r="C310" s="1" t="n">
        <v>46108</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22287-2022</t>
        </is>
      </c>
      <c r="B311" s="1" t="n">
        <v>44712</v>
      </c>
      <c r="C311" s="1" t="n">
        <v>46108</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43951-2025</t>
        </is>
      </c>
      <c r="B312" s="1" t="n">
        <v>45915.38119212963</v>
      </c>
      <c r="C312" s="1" t="n">
        <v>46108</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44410-2025</t>
        </is>
      </c>
      <c r="B313" s="1" t="n">
        <v>45916.53699074074</v>
      </c>
      <c r="C313" s="1" t="n">
        <v>46108</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57534-2022</t>
        </is>
      </c>
      <c r="B314" s="1" t="n">
        <v>44896</v>
      </c>
      <c r="C314" s="1" t="n">
        <v>46108</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27596-2023</t>
        </is>
      </c>
      <c r="B315" s="1" t="n">
        <v>45097</v>
      </c>
      <c r="C315" s="1" t="n">
        <v>46108</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56115-2023</t>
        </is>
      </c>
      <c r="B316" s="1" t="n">
        <v>45236</v>
      </c>
      <c r="C316" s="1" t="n">
        <v>46108</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64969-2023</t>
        </is>
      </c>
      <c r="B317" s="1" t="n">
        <v>45284.54009259259</v>
      </c>
      <c r="C317" s="1" t="n">
        <v>46108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44405-2025</t>
        </is>
      </c>
      <c r="B318" s="1" t="n">
        <v>45916.52405092592</v>
      </c>
      <c r="C318" s="1" t="n">
        <v>46108</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33853-2024</t>
        </is>
      </c>
      <c r="B319" s="1" t="n">
        <v>45520.64298611111</v>
      </c>
      <c r="C319" s="1" t="n">
        <v>46108</v>
      </c>
      <c r="D319" t="inlineStr">
        <is>
          <t>GOTLANDS LÄN</t>
        </is>
      </c>
      <c r="E319" t="inlineStr">
        <is>
          <t>GOTLAND</t>
        </is>
      </c>
      <c r="G319" t="n">
        <v>3.9</v>
      </c>
      <c r="H319" t="n">
        <v>0</v>
      </c>
      <c r="I319" t="n">
        <v>0</v>
      </c>
      <c r="J319" t="n">
        <v>0</v>
      </c>
      <c r="K319" t="n">
        <v>0</v>
      </c>
      <c r="L319" t="n">
        <v>0</v>
      </c>
      <c r="M319" t="n">
        <v>0</v>
      </c>
      <c r="N319" t="n">
        <v>0</v>
      </c>
      <c r="O319" t="n">
        <v>0</v>
      </c>
      <c r="P319" t="n">
        <v>0</v>
      </c>
      <c r="Q319" t="n">
        <v>0</v>
      </c>
      <c r="R319" s="2" t="inlineStr"/>
    </row>
    <row r="320" ht="15" customHeight="1">
      <c r="A320" t="inlineStr">
        <is>
          <t>A 18223-2025</t>
        </is>
      </c>
      <c r="B320" s="1" t="n">
        <v>45761</v>
      </c>
      <c r="C320" s="1" t="n">
        <v>46108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64660-2023</t>
        </is>
      </c>
      <c r="B321" s="1" t="n">
        <v>45281.60122685185</v>
      </c>
      <c r="C321" s="1" t="n">
        <v>46108</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46949-2024</t>
        </is>
      </c>
      <c r="B322" s="1" t="n">
        <v>45585</v>
      </c>
      <c r="C322" s="1" t="n">
        <v>46108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24001-2021</t>
        </is>
      </c>
      <c r="B323" s="1" t="n">
        <v>44335</v>
      </c>
      <c r="C323" s="1" t="n">
        <v>46108</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39479-2022</t>
        </is>
      </c>
      <c r="B324" s="1" t="n">
        <v>44818</v>
      </c>
      <c r="C324" s="1" t="n">
        <v>46108</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39496-2022</t>
        </is>
      </c>
      <c r="B325" s="1" t="n">
        <v>44818</v>
      </c>
      <c r="C325" s="1" t="n">
        <v>46108</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46108</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26391-2025</t>
        </is>
      </c>
      <c r="B327" s="1" t="n">
        <v>45806</v>
      </c>
      <c r="C327" s="1" t="n">
        <v>46108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46108</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46108</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46108</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46108</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46108</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46389-2021</t>
        </is>
      </c>
      <c r="B333" s="1" t="n">
        <v>44443</v>
      </c>
      <c r="C333" s="1" t="n">
        <v>46108</v>
      </c>
      <c r="D333" t="inlineStr">
        <is>
          <t>GOTLANDS LÄN</t>
        </is>
      </c>
      <c r="E333" t="inlineStr">
        <is>
          <t>GOTLAND</t>
        </is>
      </c>
      <c r="F333" t="inlineStr">
        <is>
          <t>Kyrkan</t>
        </is>
      </c>
      <c r="G333" t="n">
        <v>2.1</v>
      </c>
      <c r="H333" t="n">
        <v>0</v>
      </c>
      <c r="I333" t="n">
        <v>0</v>
      </c>
      <c r="J333" t="n">
        <v>0</v>
      </c>
      <c r="K333" t="n">
        <v>0</v>
      </c>
      <c r="L333" t="n">
        <v>0</v>
      </c>
      <c r="M333" t="n">
        <v>0</v>
      </c>
      <c r="N333" t="n">
        <v>0</v>
      </c>
      <c r="O333" t="n">
        <v>0</v>
      </c>
      <c r="P333" t="n">
        <v>0</v>
      </c>
      <c r="Q333" t="n">
        <v>0</v>
      </c>
      <c r="R333" s="2" t="inlineStr"/>
    </row>
    <row r="334" ht="15" customHeight="1">
      <c r="A334" t="inlineStr">
        <is>
          <t>A 30956-2024</t>
        </is>
      </c>
      <c r="B334" s="1" t="n">
        <v>45499.42527777778</v>
      </c>
      <c r="C334" s="1" t="n">
        <v>46108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47637-2025</t>
        </is>
      </c>
      <c r="B335" s="1" t="n">
        <v>45931.49753472222</v>
      </c>
      <c r="C335" s="1" t="n">
        <v>46108</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46108</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46108</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46108</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46108</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999-2024</t>
        </is>
      </c>
      <c r="B340" s="1" t="n">
        <v>45301</v>
      </c>
      <c r="C340" s="1" t="n">
        <v>46108</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65901-2021</t>
        </is>
      </c>
      <c r="B341" s="1" t="n">
        <v>44516</v>
      </c>
      <c r="C341" s="1" t="n">
        <v>46108</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47762-2023</t>
        </is>
      </c>
      <c r="B342" s="1" t="n">
        <v>45203.86256944444</v>
      </c>
      <c r="C342" s="1" t="n">
        <v>46108</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17682-2024</t>
        </is>
      </c>
      <c r="B343" s="1" t="n">
        <v>45418.42966435185</v>
      </c>
      <c r="C343" s="1" t="n">
        <v>46108</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35550-2025</t>
        </is>
      </c>
      <c r="B344" s="1" t="n">
        <v>45856.49324074074</v>
      </c>
      <c r="C344" s="1" t="n">
        <v>46108</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40294-2022</t>
        </is>
      </c>
      <c r="B345" s="1" t="n">
        <v>44821</v>
      </c>
      <c r="C345" s="1" t="n">
        <v>46108</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27602-2023</t>
        </is>
      </c>
      <c r="B346" s="1" t="n">
        <v>45097</v>
      </c>
      <c r="C346" s="1" t="n">
        <v>46108</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58780-2024</t>
        </is>
      </c>
      <c r="B347" s="1" t="n">
        <v>45635.84113425926</v>
      </c>
      <c r="C347" s="1" t="n">
        <v>46108</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12322-2025</t>
        </is>
      </c>
      <c r="B348" s="1" t="n">
        <v>45730</v>
      </c>
      <c r="C348" s="1" t="n">
        <v>46108</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47578-2025</t>
        </is>
      </c>
      <c r="B349" s="1" t="n">
        <v>45931</v>
      </c>
      <c r="C349" s="1" t="n">
        <v>46108</v>
      </c>
      <c r="D349" t="inlineStr">
        <is>
          <t>GOTLANDS LÄN</t>
        </is>
      </c>
      <c r="E349" t="inlineStr">
        <is>
          <t>GOTLAND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61897-2024</t>
        </is>
      </c>
      <c r="B350" s="1" t="n">
        <v>45652.75685185185</v>
      </c>
      <c r="C350" s="1" t="n">
        <v>46108</v>
      </c>
      <c r="D350" t="inlineStr">
        <is>
          <t>GOTLANDS LÄN</t>
        </is>
      </c>
      <c r="E350" t="inlineStr">
        <is>
          <t>GOTLAND</t>
        </is>
      </c>
      <c r="G350" t="n">
        <v>6.4</v>
      </c>
      <c r="H350" t="n">
        <v>0</v>
      </c>
      <c r="I350" t="n">
        <v>0</v>
      </c>
      <c r="J350" t="n">
        <v>0</v>
      </c>
      <c r="K350" t="n">
        <v>0</v>
      </c>
      <c r="L350" t="n">
        <v>0</v>
      </c>
      <c r="M350" t="n">
        <v>0</v>
      </c>
      <c r="N350" t="n">
        <v>0</v>
      </c>
      <c r="O350" t="n">
        <v>0</v>
      </c>
      <c r="P350" t="n">
        <v>0</v>
      </c>
      <c r="Q350" t="n">
        <v>0</v>
      </c>
      <c r="R350" s="2" t="inlineStr"/>
    </row>
    <row r="351" ht="15" customHeight="1">
      <c r="A351" t="inlineStr">
        <is>
          <t>A 12032-2025</t>
        </is>
      </c>
      <c r="B351" s="1" t="n">
        <v>45728.64472222222</v>
      </c>
      <c r="C351" s="1" t="n">
        <v>46108</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33011-2025</t>
        </is>
      </c>
      <c r="B352" s="1" t="n">
        <v>45840</v>
      </c>
      <c r="C352" s="1" t="n">
        <v>46108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49690-2025</t>
        </is>
      </c>
      <c r="B353" s="1" t="n">
        <v>45939.66730324074</v>
      </c>
      <c r="C353" s="1" t="n">
        <v>46108</v>
      </c>
      <c r="D353" t="inlineStr">
        <is>
          <t>GOTLANDS LÄN</t>
        </is>
      </c>
      <c r="E353" t="inlineStr">
        <is>
          <t>GOTLAND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15595-2024</t>
        </is>
      </c>
      <c r="B354" s="1" t="n">
        <v>45401.81480324074</v>
      </c>
      <c r="C354" s="1" t="n">
        <v>46108</v>
      </c>
      <c r="D354" t="inlineStr">
        <is>
          <t>GOTLANDS LÄN</t>
        </is>
      </c>
      <c r="E354" t="inlineStr">
        <is>
          <t>GOTLAND</t>
        </is>
      </c>
      <c r="G354" t="n">
        <v>6.4</v>
      </c>
      <c r="H354" t="n">
        <v>0</v>
      </c>
      <c r="I354" t="n">
        <v>0</v>
      </c>
      <c r="J354" t="n">
        <v>0</v>
      </c>
      <c r="K354" t="n">
        <v>0</v>
      </c>
      <c r="L354" t="n">
        <v>0</v>
      </c>
      <c r="M354" t="n">
        <v>0</v>
      </c>
      <c r="N354" t="n">
        <v>0</v>
      </c>
      <c r="O354" t="n">
        <v>0</v>
      </c>
      <c r="P354" t="n">
        <v>0</v>
      </c>
      <c r="Q354" t="n">
        <v>0</v>
      </c>
      <c r="R354" s="2" t="inlineStr"/>
    </row>
    <row r="355" ht="15" customHeight="1">
      <c r="A355" t="inlineStr">
        <is>
          <t>A 24192-2023</t>
        </is>
      </c>
      <c r="B355" s="1" t="n">
        <v>45079</v>
      </c>
      <c r="C355" s="1" t="n">
        <v>46108</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30282-2022</t>
        </is>
      </c>
      <c r="B356" s="1" t="n">
        <v>44760</v>
      </c>
      <c r="C356" s="1" t="n">
        <v>46108</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7835-2024</t>
        </is>
      </c>
      <c r="B357" s="1" t="n">
        <v>45349.83138888889</v>
      </c>
      <c r="C357" s="1" t="n">
        <v>46108</v>
      </c>
      <c r="D357" t="inlineStr">
        <is>
          <t>GOTLANDS LÄN</t>
        </is>
      </c>
      <c r="E357" t="inlineStr">
        <is>
          <t>GOTLAND</t>
        </is>
      </c>
      <c r="G357" t="n">
        <v>3.8</v>
      </c>
      <c r="H357" t="n">
        <v>0</v>
      </c>
      <c r="I357" t="n">
        <v>0</v>
      </c>
      <c r="J357" t="n">
        <v>0</v>
      </c>
      <c r="K357" t="n">
        <v>0</v>
      </c>
      <c r="L357" t="n">
        <v>0</v>
      </c>
      <c r="M357" t="n">
        <v>0</v>
      </c>
      <c r="N357" t="n">
        <v>0</v>
      </c>
      <c r="O357" t="n">
        <v>0</v>
      </c>
      <c r="P357" t="n">
        <v>0</v>
      </c>
      <c r="Q357" t="n">
        <v>0</v>
      </c>
      <c r="R357" s="2" t="inlineStr"/>
    </row>
    <row r="358" ht="15" customHeight="1">
      <c r="A358" t="inlineStr">
        <is>
          <t>A 10650-2022</t>
        </is>
      </c>
      <c r="B358" s="1" t="n">
        <v>44624.57945601852</v>
      </c>
      <c r="C358" s="1" t="n">
        <v>46108</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46108</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46108</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46108</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50421-2025</t>
        </is>
      </c>
      <c r="B362" s="1" t="n">
        <v>45944.66049768519</v>
      </c>
      <c r="C362" s="1" t="n">
        <v>46108</v>
      </c>
      <c r="D362" t="inlineStr">
        <is>
          <t>GOTLANDS LÄN</t>
        </is>
      </c>
      <c r="E362" t="inlineStr">
        <is>
          <t>GOTLAND</t>
        </is>
      </c>
      <c r="G362" t="n">
        <v>3.9</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46108</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50431-2025</t>
        </is>
      </c>
      <c r="B364" s="1" t="n">
        <v>45944.68453703704</v>
      </c>
      <c r="C364" s="1" t="n">
        <v>46108</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13037-2025</t>
        </is>
      </c>
      <c r="B365" s="1" t="n">
        <v>45734</v>
      </c>
      <c r="C365" s="1" t="n">
        <v>46108</v>
      </c>
      <c r="D365" t="inlineStr">
        <is>
          <t>GOTLANDS LÄN</t>
        </is>
      </c>
      <c r="E365" t="inlineStr">
        <is>
          <t>GOTLAND</t>
        </is>
      </c>
      <c r="G365" t="n">
        <v>9.5</v>
      </c>
      <c r="H365" t="n">
        <v>0</v>
      </c>
      <c r="I365" t="n">
        <v>0</v>
      </c>
      <c r="J365" t="n">
        <v>0</v>
      </c>
      <c r="K365" t="n">
        <v>0</v>
      </c>
      <c r="L365" t="n">
        <v>0</v>
      </c>
      <c r="M365" t="n">
        <v>0</v>
      </c>
      <c r="N365" t="n">
        <v>0</v>
      </c>
      <c r="O365" t="n">
        <v>0</v>
      </c>
      <c r="P365" t="n">
        <v>0</v>
      </c>
      <c r="Q365" t="n">
        <v>0</v>
      </c>
      <c r="R365" s="2" t="inlineStr"/>
    </row>
    <row r="366" ht="15" customHeight="1">
      <c r="A366" t="inlineStr">
        <is>
          <t>A 21164-2024</t>
        </is>
      </c>
      <c r="B366" s="1" t="n">
        <v>45440</v>
      </c>
      <c r="C366" s="1" t="n">
        <v>46108</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17541-2024</t>
        </is>
      </c>
      <c r="B367" s="1" t="n">
        <v>45415</v>
      </c>
      <c r="C367" s="1" t="n">
        <v>46108</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883-2025</t>
        </is>
      </c>
      <c r="B368" s="1" t="n">
        <v>45665</v>
      </c>
      <c r="C368" s="1" t="n">
        <v>46108</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13910-2025</t>
        </is>
      </c>
      <c r="B369" s="1" t="n">
        <v>45737</v>
      </c>
      <c r="C369" s="1" t="n">
        <v>46108</v>
      </c>
      <c r="D369" t="inlineStr">
        <is>
          <t>GOTLANDS LÄN</t>
        </is>
      </c>
      <c r="E369" t="inlineStr">
        <is>
          <t>GOTLAND</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50928-2025</t>
        </is>
      </c>
      <c r="B370" s="1" t="n">
        <v>45946.67896990741</v>
      </c>
      <c r="C370" s="1" t="n">
        <v>46108</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51262-2025</t>
        </is>
      </c>
      <c r="B371" s="1" t="n">
        <v>45949.49872685185</v>
      </c>
      <c r="C371" s="1" t="n">
        <v>46108</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20794-2025</t>
        </is>
      </c>
      <c r="B372" s="1" t="n">
        <v>45776</v>
      </c>
      <c r="C372" s="1" t="n">
        <v>46108</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10746-2025</t>
        </is>
      </c>
      <c r="B373" s="1" t="n">
        <v>45722.42766203704</v>
      </c>
      <c r="C373" s="1" t="n">
        <v>46108</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20805-2025</t>
        </is>
      </c>
      <c r="B374" s="1" t="n">
        <v>45776</v>
      </c>
      <c r="C374" s="1" t="n">
        <v>46108</v>
      </c>
      <c r="D374" t="inlineStr">
        <is>
          <t>GOTLANDS LÄN</t>
        </is>
      </c>
      <c r="E374" t="inlineStr">
        <is>
          <t>GOTLAND</t>
        </is>
      </c>
      <c r="G374" t="n">
        <v>3.1</v>
      </c>
      <c r="H374" t="n">
        <v>0</v>
      </c>
      <c r="I374" t="n">
        <v>0</v>
      </c>
      <c r="J374" t="n">
        <v>0</v>
      </c>
      <c r="K374" t="n">
        <v>0</v>
      </c>
      <c r="L374" t="n">
        <v>0</v>
      </c>
      <c r="M374" t="n">
        <v>0</v>
      </c>
      <c r="N374" t="n">
        <v>0</v>
      </c>
      <c r="O374" t="n">
        <v>0</v>
      </c>
      <c r="P374" t="n">
        <v>0</v>
      </c>
      <c r="Q374" t="n">
        <v>0</v>
      </c>
      <c r="R374" s="2" t="inlineStr"/>
    </row>
    <row r="375" ht="15" customHeight="1">
      <c r="A375" t="inlineStr">
        <is>
          <t>A 52249-2025</t>
        </is>
      </c>
      <c r="B375" s="1" t="n">
        <v>45953.48637731482</v>
      </c>
      <c r="C375" s="1" t="n">
        <v>46108</v>
      </c>
      <c r="D375" t="inlineStr">
        <is>
          <t>GOTLANDS LÄN</t>
        </is>
      </c>
      <c r="E375" t="inlineStr">
        <is>
          <t>GOTLAND</t>
        </is>
      </c>
      <c r="F375" t="inlineStr">
        <is>
          <t>Övriga Aktiebolag</t>
        </is>
      </c>
      <c r="G375" t="n">
        <v>1</v>
      </c>
      <c r="H375" t="n">
        <v>0</v>
      </c>
      <c r="I375" t="n">
        <v>0</v>
      </c>
      <c r="J375" t="n">
        <v>0</v>
      </c>
      <c r="K375" t="n">
        <v>0</v>
      </c>
      <c r="L375" t="n">
        <v>0</v>
      </c>
      <c r="M375" t="n">
        <v>0</v>
      </c>
      <c r="N375" t="n">
        <v>0</v>
      </c>
      <c r="O375" t="n">
        <v>0</v>
      </c>
      <c r="P375" t="n">
        <v>0</v>
      </c>
      <c r="Q375" t="n">
        <v>0</v>
      </c>
      <c r="R375" s="2" t="inlineStr"/>
    </row>
    <row r="376" ht="15" customHeight="1">
      <c r="A376" t="inlineStr">
        <is>
          <t>A 21389-2025</t>
        </is>
      </c>
      <c r="B376" s="1" t="n">
        <v>45782</v>
      </c>
      <c r="C376" s="1" t="n">
        <v>46108</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52637-2025</t>
        </is>
      </c>
      <c r="B377" s="1" t="n">
        <v>45954.75099537037</v>
      </c>
      <c r="C377" s="1" t="n">
        <v>46108</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43229-2023</t>
        </is>
      </c>
      <c r="B378" s="1" t="n">
        <v>45183.46704861111</v>
      </c>
      <c r="C378" s="1" t="n">
        <v>46108</v>
      </c>
      <c r="D378" t="inlineStr">
        <is>
          <t>GOTLANDS LÄN</t>
        </is>
      </c>
      <c r="E378" t="inlineStr">
        <is>
          <t>GOTLAND</t>
        </is>
      </c>
      <c r="G378" t="n">
        <v>7.1</v>
      </c>
      <c r="H378" t="n">
        <v>0</v>
      </c>
      <c r="I378" t="n">
        <v>0</v>
      </c>
      <c r="J378" t="n">
        <v>0</v>
      </c>
      <c r="K378" t="n">
        <v>0</v>
      </c>
      <c r="L378" t="n">
        <v>0</v>
      </c>
      <c r="M378" t="n">
        <v>0</v>
      </c>
      <c r="N378" t="n">
        <v>0</v>
      </c>
      <c r="O378" t="n">
        <v>0</v>
      </c>
      <c r="P378" t="n">
        <v>0</v>
      </c>
      <c r="Q378" t="n">
        <v>0</v>
      </c>
      <c r="R378" s="2" t="inlineStr"/>
    </row>
    <row r="379" ht="15" customHeight="1">
      <c r="A379" t="inlineStr">
        <is>
          <t>A 41038-2023</t>
        </is>
      </c>
      <c r="B379" s="1" t="n">
        <v>45173.60959490741</v>
      </c>
      <c r="C379" s="1" t="n">
        <v>46108</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53577-2025</t>
        </is>
      </c>
      <c r="B380" s="1" t="n">
        <v>45960.42224537037</v>
      </c>
      <c r="C380" s="1" t="n">
        <v>46108</v>
      </c>
      <c r="D380" t="inlineStr">
        <is>
          <t>GOTLANDS LÄN</t>
        </is>
      </c>
      <c r="E380" t="inlineStr">
        <is>
          <t>GOTLAND</t>
        </is>
      </c>
      <c r="F380" t="inlineStr">
        <is>
          <t>Övriga Aktiebolag</t>
        </is>
      </c>
      <c r="G380" t="n">
        <v>3.3</v>
      </c>
      <c r="H380" t="n">
        <v>0</v>
      </c>
      <c r="I380" t="n">
        <v>0</v>
      </c>
      <c r="J380" t="n">
        <v>0</v>
      </c>
      <c r="K380" t="n">
        <v>0</v>
      </c>
      <c r="L380" t="n">
        <v>0</v>
      </c>
      <c r="M380" t="n">
        <v>0</v>
      </c>
      <c r="N380" t="n">
        <v>0</v>
      </c>
      <c r="O380" t="n">
        <v>0</v>
      </c>
      <c r="P380" t="n">
        <v>0</v>
      </c>
      <c r="Q380" t="n">
        <v>0</v>
      </c>
      <c r="R380" s="2" t="inlineStr"/>
    </row>
    <row r="381" ht="15" customHeight="1">
      <c r="A381" t="inlineStr">
        <is>
          <t>A 53569-2025</t>
        </is>
      </c>
      <c r="B381" s="1" t="n">
        <v>45960.41155092593</v>
      </c>
      <c r="C381" s="1" t="n">
        <v>46108</v>
      </c>
      <c r="D381" t="inlineStr">
        <is>
          <t>GOTLANDS LÄN</t>
        </is>
      </c>
      <c r="E381" t="inlineStr">
        <is>
          <t>GOTLAND</t>
        </is>
      </c>
      <c r="F381" t="inlineStr">
        <is>
          <t>Övriga Aktiebolag</t>
        </is>
      </c>
      <c r="G381" t="n">
        <v>11.3</v>
      </c>
      <c r="H381" t="n">
        <v>0</v>
      </c>
      <c r="I381" t="n">
        <v>0</v>
      </c>
      <c r="J381" t="n">
        <v>0</v>
      </c>
      <c r="K381" t="n">
        <v>0</v>
      </c>
      <c r="L381" t="n">
        <v>0</v>
      </c>
      <c r="M381" t="n">
        <v>0</v>
      </c>
      <c r="N381" t="n">
        <v>0</v>
      </c>
      <c r="O381" t="n">
        <v>0</v>
      </c>
      <c r="P381" t="n">
        <v>0</v>
      </c>
      <c r="Q381" t="n">
        <v>0</v>
      </c>
      <c r="R381" s="2" t="inlineStr"/>
    </row>
    <row r="382" ht="15" customHeight="1">
      <c r="A382" t="inlineStr">
        <is>
          <t>A 21651-2025</t>
        </is>
      </c>
      <c r="B382" s="1" t="n">
        <v>45783</v>
      </c>
      <c r="C382" s="1" t="n">
        <v>46108</v>
      </c>
      <c r="D382" t="inlineStr">
        <is>
          <t>GOTLANDS LÄN</t>
        </is>
      </c>
      <c r="E382" t="inlineStr">
        <is>
          <t>GOTLAND</t>
        </is>
      </c>
      <c r="G382" t="n">
        <v>4.2</v>
      </c>
      <c r="H382" t="n">
        <v>0</v>
      </c>
      <c r="I382" t="n">
        <v>0</v>
      </c>
      <c r="J382" t="n">
        <v>0</v>
      </c>
      <c r="K382" t="n">
        <v>0</v>
      </c>
      <c r="L382" t="n">
        <v>0</v>
      </c>
      <c r="M382" t="n">
        <v>0</v>
      </c>
      <c r="N382" t="n">
        <v>0</v>
      </c>
      <c r="O382" t="n">
        <v>0</v>
      </c>
      <c r="P382" t="n">
        <v>0</v>
      </c>
      <c r="Q382" t="n">
        <v>0</v>
      </c>
      <c r="R382" s="2" t="inlineStr"/>
    </row>
    <row r="383" ht="15" customHeight="1">
      <c r="A383" t="inlineStr">
        <is>
          <t>A 24966-2023</t>
        </is>
      </c>
      <c r="B383" s="1" t="n">
        <v>45085</v>
      </c>
      <c r="C383" s="1" t="n">
        <v>46108</v>
      </c>
      <c r="D383" t="inlineStr">
        <is>
          <t>GOTLANDS LÄN</t>
        </is>
      </c>
      <c r="E383" t="inlineStr">
        <is>
          <t>GOTLAND</t>
        </is>
      </c>
      <c r="G383" t="n">
        <v>7</v>
      </c>
      <c r="H383" t="n">
        <v>0</v>
      </c>
      <c r="I383" t="n">
        <v>0</v>
      </c>
      <c r="J383" t="n">
        <v>0</v>
      </c>
      <c r="K383" t="n">
        <v>0</v>
      </c>
      <c r="L383" t="n">
        <v>0</v>
      </c>
      <c r="M383" t="n">
        <v>0</v>
      </c>
      <c r="N383" t="n">
        <v>0</v>
      </c>
      <c r="O383" t="n">
        <v>0</v>
      </c>
      <c r="P383" t="n">
        <v>0</v>
      </c>
      <c r="Q383" t="n">
        <v>0</v>
      </c>
      <c r="R383" s="2" t="inlineStr"/>
    </row>
    <row r="384" ht="15" customHeight="1">
      <c r="A384" t="inlineStr">
        <is>
          <t>A 57652-2023</t>
        </is>
      </c>
      <c r="B384" s="1" t="n">
        <v>45246</v>
      </c>
      <c r="C384" s="1" t="n">
        <v>46108</v>
      </c>
      <c r="D384" t="inlineStr">
        <is>
          <t>GOTLANDS LÄN</t>
        </is>
      </c>
      <c r="E384" t="inlineStr">
        <is>
          <t>GOTLAND</t>
        </is>
      </c>
      <c r="G384" t="n">
        <v>7.2</v>
      </c>
      <c r="H384" t="n">
        <v>0</v>
      </c>
      <c r="I384" t="n">
        <v>0</v>
      </c>
      <c r="J384" t="n">
        <v>0</v>
      </c>
      <c r="K384" t="n">
        <v>0</v>
      </c>
      <c r="L384" t="n">
        <v>0</v>
      </c>
      <c r="M384" t="n">
        <v>0</v>
      </c>
      <c r="N384" t="n">
        <v>0</v>
      </c>
      <c r="O384" t="n">
        <v>0</v>
      </c>
      <c r="P384" t="n">
        <v>0</v>
      </c>
      <c r="Q384" t="n">
        <v>0</v>
      </c>
      <c r="R384" s="2" t="inlineStr"/>
    </row>
    <row r="385" ht="15" customHeight="1">
      <c r="A385" t="inlineStr">
        <is>
          <t>A 46189-2022</t>
        </is>
      </c>
      <c r="B385" s="1" t="n">
        <v>44847</v>
      </c>
      <c r="C385" s="1" t="n">
        <v>46108</v>
      </c>
      <c r="D385" t="inlineStr">
        <is>
          <t>GOTLANDS LÄN</t>
        </is>
      </c>
      <c r="E385" t="inlineStr">
        <is>
          <t>GOTLAND</t>
        </is>
      </c>
      <c r="G385" t="n">
        <v>0.4</v>
      </c>
      <c r="H385" t="n">
        <v>0</v>
      </c>
      <c r="I385" t="n">
        <v>0</v>
      </c>
      <c r="J385" t="n">
        <v>0</v>
      </c>
      <c r="K385" t="n">
        <v>0</v>
      </c>
      <c r="L385" t="n">
        <v>0</v>
      </c>
      <c r="M385" t="n">
        <v>0</v>
      </c>
      <c r="N385" t="n">
        <v>0</v>
      </c>
      <c r="O385" t="n">
        <v>0</v>
      </c>
      <c r="P385" t="n">
        <v>0</v>
      </c>
      <c r="Q385" t="n">
        <v>0</v>
      </c>
      <c r="R385" s="2" t="inlineStr"/>
    </row>
    <row r="386" ht="15" customHeight="1">
      <c r="A386" t="inlineStr">
        <is>
          <t>A 57522-2022</t>
        </is>
      </c>
      <c r="B386" s="1" t="n">
        <v>44896</v>
      </c>
      <c r="C386" s="1" t="n">
        <v>46108</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14797-2024</t>
        </is>
      </c>
      <c r="B387" s="1" t="n">
        <v>45397.87030092593</v>
      </c>
      <c r="C387" s="1" t="n">
        <v>46108</v>
      </c>
      <c r="D387" t="inlineStr">
        <is>
          <t>GOTLANDS LÄN</t>
        </is>
      </c>
      <c r="E387" t="inlineStr">
        <is>
          <t>GOTLAND</t>
        </is>
      </c>
      <c r="G387" t="n">
        <v>8.1</v>
      </c>
      <c r="H387" t="n">
        <v>0</v>
      </c>
      <c r="I387" t="n">
        <v>0</v>
      </c>
      <c r="J387" t="n">
        <v>0</v>
      </c>
      <c r="K387" t="n">
        <v>0</v>
      </c>
      <c r="L387" t="n">
        <v>0</v>
      </c>
      <c r="M387" t="n">
        <v>0</v>
      </c>
      <c r="N387" t="n">
        <v>0</v>
      </c>
      <c r="O387" t="n">
        <v>0</v>
      </c>
      <c r="P387" t="n">
        <v>0</v>
      </c>
      <c r="Q387" t="n">
        <v>0</v>
      </c>
      <c r="R387" s="2" t="inlineStr"/>
    </row>
    <row r="388" ht="15" customHeight="1">
      <c r="A388" t="inlineStr">
        <is>
          <t>A 7837-2024</t>
        </is>
      </c>
      <c r="B388" s="1" t="n">
        <v>45349.83787037037</v>
      </c>
      <c r="C388" s="1" t="n">
        <v>46108</v>
      </c>
      <c r="D388" t="inlineStr">
        <is>
          <t>GOTLANDS LÄN</t>
        </is>
      </c>
      <c r="E388" t="inlineStr">
        <is>
          <t>GOTLAND</t>
        </is>
      </c>
      <c r="G388" t="n">
        <v>5</v>
      </c>
      <c r="H388" t="n">
        <v>0</v>
      </c>
      <c r="I388" t="n">
        <v>0</v>
      </c>
      <c r="J388" t="n">
        <v>0</v>
      </c>
      <c r="K388" t="n">
        <v>0</v>
      </c>
      <c r="L388" t="n">
        <v>0</v>
      </c>
      <c r="M388" t="n">
        <v>0</v>
      </c>
      <c r="N388" t="n">
        <v>0</v>
      </c>
      <c r="O388" t="n">
        <v>0</v>
      </c>
      <c r="P388" t="n">
        <v>0</v>
      </c>
      <c r="Q388" t="n">
        <v>0</v>
      </c>
      <c r="R388" s="2" t="inlineStr"/>
    </row>
    <row r="389" ht="15" customHeight="1">
      <c r="A389" t="inlineStr">
        <is>
          <t>A 1394-2023</t>
        </is>
      </c>
      <c r="B389" s="1" t="n">
        <v>44936.72997685185</v>
      </c>
      <c r="C389" s="1" t="n">
        <v>46108</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2676-2023</t>
        </is>
      </c>
      <c r="B390" s="1" t="n">
        <v>44944</v>
      </c>
      <c r="C390" s="1" t="n">
        <v>46108</v>
      </c>
      <c r="D390" t="inlineStr">
        <is>
          <t>GOTLANDS LÄN</t>
        </is>
      </c>
      <c r="E390" t="inlineStr">
        <is>
          <t>GOTLAND</t>
        </is>
      </c>
      <c r="G390" t="n">
        <v>0.7</v>
      </c>
      <c r="H390" t="n">
        <v>0</v>
      </c>
      <c r="I390" t="n">
        <v>0</v>
      </c>
      <c r="J390" t="n">
        <v>0</v>
      </c>
      <c r="K390" t="n">
        <v>0</v>
      </c>
      <c r="L390" t="n">
        <v>0</v>
      </c>
      <c r="M390" t="n">
        <v>0</v>
      </c>
      <c r="N390" t="n">
        <v>0</v>
      </c>
      <c r="O390" t="n">
        <v>0</v>
      </c>
      <c r="P390" t="n">
        <v>0</v>
      </c>
      <c r="Q390" t="n">
        <v>0</v>
      </c>
      <c r="R390" s="2" t="inlineStr"/>
    </row>
    <row r="391" ht="15" customHeight="1">
      <c r="A391" t="inlineStr">
        <is>
          <t>A 4387-2023</t>
        </is>
      </c>
      <c r="B391" s="1" t="n">
        <v>44955.73359953704</v>
      </c>
      <c r="C391" s="1" t="n">
        <v>46108</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49411-2023</t>
        </is>
      </c>
      <c r="B392" s="1" t="n">
        <v>45205</v>
      </c>
      <c r="C392" s="1" t="n">
        <v>46108</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37728-2024</t>
        </is>
      </c>
      <c r="B393" s="1" t="n">
        <v>45541</v>
      </c>
      <c r="C393" s="1" t="n">
        <v>46108</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56688-2025</t>
        </is>
      </c>
      <c r="B394" s="1" t="n">
        <v>45975.84331018518</v>
      </c>
      <c r="C394" s="1" t="n">
        <v>46108</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21420-2024</t>
        </is>
      </c>
      <c r="B395" s="1" t="n">
        <v>45441.38293981482</v>
      </c>
      <c r="C395" s="1" t="n">
        <v>46108</v>
      </c>
      <c r="D395" t="inlineStr">
        <is>
          <t>GOTLANDS LÄN</t>
        </is>
      </c>
      <c r="E395" t="inlineStr">
        <is>
          <t>GOTLAND</t>
        </is>
      </c>
      <c r="G395" t="n">
        <v>4.1</v>
      </c>
      <c r="H395" t="n">
        <v>0</v>
      </c>
      <c r="I395" t="n">
        <v>0</v>
      </c>
      <c r="J395" t="n">
        <v>0</v>
      </c>
      <c r="K395" t="n">
        <v>0</v>
      </c>
      <c r="L395" t="n">
        <v>0</v>
      </c>
      <c r="M395" t="n">
        <v>0</v>
      </c>
      <c r="N395" t="n">
        <v>0</v>
      </c>
      <c r="O395" t="n">
        <v>0</v>
      </c>
      <c r="P395" t="n">
        <v>0</v>
      </c>
      <c r="Q395" t="n">
        <v>0</v>
      </c>
      <c r="R395" s="2" t="inlineStr"/>
    </row>
    <row r="396" ht="15" customHeight="1">
      <c r="A396" t="inlineStr">
        <is>
          <t>A 2241-2025</t>
        </is>
      </c>
      <c r="B396" s="1" t="n">
        <v>45673.48710648148</v>
      </c>
      <c r="C396" s="1" t="n">
        <v>46108</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10656-2024</t>
        </is>
      </c>
      <c r="B397" s="1" t="n">
        <v>45368</v>
      </c>
      <c r="C397" s="1" t="n">
        <v>46108</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57356-2023</t>
        </is>
      </c>
      <c r="B398" s="1" t="n">
        <v>45240</v>
      </c>
      <c r="C398" s="1" t="n">
        <v>46108</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56799-2025</t>
        </is>
      </c>
      <c r="B399" s="1" t="n">
        <v>45978.43392361111</v>
      </c>
      <c r="C399" s="1" t="n">
        <v>46108</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28506-2023</t>
        </is>
      </c>
      <c r="B400" s="1" t="n">
        <v>45103</v>
      </c>
      <c r="C400" s="1" t="n">
        <v>46108</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23188-2025</t>
        </is>
      </c>
      <c r="B401" s="1" t="n">
        <v>45791</v>
      </c>
      <c r="C401" s="1" t="n">
        <v>46108</v>
      </c>
      <c r="D401" t="inlineStr">
        <is>
          <t>GOTLANDS LÄN</t>
        </is>
      </c>
      <c r="E401" t="inlineStr">
        <is>
          <t>GOTLAND</t>
        </is>
      </c>
      <c r="G401" t="n">
        <v>6.2</v>
      </c>
      <c r="H401" t="n">
        <v>0</v>
      </c>
      <c r="I401" t="n">
        <v>0</v>
      </c>
      <c r="J401" t="n">
        <v>0</v>
      </c>
      <c r="K401" t="n">
        <v>0</v>
      </c>
      <c r="L401" t="n">
        <v>0</v>
      </c>
      <c r="M401" t="n">
        <v>0</v>
      </c>
      <c r="N401" t="n">
        <v>0</v>
      </c>
      <c r="O401" t="n">
        <v>0</v>
      </c>
      <c r="P401" t="n">
        <v>0</v>
      </c>
      <c r="Q401" t="n">
        <v>0</v>
      </c>
      <c r="R401" s="2" t="inlineStr"/>
    </row>
    <row r="402" ht="15" customHeight="1">
      <c r="A402" t="inlineStr">
        <is>
          <t>A 22275-2023</t>
        </is>
      </c>
      <c r="B402" s="1" t="n">
        <v>45070.39875</v>
      </c>
      <c r="C402" s="1" t="n">
        <v>46108</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14635-2023</t>
        </is>
      </c>
      <c r="B403" s="1" t="n">
        <v>45013.69365740741</v>
      </c>
      <c r="C403" s="1" t="n">
        <v>46108</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63763-2023</t>
        </is>
      </c>
      <c r="B404" s="1" t="n">
        <v>45278.33944444444</v>
      </c>
      <c r="C404" s="1" t="n">
        <v>46108</v>
      </c>
      <c r="D404" t="inlineStr">
        <is>
          <t>GOTLANDS LÄN</t>
        </is>
      </c>
      <c r="E404" t="inlineStr">
        <is>
          <t>GOTLAND</t>
        </is>
      </c>
      <c r="G404" t="n">
        <v>0.5</v>
      </c>
      <c r="H404" t="n">
        <v>0</v>
      </c>
      <c r="I404" t="n">
        <v>0</v>
      </c>
      <c r="J404" t="n">
        <v>0</v>
      </c>
      <c r="K404" t="n">
        <v>0</v>
      </c>
      <c r="L404" t="n">
        <v>0</v>
      </c>
      <c r="M404" t="n">
        <v>0</v>
      </c>
      <c r="N404" t="n">
        <v>0</v>
      </c>
      <c r="O404" t="n">
        <v>0</v>
      </c>
      <c r="P404" t="n">
        <v>0</v>
      </c>
      <c r="Q404" t="n">
        <v>0</v>
      </c>
      <c r="R404" s="2" t="inlineStr"/>
    </row>
    <row r="405" ht="15" customHeight="1">
      <c r="A405" t="inlineStr">
        <is>
          <t>A 7635-2025</t>
        </is>
      </c>
      <c r="B405" s="1" t="n">
        <v>45705</v>
      </c>
      <c r="C405" s="1" t="n">
        <v>46108</v>
      </c>
      <c r="D405" t="inlineStr">
        <is>
          <t>GOTLANDS LÄN</t>
        </is>
      </c>
      <c r="E405" t="inlineStr">
        <is>
          <t>GOTLAND</t>
        </is>
      </c>
      <c r="G405" t="n">
        <v>0.9</v>
      </c>
      <c r="H405" t="n">
        <v>0</v>
      </c>
      <c r="I405" t="n">
        <v>0</v>
      </c>
      <c r="J405" t="n">
        <v>0</v>
      </c>
      <c r="K405" t="n">
        <v>0</v>
      </c>
      <c r="L405" t="n">
        <v>0</v>
      </c>
      <c r="M405" t="n">
        <v>0</v>
      </c>
      <c r="N405" t="n">
        <v>0</v>
      </c>
      <c r="O405" t="n">
        <v>0</v>
      </c>
      <c r="P405" t="n">
        <v>0</v>
      </c>
      <c r="Q405" t="n">
        <v>0</v>
      </c>
      <c r="R405" s="2" t="inlineStr"/>
    </row>
    <row r="406" ht="15" customHeight="1">
      <c r="A406" t="inlineStr">
        <is>
          <t>A 7636-2025</t>
        </is>
      </c>
      <c r="B406" s="1" t="n">
        <v>45705.7687962963</v>
      </c>
      <c r="C406" s="1" t="n">
        <v>46108</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7639-2025</t>
        </is>
      </c>
      <c r="B407" s="1" t="n">
        <v>45705.77465277778</v>
      </c>
      <c r="C407" s="1" t="n">
        <v>46108</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61682-2024</t>
        </is>
      </c>
      <c r="B408" s="1" t="n">
        <v>45647.48824074074</v>
      </c>
      <c r="C408" s="1" t="n">
        <v>46108</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15434-2024</t>
        </is>
      </c>
      <c r="B409" s="1" t="n">
        <v>45401.38836805556</v>
      </c>
      <c r="C409" s="1" t="n">
        <v>46108</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7034-2023</t>
        </is>
      </c>
      <c r="B410" s="1" t="n">
        <v>44968.32108796296</v>
      </c>
      <c r="C410" s="1" t="n">
        <v>46108</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7042-2023</t>
        </is>
      </c>
      <c r="B411" s="1" t="n">
        <v>44968</v>
      </c>
      <c r="C411" s="1" t="n">
        <v>46108</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2180-2025</t>
        </is>
      </c>
      <c r="B412" s="1" t="n">
        <v>45673</v>
      </c>
      <c r="C412" s="1" t="n">
        <v>46108</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54074-2022</t>
        </is>
      </c>
      <c r="B413" s="1" t="n">
        <v>44881</v>
      </c>
      <c r="C413" s="1" t="n">
        <v>46108</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61694-2023</t>
        </is>
      </c>
      <c r="B414" s="1" t="n">
        <v>45264</v>
      </c>
      <c r="C414" s="1" t="n">
        <v>46108</v>
      </c>
      <c r="D414" t="inlineStr">
        <is>
          <t>GOTLANDS LÄN</t>
        </is>
      </c>
      <c r="E414" t="inlineStr">
        <is>
          <t>GOTLAND</t>
        </is>
      </c>
      <c r="G414" t="n">
        <v>4.6</v>
      </c>
      <c r="H414" t="n">
        <v>0</v>
      </c>
      <c r="I414" t="n">
        <v>0</v>
      </c>
      <c r="J414" t="n">
        <v>0</v>
      </c>
      <c r="K414" t="n">
        <v>0</v>
      </c>
      <c r="L414" t="n">
        <v>0</v>
      </c>
      <c r="M414" t="n">
        <v>0</v>
      </c>
      <c r="N414" t="n">
        <v>0</v>
      </c>
      <c r="O414" t="n">
        <v>0</v>
      </c>
      <c r="P414" t="n">
        <v>0</v>
      </c>
      <c r="Q414" t="n">
        <v>0</v>
      </c>
      <c r="R414" s="2" t="inlineStr"/>
    </row>
    <row r="415" ht="15" customHeight="1">
      <c r="A415" t="inlineStr">
        <is>
          <t>A 64208-2021</t>
        </is>
      </c>
      <c r="B415" s="1" t="n">
        <v>44510</v>
      </c>
      <c r="C415" s="1" t="n">
        <v>46108</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23856-2025</t>
        </is>
      </c>
      <c r="B416" s="1" t="n">
        <v>45793</v>
      </c>
      <c r="C416" s="1" t="n">
        <v>46108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46108</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23473-2025</t>
        </is>
      </c>
      <c r="B418" s="1" t="n">
        <v>45792</v>
      </c>
      <c r="C418" s="1" t="n">
        <v>46108</v>
      </c>
      <c r="D418" t="inlineStr">
        <is>
          <t>GOTLANDS LÄN</t>
        </is>
      </c>
      <c r="E418" t="inlineStr">
        <is>
          <t>GOTLAND</t>
        </is>
      </c>
      <c r="G418" t="n">
        <v>3.6</v>
      </c>
      <c r="H418" t="n">
        <v>0</v>
      </c>
      <c r="I418" t="n">
        <v>0</v>
      </c>
      <c r="J418" t="n">
        <v>0</v>
      </c>
      <c r="K418" t="n">
        <v>0</v>
      </c>
      <c r="L418" t="n">
        <v>0</v>
      </c>
      <c r="M418" t="n">
        <v>0</v>
      </c>
      <c r="N418" t="n">
        <v>0</v>
      </c>
      <c r="O418" t="n">
        <v>0</v>
      </c>
      <c r="P418" t="n">
        <v>0</v>
      </c>
      <c r="Q418" t="n">
        <v>0</v>
      </c>
      <c r="R418" s="2" t="inlineStr"/>
    </row>
    <row r="419" ht="15" customHeight="1">
      <c r="A419" t="inlineStr">
        <is>
          <t>A 1446-2025</t>
        </is>
      </c>
      <c r="B419" s="1" t="n">
        <v>45669.86035879629</v>
      </c>
      <c r="C419" s="1" t="n">
        <v>46108</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1462-2025</t>
        </is>
      </c>
      <c r="B420" s="1" t="n">
        <v>45670.36319444444</v>
      </c>
      <c r="C420" s="1" t="n">
        <v>46108</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57685-2022</t>
        </is>
      </c>
      <c r="B421" s="1" t="n">
        <v>44897.4777662037</v>
      </c>
      <c r="C421" s="1" t="n">
        <v>46108</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59197-2025</t>
        </is>
      </c>
      <c r="B422" s="1" t="n">
        <v>45988.59846064815</v>
      </c>
      <c r="C422" s="1" t="n">
        <v>46108</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811-2023</t>
        </is>
      </c>
      <c r="B423" s="1" t="n">
        <v>44931</v>
      </c>
      <c r="C423" s="1" t="n">
        <v>46108</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36319-2025</t>
        </is>
      </c>
      <c r="B424" s="1" t="n">
        <v>45868</v>
      </c>
      <c r="C424" s="1" t="n">
        <v>46108</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23698-2025</t>
        </is>
      </c>
      <c r="B425" s="1" t="n">
        <v>45793</v>
      </c>
      <c r="C425" s="1" t="n">
        <v>46108</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5905-2024</t>
        </is>
      </c>
      <c r="B426" s="1" t="n">
        <v>45335.88993055555</v>
      </c>
      <c r="C426" s="1" t="n">
        <v>46108</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15073-2025</t>
        </is>
      </c>
      <c r="B427" s="1" t="n">
        <v>45743</v>
      </c>
      <c r="C427" s="1" t="n">
        <v>46108</v>
      </c>
      <c r="D427" t="inlineStr">
        <is>
          <t>GOTLANDS LÄN</t>
        </is>
      </c>
      <c r="E427" t="inlineStr">
        <is>
          <t>GOTLAND</t>
        </is>
      </c>
      <c r="G427" t="n">
        <v>12.1</v>
      </c>
      <c r="H427" t="n">
        <v>0</v>
      </c>
      <c r="I427" t="n">
        <v>0</v>
      </c>
      <c r="J427" t="n">
        <v>0</v>
      </c>
      <c r="K427" t="n">
        <v>0</v>
      </c>
      <c r="L427" t="n">
        <v>0</v>
      </c>
      <c r="M427" t="n">
        <v>0</v>
      </c>
      <c r="N427" t="n">
        <v>0</v>
      </c>
      <c r="O427" t="n">
        <v>0</v>
      </c>
      <c r="P427" t="n">
        <v>0</v>
      </c>
      <c r="Q427" t="n">
        <v>0</v>
      </c>
      <c r="R427" s="2" t="inlineStr"/>
    </row>
    <row r="428" ht="15" customHeight="1">
      <c r="A428" t="inlineStr">
        <is>
          <t>A 3431-2025</t>
        </is>
      </c>
      <c r="B428" s="1" t="n">
        <v>45680.42935185185</v>
      </c>
      <c r="C428" s="1" t="n">
        <v>46108</v>
      </c>
      <c r="D428" t="inlineStr">
        <is>
          <t>GOTLANDS LÄN</t>
        </is>
      </c>
      <c r="E428" t="inlineStr">
        <is>
          <t>GOTLAND</t>
        </is>
      </c>
      <c r="G428" t="n">
        <v>4.8</v>
      </c>
      <c r="H428" t="n">
        <v>0</v>
      </c>
      <c r="I428" t="n">
        <v>0</v>
      </c>
      <c r="J428" t="n">
        <v>0</v>
      </c>
      <c r="K428" t="n">
        <v>0</v>
      </c>
      <c r="L428" t="n">
        <v>0</v>
      </c>
      <c r="M428" t="n">
        <v>0</v>
      </c>
      <c r="N428" t="n">
        <v>0</v>
      </c>
      <c r="O428" t="n">
        <v>0</v>
      </c>
      <c r="P428" t="n">
        <v>0</v>
      </c>
      <c r="Q428" t="n">
        <v>0</v>
      </c>
      <c r="R428" s="2" t="inlineStr"/>
    </row>
    <row r="429" ht="15" customHeight="1">
      <c r="A429" t="inlineStr">
        <is>
          <t>A 34407-2023</t>
        </is>
      </c>
      <c r="B429" s="1" t="n">
        <v>45132</v>
      </c>
      <c r="C429" s="1" t="n">
        <v>46108</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30892-2024</t>
        </is>
      </c>
      <c r="B430" s="1" t="n">
        <v>45491</v>
      </c>
      <c r="C430" s="1" t="n">
        <v>46108</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32958-2021</t>
        </is>
      </c>
      <c r="B431" s="1" t="n">
        <v>44376</v>
      </c>
      <c r="C431" s="1" t="n">
        <v>46108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7858-2025</t>
        </is>
      </c>
      <c r="B432" s="1" t="n">
        <v>45706.68633101852</v>
      </c>
      <c r="C432" s="1" t="n">
        <v>46108</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46545-2024</t>
        </is>
      </c>
      <c r="B433" s="1" t="n">
        <v>45582.65831018519</v>
      </c>
      <c r="C433" s="1" t="n">
        <v>46108</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999-2023</t>
        </is>
      </c>
      <c r="B434" s="1" t="n">
        <v>44935</v>
      </c>
      <c r="C434" s="1" t="n">
        <v>46108</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1364-2025</t>
        </is>
      </c>
      <c r="B435" s="1" t="n">
        <v>45667.63929398148</v>
      </c>
      <c r="C435" s="1" t="n">
        <v>46108</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2125-2025</t>
        </is>
      </c>
      <c r="B436" s="1" t="n">
        <v>45672.64940972222</v>
      </c>
      <c r="C436" s="1" t="n">
        <v>46108</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46108</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44998.49106481481</v>
      </c>
      <c r="C438" s="1" t="n">
        <v>46108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6749-2025</t>
        </is>
      </c>
      <c r="B439" s="1" t="n">
        <v>45700</v>
      </c>
      <c r="C439" s="1" t="n">
        <v>46108</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2774-2024</t>
        </is>
      </c>
      <c r="B440" s="1" t="n">
        <v>45314.62375</v>
      </c>
      <c r="C440" s="1" t="n">
        <v>46108</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9947-2024</t>
        </is>
      </c>
      <c r="B441" s="1" t="n">
        <v>45363</v>
      </c>
      <c r="C441" s="1" t="n">
        <v>46108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42007-2023</t>
        </is>
      </c>
      <c r="B442" s="1" t="n">
        <v>45177</v>
      </c>
      <c r="C442" s="1" t="n">
        <v>46108</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5462-2025</t>
        </is>
      </c>
      <c r="B443" s="1" t="n">
        <v>45693.29331018519</v>
      </c>
      <c r="C443" s="1" t="n">
        <v>46108</v>
      </c>
      <c r="D443" t="inlineStr">
        <is>
          <t>GOTLANDS LÄN</t>
        </is>
      </c>
      <c r="E443" t="inlineStr">
        <is>
          <t>GOTLAND</t>
        </is>
      </c>
      <c r="G443" t="n">
        <v>2.6</v>
      </c>
      <c r="H443" t="n">
        <v>0</v>
      </c>
      <c r="I443" t="n">
        <v>0</v>
      </c>
      <c r="J443" t="n">
        <v>0</v>
      </c>
      <c r="K443" t="n">
        <v>0</v>
      </c>
      <c r="L443" t="n">
        <v>0</v>
      </c>
      <c r="M443" t="n">
        <v>0</v>
      </c>
      <c r="N443" t="n">
        <v>0</v>
      </c>
      <c r="O443" t="n">
        <v>0</v>
      </c>
      <c r="P443" t="n">
        <v>0</v>
      </c>
      <c r="Q443" t="n">
        <v>0</v>
      </c>
      <c r="R443" s="2" t="inlineStr"/>
    </row>
    <row r="444" ht="15" customHeight="1">
      <c r="A444" t="inlineStr">
        <is>
          <t>A 62066-2025</t>
        </is>
      </c>
      <c r="B444" s="1" t="n">
        <v>46006.34738425926</v>
      </c>
      <c r="C444" s="1" t="n">
        <v>46108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62103-2025</t>
        </is>
      </c>
      <c r="B445" s="1" t="n">
        <v>46006</v>
      </c>
      <c r="C445" s="1" t="n">
        <v>46108</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63002-2025</t>
        </is>
      </c>
      <c r="B446" s="1" t="n">
        <v>46009.56564814815</v>
      </c>
      <c r="C446" s="1" t="n">
        <v>46108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15083-2025</t>
        </is>
      </c>
      <c r="B447" s="1" t="n">
        <v>45743</v>
      </c>
      <c r="C447" s="1" t="n">
        <v>46108</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54584-2025</t>
        </is>
      </c>
      <c r="B448" s="1" t="n">
        <v>45965.71788194445</v>
      </c>
      <c r="C448" s="1" t="n">
        <v>46108</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46108</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1066-2024</t>
        </is>
      </c>
      <c r="B450" s="1" t="n">
        <v>45302.285</v>
      </c>
      <c r="C450" s="1" t="n">
        <v>46108</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61078-2025</t>
        </is>
      </c>
      <c r="B451" s="1" t="n">
        <v>46000</v>
      </c>
      <c r="C451" s="1" t="n">
        <v>46108</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46108</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36-2026</t>
        </is>
      </c>
      <c r="B453" s="1" t="n">
        <v>46024.38886574074</v>
      </c>
      <c r="C453" s="1" t="n">
        <v>46108</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30815-2023</t>
        </is>
      </c>
      <c r="B454" s="1" t="n">
        <v>45112</v>
      </c>
      <c r="C454" s="1" t="n">
        <v>46108</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25796-2025</t>
        </is>
      </c>
      <c r="B455" s="1" t="n">
        <v>45804.39543981481</v>
      </c>
      <c r="C455" s="1" t="n">
        <v>46108</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62674-2025</t>
        </is>
      </c>
      <c r="B456" s="1" t="n">
        <v>46008</v>
      </c>
      <c r="C456" s="1" t="n">
        <v>46108</v>
      </c>
      <c r="D456" t="inlineStr">
        <is>
          <t>GOTLANDS LÄN</t>
        </is>
      </c>
      <c r="E456" t="inlineStr">
        <is>
          <t>GOTLAND</t>
        </is>
      </c>
      <c r="G456" t="n">
        <v>5</v>
      </c>
      <c r="H456" t="n">
        <v>0</v>
      </c>
      <c r="I456" t="n">
        <v>0</v>
      </c>
      <c r="J456" t="n">
        <v>0</v>
      </c>
      <c r="K456" t="n">
        <v>0</v>
      </c>
      <c r="L456" t="n">
        <v>0</v>
      </c>
      <c r="M456" t="n">
        <v>0</v>
      </c>
      <c r="N456" t="n">
        <v>0</v>
      </c>
      <c r="O456" t="n">
        <v>0</v>
      </c>
      <c r="P456" t="n">
        <v>0</v>
      </c>
      <c r="Q456" t="n">
        <v>0</v>
      </c>
      <c r="R456" s="2" t="inlineStr"/>
    </row>
    <row r="457" ht="15" customHeight="1">
      <c r="A457" t="inlineStr">
        <is>
          <t>A 9543-2026</t>
        </is>
      </c>
      <c r="B457" s="1" t="n">
        <v>46071.62486111111</v>
      </c>
      <c r="C457" s="1" t="n">
        <v>46108</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46400-2023</t>
        </is>
      </c>
      <c r="B458" s="1" t="n">
        <v>45197.49290509259</v>
      </c>
      <c r="C458" s="1" t="n">
        <v>46108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9518-2026</t>
        </is>
      </c>
      <c r="B459" s="1" t="n">
        <v>46071.59653935185</v>
      </c>
      <c r="C459" s="1" t="n">
        <v>46108</v>
      </c>
      <c r="D459" t="inlineStr">
        <is>
          <t>GOTLANDS LÄN</t>
        </is>
      </c>
      <c r="E459" t="inlineStr">
        <is>
          <t>GOTLAND</t>
        </is>
      </c>
      <c r="G459" t="n">
        <v>6.2</v>
      </c>
      <c r="H459" t="n">
        <v>0</v>
      </c>
      <c r="I459" t="n">
        <v>0</v>
      </c>
      <c r="J459" t="n">
        <v>0</v>
      </c>
      <c r="K459" t="n">
        <v>0</v>
      </c>
      <c r="L459" t="n">
        <v>0</v>
      </c>
      <c r="M459" t="n">
        <v>0</v>
      </c>
      <c r="N459" t="n">
        <v>0</v>
      </c>
      <c r="O459" t="n">
        <v>0</v>
      </c>
      <c r="P459" t="n">
        <v>0</v>
      </c>
      <c r="Q459" t="n">
        <v>0</v>
      </c>
      <c r="R459" s="2" t="inlineStr"/>
    </row>
    <row r="460" ht="15" customHeight="1">
      <c r="A460" t="inlineStr">
        <is>
          <t>A 10492-2023</t>
        </is>
      </c>
      <c r="B460" s="1" t="n">
        <v>44987</v>
      </c>
      <c r="C460" s="1" t="n">
        <v>46108</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9524-2026</t>
        </is>
      </c>
      <c r="B461" s="1" t="n">
        <v>46071.60108796296</v>
      </c>
      <c r="C461" s="1" t="n">
        <v>46108</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v>
      </c>
      <c r="C462" s="1" t="n">
        <v>46108</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26465-2025</t>
        </is>
      </c>
      <c r="B463" s="1" t="n">
        <v>45807.44377314814</v>
      </c>
      <c r="C463" s="1" t="n">
        <v>46108</v>
      </c>
      <c r="D463" t="inlineStr">
        <is>
          <t>GOTLANDS LÄN</t>
        </is>
      </c>
      <c r="E463" t="inlineStr">
        <is>
          <t>GOTLAND</t>
        </is>
      </c>
      <c r="G463" t="n">
        <v>4.5</v>
      </c>
      <c r="H463" t="n">
        <v>0</v>
      </c>
      <c r="I463" t="n">
        <v>0</v>
      </c>
      <c r="J463" t="n">
        <v>0</v>
      </c>
      <c r="K463" t="n">
        <v>0</v>
      </c>
      <c r="L463" t="n">
        <v>0</v>
      </c>
      <c r="M463" t="n">
        <v>0</v>
      </c>
      <c r="N463" t="n">
        <v>0</v>
      </c>
      <c r="O463" t="n">
        <v>0</v>
      </c>
      <c r="P463" t="n">
        <v>0</v>
      </c>
      <c r="Q463" t="n">
        <v>0</v>
      </c>
      <c r="R463" s="2" t="inlineStr"/>
    </row>
    <row r="464" ht="15" customHeight="1">
      <c r="A464" t="inlineStr">
        <is>
          <t>A 9519-2026</t>
        </is>
      </c>
      <c r="B464" s="1" t="n">
        <v>46071.59820601852</v>
      </c>
      <c r="C464" s="1" t="n">
        <v>46108</v>
      </c>
      <c r="D464" t="inlineStr">
        <is>
          <t>GOTLANDS LÄN</t>
        </is>
      </c>
      <c r="E464" t="inlineStr">
        <is>
          <t>GOTLAND</t>
        </is>
      </c>
      <c r="G464" t="n">
        <v>4</v>
      </c>
      <c r="H464" t="n">
        <v>0</v>
      </c>
      <c r="I464" t="n">
        <v>0</v>
      </c>
      <c r="J464" t="n">
        <v>0</v>
      </c>
      <c r="K464" t="n">
        <v>0</v>
      </c>
      <c r="L464" t="n">
        <v>0</v>
      </c>
      <c r="M464" t="n">
        <v>0</v>
      </c>
      <c r="N464" t="n">
        <v>0</v>
      </c>
      <c r="O464" t="n">
        <v>0</v>
      </c>
      <c r="P464" t="n">
        <v>0</v>
      </c>
      <c r="Q464" t="n">
        <v>0</v>
      </c>
      <c r="R464" s="2" t="inlineStr"/>
    </row>
    <row r="465" ht="15" customHeight="1">
      <c r="A465" t="inlineStr">
        <is>
          <t>A 26457-2025</t>
        </is>
      </c>
      <c r="B465" s="1" t="n">
        <v>45807.42773148148</v>
      </c>
      <c r="C465" s="1" t="n">
        <v>46108</v>
      </c>
      <c r="D465" t="inlineStr">
        <is>
          <t>GOTLANDS LÄN</t>
        </is>
      </c>
      <c r="E465" t="inlineStr">
        <is>
          <t>GOTLAND</t>
        </is>
      </c>
      <c r="G465" t="n">
        <v>5.7</v>
      </c>
      <c r="H465" t="n">
        <v>0</v>
      </c>
      <c r="I465" t="n">
        <v>0</v>
      </c>
      <c r="J465" t="n">
        <v>0</v>
      </c>
      <c r="K465" t="n">
        <v>0</v>
      </c>
      <c r="L465" t="n">
        <v>0</v>
      </c>
      <c r="M465" t="n">
        <v>0</v>
      </c>
      <c r="N465" t="n">
        <v>0</v>
      </c>
      <c r="O465" t="n">
        <v>0</v>
      </c>
      <c r="P465" t="n">
        <v>0</v>
      </c>
      <c r="Q465" t="n">
        <v>0</v>
      </c>
      <c r="R465" s="2" t="inlineStr"/>
    </row>
    <row r="466" ht="15" customHeight="1">
      <c r="A466" t="inlineStr">
        <is>
          <t>A 26467-2025</t>
        </is>
      </c>
      <c r="B466" s="1" t="n">
        <v>45807.44640046296</v>
      </c>
      <c r="C466" s="1" t="n">
        <v>46108</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9521-2026</t>
        </is>
      </c>
      <c r="B467" s="1" t="n">
        <v>46071.59969907408</v>
      </c>
      <c r="C467" s="1" t="n">
        <v>46108</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9504-2026</t>
        </is>
      </c>
      <c r="B468" s="1" t="n">
        <v>46071.57730324074</v>
      </c>
      <c r="C468" s="1" t="n">
        <v>46108</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9540-2026</t>
        </is>
      </c>
      <c r="B469" s="1" t="n">
        <v>46071.61961805556</v>
      </c>
      <c r="C469" s="1" t="n">
        <v>46108</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1355-2026</t>
        </is>
      </c>
      <c r="B470" s="1" t="n">
        <v>46031.59909722222</v>
      </c>
      <c r="C470" s="1" t="n">
        <v>46108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44919-2022</t>
        </is>
      </c>
      <c r="B471" s="1" t="n">
        <v>44841</v>
      </c>
      <c r="C471" s="1" t="n">
        <v>46108</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16501-2023</t>
        </is>
      </c>
      <c r="B472" s="1" t="n">
        <v>45029</v>
      </c>
      <c r="C472" s="1" t="n">
        <v>46108</v>
      </c>
      <c r="D472" t="inlineStr">
        <is>
          <t>GOTLANDS LÄN</t>
        </is>
      </c>
      <c r="E472" t="inlineStr">
        <is>
          <t>GOTLAND</t>
        </is>
      </c>
      <c r="G472" t="n">
        <v>3.1</v>
      </c>
      <c r="H472" t="n">
        <v>0</v>
      </c>
      <c r="I472" t="n">
        <v>0</v>
      </c>
      <c r="J472" t="n">
        <v>0</v>
      </c>
      <c r="K472" t="n">
        <v>0</v>
      </c>
      <c r="L472" t="n">
        <v>0</v>
      </c>
      <c r="M472" t="n">
        <v>0</v>
      </c>
      <c r="N472" t="n">
        <v>0</v>
      </c>
      <c r="O472" t="n">
        <v>0</v>
      </c>
      <c r="P472" t="n">
        <v>0</v>
      </c>
      <c r="Q472" t="n">
        <v>0</v>
      </c>
      <c r="R472" s="2" t="inlineStr"/>
    </row>
    <row r="473" ht="15" customHeight="1">
      <c r="A473" t="inlineStr">
        <is>
          <t>A 27095-2022</t>
        </is>
      </c>
      <c r="B473" s="1" t="n">
        <v>44741</v>
      </c>
      <c r="C473" s="1" t="n">
        <v>46108</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458-2023</t>
        </is>
      </c>
      <c r="B474" s="1" t="n">
        <v>44929</v>
      </c>
      <c r="C474" s="1" t="n">
        <v>46108</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9901-2026</t>
        </is>
      </c>
      <c r="B475" s="1" t="n">
        <v>46073.40391203704</v>
      </c>
      <c r="C475" s="1" t="n">
        <v>46108</v>
      </c>
      <c r="D475" t="inlineStr">
        <is>
          <t>GOTLANDS LÄN</t>
        </is>
      </c>
      <c r="E475" t="inlineStr">
        <is>
          <t>GOTLAND</t>
        </is>
      </c>
      <c r="F475" t="inlineStr">
        <is>
          <t>Kyrkan</t>
        </is>
      </c>
      <c r="G475" t="n">
        <v>0.9</v>
      </c>
      <c r="H475" t="n">
        <v>0</v>
      </c>
      <c r="I475" t="n">
        <v>0</v>
      </c>
      <c r="J475" t="n">
        <v>0</v>
      </c>
      <c r="K475" t="n">
        <v>0</v>
      </c>
      <c r="L475" t="n">
        <v>0</v>
      </c>
      <c r="M475" t="n">
        <v>0</v>
      </c>
      <c r="N475" t="n">
        <v>0</v>
      </c>
      <c r="O475" t="n">
        <v>0</v>
      </c>
      <c r="P475" t="n">
        <v>0</v>
      </c>
      <c r="Q475" t="n">
        <v>0</v>
      </c>
      <c r="R475" s="2" t="inlineStr"/>
    </row>
    <row r="476" ht="15" customHeight="1">
      <c r="A476" t="inlineStr">
        <is>
          <t>A 1291-2023</t>
        </is>
      </c>
      <c r="B476" s="1" t="n">
        <v>44936.47561342592</v>
      </c>
      <c r="C476" s="1" t="n">
        <v>46108</v>
      </c>
      <c r="D476" t="inlineStr">
        <is>
          <t>GOTLANDS LÄN</t>
        </is>
      </c>
      <c r="E476" t="inlineStr">
        <is>
          <t>GOTLAND</t>
        </is>
      </c>
      <c r="G476" t="n">
        <v>7.4</v>
      </c>
      <c r="H476" t="n">
        <v>0</v>
      </c>
      <c r="I476" t="n">
        <v>0</v>
      </c>
      <c r="J476" t="n">
        <v>0</v>
      </c>
      <c r="K476" t="n">
        <v>0</v>
      </c>
      <c r="L476" t="n">
        <v>0</v>
      </c>
      <c r="M476" t="n">
        <v>0</v>
      </c>
      <c r="N476" t="n">
        <v>0</v>
      </c>
      <c r="O476" t="n">
        <v>0</v>
      </c>
      <c r="P476" t="n">
        <v>0</v>
      </c>
      <c r="Q476" t="n">
        <v>0</v>
      </c>
      <c r="R476" s="2" t="inlineStr"/>
    </row>
    <row r="477" ht="15" customHeight="1">
      <c r="A477" t="inlineStr">
        <is>
          <t>A 26660-2025</t>
        </is>
      </c>
      <c r="B477" s="1" t="n">
        <v>45810.39737268518</v>
      </c>
      <c r="C477" s="1" t="n">
        <v>46108</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10486-2026</t>
        </is>
      </c>
      <c r="B478" s="1" t="n">
        <v>46077.51425925926</v>
      </c>
      <c r="C478" s="1" t="n">
        <v>46108</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46108</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1898-2026</t>
        </is>
      </c>
      <c r="B480" s="1" t="n">
        <v>46035.52024305556</v>
      </c>
      <c r="C480" s="1" t="n">
        <v>46108</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5891-2025</t>
        </is>
      </c>
      <c r="B481" s="1" t="n">
        <v>45695.38327546296</v>
      </c>
      <c r="C481" s="1" t="n">
        <v>46108</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27355-2025</t>
        </is>
      </c>
      <c r="B482" s="1" t="n">
        <v>45812</v>
      </c>
      <c r="C482" s="1" t="n">
        <v>46108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27371-2025</t>
        </is>
      </c>
      <c r="B483" s="1" t="n">
        <v>45812</v>
      </c>
      <c r="C483" s="1" t="n">
        <v>46108</v>
      </c>
      <c r="D483" t="inlineStr">
        <is>
          <t>GOTLANDS LÄN</t>
        </is>
      </c>
      <c r="E483" t="inlineStr">
        <is>
          <t>GOTLAND</t>
        </is>
      </c>
      <c r="G483" t="n">
        <v>8</v>
      </c>
      <c r="H483" t="n">
        <v>0</v>
      </c>
      <c r="I483" t="n">
        <v>0</v>
      </c>
      <c r="J483" t="n">
        <v>0</v>
      </c>
      <c r="K483" t="n">
        <v>0</v>
      </c>
      <c r="L483" t="n">
        <v>0</v>
      </c>
      <c r="M483" t="n">
        <v>0</v>
      </c>
      <c r="N483" t="n">
        <v>0</v>
      </c>
      <c r="O483" t="n">
        <v>0</v>
      </c>
      <c r="P483" t="n">
        <v>0</v>
      </c>
      <c r="Q483" t="n">
        <v>0</v>
      </c>
      <c r="R483" s="2" t="inlineStr"/>
    </row>
    <row r="484" ht="15" customHeight="1">
      <c r="A484" t="inlineStr">
        <is>
          <t>A 10284-2026</t>
        </is>
      </c>
      <c r="B484" s="1" t="n">
        <v>46076</v>
      </c>
      <c r="C484" s="1" t="n">
        <v>46108</v>
      </c>
      <c r="D484" t="inlineStr">
        <is>
          <t>GOTLANDS LÄN</t>
        </is>
      </c>
      <c r="E484" t="inlineStr">
        <is>
          <t>GOTLAND</t>
        </is>
      </c>
      <c r="G484" t="n">
        <v>5.2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46108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17144-2025</t>
        </is>
      </c>
      <c r="B486" s="1" t="n">
        <v>45755.9499537037</v>
      </c>
      <c r="C486" s="1" t="n">
        <v>46108</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49314-2024</t>
        </is>
      </c>
      <c r="B487" s="1" t="n">
        <v>45595.55893518519</v>
      </c>
      <c r="C487" s="1" t="n">
        <v>46108</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46108</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44755.8713425926</v>
      </c>
      <c r="C489" s="1" t="n">
        <v>46108</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46108</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7850-2025</t>
        </is>
      </c>
      <c r="B491" s="1" t="n">
        <v>45706</v>
      </c>
      <c r="C491" s="1" t="n">
        <v>46108</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46108</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6739-2025</t>
        </is>
      </c>
      <c r="B493" s="1" t="n">
        <v>45700</v>
      </c>
      <c r="C493" s="1" t="n">
        <v>46108</v>
      </c>
      <c r="D493" t="inlineStr">
        <is>
          <t>GOTLANDS LÄN</t>
        </is>
      </c>
      <c r="E493" t="inlineStr">
        <is>
          <t>GOTLAND</t>
        </is>
      </c>
      <c r="G493" t="n">
        <v>4.5</v>
      </c>
      <c r="H493" t="n">
        <v>0</v>
      </c>
      <c r="I493" t="n">
        <v>0</v>
      </c>
      <c r="J493" t="n">
        <v>0</v>
      </c>
      <c r="K493" t="n">
        <v>0</v>
      </c>
      <c r="L493" t="n">
        <v>0</v>
      </c>
      <c r="M493" t="n">
        <v>0</v>
      </c>
      <c r="N493" t="n">
        <v>0</v>
      </c>
      <c r="O493" t="n">
        <v>0</v>
      </c>
      <c r="P493" t="n">
        <v>0</v>
      </c>
      <c r="Q493" t="n">
        <v>0</v>
      </c>
      <c r="R493" s="2" t="inlineStr"/>
    </row>
    <row r="494" ht="15" customHeight="1">
      <c r="A494" t="inlineStr">
        <is>
          <t>A 3253-2026</t>
        </is>
      </c>
      <c r="B494" s="1" t="n">
        <v>46041.58902777778</v>
      </c>
      <c r="C494" s="1" t="n">
        <v>46108</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11414-2026</t>
        </is>
      </c>
      <c r="B495" s="1" t="n">
        <v>46083.46336805556</v>
      </c>
      <c r="C495" s="1" t="n">
        <v>46108</v>
      </c>
      <c r="D495" t="inlineStr">
        <is>
          <t>GOTLANDS LÄN</t>
        </is>
      </c>
      <c r="E495" t="inlineStr">
        <is>
          <t>GOTLAND</t>
        </is>
      </c>
      <c r="G495" t="n">
        <v>4.9</v>
      </c>
      <c r="H495" t="n">
        <v>0</v>
      </c>
      <c r="I495" t="n">
        <v>0</v>
      </c>
      <c r="J495" t="n">
        <v>0</v>
      </c>
      <c r="K495" t="n">
        <v>0</v>
      </c>
      <c r="L495" t="n">
        <v>0</v>
      </c>
      <c r="M495" t="n">
        <v>0</v>
      </c>
      <c r="N495" t="n">
        <v>0</v>
      </c>
      <c r="O495" t="n">
        <v>0</v>
      </c>
      <c r="P495" t="n">
        <v>0</v>
      </c>
      <c r="Q495" t="n">
        <v>0</v>
      </c>
      <c r="R495" s="2" t="inlineStr"/>
    </row>
    <row r="496" ht="15" customHeight="1">
      <c r="A496" t="inlineStr">
        <is>
          <t>A 8444-2025</t>
        </is>
      </c>
      <c r="B496" s="1" t="n">
        <v>45709</v>
      </c>
      <c r="C496" s="1" t="n">
        <v>46108</v>
      </c>
      <c r="D496" t="inlineStr">
        <is>
          <t>GOTLANDS LÄN</t>
        </is>
      </c>
      <c r="E496" t="inlineStr">
        <is>
          <t>GOTLAND</t>
        </is>
      </c>
      <c r="G496" t="n">
        <v>5.2</v>
      </c>
      <c r="H496" t="n">
        <v>0</v>
      </c>
      <c r="I496" t="n">
        <v>0</v>
      </c>
      <c r="J496" t="n">
        <v>0</v>
      </c>
      <c r="K496" t="n">
        <v>0</v>
      </c>
      <c r="L496" t="n">
        <v>0</v>
      </c>
      <c r="M496" t="n">
        <v>0</v>
      </c>
      <c r="N496" t="n">
        <v>0</v>
      </c>
      <c r="O496" t="n">
        <v>0</v>
      </c>
      <c r="P496" t="n">
        <v>0</v>
      </c>
      <c r="Q496" t="n">
        <v>0</v>
      </c>
      <c r="R496" s="2" t="inlineStr"/>
    </row>
    <row r="497" ht="15" customHeight="1">
      <c r="A497" t="inlineStr">
        <is>
          <t>A 19905-2025</t>
        </is>
      </c>
      <c r="B497" s="1" t="n">
        <v>45771</v>
      </c>
      <c r="C497" s="1" t="n">
        <v>46108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46108</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1175-2025</t>
        </is>
      </c>
      <c r="B499" s="1" t="n">
        <v>45667.34449074074</v>
      </c>
      <c r="C499" s="1" t="n">
        <v>46108</v>
      </c>
      <c r="D499" t="inlineStr">
        <is>
          <t>GOTLANDS LÄN</t>
        </is>
      </c>
      <c r="E499" t="inlineStr">
        <is>
          <t>GOTLAND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11424-2026</t>
        </is>
      </c>
      <c r="B500" s="1" t="n">
        <v>46083.48068287037</v>
      </c>
      <c r="C500" s="1" t="n">
        <v>46108</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29207-2025</t>
        </is>
      </c>
      <c r="B501" s="1" t="n">
        <v>45823</v>
      </c>
      <c r="C501" s="1" t="n">
        <v>46108</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29196-2025</t>
        </is>
      </c>
      <c r="B502" s="1" t="n">
        <v>45822</v>
      </c>
      <c r="C502" s="1" t="n">
        <v>46108</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42201-2023</t>
        </is>
      </c>
      <c r="B503" s="1" t="n">
        <v>45179</v>
      </c>
      <c r="C503" s="1" t="n">
        <v>46108</v>
      </c>
      <c r="D503" t="inlineStr">
        <is>
          <t>GOTLANDS LÄN</t>
        </is>
      </c>
      <c r="E503" t="inlineStr">
        <is>
          <t>GOTLAND</t>
        </is>
      </c>
      <c r="G503" t="n">
        <v>11.9</v>
      </c>
      <c r="H503" t="n">
        <v>0</v>
      </c>
      <c r="I503" t="n">
        <v>0</v>
      </c>
      <c r="J503" t="n">
        <v>0</v>
      </c>
      <c r="K503" t="n">
        <v>0</v>
      </c>
      <c r="L503" t="n">
        <v>0</v>
      </c>
      <c r="M503" t="n">
        <v>0</v>
      </c>
      <c r="N503" t="n">
        <v>0</v>
      </c>
      <c r="O503" t="n">
        <v>0</v>
      </c>
      <c r="P503" t="n">
        <v>0</v>
      </c>
      <c r="Q503" t="n">
        <v>0</v>
      </c>
      <c r="R503" s="2" t="inlineStr"/>
    </row>
    <row r="504" ht="15" customHeight="1">
      <c r="A504" t="inlineStr">
        <is>
          <t>A 3150-2025</t>
        </is>
      </c>
      <c r="B504" s="1" t="n">
        <v>45679.28974537037</v>
      </c>
      <c r="C504" s="1" t="n">
        <v>46108</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53587-2025</t>
        </is>
      </c>
      <c r="B505" s="1" t="n">
        <v>45960.43681712963</v>
      </c>
      <c r="C505" s="1" t="n">
        <v>46108</v>
      </c>
      <c r="D505" t="inlineStr">
        <is>
          <t>GOTLANDS LÄN</t>
        </is>
      </c>
      <c r="E505" t="inlineStr">
        <is>
          <t>GOTLAND</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46108</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11982-2026</t>
        </is>
      </c>
      <c r="B507" s="1" t="n">
        <v>46085.6434375</v>
      </c>
      <c r="C507" s="1" t="n">
        <v>46108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53561-2025</t>
        </is>
      </c>
      <c r="B508" s="1" t="n">
        <v>45960.4059375</v>
      </c>
      <c r="C508" s="1" t="n">
        <v>46108</v>
      </c>
      <c r="D508" t="inlineStr">
        <is>
          <t>GOTLANDS LÄN</t>
        </is>
      </c>
      <c r="E508" t="inlineStr">
        <is>
          <t>GOTLAND</t>
        </is>
      </c>
      <c r="F508" t="inlineStr">
        <is>
          <t>Övriga Aktiebolag</t>
        </is>
      </c>
      <c r="G508" t="n">
        <v>2.4</v>
      </c>
      <c r="H508" t="n">
        <v>0</v>
      </c>
      <c r="I508" t="n">
        <v>0</v>
      </c>
      <c r="J508" t="n">
        <v>0</v>
      </c>
      <c r="K508" t="n">
        <v>0</v>
      </c>
      <c r="L508" t="n">
        <v>0</v>
      </c>
      <c r="M508" t="n">
        <v>0</v>
      </c>
      <c r="N508" t="n">
        <v>0</v>
      </c>
      <c r="O508" t="n">
        <v>0</v>
      </c>
      <c r="P508" t="n">
        <v>0</v>
      </c>
      <c r="Q508" t="n">
        <v>0</v>
      </c>
      <c r="R508" s="2" t="inlineStr"/>
    </row>
    <row r="509" ht="15" customHeight="1">
      <c r="A509" t="inlineStr">
        <is>
          <t>A 12135-2026</t>
        </is>
      </c>
      <c r="B509" s="1" t="n">
        <v>46086</v>
      </c>
      <c r="C509" s="1" t="n">
        <v>46108</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30061-2025</t>
        </is>
      </c>
      <c r="B510" s="1" t="n">
        <v>45826.61488425926</v>
      </c>
      <c r="C510" s="1" t="n">
        <v>46108</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60384-2025</t>
        </is>
      </c>
      <c r="B511" s="1" t="n">
        <v>45995</v>
      </c>
      <c r="C511" s="1" t="n">
        <v>46108</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15436-2025</t>
        </is>
      </c>
      <c r="B512" s="1" t="n">
        <v>45747.47462962963</v>
      </c>
      <c r="C512" s="1" t="n">
        <v>46108</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1839-2026</t>
        </is>
      </c>
      <c r="B513" s="1" t="n">
        <v>46035.3942824074</v>
      </c>
      <c r="C513" s="1" t="n">
        <v>46108</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4639-2026</t>
        </is>
      </c>
      <c r="B514" s="1" t="n">
        <v>46048.39880787037</v>
      </c>
      <c r="C514" s="1" t="n">
        <v>46108</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4662-2026</t>
        </is>
      </c>
      <c r="B515" s="1" t="n">
        <v>46048.40949074074</v>
      </c>
      <c r="C515" s="1" t="n">
        <v>46108</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46108</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63000-2025</t>
        </is>
      </c>
      <c r="B517" s="1" t="n">
        <v>46009</v>
      </c>
      <c r="C517" s="1" t="n">
        <v>46108</v>
      </c>
      <c r="D517" t="inlineStr">
        <is>
          <t>GOTLANDS LÄN</t>
        </is>
      </c>
      <c r="E517" t="inlineStr">
        <is>
          <t>GOTLAND</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4646-2026</t>
        </is>
      </c>
      <c r="B518" s="1" t="n">
        <v>46048.40357638889</v>
      </c>
      <c r="C518" s="1" t="n">
        <v>46108</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4634-2026</t>
        </is>
      </c>
      <c r="B519" s="1" t="n">
        <v>46048.39304398148</v>
      </c>
      <c r="C519" s="1" t="n">
        <v>46108</v>
      </c>
      <c r="D519" t="inlineStr">
        <is>
          <t>GOTLANDS LÄN</t>
        </is>
      </c>
      <c r="E519" t="inlineStr">
        <is>
          <t>GOTLAND</t>
        </is>
      </c>
      <c r="G519" t="n">
        <v>7.8</v>
      </c>
      <c r="H519" t="n">
        <v>0</v>
      </c>
      <c r="I519" t="n">
        <v>0</v>
      </c>
      <c r="J519" t="n">
        <v>0</v>
      </c>
      <c r="K519" t="n">
        <v>0</v>
      </c>
      <c r="L519" t="n">
        <v>0</v>
      </c>
      <c r="M519" t="n">
        <v>0</v>
      </c>
      <c r="N519" t="n">
        <v>0</v>
      </c>
      <c r="O519" t="n">
        <v>0</v>
      </c>
      <c r="P519" t="n">
        <v>0</v>
      </c>
      <c r="Q519" t="n">
        <v>0</v>
      </c>
      <c r="R519" s="2" t="inlineStr"/>
    </row>
    <row r="520" ht="15" customHeight="1">
      <c r="A520" t="inlineStr">
        <is>
          <t>A 17780-2022</t>
        </is>
      </c>
      <c r="B520" s="1" t="n">
        <v>44682.82622685185</v>
      </c>
      <c r="C520" s="1" t="n">
        <v>46108</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63516-2023</t>
        </is>
      </c>
      <c r="B521" s="1" t="n">
        <v>45274</v>
      </c>
      <c r="C521" s="1" t="n">
        <v>46108</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4670-2026</t>
        </is>
      </c>
      <c r="B522" s="1" t="n">
        <v>46048.41733796296</v>
      </c>
      <c r="C522" s="1" t="n">
        <v>46108</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62754-2025</t>
        </is>
      </c>
      <c r="B523" s="1" t="n">
        <v>46008</v>
      </c>
      <c r="C523" s="1" t="n">
        <v>46108</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62751-2025</t>
        </is>
      </c>
      <c r="B524" s="1" t="n">
        <v>46008</v>
      </c>
      <c r="C524" s="1" t="n">
        <v>46108</v>
      </c>
      <c r="D524" t="inlineStr">
        <is>
          <t>GOTLANDS LÄN</t>
        </is>
      </c>
      <c r="E524" t="inlineStr">
        <is>
          <t>GOTLAND</t>
        </is>
      </c>
      <c r="F524" t="inlineStr">
        <is>
          <t>Övriga Aktiebolag</t>
        </is>
      </c>
      <c r="G524" t="n">
        <v>7.8</v>
      </c>
      <c r="H524" t="n">
        <v>0</v>
      </c>
      <c r="I524" t="n">
        <v>0</v>
      </c>
      <c r="J524" t="n">
        <v>0</v>
      </c>
      <c r="K524" t="n">
        <v>0</v>
      </c>
      <c r="L524" t="n">
        <v>0</v>
      </c>
      <c r="M524" t="n">
        <v>0</v>
      </c>
      <c r="N524" t="n">
        <v>0</v>
      </c>
      <c r="O524" t="n">
        <v>0</v>
      </c>
      <c r="P524" t="n">
        <v>0</v>
      </c>
      <c r="Q524" t="n">
        <v>0</v>
      </c>
      <c r="R524" s="2" t="inlineStr"/>
    </row>
    <row r="525" ht="15" customHeight="1">
      <c r="A525" t="inlineStr">
        <is>
          <t>A 58160-2024</t>
        </is>
      </c>
      <c r="B525" s="1" t="n">
        <v>45632.44927083333</v>
      </c>
      <c r="C525" s="1" t="n">
        <v>46108</v>
      </c>
      <c r="D525" t="inlineStr">
        <is>
          <t>GOTLANDS LÄN</t>
        </is>
      </c>
      <c r="E525" t="inlineStr">
        <is>
          <t>GOTLAND</t>
        </is>
      </c>
      <c r="G525" t="n">
        <v>5.6</v>
      </c>
      <c r="H525" t="n">
        <v>0</v>
      </c>
      <c r="I525" t="n">
        <v>0</v>
      </c>
      <c r="J525" t="n">
        <v>0</v>
      </c>
      <c r="K525" t="n">
        <v>0</v>
      </c>
      <c r="L525" t="n">
        <v>0</v>
      </c>
      <c r="M525" t="n">
        <v>0</v>
      </c>
      <c r="N525" t="n">
        <v>0</v>
      </c>
      <c r="O525" t="n">
        <v>0</v>
      </c>
      <c r="P525" t="n">
        <v>0</v>
      </c>
      <c r="Q525" t="n">
        <v>0</v>
      </c>
      <c r="R525" s="2" t="inlineStr"/>
    </row>
    <row r="526" ht="15" customHeight="1">
      <c r="A526" t="inlineStr">
        <is>
          <t>A 53935-2024</t>
        </is>
      </c>
      <c r="B526" s="1" t="n">
        <v>45615</v>
      </c>
      <c r="C526" s="1" t="n">
        <v>46108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69112-2021</t>
        </is>
      </c>
      <c r="B527" s="1" t="n">
        <v>44530</v>
      </c>
      <c r="C527" s="1" t="n">
        <v>46108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48734-2022</t>
        </is>
      </c>
      <c r="B528" s="1" t="n">
        <v>44855</v>
      </c>
      <c r="C528" s="1" t="n">
        <v>46108</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23516-2023</t>
        </is>
      </c>
      <c r="B529" s="1" t="n">
        <v>45076.93391203704</v>
      </c>
      <c r="C529" s="1" t="n">
        <v>46108</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43231-2023</t>
        </is>
      </c>
      <c r="B530" s="1" t="n">
        <v>45183.47025462963</v>
      </c>
      <c r="C530" s="1" t="n">
        <v>46108</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58230-2024</t>
        </is>
      </c>
      <c r="B531" s="1" t="n">
        <v>45632.51625</v>
      </c>
      <c r="C531" s="1" t="n">
        <v>46108</v>
      </c>
      <c r="D531" t="inlineStr">
        <is>
          <t>GOTLANDS LÄN</t>
        </is>
      </c>
      <c r="E531" t="inlineStr">
        <is>
          <t>GOTLAND</t>
        </is>
      </c>
      <c r="G531" t="n">
        <v>7.3</v>
      </c>
      <c r="H531" t="n">
        <v>0</v>
      </c>
      <c r="I531" t="n">
        <v>0</v>
      </c>
      <c r="J531" t="n">
        <v>0</v>
      </c>
      <c r="K531" t="n">
        <v>0</v>
      </c>
      <c r="L531" t="n">
        <v>0</v>
      </c>
      <c r="M531" t="n">
        <v>0</v>
      </c>
      <c r="N531" t="n">
        <v>0</v>
      </c>
      <c r="O531" t="n">
        <v>0</v>
      </c>
      <c r="P531" t="n">
        <v>0</v>
      </c>
      <c r="Q531" t="n">
        <v>0</v>
      </c>
      <c r="R531" s="2" t="inlineStr"/>
    </row>
    <row r="532" ht="15" customHeight="1">
      <c r="A532" t="inlineStr">
        <is>
          <t>A 64555-2023</t>
        </is>
      </c>
      <c r="B532" s="1" t="n">
        <v>45281</v>
      </c>
      <c r="C532" s="1" t="n">
        <v>46108</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457-2023</t>
        </is>
      </c>
      <c r="B533" s="1" t="n">
        <v>44929.87238425926</v>
      </c>
      <c r="C533" s="1" t="n">
        <v>46108</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44929.87423611111</v>
      </c>
      <c r="C534" s="1" t="n">
        <v>46108</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1854-2026</t>
        </is>
      </c>
      <c r="B535" s="1" t="n">
        <v>46035.4171875</v>
      </c>
      <c r="C535" s="1" t="n">
        <v>46108</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13482-2026</t>
        </is>
      </c>
      <c r="B536" s="1" t="n">
        <v>46094</v>
      </c>
      <c r="C536" s="1" t="n">
        <v>46108</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876-2024</t>
        </is>
      </c>
      <c r="B537" s="1" t="n">
        <v>45301</v>
      </c>
      <c r="C537" s="1" t="n">
        <v>46108</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26891-2024</t>
        </is>
      </c>
      <c r="B538" s="1" t="n">
        <v>45470.65540509259</v>
      </c>
      <c r="C538" s="1" t="n">
        <v>46108</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13486-2026</t>
        </is>
      </c>
      <c r="B539" s="1" t="n">
        <v>46094</v>
      </c>
      <c r="C539" s="1" t="n">
        <v>46108</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5923-2023</t>
        </is>
      </c>
      <c r="B540" s="1" t="n">
        <v>44963.69503472222</v>
      </c>
      <c r="C540" s="1" t="n">
        <v>46108</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50482-2024</t>
        </is>
      </c>
      <c r="B541" s="1" t="n">
        <v>45601.48114583334</v>
      </c>
      <c r="C541" s="1" t="n">
        <v>46108</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5943-2024</t>
        </is>
      </c>
      <c r="B542" s="1" t="n">
        <v>45336</v>
      </c>
      <c r="C542" s="1" t="n">
        <v>46108</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38234-2023</t>
        </is>
      </c>
      <c r="B543" s="1" t="n">
        <v>45161.56663194444</v>
      </c>
      <c r="C543" s="1" t="n">
        <v>46108</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6207-2026</t>
        </is>
      </c>
      <c r="B544" s="1" t="n">
        <v>46055.42083333333</v>
      </c>
      <c r="C544" s="1" t="n">
        <v>46108</v>
      </c>
      <c r="D544" t="inlineStr">
        <is>
          <t>GOTLANDS LÄN</t>
        </is>
      </c>
      <c r="E544" t="inlineStr">
        <is>
          <t>GOTLAND</t>
        </is>
      </c>
      <c r="G544" t="n">
        <v>7.6</v>
      </c>
      <c r="H544" t="n">
        <v>0</v>
      </c>
      <c r="I544" t="n">
        <v>0</v>
      </c>
      <c r="J544" t="n">
        <v>0</v>
      </c>
      <c r="K544" t="n">
        <v>0</v>
      </c>
      <c r="L544" t="n">
        <v>0</v>
      </c>
      <c r="M544" t="n">
        <v>0</v>
      </c>
      <c r="N544" t="n">
        <v>0</v>
      </c>
      <c r="O544" t="n">
        <v>0</v>
      </c>
      <c r="P544" t="n">
        <v>0</v>
      </c>
      <c r="Q544" t="n">
        <v>0</v>
      </c>
      <c r="R544" s="2" t="inlineStr"/>
    </row>
    <row r="545" ht="15" customHeight="1">
      <c r="A545" t="inlineStr">
        <is>
          <t>A 6218-2026</t>
        </is>
      </c>
      <c r="B545" s="1" t="n">
        <v>46055.42859953704</v>
      </c>
      <c r="C545" s="1" t="n">
        <v>46108</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1273-2023</t>
        </is>
      </c>
      <c r="B546" s="1" t="n">
        <v>44936</v>
      </c>
      <c r="C546" s="1" t="n">
        <v>46108</v>
      </c>
      <c r="D546" t="inlineStr">
        <is>
          <t>GOTLANDS LÄN</t>
        </is>
      </c>
      <c r="E546" t="inlineStr">
        <is>
          <t>GOTLAND</t>
        </is>
      </c>
      <c r="G546" t="n">
        <v>4.5</v>
      </c>
      <c r="H546" t="n">
        <v>0</v>
      </c>
      <c r="I546" t="n">
        <v>0</v>
      </c>
      <c r="J546" t="n">
        <v>0</v>
      </c>
      <c r="K546" t="n">
        <v>0</v>
      </c>
      <c r="L546" t="n">
        <v>0</v>
      </c>
      <c r="M546" t="n">
        <v>0</v>
      </c>
      <c r="N546" t="n">
        <v>0</v>
      </c>
      <c r="O546" t="n">
        <v>0</v>
      </c>
      <c r="P546" t="n">
        <v>0</v>
      </c>
      <c r="Q546" t="n">
        <v>0</v>
      </c>
      <c r="R546" s="2" t="inlineStr"/>
    </row>
    <row r="547" ht="15" customHeight="1">
      <c r="A547" t="inlineStr">
        <is>
          <t>A 6959-2026</t>
        </is>
      </c>
      <c r="B547" s="1" t="n">
        <v>46057.580625</v>
      </c>
      <c r="C547" s="1" t="n">
        <v>46108</v>
      </c>
      <c r="D547" t="inlineStr">
        <is>
          <t>GOTLANDS LÄN</t>
        </is>
      </c>
      <c r="E547" t="inlineStr">
        <is>
          <t>GOTLAND</t>
        </is>
      </c>
      <c r="F547" t="inlineStr">
        <is>
          <t>Kyrkan</t>
        </is>
      </c>
      <c r="G547" t="n">
        <v>1.2</v>
      </c>
      <c r="H547" t="n">
        <v>0</v>
      </c>
      <c r="I547" t="n">
        <v>0</v>
      </c>
      <c r="J547" t="n">
        <v>0</v>
      </c>
      <c r="K547" t="n">
        <v>0</v>
      </c>
      <c r="L547" t="n">
        <v>0</v>
      </c>
      <c r="M547" t="n">
        <v>0</v>
      </c>
      <c r="N547" t="n">
        <v>0</v>
      </c>
      <c r="O547" t="n">
        <v>0</v>
      </c>
      <c r="P547" t="n">
        <v>0</v>
      </c>
      <c r="Q547" t="n">
        <v>0</v>
      </c>
      <c r="R547" s="2" t="inlineStr"/>
    </row>
    <row r="548" ht="15" customHeight="1">
      <c r="A548" t="inlineStr">
        <is>
          <t>A 3067-2026</t>
        </is>
      </c>
      <c r="B548" s="1" t="n">
        <v>46040.59025462963</v>
      </c>
      <c r="C548" s="1" t="n">
        <v>46108</v>
      </c>
      <c r="D548" t="inlineStr">
        <is>
          <t>GOTLANDS LÄN</t>
        </is>
      </c>
      <c r="E548" t="inlineStr">
        <is>
          <t>GOTLAND</t>
        </is>
      </c>
      <c r="G548" t="n">
        <v>7.8</v>
      </c>
      <c r="H548" t="n">
        <v>0</v>
      </c>
      <c r="I548" t="n">
        <v>0</v>
      </c>
      <c r="J548" t="n">
        <v>0</v>
      </c>
      <c r="K548" t="n">
        <v>0</v>
      </c>
      <c r="L548" t="n">
        <v>0</v>
      </c>
      <c r="M548" t="n">
        <v>0</v>
      </c>
      <c r="N548" t="n">
        <v>0</v>
      </c>
      <c r="O548" t="n">
        <v>0</v>
      </c>
      <c r="P548" t="n">
        <v>0</v>
      </c>
      <c r="Q548" t="n">
        <v>0</v>
      </c>
      <c r="R548" s="2" t="inlineStr"/>
    </row>
    <row r="549" ht="15" customHeight="1">
      <c r="A549" t="inlineStr">
        <is>
          <t>A 16109-2025</t>
        </is>
      </c>
      <c r="B549" s="1" t="n">
        <v>45750</v>
      </c>
      <c r="C549" s="1" t="n">
        <v>46108</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32467-2025</t>
        </is>
      </c>
      <c r="B550" s="1" t="n">
        <v>45838.42111111111</v>
      </c>
      <c r="C550" s="1" t="n">
        <v>46108</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6960-2026</t>
        </is>
      </c>
      <c r="B551" s="1" t="n">
        <v>46057.58105324074</v>
      </c>
      <c r="C551" s="1" t="n">
        <v>46108</v>
      </c>
      <c r="D551" t="inlineStr">
        <is>
          <t>GOTLANDS LÄN</t>
        </is>
      </c>
      <c r="E551" t="inlineStr">
        <is>
          <t>GOTLAND</t>
        </is>
      </c>
      <c r="F551" t="inlineStr">
        <is>
          <t>Kyrkan</t>
        </is>
      </c>
      <c r="G551" t="n">
        <v>2.4</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46108</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46108</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32379-2025</t>
        </is>
      </c>
      <c r="B555" s="1" t="n">
        <v>45837</v>
      </c>
      <c r="C555" s="1" t="n">
        <v>46108</v>
      </c>
      <c r="D555" t="inlineStr">
        <is>
          <t>GOTLANDS LÄN</t>
        </is>
      </c>
      <c r="E555" t="inlineStr">
        <is>
          <t>GOTLAND</t>
        </is>
      </c>
      <c r="G555" t="n">
        <v>1</v>
      </c>
      <c r="H555" t="n">
        <v>0</v>
      </c>
      <c r="I555" t="n">
        <v>0</v>
      </c>
      <c r="J555" t="n">
        <v>0</v>
      </c>
      <c r="K555" t="n">
        <v>0</v>
      </c>
      <c r="L555" t="n">
        <v>0</v>
      </c>
      <c r="M555" t="n">
        <v>0</v>
      </c>
      <c r="N555" t="n">
        <v>0</v>
      </c>
      <c r="O555" t="n">
        <v>0</v>
      </c>
      <c r="P555" t="n">
        <v>0</v>
      </c>
      <c r="Q555" t="n">
        <v>0</v>
      </c>
      <c r="R555" s="2" t="inlineStr"/>
    </row>
    <row r="556" ht="15" customHeight="1">
      <c r="A556" t="inlineStr">
        <is>
          <t>A 12846-2025</t>
        </is>
      </c>
      <c r="B556" s="1" t="n">
        <v>45733.65049768519</v>
      </c>
      <c r="C556" s="1" t="n">
        <v>46108</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43200-2023</t>
        </is>
      </c>
      <c r="B557" s="1" t="n">
        <v>45183</v>
      </c>
      <c r="C557" s="1" t="n">
        <v>46108</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3935-2025</t>
        </is>
      </c>
      <c r="B558" s="1" t="n">
        <v>45684.46070601852</v>
      </c>
      <c r="C558" s="1" t="n">
        <v>46108</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33007-2025</t>
        </is>
      </c>
      <c r="B559" s="1" t="n">
        <v>45840</v>
      </c>
      <c r="C559" s="1" t="n">
        <v>46108</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21792-2024</t>
        </is>
      </c>
      <c r="B560" s="1" t="n">
        <v>45442.64326388889</v>
      </c>
      <c r="C560" s="1" t="n">
        <v>46108</v>
      </c>
      <c r="D560" t="inlineStr">
        <is>
          <t>GOTLANDS LÄN</t>
        </is>
      </c>
      <c r="E560" t="inlineStr">
        <is>
          <t>GOTLAND</t>
        </is>
      </c>
      <c r="G560" t="n">
        <v>1</v>
      </c>
      <c r="H560" t="n">
        <v>0</v>
      </c>
      <c r="I560" t="n">
        <v>0</v>
      </c>
      <c r="J560" t="n">
        <v>0</v>
      </c>
      <c r="K560" t="n">
        <v>0</v>
      </c>
      <c r="L560" t="n">
        <v>0</v>
      </c>
      <c r="M560" t="n">
        <v>0</v>
      </c>
      <c r="N560" t="n">
        <v>0</v>
      </c>
      <c r="O560" t="n">
        <v>0</v>
      </c>
      <c r="P560" t="n">
        <v>0</v>
      </c>
      <c r="Q560" t="n">
        <v>0</v>
      </c>
      <c r="R560" s="2" t="inlineStr"/>
    </row>
    <row r="561" ht="15" customHeight="1">
      <c r="A561" t="inlineStr">
        <is>
          <t>A 5863-2026</t>
        </is>
      </c>
      <c r="B561" s="1" t="n">
        <v>46052.36697916667</v>
      </c>
      <c r="C561" s="1" t="n">
        <v>46108</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7627-2026</t>
        </is>
      </c>
      <c r="B562" s="1" t="n">
        <v>46062.35465277778</v>
      </c>
      <c r="C562" s="1" t="n">
        <v>46108</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63105-2025</t>
        </is>
      </c>
      <c r="B563" s="1" t="n">
        <v>46009</v>
      </c>
      <c r="C563" s="1" t="n">
        <v>46108</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14840-2026</t>
        </is>
      </c>
      <c r="B564" s="1" t="n">
        <v>46104.39498842593</v>
      </c>
      <c r="C564" s="1" t="n">
        <v>46108</v>
      </c>
      <c r="D564" t="inlineStr">
        <is>
          <t>GOTLANDS LÄN</t>
        </is>
      </c>
      <c r="E564" t="inlineStr">
        <is>
          <t>GOTLAND</t>
        </is>
      </c>
      <c r="G564" t="n">
        <v>2.5</v>
      </c>
      <c r="H564" t="n">
        <v>0</v>
      </c>
      <c r="I564" t="n">
        <v>0</v>
      </c>
      <c r="J564" t="n">
        <v>0</v>
      </c>
      <c r="K564" t="n">
        <v>0</v>
      </c>
      <c r="L564" t="n">
        <v>0</v>
      </c>
      <c r="M564" t="n">
        <v>0</v>
      </c>
      <c r="N564" t="n">
        <v>0</v>
      </c>
      <c r="O564" t="n">
        <v>0</v>
      </c>
      <c r="P564" t="n">
        <v>0</v>
      </c>
      <c r="Q564" t="n">
        <v>0</v>
      </c>
      <c r="R564" s="2" t="inlineStr"/>
    </row>
    <row r="565" ht="15" customHeight="1">
      <c r="A565" t="inlineStr">
        <is>
          <t>A 48843-2024</t>
        </is>
      </c>
      <c r="B565" s="1" t="n">
        <v>45593</v>
      </c>
      <c r="C565" s="1" t="n">
        <v>46108</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7625-2026</t>
        </is>
      </c>
      <c r="B566" s="1" t="n">
        <v>46062.35135416667</v>
      </c>
      <c r="C566" s="1" t="n">
        <v>46108</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2135-2026</t>
        </is>
      </c>
      <c r="B567" s="1" t="n">
        <v>46036</v>
      </c>
      <c r="C567" s="1" t="n">
        <v>46108</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10653-2023</t>
        </is>
      </c>
      <c r="B568" s="1" t="n">
        <v>44988.48859953704</v>
      </c>
      <c r="C568" s="1" t="n">
        <v>46108</v>
      </c>
      <c r="D568" t="inlineStr">
        <is>
          <t>GOTLANDS LÄN</t>
        </is>
      </c>
      <c r="E568" t="inlineStr">
        <is>
          <t>GOTLAND</t>
        </is>
      </c>
      <c r="F568" t="inlineStr">
        <is>
          <t>Kyrkan</t>
        </is>
      </c>
      <c r="G568" t="n">
        <v>3</v>
      </c>
      <c r="H568" t="n">
        <v>0</v>
      </c>
      <c r="I568" t="n">
        <v>0</v>
      </c>
      <c r="J568" t="n">
        <v>0</v>
      </c>
      <c r="K568" t="n">
        <v>0</v>
      </c>
      <c r="L568" t="n">
        <v>0</v>
      </c>
      <c r="M568" t="n">
        <v>0</v>
      </c>
      <c r="N568" t="n">
        <v>0</v>
      </c>
      <c r="O568" t="n">
        <v>0</v>
      </c>
      <c r="P568" t="n">
        <v>0</v>
      </c>
      <c r="Q568" t="n">
        <v>0</v>
      </c>
      <c r="R568" s="2" t="inlineStr"/>
    </row>
    <row r="569" ht="15" customHeight="1">
      <c r="A569" t="inlineStr">
        <is>
          <t>A 35512-2023</t>
        </is>
      </c>
      <c r="B569" s="1" t="n">
        <v>45147.25623842593</v>
      </c>
      <c r="C569" s="1" t="n">
        <v>46108</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2134-2026</t>
        </is>
      </c>
      <c r="B570" s="1" t="n">
        <v>46036</v>
      </c>
      <c r="C570" s="1" t="n">
        <v>46108</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11874-2024</t>
        </is>
      </c>
      <c r="B571" s="1" t="n">
        <v>45376.46956018519</v>
      </c>
      <c r="C571" s="1" t="n">
        <v>46108</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62836-2025</t>
        </is>
      </c>
      <c r="B572" s="1" t="n">
        <v>46008</v>
      </c>
      <c r="C572" s="1" t="n">
        <v>46108</v>
      </c>
      <c r="D572" t="inlineStr">
        <is>
          <t>GOTLANDS LÄN</t>
        </is>
      </c>
      <c r="E572" t="inlineStr">
        <is>
          <t>GOTLAND</t>
        </is>
      </c>
      <c r="G572" t="n">
        <v>6.5</v>
      </c>
      <c r="H572" t="n">
        <v>0</v>
      </c>
      <c r="I572" t="n">
        <v>0</v>
      </c>
      <c r="J572" t="n">
        <v>0</v>
      </c>
      <c r="K572" t="n">
        <v>0</v>
      </c>
      <c r="L572" t="n">
        <v>0</v>
      </c>
      <c r="M572" t="n">
        <v>0</v>
      </c>
      <c r="N572" t="n">
        <v>0</v>
      </c>
      <c r="O572" t="n">
        <v>0</v>
      </c>
      <c r="P572" t="n">
        <v>0</v>
      </c>
      <c r="Q572" t="n">
        <v>0</v>
      </c>
      <c r="R572" s="2" t="inlineStr"/>
    </row>
    <row r="573" ht="15" customHeight="1">
      <c r="A573" t="inlineStr">
        <is>
          <t>A 20225-2025</t>
        </is>
      </c>
      <c r="B573" s="1" t="n">
        <v>45772.65802083333</v>
      </c>
      <c r="C573" s="1" t="n">
        <v>46108</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47147-2025</t>
        </is>
      </c>
      <c r="B574" s="1" t="n">
        <v>45929</v>
      </c>
      <c r="C574" s="1" t="n">
        <v>46108</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1677-2023</t>
        </is>
      </c>
      <c r="B575" s="1" t="n">
        <v>44938</v>
      </c>
      <c r="C575" s="1" t="n">
        <v>46108</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46108</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64831-2023</t>
        </is>
      </c>
      <c r="B577" s="1" t="n">
        <v>45282.44924768519</v>
      </c>
      <c r="C577" s="1" t="n">
        <v>46108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35096-2025</t>
        </is>
      </c>
      <c r="B578" s="1" t="n">
        <v>45852.54356481481</v>
      </c>
      <c r="C578" s="1" t="n">
        <v>46108</v>
      </c>
      <c r="D578" t="inlineStr">
        <is>
          <t>GOTLANDS LÄN</t>
        </is>
      </c>
      <c r="E578" t="inlineStr">
        <is>
          <t>GOTLAND</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35123-2025</t>
        </is>
      </c>
      <c r="B579" s="1" t="n">
        <v>45852.614375</v>
      </c>
      <c r="C579" s="1" t="n">
        <v>46108</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8036-2022</t>
        </is>
      </c>
      <c r="B580" s="1" t="n">
        <v>44609.44362268518</v>
      </c>
      <c r="C580" s="1" t="n">
        <v>46108</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46375-2024</t>
        </is>
      </c>
      <c r="B581" s="1" t="n">
        <v>45582</v>
      </c>
      <c r="C581" s="1" t="n">
        <v>46108</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62915-2021</t>
        </is>
      </c>
      <c r="B582" s="1" t="n">
        <v>44504</v>
      </c>
      <c r="C582" s="1" t="n">
        <v>46108</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35290-2025</t>
        </is>
      </c>
      <c r="B583" s="1" t="n">
        <v>45854.38502314815</v>
      </c>
      <c r="C583" s="1" t="n">
        <v>46108</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30104-2025</t>
        </is>
      </c>
      <c r="B584" s="1" t="n">
        <v>45826.68806712963</v>
      </c>
      <c r="C584" s="1" t="n">
        <v>46108</v>
      </c>
      <c r="D584" t="inlineStr">
        <is>
          <t>GOTLANDS LÄN</t>
        </is>
      </c>
      <c r="E584" t="inlineStr">
        <is>
          <t>GOTLAND</t>
        </is>
      </c>
      <c r="G584" t="n">
        <v>15.4</v>
      </c>
      <c r="H584" t="n">
        <v>0</v>
      </c>
      <c r="I584" t="n">
        <v>0</v>
      </c>
      <c r="J584" t="n">
        <v>0</v>
      </c>
      <c r="K584" t="n">
        <v>0</v>
      </c>
      <c r="L584" t="n">
        <v>0</v>
      </c>
      <c r="M584" t="n">
        <v>0</v>
      </c>
      <c r="N584" t="n">
        <v>0</v>
      </c>
      <c r="O584" t="n">
        <v>0</v>
      </c>
      <c r="P584" t="n">
        <v>0</v>
      </c>
      <c r="Q584" t="n">
        <v>0</v>
      </c>
      <c r="R584" s="2" t="inlineStr"/>
    </row>
    <row r="585" ht="15" customHeight="1">
      <c r="A585" t="inlineStr">
        <is>
          <t>A 32669-2024</t>
        </is>
      </c>
      <c r="B585" s="1" t="n">
        <v>45514</v>
      </c>
      <c r="C585" s="1" t="n">
        <v>46108</v>
      </c>
      <c r="D585" t="inlineStr">
        <is>
          <t>GOTLANDS LÄN</t>
        </is>
      </c>
      <c r="E585" t="inlineStr">
        <is>
          <t>GOTLAND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7638-2025</t>
        </is>
      </c>
      <c r="B586" s="1" t="n">
        <v>45705.77306712963</v>
      </c>
      <c r="C586" s="1" t="n">
        <v>46108</v>
      </c>
      <c r="D586" t="inlineStr">
        <is>
          <t>GOTLANDS LÄN</t>
        </is>
      </c>
      <c r="E586" t="inlineStr">
        <is>
          <t>GOTLAND</t>
        </is>
      </c>
      <c r="G586" t="n">
        <v>2.2</v>
      </c>
      <c r="H586" t="n">
        <v>0</v>
      </c>
      <c r="I586" t="n">
        <v>0</v>
      </c>
      <c r="J586" t="n">
        <v>0</v>
      </c>
      <c r="K586" t="n">
        <v>0</v>
      </c>
      <c r="L586" t="n">
        <v>0</v>
      </c>
      <c r="M586" t="n">
        <v>0</v>
      </c>
      <c r="N586" t="n">
        <v>0</v>
      </c>
      <c r="O586" t="n">
        <v>0</v>
      </c>
      <c r="P586" t="n">
        <v>0</v>
      </c>
      <c r="Q586" t="n">
        <v>0</v>
      </c>
      <c r="R586" s="2" t="inlineStr"/>
    </row>
    <row r="587" ht="15" customHeight="1">
      <c r="A587" t="inlineStr">
        <is>
          <t>A 35537-2025</t>
        </is>
      </c>
      <c r="B587" s="1" t="n">
        <v>45856</v>
      </c>
      <c r="C587" s="1" t="n">
        <v>46108</v>
      </c>
      <c r="D587" t="inlineStr">
        <is>
          <t>GOTLANDS LÄN</t>
        </is>
      </c>
      <c r="E587" t="inlineStr">
        <is>
          <t>GOTLAND</t>
        </is>
      </c>
      <c r="G587" t="n">
        <v>16.8</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44955.5502662037</v>
      </c>
      <c r="C588" s="1" t="n">
        <v>46108</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43901-2023</t>
        </is>
      </c>
      <c r="B589" s="1" t="n">
        <v>45187</v>
      </c>
      <c r="C589" s="1" t="n">
        <v>46108</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17532-2024</t>
        </is>
      </c>
      <c r="B590" s="1" t="n">
        <v>45415</v>
      </c>
      <c r="C590" s="1" t="n">
        <v>46108</v>
      </c>
      <c r="D590" t="inlineStr">
        <is>
          <t>GOTLANDS LÄN</t>
        </is>
      </c>
      <c r="E590" t="inlineStr">
        <is>
          <t>GOTLAND</t>
        </is>
      </c>
      <c r="G590" t="n">
        <v>4.3</v>
      </c>
      <c r="H590" t="n">
        <v>0</v>
      </c>
      <c r="I590" t="n">
        <v>0</v>
      </c>
      <c r="J590" t="n">
        <v>0</v>
      </c>
      <c r="K590" t="n">
        <v>0</v>
      </c>
      <c r="L590" t="n">
        <v>0</v>
      </c>
      <c r="M590" t="n">
        <v>0</v>
      </c>
      <c r="N590" t="n">
        <v>0</v>
      </c>
      <c r="O590" t="n">
        <v>0</v>
      </c>
      <c r="P590" t="n">
        <v>0</v>
      </c>
      <c r="Q590" t="n">
        <v>0</v>
      </c>
      <c r="R590" s="2" t="inlineStr"/>
    </row>
    <row r="591" ht="15" customHeight="1">
      <c r="A591" t="inlineStr">
        <is>
          <t>A 45692-2023</t>
        </is>
      </c>
      <c r="B591" s="1" t="n">
        <v>45195</v>
      </c>
      <c r="C591" s="1" t="n">
        <v>46108</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37222-2021</t>
        </is>
      </c>
      <c r="B592" s="1" t="n">
        <v>44396</v>
      </c>
      <c r="C592" s="1" t="n">
        <v>46108</v>
      </c>
      <c r="D592" t="inlineStr">
        <is>
          <t>GOTLANDS LÄN</t>
        </is>
      </c>
      <c r="E592" t="inlineStr">
        <is>
          <t>GOTLAND</t>
        </is>
      </c>
      <c r="G592" t="n">
        <v>3</v>
      </c>
      <c r="H592" t="n">
        <v>0</v>
      </c>
      <c r="I592" t="n">
        <v>0</v>
      </c>
      <c r="J592" t="n">
        <v>0</v>
      </c>
      <c r="K592" t="n">
        <v>0</v>
      </c>
      <c r="L592" t="n">
        <v>0</v>
      </c>
      <c r="M592" t="n">
        <v>0</v>
      </c>
      <c r="N592" t="n">
        <v>0</v>
      </c>
      <c r="O592" t="n">
        <v>0</v>
      </c>
      <c r="P592" t="n">
        <v>0</v>
      </c>
      <c r="Q592" t="n">
        <v>0</v>
      </c>
      <c r="R592" s="2" t="inlineStr"/>
    </row>
    <row r="593" ht="15" customHeight="1">
      <c r="A593" t="inlineStr">
        <is>
          <t>A 30488-2025</t>
        </is>
      </c>
      <c r="B593" s="1" t="n">
        <v>45830</v>
      </c>
      <c r="C593" s="1" t="n">
        <v>46108</v>
      </c>
      <c r="D593" t="inlineStr">
        <is>
          <t>GOTLANDS LÄN</t>
        </is>
      </c>
      <c r="E593" t="inlineStr">
        <is>
          <t>GOTLAND</t>
        </is>
      </c>
      <c r="F593" t="inlineStr">
        <is>
          <t>Kyrkan</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15216-2025</t>
        </is>
      </c>
      <c r="B594" s="1" t="n">
        <v>45744</v>
      </c>
      <c r="C594" s="1" t="n">
        <v>46108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15001-2025</t>
        </is>
      </c>
      <c r="B595" s="1" t="n">
        <v>45743</v>
      </c>
      <c r="C595" s="1" t="n">
        <v>46108</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43790-2024</t>
        </is>
      </c>
      <c r="B596" s="1" t="n">
        <v>45571</v>
      </c>
      <c r="C596" s="1" t="n">
        <v>46108</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17847-2025</t>
        </is>
      </c>
      <c r="B597" s="1" t="n">
        <v>45758</v>
      </c>
      <c r="C597" s="1" t="n">
        <v>46108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46396-2023</t>
        </is>
      </c>
      <c r="B598" s="1" t="n">
        <v>45197</v>
      </c>
      <c r="C598" s="1" t="n">
        <v>46108</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58388-2022</t>
        </is>
      </c>
      <c r="B599" s="1" t="n">
        <v>44894</v>
      </c>
      <c r="C599" s="1" t="n">
        <v>46108</v>
      </c>
      <c r="D599" t="inlineStr">
        <is>
          <t>GOTLANDS LÄN</t>
        </is>
      </c>
      <c r="E599" t="inlineStr">
        <is>
          <t>GOTLAND</t>
        </is>
      </c>
      <c r="F599" t="inlineStr">
        <is>
          <t>Övriga statliga verk och myndigheter</t>
        </is>
      </c>
      <c r="G599" t="n">
        <v>3.1</v>
      </c>
      <c r="H599" t="n">
        <v>0</v>
      </c>
      <c r="I599" t="n">
        <v>0</v>
      </c>
      <c r="J599" t="n">
        <v>0</v>
      </c>
      <c r="K599" t="n">
        <v>0</v>
      </c>
      <c r="L599" t="n">
        <v>0</v>
      </c>
      <c r="M599" t="n">
        <v>0</v>
      </c>
      <c r="N599" t="n">
        <v>0</v>
      </c>
      <c r="O599" t="n">
        <v>0</v>
      </c>
      <c r="P599" t="n">
        <v>0</v>
      </c>
      <c r="Q599" t="n">
        <v>0</v>
      </c>
      <c r="R599" s="2" t="inlineStr"/>
    </row>
    <row r="600" ht="15" customHeight="1">
      <c r="A600" t="inlineStr">
        <is>
          <t>A 18742-2025</t>
        </is>
      </c>
      <c r="B600" s="1" t="n">
        <v>45763</v>
      </c>
      <c r="C600" s="1" t="n">
        <v>46108</v>
      </c>
      <c r="D600" t="inlineStr">
        <is>
          <t>GOTLANDS LÄN</t>
        </is>
      </c>
      <c r="E600" t="inlineStr">
        <is>
          <t>GOTLAND</t>
        </is>
      </c>
      <c r="G600" t="n">
        <v>3.4</v>
      </c>
      <c r="H600" t="n">
        <v>0</v>
      </c>
      <c r="I600" t="n">
        <v>0</v>
      </c>
      <c r="J600" t="n">
        <v>0</v>
      </c>
      <c r="K600" t="n">
        <v>0</v>
      </c>
      <c r="L600" t="n">
        <v>0</v>
      </c>
      <c r="M600" t="n">
        <v>0</v>
      </c>
      <c r="N600" t="n">
        <v>0</v>
      </c>
      <c r="O600" t="n">
        <v>0</v>
      </c>
      <c r="P600" t="n">
        <v>0</v>
      </c>
      <c r="Q600" t="n">
        <v>0</v>
      </c>
      <c r="R600" s="2" t="inlineStr"/>
    </row>
    <row r="601" ht="15" customHeight="1">
      <c r="A601" t="inlineStr">
        <is>
          <t>A 35129-2025</t>
        </is>
      </c>
      <c r="B601" s="1" t="n">
        <v>45852.63224537037</v>
      </c>
      <c r="C601" s="1" t="n">
        <v>46108</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53934-2024</t>
        </is>
      </c>
      <c r="B602" s="1" t="n">
        <v>45615</v>
      </c>
      <c r="C602" s="1" t="n">
        <v>46108</v>
      </c>
      <c r="D602" t="inlineStr">
        <is>
          <t>GOTLANDS LÄN</t>
        </is>
      </c>
      <c r="E602" t="inlineStr">
        <is>
          <t>GOTLAND</t>
        </is>
      </c>
      <c r="G602" t="n">
        <v>5</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46108</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46108</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28285-2024</t>
        </is>
      </c>
      <c r="B605" s="1" t="n">
        <v>45477</v>
      </c>
      <c r="C605" s="1" t="n">
        <v>46108</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51963-2024</t>
        </is>
      </c>
      <c r="B606" s="1" t="n">
        <v>45607.64833333333</v>
      </c>
      <c r="C606" s="1" t="n">
        <v>46108</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30489-2025</t>
        </is>
      </c>
      <c r="B607" s="1" t="n">
        <v>45830</v>
      </c>
      <c r="C607" s="1" t="n">
        <v>46108</v>
      </c>
      <c r="D607" t="inlineStr">
        <is>
          <t>GOTLANDS LÄN</t>
        </is>
      </c>
      <c r="E607" t="inlineStr">
        <is>
          <t>GOTLAND</t>
        </is>
      </c>
      <c r="G607" t="n">
        <v>4.6</v>
      </c>
      <c r="H607" t="n">
        <v>0</v>
      </c>
      <c r="I607" t="n">
        <v>0</v>
      </c>
      <c r="J607" t="n">
        <v>0</v>
      </c>
      <c r="K607" t="n">
        <v>0</v>
      </c>
      <c r="L607" t="n">
        <v>0</v>
      </c>
      <c r="M607" t="n">
        <v>0</v>
      </c>
      <c r="N607" t="n">
        <v>0</v>
      </c>
      <c r="O607" t="n">
        <v>0</v>
      </c>
      <c r="P607" t="n">
        <v>0</v>
      </c>
      <c r="Q607" t="n">
        <v>0</v>
      </c>
      <c r="R607" s="2" t="inlineStr"/>
    </row>
    <row r="608" ht="15" customHeight="1">
      <c r="A608" t="inlineStr">
        <is>
          <t>A 21142-2025</t>
        </is>
      </c>
      <c r="B608" s="1" t="n">
        <v>45779</v>
      </c>
      <c r="C608" s="1" t="n">
        <v>46108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6108-2025</t>
        </is>
      </c>
      <c r="B609" s="1" t="n">
        <v>45698.29880787037</v>
      </c>
      <c r="C609" s="1" t="n">
        <v>46108</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1734-2025</t>
        </is>
      </c>
      <c r="B610" s="1" t="n">
        <v>45671.3840625</v>
      </c>
      <c r="C610" s="1" t="n">
        <v>46108</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30365-2024</t>
        </is>
      </c>
      <c r="B611" s="1" t="n">
        <v>45491.3716087963</v>
      </c>
      <c r="C611" s="1" t="n">
        <v>46108</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17343-2025</t>
        </is>
      </c>
      <c r="B612" s="1" t="n">
        <v>45756.6687037037</v>
      </c>
      <c r="C612" s="1" t="n">
        <v>46108</v>
      </c>
      <c r="D612" t="inlineStr">
        <is>
          <t>GOTLANDS LÄN</t>
        </is>
      </c>
      <c r="E612" t="inlineStr">
        <is>
          <t>GOTLAND</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18938-2025</t>
        </is>
      </c>
      <c r="B613" s="1" t="n">
        <v>45764.49172453704</v>
      </c>
      <c r="C613" s="1" t="n">
        <v>46108</v>
      </c>
      <c r="D613" t="inlineStr">
        <is>
          <t>GOTLANDS LÄN</t>
        </is>
      </c>
      <c r="E613" t="inlineStr">
        <is>
          <t>GOTLAND</t>
        </is>
      </c>
      <c r="G613" t="n">
        <v>1.1</v>
      </c>
      <c r="H613" t="n">
        <v>0</v>
      </c>
      <c r="I613" t="n">
        <v>0</v>
      </c>
      <c r="J613" t="n">
        <v>0</v>
      </c>
      <c r="K613" t="n">
        <v>0</v>
      </c>
      <c r="L613" t="n">
        <v>0</v>
      </c>
      <c r="M613" t="n">
        <v>0</v>
      </c>
      <c r="N613" t="n">
        <v>0</v>
      </c>
      <c r="O613" t="n">
        <v>0</v>
      </c>
      <c r="P613" t="n">
        <v>0</v>
      </c>
      <c r="Q613" t="n">
        <v>0</v>
      </c>
      <c r="R613" s="2" t="inlineStr"/>
    </row>
    <row r="614" ht="15" customHeight="1">
      <c r="A614" t="inlineStr">
        <is>
          <t>A 20307-2025</t>
        </is>
      </c>
      <c r="B614" s="1" t="n">
        <v>45774.95546296296</v>
      </c>
      <c r="C614" s="1" t="n">
        <v>46108</v>
      </c>
      <c r="D614" t="inlineStr">
        <is>
          <t>GOTLANDS LÄN</t>
        </is>
      </c>
      <c r="E614" t="inlineStr">
        <is>
          <t>GOTLAND</t>
        </is>
      </c>
      <c r="G614" t="n">
        <v>6.8</v>
      </c>
      <c r="H614" t="n">
        <v>0</v>
      </c>
      <c r="I614" t="n">
        <v>0</v>
      </c>
      <c r="J614" t="n">
        <v>0</v>
      </c>
      <c r="K614" t="n">
        <v>0</v>
      </c>
      <c r="L614" t="n">
        <v>0</v>
      </c>
      <c r="M614" t="n">
        <v>0</v>
      </c>
      <c r="N614" t="n">
        <v>0</v>
      </c>
      <c r="O614" t="n">
        <v>0</v>
      </c>
      <c r="P614" t="n">
        <v>0</v>
      </c>
      <c r="Q614" t="n">
        <v>0</v>
      </c>
      <c r="R614" s="2" t="inlineStr"/>
    </row>
    <row r="615" ht="15" customHeight="1">
      <c r="A615" t="inlineStr">
        <is>
          <t>A 2674-2023</t>
        </is>
      </c>
      <c r="B615" s="1" t="n">
        <v>44944</v>
      </c>
      <c r="C615" s="1" t="n">
        <v>46108</v>
      </c>
      <c r="D615" t="inlineStr">
        <is>
          <t>GOTLANDS LÄN</t>
        </is>
      </c>
      <c r="E615" t="inlineStr">
        <is>
          <t>GOTLAND</t>
        </is>
      </c>
      <c r="G615" t="n">
        <v>2.5</v>
      </c>
      <c r="H615" t="n">
        <v>0</v>
      </c>
      <c r="I615" t="n">
        <v>0</v>
      </c>
      <c r="J615" t="n">
        <v>0</v>
      </c>
      <c r="K615" t="n">
        <v>0</v>
      </c>
      <c r="L615" t="n">
        <v>0</v>
      </c>
      <c r="M615" t="n">
        <v>0</v>
      </c>
      <c r="N615" t="n">
        <v>0</v>
      </c>
      <c r="O615" t="n">
        <v>0</v>
      </c>
      <c r="P615" t="n">
        <v>0</v>
      </c>
      <c r="Q615" t="n">
        <v>0</v>
      </c>
      <c r="R615" s="2" t="inlineStr"/>
    </row>
    <row r="616" ht="15" customHeight="1">
      <c r="A616" t="inlineStr">
        <is>
          <t>A 61100-2022</t>
        </is>
      </c>
      <c r="B616" s="1" t="n">
        <v>44915</v>
      </c>
      <c r="C616" s="1" t="n">
        <v>46108</v>
      </c>
      <c r="D616" t="inlineStr">
        <is>
          <t>GOTLANDS LÄN</t>
        </is>
      </c>
      <c r="E616" t="inlineStr">
        <is>
          <t>GOTLAND</t>
        </is>
      </c>
      <c r="G616" t="n">
        <v>1.4</v>
      </c>
      <c r="H616" t="n">
        <v>0</v>
      </c>
      <c r="I616" t="n">
        <v>0</v>
      </c>
      <c r="J616" t="n">
        <v>0</v>
      </c>
      <c r="K616" t="n">
        <v>0</v>
      </c>
      <c r="L616" t="n">
        <v>0</v>
      </c>
      <c r="M616" t="n">
        <v>0</v>
      </c>
      <c r="N616" t="n">
        <v>0</v>
      </c>
      <c r="O616" t="n">
        <v>0</v>
      </c>
      <c r="P616" t="n">
        <v>0</v>
      </c>
      <c r="Q616" t="n">
        <v>0</v>
      </c>
      <c r="R616" s="2" t="inlineStr"/>
    </row>
    <row r="617" ht="15" customHeight="1">
      <c r="A617" t="inlineStr">
        <is>
          <t>A 581-2023</t>
        </is>
      </c>
      <c r="B617" s="1" t="n">
        <v>44930</v>
      </c>
      <c r="C617" s="1" t="n">
        <v>46108</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44988.49543981482</v>
      </c>
      <c r="C618" s="1" t="n">
        <v>46108</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18993-2025</t>
        </is>
      </c>
      <c r="B619" s="1" t="n">
        <v>45764</v>
      </c>
      <c r="C619" s="1" t="n">
        <v>46108</v>
      </c>
      <c r="D619" t="inlineStr">
        <is>
          <t>GOTLANDS LÄN</t>
        </is>
      </c>
      <c r="E619" t="inlineStr">
        <is>
          <t>GOTLAND</t>
        </is>
      </c>
      <c r="G619" t="n">
        <v>3</v>
      </c>
      <c r="H619" t="n">
        <v>0</v>
      </c>
      <c r="I619" t="n">
        <v>0</v>
      </c>
      <c r="J619" t="n">
        <v>0</v>
      </c>
      <c r="K619" t="n">
        <v>0</v>
      </c>
      <c r="L619" t="n">
        <v>0</v>
      </c>
      <c r="M619" t="n">
        <v>0</v>
      </c>
      <c r="N619" t="n">
        <v>0</v>
      </c>
      <c r="O619" t="n">
        <v>0</v>
      </c>
      <c r="P619" t="n">
        <v>0</v>
      </c>
      <c r="Q619" t="n">
        <v>0</v>
      </c>
      <c r="R619" s="2" t="inlineStr"/>
    </row>
    <row r="620" ht="15" customHeight="1">
      <c r="A620" t="inlineStr">
        <is>
          <t>A 30135-2025</t>
        </is>
      </c>
      <c r="B620" s="1" t="n">
        <v>45826</v>
      </c>
      <c r="C620" s="1" t="n">
        <v>46108</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44649-2021</t>
        </is>
      </c>
      <c r="B621" s="1" t="n">
        <v>44437</v>
      </c>
      <c r="C621" s="1" t="n">
        <v>46108</v>
      </c>
      <c r="D621" t="inlineStr">
        <is>
          <t>GOTLANDS LÄN</t>
        </is>
      </c>
      <c r="E621" t="inlineStr">
        <is>
          <t>GOTLAND</t>
        </is>
      </c>
      <c r="G621" t="n">
        <v>8.1</v>
      </c>
      <c r="H621" t="n">
        <v>0</v>
      </c>
      <c r="I621" t="n">
        <v>0</v>
      </c>
      <c r="J621" t="n">
        <v>0</v>
      </c>
      <c r="K621" t="n">
        <v>0</v>
      </c>
      <c r="L621" t="n">
        <v>0</v>
      </c>
      <c r="M621" t="n">
        <v>0</v>
      </c>
      <c r="N621" t="n">
        <v>0</v>
      </c>
      <c r="O621" t="n">
        <v>0</v>
      </c>
      <c r="P621" t="n">
        <v>0</v>
      </c>
      <c r="Q621" t="n">
        <v>0</v>
      </c>
      <c r="R621" s="2" t="inlineStr"/>
    </row>
    <row r="622" ht="15" customHeight="1">
      <c r="A622" t="inlineStr">
        <is>
          <t>A 8484-2025</t>
        </is>
      </c>
      <c r="B622" s="1" t="n">
        <v>45709</v>
      </c>
      <c r="C622" s="1" t="n">
        <v>46108</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49962-2023</t>
        </is>
      </c>
      <c r="B623" s="1" t="n">
        <v>45215.38775462963</v>
      </c>
      <c r="C623" s="1" t="n">
        <v>46108</v>
      </c>
      <c r="D623" t="inlineStr">
        <is>
          <t>GOTLANDS LÄN</t>
        </is>
      </c>
      <c r="E623" t="inlineStr">
        <is>
          <t>GOTLAND</t>
        </is>
      </c>
      <c r="G623" t="n">
        <v>1.4</v>
      </c>
      <c r="H623" t="n">
        <v>0</v>
      </c>
      <c r="I623" t="n">
        <v>0</v>
      </c>
      <c r="J623" t="n">
        <v>0</v>
      </c>
      <c r="K623" t="n">
        <v>0</v>
      </c>
      <c r="L623" t="n">
        <v>0</v>
      </c>
      <c r="M623" t="n">
        <v>0</v>
      </c>
      <c r="N623" t="n">
        <v>0</v>
      </c>
      <c r="O623" t="n">
        <v>0</v>
      </c>
      <c r="P623" t="n">
        <v>0</v>
      </c>
      <c r="Q623" t="n">
        <v>0</v>
      </c>
      <c r="R623" s="2" t="inlineStr"/>
    </row>
    <row r="624" ht="15" customHeight="1">
      <c r="A624" t="inlineStr">
        <is>
          <t>A 50744-2024</t>
        </is>
      </c>
      <c r="B624" s="1" t="n">
        <v>45602.4187037037</v>
      </c>
      <c r="C624" s="1" t="n">
        <v>46108</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45244-2024</t>
        </is>
      </c>
      <c r="B625" s="1" t="n">
        <v>45576</v>
      </c>
      <c r="C625" s="1" t="n">
        <v>46108</v>
      </c>
      <c r="D625" t="inlineStr">
        <is>
          <t>GOTLANDS LÄN</t>
        </is>
      </c>
      <c r="E625" t="inlineStr">
        <is>
          <t>GOTLAND</t>
        </is>
      </c>
      <c r="G625" t="n">
        <v>2.4</v>
      </c>
      <c r="H625" t="n">
        <v>0</v>
      </c>
      <c r="I625" t="n">
        <v>0</v>
      </c>
      <c r="J625" t="n">
        <v>0</v>
      </c>
      <c r="K625" t="n">
        <v>0</v>
      </c>
      <c r="L625" t="n">
        <v>0</v>
      </c>
      <c r="M625" t="n">
        <v>0</v>
      </c>
      <c r="N625" t="n">
        <v>0</v>
      </c>
      <c r="O625" t="n">
        <v>0</v>
      </c>
      <c r="P625" t="n">
        <v>0</v>
      </c>
      <c r="Q625" t="n">
        <v>0</v>
      </c>
      <c r="R625" s="2" t="inlineStr"/>
    </row>
    <row r="626" ht="15" customHeight="1">
      <c r="A626" t="inlineStr">
        <is>
          <t>A 38787-2023</t>
        </is>
      </c>
      <c r="B626" s="1" t="n">
        <v>45163</v>
      </c>
      <c r="C626" s="1" t="n">
        <v>46108</v>
      </c>
      <c r="D626" t="inlineStr">
        <is>
          <t>GOTLANDS LÄN</t>
        </is>
      </c>
      <c r="E626" t="inlineStr">
        <is>
          <t>GOTLAND</t>
        </is>
      </c>
      <c r="G626" t="n">
        <v>0.4</v>
      </c>
      <c r="H626" t="n">
        <v>0</v>
      </c>
      <c r="I626" t="n">
        <v>0</v>
      </c>
      <c r="J626" t="n">
        <v>0</v>
      </c>
      <c r="K626" t="n">
        <v>0</v>
      </c>
      <c r="L626" t="n">
        <v>0</v>
      </c>
      <c r="M626" t="n">
        <v>0</v>
      </c>
      <c r="N626" t="n">
        <v>0</v>
      </c>
      <c r="O626" t="n">
        <v>0</v>
      </c>
      <c r="P626" t="n">
        <v>0</v>
      </c>
      <c r="Q626" t="n">
        <v>0</v>
      </c>
      <c r="R626" s="2" t="inlineStr"/>
    </row>
    <row r="627" ht="15" customHeight="1">
      <c r="A627" t="inlineStr">
        <is>
          <t>A 2714-2023</t>
        </is>
      </c>
      <c r="B627" s="1" t="n">
        <v>44944.54896990741</v>
      </c>
      <c r="C627" s="1" t="n">
        <v>46108</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45072.55239583334</v>
      </c>
      <c r="C628" s="1" t="n">
        <v>46108</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4568-2025</t>
        </is>
      </c>
      <c r="B629" s="1" t="n">
        <v>45687</v>
      </c>
      <c r="C629" s="1" t="n">
        <v>46108</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1681-2023</t>
        </is>
      </c>
      <c r="B630" s="1" t="n">
        <v>44938.39715277778</v>
      </c>
      <c r="C630" s="1" t="n">
        <v>46108</v>
      </c>
      <c r="D630" t="inlineStr">
        <is>
          <t>GOTLANDS LÄN</t>
        </is>
      </c>
      <c r="E630" t="inlineStr">
        <is>
          <t>GOTLAND</t>
        </is>
      </c>
      <c r="G630" t="n">
        <v>2.4</v>
      </c>
      <c r="H630" t="n">
        <v>0</v>
      </c>
      <c r="I630" t="n">
        <v>0</v>
      </c>
      <c r="J630" t="n">
        <v>0</v>
      </c>
      <c r="K630" t="n">
        <v>0</v>
      </c>
      <c r="L630" t="n">
        <v>0</v>
      </c>
      <c r="M630" t="n">
        <v>0</v>
      </c>
      <c r="N630" t="n">
        <v>0</v>
      </c>
      <c r="O630" t="n">
        <v>0</v>
      </c>
      <c r="P630" t="n">
        <v>0</v>
      </c>
      <c r="Q630" t="n">
        <v>0</v>
      </c>
      <c r="R630" s="2" t="inlineStr"/>
    </row>
    <row r="631" ht="15" customHeight="1">
      <c r="A631" t="inlineStr">
        <is>
          <t>A 42338-2023</t>
        </is>
      </c>
      <c r="B631" s="1" t="n">
        <v>45180</v>
      </c>
      <c r="C631" s="1" t="n">
        <v>46108</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18918-2025</t>
        </is>
      </c>
      <c r="B632" s="1" t="n">
        <v>45764</v>
      </c>
      <c r="C632" s="1" t="n">
        <v>46108</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11013-2024</t>
        </is>
      </c>
      <c r="B633" s="1" t="n">
        <v>45370</v>
      </c>
      <c r="C633" s="1" t="n">
        <v>46108</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45084-2024</t>
        </is>
      </c>
      <c r="B634" s="1" t="n">
        <v>45575</v>
      </c>
      <c r="C634" s="1" t="n">
        <v>46108</v>
      </c>
      <c r="D634" t="inlineStr">
        <is>
          <t>GOTLANDS LÄN</t>
        </is>
      </c>
      <c r="E634" t="inlineStr">
        <is>
          <t>GOTLAND</t>
        </is>
      </c>
      <c r="G634" t="n">
        <v>6.8</v>
      </c>
      <c r="H634" t="n">
        <v>0</v>
      </c>
      <c r="I634" t="n">
        <v>0</v>
      </c>
      <c r="J634" t="n">
        <v>0</v>
      </c>
      <c r="K634" t="n">
        <v>0</v>
      </c>
      <c r="L634" t="n">
        <v>0</v>
      </c>
      <c r="M634" t="n">
        <v>0</v>
      </c>
      <c r="N634" t="n">
        <v>0</v>
      </c>
      <c r="O634" t="n">
        <v>0</v>
      </c>
      <c r="P634" t="n">
        <v>0</v>
      </c>
      <c r="Q634" t="n">
        <v>0</v>
      </c>
      <c r="R634" s="2" t="inlineStr"/>
    </row>
    <row r="635" ht="15" customHeight="1">
      <c r="A635" t="inlineStr">
        <is>
          <t>A 20356-2022</t>
        </is>
      </c>
      <c r="B635" s="1" t="n">
        <v>44699</v>
      </c>
      <c r="C635" s="1" t="n">
        <v>46108</v>
      </c>
      <c r="D635" t="inlineStr">
        <is>
          <t>GOTLANDS LÄN</t>
        </is>
      </c>
      <c r="E635" t="inlineStr">
        <is>
          <t>GOTLAND</t>
        </is>
      </c>
      <c r="F635" t="inlineStr">
        <is>
          <t>Övriga Aktiebolag</t>
        </is>
      </c>
      <c r="G635" t="n">
        <v>4.4</v>
      </c>
      <c r="H635" t="n">
        <v>0</v>
      </c>
      <c r="I635" t="n">
        <v>0</v>
      </c>
      <c r="J635" t="n">
        <v>0</v>
      </c>
      <c r="K635" t="n">
        <v>0</v>
      </c>
      <c r="L635" t="n">
        <v>0</v>
      </c>
      <c r="M635" t="n">
        <v>0</v>
      </c>
      <c r="N635" t="n">
        <v>0</v>
      </c>
      <c r="O635" t="n">
        <v>0</v>
      </c>
      <c r="P635" t="n">
        <v>0</v>
      </c>
      <c r="Q635" t="n">
        <v>0</v>
      </c>
      <c r="R635" s="2" t="inlineStr"/>
    </row>
    <row r="636" ht="15" customHeight="1">
      <c r="A636" t="inlineStr">
        <is>
          <t>A 4868-2024</t>
        </is>
      </c>
      <c r="B636" s="1" t="n">
        <v>45329</v>
      </c>
      <c r="C636" s="1" t="n">
        <v>46108</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9613-2025</t>
        </is>
      </c>
      <c r="B637" s="1" t="n">
        <v>45715</v>
      </c>
      <c r="C637" s="1" t="n">
        <v>46108</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5386-2023</t>
        </is>
      </c>
      <c r="B638" s="1" t="n">
        <v>44959</v>
      </c>
      <c r="C638" s="1" t="n">
        <v>46108</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58211-2024</t>
        </is>
      </c>
      <c r="B639" s="1" t="n">
        <v>45632.49292824074</v>
      </c>
      <c r="C639" s="1" t="n">
        <v>46108</v>
      </c>
      <c r="D639" t="inlineStr">
        <is>
          <t>GOTLANDS LÄN</t>
        </is>
      </c>
      <c r="E639" t="inlineStr">
        <is>
          <t>GOTLAND</t>
        </is>
      </c>
      <c r="G639" t="n">
        <v>5.4</v>
      </c>
      <c r="H639" t="n">
        <v>0</v>
      </c>
      <c r="I639" t="n">
        <v>0</v>
      </c>
      <c r="J639" t="n">
        <v>0</v>
      </c>
      <c r="K639" t="n">
        <v>0</v>
      </c>
      <c r="L639" t="n">
        <v>0</v>
      </c>
      <c r="M639" t="n">
        <v>0</v>
      </c>
      <c r="N639" t="n">
        <v>0</v>
      </c>
      <c r="O639" t="n">
        <v>0</v>
      </c>
      <c r="P639" t="n">
        <v>0</v>
      </c>
      <c r="Q639" t="n">
        <v>0</v>
      </c>
      <c r="R639" s="2" t="inlineStr"/>
    </row>
    <row r="640" ht="15" customHeight="1">
      <c r="A640" t="inlineStr">
        <is>
          <t>A 11634-2024</t>
        </is>
      </c>
      <c r="B640" s="1" t="n">
        <v>45373</v>
      </c>
      <c r="C640" s="1" t="n">
        <v>46108</v>
      </c>
      <c r="D640" t="inlineStr">
        <is>
          <t>GOTLANDS LÄN</t>
        </is>
      </c>
      <c r="E640" t="inlineStr">
        <is>
          <t>GOTLAND</t>
        </is>
      </c>
      <c r="G640" t="n">
        <v>3</v>
      </c>
      <c r="H640" t="n">
        <v>0</v>
      </c>
      <c r="I640" t="n">
        <v>0</v>
      </c>
      <c r="J640" t="n">
        <v>0</v>
      </c>
      <c r="K640" t="n">
        <v>0</v>
      </c>
      <c r="L640" t="n">
        <v>0</v>
      </c>
      <c r="M640" t="n">
        <v>0</v>
      </c>
      <c r="N640" t="n">
        <v>0</v>
      </c>
      <c r="O640" t="n">
        <v>0</v>
      </c>
      <c r="P640" t="n">
        <v>0</v>
      </c>
      <c r="Q640" t="n">
        <v>0</v>
      </c>
      <c r="R640" s="2" t="inlineStr"/>
    </row>
    <row r="641" ht="15" customHeight="1">
      <c r="A641" t="inlineStr">
        <is>
          <t>A 5884-2025</t>
        </is>
      </c>
      <c r="B641" s="1" t="n">
        <v>45695.37482638889</v>
      </c>
      <c r="C641" s="1" t="n">
        <v>46108</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5897-2025</t>
        </is>
      </c>
      <c r="B642" s="1" t="n">
        <v>45695.39273148148</v>
      </c>
      <c r="C642" s="1" t="n">
        <v>46108</v>
      </c>
      <c r="D642" t="inlineStr">
        <is>
          <t>GOTLANDS LÄN</t>
        </is>
      </c>
      <c r="E642" t="inlineStr">
        <is>
          <t>GOTLAND</t>
        </is>
      </c>
      <c r="G642" t="n">
        <v>3.7</v>
      </c>
      <c r="H642" t="n">
        <v>0</v>
      </c>
      <c r="I642" t="n">
        <v>0</v>
      </c>
      <c r="J642" t="n">
        <v>0</v>
      </c>
      <c r="K642" t="n">
        <v>0</v>
      </c>
      <c r="L642" t="n">
        <v>0</v>
      </c>
      <c r="M642" t="n">
        <v>0</v>
      </c>
      <c r="N642" t="n">
        <v>0</v>
      </c>
      <c r="O642" t="n">
        <v>0</v>
      </c>
      <c r="P642" t="n">
        <v>0</v>
      </c>
      <c r="Q642" t="n">
        <v>0</v>
      </c>
      <c r="R642" s="2" t="inlineStr"/>
    </row>
    <row r="643" ht="15" customHeight="1">
      <c r="A643" t="inlineStr">
        <is>
          <t>A 5909-2025</t>
        </is>
      </c>
      <c r="B643" s="1" t="n">
        <v>45695.40634259259</v>
      </c>
      <c r="C643" s="1" t="n">
        <v>46108</v>
      </c>
      <c r="D643" t="inlineStr">
        <is>
          <t>GOTLANDS LÄN</t>
        </is>
      </c>
      <c r="E643" t="inlineStr">
        <is>
          <t>GOTLAND</t>
        </is>
      </c>
      <c r="G643" t="n">
        <v>2.9</v>
      </c>
      <c r="H643" t="n">
        <v>0</v>
      </c>
      <c r="I643" t="n">
        <v>0</v>
      </c>
      <c r="J643" t="n">
        <v>0</v>
      </c>
      <c r="K643" t="n">
        <v>0</v>
      </c>
      <c r="L643" t="n">
        <v>0</v>
      </c>
      <c r="M643" t="n">
        <v>0</v>
      </c>
      <c r="N643" t="n">
        <v>0</v>
      </c>
      <c r="O643" t="n">
        <v>0</v>
      </c>
      <c r="P643" t="n">
        <v>0</v>
      </c>
      <c r="Q643" t="n">
        <v>0</v>
      </c>
      <c r="R643" s="2" t="inlineStr"/>
    </row>
    <row r="644" ht="15" customHeight="1">
      <c r="A644" t="inlineStr">
        <is>
          <t>A 60086-2022</t>
        </is>
      </c>
      <c r="B644" s="1" t="n">
        <v>44909</v>
      </c>
      <c r="C644" s="1" t="n">
        <v>46108</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c r="A645" t="inlineStr">
        <is>
          <t>A 22704-2023</t>
        </is>
      </c>
      <c r="B645" s="1" t="n">
        <v>45071</v>
      </c>
      <c r="C645" s="1" t="n">
        <v>46108</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2026-03-27T11:40:46Z</dcterms:created>
  <dcterms:modified xmlns:dcterms="http://purl.org/dc/terms/" xmlns:xsi="http://www.w3.org/2001/XMLSchema-instance" xsi:type="dcterms:W3CDTF">2026-03-27T11:40:47Z</dcterms:modified>
</cp:coreProperties>
</file>