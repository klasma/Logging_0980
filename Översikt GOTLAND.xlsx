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46076</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46076</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46076</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46076</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46076</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46076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46076</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46076</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46076</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46076</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46076</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46076</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46076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46076</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46076</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46076</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46076</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46076</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46076</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46076</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46076</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46076</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46076</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46076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46076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46076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46076</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46076</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46076</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46076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46076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46076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46076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46076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46076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46076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46076</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46076</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46076</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46076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46076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46076</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46076</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46076</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46076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46076</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46076</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46076</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46076</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46076</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46076</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32326-2024</t>
        </is>
      </c>
      <c r="B80" s="1" t="n">
        <v>45512</v>
      </c>
      <c r="C80" s="1" t="n">
        <v>46076</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46076</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46076</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46076</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6839-2026</t>
        </is>
      </c>
      <c r="B84" s="1" t="n">
        <v>46057.41193287037</v>
      </c>
      <c r="C84" s="1" t="n">
        <v>46076</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46076</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42936-2024</t>
        </is>
      </c>
      <c r="B86" s="1" t="n">
        <v>45567</v>
      </c>
      <c r="C86" s="1" t="n">
        <v>46076</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46076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16375-2025</t>
        </is>
      </c>
      <c r="B88" s="1" t="n">
        <v>45751.41064814815</v>
      </c>
      <c r="C88" s="1" t="n">
        <v>46076</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46076</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46076</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46076</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20833-2024</t>
        </is>
      </c>
      <c r="B92" s="1" t="n">
        <v>45439</v>
      </c>
      <c r="C92" s="1" t="n">
        <v>46076</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46076</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46076</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46076</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46076</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46076</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54523-2023</t>
        </is>
      </c>
      <c r="B98" s="1" t="n">
        <v>45233</v>
      </c>
      <c r="C98" s="1" t="n">
        <v>46076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186-2023</t>
        </is>
      </c>
      <c r="B99" s="1" t="n">
        <v>44928</v>
      </c>
      <c r="C99" s="1" t="n">
        <v>46076</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6836-2026</t>
        </is>
      </c>
      <c r="B100" s="1" t="n">
        <v>46057.40902777778</v>
      </c>
      <c r="C100" s="1" t="n">
        <v>46076</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52250-2025</t>
        </is>
      </c>
      <c r="B101" s="1" t="n">
        <v>45953.48998842593</v>
      </c>
      <c r="C101" s="1" t="n">
        <v>46076</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57463-2025</t>
        </is>
      </c>
      <c r="B102" s="1" t="n">
        <v>45980.54174768519</v>
      </c>
      <c r="C102" s="1" t="n">
        <v>46076</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8265-2023</t>
        </is>
      </c>
      <c r="B103" s="1" t="n">
        <v>44974</v>
      </c>
      <c r="C103" s="1" t="n">
        <v>46076</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46076</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46076</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46076</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46076</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46076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46076</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46076</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46076</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46076</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46076</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46076</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46076</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46076</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1520-2026</t>
        </is>
      </c>
      <c r="B120" s="1" t="n">
        <v>46034.35891203704</v>
      </c>
      <c r="C120" s="1" t="n">
        <v>46076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53552-2021</t>
        </is>
      </c>
      <c r="B121" s="1" t="n">
        <v>44468</v>
      </c>
      <c r="C121" s="1" t="n">
        <v>46076</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46076</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46076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46076</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46076</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46076</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46076</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46076</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46076</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46076</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46076</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46076</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46076</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46076</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46076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26077-2024</t>
        </is>
      </c>
      <c r="B136" s="1" t="n">
        <v>45467</v>
      </c>
      <c r="C136" s="1" t="n">
        <v>46076</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62760-2025</t>
        </is>
      </c>
      <c r="B137" s="1" t="n">
        <v>46008</v>
      </c>
      <c r="C137" s="1" t="n">
        <v>46076</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43219-2023</t>
        </is>
      </c>
      <c r="B138" s="1" t="n">
        <v>45183</v>
      </c>
      <c r="C138" s="1" t="n">
        <v>46076</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46076</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46076</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46076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46076</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46076</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46076</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46076</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46076</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17723-2021</t>
        </is>
      </c>
      <c r="B147" s="1" t="n">
        <v>44300</v>
      </c>
      <c r="C147" s="1" t="n">
        <v>46076</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6303-2024</t>
        </is>
      </c>
      <c r="B148" s="1" t="n">
        <v>45338.35376157407</v>
      </c>
      <c r="C148" s="1" t="n">
        <v>46076</v>
      </c>
      <c r="D148" t="inlineStr">
        <is>
          <t>GOTLANDS LÄN</t>
        </is>
      </c>
      <c r="E148" t="inlineStr">
        <is>
          <t>GOTLAND</t>
        </is>
      </c>
      <c r="G148" t="n">
        <v>0.6</v>
      </c>
      <c r="H148" t="n">
        <v>0</v>
      </c>
      <c r="I148" t="n">
        <v>1</v>
      </c>
      <c r="J148" t="n">
        <v>0</v>
      </c>
      <c r="K148" t="n">
        <v>0</v>
      </c>
      <c r="L148" t="n">
        <v>0</v>
      </c>
      <c r="M148" t="n">
        <v>0</v>
      </c>
      <c r="N148" t="n">
        <v>0</v>
      </c>
      <c r="O148" t="n">
        <v>0</v>
      </c>
      <c r="P148" t="n">
        <v>0</v>
      </c>
      <c r="Q148" t="n">
        <v>1</v>
      </c>
      <c r="R148" s="2" t="inlineStr">
        <is>
          <t>Strävlosta</t>
        </is>
      </c>
      <c r="S148">
        <f>HYPERLINK("https://klasma.github.io/Logging_0980/artfynd/A 6303-2024 artfynd.xlsx", "A 6303-2024")</f>
        <v/>
      </c>
      <c r="T148">
        <f>HYPERLINK("https://klasma.github.io/Logging_0980/kartor/A 6303-2024 karta.png", "A 6303-2024")</f>
        <v/>
      </c>
      <c r="V148">
        <f>HYPERLINK("https://klasma.github.io/Logging_0980/klagomål/A 6303-2024 FSC-klagomål.docx", "A 6303-2024")</f>
        <v/>
      </c>
      <c r="W148">
        <f>HYPERLINK("https://klasma.github.io/Logging_0980/klagomålsmail/A 6303-2024 FSC-klagomål mail.docx", "A 6303-2024")</f>
        <v/>
      </c>
      <c r="X148">
        <f>HYPERLINK("https://klasma.github.io/Logging_0980/tillsyn/A 6303-2024 tillsynsbegäran.docx", "A 6303-2024")</f>
        <v/>
      </c>
      <c r="Y148">
        <f>HYPERLINK("https://klasma.github.io/Logging_0980/tillsynsmail/A 6303-2024 tillsynsbegäran mail.docx", "A 6303-2024")</f>
        <v/>
      </c>
    </row>
    <row r="149" ht="15" customHeight="1">
      <c r="A149" t="inlineStr">
        <is>
          <t>A 62552-2022</t>
        </is>
      </c>
      <c r="B149" s="1" t="n">
        <v>44924</v>
      </c>
      <c r="C149" s="1" t="n">
        <v>46076</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25977-2024</t>
        </is>
      </c>
      <c r="B150" s="1" t="n">
        <v>45467.69356481481</v>
      </c>
      <c r="C150" s="1" t="n">
        <v>46076</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39812-2025</t>
        </is>
      </c>
      <c r="B151" s="1" t="n">
        <v>45891</v>
      </c>
      <c r="C151" s="1" t="n">
        <v>46076</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27589-2023</t>
        </is>
      </c>
      <c r="B152" s="1" t="n">
        <v>45097</v>
      </c>
      <c r="C152" s="1" t="n">
        <v>46076</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9862-2024</t>
        </is>
      </c>
      <c r="B153" s="1" t="n">
        <v>45363</v>
      </c>
      <c r="C153" s="1" t="n">
        <v>46076</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46076</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65927-2021</t>
        </is>
      </c>
      <c r="B155" s="1" t="n">
        <v>44516</v>
      </c>
      <c r="C155" s="1" t="n">
        <v>46076</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35467-2021</t>
        </is>
      </c>
      <c r="B156" s="1" t="n">
        <v>44385</v>
      </c>
      <c r="C156" s="1" t="n">
        <v>46076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947-2023</t>
        </is>
      </c>
      <c r="B157" s="1" t="n">
        <v>44934</v>
      </c>
      <c r="C157" s="1" t="n">
        <v>46076</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44619-2025</t>
        </is>
      </c>
      <c r="B158" s="1" t="n">
        <v>45917</v>
      </c>
      <c r="C158" s="1" t="n">
        <v>46076</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61561-2023</t>
        </is>
      </c>
      <c r="B159" s="1" t="n">
        <v>45265</v>
      </c>
      <c r="C159" s="1" t="n">
        <v>46076</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12924-2025</t>
        </is>
      </c>
      <c r="B160" s="1" t="n">
        <v>45734</v>
      </c>
      <c r="C160" s="1" t="n">
        <v>46076</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20429-2025</t>
        </is>
      </c>
      <c r="B161" s="1" t="n">
        <v>45775.47728009259</v>
      </c>
      <c r="C161" s="1" t="n">
        <v>46076</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13939-2021</t>
        </is>
      </c>
      <c r="B162" s="1" t="n">
        <v>44277</v>
      </c>
      <c r="C162" s="1" t="n">
        <v>46076</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46076</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46076</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46076</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46076</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46076</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46076</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46076</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46076</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46076</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46076</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7637-2025</t>
        </is>
      </c>
      <c r="B173" s="1" t="n">
        <v>45705.77181712963</v>
      </c>
      <c r="C173" s="1" t="n">
        <v>46076</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63149-2025</t>
        </is>
      </c>
      <c r="B174" s="1" t="n">
        <v>46010</v>
      </c>
      <c r="C174" s="1" t="n">
        <v>46076</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61796-2022</t>
        </is>
      </c>
      <c r="B175" s="1" t="n">
        <v>44917</v>
      </c>
      <c r="C175" s="1" t="n">
        <v>46076</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46076</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46076</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46076</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46076</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46076</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46076</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46076</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46076</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46076</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46076</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46076</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26461-2025</t>
        </is>
      </c>
      <c r="B187" s="1" t="n">
        <v>45807.43337962963</v>
      </c>
      <c r="C187" s="1" t="n">
        <v>46076</v>
      </c>
      <c r="D187" t="inlineStr">
        <is>
          <t>GOTLANDS LÄN</t>
        </is>
      </c>
      <c r="E187" t="inlineStr">
        <is>
          <t>GOTLAND</t>
        </is>
      </c>
      <c r="G187" t="n">
        <v>4.1</v>
      </c>
      <c r="H187" t="n">
        <v>0</v>
      </c>
      <c r="I187" t="n">
        <v>0</v>
      </c>
      <c r="J187" t="n">
        <v>0</v>
      </c>
      <c r="K187" t="n">
        <v>1</v>
      </c>
      <c r="L187" t="n">
        <v>0</v>
      </c>
      <c r="M187" t="n">
        <v>0</v>
      </c>
      <c r="N187" t="n">
        <v>0</v>
      </c>
      <c r="O187" t="n">
        <v>1</v>
      </c>
      <c r="P187" t="n">
        <v>1</v>
      </c>
      <c r="Q187" t="n">
        <v>1</v>
      </c>
      <c r="R187" s="2" t="inlineStr">
        <is>
          <t>Gotlandsmåra</t>
        </is>
      </c>
      <c r="S187">
        <f>HYPERLINK("https://klasma.github.io/Logging_0980/artfynd/A 26461-2025 artfynd.xlsx", "A 26461-2025")</f>
        <v/>
      </c>
      <c r="T187">
        <f>HYPERLINK("https://klasma.github.io/Logging_0980/kartor/A 26461-2025 karta.png", "A 26461-2025")</f>
        <v/>
      </c>
      <c r="V187">
        <f>HYPERLINK("https://klasma.github.io/Logging_0980/klagomål/A 26461-2025 FSC-klagomål.docx", "A 26461-2025")</f>
        <v/>
      </c>
      <c r="W187">
        <f>HYPERLINK("https://klasma.github.io/Logging_0980/klagomålsmail/A 26461-2025 FSC-klagomål mail.docx", "A 26461-2025")</f>
        <v/>
      </c>
      <c r="X187">
        <f>HYPERLINK("https://klasma.github.io/Logging_0980/tillsyn/A 26461-2025 tillsynsbegäran.docx", "A 26461-2025")</f>
        <v/>
      </c>
      <c r="Y187">
        <f>HYPERLINK("https://klasma.github.io/Logging_0980/tillsynsmail/A 26461-2025 tillsynsbegäran mail.docx", "A 26461-2025")</f>
        <v/>
      </c>
    </row>
    <row r="188" ht="15" customHeight="1">
      <c r="A188" t="inlineStr">
        <is>
          <t>A 19901-2021</t>
        </is>
      </c>
      <c r="B188" s="1" t="n">
        <v>44312</v>
      </c>
      <c r="C188" s="1" t="n">
        <v>46076</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46076</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46076</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46076</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46076</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46076</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46076</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46076</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46076</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46076</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46076</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46076</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46076</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46076</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46076</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46076</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46076</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46076</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46076</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46076</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46076</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46076</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46076</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46076</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46076</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46076</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46076</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46076</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46076</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46076</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46076</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46076</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46076</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46076</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46076</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46076</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46076</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46076</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46076</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46076</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46076</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46076</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46076</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46076</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46076</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46076</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46076</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46076</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46076</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46076</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44228-2022</t>
        </is>
      </c>
      <c r="B239" s="1" t="n">
        <v>44839.51599537037</v>
      </c>
      <c r="C239" s="1" t="n">
        <v>46076</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61386-2023</t>
        </is>
      </c>
      <c r="B240" s="1" t="n">
        <v>45264</v>
      </c>
      <c r="C240" s="1" t="n">
        <v>46076</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46076</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46076</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46076</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56009-2024</t>
        </is>
      </c>
      <c r="B244" s="1" t="n">
        <v>45623.80864583333</v>
      </c>
      <c r="C244" s="1" t="n">
        <v>46076</v>
      </c>
      <c r="D244" t="inlineStr">
        <is>
          <t>GOTLANDS LÄN</t>
        </is>
      </c>
      <c r="E244" t="inlineStr">
        <is>
          <t>GOTLAND</t>
        </is>
      </c>
      <c r="G244" t="n">
        <v>2.8</v>
      </c>
      <c r="H244" t="n">
        <v>0</v>
      </c>
      <c r="I244" t="n">
        <v>0</v>
      </c>
      <c r="J244" t="n">
        <v>0</v>
      </c>
      <c r="K244" t="n">
        <v>0</v>
      </c>
      <c r="L244" t="n">
        <v>0</v>
      </c>
      <c r="M244" t="n">
        <v>0</v>
      </c>
      <c r="N244" t="n">
        <v>0</v>
      </c>
      <c r="O244" t="n">
        <v>0</v>
      </c>
      <c r="P244" t="n">
        <v>0</v>
      </c>
      <c r="Q244" t="n">
        <v>0</v>
      </c>
      <c r="R244" s="2" t="inlineStr"/>
    </row>
    <row r="245" ht="15" customHeight="1">
      <c r="A245" t="inlineStr">
        <is>
          <t>A 54073-2022</t>
        </is>
      </c>
      <c r="B245" s="1" t="n">
        <v>44881.50380787037</v>
      </c>
      <c r="C245" s="1" t="n">
        <v>46076</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45106-2024</t>
        </is>
      </c>
      <c r="B246" s="1" t="n">
        <v>45575</v>
      </c>
      <c r="C246" s="1" t="n">
        <v>46076</v>
      </c>
      <c r="D246" t="inlineStr">
        <is>
          <t>GOTLANDS LÄN</t>
        </is>
      </c>
      <c r="E246" t="inlineStr">
        <is>
          <t>GOTLAND</t>
        </is>
      </c>
      <c r="G246" t="n">
        <v>10</v>
      </c>
      <c r="H246" t="n">
        <v>0</v>
      </c>
      <c r="I246" t="n">
        <v>0</v>
      </c>
      <c r="J246" t="n">
        <v>0</v>
      </c>
      <c r="K246" t="n">
        <v>0</v>
      </c>
      <c r="L246" t="n">
        <v>0</v>
      </c>
      <c r="M246" t="n">
        <v>0</v>
      </c>
      <c r="N246" t="n">
        <v>0</v>
      </c>
      <c r="O246" t="n">
        <v>0</v>
      </c>
      <c r="P246" t="n">
        <v>0</v>
      </c>
      <c r="Q246" t="n">
        <v>0</v>
      </c>
      <c r="R246" s="2" t="inlineStr"/>
    </row>
    <row r="247" ht="15" customHeight="1">
      <c r="A247" t="inlineStr">
        <is>
          <t>A 45112-2024</t>
        </is>
      </c>
      <c r="B247" s="1" t="n">
        <v>45575</v>
      </c>
      <c r="C247" s="1" t="n">
        <v>46076</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3964-2024</t>
        </is>
      </c>
      <c r="B248" s="1" t="n">
        <v>45322</v>
      </c>
      <c r="C248" s="1" t="n">
        <v>46076</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7026-2023</t>
        </is>
      </c>
      <c r="B249" s="1" t="n">
        <v>44968.30340277778</v>
      </c>
      <c r="C249" s="1" t="n">
        <v>46076</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49874-2024</t>
        </is>
      </c>
      <c r="B250" s="1" t="n">
        <v>45597.49274305555</v>
      </c>
      <c r="C250" s="1" t="n">
        <v>46076</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46076</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46076</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60675-2021</t>
        </is>
      </c>
      <c r="B253" s="1" t="n">
        <v>44496.64855324074</v>
      </c>
      <c r="C253" s="1" t="n">
        <v>46076</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51782-2023</t>
        </is>
      </c>
      <c r="B254" s="1" t="n">
        <v>45222.80952546297</v>
      </c>
      <c r="C254" s="1" t="n">
        <v>46076</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5217-2023</t>
        </is>
      </c>
      <c r="B255" s="1" t="n">
        <v>44959.39582175926</v>
      </c>
      <c r="C255" s="1" t="n">
        <v>46076</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4421-2024</t>
        </is>
      </c>
      <c r="B256" s="1" t="n">
        <v>45327.45173611111</v>
      </c>
      <c r="C256" s="1" t="n">
        <v>46076</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14638-2025</t>
        </is>
      </c>
      <c r="B257" s="1" t="n">
        <v>45742</v>
      </c>
      <c r="C257" s="1" t="n">
        <v>46076</v>
      </c>
      <c r="D257" t="inlineStr">
        <is>
          <t>GOTLANDS LÄN</t>
        </is>
      </c>
      <c r="E257" t="inlineStr">
        <is>
          <t>GOTLAND</t>
        </is>
      </c>
      <c r="G257" t="n">
        <v>13.4</v>
      </c>
      <c r="H257" t="n">
        <v>0</v>
      </c>
      <c r="I257" t="n">
        <v>0</v>
      </c>
      <c r="J257" t="n">
        <v>0</v>
      </c>
      <c r="K257" t="n">
        <v>0</v>
      </c>
      <c r="L257" t="n">
        <v>0</v>
      </c>
      <c r="M257" t="n">
        <v>0</v>
      </c>
      <c r="N257" t="n">
        <v>0</v>
      </c>
      <c r="O257" t="n">
        <v>0</v>
      </c>
      <c r="P257" t="n">
        <v>0</v>
      </c>
      <c r="Q257" t="n">
        <v>0</v>
      </c>
      <c r="R257" s="2" t="inlineStr"/>
    </row>
    <row r="258" ht="15" customHeight="1">
      <c r="A258" t="inlineStr">
        <is>
          <t>A 33876-2024</t>
        </is>
      </c>
      <c r="B258" s="1" t="n">
        <v>45521.87988425926</v>
      </c>
      <c r="C258" s="1" t="n">
        <v>46076</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46076</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31264-2021</t>
        </is>
      </c>
      <c r="B260" s="1" t="n">
        <v>44368</v>
      </c>
      <c r="C260" s="1" t="n">
        <v>46076</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61962-2024</t>
        </is>
      </c>
      <c r="B261" s="1" t="n">
        <v>45653.54340277778</v>
      </c>
      <c r="C261" s="1" t="n">
        <v>46076</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43223-2023</t>
        </is>
      </c>
      <c r="B262" s="1" t="n">
        <v>45183.45642361111</v>
      </c>
      <c r="C262" s="1" t="n">
        <v>46076</v>
      </c>
      <c r="D262" t="inlineStr">
        <is>
          <t>GOTLANDS LÄN</t>
        </is>
      </c>
      <c r="E262" t="inlineStr">
        <is>
          <t>GOTLAND</t>
        </is>
      </c>
      <c r="G262" t="n">
        <v>1.8</v>
      </c>
      <c r="H262" t="n">
        <v>0</v>
      </c>
      <c r="I262" t="n">
        <v>0</v>
      </c>
      <c r="J262" t="n">
        <v>0</v>
      </c>
      <c r="K262" t="n">
        <v>0</v>
      </c>
      <c r="L262" t="n">
        <v>0</v>
      </c>
      <c r="M262" t="n">
        <v>0</v>
      </c>
      <c r="N262" t="n">
        <v>0</v>
      </c>
      <c r="O262" t="n">
        <v>0</v>
      </c>
      <c r="P262" t="n">
        <v>0</v>
      </c>
      <c r="Q262" t="n">
        <v>0</v>
      </c>
      <c r="R262" s="2" t="inlineStr"/>
    </row>
    <row r="263" ht="15" customHeight="1">
      <c r="A263" t="inlineStr">
        <is>
          <t>A 27930-2021</t>
        </is>
      </c>
      <c r="B263" s="1" t="n">
        <v>44354</v>
      </c>
      <c r="C263" s="1" t="n">
        <v>46076</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46076</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46076</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4990-2025</t>
        </is>
      </c>
      <c r="B266" s="1" t="n">
        <v>45691</v>
      </c>
      <c r="C266" s="1" t="n">
        <v>46076</v>
      </c>
      <c r="D266" t="inlineStr">
        <is>
          <t>GOTLANDS LÄN</t>
        </is>
      </c>
      <c r="E266" t="inlineStr">
        <is>
          <t>GOTLAND</t>
        </is>
      </c>
      <c r="G266" t="n">
        <v>7.7</v>
      </c>
      <c r="H266" t="n">
        <v>0</v>
      </c>
      <c r="I266" t="n">
        <v>0</v>
      </c>
      <c r="J266" t="n">
        <v>0</v>
      </c>
      <c r="K266" t="n">
        <v>0</v>
      </c>
      <c r="L266" t="n">
        <v>0</v>
      </c>
      <c r="M266" t="n">
        <v>0</v>
      </c>
      <c r="N266" t="n">
        <v>0</v>
      </c>
      <c r="O266" t="n">
        <v>0</v>
      </c>
      <c r="P266" t="n">
        <v>0</v>
      </c>
      <c r="Q266" t="n">
        <v>0</v>
      </c>
      <c r="R266" s="2" t="inlineStr"/>
    </row>
    <row r="267" ht="15" customHeight="1">
      <c r="A267" t="inlineStr">
        <is>
          <t>A 6696-2023</t>
        </is>
      </c>
      <c r="B267" s="1" t="n">
        <v>44966.66425925926</v>
      </c>
      <c r="C267" s="1" t="n">
        <v>46076</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28480-2023</t>
        </is>
      </c>
      <c r="B268" s="1" t="n">
        <v>45103</v>
      </c>
      <c r="C268" s="1" t="n">
        <v>46076</v>
      </c>
      <c r="D268" t="inlineStr">
        <is>
          <t>GOTLANDS LÄN</t>
        </is>
      </c>
      <c r="E268" t="inlineStr">
        <is>
          <t>GOTLAND</t>
        </is>
      </c>
      <c r="G268" t="n">
        <v>5.7</v>
      </c>
      <c r="H268" t="n">
        <v>0</v>
      </c>
      <c r="I268" t="n">
        <v>0</v>
      </c>
      <c r="J268" t="n">
        <v>0</v>
      </c>
      <c r="K268" t="n">
        <v>0</v>
      </c>
      <c r="L268" t="n">
        <v>0</v>
      </c>
      <c r="M268" t="n">
        <v>0</v>
      </c>
      <c r="N268" t="n">
        <v>0</v>
      </c>
      <c r="O268" t="n">
        <v>0</v>
      </c>
      <c r="P268" t="n">
        <v>0</v>
      </c>
      <c r="Q268" t="n">
        <v>0</v>
      </c>
      <c r="R268" s="2" t="inlineStr"/>
    </row>
    <row r="269" ht="15" customHeight="1">
      <c r="A269" t="inlineStr">
        <is>
          <t>A 28485-2023</t>
        </is>
      </c>
      <c r="B269" s="1" t="n">
        <v>45103.43731481482</v>
      </c>
      <c r="C269" s="1" t="n">
        <v>46076</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38165-2023</t>
        </is>
      </c>
      <c r="B270" s="1" t="n">
        <v>45161</v>
      </c>
      <c r="C270" s="1" t="n">
        <v>46076</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49693-2023</t>
        </is>
      </c>
      <c r="B271" s="1" t="n">
        <v>45212.38138888889</v>
      </c>
      <c r="C271" s="1" t="n">
        <v>46076</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49697-2023</t>
        </is>
      </c>
      <c r="B272" s="1" t="n">
        <v>45212.38909722222</v>
      </c>
      <c r="C272" s="1" t="n">
        <v>46076</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34312-2024</t>
        </is>
      </c>
      <c r="B273" s="1" t="n">
        <v>45524.69703703704</v>
      </c>
      <c r="C273" s="1" t="n">
        <v>46076</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48503-2023</t>
        </is>
      </c>
      <c r="B274" s="1" t="n">
        <v>45207</v>
      </c>
      <c r="C274" s="1" t="n">
        <v>46076</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24825-2024</t>
        </is>
      </c>
      <c r="B275" s="1" t="n">
        <v>45461</v>
      </c>
      <c r="C275" s="1" t="n">
        <v>46076</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22031-2024</t>
        </is>
      </c>
      <c r="B276" s="1" t="n">
        <v>45443.60075231481</v>
      </c>
      <c r="C276" s="1" t="n">
        <v>46076</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17688-2024</t>
        </is>
      </c>
      <c r="B277" s="1" t="n">
        <v>45418.43575231481</v>
      </c>
      <c r="C277" s="1" t="n">
        <v>46076</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27694-2024</t>
        </is>
      </c>
      <c r="B278" s="1" t="n">
        <v>45475</v>
      </c>
      <c r="C278" s="1" t="n">
        <v>46076</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6739-2025</t>
        </is>
      </c>
      <c r="B279" s="1" t="n">
        <v>45700</v>
      </c>
      <c r="C279" s="1" t="n">
        <v>46076</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39764-2022</t>
        </is>
      </c>
      <c r="B280" s="1" t="n">
        <v>44819</v>
      </c>
      <c r="C280" s="1" t="n">
        <v>46076</v>
      </c>
      <c r="D280" t="inlineStr">
        <is>
          <t>GOTLANDS LÄN</t>
        </is>
      </c>
      <c r="E280" t="inlineStr">
        <is>
          <t>GOTLAND</t>
        </is>
      </c>
      <c r="F280" t="inlineStr">
        <is>
          <t>Kyrkan</t>
        </is>
      </c>
      <c r="G280" t="n">
        <v>3.7</v>
      </c>
      <c r="H280" t="n">
        <v>0</v>
      </c>
      <c r="I280" t="n">
        <v>0</v>
      </c>
      <c r="J280" t="n">
        <v>0</v>
      </c>
      <c r="K280" t="n">
        <v>0</v>
      </c>
      <c r="L280" t="n">
        <v>0</v>
      </c>
      <c r="M280" t="n">
        <v>0</v>
      </c>
      <c r="N280" t="n">
        <v>0</v>
      </c>
      <c r="O280" t="n">
        <v>0</v>
      </c>
      <c r="P280" t="n">
        <v>0</v>
      </c>
      <c r="Q280" t="n">
        <v>0</v>
      </c>
      <c r="R280" s="2" t="inlineStr"/>
    </row>
    <row r="281" ht="15" customHeight="1">
      <c r="A281" t="inlineStr">
        <is>
          <t>A 6099-2024</t>
        </is>
      </c>
      <c r="B281" s="1" t="n">
        <v>45337</v>
      </c>
      <c r="C281" s="1" t="n">
        <v>46076</v>
      </c>
      <c r="D281" t="inlineStr">
        <is>
          <t>GOTLANDS LÄN</t>
        </is>
      </c>
      <c r="E281" t="inlineStr">
        <is>
          <t>GOTLAND</t>
        </is>
      </c>
      <c r="G281" t="n">
        <v>12.6</v>
      </c>
      <c r="H281" t="n">
        <v>0</v>
      </c>
      <c r="I281" t="n">
        <v>0</v>
      </c>
      <c r="J281" t="n">
        <v>0</v>
      </c>
      <c r="K281" t="n">
        <v>0</v>
      </c>
      <c r="L281" t="n">
        <v>0</v>
      </c>
      <c r="M281" t="n">
        <v>0</v>
      </c>
      <c r="N281" t="n">
        <v>0</v>
      </c>
      <c r="O281" t="n">
        <v>0</v>
      </c>
      <c r="P281" t="n">
        <v>0</v>
      </c>
      <c r="Q281" t="n">
        <v>0</v>
      </c>
      <c r="R281" s="2" t="inlineStr"/>
    </row>
    <row r="282" ht="15" customHeight="1">
      <c r="A282" t="inlineStr">
        <is>
          <t>A 8260-2023</t>
        </is>
      </c>
      <c r="B282" s="1" t="n">
        <v>44974.61608796296</v>
      </c>
      <c r="C282" s="1" t="n">
        <v>46076</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20356-2022</t>
        </is>
      </c>
      <c r="B283" s="1" t="n">
        <v>44699</v>
      </c>
      <c r="C283" s="1" t="n">
        <v>46076</v>
      </c>
      <c r="D283" t="inlineStr">
        <is>
          <t>GOTLANDS LÄN</t>
        </is>
      </c>
      <c r="E283" t="inlineStr">
        <is>
          <t>GOTLAND</t>
        </is>
      </c>
      <c r="F283" t="inlineStr">
        <is>
          <t>Övriga Aktiebolag</t>
        </is>
      </c>
      <c r="G283" t="n">
        <v>4.4</v>
      </c>
      <c r="H283" t="n">
        <v>0</v>
      </c>
      <c r="I283" t="n">
        <v>0</v>
      </c>
      <c r="J283" t="n">
        <v>0</v>
      </c>
      <c r="K283" t="n">
        <v>0</v>
      </c>
      <c r="L283" t="n">
        <v>0</v>
      </c>
      <c r="M283" t="n">
        <v>0</v>
      </c>
      <c r="N283" t="n">
        <v>0</v>
      </c>
      <c r="O283" t="n">
        <v>0</v>
      </c>
      <c r="P283" t="n">
        <v>0</v>
      </c>
      <c r="Q283" t="n">
        <v>0</v>
      </c>
      <c r="R283" s="2" t="inlineStr"/>
    </row>
    <row r="284" ht="15" customHeight="1">
      <c r="A284" t="inlineStr">
        <is>
          <t>A 8444-2025</t>
        </is>
      </c>
      <c r="B284" s="1" t="n">
        <v>45709</v>
      </c>
      <c r="C284" s="1" t="n">
        <v>46076</v>
      </c>
      <c r="D284" t="inlineStr">
        <is>
          <t>GOTLANDS LÄN</t>
        </is>
      </c>
      <c r="E284" t="inlineStr">
        <is>
          <t>GOTLAND</t>
        </is>
      </c>
      <c r="G284" t="n">
        <v>5.2</v>
      </c>
      <c r="H284" t="n">
        <v>0</v>
      </c>
      <c r="I284" t="n">
        <v>0</v>
      </c>
      <c r="J284" t="n">
        <v>0</v>
      </c>
      <c r="K284" t="n">
        <v>0</v>
      </c>
      <c r="L284" t="n">
        <v>0</v>
      </c>
      <c r="M284" t="n">
        <v>0</v>
      </c>
      <c r="N284" t="n">
        <v>0</v>
      </c>
      <c r="O284" t="n">
        <v>0</v>
      </c>
      <c r="P284" t="n">
        <v>0</v>
      </c>
      <c r="Q284" t="n">
        <v>0</v>
      </c>
      <c r="R284" s="2" t="inlineStr"/>
    </row>
    <row r="285" ht="15" customHeight="1">
      <c r="A285" t="inlineStr">
        <is>
          <t>A 22287-2022</t>
        </is>
      </c>
      <c r="B285" s="1" t="n">
        <v>44712</v>
      </c>
      <c r="C285" s="1" t="n">
        <v>46076</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19905-2025</t>
        </is>
      </c>
      <c r="B286" s="1" t="n">
        <v>45771</v>
      </c>
      <c r="C286" s="1" t="n">
        <v>46076</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57534-2022</t>
        </is>
      </c>
      <c r="B287" s="1" t="n">
        <v>44896</v>
      </c>
      <c r="C287" s="1" t="n">
        <v>46076</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35142-2025</t>
        </is>
      </c>
      <c r="B288" s="1" t="n">
        <v>45852.65532407408</v>
      </c>
      <c r="C288" s="1" t="n">
        <v>46076</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35141-2025</t>
        </is>
      </c>
      <c r="B289" s="1" t="n">
        <v>45852.65206018519</v>
      </c>
      <c r="C289" s="1" t="n">
        <v>46076</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29207-2025</t>
        </is>
      </c>
      <c r="B290" s="1" t="n">
        <v>45823</v>
      </c>
      <c r="C290" s="1" t="n">
        <v>46076</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64660-2023</t>
        </is>
      </c>
      <c r="B291" s="1" t="n">
        <v>45281.60122685185</v>
      </c>
      <c r="C291" s="1" t="n">
        <v>46076</v>
      </c>
      <c r="D291" t="inlineStr">
        <is>
          <t>GOTLANDS LÄN</t>
        </is>
      </c>
      <c r="E291" t="inlineStr">
        <is>
          <t>GOTLAND</t>
        </is>
      </c>
      <c r="G291" t="n">
        <v>6.3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46076</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39849-2025</t>
        </is>
      </c>
      <c r="B293" s="1" t="n">
        <v>45891.58502314815</v>
      </c>
      <c r="C293" s="1" t="n">
        <v>46076</v>
      </c>
      <c r="D293" t="inlineStr">
        <is>
          <t>GOTLANDS LÄN</t>
        </is>
      </c>
      <c r="E293" t="inlineStr">
        <is>
          <t>GOTLAND</t>
        </is>
      </c>
      <c r="G293" t="n">
        <v>6.1</v>
      </c>
      <c r="H293" t="n">
        <v>0</v>
      </c>
      <c r="I293" t="n">
        <v>0</v>
      </c>
      <c r="J293" t="n">
        <v>0</v>
      </c>
      <c r="K293" t="n">
        <v>0</v>
      </c>
      <c r="L293" t="n">
        <v>0</v>
      </c>
      <c r="M293" t="n">
        <v>0</v>
      </c>
      <c r="N293" t="n">
        <v>0</v>
      </c>
      <c r="O293" t="n">
        <v>0</v>
      </c>
      <c r="P293" t="n">
        <v>0</v>
      </c>
      <c r="Q293" t="n">
        <v>0</v>
      </c>
      <c r="R293" s="2" t="inlineStr"/>
    </row>
    <row r="294" ht="15" customHeight="1">
      <c r="A294" t="inlineStr">
        <is>
          <t>A 39814-2025</t>
        </is>
      </c>
      <c r="B294" s="1" t="n">
        <v>45891.52694444444</v>
      </c>
      <c r="C294" s="1" t="n">
        <v>46076</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39819-2025</t>
        </is>
      </c>
      <c r="B295" s="1" t="n">
        <v>45891.53418981482</v>
      </c>
      <c r="C295" s="1" t="n">
        <v>46076</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30061-2025</t>
        </is>
      </c>
      <c r="B296" s="1" t="n">
        <v>45826.61488425926</v>
      </c>
      <c r="C296" s="1" t="n">
        <v>46076</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39752-2025</t>
        </is>
      </c>
      <c r="B297" s="1" t="n">
        <v>45891</v>
      </c>
      <c r="C297" s="1" t="n">
        <v>46076</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46076</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40372-2025</t>
        </is>
      </c>
      <c r="B299" s="1" t="n">
        <v>45895.5162037037</v>
      </c>
      <c r="C299" s="1" t="n">
        <v>46076</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46076</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20855-2023</t>
        </is>
      </c>
      <c r="B301" s="1" t="n">
        <v>45058.82172453704</v>
      </c>
      <c r="C301" s="1" t="n">
        <v>46076</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46076</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58160-2024</t>
        </is>
      </c>
      <c r="B303" s="1" t="n">
        <v>45632.44927083333</v>
      </c>
      <c r="C303" s="1" t="n">
        <v>46076</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60709-2023</t>
        </is>
      </c>
      <c r="B304" s="1" t="n">
        <v>45260</v>
      </c>
      <c r="C304" s="1" t="n">
        <v>46076</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40499-2025</t>
        </is>
      </c>
      <c r="B305" s="1" t="n">
        <v>45896.32517361111</v>
      </c>
      <c r="C305" s="1" t="n">
        <v>46076</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1000-2024</t>
        </is>
      </c>
      <c r="B306" s="1" t="n">
        <v>45301.63371527778</v>
      </c>
      <c r="C306" s="1" t="n">
        <v>46076</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1010-2024</t>
        </is>
      </c>
      <c r="B307" s="1" t="n">
        <v>45301</v>
      </c>
      <c r="C307" s="1" t="n">
        <v>46076</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46076</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30956-2024</t>
        </is>
      </c>
      <c r="B309" s="1" t="n">
        <v>45499.42527777778</v>
      </c>
      <c r="C309" s="1" t="n">
        <v>46076</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41551-2025</t>
        </is>
      </c>
      <c r="B310" s="1" t="n">
        <v>45901.58854166666</v>
      </c>
      <c r="C310" s="1" t="n">
        <v>46076</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12596-2023</t>
        </is>
      </c>
      <c r="B311" s="1" t="n">
        <v>45000.43310185185</v>
      </c>
      <c r="C311" s="1" t="n">
        <v>46076</v>
      </c>
      <c r="D311" t="inlineStr">
        <is>
          <t>GOTLANDS LÄN</t>
        </is>
      </c>
      <c r="E311" t="inlineStr">
        <is>
          <t>GOTLAND</t>
        </is>
      </c>
      <c r="G311" t="n">
        <v>4.1</v>
      </c>
      <c r="H311" t="n">
        <v>0</v>
      </c>
      <c r="I311" t="n">
        <v>0</v>
      </c>
      <c r="J311" t="n">
        <v>0</v>
      </c>
      <c r="K311" t="n">
        <v>0</v>
      </c>
      <c r="L311" t="n">
        <v>0</v>
      </c>
      <c r="M311" t="n">
        <v>0</v>
      </c>
      <c r="N311" t="n">
        <v>0</v>
      </c>
      <c r="O311" t="n">
        <v>0</v>
      </c>
      <c r="P311" t="n">
        <v>0</v>
      </c>
      <c r="Q311" t="n">
        <v>0</v>
      </c>
      <c r="R311" s="2" t="inlineStr"/>
    </row>
    <row r="312" ht="15" customHeight="1">
      <c r="A312" t="inlineStr">
        <is>
          <t>A 8045-2022</t>
        </is>
      </c>
      <c r="B312" s="1" t="n">
        <v>44609</v>
      </c>
      <c r="C312" s="1" t="n">
        <v>46076</v>
      </c>
      <c r="D312" t="inlineStr">
        <is>
          <t>GOTLANDS LÄN</t>
        </is>
      </c>
      <c r="E312" t="inlineStr">
        <is>
          <t>GOTLAND</t>
        </is>
      </c>
      <c r="G312" t="n">
        <v>7</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46076</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41435-2025</t>
        </is>
      </c>
      <c r="B314" s="1" t="n">
        <v>45901.39974537037</v>
      </c>
      <c r="C314" s="1" t="n">
        <v>46076</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16109-2025</t>
        </is>
      </c>
      <c r="B315" s="1" t="n">
        <v>45750</v>
      </c>
      <c r="C315" s="1" t="n">
        <v>46076</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999-2024</t>
        </is>
      </c>
      <c r="B316" s="1" t="n">
        <v>45301</v>
      </c>
      <c r="C316" s="1" t="n">
        <v>46076</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32467-2025</t>
        </is>
      </c>
      <c r="B317" s="1" t="n">
        <v>45838.42111111111</v>
      </c>
      <c r="C317" s="1" t="n">
        <v>46076</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65901-2021</t>
        </is>
      </c>
      <c r="B318" s="1" t="n">
        <v>44516</v>
      </c>
      <c r="C318" s="1" t="n">
        <v>46076</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46076</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42608-2025</t>
        </is>
      </c>
      <c r="B320" s="1" t="n">
        <v>45905</v>
      </c>
      <c r="C320" s="1" t="n">
        <v>46076</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40294-2022</t>
        </is>
      </c>
      <c r="B321" s="1" t="n">
        <v>44821</v>
      </c>
      <c r="C321" s="1" t="n">
        <v>46076</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27602-2023</t>
        </is>
      </c>
      <c r="B322" s="1" t="n">
        <v>45097</v>
      </c>
      <c r="C322" s="1" t="n">
        <v>46076</v>
      </c>
      <c r="D322" t="inlineStr">
        <is>
          <t>GOTLANDS LÄN</t>
        </is>
      </c>
      <c r="E322" t="inlineStr">
        <is>
          <t>GOTLAND</t>
        </is>
      </c>
      <c r="G322" t="n">
        <v>2.7</v>
      </c>
      <c r="H322" t="n">
        <v>0</v>
      </c>
      <c r="I322" t="n">
        <v>0</v>
      </c>
      <c r="J322" t="n">
        <v>0</v>
      </c>
      <c r="K322" t="n">
        <v>0</v>
      </c>
      <c r="L322" t="n">
        <v>0</v>
      </c>
      <c r="M322" t="n">
        <v>0</v>
      </c>
      <c r="N322" t="n">
        <v>0</v>
      </c>
      <c r="O322" t="n">
        <v>0</v>
      </c>
      <c r="P322" t="n">
        <v>0</v>
      </c>
      <c r="Q322" t="n">
        <v>0</v>
      </c>
      <c r="R322" s="2" t="inlineStr"/>
    </row>
    <row r="323" ht="15" customHeight="1">
      <c r="A323" t="inlineStr">
        <is>
          <t>A 58780-2024</t>
        </is>
      </c>
      <c r="B323" s="1" t="n">
        <v>45635.84113425926</v>
      </c>
      <c r="C323" s="1" t="n">
        <v>46076</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12322-2025</t>
        </is>
      </c>
      <c r="B324" s="1" t="n">
        <v>45730</v>
      </c>
      <c r="C324" s="1" t="n">
        <v>46076</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16373-2025</t>
        </is>
      </c>
      <c r="B325" s="1" t="n">
        <v>45751</v>
      </c>
      <c r="C325" s="1" t="n">
        <v>46076</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46076</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24192-2023</t>
        </is>
      </c>
      <c r="B327" s="1" t="n">
        <v>45079</v>
      </c>
      <c r="C327" s="1" t="n">
        <v>46076</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30282-2022</t>
        </is>
      </c>
      <c r="B328" s="1" t="n">
        <v>44760</v>
      </c>
      <c r="C328" s="1" t="n">
        <v>46076</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33007-2025</t>
        </is>
      </c>
      <c r="B329" s="1" t="n">
        <v>45840</v>
      </c>
      <c r="C329" s="1" t="n">
        <v>46076</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7835-2024</t>
        </is>
      </c>
      <c r="B330" s="1" t="n">
        <v>45349.83138888889</v>
      </c>
      <c r="C330" s="1" t="n">
        <v>46076</v>
      </c>
      <c r="D330" t="inlineStr">
        <is>
          <t>GOTLANDS LÄN</t>
        </is>
      </c>
      <c r="E330" t="inlineStr">
        <is>
          <t>GOTLAND</t>
        </is>
      </c>
      <c r="G330" t="n">
        <v>3.8</v>
      </c>
      <c r="H330" t="n">
        <v>0</v>
      </c>
      <c r="I330" t="n">
        <v>0</v>
      </c>
      <c r="J330" t="n">
        <v>0</v>
      </c>
      <c r="K330" t="n">
        <v>0</v>
      </c>
      <c r="L330" t="n">
        <v>0</v>
      </c>
      <c r="M330" t="n">
        <v>0</v>
      </c>
      <c r="N330" t="n">
        <v>0</v>
      </c>
      <c r="O330" t="n">
        <v>0</v>
      </c>
      <c r="P330" t="n">
        <v>0</v>
      </c>
      <c r="Q330" t="n">
        <v>0</v>
      </c>
      <c r="R330" s="2" t="inlineStr"/>
    </row>
    <row r="331" ht="15" customHeight="1">
      <c r="A331" t="inlineStr">
        <is>
          <t>A 10650-2022</t>
        </is>
      </c>
      <c r="B331" s="1" t="n">
        <v>44624.57945601852</v>
      </c>
      <c r="C331" s="1" t="n">
        <v>46076</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10158-2025</t>
        </is>
      </c>
      <c r="B332" s="1" t="n">
        <v>45719</v>
      </c>
      <c r="C332" s="1" t="n">
        <v>46076</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26810-2021</t>
        </is>
      </c>
      <c r="B333" s="1" t="n">
        <v>44349.55087962963</v>
      </c>
      <c r="C333" s="1" t="n">
        <v>46076</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43911-2025</t>
        </is>
      </c>
      <c r="B334" s="1" t="n">
        <v>45914.3881712963</v>
      </c>
      <c r="C334" s="1" t="n">
        <v>46076</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28425-2023</t>
        </is>
      </c>
      <c r="B335" s="1" t="n">
        <v>45102</v>
      </c>
      <c r="C335" s="1" t="n">
        <v>46076</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43951-2025</t>
        </is>
      </c>
      <c r="B336" s="1" t="n">
        <v>45915.38119212963</v>
      </c>
      <c r="C336" s="1" t="n">
        <v>46076</v>
      </c>
      <c r="D336" t="inlineStr">
        <is>
          <t>GOTLANDS LÄN</t>
        </is>
      </c>
      <c r="E336" t="inlineStr">
        <is>
          <t>GOTLAND</t>
        </is>
      </c>
      <c r="G336" t="n">
        <v>4.4</v>
      </c>
      <c r="H336" t="n">
        <v>0</v>
      </c>
      <c r="I336" t="n">
        <v>0</v>
      </c>
      <c r="J336" t="n">
        <v>0</v>
      </c>
      <c r="K336" t="n">
        <v>0</v>
      </c>
      <c r="L336" t="n">
        <v>0</v>
      </c>
      <c r="M336" t="n">
        <v>0</v>
      </c>
      <c r="N336" t="n">
        <v>0</v>
      </c>
      <c r="O336" t="n">
        <v>0</v>
      </c>
      <c r="P336" t="n">
        <v>0</v>
      </c>
      <c r="Q336" t="n">
        <v>0</v>
      </c>
      <c r="R336" s="2" t="inlineStr"/>
    </row>
    <row r="337" ht="15" customHeight="1">
      <c r="A337" t="inlineStr">
        <is>
          <t>A 13037-2025</t>
        </is>
      </c>
      <c r="B337" s="1" t="n">
        <v>45734</v>
      </c>
      <c r="C337" s="1" t="n">
        <v>46076</v>
      </c>
      <c r="D337" t="inlineStr">
        <is>
          <t>GOTLANDS LÄN</t>
        </is>
      </c>
      <c r="E337" t="inlineStr">
        <is>
          <t>GOTLAND</t>
        </is>
      </c>
      <c r="G337" t="n">
        <v>9.5</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46076</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15413-2025</t>
        </is>
      </c>
      <c r="B339" s="1" t="n">
        <v>45747.451875</v>
      </c>
      <c r="C339" s="1" t="n">
        <v>46076</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44405-2025</t>
        </is>
      </c>
      <c r="B340" s="1" t="n">
        <v>45916.52405092592</v>
      </c>
      <c r="C340" s="1" t="n">
        <v>46076</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35096-2025</t>
        </is>
      </c>
      <c r="B341" s="1" t="n">
        <v>45852.54356481481</v>
      </c>
      <c r="C341" s="1" t="n">
        <v>46076</v>
      </c>
      <c r="D341" t="inlineStr">
        <is>
          <t>GOTLANDS LÄN</t>
        </is>
      </c>
      <c r="E341" t="inlineStr">
        <is>
          <t>GOTLAND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35123-2025</t>
        </is>
      </c>
      <c r="B342" s="1" t="n">
        <v>45852.614375</v>
      </c>
      <c r="C342" s="1" t="n">
        <v>46076</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35290-2025</t>
        </is>
      </c>
      <c r="B343" s="1" t="n">
        <v>45854.38502314815</v>
      </c>
      <c r="C343" s="1" t="n">
        <v>46076</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30104-2025</t>
        </is>
      </c>
      <c r="B344" s="1" t="n">
        <v>45826.68806712963</v>
      </c>
      <c r="C344" s="1" t="n">
        <v>46076</v>
      </c>
      <c r="D344" t="inlineStr">
        <is>
          <t>GOTLANDS LÄN</t>
        </is>
      </c>
      <c r="E344" t="inlineStr">
        <is>
          <t>GOTLAND</t>
        </is>
      </c>
      <c r="G344" t="n">
        <v>15.4</v>
      </c>
      <c r="H344" t="n">
        <v>0</v>
      </c>
      <c r="I344" t="n">
        <v>0</v>
      </c>
      <c r="J344" t="n">
        <v>0</v>
      </c>
      <c r="K344" t="n">
        <v>0</v>
      </c>
      <c r="L344" t="n">
        <v>0</v>
      </c>
      <c r="M344" t="n">
        <v>0</v>
      </c>
      <c r="N344" t="n">
        <v>0</v>
      </c>
      <c r="O344" t="n">
        <v>0</v>
      </c>
      <c r="P344" t="n">
        <v>0</v>
      </c>
      <c r="Q344" t="n">
        <v>0</v>
      </c>
      <c r="R344" s="2" t="inlineStr"/>
    </row>
    <row r="345" ht="15" customHeight="1">
      <c r="A345" t="inlineStr">
        <is>
          <t>A 32669-2024</t>
        </is>
      </c>
      <c r="B345" s="1" t="n">
        <v>45514</v>
      </c>
      <c r="C345" s="1" t="n">
        <v>46076</v>
      </c>
      <c r="D345" t="inlineStr">
        <is>
          <t>GOTLANDS LÄN</t>
        </is>
      </c>
      <c r="E345" t="inlineStr">
        <is>
          <t>GOTLAND</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45722.42766203704</v>
      </c>
      <c r="C346" s="1" t="n">
        <v>46076</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35537-2025</t>
        </is>
      </c>
      <c r="B347" s="1" t="n">
        <v>45856</v>
      </c>
      <c r="C347" s="1" t="n">
        <v>46076</v>
      </c>
      <c r="D347" t="inlineStr">
        <is>
          <t>GOTLANDS LÄN</t>
        </is>
      </c>
      <c r="E347" t="inlineStr">
        <is>
          <t>GOTLAND</t>
        </is>
      </c>
      <c r="G347" t="n">
        <v>16.8</v>
      </c>
      <c r="H347" t="n">
        <v>0</v>
      </c>
      <c r="I347" t="n">
        <v>0</v>
      </c>
      <c r="J347" t="n">
        <v>0</v>
      </c>
      <c r="K347" t="n">
        <v>0</v>
      </c>
      <c r="L347" t="n">
        <v>0</v>
      </c>
      <c r="M347" t="n">
        <v>0</v>
      </c>
      <c r="N347" t="n">
        <v>0</v>
      </c>
      <c r="O347" t="n">
        <v>0</v>
      </c>
      <c r="P347" t="n">
        <v>0</v>
      </c>
      <c r="Q347" t="n">
        <v>0</v>
      </c>
      <c r="R347" s="2" t="inlineStr"/>
    </row>
    <row r="348" ht="15" customHeight="1">
      <c r="A348" t="inlineStr">
        <is>
          <t>A 30488-2025</t>
        </is>
      </c>
      <c r="B348" s="1" t="n">
        <v>45830</v>
      </c>
      <c r="C348" s="1" t="n">
        <v>46076</v>
      </c>
      <c r="D348" t="inlineStr">
        <is>
          <t>GOTLANDS LÄN</t>
        </is>
      </c>
      <c r="E348" t="inlineStr">
        <is>
          <t>GOTLAND</t>
        </is>
      </c>
      <c r="F348" t="inlineStr">
        <is>
          <t>Kyrkan</t>
        </is>
      </c>
      <c r="G348" t="n">
        <v>3.9</v>
      </c>
      <c r="H348" t="n">
        <v>0</v>
      </c>
      <c r="I348" t="n">
        <v>0</v>
      </c>
      <c r="J348" t="n">
        <v>0</v>
      </c>
      <c r="K348" t="n">
        <v>0</v>
      </c>
      <c r="L348" t="n">
        <v>0</v>
      </c>
      <c r="M348" t="n">
        <v>0</v>
      </c>
      <c r="N348" t="n">
        <v>0</v>
      </c>
      <c r="O348" t="n">
        <v>0</v>
      </c>
      <c r="P348" t="n">
        <v>0</v>
      </c>
      <c r="Q348" t="n">
        <v>0</v>
      </c>
      <c r="R348" s="2" t="inlineStr"/>
    </row>
    <row r="349" ht="15" customHeight="1">
      <c r="A349" t="inlineStr">
        <is>
          <t>A 15216-2025</t>
        </is>
      </c>
      <c r="B349" s="1" t="n">
        <v>45744</v>
      </c>
      <c r="C349" s="1" t="n">
        <v>46076</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15001-2025</t>
        </is>
      </c>
      <c r="B350" s="1" t="n">
        <v>45743</v>
      </c>
      <c r="C350" s="1" t="n">
        <v>46076</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43790-2024</t>
        </is>
      </c>
      <c r="B351" s="1" t="n">
        <v>45571</v>
      </c>
      <c r="C351" s="1" t="n">
        <v>46076</v>
      </c>
      <c r="D351" t="inlineStr">
        <is>
          <t>GOTLANDS LÄN</t>
        </is>
      </c>
      <c r="E351" t="inlineStr">
        <is>
          <t>GOTLAND</t>
        </is>
      </c>
      <c r="G351" t="n">
        <v>3.5</v>
      </c>
      <c r="H351" t="n">
        <v>0</v>
      </c>
      <c r="I351" t="n">
        <v>0</v>
      </c>
      <c r="J351" t="n">
        <v>0</v>
      </c>
      <c r="K351" t="n">
        <v>0</v>
      </c>
      <c r="L351" t="n">
        <v>0</v>
      </c>
      <c r="M351" t="n">
        <v>0</v>
      </c>
      <c r="N351" t="n">
        <v>0</v>
      </c>
      <c r="O351" t="n">
        <v>0</v>
      </c>
      <c r="P351" t="n">
        <v>0</v>
      </c>
      <c r="Q351" t="n">
        <v>0</v>
      </c>
      <c r="R351" s="2" t="inlineStr"/>
    </row>
    <row r="352" ht="15" customHeight="1">
      <c r="A352" t="inlineStr">
        <is>
          <t>A 17847-2025</t>
        </is>
      </c>
      <c r="B352" s="1" t="n">
        <v>45758</v>
      </c>
      <c r="C352" s="1" t="n">
        <v>46076</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43229-2023</t>
        </is>
      </c>
      <c r="B353" s="1" t="n">
        <v>45183.46704861111</v>
      </c>
      <c r="C353" s="1" t="n">
        <v>46076</v>
      </c>
      <c r="D353" t="inlineStr">
        <is>
          <t>GOTLANDS LÄN</t>
        </is>
      </c>
      <c r="E353" t="inlineStr">
        <is>
          <t>GOTLAND</t>
        </is>
      </c>
      <c r="G353" t="n">
        <v>7.1</v>
      </c>
      <c r="H353" t="n">
        <v>0</v>
      </c>
      <c r="I353" t="n">
        <v>0</v>
      </c>
      <c r="J353" t="n">
        <v>0</v>
      </c>
      <c r="K353" t="n">
        <v>0</v>
      </c>
      <c r="L353" t="n">
        <v>0</v>
      </c>
      <c r="M353" t="n">
        <v>0</v>
      </c>
      <c r="N353" t="n">
        <v>0</v>
      </c>
      <c r="O353" t="n">
        <v>0</v>
      </c>
      <c r="P353" t="n">
        <v>0</v>
      </c>
      <c r="Q353" t="n">
        <v>0</v>
      </c>
      <c r="R353" s="2" t="inlineStr"/>
    </row>
    <row r="354" ht="15" customHeight="1">
      <c r="A354" t="inlineStr">
        <is>
          <t>A 18742-2025</t>
        </is>
      </c>
      <c r="B354" s="1" t="n">
        <v>45763</v>
      </c>
      <c r="C354" s="1" t="n">
        <v>46076</v>
      </c>
      <c r="D354" t="inlineStr">
        <is>
          <t>GOTLANDS LÄN</t>
        </is>
      </c>
      <c r="E354" t="inlineStr">
        <is>
          <t>GOTLAND</t>
        </is>
      </c>
      <c r="G354" t="n">
        <v>3.4</v>
      </c>
      <c r="H354" t="n">
        <v>0</v>
      </c>
      <c r="I354" t="n">
        <v>0</v>
      </c>
      <c r="J354" t="n">
        <v>0</v>
      </c>
      <c r="K354" t="n">
        <v>0</v>
      </c>
      <c r="L354" t="n">
        <v>0</v>
      </c>
      <c r="M354" t="n">
        <v>0</v>
      </c>
      <c r="N354" t="n">
        <v>0</v>
      </c>
      <c r="O354" t="n">
        <v>0</v>
      </c>
      <c r="P354" t="n">
        <v>0</v>
      </c>
      <c r="Q354" t="n">
        <v>0</v>
      </c>
      <c r="R354" s="2" t="inlineStr"/>
    </row>
    <row r="355" ht="15" customHeight="1">
      <c r="A355" t="inlineStr">
        <is>
          <t>A 35129-2025</t>
        </is>
      </c>
      <c r="B355" s="1" t="n">
        <v>45852.63224537037</v>
      </c>
      <c r="C355" s="1" t="n">
        <v>46076</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41038-2023</t>
        </is>
      </c>
      <c r="B356" s="1" t="n">
        <v>45173.60959490741</v>
      </c>
      <c r="C356" s="1" t="n">
        <v>46076</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46076</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46076</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46076</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24966-2023</t>
        </is>
      </c>
      <c r="B360" s="1" t="n">
        <v>45085</v>
      </c>
      <c r="C360" s="1" t="n">
        <v>46076</v>
      </c>
      <c r="D360" t="inlineStr">
        <is>
          <t>GOTLANDS LÄN</t>
        </is>
      </c>
      <c r="E360" t="inlineStr">
        <is>
          <t>GOTLAND</t>
        </is>
      </c>
      <c r="G360" t="n">
        <v>7</v>
      </c>
      <c r="H360" t="n">
        <v>0</v>
      </c>
      <c r="I360" t="n">
        <v>0</v>
      </c>
      <c r="J360" t="n">
        <v>0</v>
      </c>
      <c r="K360" t="n">
        <v>0</v>
      </c>
      <c r="L360" t="n">
        <v>0</v>
      </c>
      <c r="M360" t="n">
        <v>0</v>
      </c>
      <c r="N360" t="n">
        <v>0</v>
      </c>
      <c r="O360" t="n">
        <v>0</v>
      </c>
      <c r="P360" t="n">
        <v>0</v>
      </c>
      <c r="Q360" t="n">
        <v>0</v>
      </c>
      <c r="R360" s="2" t="inlineStr"/>
    </row>
    <row r="361" ht="15" customHeight="1">
      <c r="A361" t="inlineStr">
        <is>
          <t>A 57652-2023</t>
        </is>
      </c>
      <c r="B361" s="1" t="n">
        <v>45246</v>
      </c>
      <c r="C361" s="1" t="n">
        <v>46076</v>
      </c>
      <c r="D361" t="inlineStr">
        <is>
          <t>GOTLANDS LÄN</t>
        </is>
      </c>
      <c r="E361" t="inlineStr">
        <is>
          <t>GOTLAND</t>
        </is>
      </c>
      <c r="G361" t="n">
        <v>7.2</v>
      </c>
      <c r="H361" t="n">
        <v>0</v>
      </c>
      <c r="I361" t="n">
        <v>0</v>
      </c>
      <c r="J361" t="n">
        <v>0</v>
      </c>
      <c r="K361" t="n">
        <v>0</v>
      </c>
      <c r="L361" t="n">
        <v>0</v>
      </c>
      <c r="M361" t="n">
        <v>0</v>
      </c>
      <c r="N361" t="n">
        <v>0</v>
      </c>
      <c r="O361" t="n">
        <v>0</v>
      </c>
      <c r="P361" t="n">
        <v>0</v>
      </c>
      <c r="Q361" t="n">
        <v>0</v>
      </c>
      <c r="R361" s="2" t="inlineStr"/>
    </row>
    <row r="362" ht="15" customHeight="1">
      <c r="A362" t="inlineStr">
        <is>
          <t>A 46189-2022</t>
        </is>
      </c>
      <c r="B362" s="1" t="n">
        <v>44847</v>
      </c>
      <c r="C362" s="1" t="n">
        <v>46076</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32378-2025</t>
        </is>
      </c>
      <c r="B363" s="1" t="n">
        <v>45837</v>
      </c>
      <c r="C363" s="1" t="n">
        <v>46076</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57522-2022</t>
        </is>
      </c>
      <c r="B364" s="1" t="n">
        <v>44896</v>
      </c>
      <c r="C364" s="1" t="n">
        <v>46076</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30489-2025</t>
        </is>
      </c>
      <c r="B365" s="1" t="n">
        <v>45830</v>
      </c>
      <c r="C365" s="1" t="n">
        <v>46076</v>
      </c>
      <c r="D365" t="inlineStr">
        <is>
          <t>GOTLANDS LÄN</t>
        </is>
      </c>
      <c r="E365" t="inlineStr">
        <is>
          <t>GOTLAND</t>
        </is>
      </c>
      <c r="G365" t="n">
        <v>4.6</v>
      </c>
      <c r="H365" t="n">
        <v>0</v>
      </c>
      <c r="I365" t="n">
        <v>0</v>
      </c>
      <c r="J365" t="n">
        <v>0</v>
      </c>
      <c r="K365" t="n">
        <v>0</v>
      </c>
      <c r="L365" t="n">
        <v>0</v>
      </c>
      <c r="M365" t="n">
        <v>0</v>
      </c>
      <c r="N365" t="n">
        <v>0</v>
      </c>
      <c r="O365" t="n">
        <v>0</v>
      </c>
      <c r="P365" t="n">
        <v>0</v>
      </c>
      <c r="Q365" t="n">
        <v>0</v>
      </c>
      <c r="R365" s="2" t="inlineStr"/>
    </row>
    <row r="366" ht="15" customHeight="1">
      <c r="A366" t="inlineStr">
        <is>
          <t>A 14797-2024</t>
        </is>
      </c>
      <c r="B366" s="1" t="n">
        <v>45397.87030092593</v>
      </c>
      <c r="C366" s="1" t="n">
        <v>46076</v>
      </c>
      <c r="D366" t="inlineStr">
        <is>
          <t>GOTLANDS LÄN</t>
        </is>
      </c>
      <c r="E366" t="inlineStr">
        <is>
          <t>GOTLAND</t>
        </is>
      </c>
      <c r="G366" t="n">
        <v>8.1</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46076</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6108-2025</t>
        </is>
      </c>
      <c r="B368" s="1" t="n">
        <v>45698.29880787037</v>
      </c>
      <c r="C368" s="1" t="n">
        <v>46076</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17343-2025</t>
        </is>
      </c>
      <c r="B369" s="1" t="n">
        <v>45756.6687037037</v>
      </c>
      <c r="C369" s="1" t="n">
        <v>46076</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7837-2024</t>
        </is>
      </c>
      <c r="B370" s="1" t="n">
        <v>45349.83787037037</v>
      </c>
      <c r="C370" s="1" t="n">
        <v>46076</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18938-2025</t>
        </is>
      </c>
      <c r="B371" s="1" t="n">
        <v>45764.49172453704</v>
      </c>
      <c r="C371" s="1" t="n">
        <v>46076</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20307-2025</t>
        </is>
      </c>
      <c r="B372" s="1" t="n">
        <v>45774.95546296296</v>
      </c>
      <c r="C372" s="1" t="n">
        <v>46076</v>
      </c>
      <c r="D372" t="inlineStr">
        <is>
          <t>GOTLANDS LÄN</t>
        </is>
      </c>
      <c r="E372" t="inlineStr">
        <is>
          <t>GOTLAND</t>
        </is>
      </c>
      <c r="G372" t="n">
        <v>6.8</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46076</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1394-2023</t>
        </is>
      </c>
      <c r="B374" s="1" t="n">
        <v>44936.72997685185</v>
      </c>
      <c r="C374" s="1" t="n">
        <v>46076</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47578-2025</t>
        </is>
      </c>
      <c r="B375" s="1" t="n">
        <v>45931</v>
      </c>
      <c r="C375" s="1" t="n">
        <v>46076</v>
      </c>
      <c r="D375" t="inlineStr">
        <is>
          <t>GOTLANDS LÄN</t>
        </is>
      </c>
      <c r="E375" t="inlineStr">
        <is>
          <t>GOTLAND</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2676-2023</t>
        </is>
      </c>
      <c r="B376" s="1" t="n">
        <v>44944</v>
      </c>
      <c r="C376" s="1" t="n">
        <v>46076</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4387-2023</t>
        </is>
      </c>
      <c r="B377" s="1" t="n">
        <v>44955.73359953704</v>
      </c>
      <c r="C377" s="1" t="n">
        <v>46076</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33011-2025</t>
        </is>
      </c>
      <c r="B378" s="1" t="n">
        <v>45840</v>
      </c>
      <c r="C378" s="1" t="n">
        <v>46076</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49411-2023</t>
        </is>
      </c>
      <c r="B379" s="1" t="n">
        <v>45205</v>
      </c>
      <c r="C379" s="1" t="n">
        <v>46076</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37728-2024</t>
        </is>
      </c>
      <c r="B380" s="1" t="n">
        <v>45541</v>
      </c>
      <c r="C380" s="1" t="n">
        <v>46076</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49690-2025</t>
        </is>
      </c>
      <c r="B381" s="1" t="n">
        <v>45939.66730324074</v>
      </c>
      <c r="C381" s="1" t="n">
        <v>46076</v>
      </c>
      <c r="D381" t="inlineStr">
        <is>
          <t>GOTLANDS LÄN</t>
        </is>
      </c>
      <c r="E381" t="inlineStr">
        <is>
          <t>GOTLAND</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18993-2025</t>
        </is>
      </c>
      <c r="B382" s="1" t="n">
        <v>45764</v>
      </c>
      <c r="C382" s="1" t="n">
        <v>46076</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30135-2025</t>
        </is>
      </c>
      <c r="B383" s="1" t="n">
        <v>45826</v>
      </c>
      <c r="C383" s="1" t="n">
        <v>46076</v>
      </c>
      <c r="D383" t="inlineStr">
        <is>
          <t>GOTLANDS LÄN</t>
        </is>
      </c>
      <c r="E383" t="inlineStr">
        <is>
          <t>GOTLAND</t>
        </is>
      </c>
      <c r="G383" t="n">
        <v>2.7</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46076</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49724-2025</t>
        </is>
      </c>
      <c r="B385" s="1" t="n">
        <v>45939.83730324074</v>
      </c>
      <c r="C385" s="1" t="n">
        <v>46076</v>
      </c>
      <c r="D385" t="inlineStr">
        <is>
          <t>GOTLANDS LÄN</t>
        </is>
      </c>
      <c r="E385" t="inlineStr">
        <is>
          <t>GOTLAND</t>
        </is>
      </c>
      <c r="F385" t="inlineStr">
        <is>
          <t>Kyrkan</t>
        </is>
      </c>
      <c r="G385" t="n">
        <v>3.1</v>
      </c>
      <c r="H385" t="n">
        <v>0</v>
      </c>
      <c r="I385" t="n">
        <v>0</v>
      </c>
      <c r="J385" t="n">
        <v>0</v>
      </c>
      <c r="K385" t="n">
        <v>0</v>
      </c>
      <c r="L385" t="n">
        <v>0</v>
      </c>
      <c r="M385" t="n">
        <v>0</v>
      </c>
      <c r="N385" t="n">
        <v>0</v>
      </c>
      <c r="O385" t="n">
        <v>0</v>
      </c>
      <c r="P385" t="n">
        <v>0</v>
      </c>
      <c r="Q385" t="n">
        <v>0</v>
      </c>
      <c r="R385" s="2" t="inlineStr"/>
    </row>
    <row r="386" ht="15" customHeight="1">
      <c r="A386" t="inlineStr">
        <is>
          <t>A 49730-2025</t>
        </is>
      </c>
      <c r="B386" s="1" t="n">
        <v>45939.87613425926</v>
      </c>
      <c r="C386" s="1" t="n">
        <v>46076</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12599-2025</t>
        </is>
      </c>
      <c r="B387" s="1" t="n">
        <v>45733.29546296296</v>
      </c>
      <c r="C387" s="1" t="n">
        <v>46076</v>
      </c>
      <c r="D387" t="inlineStr">
        <is>
          <t>GOTLANDS LÄN</t>
        </is>
      </c>
      <c r="E387" t="inlineStr">
        <is>
          <t>GOTLAND</t>
        </is>
      </c>
      <c r="G387" t="n">
        <v>4.7</v>
      </c>
      <c r="H387" t="n">
        <v>0</v>
      </c>
      <c r="I387" t="n">
        <v>0</v>
      </c>
      <c r="J387" t="n">
        <v>0</v>
      </c>
      <c r="K387" t="n">
        <v>0</v>
      </c>
      <c r="L387" t="n">
        <v>0</v>
      </c>
      <c r="M387" t="n">
        <v>0</v>
      </c>
      <c r="N387" t="n">
        <v>0</v>
      </c>
      <c r="O387" t="n">
        <v>0</v>
      </c>
      <c r="P387" t="n">
        <v>0</v>
      </c>
      <c r="Q387" t="n">
        <v>0</v>
      </c>
      <c r="R387" s="2" t="inlineStr"/>
    </row>
    <row r="388" ht="15" customHeight="1">
      <c r="A388" t="inlineStr">
        <is>
          <t>A 22275-2023</t>
        </is>
      </c>
      <c r="B388" s="1" t="n">
        <v>45070.39875</v>
      </c>
      <c r="C388" s="1" t="n">
        <v>46076</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50421-2025</t>
        </is>
      </c>
      <c r="B389" s="1" t="n">
        <v>45944.66049768519</v>
      </c>
      <c r="C389" s="1" t="n">
        <v>46076</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14635-2023</t>
        </is>
      </c>
      <c r="B390" s="1" t="n">
        <v>45013.69365740741</v>
      </c>
      <c r="C390" s="1" t="n">
        <v>46076</v>
      </c>
      <c r="D390" t="inlineStr">
        <is>
          <t>GOTLANDS LÄN</t>
        </is>
      </c>
      <c r="E390" t="inlineStr">
        <is>
          <t>GOTLAND</t>
        </is>
      </c>
      <c r="G390" t="n">
        <v>3.1</v>
      </c>
      <c r="H390" t="n">
        <v>0</v>
      </c>
      <c r="I390" t="n">
        <v>0</v>
      </c>
      <c r="J390" t="n">
        <v>0</v>
      </c>
      <c r="K390" t="n">
        <v>0</v>
      </c>
      <c r="L390" t="n">
        <v>0</v>
      </c>
      <c r="M390" t="n">
        <v>0</v>
      </c>
      <c r="N390" t="n">
        <v>0</v>
      </c>
      <c r="O390" t="n">
        <v>0</v>
      </c>
      <c r="P390" t="n">
        <v>0</v>
      </c>
      <c r="Q390" t="n">
        <v>0</v>
      </c>
      <c r="R390" s="2" t="inlineStr"/>
    </row>
    <row r="391" ht="15" customHeight="1">
      <c r="A391" t="inlineStr">
        <is>
          <t>A 63763-2023</t>
        </is>
      </c>
      <c r="B391" s="1" t="n">
        <v>45278.33944444444</v>
      </c>
      <c r="C391" s="1" t="n">
        <v>46076</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7635-2025</t>
        </is>
      </c>
      <c r="B392" s="1" t="n">
        <v>45705</v>
      </c>
      <c r="C392" s="1" t="n">
        <v>46076</v>
      </c>
      <c r="D392" t="inlineStr">
        <is>
          <t>GOTLANDS LÄN</t>
        </is>
      </c>
      <c r="E392" t="inlineStr">
        <is>
          <t>GOTLAND</t>
        </is>
      </c>
      <c r="G392" t="n">
        <v>0.9</v>
      </c>
      <c r="H392" t="n">
        <v>0</v>
      </c>
      <c r="I392" t="n">
        <v>0</v>
      </c>
      <c r="J392" t="n">
        <v>0</v>
      </c>
      <c r="K392" t="n">
        <v>0</v>
      </c>
      <c r="L392" t="n">
        <v>0</v>
      </c>
      <c r="M392" t="n">
        <v>0</v>
      </c>
      <c r="N392" t="n">
        <v>0</v>
      </c>
      <c r="O392" t="n">
        <v>0</v>
      </c>
      <c r="P392" t="n">
        <v>0</v>
      </c>
      <c r="Q392" t="n">
        <v>0</v>
      </c>
      <c r="R392" s="2" t="inlineStr"/>
    </row>
    <row r="393" ht="15" customHeight="1">
      <c r="A393" t="inlineStr">
        <is>
          <t>A 7636-2025</t>
        </is>
      </c>
      <c r="B393" s="1" t="n">
        <v>45705.7687962963</v>
      </c>
      <c r="C393" s="1" t="n">
        <v>46076</v>
      </c>
      <c r="D393" t="inlineStr">
        <is>
          <t>GOTLANDS LÄN</t>
        </is>
      </c>
      <c r="E393" t="inlineStr">
        <is>
          <t>GOTLAND</t>
        </is>
      </c>
      <c r="G393" t="n">
        <v>0.6</v>
      </c>
      <c r="H393" t="n">
        <v>0</v>
      </c>
      <c r="I393" t="n">
        <v>0</v>
      </c>
      <c r="J393" t="n">
        <v>0</v>
      </c>
      <c r="K393" t="n">
        <v>0</v>
      </c>
      <c r="L393" t="n">
        <v>0</v>
      </c>
      <c r="M393" t="n">
        <v>0</v>
      </c>
      <c r="N393" t="n">
        <v>0</v>
      </c>
      <c r="O393" t="n">
        <v>0</v>
      </c>
      <c r="P393" t="n">
        <v>0</v>
      </c>
      <c r="Q393" t="n">
        <v>0</v>
      </c>
      <c r="R393" s="2" t="inlineStr"/>
    </row>
    <row r="394" ht="15" customHeight="1">
      <c r="A394" t="inlineStr">
        <is>
          <t>A 7639-2025</t>
        </is>
      </c>
      <c r="B394" s="1" t="n">
        <v>45705.77465277778</v>
      </c>
      <c r="C394" s="1" t="n">
        <v>46076</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50431-2025</t>
        </is>
      </c>
      <c r="B395" s="1" t="n">
        <v>45944.68453703704</v>
      </c>
      <c r="C395" s="1" t="n">
        <v>46076</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61682-2024</t>
        </is>
      </c>
      <c r="B396" s="1" t="n">
        <v>45647.48824074074</v>
      </c>
      <c r="C396" s="1" t="n">
        <v>46076</v>
      </c>
      <c r="D396" t="inlineStr">
        <is>
          <t>GOTLANDS LÄN</t>
        </is>
      </c>
      <c r="E396" t="inlineStr">
        <is>
          <t>GOTLAND</t>
        </is>
      </c>
      <c r="G396" t="n">
        <v>1.9</v>
      </c>
      <c r="H396" t="n">
        <v>0</v>
      </c>
      <c r="I396" t="n">
        <v>0</v>
      </c>
      <c r="J396" t="n">
        <v>0</v>
      </c>
      <c r="K396" t="n">
        <v>0</v>
      </c>
      <c r="L396" t="n">
        <v>0</v>
      </c>
      <c r="M396" t="n">
        <v>0</v>
      </c>
      <c r="N396" t="n">
        <v>0</v>
      </c>
      <c r="O396" t="n">
        <v>0</v>
      </c>
      <c r="P396" t="n">
        <v>0</v>
      </c>
      <c r="Q396" t="n">
        <v>0</v>
      </c>
      <c r="R396" s="2" t="inlineStr"/>
    </row>
    <row r="397" ht="15" customHeight="1">
      <c r="A397" t="inlineStr">
        <is>
          <t>A 15434-2024</t>
        </is>
      </c>
      <c r="B397" s="1" t="n">
        <v>45401.38836805556</v>
      </c>
      <c r="C397" s="1" t="n">
        <v>46076</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7034-2023</t>
        </is>
      </c>
      <c r="B398" s="1" t="n">
        <v>44968.32108796296</v>
      </c>
      <c r="C398" s="1" t="n">
        <v>46076</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7042-2023</t>
        </is>
      </c>
      <c r="B399" s="1" t="n">
        <v>44968</v>
      </c>
      <c r="C399" s="1" t="n">
        <v>46076</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2180-2025</t>
        </is>
      </c>
      <c r="B400" s="1" t="n">
        <v>45673</v>
      </c>
      <c r="C400" s="1" t="n">
        <v>46076</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50928-2025</t>
        </is>
      </c>
      <c r="B401" s="1" t="n">
        <v>45946.67896990741</v>
      </c>
      <c r="C401" s="1" t="n">
        <v>46076</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51262-2025</t>
        </is>
      </c>
      <c r="B402" s="1" t="n">
        <v>45949.49872685185</v>
      </c>
      <c r="C402" s="1" t="n">
        <v>46076</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54074-2022</t>
        </is>
      </c>
      <c r="B403" s="1" t="n">
        <v>44881</v>
      </c>
      <c r="C403" s="1" t="n">
        <v>46076</v>
      </c>
      <c r="D403" t="inlineStr">
        <is>
          <t>GOTLANDS LÄN</t>
        </is>
      </c>
      <c r="E403" t="inlineStr">
        <is>
          <t>GOTLAND</t>
        </is>
      </c>
      <c r="G403" t="n">
        <v>0.9</v>
      </c>
      <c r="H403" t="n">
        <v>0</v>
      </c>
      <c r="I403" t="n">
        <v>0</v>
      </c>
      <c r="J403" t="n">
        <v>0</v>
      </c>
      <c r="K403" t="n">
        <v>0</v>
      </c>
      <c r="L403" t="n">
        <v>0</v>
      </c>
      <c r="M403" t="n">
        <v>0</v>
      </c>
      <c r="N403" t="n">
        <v>0</v>
      </c>
      <c r="O403" t="n">
        <v>0</v>
      </c>
      <c r="P403" t="n">
        <v>0</v>
      </c>
      <c r="Q403" t="n">
        <v>0</v>
      </c>
      <c r="R403" s="2" t="inlineStr"/>
    </row>
    <row r="404" ht="15" customHeight="1">
      <c r="A404" t="inlineStr">
        <is>
          <t>A 61694-2023</t>
        </is>
      </c>
      <c r="B404" s="1" t="n">
        <v>45264</v>
      </c>
      <c r="C404" s="1" t="n">
        <v>46076</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64208-2021</t>
        </is>
      </c>
      <c r="B405" s="1" t="n">
        <v>44510</v>
      </c>
      <c r="C405" s="1" t="n">
        <v>46076</v>
      </c>
      <c r="D405" t="inlineStr">
        <is>
          <t>GOTLANDS LÄN</t>
        </is>
      </c>
      <c r="E405" t="inlineStr">
        <is>
          <t>GOTLAND</t>
        </is>
      </c>
      <c r="G405" t="n">
        <v>4.7</v>
      </c>
      <c r="H405" t="n">
        <v>0</v>
      </c>
      <c r="I405" t="n">
        <v>0</v>
      </c>
      <c r="J405" t="n">
        <v>0</v>
      </c>
      <c r="K405" t="n">
        <v>0</v>
      </c>
      <c r="L405" t="n">
        <v>0</v>
      </c>
      <c r="M405" t="n">
        <v>0</v>
      </c>
      <c r="N405" t="n">
        <v>0</v>
      </c>
      <c r="O405" t="n">
        <v>0</v>
      </c>
      <c r="P405" t="n">
        <v>0</v>
      </c>
      <c r="Q405" t="n">
        <v>0</v>
      </c>
      <c r="R405" s="2" t="inlineStr"/>
    </row>
    <row r="406" ht="15" customHeight="1">
      <c r="A406" t="inlineStr">
        <is>
          <t>A 54268-2022</t>
        </is>
      </c>
      <c r="B406" s="1" t="n">
        <v>44882</v>
      </c>
      <c r="C406" s="1" t="n">
        <v>46076</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1446-2025</t>
        </is>
      </c>
      <c r="B407" s="1" t="n">
        <v>45669.86035879629</v>
      </c>
      <c r="C407" s="1" t="n">
        <v>46076</v>
      </c>
      <c r="D407" t="inlineStr">
        <is>
          <t>GOTLANDS LÄN</t>
        </is>
      </c>
      <c r="E407" t="inlineStr">
        <is>
          <t>GOTLAND</t>
        </is>
      </c>
      <c r="G407" t="n">
        <v>3.1</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46076</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57685-2022</t>
        </is>
      </c>
      <c r="B409" s="1" t="n">
        <v>44897.4777662037</v>
      </c>
      <c r="C409" s="1" t="n">
        <v>46076</v>
      </c>
      <c r="D409" t="inlineStr">
        <is>
          <t>GOTLANDS LÄN</t>
        </is>
      </c>
      <c r="E409" t="inlineStr">
        <is>
          <t>GOTLAND</t>
        </is>
      </c>
      <c r="G409" t="n">
        <v>3.7</v>
      </c>
      <c r="H409" t="n">
        <v>0</v>
      </c>
      <c r="I409" t="n">
        <v>0</v>
      </c>
      <c r="J409" t="n">
        <v>0</v>
      </c>
      <c r="K409" t="n">
        <v>0</v>
      </c>
      <c r="L409" t="n">
        <v>0</v>
      </c>
      <c r="M409" t="n">
        <v>0</v>
      </c>
      <c r="N409" t="n">
        <v>0</v>
      </c>
      <c r="O409" t="n">
        <v>0</v>
      </c>
      <c r="P409" t="n">
        <v>0</v>
      </c>
      <c r="Q409" t="n">
        <v>0</v>
      </c>
      <c r="R409" s="2" t="inlineStr"/>
    </row>
    <row r="410" ht="15" customHeight="1">
      <c r="A410" t="inlineStr">
        <is>
          <t>A 811-2023</t>
        </is>
      </c>
      <c r="B410" s="1" t="n">
        <v>44931</v>
      </c>
      <c r="C410" s="1" t="n">
        <v>46076</v>
      </c>
      <c r="D410" t="inlineStr">
        <is>
          <t>GOTLANDS LÄN</t>
        </is>
      </c>
      <c r="E410" t="inlineStr">
        <is>
          <t>GOTLAND</t>
        </is>
      </c>
      <c r="G410" t="n">
        <v>0.6</v>
      </c>
      <c r="H410" t="n">
        <v>0</v>
      </c>
      <c r="I410" t="n">
        <v>0</v>
      </c>
      <c r="J410" t="n">
        <v>0</v>
      </c>
      <c r="K410" t="n">
        <v>0</v>
      </c>
      <c r="L410" t="n">
        <v>0</v>
      </c>
      <c r="M410" t="n">
        <v>0</v>
      </c>
      <c r="N410" t="n">
        <v>0</v>
      </c>
      <c r="O410" t="n">
        <v>0</v>
      </c>
      <c r="P410" t="n">
        <v>0</v>
      </c>
      <c r="Q410" t="n">
        <v>0</v>
      </c>
      <c r="R410" s="2" t="inlineStr"/>
    </row>
    <row r="411" ht="15" customHeight="1">
      <c r="A411" t="inlineStr">
        <is>
          <t>A 52249-2025</t>
        </is>
      </c>
      <c r="B411" s="1" t="n">
        <v>45953.48637731482</v>
      </c>
      <c r="C411" s="1" t="n">
        <v>46076</v>
      </c>
      <c r="D411" t="inlineStr">
        <is>
          <t>GOTLANDS LÄN</t>
        </is>
      </c>
      <c r="E411" t="inlineStr">
        <is>
          <t>GOTLAND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46076</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5905-2024</t>
        </is>
      </c>
      <c r="B413" s="1" t="n">
        <v>45335.88993055555</v>
      </c>
      <c r="C413" s="1" t="n">
        <v>46076</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3431-2025</t>
        </is>
      </c>
      <c r="B414" s="1" t="n">
        <v>45680.42935185185</v>
      </c>
      <c r="C414" s="1" t="n">
        <v>46076</v>
      </c>
      <c r="D414" t="inlineStr">
        <is>
          <t>GOTLANDS LÄN</t>
        </is>
      </c>
      <c r="E414" t="inlineStr">
        <is>
          <t>GOTLAND</t>
        </is>
      </c>
      <c r="G414" t="n">
        <v>4.8</v>
      </c>
      <c r="H414" t="n">
        <v>0</v>
      </c>
      <c r="I414" t="n">
        <v>0</v>
      </c>
      <c r="J414" t="n">
        <v>0</v>
      </c>
      <c r="K414" t="n">
        <v>0</v>
      </c>
      <c r="L414" t="n">
        <v>0</v>
      </c>
      <c r="M414" t="n">
        <v>0</v>
      </c>
      <c r="N414" t="n">
        <v>0</v>
      </c>
      <c r="O414" t="n">
        <v>0</v>
      </c>
      <c r="P414" t="n">
        <v>0</v>
      </c>
      <c r="Q414" t="n">
        <v>0</v>
      </c>
      <c r="R414" s="2" t="inlineStr"/>
    </row>
    <row r="415" ht="15" customHeight="1">
      <c r="A415" t="inlineStr">
        <is>
          <t>A 34407-2023</t>
        </is>
      </c>
      <c r="B415" s="1" t="n">
        <v>45132</v>
      </c>
      <c r="C415" s="1" t="n">
        <v>46076</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30892-2024</t>
        </is>
      </c>
      <c r="B416" s="1" t="n">
        <v>45491</v>
      </c>
      <c r="C416" s="1" t="n">
        <v>46076</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46076</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7858-2025</t>
        </is>
      </c>
      <c r="B418" s="1" t="n">
        <v>45706.68633101852</v>
      </c>
      <c r="C418" s="1" t="n">
        <v>46076</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46545-2024</t>
        </is>
      </c>
      <c r="B419" s="1" t="n">
        <v>45582.65831018519</v>
      </c>
      <c r="C419" s="1" t="n">
        <v>46076</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999-2023</t>
        </is>
      </c>
      <c r="B420" s="1" t="n">
        <v>44935</v>
      </c>
      <c r="C420" s="1" t="n">
        <v>46076</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1364-2025</t>
        </is>
      </c>
      <c r="B421" s="1" t="n">
        <v>45667.63929398148</v>
      </c>
      <c r="C421" s="1" t="n">
        <v>46076</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2125-2025</t>
        </is>
      </c>
      <c r="B422" s="1" t="n">
        <v>45672.64940972222</v>
      </c>
      <c r="C422" s="1" t="n">
        <v>46076</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53577-2025</t>
        </is>
      </c>
      <c r="B423" s="1" t="n">
        <v>45960.42224537037</v>
      </c>
      <c r="C423" s="1" t="n">
        <v>46076</v>
      </c>
      <c r="D423" t="inlineStr">
        <is>
          <t>GOTLANDS LÄN</t>
        </is>
      </c>
      <c r="E423" t="inlineStr">
        <is>
          <t>GOTLAND</t>
        </is>
      </c>
      <c r="F423" t="inlineStr">
        <is>
          <t>Övriga Aktiebolag</t>
        </is>
      </c>
      <c r="G423" t="n">
        <v>3.3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46076</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46076</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12155-2023</t>
        </is>
      </c>
      <c r="B426" s="1" t="n">
        <v>44998.49106481481</v>
      </c>
      <c r="C426" s="1" t="n">
        <v>46076</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2774-2024</t>
        </is>
      </c>
      <c r="B427" s="1" t="n">
        <v>45314.62375</v>
      </c>
      <c r="C427" s="1" t="n">
        <v>46076</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9947-2024</t>
        </is>
      </c>
      <c r="B428" s="1" t="n">
        <v>45363</v>
      </c>
      <c r="C428" s="1" t="n">
        <v>46076</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42007-2023</t>
        </is>
      </c>
      <c r="B429" s="1" t="n">
        <v>45177</v>
      </c>
      <c r="C429" s="1" t="n">
        <v>46076</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15083-2025</t>
        </is>
      </c>
      <c r="B430" s="1" t="n">
        <v>45743</v>
      </c>
      <c r="C430" s="1" t="n">
        <v>46076</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56688-2025</t>
        </is>
      </c>
      <c r="B431" s="1" t="n">
        <v>45975.84331018518</v>
      </c>
      <c r="C431" s="1" t="n">
        <v>46076</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56799-2025</t>
        </is>
      </c>
      <c r="B432" s="1" t="n">
        <v>45978.43392361111</v>
      </c>
      <c r="C432" s="1" t="n">
        <v>46076</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1066-2024</t>
        </is>
      </c>
      <c r="B433" s="1" t="n">
        <v>45302.285</v>
      </c>
      <c r="C433" s="1" t="n">
        <v>46076</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37202-2024</t>
        </is>
      </c>
      <c r="B434" s="1" t="n">
        <v>45539.67310185185</v>
      </c>
      <c r="C434" s="1" t="n">
        <v>46076</v>
      </c>
      <c r="D434" t="inlineStr">
        <is>
          <t>GOTLANDS LÄN</t>
        </is>
      </c>
      <c r="E434" t="inlineStr">
        <is>
          <t>GOTLAND</t>
        </is>
      </c>
      <c r="G434" t="n">
        <v>0.3</v>
      </c>
      <c r="H434" t="n">
        <v>0</v>
      </c>
      <c r="I434" t="n">
        <v>0</v>
      </c>
      <c r="J434" t="n">
        <v>0</v>
      </c>
      <c r="K434" t="n">
        <v>0</v>
      </c>
      <c r="L434" t="n">
        <v>0</v>
      </c>
      <c r="M434" t="n">
        <v>0</v>
      </c>
      <c r="N434" t="n">
        <v>0</v>
      </c>
      <c r="O434" t="n">
        <v>0</v>
      </c>
      <c r="P434" t="n">
        <v>0</v>
      </c>
      <c r="Q434" t="n">
        <v>0</v>
      </c>
      <c r="R434" s="2" t="inlineStr"/>
    </row>
    <row r="435" ht="15" customHeight="1">
      <c r="A435" t="inlineStr">
        <is>
          <t>A 30815-2023</t>
        </is>
      </c>
      <c r="B435" s="1" t="n">
        <v>45112</v>
      </c>
      <c r="C435" s="1" t="n">
        <v>46076</v>
      </c>
      <c r="D435" t="inlineStr">
        <is>
          <t>GOTLANDS LÄN</t>
        </is>
      </c>
      <c r="E435" t="inlineStr">
        <is>
          <t>GOTLAND</t>
        </is>
      </c>
      <c r="G435" t="n">
        <v>6</v>
      </c>
      <c r="H435" t="n">
        <v>0</v>
      </c>
      <c r="I435" t="n">
        <v>0</v>
      </c>
      <c r="J435" t="n">
        <v>0</v>
      </c>
      <c r="K435" t="n">
        <v>0</v>
      </c>
      <c r="L435" t="n">
        <v>0</v>
      </c>
      <c r="M435" t="n">
        <v>0</v>
      </c>
      <c r="N435" t="n">
        <v>0</v>
      </c>
      <c r="O435" t="n">
        <v>0</v>
      </c>
      <c r="P435" t="n">
        <v>0</v>
      </c>
      <c r="Q435" t="n">
        <v>0</v>
      </c>
      <c r="R435" s="2" t="inlineStr"/>
    </row>
    <row r="436" ht="15" customHeight="1">
      <c r="A436" t="inlineStr">
        <is>
          <t>A 46400-2023</t>
        </is>
      </c>
      <c r="B436" s="1" t="n">
        <v>45197.49290509259</v>
      </c>
      <c r="C436" s="1" t="n">
        <v>46076</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10492-2023</t>
        </is>
      </c>
      <c r="B437" s="1" t="n">
        <v>44987</v>
      </c>
      <c r="C437" s="1" t="n">
        <v>46076</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44919-2022</t>
        </is>
      </c>
      <c r="B438" s="1" t="n">
        <v>44841</v>
      </c>
      <c r="C438" s="1" t="n">
        <v>46076</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16501-2023</t>
        </is>
      </c>
      <c r="B439" s="1" t="n">
        <v>45029</v>
      </c>
      <c r="C439" s="1" t="n">
        <v>46076</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59197-2025</t>
        </is>
      </c>
      <c r="B440" s="1" t="n">
        <v>45988.59846064815</v>
      </c>
      <c r="C440" s="1" t="n">
        <v>46076</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46076</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458-2023</t>
        </is>
      </c>
      <c r="B442" s="1" t="n">
        <v>44929</v>
      </c>
      <c r="C442" s="1" t="n">
        <v>46076</v>
      </c>
      <c r="D442" t="inlineStr">
        <is>
          <t>GOTLANDS LÄN</t>
        </is>
      </c>
      <c r="E442" t="inlineStr">
        <is>
          <t>GOTLAND</t>
        </is>
      </c>
      <c r="G442" t="n">
        <v>3.6</v>
      </c>
      <c r="H442" t="n">
        <v>0</v>
      </c>
      <c r="I442" t="n">
        <v>0</v>
      </c>
      <c r="J442" t="n">
        <v>0</v>
      </c>
      <c r="K442" t="n">
        <v>0</v>
      </c>
      <c r="L442" t="n">
        <v>0</v>
      </c>
      <c r="M442" t="n">
        <v>0</v>
      </c>
      <c r="N442" t="n">
        <v>0</v>
      </c>
      <c r="O442" t="n">
        <v>0</v>
      </c>
      <c r="P442" t="n">
        <v>0</v>
      </c>
      <c r="Q442" t="n">
        <v>0</v>
      </c>
      <c r="R442" s="2" t="inlineStr"/>
    </row>
    <row r="443" ht="15" customHeight="1">
      <c r="A443" t="inlineStr">
        <is>
          <t>A 1291-2023</t>
        </is>
      </c>
      <c r="B443" s="1" t="n">
        <v>44936.47561342592</v>
      </c>
      <c r="C443" s="1" t="n">
        <v>46076</v>
      </c>
      <c r="D443" t="inlineStr">
        <is>
          <t>GOTLANDS LÄN</t>
        </is>
      </c>
      <c r="E443" t="inlineStr">
        <is>
          <t>GOTLAND</t>
        </is>
      </c>
      <c r="G443" t="n">
        <v>7.4</v>
      </c>
      <c r="H443" t="n">
        <v>0</v>
      </c>
      <c r="I443" t="n">
        <v>0</v>
      </c>
      <c r="J443" t="n">
        <v>0</v>
      </c>
      <c r="K443" t="n">
        <v>0</v>
      </c>
      <c r="L443" t="n">
        <v>0</v>
      </c>
      <c r="M443" t="n">
        <v>0</v>
      </c>
      <c r="N443" t="n">
        <v>0</v>
      </c>
      <c r="O443" t="n">
        <v>0</v>
      </c>
      <c r="P443" t="n">
        <v>0</v>
      </c>
      <c r="Q443" t="n">
        <v>0</v>
      </c>
      <c r="R443" s="2" t="inlineStr"/>
    </row>
    <row r="444" ht="15" customHeight="1">
      <c r="A444" t="inlineStr">
        <is>
          <t>A 36319-2025</t>
        </is>
      </c>
      <c r="B444" s="1" t="n">
        <v>45868</v>
      </c>
      <c r="C444" s="1" t="n">
        <v>46076</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32330-2024</t>
        </is>
      </c>
      <c r="B445" s="1" t="n">
        <v>45512</v>
      </c>
      <c r="C445" s="1" t="n">
        <v>46076</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5891-2025</t>
        </is>
      </c>
      <c r="B446" s="1" t="n">
        <v>45695.38327546296</v>
      </c>
      <c r="C446" s="1" t="n">
        <v>46076</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1839-2026</t>
        </is>
      </c>
      <c r="B447" s="1" t="n">
        <v>46035.3942824074</v>
      </c>
      <c r="C447" s="1" t="n">
        <v>46076</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14804-2021</t>
        </is>
      </c>
      <c r="B448" s="1" t="n">
        <v>44280</v>
      </c>
      <c r="C448" s="1" t="n">
        <v>46076</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1898-2026</t>
        </is>
      </c>
      <c r="B449" s="1" t="n">
        <v>46035.52024305556</v>
      </c>
      <c r="C449" s="1" t="n">
        <v>46076</v>
      </c>
      <c r="D449" t="inlineStr">
        <is>
          <t>GOTLANDS LÄN</t>
        </is>
      </c>
      <c r="E449" t="inlineStr">
        <is>
          <t>GOTLAND</t>
        </is>
      </c>
      <c r="G449" t="n">
        <v>3.7</v>
      </c>
      <c r="H449" t="n">
        <v>0</v>
      </c>
      <c r="I449" t="n">
        <v>0</v>
      </c>
      <c r="J449" t="n">
        <v>0</v>
      </c>
      <c r="K449" t="n">
        <v>0</v>
      </c>
      <c r="L449" t="n">
        <v>0</v>
      </c>
      <c r="M449" t="n">
        <v>0</v>
      </c>
      <c r="N449" t="n">
        <v>0</v>
      </c>
      <c r="O449" t="n">
        <v>0</v>
      </c>
      <c r="P449" t="n">
        <v>0</v>
      </c>
      <c r="Q449" t="n">
        <v>0</v>
      </c>
      <c r="R449" s="2" t="inlineStr"/>
    </row>
    <row r="450" ht="15" customHeight="1">
      <c r="A450" t="inlineStr">
        <is>
          <t>A 1854-2026</t>
        </is>
      </c>
      <c r="B450" s="1" t="n">
        <v>46035.4171875</v>
      </c>
      <c r="C450" s="1" t="n">
        <v>46076</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2719-2023</t>
        </is>
      </c>
      <c r="B451" s="1" t="n">
        <v>44944.55361111111</v>
      </c>
      <c r="C451" s="1" t="n">
        <v>46076</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17144-2025</t>
        </is>
      </c>
      <c r="B452" s="1" t="n">
        <v>45755.9499537037</v>
      </c>
      <c r="C452" s="1" t="n">
        <v>46076</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2415-2026</t>
        </is>
      </c>
      <c r="B453" s="1" t="n">
        <v>46036.76203703704</v>
      </c>
      <c r="C453" s="1" t="n">
        <v>46076</v>
      </c>
      <c r="D453" t="inlineStr">
        <is>
          <t>GOTLANDS LÄN</t>
        </is>
      </c>
      <c r="E453" t="inlineStr">
        <is>
          <t>GOTLAND</t>
        </is>
      </c>
      <c r="G453" t="n">
        <v>6.9</v>
      </c>
      <c r="H453" t="n">
        <v>0</v>
      </c>
      <c r="I453" t="n">
        <v>0</v>
      </c>
      <c r="J453" t="n">
        <v>0</v>
      </c>
      <c r="K453" t="n">
        <v>0</v>
      </c>
      <c r="L453" t="n">
        <v>0</v>
      </c>
      <c r="M453" t="n">
        <v>0</v>
      </c>
      <c r="N453" t="n">
        <v>0</v>
      </c>
      <c r="O453" t="n">
        <v>0</v>
      </c>
      <c r="P453" t="n">
        <v>0</v>
      </c>
      <c r="Q453" t="n">
        <v>0</v>
      </c>
      <c r="R453" s="2" t="inlineStr"/>
    </row>
    <row r="454" ht="15" customHeight="1">
      <c r="A454" t="inlineStr">
        <is>
          <t>A 49314-2024</t>
        </is>
      </c>
      <c r="B454" s="1" t="n">
        <v>45595.55893518519</v>
      </c>
      <c r="C454" s="1" t="n">
        <v>46076</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9875-2025</t>
        </is>
      </c>
      <c r="B455" s="1" t="n">
        <v>45716</v>
      </c>
      <c r="C455" s="1" t="n">
        <v>46076</v>
      </c>
      <c r="D455" t="inlineStr">
        <is>
          <t>GOTLANDS LÄN</t>
        </is>
      </c>
      <c r="E455" t="inlineStr">
        <is>
          <t>GOTLAND</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2134-2026</t>
        </is>
      </c>
      <c r="B456" s="1" t="n">
        <v>46036</v>
      </c>
      <c r="C456" s="1" t="n">
        <v>46076</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44755.8713425926</v>
      </c>
      <c r="C457" s="1" t="n">
        <v>46076</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2135-2026</t>
        </is>
      </c>
      <c r="B458" s="1" t="n">
        <v>46036</v>
      </c>
      <c r="C458" s="1" t="n">
        <v>46076</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16361-2024</t>
        </is>
      </c>
      <c r="B459" s="1" t="n">
        <v>45407</v>
      </c>
      <c r="C459" s="1" t="n">
        <v>46076</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46076</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1175-2025</t>
        </is>
      </c>
      <c r="B461" s="1" t="n">
        <v>45667.34449074074</v>
      </c>
      <c r="C461" s="1" t="n">
        <v>46076</v>
      </c>
      <c r="D461" t="inlineStr">
        <is>
          <t>GOTLANDS LÄN</t>
        </is>
      </c>
      <c r="E461" t="inlineStr">
        <is>
          <t>GOTLAND</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3067-2026</t>
        </is>
      </c>
      <c r="B462" s="1" t="n">
        <v>46040.59025462963</v>
      </c>
      <c r="C462" s="1" t="n">
        <v>46076</v>
      </c>
      <c r="D462" t="inlineStr">
        <is>
          <t>GOTLANDS LÄN</t>
        </is>
      </c>
      <c r="E462" t="inlineStr">
        <is>
          <t>GOTLAND</t>
        </is>
      </c>
      <c r="G462" t="n">
        <v>7.8</v>
      </c>
      <c r="H462" t="n">
        <v>0</v>
      </c>
      <c r="I462" t="n">
        <v>0</v>
      </c>
      <c r="J462" t="n">
        <v>0</v>
      </c>
      <c r="K462" t="n">
        <v>0</v>
      </c>
      <c r="L462" t="n">
        <v>0</v>
      </c>
      <c r="M462" t="n">
        <v>0</v>
      </c>
      <c r="N462" t="n">
        <v>0</v>
      </c>
      <c r="O462" t="n">
        <v>0</v>
      </c>
      <c r="P462" t="n">
        <v>0</v>
      </c>
      <c r="Q462" t="n">
        <v>0</v>
      </c>
      <c r="R462" s="2" t="inlineStr"/>
    </row>
    <row r="463" ht="15" customHeight="1">
      <c r="A463" t="inlineStr">
        <is>
          <t>A 3253-2026</t>
        </is>
      </c>
      <c r="B463" s="1" t="n">
        <v>46041.58902777778</v>
      </c>
      <c r="C463" s="1" t="n">
        <v>46076</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42201-2023</t>
        </is>
      </c>
      <c r="B464" s="1" t="n">
        <v>45179</v>
      </c>
      <c r="C464" s="1" t="n">
        <v>46076</v>
      </c>
      <c r="D464" t="inlineStr">
        <is>
          <t>GOTLANDS LÄN</t>
        </is>
      </c>
      <c r="E464" t="inlineStr">
        <is>
          <t>GOTLAND</t>
        </is>
      </c>
      <c r="G464" t="n">
        <v>11.9</v>
      </c>
      <c r="H464" t="n">
        <v>0</v>
      </c>
      <c r="I464" t="n">
        <v>0</v>
      </c>
      <c r="J464" t="n">
        <v>0</v>
      </c>
      <c r="K464" t="n">
        <v>0</v>
      </c>
      <c r="L464" t="n">
        <v>0</v>
      </c>
      <c r="M464" t="n">
        <v>0</v>
      </c>
      <c r="N464" t="n">
        <v>0</v>
      </c>
      <c r="O464" t="n">
        <v>0</v>
      </c>
      <c r="P464" t="n">
        <v>0</v>
      </c>
      <c r="Q464" t="n">
        <v>0</v>
      </c>
      <c r="R464" s="2" t="inlineStr"/>
    </row>
    <row r="465" ht="15" customHeight="1">
      <c r="A465" t="inlineStr">
        <is>
          <t>A 3150-2025</t>
        </is>
      </c>
      <c r="B465" s="1" t="n">
        <v>45679.28974537037</v>
      </c>
      <c r="C465" s="1" t="n">
        <v>46076</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42041-2024</t>
        </is>
      </c>
      <c r="B466" s="1" t="n">
        <v>45561</v>
      </c>
      <c r="C466" s="1" t="n">
        <v>46076</v>
      </c>
      <c r="D466" t="inlineStr">
        <is>
          <t>GOTLANDS LÄN</t>
        </is>
      </c>
      <c r="E466" t="inlineStr">
        <is>
          <t>GOTLAND</t>
        </is>
      </c>
      <c r="G466" t="n">
        <v>3.2</v>
      </c>
      <c r="H466" t="n">
        <v>0</v>
      </c>
      <c r="I466" t="n">
        <v>0</v>
      </c>
      <c r="J466" t="n">
        <v>0</v>
      </c>
      <c r="K466" t="n">
        <v>0</v>
      </c>
      <c r="L466" t="n">
        <v>0</v>
      </c>
      <c r="M466" t="n">
        <v>0</v>
      </c>
      <c r="N466" t="n">
        <v>0</v>
      </c>
      <c r="O466" t="n">
        <v>0</v>
      </c>
      <c r="P466" t="n">
        <v>0</v>
      </c>
      <c r="Q466" t="n">
        <v>0</v>
      </c>
      <c r="R466" s="2" t="inlineStr"/>
    </row>
    <row r="467" ht="15" customHeight="1">
      <c r="A467" t="inlineStr">
        <is>
          <t>A 15436-2025</t>
        </is>
      </c>
      <c r="B467" s="1" t="n">
        <v>45747.47462962963</v>
      </c>
      <c r="C467" s="1" t="n">
        <v>46076</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44705.38832175926</v>
      </c>
      <c r="C468" s="1" t="n">
        <v>46076</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4670-2026</t>
        </is>
      </c>
      <c r="B469" s="1" t="n">
        <v>46048.41733796296</v>
      </c>
      <c r="C469" s="1" t="n">
        <v>46076</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4662-2026</t>
        </is>
      </c>
      <c r="B470" s="1" t="n">
        <v>46048.40949074074</v>
      </c>
      <c r="C470" s="1" t="n">
        <v>46076</v>
      </c>
      <c r="D470" t="inlineStr">
        <is>
          <t>GOTLANDS LÄN</t>
        </is>
      </c>
      <c r="E470" t="inlineStr">
        <is>
          <t>GOTLAND</t>
        </is>
      </c>
      <c r="G470" t="n">
        <v>7.6</v>
      </c>
      <c r="H470" t="n">
        <v>0</v>
      </c>
      <c r="I470" t="n">
        <v>0</v>
      </c>
      <c r="J470" t="n">
        <v>0</v>
      </c>
      <c r="K470" t="n">
        <v>0</v>
      </c>
      <c r="L470" t="n">
        <v>0</v>
      </c>
      <c r="M470" t="n">
        <v>0</v>
      </c>
      <c r="N470" t="n">
        <v>0</v>
      </c>
      <c r="O470" t="n">
        <v>0</v>
      </c>
      <c r="P470" t="n">
        <v>0</v>
      </c>
      <c r="Q470" t="n">
        <v>0</v>
      </c>
      <c r="R470" s="2" t="inlineStr"/>
    </row>
    <row r="471" ht="15" customHeight="1">
      <c r="A471" t="inlineStr">
        <is>
          <t>A 17780-2022</t>
        </is>
      </c>
      <c r="B471" s="1" t="n">
        <v>44682.82622685185</v>
      </c>
      <c r="C471" s="1" t="n">
        <v>46076</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63516-2023</t>
        </is>
      </c>
      <c r="B472" s="1" t="n">
        <v>45274</v>
      </c>
      <c r="C472" s="1" t="n">
        <v>46076</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4646-2026</t>
        </is>
      </c>
      <c r="B473" s="1" t="n">
        <v>46048.40357638889</v>
      </c>
      <c r="C473" s="1" t="n">
        <v>46076</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53935-2024</t>
        </is>
      </c>
      <c r="B474" s="1" t="n">
        <v>45615</v>
      </c>
      <c r="C474" s="1" t="n">
        <v>46076</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4639-2026</t>
        </is>
      </c>
      <c r="B475" s="1" t="n">
        <v>46048.39880787037</v>
      </c>
      <c r="C475" s="1" t="n">
        <v>46076</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62066-2025</t>
        </is>
      </c>
      <c r="B476" s="1" t="n">
        <v>46006.34738425926</v>
      </c>
      <c r="C476" s="1" t="n">
        <v>46076</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46076</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62103-2025</t>
        </is>
      </c>
      <c r="B478" s="1" t="n">
        <v>46006</v>
      </c>
      <c r="C478" s="1" t="n">
        <v>46076</v>
      </c>
      <c r="D478" t="inlineStr">
        <is>
          <t>GOTLANDS LÄN</t>
        </is>
      </c>
      <c r="E478" t="inlineStr">
        <is>
          <t>GOTLAND</t>
        </is>
      </c>
      <c r="F478" t="inlineStr">
        <is>
          <t>Övriga Aktiebolag</t>
        </is>
      </c>
      <c r="G478" t="n">
        <v>1.7</v>
      </c>
      <c r="H478" t="n">
        <v>0</v>
      </c>
      <c r="I478" t="n">
        <v>0</v>
      </c>
      <c r="J478" t="n">
        <v>0</v>
      </c>
      <c r="K478" t="n">
        <v>0</v>
      </c>
      <c r="L478" t="n">
        <v>0</v>
      </c>
      <c r="M478" t="n">
        <v>0</v>
      </c>
      <c r="N478" t="n">
        <v>0</v>
      </c>
      <c r="O478" t="n">
        <v>0</v>
      </c>
      <c r="P478" t="n">
        <v>0</v>
      </c>
      <c r="Q478" t="n">
        <v>0</v>
      </c>
      <c r="R478" s="2" t="inlineStr"/>
    </row>
    <row r="479" ht="15" customHeight="1">
      <c r="A479" t="inlineStr">
        <is>
          <t>A 48734-2022</t>
        </is>
      </c>
      <c r="B479" s="1" t="n">
        <v>44855</v>
      </c>
      <c r="C479" s="1" t="n">
        <v>46076</v>
      </c>
      <c r="D479" t="inlineStr">
        <is>
          <t>GOTLANDS LÄN</t>
        </is>
      </c>
      <c r="E479" t="inlineStr">
        <is>
          <t>GOTLAND</t>
        </is>
      </c>
      <c r="G479" t="n">
        <v>1.6</v>
      </c>
      <c r="H479" t="n">
        <v>0</v>
      </c>
      <c r="I479" t="n">
        <v>0</v>
      </c>
      <c r="J479" t="n">
        <v>0</v>
      </c>
      <c r="K479" t="n">
        <v>0</v>
      </c>
      <c r="L479" t="n">
        <v>0</v>
      </c>
      <c r="M479" t="n">
        <v>0</v>
      </c>
      <c r="N479" t="n">
        <v>0</v>
      </c>
      <c r="O479" t="n">
        <v>0</v>
      </c>
      <c r="P479" t="n">
        <v>0</v>
      </c>
      <c r="Q479" t="n">
        <v>0</v>
      </c>
      <c r="R479" s="2" t="inlineStr"/>
    </row>
    <row r="480" ht="15" customHeight="1">
      <c r="A480" t="inlineStr">
        <is>
          <t>A 23516-2023</t>
        </is>
      </c>
      <c r="B480" s="1" t="n">
        <v>45076.93391203704</v>
      </c>
      <c r="C480" s="1" t="n">
        <v>46076</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43231-2023</t>
        </is>
      </c>
      <c r="B481" s="1" t="n">
        <v>45183.47025462963</v>
      </c>
      <c r="C481" s="1" t="n">
        <v>46076</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4634-2026</t>
        </is>
      </c>
      <c r="B482" s="1" t="n">
        <v>46048.39304398148</v>
      </c>
      <c r="C482" s="1" t="n">
        <v>46076</v>
      </c>
      <c r="D482" t="inlineStr">
        <is>
          <t>GOTLANDS LÄN</t>
        </is>
      </c>
      <c r="E482" t="inlineStr">
        <is>
          <t>GOTLAND</t>
        </is>
      </c>
      <c r="G482" t="n">
        <v>7.8</v>
      </c>
      <c r="H482" t="n">
        <v>0</v>
      </c>
      <c r="I482" t="n">
        <v>0</v>
      </c>
      <c r="J482" t="n">
        <v>0</v>
      </c>
      <c r="K482" t="n">
        <v>0</v>
      </c>
      <c r="L482" t="n">
        <v>0</v>
      </c>
      <c r="M482" t="n">
        <v>0</v>
      </c>
      <c r="N482" t="n">
        <v>0</v>
      </c>
      <c r="O482" t="n">
        <v>0</v>
      </c>
      <c r="P482" t="n">
        <v>0</v>
      </c>
      <c r="Q482" t="n">
        <v>0</v>
      </c>
      <c r="R482" s="2" t="inlineStr"/>
    </row>
    <row r="483" ht="15" customHeight="1">
      <c r="A483" t="inlineStr">
        <is>
          <t>A 58230-2024</t>
        </is>
      </c>
      <c r="B483" s="1" t="n">
        <v>45632.51625</v>
      </c>
      <c r="C483" s="1" t="n">
        <v>46076</v>
      </c>
      <c r="D483" t="inlineStr">
        <is>
          <t>GOTLANDS LÄN</t>
        </is>
      </c>
      <c r="E483" t="inlineStr">
        <is>
          <t>GOTLAND</t>
        </is>
      </c>
      <c r="G483" t="n">
        <v>7.3</v>
      </c>
      <c r="H483" t="n">
        <v>0</v>
      </c>
      <c r="I483" t="n">
        <v>0</v>
      </c>
      <c r="J483" t="n">
        <v>0</v>
      </c>
      <c r="K483" t="n">
        <v>0</v>
      </c>
      <c r="L483" t="n">
        <v>0</v>
      </c>
      <c r="M483" t="n">
        <v>0</v>
      </c>
      <c r="N483" t="n">
        <v>0</v>
      </c>
      <c r="O483" t="n">
        <v>0</v>
      </c>
      <c r="P483" t="n">
        <v>0</v>
      </c>
      <c r="Q483" t="n">
        <v>0</v>
      </c>
      <c r="R483" s="2" t="inlineStr"/>
    </row>
    <row r="484" ht="15" customHeight="1">
      <c r="A484" t="inlineStr">
        <is>
          <t>A 64555-2023</t>
        </is>
      </c>
      <c r="B484" s="1" t="n">
        <v>45281</v>
      </c>
      <c r="C484" s="1" t="n">
        <v>46076</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457-2023</t>
        </is>
      </c>
      <c r="B485" s="1" t="n">
        <v>44929.87238425926</v>
      </c>
      <c r="C485" s="1" t="n">
        <v>46076</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459-2023</t>
        </is>
      </c>
      <c r="B486" s="1" t="n">
        <v>44929.87423611111</v>
      </c>
      <c r="C486" s="1" t="n">
        <v>46076</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63000-2025</t>
        </is>
      </c>
      <c r="B487" s="1" t="n">
        <v>46009</v>
      </c>
      <c r="C487" s="1" t="n">
        <v>46076</v>
      </c>
      <c r="D487" t="inlineStr">
        <is>
          <t>GOTLANDS LÄN</t>
        </is>
      </c>
      <c r="E487" t="inlineStr">
        <is>
          <t>GOTLAND</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62751-2025</t>
        </is>
      </c>
      <c r="B488" s="1" t="n">
        <v>46008</v>
      </c>
      <c r="C488" s="1" t="n">
        <v>46076</v>
      </c>
      <c r="D488" t="inlineStr">
        <is>
          <t>GOTLANDS LÄN</t>
        </is>
      </c>
      <c r="E488" t="inlineStr">
        <is>
          <t>GOTLAND</t>
        </is>
      </c>
      <c r="F488" t="inlineStr">
        <is>
          <t>Övriga Aktiebolag</t>
        </is>
      </c>
      <c r="G488" t="n">
        <v>7.8</v>
      </c>
      <c r="H488" t="n">
        <v>0</v>
      </c>
      <c r="I488" t="n">
        <v>0</v>
      </c>
      <c r="J488" t="n">
        <v>0</v>
      </c>
      <c r="K488" t="n">
        <v>0</v>
      </c>
      <c r="L488" t="n">
        <v>0</v>
      </c>
      <c r="M488" t="n">
        <v>0</v>
      </c>
      <c r="N488" t="n">
        <v>0</v>
      </c>
      <c r="O488" t="n">
        <v>0</v>
      </c>
      <c r="P488" t="n">
        <v>0</v>
      </c>
      <c r="Q488" t="n">
        <v>0</v>
      </c>
      <c r="R488" s="2" t="inlineStr"/>
    </row>
    <row r="489" ht="15" customHeight="1">
      <c r="A489" t="inlineStr">
        <is>
          <t>A 876-2024</t>
        </is>
      </c>
      <c r="B489" s="1" t="n">
        <v>45301</v>
      </c>
      <c r="C489" s="1" t="n">
        <v>46076</v>
      </c>
      <c r="D489" t="inlineStr">
        <is>
          <t>GOTLANDS LÄN</t>
        </is>
      </c>
      <c r="E489" t="inlineStr">
        <is>
          <t>GOTLAND</t>
        </is>
      </c>
      <c r="G489" t="n">
        <v>5.3</v>
      </c>
      <c r="H489" t="n">
        <v>0</v>
      </c>
      <c r="I489" t="n">
        <v>0</v>
      </c>
      <c r="J489" t="n">
        <v>0</v>
      </c>
      <c r="K489" t="n">
        <v>0</v>
      </c>
      <c r="L489" t="n">
        <v>0</v>
      </c>
      <c r="M489" t="n">
        <v>0</v>
      </c>
      <c r="N489" t="n">
        <v>0</v>
      </c>
      <c r="O489" t="n">
        <v>0</v>
      </c>
      <c r="P489" t="n">
        <v>0</v>
      </c>
      <c r="Q489" t="n">
        <v>0</v>
      </c>
      <c r="R489" s="2" t="inlineStr"/>
    </row>
    <row r="490" ht="15" customHeight="1">
      <c r="A490" t="inlineStr">
        <is>
          <t>A 47147-2025</t>
        </is>
      </c>
      <c r="B490" s="1" t="n">
        <v>45929</v>
      </c>
      <c r="C490" s="1" t="n">
        <v>46076</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46076</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62754-2025</t>
        </is>
      </c>
      <c r="B492" s="1" t="n">
        <v>46008</v>
      </c>
      <c r="C492" s="1" t="n">
        <v>46076</v>
      </c>
      <c r="D492" t="inlineStr">
        <is>
          <t>GOTLANDS LÄN</t>
        </is>
      </c>
      <c r="E492" t="inlineStr">
        <is>
          <t>GOTLAND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46076</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14536-2021</t>
        </is>
      </c>
      <c r="B494" s="1" t="n">
        <v>44279.66168981481</v>
      </c>
      <c r="C494" s="1" t="n">
        <v>46076</v>
      </c>
      <c r="D494" t="inlineStr">
        <is>
          <t>GOTLANDS LÄN</t>
        </is>
      </c>
      <c r="E494" t="inlineStr">
        <is>
          <t>GOTLAND</t>
        </is>
      </c>
      <c r="G494" t="n">
        <v>8.5</v>
      </c>
      <c r="H494" t="n">
        <v>0</v>
      </c>
      <c r="I494" t="n">
        <v>0</v>
      </c>
      <c r="J494" t="n">
        <v>0</v>
      </c>
      <c r="K494" t="n">
        <v>0</v>
      </c>
      <c r="L494" t="n">
        <v>0</v>
      </c>
      <c r="M494" t="n">
        <v>0</v>
      </c>
      <c r="N494" t="n">
        <v>0</v>
      </c>
      <c r="O494" t="n">
        <v>0</v>
      </c>
      <c r="P494" t="n">
        <v>0</v>
      </c>
      <c r="Q494" t="n">
        <v>0</v>
      </c>
      <c r="R494" s="2" t="inlineStr"/>
    </row>
    <row r="495" ht="15" customHeight="1">
      <c r="A495" t="inlineStr">
        <is>
          <t>A 5923-2023</t>
        </is>
      </c>
      <c r="B495" s="1" t="n">
        <v>44963.69503472222</v>
      </c>
      <c r="C495" s="1" t="n">
        <v>46076</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50482-2024</t>
        </is>
      </c>
      <c r="B496" s="1" t="n">
        <v>45601.48114583334</v>
      </c>
      <c r="C496" s="1" t="n">
        <v>46076</v>
      </c>
      <c r="D496" t="inlineStr">
        <is>
          <t>GOTLANDS LÄN</t>
        </is>
      </c>
      <c r="E496" t="inlineStr">
        <is>
          <t>GOTLAND</t>
        </is>
      </c>
      <c r="G496" t="n">
        <v>2.3</v>
      </c>
      <c r="H496" t="n">
        <v>0</v>
      </c>
      <c r="I496" t="n">
        <v>0</v>
      </c>
      <c r="J496" t="n">
        <v>0</v>
      </c>
      <c r="K496" t="n">
        <v>0</v>
      </c>
      <c r="L496" t="n">
        <v>0</v>
      </c>
      <c r="M496" t="n">
        <v>0</v>
      </c>
      <c r="N496" t="n">
        <v>0</v>
      </c>
      <c r="O496" t="n">
        <v>0</v>
      </c>
      <c r="P496" t="n">
        <v>0</v>
      </c>
      <c r="Q496" t="n">
        <v>0</v>
      </c>
      <c r="R496" s="2" t="inlineStr"/>
    </row>
    <row r="497" ht="15" customHeight="1">
      <c r="A497" t="inlineStr">
        <is>
          <t>A 6207-2026</t>
        </is>
      </c>
      <c r="B497" s="1" t="n">
        <v>46055.42083333333</v>
      </c>
      <c r="C497" s="1" t="n">
        <v>46076</v>
      </c>
      <c r="D497" t="inlineStr">
        <is>
          <t>GOTLANDS LÄN</t>
        </is>
      </c>
      <c r="E497" t="inlineStr">
        <is>
          <t>GOTLAND</t>
        </is>
      </c>
      <c r="G497" t="n">
        <v>7.6</v>
      </c>
      <c r="H497" t="n">
        <v>0</v>
      </c>
      <c r="I497" t="n">
        <v>0</v>
      </c>
      <c r="J497" t="n">
        <v>0</v>
      </c>
      <c r="K497" t="n">
        <v>0</v>
      </c>
      <c r="L497" t="n">
        <v>0</v>
      </c>
      <c r="M497" t="n">
        <v>0</v>
      </c>
      <c r="N497" t="n">
        <v>0</v>
      </c>
      <c r="O497" t="n">
        <v>0</v>
      </c>
      <c r="P497" t="n">
        <v>0</v>
      </c>
      <c r="Q497" t="n">
        <v>0</v>
      </c>
      <c r="R497" s="2" t="inlineStr"/>
    </row>
    <row r="498" ht="15" customHeight="1">
      <c r="A498" t="inlineStr">
        <is>
          <t>A 5943-2024</t>
        </is>
      </c>
      <c r="B498" s="1" t="n">
        <v>45336</v>
      </c>
      <c r="C498" s="1" t="n">
        <v>46076</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38234-2023</t>
        </is>
      </c>
      <c r="B499" s="1" t="n">
        <v>45161.56663194444</v>
      </c>
      <c r="C499" s="1" t="n">
        <v>46076</v>
      </c>
      <c r="D499" t="inlineStr">
        <is>
          <t>GOTLANDS LÄN</t>
        </is>
      </c>
      <c r="E499" t="inlineStr">
        <is>
          <t>GOTLAND</t>
        </is>
      </c>
      <c r="G499" t="n">
        <v>1.3</v>
      </c>
      <c r="H499" t="n">
        <v>0</v>
      </c>
      <c r="I499" t="n">
        <v>0</v>
      </c>
      <c r="J499" t="n">
        <v>0</v>
      </c>
      <c r="K499" t="n">
        <v>0</v>
      </c>
      <c r="L499" t="n">
        <v>0</v>
      </c>
      <c r="M499" t="n">
        <v>0</v>
      </c>
      <c r="N499" t="n">
        <v>0</v>
      </c>
      <c r="O499" t="n">
        <v>0</v>
      </c>
      <c r="P499" t="n">
        <v>0</v>
      </c>
      <c r="Q499" t="n">
        <v>0</v>
      </c>
      <c r="R499" s="2" t="inlineStr"/>
    </row>
    <row r="500" ht="15" customHeight="1">
      <c r="A500" t="inlineStr">
        <is>
          <t>A 1273-2023</t>
        </is>
      </c>
      <c r="B500" s="1" t="n">
        <v>44936</v>
      </c>
      <c r="C500" s="1" t="n">
        <v>46076</v>
      </c>
      <c r="D500" t="inlineStr">
        <is>
          <t>GOTLANDS LÄN</t>
        </is>
      </c>
      <c r="E500" t="inlineStr">
        <is>
          <t>GOTLAND</t>
        </is>
      </c>
      <c r="G500" t="n">
        <v>4.5</v>
      </c>
      <c r="H500" t="n">
        <v>0</v>
      </c>
      <c r="I500" t="n">
        <v>0</v>
      </c>
      <c r="J500" t="n">
        <v>0</v>
      </c>
      <c r="K500" t="n">
        <v>0</v>
      </c>
      <c r="L500" t="n">
        <v>0</v>
      </c>
      <c r="M500" t="n">
        <v>0</v>
      </c>
      <c r="N500" t="n">
        <v>0</v>
      </c>
      <c r="O500" t="n">
        <v>0</v>
      </c>
      <c r="P500" t="n">
        <v>0</v>
      </c>
      <c r="Q500" t="n">
        <v>0</v>
      </c>
      <c r="R500" s="2" t="inlineStr"/>
    </row>
    <row r="501" ht="15" customHeight="1">
      <c r="A501" t="inlineStr">
        <is>
          <t>A 5863-2026</t>
        </is>
      </c>
      <c r="B501" s="1" t="n">
        <v>46052.36697916667</v>
      </c>
      <c r="C501" s="1" t="n">
        <v>46076</v>
      </c>
      <c r="D501" t="inlineStr">
        <is>
          <t>GOTLANDS LÄN</t>
        </is>
      </c>
      <c r="E501" t="inlineStr">
        <is>
          <t>GOTLAND</t>
        </is>
      </c>
      <c r="G501" t="n">
        <v>1.8</v>
      </c>
      <c r="H501" t="n">
        <v>0</v>
      </c>
      <c r="I501" t="n">
        <v>0</v>
      </c>
      <c r="J501" t="n">
        <v>0</v>
      </c>
      <c r="K501" t="n">
        <v>0</v>
      </c>
      <c r="L501" t="n">
        <v>0</v>
      </c>
      <c r="M501" t="n">
        <v>0</v>
      </c>
      <c r="N501" t="n">
        <v>0</v>
      </c>
      <c r="O501" t="n">
        <v>0</v>
      </c>
      <c r="P501" t="n">
        <v>0</v>
      </c>
      <c r="Q501" t="n">
        <v>0</v>
      </c>
      <c r="R501" s="2" t="inlineStr"/>
    </row>
    <row r="502" ht="15" customHeight="1">
      <c r="A502" t="inlineStr">
        <is>
          <t>A 6218-2026</t>
        </is>
      </c>
      <c r="B502" s="1" t="n">
        <v>46055.42859953704</v>
      </c>
      <c r="C502" s="1" t="n">
        <v>46076</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17724-2024</t>
        </is>
      </c>
      <c r="B503" s="1" t="n">
        <v>45418.55096064815</v>
      </c>
      <c r="C503" s="1" t="n">
        <v>46076</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6960-2026</t>
        </is>
      </c>
      <c r="B504" s="1" t="n">
        <v>46057.58105324074</v>
      </c>
      <c r="C504" s="1" t="n">
        <v>46076</v>
      </c>
      <c r="D504" t="inlineStr">
        <is>
          <t>GOTLANDS LÄN</t>
        </is>
      </c>
      <c r="E504" t="inlineStr">
        <is>
          <t>GOTLAND</t>
        </is>
      </c>
      <c r="F504" t="inlineStr">
        <is>
          <t>Kyrkan</t>
        </is>
      </c>
      <c r="G504" t="n">
        <v>2.4</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46076</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49884-2023</t>
        </is>
      </c>
      <c r="B506" s="1" t="n">
        <v>45213</v>
      </c>
      <c r="C506" s="1" t="n">
        <v>46076</v>
      </c>
      <c r="D506" t="inlineStr">
        <is>
          <t>GOTLANDS LÄN</t>
        </is>
      </c>
      <c r="E506" t="inlineStr">
        <is>
          <t>GOTLAND</t>
        </is>
      </c>
      <c r="G506" t="n">
        <v>8.9</v>
      </c>
      <c r="H506" t="n">
        <v>0</v>
      </c>
      <c r="I506" t="n">
        <v>0</v>
      </c>
      <c r="J506" t="n">
        <v>0</v>
      </c>
      <c r="K506" t="n">
        <v>0</v>
      </c>
      <c r="L506" t="n">
        <v>0</v>
      </c>
      <c r="M506" t="n">
        <v>0</v>
      </c>
      <c r="N506" t="n">
        <v>0</v>
      </c>
      <c r="O506" t="n">
        <v>0</v>
      </c>
      <c r="P506" t="n">
        <v>0</v>
      </c>
      <c r="Q506" t="n">
        <v>0</v>
      </c>
      <c r="R506" s="2" t="inlineStr"/>
    </row>
    <row r="507" ht="15" customHeight="1">
      <c r="A507" t="inlineStr">
        <is>
          <t>A 12846-2025</t>
        </is>
      </c>
      <c r="B507" s="1" t="n">
        <v>45733.65049768519</v>
      </c>
      <c r="C507" s="1" t="n">
        <v>46076</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43200-2023</t>
        </is>
      </c>
      <c r="B508" s="1" t="n">
        <v>45183</v>
      </c>
      <c r="C508" s="1" t="n">
        <v>46076</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54584-2025</t>
        </is>
      </c>
      <c r="B509" s="1" t="n">
        <v>45965.71788194445</v>
      </c>
      <c r="C509" s="1" t="n">
        <v>46076</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6959-2026</t>
        </is>
      </c>
      <c r="B510" s="1" t="n">
        <v>46057.580625</v>
      </c>
      <c r="C510" s="1" t="n">
        <v>46076</v>
      </c>
      <c r="D510" t="inlineStr">
        <is>
          <t>GOTLANDS LÄN</t>
        </is>
      </c>
      <c r="E510" t="inlineStr">
        <is>
          <t>GOTLAND</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46076</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46076</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38649-2025</t>
        </is>
      </c>
      <c r="B513" s="1" t="n">
        <v>45884</v>
      </c>
      <c r="C513" s="1" t="n">
        <v>46076</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48843-2024</t>
        </is>
      </c>
      <c r="B514" s="1" t="n">
        <v>45593</v>
      </c>
      <c r="C514" s="1" t="n">
        <v>46076</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10653-2023</t>
        </is>
      </c>
      <c r="B515" s="1" t="n">
        <v>44988.48859953704</v>
      </c>
      <c r="C515" s="1" t="n">
        <v>46076</v>
      </c>
      <c r="D515" t="inlineStr">
        <is>
          <t>GOTLANDS LÄN</t>
        </is>
      </c>
      <c r="E515" t="inlineStr">
        <is>
          <t>GOTLAND</t>
        </is>
      </c>
      <c r="F515" t="inlineStr">
        <is>
          <t>Kyrkan</t>
        </is>
      </c>
      <c r="G515" t="n">
        <v>3</v>
      </c>
      <c r="H515" t="n">
        <v>0</v>
      </c>
      <c r="I515" t="n">
        <v>0</v>
      </c>
      <c r="J515" t="n">
        <v>0</v>
      </c>
      <c r="K515" t="n">
        <v>0</v>
      </c>
      <c r="L515" t="n">
        <v>0</v>
      </c>
      <c r="M515" t="n">
        <v>0</v>
      </c>
      <c r="N515" t="n">
        <v>0</v>
      </c>
      <c r="O515" t="n">
        <v>0</v>
      </c>
      <c r="P515" t="n">
        <v>0</v>
      </c>
      <c r="Q515" t="n">
        <v>0</v>
      </c>
      <c r="R515" s="2" t="inlineStr"/>
    </row>
    <row r="516" ht="15" customHeight="1">
      <c r="A516" t="inlineStr">
        <is>
          <t>A 7625-2026</t>
        </is>
      </c>
      <c r="B516" s="1" t="n">
        <v>46062.35135416667</v>
      </c>
      <c r="C516" s="1" t="n">
        <v>46076</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7627-2026</t>
        </is>
      </c>
      <c r="B517" s="1" t="n">
        <v>46062.35465277778</v>
      </c>
      <c r="C517" s="1" t="n">
        <v>46076</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61078-2025</t>
        </is>
      </c>
      <c r="B518" s="1" t="n">
        <v>46000</v>
      </c>
      <c r="C518" s="1" t="n">
        <v>46076</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46076</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46076</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20225-2025</t>
        </is>
      </c>
      <c r="B521" s="1" t="n">
        <v>45772.65802083333</v>
      </c>
      <c r="C521" s="1" t="n">
        <v>46076</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1677-2023</t>
        </is>
      </c>
      <c r="B522" s="1" t="n">
        <v>44938</v>
      </c>
      <c r="C522" s="1" t="n">
        <v>46076</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61080-2025</t>
        </is>
      </c>
      <c r="B523" s="1" t="n">
        <v>46000</v>
      </c>
      <c r="C523" s="1" t="n">
        <v>46076</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64831-2023</t>
        </is>
      </c>
      <c r="B524" s="1" t="n">
        <v>45282.44924768519</v>
      </c>
      <c r="C524" s="1" t="n">
        <v>46076</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36-2026</t>
        </is>
      </c>
      <c r="B525" s="1" t="n">
        <v>46024.38886574074</v>
      </c>
      <c r="C525" s="1" t="n">
        <v>46076</v>
      </c>
      <c r="D525" t="inlineStr">
        <is>
          <t>GOTLANDS LÄN</t>
        </is>
      </c>
      <c r="E525" t="inlineStr">
        <is>
          <t>GOTLAND</t>
        </is>
      </c>
      <c r="G525" t="n">
        <v>1</v>
      </c>
      <c r="H525" t="n">
        <v>0</v>
      </c>
      <c r="I525" t="n">
        <v>0</v>
      </c>
      <c r="J525" t="n">
        <v>0</v>
      </c>
      <c r="K525" t="n">
        <v>0</v>
      </c>
      <c r="L525" t="n">
        <v>0</v>
      </c>
      <c r="M525" t="n">
        <v>0</v>
      </c>
      <c r="N525" t="n">
        <v>0</v>
      </c>
      <c r="O525" t="n">
        <v>0</v>
      </c>
      <c r="P525" t="n">
        <v>0</v>
      </c>
      <c r="Q525" t="n">
        <v>0</v>
      </c>
      <c r="R525" s="2" t="inlineStr"/>
    </row>
    <row r="526" ht="15" customHeight="1">
      <c r="A526" t="inlineStr">
        <is>
          <t>A 8036-2022</t>
        </is>
      </c>
      <c r="B526" s="1" t="n">
        <v>44609.44362268518</v>
      </c>
      <c r="C526" s="1" t="n">
        <v>46076</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46375-2024</t>
        </is>
      </c>
      <c r="B527" s="1" t="n">
        <v>45582</v>
      </c>
      <c r="C527" s="1" t="n">
        <v>46076</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62915-2021</t>
        </is>
      </c>
      <c r="B528" s="1" t="n">
        <v>44504</v>
      </c>
      <c r="C528" s="1" t="n">
        <v>46076</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7638-2025</t>
        </is>
      </c>
      <c r="B529" s="1" t="n">
        <v>45705.77306712963</v>
      </c>
      <c r="C529" s="1" t="n">
        <v>46076</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62674-2025</t>
        </is>
      </c>
      <c r="B530" s="1" t="n">
        <v>46008</v>
      </c>
      <c r="C530" s="1" t="n">
        <v>46076</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9543-2026</t>
        </is>
      </c>
      <c r="B531" s="1" t="n">
        <v>46071.62486111111</v>
      </c>
      <c r="C531" s="1" t="n">
        <v>46076</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9518-2026</t>
        </is>
      </c>
      <c r="B532" s="1" t="n">
        <v>46071.59653935185</v>
      </c>
      <c r="C532" s="1" t="n">
        <v>46076</v>
      </c>
      <c r="D532" t="inlineStr">
        <is>
          <t>GOTLANDS LÄN</t>
        </is>
      </c>
      <c r="E532" t="inlineStr">
        <is>
          <t>GOTLAND</t>
        </is>
      </c>
      <c r="G532" t="n">
        <v>6.2</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46076</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9524-2026</t>
        </is>
      </c>
      <c r="B534" s="1" t="n">
        <v>46071.60108796296</v>
      </c>
      <c r="C534" s="1" t="n">
        <v>46076</v>
      </c>
      <c r="D534" t="inlineStr">
        <is>
          <t>GOTLANDS LÄN</t>
        </is>
      </c>
      <c r="E534" t="inlineStr">
        <is>
          <t>GOTLAND</t>
        </is>
      </c>
      <c r="G534" t="n">
        <v>2.5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44955.5502662037</v>
      </c>
      <c r="C535" s="1" t="n">
        <v>46076</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63105-2025</t>
        </is>
      </c>
      <c r="B536" s="1" t="n">
        <v>46009</v>
      </c>
      <c r="C536" s="1" t="n">
        <v>46076</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63152-2025</t>
        </is>
      </c>
      <c r="B537" s="1" t="n">
        <v>46010</v>
      </c>
      <c r="C537" s="1" t="n">
        <v>46076</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53587-2025</t>
        </is>
      </c>
      <c r="B538" s="1" t="n">
        <v>45960.43681712963</v>
      </c>
      <c r="C538" s="1" t="n">
        <v>46076</v>
      </c>
      <c r="D538" t="inlineStr">
        <is>
          <t>GOTLANDS LÄN</t>
        </is>
      </c>
      <c r="E538" t="inlineStr">
        <is>
          <t>GOTLAND</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43901-2023</t>
        </is>
      </c>
      <c r="B539" s="1" t="n">
        <v>45187</v>
      </c>
      <c r="C539" s="1" t="n">
        <v>46076</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46076</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45692-2023</t>
        </is>
      </c>
      <c r="B541" s="1" t="n">
        <v>45195</v>
      </c>
      <c r="C541" s="1" t="n">
        <v>46076</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60384-2025</t>
        </is>
      </c>
      <c r="B542" s="1" t="n">
        <v>45995</v>
      </c>
      <c r="C542" s="1" t="n">
        <v>46076</v>
      </c>
      <c r="D542" t="inlineStr">
        <is>
          <t>GOTLANDS LÄN</t>
        </is>
      </c>
      <c r="E542" t="inlineStr">
        <is>
          <t>GOTLAND</t>
        </is>
      </c>
      <c r="G542" t="n">
        <v>2.5</v>
      </c>
      <c r="H542" t="n">
        <v>0</v>
      </c>
      <c r="I542" t="n">
        <v>0</v>
      </c>
      <c r="J542" t="n">
        <v>0</v>
      </c>
      <c r="K542" t="n">
        <v>0</v>
      </c>
      <c r="L542" t="n">
        <v>0</v>
      </c>
      <c r="M542" t="n">
        <v>0</v>
      </c>
      <c r="N542" t="n">
        <v>0</v>
      </c>
      <c r="O542" t="n">
        <v>0</v>
      </c>
      <c r="P542" t="n">
        <v>0</v>
      </c>
      <c r="Q542" t="n">
        <v>0</v>
      </c>
      <c r="R542" s="2" t="inlineStr"/>
    </row>
    <row r="543" ht="15" customHeight="1">
      <c r="A543" t="inlineStr">
        <is>
          <t>A 9519-2026</t>
        </is>
      </c>
      <c r="B543" s="1" t="n">
        <v>46071.59820601852</v>
      </c>
      <c r="C543" s="1" t="n">
        <v>46076</v>
      </c>
      <c r="D543" t="inlineStr">
        <is>
          <t>GOTLANDS LÄN</t>
        </is>
      </c>
      <c r="E543" t="inlineStr">
        <is>
          <t>GOTLAND</t>
        </is>
      </c>
      <c r="G543" t="n">
        <v>4</v>
      </c>
      <c r="H543" t="n">
        <v>0</v>
      </c>
      <c r="I543" t="n">
        <v>0</v>
      </c>
      <c r="J543" t="n">
        <v>0</v>
      </c>
      <c r="K543" t="n">
        <v>0</v>
      </c>
      <c r="L543" t="n">
        <v>0</v>
      </c>
      <c r="M543" t="n">
        <v>0</v>
      </c>
      <c r="N543" t="n">
        <v>0</v>
      </c>
      <c r="O543" t="n">
        <v>0</v>
      </c>
      <c r="P543" t="n">
        <v>0</v>
      </c>
      <c r="Q543" t="n">
        <v>0</v>
      </c>
      <c r="R543" s="2" t="inlineStr"/>
    </row>
    <row r="544" ht="15" customHeight="1">
      <c r="A544" t="inlineStr">
        <is>
          <t>A 37222-2021</t>
        </is>
      </c>
      <c r="B544" s="1" t="n">
        <v>44396</v>
      </c>
      <c r="C544" s="1" t="n">
        <v>46076</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53561-2025</t>
        </is>
      </c>
      <c r="B545" s="1" t="n">
        <v>45960.4059375</v>
      </c>
      <c r="C545" s="1" t="n">
        <v>46076</v>
      </c>
      <c r="D545" t="inlineStr">
        <is>
          <t>GOTLANDS LÄN</t>
        </is>
      </c>
      <c r="E545" t="inlineStr">
        <is>
          <t>GOTLAND</t>
        </is>
      </c>
      <c r="F545" t="inlineStr">
        <is>
          <t>Övriga Aktiebolag</t>
        </is>
      </c>
      <c r="G545" t="n">
        <v>2.4</v>
      </c>
      <c r="H545" t="n">
        <v>0</v>
      </c>
      <c r="I545" t="n">
        <v>0</v>
      </c>
      <c r="J545" t="n">
        <v>0</v>
      </c>
      <c r="K545" t="n">
        <v>0</v>
      </c>
      <c r="L545" t="n">
        <v>0</v>
      </c>
      <c r="M545" t="n">
        <v>0</v>
      </c>
      <c r="N545" t="n">
        <v>0</v>
      </c>
      <c r="O545" t="n">
        <v>0</v>
      </c>
      <c r="P545" t="n">
        <v>0</v>
      </c>
      <c r="Q545" t="n">
        <v>0</v>
      </c>
      <c r="R545" s="2" t="inlineStr"/>
    </row>
    <row r="546" ht="15" customHeight="1">
      <c r="A546" t="inlineStr">
        <is>
          <t>A 9521-2026</t>
        </is>
      </c>
      <c r="B546" s="1" t="n">
        <v>46071.59969907408</v>
      </c>
      <c r="C546" s="1" t="n">
        <v>46076</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9504-2026</t>
        </is>
      </c>
      <c r="B547" s="1" t="n">
        <v>46071.57730324074</v>
      </c>
      <c r="C547" s="1" t="n">
        <v>46076</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9540-2026</t>
        </is>
      </c>
      <c r="B548" s="1" t="n">
        <v>46071.61961805556</v>
      </c>
      <c r="C548" s="1" t="n">
        <v>46076</v>
      </c>
      <c r="D548" t="inlineStr">
        <is>
          <t>GOTLANDS LÄN</t>
        </is>
      </c>
      <c r="E548" t="inlineStr">
        <is>
          <t>GOTLAND</t>
        </is>
      </c>
      <c r="G548" t="n">
        <v>2.8</v>
      </c>
      <c r="H548" t="n">
        <v>0</v>
      </c>
      <c r="I548" t="n">
        <v>0</v>
      </c>
      <c r="J548" t="n">
        <v>0</v>
      </c>
      <c r="K548" t="n">
        <v>0</v>
      </c>
      <c r="L548" t="n">
        <v>0</v>
      </c>
      <c r="M548" t="n">
        <v>0</v>
      </c>
      <c r="N548" t="n">
        <v>0</v>
      </c>
      <c r="O548" t="n">
        <v>0</v>
      </c>
      <c r="P548" t="n">
        <v>0</v>
      </c>
      <c r="Q548" t="n">
        <v>0</v>
      </c>
      <c r="R548" s="2" t="inlineStr"/>
    </row>
    <row r="549" ht="15" customHeight="1">
      <c r="A549" t="inlineStr">
        <is>
          <t>A 1355-2026</t>
        </is>
      </c>
      <c r="B549" s="1" t="n">
        <v>46031.59909722222</v>
      </c>
      <c r="C549" s="1" t="n">
        <v>46076</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46396-2023</t>
        </is>
      </c>
      <c r="B550" s="1" t="n">
        <v>45197</v>
      </c>
      <c r="C550" s="1" t="n">
        <v>46076</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46076</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9901-2026</t>
        </is>
      </c>
      <c r="B552" s="1" t="n">
        <v>46073.40391203704</v>
      </c>
      <c r="C552" s="1" t="n">
        <v>46076</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53934-2024</t>
        </is>
      </c>
      <c r="B553" s="1" t="n">
        <v>45615</v>
      </c>
      <c r="C553" s="1" t="n">
        <v>46076</v>
      </c>
      <c r="D553" t="inlineStr">
        <is>
          <t>GOTLANDS LÄN</t>
        </is>
      </c>
      <c r="E553" t="inlineStr">
        <is>
          <t>GOTLAND</t>
        </is>
      </c>
      <c r="G553" t="n">
        <v>5</v>
      </c>
      <c r="H553" t="n">
        <v>0</v>
      </c>
      <c r="I553" t="n">
        <v>0</v>
      </c>
      <c r="J553" t="n">
        <v>0</v>
      </c>
      <c r="K553" t="n">
        <v>0</v>
      </c>
      <c r="L553" t="n">
        <v>0</v>
      </c>
      <c r="M553" t="n">
        <v>0</v>
      </c>
      <c r="N553" t="n">
        <v>0</v>
      </c>
      <c r="O553" t="n">
        <v>0</v>
      </c>
      <c r="P553" t="n">
        <v>0</v>
      </c>
      <c r="Q553" t="n">
        <v>0</v>
      </c>
      <c r="R553" s="2" t="inlineStr"/>
    </row>
    <row r="554" ht="15" customHeight="1">
      <c r="A554" t="inlineStr">
        <is>
          <t>A 58132-2023</t>
        </is>
      </c>
      <c r="B554" s="1" t="n">
        <v>45250</v>
      </c>
      <c r="C554" s="1" t="n">
        <v>46076</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22899-2023</t>
        </is>
      </c>
      <c r="B555" s="1" t="n">
        <v>45072</v>
      </c>
      <c r="C555" s="1" t="n">
        <v>46076</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28285-2024</t>
        </is>
      </c>
      <c r="B556" s="1" t="n">
        <v>45477</v>
      </c>
      <c r="C556" s="1" t="n">
        <v>46076</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51963-2024</t>
        </is>
      </c>
      <c r="B557" s="1" t="n">
        <v>45607.64833333333</v>
      </c>
      <c r="C557" s="1" t="n">
        <v>46076</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1734-2025</t>
        </is>
      </c>
      <c r="B558" s="1" t="n">
        <v>45671.3840625</v>
      </c>
      <c r="C558" s="1" t="n">
        <v>46076</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30365-2024</t>
        </is>
      </c>
      <c r="B559" s="1" t="n">
        <v>45491.3716087963</v>
      </c>
      <c r="C559" s="1" t="n">
        <v>46076</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2674-2023</t>
        </is>
      </c>
      <c r="B560" s="1" t="n">
        <v>44944</v>
      </c>
      <c r="C560" s="1" t="n">
        <v>46076</v>
      </c>
      <c r="D560" t="inlineStr">
        <is>
          <t>GOTLANDS LÄN</t>
        </is>
      </c>
      <c r="E560" t="inlineStr">
        <is>
          <t>GOTLAND</t>
        </is>
      </c>
      <c r="G560" t="n">
        <v>2.5</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46076</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46076</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10655-2023</t>
        </is>
      </c>
      <c r="B563" s="1" t="n">
        <v>44988.49543981482</v>
      </c>
      <c r="C563" s="1" t="n">
        <v>46076</v>
      </c>
      <c r="D563" t="inlineStr">
        <is>
          <t>GOTLANDS LÄN</t>
        </is>
      </c>
      <c r="E563" t="inlineStr">
        <is>
          <t>GOTLAND</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44649-2021</t>
        </is>
      </c>
      <c r="B564" s="1" t="n">
        <v>44437</v>
      </c>
      <c r="C564" s="1" t="n">
        <v>46076</v>
      </c>
      <c r="D564" t="inlineStr">
        <is>
          <t>GOTLANDS LÄN</t>
        </is>
      </c>
      <c r="E564" t="inlineStr">
        <is>
          <t>GOTLAND</t>
        </is>
      </c>
      <c r="G564" t="n">
        <v>8.1</v>
      </c>
      <c r="H564" t="n">
        <v>0</v>
      </c>
      <c r="I564" t="n">
        <v>0</v>
      </c>
      <c r="J564" t="n">
        <v>0</v>
      </c>
      <c r="K564" t="n">
        <v>0</v>
      </c>
      <c r="L564" t="n">
        <v>0</v>
      </c>
      <c r="M564" t="n">
        <v>0</v>
      </c>
      <c r="N564" t="n">
        <v>0</v>
      </c>
      <c r="O564" t="n">
        <v>0</v>
      </c>
      <c r="P564" t="n">
        <v>0</v>
      </c>
      <c r="Q564" t="n">
        <v>0</v>
      </c>
      <c r="R564" s="2" t="inlineStr"/>
    </row>
    <row r="565" ht="15" customHeight="1">
      <c r="A565" t="inlineStr">
        <is>
          <t>A 8484-2025</t>
        </is>
      </c>
      <c r="B565" s="1" t="n">
        <v>45709</v>
      </c>
      <c r="C565" s="1" t="n">
        <v>46076</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49962-2023</t>
        </is>
      </c>
      <c r="B566" s="1" t="n">
        <v>45215.38775462963</v>
      </c>
      <c r="C566" s="1" t="n">
        <v>46076</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50744-2024</t>
        </is>
      </c>
      <c r="B567" s="1" t="n">
        <v>45602.4187037037</v>
      </c>
      <c r="C567" s="1" t="n">
        <v>46076</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45244-2024</t>
        </is>
      </c>
      <c r="B568" s="1" t="n">
        <v>45576</v>
      </c>
      <c r="C568" s="1" t="n">
        <v>46076</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38787-2023</t>
        </is>
      </c>
      <c r="B569" s="1" t="n">
        <v>45163</v>
      </c>
      <c r="C569" s="1" t="n">
        <v>46076</v>
      </c>
      <c r="D569" t="inlineStr">
        <is>
          <t>GOTLANDS LÄN</t>
        </is>
      </c>
      <c r="E569" t="inlineStr">
        <is>
          <t>GOTLAND</t>
        </is>
      </c>
      <c r="G569" t="n">
        <v>0.4</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44944.54896990741</v>
      </c>
      <c r="C570" s="1" t="n">
        <v>46076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22897-2023</t>
        </is>
      </c>
      <c r="B571" s="1" t="n">
        <v>45072.55239583334</v>
      </c>
      <c r="C571" s="1" t="n">
        <v>46076</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4568-2025</t>
        </is>
      </c>
      <c r="B572" s="1" t="n">
        <v>45687</v>
      </c>
      <c r="C572" s="1" t="n">
        <v>46076</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1681-2023</t>
        </is>
      </c>
      <c r="B573" s="1" t="n">
        <v>44938.39715277778</v>
      </c>
      <c r="C573" s="1" t="n">
        <v>46076</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42338-2023</t>
        </is>
      </c>
      <c r="B574" s="1" t="n">
        <v>45180</v>
      </c>
      <c r="C574" s="1" t="n">
        <v>46076</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18918-2025</t>
        </is>
      </c>
      <c r="B575" s="1" t="n">
        <v>45764</v>
      </c>
      <c r="C575" s="1" t="n">
        <v>46076</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11013-2024</t>
        </is>
      </c>
      <c r="B576" s="1" t="n">
        <v>45370</v>
      </c>
      <c r="C576" s="1" t="n">
        <v>46076</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45084-2024</t>
        </is>
      </c>
      <c r="B577" s="1" t="n">
        <v>45575</v>
      </c>
      <c r="C577" s="1" t="n">
        <v>46076</v>
      </c>
      <c r="D577" t="inlineStr">
        <is>
          <t>GOTLANDS LÄN</t>
        </is>
      </c>
      <c r="E577" t="inlineStr">
        <is>
          <t>GOTLAND</t>
        </is>
      </c>
      <c r="G577" t="n">
        <v>6.8</v>
      </c>
      <c r="H577" t="n">
        <v>0</v>
      </c>
      <c r="I577" t="n">
        <v>0</v>
      </c>
      <c r="J577" t="n">
        <v>0</v>
      </c>
      <c r="K577" t="n">
        <v>0</v>
      </c>
      <c r="L577" t="n">
        <v>0</v>
      </c>
      <c r="M577" t="n">
        <v>0</v>
      </c>
      <c r="N577" t="n">
        <v>0</v>
      </c>
      <c r="O577" t="n">
        <v>0</v>
      </c>
      <c r="P577" t="n">
        <v>0</v>
      </c>
      <c r="Q577" t="n">
        <v>0</v>
      </c>
      <c r="R577" s="2" t="inlineStr"/>
    </row>
    <row r="578" ht="15" customHeight="1">
      <c r="A578" t="inlineStr">
        <is>
          <t>A 20356-2022</t>
        </is>
      </c>
      <c r="B578" s="1" t="n">
        <v>44699</v>
      </c>
      <c r="C578" s="1" t="n">
        <v>46076</v>
      </c>
      <c r="D578" t="inlineStr">
        <is>
          <t>GOTLANDS LÄN</t>
        </is>
      </c>
      <c r="E578" t="inlineStr">
        <is>
          <t>GOTLAND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4868-2024</t>
        </is>
      </c>
      <c r="B579" s="1" t="n">
        <v>45329</v>
      </c>
      <c r="C579" s="1" t="n">
        <v>46076</v>
      </c>
      <c r="D579" t="inlineStr">
        <is>
          <t>GOTLANDS LÄN</t>
        </is>
      </c>
      <c r="E579" t="inlineStr">
        <is>
          <t>GOTLAND</t>
        </is>
      </c>
      <c r="G579" t="n">
        <v>7.1</v>
      </c>
      <c r="H579" t="n">
        <v>0</v>
      </c>
      <c r="I579" t="n">
        <v>0</v>
      </c>
      <c r="J579" t="n">
        <v>0</v>
      </c>
      <c r="K579" t="n">
        <v>0</v>
      </c>
      <c r="L579" t="n">
        <v>0</v>
      </c>
      <c r="M579" t="n">
        <v>0</v>
      </c>
      <c r="N579" t="n">
        <v>0</v>
      </c>
      <c r="O579" t="n">
        <v>0</v>
      </c>
      <c r="P579" t="n">
        <v>0</v>
      </c>
      <c r="Q579" t="n">
        <v>0</v>
      </c>
      <c r="R579" s="2" t="inlineStr"/>
    </row>
    <row r="580" ht="15" customHeight="1">
      <c r="A580" t="inlineStr">
        <is>
          <t>A 9613-2025</t>
        </is>
      </c>
      <c r="B580" s="1" t="n">
        <v>45715</v>
      </c>
      <c r="C580" s="1" t="n">
        <v>46076</v>
      </c>
      <c r="D580" t="inlineStr">
        <is>
          <t>GOTLANDS LÄN</t>
        </is>
      </c>
      <c r="E580" t="inlineStr">
        <is>
          <t>GOTLAND</t>
        </is>
      </c>
      <c r="G580" t="n">
        <v>3.5</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46076</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58211-2024</t>
        </is>
      </c>
      <c r="B582" s="1" t="n">
        <v>45632.49292824074</v>
      </c>
      <c r="C582" s="1" t="n">
        <v>46076</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11634-2024</t>
        </is>
      </c>
      <c r="B583" s="1" t="n">
        <v>45373</v>
      </c>
      <c r="C583" s="1" t="n">
        <v>46076</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46076</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46076</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46076</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46076</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46076</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25866-2022</t>
        </is>
      </c>
      <c r="B589" s="1" t="n">
        <v>44733</v>
      </c>
      <c r="C589" s="1" t="n">
        <v>46076</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9887-2025</t>
        </is>
      </c>
      <c r="B590" s="1" t="n">
        <v>45716</v>
      </c>
      <c r="C590" s="1" t="n">
        <v>46076</v>
      </c>
      <c r="D590" t="inlineStr">
        <is>
          <t>GOTLANDS LÄN</t>
        </is>
      </c>
      <c r="E590" t="inlineStr">
        <is>
          <t>GOTLAND</t>
        </is>
      </c>
      <c r="G590" t="n">
        <v>7.5</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46076</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46076</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59986-2022</t>
        </is>
      </c>
      <c r="B593" s="1" t="n">
        <v>44909</v>
      </c>
      <c r="C593" s="1" t="n">
        <v>46076</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31802-2024</t>
        </is>
      </c>
      <c r="B594" s="1" t="n">
        <v>45509</v>
      </c>
      <c r="C594" s="1" t="n">
        <v>46076</v>
      </c>
      <c r="D594" t="inlineStr">
        <is>
          <t>GOTLANDS LÄN</t>
        </is>
      </c>
      <c r="E594" t="inlineStr">
        <is>
          <t>GOTLAND</t>
        </is>
      </c>
      <c r="G594" t="n">
        <v>2.8</v>
      </c>
      <c r="H594" t="n">
        <v>0</v>
      </c>
      <c r="I594" t="n">
        <v>0</v>
      </c>
      <c r="J594" t="n">
        <v>0</v>
      </c>
      <c r="K594" t="n">
        <v>0</v>
      </c>
      <c r="L594" t="n">
        <v>0</v>
      </c>
      <c r="M594" t="n">
        <v>0</v>
      </c>
      <c r="N594" t="n">
        <v>0</v>
      </c>
      <c r="O594" t="n">
        <v>0</v>
      </c>
      <c r="P594" t="n">
        <v>0</v>
      </c>
      <c r="Q594" t="n">
        <v>0</v>
      </c>
      <c r="R594" s="2" t="inlineStr"/>
    </row>
    <row r="595" ht="15" customHeight="1">
      <c r="A595" t="inlineStr">
        <is>
          <t>A 20993-2023</t>
        </is>
      </c>
      <c r="B595" s="1" t="n">
        <v>45056</v>
      </c>
      <c r="C595" s="1" t="n">
        <v>46076</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15042-2025</t>
        </is>
      </c>
      <c r="B596" s="1" t="n">
        <v>45743</v>
      </c>
      <c r="C596" s="1" t="n">
        <v>46076</v>
      </c>
      <c r="D596" t="inlineStr">
        <is>
          <t>GOTLANDS LÄN</t>
        </is>
      </c>
      <c r="E596" t="inlineStr">
        <is>
          <t>GOTLAND</t>
        </is>
      </c>
      <c r="G596" t="n">
        <v>8.5</v>
      </c>
      <c r="H596" t="n">
        <v>0</v>
      </c>
      <c r="I596" t="n">
        <v>0</v>
      </c>
      <c r="J596" t="n">
        <v>0</v>
      </c>
      <c r="K596" t="n">
        <v>0</v>
      </c>
      <c r="L596" t="n">
        <v>0</v>
      </c>
      <c r="M596" t="n">
        <v>0</v>
      </c>
      <c r="N596" t="n">
        <v>0</v>
      </c>
      <c r="O596" t="n">
        <v>0</v>
      </c>
      <c r="P596" t="n">
        <v>0</v>
      </c>
      <c r="Q596" t="n">
        <v>0</v>
      </c>
      <c r="R596" s="2" t="inlineStr"/>
    </row>
    <row r="597" ht="15" customHeight="1">
      <c r="A597" t="inlineStr">
        <is>
          <t>A 12327-2025</t>
        </is>
      </c>
      <c r="B597" s="1" t="n">
        <v>45730</v>
      </c>
      <c r="C597" s="1" t="n">
        <v>46076</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46076</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14427-2024</t>
        </is>
      </c>
      <c r="B599" s="1" t="n">
        <v>45394</v>
      </c>
      <c r="C599" s="1" t="n">
        <v>46076</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49257-2024</t>
        </is>
      </c>
      <c r="B600" s="1" t="n">
        <v>45595.47627314815</v>
      </c>
      <c r="C600" s="1" t="n">
        <v>46076</v>
      </c>
      <c r="D600" t="inlineStr">
        <is>
          <t>GOTLANDS LÄN</t>
        </is>
      </c>
      <c r="E600" t="inlineStr">
        <is>
          <t>GOTLAND</t>
        </is>
      </c>
      <c r="G600" t="n">
        <v>6.3</v>
      </c>
      <c r="H600" t="n">
        <v>0</v>
      </c>
      <c r="I600" t="n">
        <v>0</v>
      </c>
      <c r="J600" t="n">
        <v>0</v>
      </c>
      <c r="K600" t="n">
        <v>0</v>
      </c>
      <c r="L600" t="n">
        <v>0</v>
      </c>
      <c r="M600" t="n">
        <v>0</v>
      </c>
      <c r="N600" t="n">
        <v>0</v>
      </c>
      <c r="O600" t="n">
        <v>0</v>
      </c>
      <c r="P600" t="n">
        <v>0</v>
      </c>
      <c r="Q600" t="n">
        <v>0</v>
      </c>
      <c r="R600" s="2" t="inlineStr"/>
    </row>
    <row r="601" ht="15" customHeight="1">
      <c r="A601" t="inlineStr">
        <is>
          <t>A 49315-2024</t>
        </is>
      </c>
      <c r="B601" s="1" t="n">
        <v>45595</v>
      </c>
      <c r="C601" s="1" t="n">
        <v>46076</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27596-2023</t>
        </is>
      </c>
      <c r="B602" s="1" t="n">
        <v>45097</v>
      </c>
      <c r="C602" s="1" t="n">
        <v>46076</v>
      </c>
      <c r="D602" t="inlineStr">
        <is>
          <t>GOTLANDS LÄN</t>
        </is>
      </c>
      <c r="E602" t="inlineStr">
        <is>
          <t>GOTLAND</t>
        </is>
      </c>
      <c r="G602" t="n">
        <v>3.6</v>
      </c>
      <c r="H602" t="n">
        <v>0</v>
      </c>
      <c r="I602" t="n">
        <v>0</v>
      </c>
      <c r="J602" t="n">
        <v>0</v>
      </c>
      <c r="K602" t="n">
        <v>0</v>
      </c>
      <c r="L602" t="n">
        <v>0</v>
      </c>
      <c r="M602" t="n">
        <v>0</v>
      </c>
      <c r="N602" t="n">
        <v>0</v>
      </c>
      <c r="O602" t="n">
        <v>0</v>
      </c>
      <c r="P602" t="n">
        <v>0</v>
      </c>
      <c r="Q602" t="n">
        <v>0</v>
      </c>
      <c r="R602" s="2" t="inlineStr"/>
    </row>
    <row r="603" ht="15" customHeight="1">
      <c r="A603" t="inlineStr">
        <is>
          <t>A 56115-2023</t>
        </is>
      </c>
      <c r="B603" s="1" t="n">
        <v>45236</v>
      </c>
      <c r="C603" s="1" t="n">
        <v>46076</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64969-2023</t>
        </is>
      </c>
      <c r="B604" s="1" t="n">
        <v>45284.54009259259</v>
      </c>
      <c r="C604" s="1" t="n">
        <v>46076</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33853-2024</t>
        </is>
      </c>
      <c r="B605" s="1" t="n">
        <v>45520.64298611111</v>
      </c>
      <c r="C605" s="1" t="n">
        <v>46076</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46076</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46949-2024</t>
        </is>
      </c>
      <c r="B607" s="1" t="n">
        <v>45585</v>
      </c>
      <c r="C607" s="1" t="n">
        <v>46076</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24001-2021</t>
        </is>
      </c>
      <c r="B608" s="1" t="n">
        <v>44335</v>
      </c>
      <c r="C608" s="1" t="n">
        <v>46076</v>
      </c>
      <c r="D608" t="inlineStr">
        <is>
          <t>GOTLANDS LÄN</t>
        </is>
      </c>
      <c r="E608" t="inlineStr">
        <is>
          <t>GOTLAND</t>
        </is>
      </c>
      <c r="G608" t="n">
        <v>3.4</v>
      </c>
      <c r="H608" t="n">
        <v>0</v>
      </c>
      <c r="I608" t="n">
        <v>0</v>
      </c>
      <c r="J608" t="n">
        <v>0</v>
      </c>
      <c r="K608" t="n">
        <v>0</v>
      </c>
      <c r="L608" t="n">
        <v>0</v>
      </c>
      <c r="M608" t="n">
        <v>0</v>
      </c>
      <c r="N608" t="n">
        <v>0</v>
      </c>
      <c r="O608" t="n">
        <v>0</v>
      </c>
      <c r="P608" t="n">
        <v>0</v>
      </c>
      <c r="Q608" t="n">
        <v>0</v>
      </c>
      <c r="R608" s="2" t="inlineStr"/>
    </row>
    <row r="609" ht="15" customHeight="1">
      <c r="A609" t="inlineStr">
        <is>
          <t>A 39479-2022</t>
        </is>
      </c>
      <c r="B609" s="1" t="n">
        <v>44818</v>
      </c>
      <c r="C609" s="1" t="n">
        <v>46076</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39496-2022</t>
        </is>
      </c>
      <c r="B610" s="1" t="n">
        <v>44818</v>
      </c>
      <c r="C610" s="1" t="n">
        <v>46076</v>
      </c>
      <c r="D610" t="inlineStr">
        <is>
          <t>GOTLANDS LÄN</t>
        </is>
      </c>
      <c r="E610" t="inlineStr">
        <is>
          <t>GOTLAND</t>
        </is>
      </c>
      <c r="G610" t="n">
        <v>2.4</v>
      </c>
      <c r="H610" t="n">
        <v>0</v>
      </c>
      <c r="I610" t="n">
        <v>0</v>
      </c>
      <c r="J610" t="n">
        <v>0</v>
      </c>
      <c r="K610" t="n">
        <v>0</v>
      </c>
      <c r="L610" t="n">
        <v>0</v>
      </c>
      <c r="M610" t="n">
        <v>0</v>
      </c>
      <c r="N610" t="n">
        <v>0</v>
      </c>
      <c r="O610" t="n">
        <v>0</v>
      </c>
      <c r="P610" t="n">
        <v>0</v>
      </c>
      <c r="Q610" t="n">
        <v>0</v>
      </c>
      <c r="R610" s="2" t="inlineStr"/>
    </row>
    <row r="611" ht="15" customHeight="1">
      <c r="A611" t="inlineStr">
        <is>
          <t>A 46389-2021</t>
        </is>
      </c>
      <c r="B611" s="1" t="n">
        <v>44443</v>
      </c>
      <c r="C611" s="1" t="n">
        <v>46076</v>
      </c>
      <c r="D611" t="inlineStr">
        <is>
          <t>GOTLANDS LÄN</t>
        </is>
      </c>
      <c r="E611" t="inlineStr">
        <is>
          <t>GOTLAND</t>
        </is>
      </c>
      <c r="F611" t="inlineStr">
        <is>
          <t>Kyrkan</t>
        </is>
      </c>
      <c r="G611" t="n">
        <v>2.1</v>
      </c>
      <c r="H611" t="n">
        <v>0</v>
      </c>
      <c r="I611" t="n">
        <v>0</v>
      </c>
      <c r="J611" t="n">
        <v>0</v>
      </c>
      <c r="K611" t="n">
        <v>0</v>
      </c>
      <c r="L611" t="n">
        <v>0</v>
      </c>
      <c r="M611" t="n">
        <v>0</v>
      </c>
      <c r="N611" t="n">
        <v>0</v>
      </c>
      <c r="O611" t="n">
        <v>0</v>
      </c>
      <c r="P611" t="n">
        <v>0</v>
      </c>
      <c r="Q611" t="n">
        <v>0</v>
      </c>
      <c r="R611" s="2" t="inlineStr"/>
    </row>
    <row r="612" ht="15" customHeight="1">
      <c r="A612" t="inlineStr">
        <is>
          <t>A 44949-2023</t>
        </is>
      </c>
      <c r="B612" s="1" t="n">
        <v>45190.69520833333</v>
      </c>
      <c r="C612" s="1" t="n">
        <v>46076</v>
      </c>
      <c r="D612" t="inlineStr">
        <is>
          <t>GOTLANDS LÄN</t>
        </is>
      </c>
      <c r="E612" t="inlineStr">
        <is>
          <t>GOTLAND</t>
        </is>
      </c>
      <c r="G612" t="n">
        <v>1.4</v>
      </c>
      <c r="H612" t="n">
        <v>0</v>
      </c>
      <c r="I612" t="n">
        <v>0</v>
      </c>
      <c r="J612" t="n">
        <v>0</v>
      </c>
      <c r="K612" t="n">
        <v>0</v>
      </c>
      <c r="L612" t="n">
        <v>0</v>
      </c>
      <c r="M612" t="n">
        <v>0</v>
      </c>
      <c r="N612" t="n">
        <v>0</v>
      </c>
      <c r="O612" t="n">
        <v>0</v>
      </c>
      <c r="P612" t="n">
        <v>0</v>
      </c>
      <c r="Q612" t="n">
        <v>0</v>
      </c>
      <c r="R612" s="2" t="inlineStr"/>
    </row>
    <row r="613" ht="15" customHeight="1">
      <c r="A613" t="inlineStr">
        <is>
          <t>A 17682-2024</t>
        </is>
      </c>
      <c r="B613" s="1" t="n">
        <v>45418.42966435185</v>
      </c>
      <c r="C613" s="1" t="n">
        <v>46076</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61897-2024</t>
        </is>
      </c>
      <c r="B614" s="1" t="n">
        <v>45652.75685185185</v>
      </c>
      <c r="C614" s="1" t="n">
        <v>46076</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12032-2025</t>
        </is>
      </c>
      <c r="B615" s="1" t="n">
        <v>45728.64472222222</v>
      </c>
      <c r="C615" s="1" t="n">
        <v>46076</v>
      </c>
      <c r="D615" t="inlineStr">
        <is>
          <t>GOTLANDS LÄN</t>
        </is>
      </c>
      <c r="E615" t="inlineStr">
        <is>
          <t>GOTLAND</t>
        </is>
      </c>
      <c r="G615" t="n">
        <v>1.4</v>
      </c>
      <c r="H615" t="n">
        <v>0</v>
      </c>
      <c r="I615" t="n">
        <v>0</v>
      </c>
      <c r="J615" t="n">
        <v>0</v>
      </c>
      <c r="K615" t="n">
        <v>0</v>
      </c>
      <c r="L615" t="n">
        <v>0</v>
      </c>
      <c r="M615" t="n">
        <v>0</v>
      </c>
      <c r="N615" t="n">
        <v>0</v>
      </c>
      <c r="O615" t="n">
        <v>0</v>
      </c>
      <c r="P615" t="n">
        <v>0</v>
      </c>
      <c r="Q615" t="n">
        <v>0</v>
      </c>
      <c r="R615" s="2" t="inlineStr"/>
    </row>
    <row r="616" ht="15" customHeight="1">
      <c r="A616" t="inlineStr">
        <is>
          <t>A 15595-2024</t>
        </is>
      </c>
      <c r="B616" s="1" t="n">
        <v>45401.81480324074</v>
      </c>
      <c r="C616" s="1" t="n">
        <v>46076</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21164-2024</t>
        </is>
      </c>
      <c r="B617" s="1" t="n">
        <v>45440</v>
      </c>
      <c r="C617" s="1" t="n">
        <v>46076</v>
      </c>
      <c r="D617" t="inlineStr">
        <is>
          <t>GOTLANDS LÄN</t>
        </is>
      </c>
      <c r="E617" t="inlineStr">
        <is>
          <t>GOTLAND</t>
        </is>
      </c>
      <c r="G617" t="n">
        <v>6.3</v>
      </c>
      <c r="H617" t="n">
        <v>0</v>
      </c>
      <c r="I617" t="n">
        <v>0</v>
      </c>
      <c r="J617" t="n">
        <v>0</v>
      </c>
      <c r="K617" t="n">
        <v>0</v>
      </c>
      <c r="L617" t="n">
        <v>0</v>
      </c>
      <c r="M617" t="n">
        <v>0</v>
      </c>
      <c r="N617" t="n">
        <v>0</v>
      </c>
      <c r="O617" t="n">
        <v>0</v>
      </c>
      <c r="P617" t="n">
        <v>0</v>
      </c>
      <c r="Q617" t="n">
        <v>0</v>
      </c>
      <c r="R617" s="2" t="inlineStr"/>
    </row>
    <row r="618" ht="15" customHeight="1">
      <c r="A618" t="inlineStr">
        <is>
          <t>A 17541-2024</t>
        </is>
      </c>
      <c r="B618" s="1" t="n">
        <v>45415</v>
      </c>
      <c r="C618" s="1" t="n">
        <v>46076</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883-2025</t>
        </is>
      </c>
      <c r="B619" s="1" t="n">
        <v>45665</v>
      </c>
      <c r="C619" s="1" t="n">
        <v>46076</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13910-2025</t>
        </is>
      </c>
      <c r="B620" s="1" t="n">
        <v>45737</v>
      </c>
      <c r="C620" s="1" t="n">
        <v>46076</v>
      </c>
      <c r="D620" t="inlineStr">
        <is>
          <t>GOTLANDS LÄN</t>
        </is>
      </c>
      <c r="E620" t="inlineStr">
        <is>
          <t>GOTLAND</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20794-2025</t>
        </is>
      </c>
      <c r="B621" s="1" t="n">
        <v>45776</v>
      </c>
      <c r="C621" s="1" t="n">
        <v>46076</v>
      </c>
      <c r="D621" t="inlineStr">
        <is>
          <t>GOTLANDS LÄN</t>
        </is>
      </c>
      <c r="E621" t="inlineStr">
        <is>
          <t>GOTLAND</t>
        </is>
      </c>
      <c r="G621" t="n">
        <v>6</v>
      </c>
      <c r="H621" t="n">
        <v>0</v>
      </c>
      <c r="I621" t="n">
        <v>0</v>
      </c>
      <c r="J621" t="n">
        <v>0</v>
      </c>
      <c r="K621" t="n">
        <v>0</v>
      </c>
      <c r="L621" t="n">
        <v>0</v>
      </c>
      <c r="M621" t="n">
        <v>0</v>
      </c>
      <c r="N621" t="n">
        <v>0</v>
      </c>
      <c r="O621" t="n">
        <v>0</v>
      </c>
      <c r="P621" t="n">
        <v>0</v>
      </c>
      <c r="Q621" t="n">
        <v>0</v>
      </c>
      <c r="R621" s="2" t="inlineStr"/>
    </row>
    <row r="622" ht="15" customHeight="1">
      <c r="A622" t="inlineStr">
        <is>
          <t>A 20805-2025</t>
        </is>
      </c>
      <c r="B622" s="1" t="n">
        <v>45776</v>
      </c>
      <c r="C622" s="1" t="n">
        <v>46076</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21389-2025</t>
        </is>
      </c>
      <c r="B623" s="1" t="n">
        <v>45782</v>
      </c>
      <c r="C623" s="1" t="n">
        <v>46076</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21651-2025</t>
        </is>
      </c>
      <c r="B624" s="1" t="n">
        <v>45783</v>
      </c>
      <c r="C624" s="1" t="n">
        <v>46076</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21420-2024</t>
        </is>
      </c>
      <c r="B625" s="1" t="n">
        <v>45441.38293981482</v>
      </c>
      <c r="C625" s="1" t="n">
        <v>46076</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10656-2024</t>
        </is>
      </c>
      <c r="B626" s="1" t="n">
        <v>45368</v>
      </c>
      <c r="C626" s="1" t="n">
        <v>46076</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57356-2023</t>
        </is>
      </c>
      <c r="B627" s="1" t="n">
        <v>45240</v>
      </c>
      <c r="C627" s="1" t="n">
        <v>46076</v>
      </c>
      <c r="D627" t="inlineStr">
        <is>
          <t>GOTLANDS LÄN</t>
        </is>
      </c>
      <c r="E627" t="inlineStr">
        <is>
          <t>GOTLAND</t>
        </is>
      </c>
      <c r="G627" t="n">
        <v>6.4</v>
      </c>
      <c r="H627" t="n">
        <v>0</v>
      </c>
      <c r="I627" t="n">
        <v>0</v>
      </c>
      <c r="J627" t="n">
        <v>0</v>
      </c>
      <c r="K627" t="n">
        <v>0</v>
      </c>
      <c r="L627" t="n">
        <v>0</v>
      </c>
      <c r="M627" t="n">
        <v>0</v>
      </c>
      <c r="N627" t="n">
        <v>0</v>
      </c>
      <c r="O627" t="n">
        <v>0</v>
      </c>
      <c r="P627" t="n">
        <v>0</v>
      </c>
      <c r="Q627" t="n">
        <v>0</v>
      </c>
      <c r="R627" s="2" t="inlineStr"/>
    </row>
    <row r="628" ht="15" customHeight="1">
      <c r="A628" t="inlineStr">
        <is>
          <t>A 28506-2023</t>
        </is>
      </c>
      <c r="B628" s="1" t="n">
        <v>45103</v>
      </c>
      <c r="C628" s="1" t="n">
        <v>46076</v>
      </c>
      <c r="D628" t="inlineStr">
        <is>
          <t>GOTLANDS LÄN</t>
        </is>
      </c>
      <c r="E628" t="inlineStr">
        <is>
          <t>GOTLAND</t>
        </is>
      </c>
      <c r="G628" t="n">
        <v>3.2</v>
      </c>
      <c r="H628" t="n">
        <v>0</v>
      </c>
      <c r="I628" t="n">
        <v>0</v>
      </c>
      <c r="J628" t="n">
        <v>0</v>
      </c>
      <c r="K628" t="n">
        <v>0</v>
      </c>
      <c r="L628" t="n">
        <v>0</v>
      </c>
      <c r="M628" t="n">
        <v>0</v>
      </c>
      <c r="N628" t="n">
        <v>0</v>
      </c>
      <c r="O628" t="n">
        <v>0</v>
      </c>
      <c r="P628" t="n">
        <v>0</v>
      </c>
      <c r="Q628" t="n">
        <v>0</v>
      </c>
      <c r="R628" s="2" t="inlineStr"/>
    </row>
    <row r="629" ht="15" customHeight="1">
      <c r="A629" t="inlineStr">
        <is>
          <t>A 23188-2025</t>
        </is>
      </c>
      <c r="B629" s="1" t="n">
        <v>45791</v>
      </c>
      <c r="C629" s="1" t="n">
        <v>46076</v>
      </c>
      <c r="D629" t="inlineStr">
        <is>
          <t>GOTLANDS LÄN</t>
        </is>
      </c>
      <c r="E629" t="inlineStr">
        <is>
          <t>GOTLAND</t>
        </is>
      </c>
      <c r="G629" t="n">
        <v>6.2</v>
      </c>
      <c r="H629" t="n">
        <v>0</v>
      </c>
      <c r="I629" t="n">
        <v>0</v>
      </c>
      <c r="J629" t="n">
        <v>0</v>
      </c>
      <c r="K629" t="n">
        <v>0</v>
      </c>
      <c r="L629" t="n">
        <v>0</v>
      </c>
      <c r="M629" t="n">
        <v>0</v>
      </c>
      <c r="N629" t="n">
        <v>0</v>
      </c>
      <c r="O629" t="n">
        <v>0</v>
      </c>
      <c r="P629" t="n">
        <v>0</v>
      </c>
      <c r="Q629" t="n">
        <v>0</v>
      </c>
      <c r="R629" s="2" t="inlineStr"/>
    </row>
    <row r="630" ht="15" customHeight="1">
      <c r="A630" t="inlineStr">
        <is>
          <t>A 23856-2025</t>
        </is>
      </c>
      <c r="B630" s="1" t="n">
        <v>45793</v>
      </c>
      <c r="C630" s="1" t="n">
        <v>46076</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23473-2025</t>
        </is>
      </c>
      <c r="B631" s="1" t="n">
        <v>45792</v>
      </c>
      <c r="C631" s="1" t="n">
        <v>46076</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23698-2025</t>
        </is>
      </c>
      <c r="B632" s="1" t="n">
        <v>45793</v>
      </c>
      <c r="C632" s="1" t="n">
        <v>46076</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15073-2025</t>
        </is>
      </c>
      <c r="B633" s="1" t="n">
        <v>45743</v>
      </c>
      <c r="C633" s="1" t="n">
        <v>46076</v>
      </c>
      <c r="D633" t="inlineStr">
        <is>
          <t>GOTLANDS LÄN</t>
        </is>
      </c>
      <c r="E633" t="inlineStr">
        <is>
          <t>GOTLAND</t>
        </is>
      </c>
      <c r="G633" t="n">
        <v>12.1</v>
      </c>
      <c r="H633" t="n">
        <v>0</v>
      </c>
      <c r="I633" t="n">
        <v>0</v>
      </c>
      <c r="J633" t="n">
        <v>0</v>
      </c>
      <c r="K633" t="n">
        <v>0</v>
      </c>
      <c r="L633" t="n">
        <v>0</v>
      </c>
      <c r="M633" t="n">
        <v>0</v>
      </c>
      <c r="N633" t="n">
        <v>0</v>
      </c>
      <c r="O633" t="n">
        <v>0</v>
      </c>
      <c r="P633" t="n">
        <v>0</v>
      </c>
      <c r="Q633" t="n">
        <v>0</v>
      </c>
      <c r="R633" s="2" t="inlineStr"/>
    </row>
    <row r="634" ht="15" customHeight="1">
      <c r="A634" t="inlineStr">
        <is>
          <t>A 6749-2025</t>
        </is>
      </c>
      <c r="B634" s="1" t="n">
        <v>45700</v>
      </c>
      <c r="C634" s="1" t="n">
        <v>46076</v>
      </c>
      <c r="D634" t="inlineStr">
        <is>
          <t>GOTLANDS LÄN</t>
        </is>
      </c>
      <c r="E634" t="inlineStr">
        <is>
          <t>GOTLAND</t>
        </is>
      </c>
      <c r="G634" t="n">
        <v>4.5</v>
      </c>
      <c r="H634" t="n">
        <v>0</v>
      </c>
      <c r="I634" t="n">
        <v>0</v>
      </c>
      <c r="J634" t="n">
        <v>0</v>
      </c>
      <c r="K634" t="n">
        <v>0</v>
      </c>
      <c r="L634" t="n">
        <v>0</v>
      </c>
      <c r="M634" t="n">
        <v>0</v>
      </c>
      <c r="N634" t="n">
        <v>0</v>
      </c>
      <c r="O634" t="n">
        <v>0</v>
      </c>
      <c r="P634" t="n">
        <v>0</v>
      </c>
      <c r="Q634" t="n">
        <v>0</v>
      </c>
      <c r="R634" s="2" t="inlineStr"/>
    </row>
    <row r="635" ht="15" customHeight="1">
      <c r="A635" t="inlineStr">
        <is>
          <t>A 5462-2025</t>
        </is>
      </c>
      <c r="B635" s="1" t="n">
        <v>45693.29331018519</v>
      </c>
      <c r="C635" s="1" t="n">
        <v>46076</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25796-2025</t>
        </is>
      </c>
      <c r="B636" s="1" t="n">
        <v>45804.39543981481</v>
      </c>
      <c r="C636" s="1" t="n">
        <v>46076</v>
      </c>
      <c r="D636" t="inlineStr">
        <is>
          <t>GOTLANDS LÄN</t>
        </is>
      </c>
      <c r="E636" t="inlineStr">
        <is>
          <t>GOTLAND</t>
        </is>
      </c>
      <c r="G636" t="n">
        <v>2</v>
      </c>
      <c r="H636" t="n">
        <v>0</v>
      </c>
      <c r="I636" t="n">
        <v>0</v>
      </c>
      <c r="J636" t="n">
        <v>0</v>
      </c>
      <c r="K636" t="n">
        <v>0</v>
      </c>
      <c r="L636" t="n">
        <v>0</v>
      </c>
      <c r="M636" t="n">
        <v>0</v>
      </c>
      <c r="N636" t="n">
        <v>0</v>
      </c>
      <c r="O636" t="n">
        <v>0</v>
      </c>
      <c r="P636" t="n">
        <v>0</v>
      </c>
      <c r="Q636" t="n">
        <v>0</v>
      </c>
      <c r="R636" s="2" t="inlineStr"/>
    </row>
    <row r="637" ht="15" customHeight="1">
      <c r="A637" t="inlineStr">
        <is>
          <t>A 26465-2025</t>
        </is>
      </c>
      <c r="B637" s="1" t="n">
        <v>45807.44377314814</v>
      </c>
      <c r="C637" s="1" t="n">
        <v>46076</v>
      </c>
      <c r="D637" t="inlineStr">
        <is>
          <t>GOTLANDS LÄN</t>
        </is>
      </c>
      <c r="E637" t="inlineStr">
        <is>
          <t>GOTLAND</t>
        </is>
      </c>
      <c r="G637" t="n">
        <v>4.5</v>
      </c>
      <c r="H637" t="n">
        <v>0</v>
      </c>
      <c r="I637" t="n">
        <v>0</v>
      </c>
      <c r="J637" t="n">
        <v>0</v>
      </c>
      <c r="K637" t="n">
        <v>0</v>
      </c>
      <c r="L637" t="n">
        <v>0</v>
      </c>
      <c r="M637" t="n">
        <v>0</v>
      </c>
      <c r="N637" t="n">
        <v>0</v>
      </c>
      <c r="O637" t="n">
        <v>0</v>
      </c>
      <c r="P637" t="n">
        <v>0</v>
      </c>
      <c r="Q637" t="n">
        <v>0</v>
      </c>
      <c r="R637" s="2" t="inlineStr"/>
    </row>
    <row r="638" ht="15" customHeight="1">
      <c r="A638" t="inlineStr">
        <is>
          <t>A 26457-2025</t>
        </is>
      </c>
      <c r="B638" s="1" t="n">
        <v>45807.42773148148</v>
      </c>
      <c r="C638" s="1" t="n">
        <v>46076</v>
      </c>
      <c r="D638" t="inlineStr">
        <is>
          <t>GOTLANDS LÄN</t>
        </is>
      </c>
      <c r="E638" t="inlineStr">
        <is>
          <t>GOTLAND</t>
        </is>
      </c>
      <c r="G638" t="n">
        <v>5.7</v>
      </c>
      <c r="H638" t="n">
        <v>0</v>
      </c>
      <c r="I638" t="n">
        <v>0</v>
      </c>
      <c r="J638" t="n">
        <v>0</v>
      </c>
      <c r="K638" t="n">
        <v>0</v>
      </c>
      <c r="L638" t="n">
        <v>0</v>
      </c>
      <c r="M638" t="n">
        <v>0</v>
      </c>
      <c r="N638" t="n">
        <v>0</v>
      </c>
      <c r="O638" t="n">
        <v>0</v>
      </c>
      <c r="P638" t="n">
        <v>0</v>
      </c>
      <c r="Q638" t="n">
        <v>0</v>
      </c>
      <c r="R638" s="2" t="inlineStr"/>
    </row>
    <row r="639" ht="15" customHeight="1">
      <c r="A639" t="inlineStr">
        <is>
          <t>A 26467-2025</t>
        </is>
      </c>
      <c r="B639" s="1" t="n">
        <v>45807.44640046296</v>
      </c>
      <c r="C639" s="1" t="n">
        <v>46076</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26660-2025</t>
        </is>
      </c>
      <c r="B640" s="1" t="n">
        <v>45810.39737268518</v>
      </c>
      <c r="C640" s="1" t="n">
        <v>46076</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27355-2025</t>
        </is>
      </c>
      <c r="B641" s="1" t="n">
        <v>45812</v>
      </c>
      <c r="C641" s="1" t="n">
        <v>46076</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27371-2025</t>
        </is>
      </c>
      <c r="B642" s="1" t="n">
        <v>45812</v>
      </c>
      <c r="C642" s="1" t="n">
        <v>46076</v>
      </c>
      <c r="D642" t="inlineStr">
        <is>
          <t>GOTLANDS LÄN</t>
        </is>
      </c>
      <c r="E642" t="inlineStr">
        <is>
          <t>GOTLAND</t>
        </is>
      </c>
      <c r="G642" t="n">
        <v>8</v>
      </c>
      <c r="H642" t="n">
        <v>0</v>
      </c>
      <c r="I642" t="n">
        <v>0</v>
      </c>
      <c r="J642" t="n">
        <v>0</v>
      </c>
      <c r="K642" t="n">
        <v>0</v>
      </c>
      <c r="L642" t="n">
        <v>0</v>
      </c>
      <c r="M642" t="n">
        <v>0</v>
      </c>
      <c r="N642" t="n">
        <v>0</v>
      </c>
      <c r="O642" t="n">
        <v>0</v>
      </c>
      <c r="P642" t="n">
        <v>0</v>
      </c>
      <c r="Q642" t="n">
        <v>0</v>
      </c>
      <c r="R642" s="2" t="inlineStr"/>
    </row>
    <row r="643">
      <c r="A643" t="inlineStr">
        <is>
          <t>A 7850-2025</t>
        </is>
      </c>
      <c r="B643" s="1" t="n">
        <v>45706</v>
      </c>
      <c r="C643" s="1" t="n">
        <v>46076</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2026-02-23T11:07:11Z</dcterms:created>
  <dcterms:modified xmlns:dcterms="http://purl.org/dc/terms/" xmlns:xsi="http://www.w3.org/2001/XMLSchema-instance" xsi:type="dcterms:W3CDTF">2026-02-23T11:07:11Z</dcterms:modified>
</cp:coreProperties>
</file>