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45994</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30236-2025</t>
        </is>
      </c>
      <c r="B13" s="1" t="n">
        <v>45827</v>
      </c>
      <c r="C13" s="1" t="n">
        <v>45994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15075-2025</t>
        </is>
      </c>
      <c r="B14" s="1" t="n">
        <v>45743</v>
      </c>
      <c r="C14" s="1" t="n">
        <v>45994</v>
      </c>
      <c r="D14" t="inlineStr">
        <is>
          <t>GOTLANDS LÄN</t>
        </is>
      </c>
      <c r="E14" t="inlineStr">
        <is>
          <t>GOTLAND</t>
        </is>
      </c>
      <c r="G14" t="n">
        <v>20.9</v>
      </c>
      <c r="H14" t="n">
        <v>4</v>
      </c>
      <c r="I14" t="n">
        <v>14</v>
      </c>
      <c r="J14" t="n">
        <v>4</v>
      </c>
      <c r="K14" t="n">
        <v>9</v>
      </c>
      <c r="L14" t="n">
        <v>0</v>
      </c>
      <c r="M14" t="n">
        <v>0</v>
      </c>
      <c r="N14" t="n">
        <v>0</v>
      </c>
      <c r="O14" t="n">
        <v>14</v>
      </c>
      <c r="P14" t="n">
        <v>9</v>
      </c>
      <c r="Q14" t="n">
        <v>30</v>
      </c>
      <c r="R14"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4">
        <f>HYPERLINK("https://klasma.github.io/Logging_0980/artfynd/A 15075-2025 artfynd.xlsx", "A 15075-2025")</f>
        <v/>
      </c>
      <c r="T14">
        <f>HYPERLINK("https://klasma.github.io/Logging_0980/kartor/A 15075-2025 karta.png", "A 15075-2025")</f>
        <v/>
      </c>
      <c r="V14">
        <f>HYPERLINK("https://klasma.github.io/Logging_0980/klagomål/A 15075-2025 FSC-klagomål.docx", "A 15075-2025")</f>
        <v/>
      </c>
      <c r="W14">
        <f>HYPERLINK("https://klasma.github.io/Logging_0980/klagomålsmail/A 15075-2025 FSC-klagomål mail.docx", "A 15075-2025")</f>
        <v/>
      </c>
      <c r="X14">
        <f>HYPERLINK("https://klasma.github.io/Logging_0980/tillsyn/A 15075-2025 tillsynsbegäran.docx", "A 15075-2025")</f>
        <v/>
      </c>
      <c r="Y14">
        <f>HYPERLINK("https://klasma.github.io/Logging_0980/tillsynsmail/A 15075-2025 tillsynsbegäran mail.docx", "A 15075-2025")</f>
        <v/>
      </c>
      <c r="Z14">
        <f>HYPERLINK("https://klasma.github.io/Logging_0980/fåglar/A 15075-2025 prioriterade fågelarter.docx", "A 15075-2025")</f>
        <v/>
      </c>
    </row>
    <row r="15" ht="15" customHeight="1">
      <c r="A15" t="inlineStr">
        <is>
          <t>A 42607-2025</t>
        </is>
      </c>
      <c r="B15" s="1" t="n">
        <v>45905</v>
      </c>
      <c r="C15" s="1" t="n">
        <v>45994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45994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45994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62551-2022</t>
        </is>
      </c>
      <c r="B22" s="1" t="n">
        <v>44924</v>
      </c>
      <c r="C22" s="1" t="n">
        <v>45994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45994</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45994</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45994</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45994</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45994</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45994</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45994</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45994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35141-2022</t>
        </is>
      </c>
      <c r="B36" s="1" t="n">
        <v>44797.53318287037</v>
      </c>
      <c r="C36" s="1" t="n">
        <v>45994</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44204-2022</t>
        </is>
      </c>
      <c r="B37" s="1" t="n">
        <v>44839</v>
      </c>
      <c r="C37" s="1" t="n">
        <v>45994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45994</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45994</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45994</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45994</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45994</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45994</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45994</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45994</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45994</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45994</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45994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45994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45994</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45994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45994</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45994</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45994</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34142-2024</t>
        </is>
      </c>
      <c r="B63" s="1" t="n">
        <v>45524.36521990741</v>
      </c>
      <c r="C63" s="1" t="n">
        <v>45994</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27168-2022</t>
        </is>
      </c>
      <c r="B64" s="1" t="n">
        <v>44741</v>
      </c>
      <c r="C64" s="1" t="n">
        <v>45994</v>
      </c>
      <c r="D64" t="inlineStr">
        <is>
          <t>GOTLANDS LÄN</t>
        </is>
      </c>
      <c r="E64" t="inlineStr">
        <is>
          <t>GOTLAND</t>
        </is>
      </c>
      <c r="G64" t="n">
        <v>2.2</v>
      </c>
      <c r="H64" t="n">
        <v>4</v>
      </c>
      <c r="I64" t="n">
        <v>2</v>
      </c>
      <c r="J64" t="n">
        <v>2</v>
      </c>
      <c r="K64" t="n">
        <v>1</v>
      </c>
      <c r="L64" t="n">
        <v>0</v>
      </c>
      <c r="M64" t="n">
        <v>0</v>
      </c>
      <c r="N64" t="n">
        <v>0</v>
      </c>
      <c r="O64" t="n">
        <v>3</v>
      </c>
      <c r="P64" t="n">
        <v>1</v>
      </c>
      <c r="Q64" t="n">
        <v>7</v>
      </c>
      <c r="R64" s="2" t="inlineStr">
        <is>
          <t>Gotlandsmåra
Solvända
Svinrot
Purpurknipprot
Vit skogslilja
Brudsporre
Kärrknipprot</t>
        </is>
      </c>
      <c r="S64">
        <f>HYPERLINK("https://klasma.github.io/Logging_0980/artfynd/A 27168-2022 artfynd.xlsx", "A 27168-2022")</f>
        <v/>
      </c>
      <c r="T64">
        <f>HYPERLINK("https://klasma.github.io/Logging_0980/kartor/A 27168-2022 karta.png", "A 27168-2022")</f>
        <v/>
      </c>
      <c r="V64">
        <f>HYPERLINK("https://klasma.github.io/Logging_0980/klagomål/A 27168-2022 FSC-klagomål.docx", "A 27168-2022")</f>
        <v/>
      </c>
      <c r="W64">
        <f>HYPERLINK("https://klasma.github.io/Logging_0980/klagomålsmail/A 27168-2022 FSC-klagomål mail.docx", "A 27168-2022")</f>
        <v/>
      </c>
      <c r="X64">
        <f>HYPERLINK("https://klasma.github.io/Logging_0980/tillsyn/A 27168-2022 tillsynsbegäran.docx", "A 27168-2022")</f>
        <v/>
      </c>
      <c r="Y64">
        <f>HYPERLINK("https://klasma.github.io/Logging_0980/tillsynsmail/A 27168-2022 tillsynsbegäran mail.docx", "A 27168-2022")</f>
        <v/>
      </c>
    </row>
    <row r="65" ht="15" customHeight="1">
      <c r="A65" t="inlineStr">
        <is>
          <t>A 18541-2024</t>
        </is>
      </c>
      <c r="B65" s="1" t="n">
        <v>45425</v>
      </c>
      <c r="C65" s="1" t="n">
        <v>45994</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44944-2022</t>
        </is>
      </c>
      <c r="B66" s="1" t="n">
        <v>44841</v>
      </c>
      <c r="C66" s="1" t="n">
        <v>45994</v>
      </c>
      <c r="D66" t="inlineStr">
        <is>
          <t>GOTLANDS LÄN</t>
        </is>
      </c>
      <c r="E66" t="inlineStr">
        <is>
          <t>GOTLAND</t>
        </is>
      </c>
      <c r="G66" t="n">
        <v>2.8</v>
      </c>
      <c r="H66" t="n">
        <v>0</v>
      </c>
      <c r="I66" t="n">
        <v>3</v>
      </c>
      <c r="J66" t="n">
        <v>4</v>
      </c>
      <c r="K66" t="n">
        <v>0</v>
      </c>
      <c r="L66" t="n">
        <v>0</v>
      </c>
      <c r="M66" t="n">
        <v>0</v>
      </c>
      <c r="N66" t="n">
        <v>0</v>
      </c>
      <c r="O66" t="n">
        <v>4</v>
      </c>
      <c r="P66" t="n">
        <v>0</v>
      </c>
      <c r="Q66" t="n">
        <v>7</v>
      </c>
      <c r="R66" s="2" t="inlineStr">
        <is>
          <t>Axveronika
Bredbrämad bastardsvärmare
Denisespindling
Odörspindling
Anisspindling
Fjällig taggsvamp s.str.
Rödgul trumpetsvamp</t>
        </is>
      </c>
      <c r="S66">
        <f>HYPERLINK("https://klasma.github.io/Logging_0980/artfynd/A 44944-2022 artfynd.xlsx", "A 44944-2022")</f>
        <v/>
      </c>
      <c r="T66">
        <f>HYPERLINK("https://klasma.github.io/Logging_0980/kartor/A 44944-2022 karta.png", "A 44944-2022")</f>
        <v/>
      </c>
      <c r="V66">
        <f>HYPERLINK("https://klasma.github.io/Logging_0980/klagomål/A 44944-2022 FSC-klagomål.docx", "A 44944-2022")</f>
        <v/>
      </c>
      <c r="W66">
        <f>HYPERLINK("https://klasma.github.io/Logging_0980/klagomålsmail/A 44944-2022 FSC-klagomål mail.docx", "A 44944-2022")</f>
        <v/>
      </c>
      <c r="X66">
        <f>HYPERLINK("https://klasma.github.io/Logging_0980/tillsyn/A 44944-2022 tillsynsbegäran.docx", "A 44944-2022")</f>
        <v/>
      </c>
      <c r="Y66">
        <f>HYPERLINK("https://klasma.github.io/Logging_0980/tillsynsmail/A 44944-2022 tillsynsbegäran mail.docx", "A 44944-2022")</f>
        <v/>
      </c>
    </row>
    <row r="67" ht="15" customHeight="1">
      <c r="A67" t="inlineStr">
        <is>
          <t>A 4984-2025</t>
        </is>
      </c>
      <c r="B67" s="1" t="n">
        <v>45691.29891203704</v>
      </c>
      <c r="C67" s="1" t="n">
        <v>45994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27280-2023</t>
        </is>
      </c>
      <c r="B68" s="1" t="n">
        <v>45096</v>
      </c>
      <c r="C68" s="1" t="n">
        <v>45994</v>
      </c>
      <c r="D68" t="inlineStr">
        <is>
          <t>GOTLANDS LÄN</t>
        </is>
      </c>
      <c r="E68" t="inlineStr">
        <is>
          <t>GOTLAND</t>
        </is>
      </c>
      <c r="G68" t="n">
        <v>2.7</v>
      </c>
      <c r="H68" t="n">
        <v>7</v>
      </c>
      <c r="I68" t="n">
        <v>2</v>
      </c>
      <c r="J68" t="n">
        <v>1</v>
      </c>
      <c r="K68" t="n">
        <v>0</v>
      </c>
      <c r="L68" t="n">
        <v>0</v>
      </c>
      <c r="M68" t="n">
        <v>0</v>
      </c>
      <c r="N68" t="n">
        <v>0</v>
      </c>
      <c r="O68" t="n">
        <v>1</v>
      </c>
      <c r="P68" t="n">
        <v>0</v>
      </c>
      <c r="Q68" t="n">
        <v>7</v>
      </c>
      <c r="R68" s="2" t="inlineStr">
        <is>
          <t>Mindre hackspett
Skogsknipprot
Tvåblad
Brudsporre
Fläcknycklar
Grönvit nattviol
Nattviol</t>
        </is>
      </c>
      <c r="S68">
        <f>HYPERLINK("https://klasma.github.io/Logging_0980/artfynd/A 27280-2023 artfynd.xlsx", "A 27280-2023")</f>
        <v/>
      </c>
      <c r="T68">
        <f>HYPERLINK("https://klasma.github.io/Logging_0980/kartor/A 27280-2023 karta.png", "A 27280-2023")</f>
        <v/>
      </c>
      <c r="V68">
        <f>HYPERLINK("https://klasma.github.io/Logging_0980/klagomål/A 27280-2023 FSC-klagomål.docx", "A 27280-2023")</f>
        <v/>
      </c>
      <c r="W68">
        <f>HYPERLINK("https://klasma.github.io/Logging_0980/klagomålsmail/A 27280-2023 FSC-klagomål mail.docx", "A 27280-2023")</f>
        <v/>
      </c>
      <c r="X68">
        <f>HYPERLINK("https://klasma.github.io/Logging_0980/tillsyn/A 27280-2023 tillsynsbegäran.docx", "A 27280-2023")</f>
        <v/>
      </c>
      <c r="Y68">
        <f>HYPERLINK("https://klasma.github.io/Logging_0980/tillsynsmail/A 27280-2023 tillsynsbegäran mail.docx", "A 27280-2023")</f>
        <v/>
      </c>
      <c r="Z68">
        <f>HYPERLINK("https://klasma.github.io/Logging_0980/fåglar/A 27280-2023 prioriterade fågelarter.docx", "A 27280-2023")</f>
        <v/>
      </c>
    </row>
    <row r="69" ht="15" customHeight="1">
      <c r="A69" t="inlineStr">
        <is>
          <t>A 56687-2025</t>
        </is>
      </c>
      <c r="B69" s="1" t="n">
        <v>45975.84065972222</v>
      </c>
      <c r="C69" s="1" t="n">
        <v>45994</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45994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45994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65819-2020</t>
        </is>
      </c>
      <c r="B72" s="1" t="n">
        <v>44174</v>
      </c>
      <c r="C72" s="1" t="n">
        <v>45994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54527-2023</t>
        </is>
      </c>
      <c r="B75" s="1" t="n">
        <v>45233</v>
      </c>
      <c r="C75" s="1" t="n">
        <v>45994</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16823-2024</t>
        </is>
      </c>
      <c r="B76" s="1" t="n">
        <v>45411</v>
      </c>
      <c r="C76" s="1" t="n">
        <v>45994</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57773-2025</t>
        </is>
      </c>
      <c r="B77" s="1" t="n">
        <v>45981.56349537037</v>
      </c>
      <c r="C77" s="1" t="n">
        <v>45994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446-2023</t>
        </is>
      </c>
      <c r="B78" s="1" t="n">
        <v>44929</v>
      </c>
      <c r="C78" s="1" t="n">
        <v>45994</v>
      </c>
      <c r="D78" t="inlineStr">
        <is>
          <t>GOTLANDS LÄN</t>
        </is>
      </c>
      <c r="E78" t="inlineStr">
        <is>
          <t>GOTLAND</t>
        </is>
      </c>
      <c r="G78" t="n">
        <v>7.1</v>
      </c>
      <c r="H78" t="n">
        <v>2</v>
      </c>
      <c r="I78" t="n">
        <v>3</v>
      </c>
      <c r="J78" t="n">
        <v>2</v>
      </c>
      <c r="K78" t="n">
        <v>1</v>
      </c>
      <c r="L78" t="n">
        <v>0</v>
      </c>
      <c r="M78" t="n">
        <v>0</v>
      </c>
      <c r="N78" t="n">
        <v>0</v>
      </c>
      <c r="O78" t="n">
        <v>3</v>
      </c>
      <c r="P78" t="n">
        <v>1</v>
      </c>
      <c r="Q78" t="n">
        <v>6</v>
      </c>
      <c r="R78" s="2" t="inlineStr">
        <is>
          <t>Svartgrön spindling
Spillkråka
Äggspindling
Kastanjefjällskivling
Skogsknipprot
Svavelriska</t>
        </is>
      </c>
      <c r="S78">
        <f>HYPERLINK("https://klasma.github.io/Logging_0980/artfynd/A 446-2023 artfynd.xlsx", "A 446-2023")</f>
        <v/>
      </c>
      <c r="T78">
        <f>HYPERLINK("https://klasma.github.io/Logging_0980/kartor/A 446-2023 karta.png", "A 446-2023")</f>
        <v/>
      </c>
      <c r="V78">
        <f>HYPERLINK("https://klasma.github.io/Logging_0980/klagomål/A 446-2023 FSC-klagomål.docx", "A 446-2023")</f>
        <v/>
      </c>
      <c r="W78">
        <f>HYPERLINK("https://klasma.github.io/Logging_0980/klagomålsmail/A 446-2023 FSC-klagomål mail.docx", "A 446-2023")</f>
        <v/>
      </c>
      <c r="X78">
        <f>HYPERLINK("https://klasma.github.io/Logging_0980/tillsyn/A 446-2023 tillsynsbegäran.docx", "A 446-2023")</f>
        <v/>
      </c>
      <c r="Y78">
        <f>HYPERLINK("https://klasma.github.io/Logging_0980/tillsynsmail/A 446-2023 tillsynsbegäran mail.docx", "A 446-2023")</f>
        <v/>
      </c>
      <c r="Z78">
        <f>HYPERLINK("https://klasma.github.io/Logging_0980/fåglar/A 446-2023 prioriterade fågelarter.docx", "A 446-2023")</f>
        <v/>
      </c>
    </row>
    <row r="79" ht="15" customHeight="1">
      <c r="A79" t="inlineStr">
        <is>
          <t>A 53584-2025</t>
        </is>
      </c>
      <c r="B79" s="1" t="n">
        <v>45960.43130787037</v>
      </c>
      <c r="C79" s="1" t="n">
        <v>45994</v>
      </c>
      <c r="D79" t="inlineStr">
        <is>
          <t>GOTLANDS LÄN</t>
        </is>
      </c>
      <c r="E79" t="inlineStr">
        <is>
          <t>GOTLAND</t>
        </is>
      </c>
      <c r="F79" t="inlineStr">
        <is>
          <t>Övriga Aktiebolag</t>
        </is>
      </c>
      <c r="G79" t="n">
        <v>18.1</v>
      </c>
      <c r="H79" t="n">
        <v>3</v>
      </c>
      <c r="I79" t="n">
        <v>0</v>
      </c>
      <c r="J79" t="n">
        <v>4</v>
      </c>
      <c r="K79" t="n">
        <v>0</v>
      </c>
      <c r="L79" t="n">
        <v>0</v>
      </c>
      <c r="M79" t="n">
        <v>0</v>
      </c>
      <c r="N79" t="n">
        <v>0</v>
      </c>
      <c r="O79" t="n">
        <v>4</v>
      </c>
      <c r="P79" t="n">
        <v>0</v>
      </c>
      <c r="Q79" t="n">
        <v>6</v>
      </c>
      <c r="R79" s="2" t="inlineStr">
        <is>
          <t>Apollofjäril
Jordtistel
Klasefibbla
Majviva
Gråkråka
Nattviol</t>
        </is>
      </c>
      <c r="S79">
        <f>HYPERLINK("https://klasma.github.io/Logging_0980/artfynd/A 53584-2025 artfynd.xlsx", "A 53584-2025")</f>
        <v/>
      </c>
      <c r="T79">
        <f>HYPERLINK("https://klasma.github.io/Logging_0980/kartor/A 53584-2025 karta.png", "A 53584-2025")</f>
        <v/>
      </c>
      <c r="V79">
        <f>HYPERLINK("https://klasma.github.io/Logging_0980/klagomål/A 53584-2025 FSC-klagomål.docx", "A 53584-2025")</f>
        <v/>
      </c>
      <c r="W79">
        <f>HYPERLINK("https://klasma.github.io/Logging_0980/klagomålsmail/A 53584-2025 FSC-klagomål mail.docx", "A 53584-2025")</f>
        <v/>
      </c>
      <c r="X79">
        <f>HYPERLINK("https://klasma.github.io/Logging_0980/tillsyn/A 53584-2025 tillsynsbegäran.docx", "A 53584-2025")</f>
        <v/>
      </c>
      <c r="Y79">
        <f>HYPERLINK("https://klasma.github.io/Logging_0980/tillsynsmail/A 53584-2025 tillsynsbegäran mail.docx", "A 53584-2025")</f>
        <v/>
      </c>
    </row>
    <row r="80" ht="15" customHeight="1">
      <c r="A80" t="inlineStr">
        <is>
          <t>A 66091-2021</t>
        </is>
      </c>
      <c r="B80" s="1" t="n">
        <v>44517</v>
      </c>
      <c r="C80" s="1" t="n">
        <v>45994</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32326-2024</t>
        </is>
      </c>
      <c r="B81" s="1" t="n">
        <v>45512</v>
      </c>
      <c r="C81" s="1" t="n">
        <v>45994</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42936-2024</t>
        </is>
      </c>
      <c r="B82" s="1" t="n">
        <v>45567</v>
      </c>
      <c r="C82" s="1" t="n">
        <v>45994</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45994</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39425-2023</t>
        </is>
      </c>
      <c r="B84" s="1" t="n">
        <v>45166</v>
      </c>
      <c r="C84" s="1" t="n">
        <v>45994</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45994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16375-2025</t>
        </is>
      </c>
      <c r="B86" s="1" t="n">
        <v>45751.41064814815</v>
      </c>
      <c r="C86" s="1" t="n">
        <v>45994</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45994</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52245-2025</t>
        </is>
      </c>
      <c r="B88" s="1" t="n">
        <v>45953.47115740741</v>
      </c>
      <c r="C88" s="1" t="n">
        <v>45994</v>
      </c>
      <c r="D88" t="inlineStr">
        <is>
          <t>GOTLANDS LÄN</t>
        </is>
      </c>
      <c r="E88" t="inlineStr">
        <is>
          <t>GOTLAND</t>
        </is>
      </c>
      <c r="F88" t="inlineStr">
        <is>
          <t>Övriga Aktiebolag</t>
        </is>
      </c>
      <c r="G88" t="n">
        <v>10.1</v>
      </c>
      <c r="H88" t="n">
        <v>0</v>
      </c>
      <c r="I88" t="n">
        <v>3</v>
      </c>
      <c r="J88" t="n">
        <v>1</v>
      </c>
      <c r="K88" t="n">
        <v>1</v>
      </c>
      <c r="L88" t="n">
        <v>0</v>
      </c>
      <c r="M88" t="n">
        <v>0</v>
      </c>
      <c r="N88" t="n">
        <v>0</v>
      </c>
      <c r="O88" t="n">
        <v>2</v>
      </c>
      <c r="P88" t="n">
        <v>1</v>
      </c>
      <c r="Q88" t="n">
        <v>5</v>
      </c>
      <c r="R88" s="2" t="inlineStr">
        <is>
          <t>Källnate
Jordtistel
Olivspindling
Rödgul trumpetsvamp
Underviol</t>
        </is>
      </c>
      <c r="S88">
        <f>HYPERLINK("https://klasma.github.io/Logging_0980/artfynd/A 52245-2025 artfynd.xlsx", "A 52245-2025")</f>
        <v/>
      </c>
      <c r="T88">
        <f>HYPERLINK("https://klasma.github.io/Logging_0980/kartor/A 52245-2025 karta.png", "A 52245-2025")</f>
        <v/>
      </c>
      <c r="V88">
        <f>HYPERLINK("https://klasma.github.io/Logging_0980/klagomål/A 52245-2025 FSC-klagomål.docx", "A 52245-2025")</f>
        <v/>
      </c>
      <c r="W88">
        <f>HYPERLINK("https://klasma.github.io/Logging_0980/klagomålsmail/A 52245-2025 FSC-klagomål mail.docx", "A 52245-2025")</f>
        <v/>
      </c>
      <c r="X88">
        <f>HYPERLINK("https://klasma.github.io/Logging_0980/tillsyn/A 52245-2025 tillsynsbegäran.docx", "A 52245-2025")</f>
        <v/>
      </c>
      <c r="Y88">
        <f>HYPERLINK("https://klasma.github.io/Logging_0980/tillsynsmail/A 52245-2025 tillsynsbegäran mail.docx", "A 52245-2025")</f>
        <v/>
      </c>
    </row>
    <row r="89" ht="15" customHeight="1">
      <c r="A89" t="inlineStr">
        <is>
          <t>A 29331-2021</t>
        </is>
      </c>
      <c r="B89" s="1" t="n">
        <v>44361</v>
      </c>
      <c r="C89" s="1" t="n">
        <v>45994</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45994</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2485-2025</t>
        </is>
      </c>
      <c r="B91" s="1" t="n">
        <v>45673</v>
      </c>
      <c r="C91" s="1" t="n">
        <v>45994</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6159-2023</t>
        </is>
      </c>
      <c r="B92" s="1" t="n">
        <v>44964</v>
      </c>
      <c r="C92" s="1" t="n">
        <v>45994</v>
      </c>
      <c r="D92" t="inlineStr">
        <is>
          <t>GOTLANDS LÄN</t>
        </is>
      </c>
      <c r="E92" t="inlineStr">
        <is>
          <t>GOTLAND</t>
        </is>
      </c>
      <c r="G92" t="n">
        <v>2</v>
      </c>
      <c r="H92" t="n">
        <v>0</v>
      </c>
      <c r="I92" t="n">
        <v>2</v>
      </c>
      <c r="J92" t="n">
        <v>2</v>
      </c>
      <c r="K92" t="n">
        <v>0</v>
      </c>
      <c r="L92" t="n">
        <v>0</v>
      </c>
      <c r="M92" t="n">
        <v>0</v>
      </c>
      <c r="N92" t="n">
        <v>0</v>
      </c>
      <c r="O92" t="n">
        <v>2</v>
      </c>
      <c r="P92" t="n">
        <v>0</v>
      </c>
      <c r="Q92" t="n">
        <v>4</v>
      </c>
      <c r="R92" s="2" t="inlineStr">
        <is>
          <t>Dofttaggsvamp
Odörspindling
Anisspindling
Olivspindling</t>
        </is>
      </c>
      <c r="S92">
        <f>HYPERLINK("https://klasma.github.io/Logging_0980/artfynd/A 6159-2023 artfynd.xlsx", "A 6159-2023")</f>
        <v/>
      </c>
      <c r="T92">
        <f>HYPERLINK("https://klasma.github.io/Logging_0980/kartor/A 6159-2023 karta.png", "A 6159-2023")</f>
        <v/>
      </c>
      <c r="V92">
        <f>HYPERLINK("https://klasma.github.io/Logging_0980/klagomål/A 6159-2023 FSC-klagomål.docx", "A 6159-2023")</f>
        <v/>
      </c>
      <c r="W92">
        <f>HYPERLINK("https://klasma.github.io/Logging_0980/klagomålsmail/A 6159-2023 FSC-klagomål mail.docx", "A 6159-2023")</f>
        <v/>
      </c>
      <c r="X92">
        <f>HYPERLINK("https://klasma.github.io/Logging_0980/tillsyn/A 6159-2023 tillsynsbegäran.docx", "A 6159-2023")</f>
        <v/>
      </c>
      <c r="Y92">
        <f>HYPERLINK("https://klasma.github.io/Logging_0980/tillsynsmail/A 6159-2023 tillsynsbegäran mail.docx", "A 6159-2023")</f>
        <v/>
      </c>
    </row>
    <row r="93" ht="15" customHeight="1">
      <c r="A93" t="inlineStr">
        <is>
          <t>A 43197-2023</t>
        </is>
      </c>
      <c r="B93" s="1" t="n">
        <v>45183</v>
      </c>
      <c r="C93" s="1" t="n">
        <v>45994</v>
      </c>
      <c r="D93" t="inlineStr">
        <is>
          <t>GOTLANDS LÄN</t>
        </is>
      </c>
      <c r="E93" t="inlineStr">
        <is>
          <t>GOTLAND</t>
        </is>
      </c>
      <c r="G93" t="n">
        <v>3.7</v>
      </c>
      <c r="H93" t="n">
        <v>2</v>
      </c>
      <c r="I93" t="n">
        <v>1</v>
      </c>
      <c r="J93" t="n">
        <v>1</v>
      </c>
      <c r="K93" t="n">
        <v>1</v>
      </c>
      <c r="L93" t="n">
        <v>0</v>
      </c>
      <c r="M93" t="n">
        <v>0</v>
      </c>
      <c r="N93" t="n">
        <v>0</v>
      </c>
      <c r="O93" t="n">
        <v>2</v>
      </c>
      <c r="P93" t="n">
        <v>1</v>
      </c>
      <c r="Q93" t="n">
        <v>4</v>
      </c>
      <c r="R93" s="2" t="inlineStr">
        <is>
          <t>Allékantlav
Svinrot
Skogsknipprot
Revlummer</t>
        </is>
      </c>
      <c r="S93">
        <f>HYPERLINK("https://klasma.github.io/Logging_0980/artfynd/A 43197-2023 artfynd.xlsx", "A 43197-2023")</f>
        <v/>
      </c>
      <c r="T93">
        <f>HYPERLINK("https://klasma.github.io/Logging_0980/kartor/A 43197-2023 karta.png", "A 43197-2023")</f>
        <v/>
      </c>
      <c r="V93">
        <f>HYPERLINK("https://klasma.github.io/Logging_0980/klagomål/A 43197-2023 FSC-klagomål.docx", "A 43197-2023")</f>
        <v/>
      </c>
      <c r="W93">
        <f>HYPERLINK("https://klasma.github.io/Logging_0980/klagomålsmail/A 43197-2023 FSC-klagomål mail.docx", "A 43197-2023")</f>
        <v/>
      </c>
      <c r="X93">
        <f>HYPERLINK("https://klasma.github.io/Logging_0980/tillsyn/A 43197-2023 tillsynsbegäran.docx", "A 43197-2023")</f>
        <v/>
      </c>
      <c r="Y93">
        <f>HYPERLINK("https://klasma.github.io/Logging_0980/tillsynsmail/A 43197-2023 tillsynsbegäran mail.docx", "A 43197-2023")</f>
        <v/>
      </c>
    </row>
    <row r="94" ht="15" customHeight="1">
      <c r="A94" t="inlineStr">
        <is>
          <t>A 56717-2024</t>
        </is>
      </c>
      <c r="B94" s="1" t="n">
        <v>45628.3166550926</v>
      </c>
      <c r="C94" s="1" t="n">
        <v>45994</v>
      </c>
      <c r="D94" t="inlineStr">
        <is>
          <t>GOTLANDS LÄN</t>
        </is>
      </c>
      <c r="E94" t="inlineStr">
        <is>
          <t>GOTLAND</t>
        </is>
      </c>
      <c r="G94" t="n">
        <v>9.699999999999999</v>
      </c>
      <c r="H94" t="n">
        <v>0</v>
      </c>
      <c r="I94" t="n">
        <v>2</v>
      </c>
      <c r="J94" t="n">
        <v>2</v>
      </c>
      <c r="K94" t="n">
        <v>0</v>
      </c>
      <c r="L94" t="n">
        <v>0</v>
      </c>
      <c r="M94" t="n">
        <v>0</v>
      </c>
      <c r="N94" t="n">
        <v>0</v>
      </c>
      <c r="O94" t="n">
        <v>2</v>
      </c>
      <c r="P94" t="n">
        <v>0</v>
      </c>
      <c r="Q94" t="n">
        <v>4</v>
      </c>
      <c r="R94" s="2" t="inlineStr">
        <is>
          <t>Ekvaxskivling
Odörspindling
Fjällig taggsvamp s.str.
Kattfotslav</t>
        </is>
      </c>
      <c r="S94">
        <f>HYPERLINK("https://klasma.github.io/Logging_0980/artfynd/A 56717-2024 artfynd.xlsx", "A 56717-2024")</f>
        <v/>
      </c>
      <c r="T94">
        <f>HYPERLINK("https://klasma.github.io/Logging_0980/kartor/A 56717-2024 karta.png", "A 56717-2024")</f>
        <v/>
      </c>
      <c r="V94">
        <f>HYPERLINK("https://klasma.github.io/Logging_0980/klagomål/A 56717-2024 FSC-klagomål.docx", "A 56717-2024")</f>
        <v/>
      </c>
      <c r="W94">
        <f>HYPERLINK("https://klasma.github.io/Logging_0980/klagomålsmail/A 56717-2024 FSC-klagomål mail.docx", "A 56717-2024")</f>
        <v/>
      </c>
      <c r="X94">
        <f>HYPERLINK("https://klasma.github.io/Logging_0980/tillsyn/A 56717-2024 tillsynsbegäran.docx", "A 56717-2024")</f>
        <v/>
      </c>
      <c r="Y94">
        <f>HYPERLINK("https://klasma.github.io/Logging_0980/tillsynsmail/A 56717-2024 tillsynsbegäran mail.docx", "A 56717-2024")</f>
        <v/>
      </c>
    </row>
    <row r="95" ht="15" customHeight="1">
      <c r="A95" t="inlineStr">
        <is>
          <t>A 8265-2023</t>
        </is>
      </c>
      <c r="B95" s="1" t="n">
        <v>44974</v>
      </c>
      <c r="C95" s="1" t="n">
        <v>45994</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5904-2024</t>
        </is>
      </c>
      <c r="B96" s="1" t="n">
        <v>45335</v>
      </c>
      <c r="C96" s="1" t="n">
        <v>45994</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1971-2023</t>
        </is>
      </c>
      <c r="B97" s="1" t="n">
        <v>44939</v>
      </c>
      <c r="C97" s="1" t="n">
        <v>45994</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44933-2022</t>
        </is>
      </c>
      <c r="B98" s="1" t="n">
        <v>44841</v>
      </c>
      <c r="C98" s="1" t="n">
        <v>45994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186-2023</t>
        </is>
      </c>
      <c r="B99" s="1" t="n">
        <v>44928</v>
      </c>
      <c r="C99" s="1" t="n">
        <v>45994</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40099-2025</t>
        </is>
      </c>
      <c r="B100" s="1" t="n">
        <v>45894.48462962963</v>
      </c>
      <c r="C100" s="1" t="n">
        <v>45994</v>
      </c>
      <c r="D100" t="inlineStr">
        <is>
          <t>GOTLANDS LÄN</t>
        </is>
      </c>
      <c r="E100" t="inlineStr">
        <is>
          <t>GOTLAND</t>
        </is>
      </c>
      <c r="G100" t="n">
        <v>6.5</v>
      </c>
      <c r="H100" t="n">
        <v>0</v>
      </c>
      <c r="I100" t="n">
        <v>3</v>
      </c>
      <c r="J100" t="n">
        <v>0</v>
      </c>
      <c r="K100" t="n">
        <v>1</v>
      </c>
      <c r="L100" t="n">
        <v>0</v>
      </c>
      <c r="M100" t="n">
        <v>0</v>
      </c>
      <c r="N100" t="n">
        <v>0</v>
      </c>
      <c r="O100" t="n">
        <v>1</v>
      </c>
      <c r="P100" t="n">
        <v>1</v>
      </c>
      <c r="Q100" t="n">
        <v>4</v>
      </c>
      <c r="R100" s="2" t="inlineStr">
        <is>
          <t>Mörkfjällig olivspindling
Fjällig taggsvamp s.str.
Olivspindling
Svavelriska</t>
        </is>
      </c>
      <c r="S100">
        <f>HYPERLINK("https://klasma.github.io/Logging_0980/artfynd/A 40099-2025 artfynd.xlsx", "A 40099-2025")</f>
        <v/>
      </c>
      <c r="T100">
        <f>HYPERLINK("https://klasma.github.io/Logging_0980/kartor/A 40099-2025 karta.png", "A 40099-2025")</f>
        <v/>
      </c>
      <c r="V100">
        <f>HYPERLINK("https://klasma.github.io/Logging_0980/klagomål/A 40099-2025 FSC-klagomål.docx", "A 40099-2025")</f>
        <v/>
      </c>
      <c r="W100">
        <f>HYPERLINK("https://klasma.github.io/Logging_0980/klagomålsmail/A 40099-2025 FSC-klagomål mail.docx", "A 40099-2025")</f>
        <v/>
      </c>
      <c r="X100">
        <f>HYPERLINK("https://klasma.github.io/Logging_0980/tillsyn/A 40099-2025 tillsynsbegäran.docx", "A 40099-2025")</f>
        <v/>
      </c>
      <c r="Y100">
        <f>HYPERLINK("https://klasma.github.io/Logging_0980/tillsynsmail/A 40099-2025 tillsynsbegäran mail.docx", "A 40099-2025")</f>
        <v/>
      </c>
    </row>
    <row r="101" ht="15" customHeight="1">
      <c r="A101" t="inlineStr">
        <is>
          <t>A 64378-2020</t>
        </is>
      </c>
      <c r="B101" s="1" t="n">
        <v>44168</v>
      </c>
      <c r="C101" s="1" t="n">
        <v>45994</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52309-2025</t>
        </is>
      </c>
      <c r="B102" s="1" t="n">
        <v>45953.64381944444</v>
      </c>
      <c r="C102" s="1" t="n">
        <v>45994</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52309-2025 artfynd.xlsx", "A 52309-2025")</f>
        <v/>
      </c>
      <c r="T102">
        <f>HYPERLINK("https://klasma.github.io/Logging_0980/kartor/A 52309-2025 karta.png", "A 52309-2025")</f>
        <v/>
      </c>
      <c r="V102">
        <f>HYPERLINK("https://klasma.github.io/Logging_0980/klagomål/A 52309-2025 FSC-klagomål.docx", "A 52309-2025")</f>
        <v/>
      </c>
      <c r="W102">
        <f>HYPERLINK("https://klasma.github.io/Logging_0980/klagomålsmail/A 52309-2025 FSC-klagomål mail.docx", "A 52309-2025")</f>
        <v/>
      </c>
      <c r="X102">
        <f>HYPERLINK("https://klasma.github.io/Logging_0980/tillsyn/A 52309-2025 tillsynsbegäran.docx", "A 52309-2025")</f>
        <v/>
      </c>
      <c r="Y102">
        <f>HYPERLINK("https://klasma.github.io/Logging_0980/tillsynsmail/A 52309-2025 tillsynsbegäran mail.docx", "A 52309-2025")</f>
        <v/>
      </c>
    </row>
    <row r="103" ht="15" customHeight="1">
      <c r="A103" t="inlineStr">
        <is>
          <t>A 52250-2025</t>
        </is>
      </c>
      <c r="B103" s="1" t="n">
        <v>45953.48998842593</v>
      </c>
      <c r="C103" s="1" t="n">
        <v>45994</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57463-2025</t>
        </is>
      </c>
      <c r="B104" s="1" t="n">
        <v>45980.54174768519</v>
      </c>
      <c r="C104" s="1" t="n">
        <v>45994</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57463-2025 artfynd.xlsx", "A 57463-2025")</f>
        <v/>
      </c>
      <c r="T104">
        <f>HYPERLINK("https://klasma.github.io/Logging_0980/kartor/A 57463-2025 karta.png", "A 57463-2025")</f>
        <v/>
      </c>
      <c r="V104">
        <f>HYPERLINK("https://klasma.github.io/Logging_0980/klagomål/A 57463-2025 FSC-klagomål.docx", "A 57463-2025")</f>
        <v/>
      </c>
      <c r="W104">
        <f>HYPERLINK("https://klasma.github.io/Logging_0980/klagomålsmail/A 57463-2025 FSC-klagomål mail.docx", "A 57463-2025")</f>
        <v/>
      </c>
      <c r="X104">
        <f>HYPERLINK("https://klasma.github.io/Logging_0980/tillsyn/A 57463-2025 tillsynsbegäran.docx", "A 57463-2025")</f>
        <v/>
      </c>
      <c r="Y104">
        <f>HYPERLINK("https://klasma.github.io/Logging_0980/tillsynsmail/A 57463-2025 tillsynsbegäran mail.docx", "A 57463-2025")</f>
        <v/>
      </c>
    </row>
    <row r="105" ht="15" customHeight="1">
      <c r="A105" t="inlineStr">
        <is>
          <t>A 20833-2024</t>
        </is>
      </c>
      <c r="B105" s="1" t="n">
        <v>45439</v>
      </c>
      <c r="C105" s="1" t="n">
        <v>45994</v>
      </c>
      <c r="D105" t="inlineStr">
        <is>
          <t>GOTLANDS LÄN</t>
        </is>
      </c>
      <c r="E105" t="inlineStr">
        <is>
          <t>GOTLAND</t>
        </is>
      </c>
      <c r="G105" t="n">
        <v>0.9</v>
      </c>
      <c r="H105" t="n">
        <v>3</v>
      </c>
      <c r="I105" t="n">
        <v>1</v>
      </c>
      <c r="J105" t="n">
        <v>3</v>
      </c>
      <c r="K105" t="n">
        <v>0</v>
      </c>
      <c r="L105" t="n">
        <v>0</v>
      </c>
      <c r="M105" t="n">
        <v>0</v>
      </c>
      <c r="N105" t="n">
        <v>0</v>
      </c>
      <c r="O105" t="n">
        <v>3</v>
      </c>
      <c r="P105" t="n">
        <v>0</v>
      </c>
      <c r="Q105" t="n">
        <v>4</v>
      </c>
      <c r="R105" s="2" t="inlineStr">
        <is>
          <t>Dårgräsfjäril
Spillkråka
Svinrot
Skogsknipprot</t>
        </is>
      </c>
      <c r="S105">
        <f>HYPERLINK("https://klasma.github.io/Logging_0980/artfynd/A 20833-2024 artfynd.xlsx", "A 20833-2024")</f>
        <v/>
      </c>
      <c r="T105">
        <f>HYPERLINK("https://klasma.github.io/Logging_0980/kartor/A 20833-2024 karta.png", "A 20833-2024")</f>
        <v/>
      </c>
      <c r="V105">
        <f>HYPERLINK("https://klasma.github.io/Logging_0980/klagomål/A 20833-2024 FSC-klagomål.docx", "A 20833-2024")</f>
        <v/>
      </c>
      <c r="W105">
        <f>HYPERLINK("https://klasma.github.io/Logging_0980/klagomålsmail/A 20833-2024 FSC-klagomål mail.docx", "A 20833-2024")</f>
        <v/>
      </c>
      <c r="X105">
        <f>HYPERLINK("https://klasma.github.io/Logging_0980/tillsyn/A 20833-2024 tillsynsbegäran.docx", "A 20833-2024")</f>
        <v/>
      </c>
      <c r="Y105">
        <f>HYPERLINK("https://klasma.github.io/Logging_0980/tillsynsmail/A 20833-2024 tillsynsbegäran mail.docx", "A 20833-2024")</f>
        <v/>
      </c>
      <c r="Z105">
        <f>HYPERLINK("https://klasma.github.io/Logging_0980/fåglar/A 20833-2024 prioriterade fågelarter.docx", "A 20833-2024")</f>
        <v/>
      </c>
    </row>
    <row r="106" ht="15" customHeight="1">
      <c r="A106" t="inlineStr">
        <is>
          <t>A 65537-2020</t>
        </is>
      </c>
      <c r="B106" s="1" t="n">
        <v>44173</v>
      </c>
      <c r="C106" s="1" t="n">
        <v>45994</v>
      </c>
      <c r="D106" t="inlineStr">
        <is>
          <t>GOTLANDS LÄN</t>
        </is>
      </c>
      <c r="E106" t="inlineStr">
        <is>
          <t>GOTLAND</t>
        </is>
      </c>
      <c r="G106" t="n">
        <v>1.6</v>
      </c>
      <c r="H106" t="n">
        <v>0</v>
      </c>
      <c r="I106" t="n">
        <v>0</v>
      </c>
      <c r="J106" t="n">
        <v>3</v>
      </c>
      <c r="K106" t="n">
        <v>0</v>
      </c>
      <c r="L106" t="n">
        <v>0</v>
      </c>
      <c r="M106" t="n">
        <v>0</v>
      </c>
      <c r="N106" t="n">
        <v>0</v>
      </c>
      <c r="O106" t="n">
        <v>3</v>
      </c>
      <c r="P106" t="n">
        <v>0</v>
      </c>
      <c r="Q106" t="n">
        <v>3</v>
      </c>
      <c r="R106" s="2" t="inlineStr">
        <is>
          <t>Axveronika
Backtimjan
Solvända</t>
        </is>
      </c>
      <c r="S106">
        <f>HYPERLINK("https://klasma.github.io/Logging_0980/artfynd/A 65537-2020 artfynd.xlsx", "A 65537-2020")</f>
        <v/>
      </c>
      <c r="T106">
        <f>HYPERLINK("https://klasma.github.io/Logging_0980/kartor/A 65537-2020 karta.png", "A 65537-2020")</f>
        <v/>
      </c>
      <c r="V106">
        <f>HYPERLINK("https://klasma.github.io/Logging_0980/klagomål/A 65537-2020 FSC-klagomål.docx", "A 65537-2020")</f>
        <v/>
      </c>
      <c r="W106">
        <f>HYPERLINK("https://klasma.github.io/Logging_0980/klagomålsmail/A 65537-2020 FSC-klagomål mail.docx", "A 65537-2020")</f>
        <v/>
      </c>
      <c r="X106">
        <f>HYPERLINK("https://klasma.github.io/Logging_0980/tillsyn/A 65537-2020 tillsynsbegäran.docx", "A 65537-2020")</f>
        <v/>
      </c>
      <c r="Y106">
        <f>HYPERLINK("https://klasma.github.io/Logging_0980/tillsynsmail/A 65537-2020 tillsynsbegäran mail.docx", "A 65537-2020")</f>
        <v/>
      </c>
    </row>
    <row r="107" ht="15" customHeight="1">
      <c r="A107" t="inlineStr">
        <is>
          <t>A 44323-2021</t>
        </is>
      </c>
      <c r="B107" s="1" t="n">
        <v>44434</v>
      </c>
      <c r="C107" s="1" t="n">
        <v>45994</v>
      </c>
      <c r="D107" t="inlineStr">
        <is>
          <t>GOTLANDS LÄN</t>
        </is>
      </c>
      <c r="E107" t="inlineStr">
        <is>
          <t>GOTLAND</t>
        </is>
      </c>
      <c r="G107" t="n">
        <v>7.5</v>
      </c>
      <c r="H107" t="n">
        <v>1</v>
      </c>
      <c r="I107" t="n">
        <v>3</v>
      </c>
      <c r="J107" t="n">
        <v>0</v>
      </c>
      <c r="K107" t="n">
        <v>0</v>
      </c>
      <c r="L107" t="n">
        <v>0</v>
      </c>
      <c r="M107" t="n">
        <v>0</v>
      </c>
      <c r="N107" t="n">
        <v>0</v>
      </c>
      <c r="O107" t="n">
        <v>0</v>
      </c>
      <c r="P107" t="n">
        <v>0</v>
      </c>
      <c r="Q107" t="n">
        <v>3</v>
      </c>
      <c r="R107" s="2" t="inlineStr">
        <is>
          <t>Anisspindling
Barrfagerspindling
Skogsknipprot</t>
        </is>
      </c>
      <c r="S107">
        <f>HYPERLINK("https://klasma.github.io/Logging_0980/artfynd/A 44323-2021 artfynd.xlsx", "A 44323-2021")</f>
        <v/>
      </c>
      <c r="T107">
        <f>HYPERLINK("https://klasma.github.io/Logging_0980/kartor/A 44323-2021 karta.png", "A 44323-2021")</f>
        <v/>
      </c>
      <c r="V107">
        <f>HYPERLINK("https://klasma.github.io/Logging_0980/klagomål/A 44323-2021 FSC-klagomål.docx", "A 44323-2021")</f>
        <v/>
      </c>
      <c r="W107">
        <f>HYPERLINK("https://klasma.github.io/Logging_0980/klagomålsmail/A 44323-2021 FSC-klagomål mail.docx", "A 44323-2021")</f>
        <v/>
      </c>
      <c r="X107">
        <f>HYPERLINK("https://klasma.github.io/Logging_0980/tillsyn/A 44323-2021 tillsynsbegäran.docx", "A 44323-2021")</f>
        <v/>
      </c>
      <c r="Y107">
        <f>HYPERLINK("https://klasma.github.io/Logging_0980/tillsynsmail/A 44323-2021 tillsynsbegäran mail.docx", "A 44323-2021")</f>
        <v/>
      </c>
    </row>
    <row r="108" ht="15" customHeight="1">
      <c r="A108" t="inlineStr">
        <is>
          <t>A 32666-2021</t>
        </is>
      </c>
      <c r="B108" s="1" t="n">
        <v>44375</v>
      </c>
      <c r="C108" s="1" t="n">
        <v>45994</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12519-2021</t>
        </is>
      </c>
      <c r="B109" s="1" t="n">
        <v>44269</v>
      </c>
      <c r="C109" s="1" t="n">
        <v>45994</v>
      </c>
      <c r="D109" t="inlineStr">
        <is>
          <t>GOTLANDS LÄN</t>
        </is>
      </c>
      <c r="E109" t="inlineStr">
        <is>
          <t>GOTLAND</t>
        </is>
      </c>
      <c r="F109" t="inlineStr">
        <is>
          <t>Kyrkan</t>
        </is>
      </c>
      <c r="G109" t="n">
        <v>3.4</v>
      </c>
      <c r="H109" t="n">
        <v>0</v>
      </c>
      <c r="I109" t="n">
        <v>2</v>
      </c>
      <c r="J109" t="n">
        <v>1</v>
      </c>
      <c r="K109" t="n">
        <v>0</v>
      </c>
      <c r="L109" t="n">
        <v>0</v>
      </c>
      <c r="M109" t="n">
        <v>0</v>
      </c>
      <c r="N109" t="n">
        <v>0</v>
      </c>
      <c r="O109" t="n">
        <v>1</v>
      </c>
      <c r="P109" t="n">
        <v>0</v>
      </c>
      <c r="Q109" t="n">
        <v>3</v>
      </c>
      <c r="R109" s="2" t="inlineStr">
        <is>
          <t>Loppstarr
Rödgul trumpetsvamp
Vågbandad barkbock</t>
        </is>
      </c>
      <c r="S109">
        <f>HYPERLINK("https://klasma.github.io/Logging_0980/artfynd/A 12519-2021 artfynd.xlsx", "A 12519-2021")</f>
        <v/>
      </c>
      <c r="T109">
        <f>HYPERLINK("https://klasma.github.io/Logging_0980/kartor/A 12519-2021 karta.png", "A 12519-2021")</f>
        <v/>
      </c>
      <c r="V109">
        <f>HYPERLINK("https://klasma.github.io/Logging_0980/klagomål/A 12519-2021 FSC-klagomål.docx", "A 12519-2021")</f>
        <v/>
      </c>
      <c r="W109">
        <f>HYPERLINK("https://klasma.github.io/Logging_0980/klagomålsmail/A 12519-2021 FSC-klagomål mail.docx", "A 12519-2021")</f>
        <v/>
      </c>
      <c r="X109">
        <f>HYPERLINK("https://klasma.github.io/Logging_0980/tillsyn/A 12519-2021 tillsynsbegäran.docx", "A 12519-2021")</f>
        <v/>
      </c>
      <c r="Y109">
        <f>HYPERLINK("https://klasma.github.io/Logging_0980/tillsynsmail/A 12519-2021 tillsynsbegäran mail.docx", "A 12519-2021")</f>
        <v/>
      </c>
    </row>
    <row r="110" ht="15" customHeight="1">
      <c r="A110" t="inlineStr">
        <is>
          <t>A 32718-2021</t>
        </is>
      </c>
      <c r="B110" s="1" t="n">
        <v>44375</v>
      </c>
      <c r="C110" s="1" t="n">
        <v>45994</v>
      </c>
      <c r="D110" t="inlineStr">
        <is>
          <t>GOTLANDS LÄN</t>
        </is>
      </c>
      <c r="E110" t="inlineStr">
        <is>
          <t>GOTLAND</t>
        </is>
      </c>
      <c r="G110" t="n">
        <v>2.1</v>
      </c>
      <c r="H110" t="n">
        <v>0</v>
      </c>
      <c r="I110" t="n">
        <v>1</v>
      </c>
      <c r="J110" t="n">
        <v>1</v>
      </c>
      <c r="K110" t="n">
        <v>1</v>
      </c>
      <c r="L110" t="n">
        <v>0</v>
      </c>
      <c r="M110" t="n">
        <v>0</v>
      </c>
      <c r="N110" t="n">
        <v>0</v>
      </c>
      <c r="O110" t="n">
        <v>2</v>
      </c>
      <c r="P110" t="n">
        <v>1</v>
      </c>
      <c r="Q110" t="n">
        <v>3</v>
      </c>
      <c r="R110" s="2" t="inlineStr">
        <is>
          <t>Skogskorn
Skugglosta
Strävlosta</t>
        </is>
      </c>
      <c r="S110">
        <f>HYPERLINK("https://klasma.github.io/Logging_0980/artfynd/A 32718-2021 artfynd.xlsx", "A 32718-2021")</f>
        <v/>
      </c>
      <c r="T110">
        <f>HYPERLINK("https://klasma.github.io/Logging_0980/kartor/A 32718-2021 karta.png", "A 32718-2021")</f>
        <v/>
      </c>
      <c r="V110">
        <f>HYPERLINK("https://klasma.github.io/Logging_0980/klagomål/A 32718-2021 FSC-klagomål.docx", "A 32718-2021")</f>
        <v/>
      </c>
      <c r="W110">
        <f>HYPERLINK("https://klasma.github.io/Logging_0980/klagomålsmail/A 32718-2021 FSC-klagomål mail.docx", "A 32718-2021")</f>
        <v/>
      </c>
      <c r="X110">
        <f>HYPERLINK("https://klasma.github.io/Logging_0980/tillsyn/A 32718-2021 tillsynsbegäran.docx", "A 32718-2021")</f>
        <v/>
      </c>
      <c r="Y110">
        <f>HYPERLINK("https://klasma.github.io/Logging_0980/tillsynsmail/A 32718-2021 tillsynsbegäran mail.docx", "A 32718-2021")</f>
        <v/>
      </c>
    </row>
    <row r="111" ht="15" customHeight="1">
      <c r="A111" t="inlineStr">
        <is>
          <t>A 2332-2021</t>
        </is>
      </c>
      <c r="B111" s="1" t="n">
        <v>44214</v>
      </c>
      <c r="C111" s="1" t="n">
        <v>45994</v>
      </c>
      <c r="D111" t="inlineStr">
        <is>
          <t>GOTLANDS LÄN</t>
        </is>
      </c>
      <c r="E111" t="inlineStr">
        <is>
          <t>GOTLAND</t>
        </is>
      </c>
      <c r="G111" t="n">
        <v>2.3</v>
      </c>
      <c r="H111" t="n">
        <v>2</v>
      </c>
      <c r="I111" t="n">
        <v>0</v>
      </c>
      <c r="J111" t="n">
        <v>1</v>
      </c>
      <c r="K111" t="n">
        <v>0</v>
      </c>
      <c r="L111" t="n">
        <v>0</v>
      </c>
      <c r="M111" t="n">
        <v>0</v>
      </c>
      <c r="N111" t="n">
        <v>0</v>
      </c>
      <c r="O111" t="n">
        <v>1</v>
      </c>
      <c r="P111" t="n">
        <v>0</v>
      </c>
      <c r="Q111" t="n">
        <v>3</v>
      </c>
      <c r="R111" s="2" t="inlineStr">
        <is>
          <t>Korpnopping
Sankt pers nycklar
Blåsippa</t>
        </is>
      </c>
      <c r="S111">
        <f>HYPERLINK("https://klasma.github.io/Logging_0980/artfynd/A 2332-2021 artfynd.xlsx", "A 2332-2021")</f>
        <v/>
      </c>
      <c r="T111">
        <f>HYPERLINK("https://klasma.github.io/Logging_0980/kartor/A 2332-2021 karta.png", "A 2332-2021")</f>
        <v/>
      </c>
      <c r="V111">
        <f>HYPERLINK("https://klasma.github.io/Logging_0980/klagomål/A 2332-2021 FSC-klagomål.docx", "A 2332-2021")</f>
        <v/>
      </c>
      <c r="W111">
        <f>HYPERLINK("https://klasma.github.io/Logging_0980/klagomålsmail/A 2332-2021 FSC-klagomål mail.docx", "A 2332-2021")</f>
        <v/>
      </c>
      <c r="X111">
        <f>HYPERLINK("https://klasma.github.io/Logging_0980/tillsyn/A 2332-2021 tillsynsbegäran.docx", "A 2332-2021")</f>
        <v/>
      </c>
      <c r="Y111">
        <f>HYPERLINK("https://klasma.github.io/Logging_0980/tillsynsmail/A 2332-2021 tillsynsbegäran mail.docx", "A 2332-2021")</f>
        <v/>
      </c>
    </row>
    <row r="112" ht="15" customHeight="1">
      <c r="A112" t="inlineStr">
        <is>
          <t>A 43013-2022</t>
        </is>
      </c>
      <c r="B112" s="1" t="n">
        <v>44833</v>
      </c>
      <c r="C112" s="1" t="n">
        <v>45994</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73144-2021</t>
        </is>
      </c>
      <c r="B113" s="1" t="n">
        <v>44550</v>
      </c>
      <c r="C113" s="1" t="n">
        <v>45994</v>
      </c>
      <c r="D113" t="inlineStr">
        <is>
          <t>GOTLANDS LÄN</t>
        </is>
      </c>
      <c r="E113" t="inlineStr">
        <is>
          <t>GOTLAND</t>
        </is>
      </c>
      <c r="G113" t="n">
        <v>1.9</v>
      </c>
      <c r="H113" t="n">
        <v>0</v>
      </c>
      <c r="I113" t="n">
        <v>1</v>
      </c>
      <c r="J113" t="n">
        <v>1</v>
      </c>
      <c r="K113" t="n">
        <v>1</v>
      </c>
      <c r="L113" t="n">
        <v>0</v>
      </c>
      <c r="M113" t="n">
        <v>0</v>
      </c>
      <c r="N113" t="n">
        <v>0</v>
      </c>
      <c r="O113" t="n">
        <v>2</v>
      </c>
      <c r="P113" t="n">
        <v>1</v>
      </c>
      <c r="Q113" t="n">
        <v>3</v>
      </c>
      <c r="R113" s="2" t="inlineStr">
        <is>
          <t>Skogskorn
Igelkott
Kambräken</t>
        </is>
      </c>
      <c r="S113">
        <f>HYPERLINK("https://klasma.github.io/Logging_0980/artfynd/A 73144-2021 artfynd.xlsx", "A 73144-2021")</f>
        <v/>
      </c>
      <c r="T113">
        <f>HYPERLINK("https://klasma.github.io/Logging_0980/kartor/A 73144-2021 karta.png", "A 73144-2021")</f>
        <v/>
      </c>
      <c r="V113">
        <f>HYPERLINK("https://klasma.github.io/Logging_0980/klagomål/A 73144-2021 FSC-klagomål.docx", "A 73144-2021")</f>
        <v/>
      </c>
      <c r="W113">
        <f>HYPERLINK("https://klasma.github.io/Logging_0980/klagomålsmail/A 73144-2021 FSC-klagomål mail.docx", "A 73144-2021")</f>
        <v/>
      </c>
      <c r="X113">
        <f>HYPERLINK("https://klasma.github.io/Logging_0980/tillsyn/A 73144-2021 tillsynsbegäran.docx", "A 73144-2021")</f>
        <v/>
      </c>
      <c r="Y113">
        <f>HYPERLINK("https://klasma.github.io/Logging_0980/tillsynsmail/A 73144-2021 tillsynsbegäran mail.docx", "A 73144-2021")</f>
        <v/>
      </c>
    </row>
    <row r="114" ht="15" customHeight="1">
      <c r="A114" t="inlineStr">
        <is>
          <t>A 53552-2021</t>
        </is>
      </c>
      <c r="B114" s="1" t="n">
        <v>44468</v>
      </c>
      <c r="C114" s="1" t="n">
        <v>45994</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12315-2024</t>
        </is>
      </c>
      <c r="B115" s="1" t="n">
        <v>45378.6434837963</v>
      </c>
      <c r="C115" s="1" t="n">
        <v>45994</v>
      </c>
      <c r="D115" t="inlineStr">
        <is>
          <t>GOTLANDS LÄN</t>
        </is>
      </c>
      <c r="E115" t="inlineStr">
        <is>
          <t>GOTLAND</t>
        </is>
      </c>
      <c r="G115" t="n">
        <v>6</v>
      </c>
      <c r="H115" t="n">
        <v>3</v>
      </c>
      <c r="I115" t="n">
        <v>1</v>
      </c>
      <c r="J115" t="n">
        <v>1</v>
      </c>
      <c r="K115" t="n">
        <v>0</v>
      </c>
      <c r="L115" t="n">
        <v>0</v>
      </c>
      <c r="M115" t="n">
        <v>0</v>
      </c>
      <c r="N115" t="n">
        <v>0</v>
      </c>
      <c r="O115" t="n">
        <v>1</v>
      </c>
      <c r="P115" t="n">
        <v>0</v>
      </c>
      <c r="Q115" t="n">
        <v>3</v>
      </c>
      <c r="R115" s="2" t="inlineStr">
        <is>
          <t>Buskskvätta
Tvåblad
Fläcknycklar</t>
        </is>
      </c>
      <c r="S115">
        <f>HYPERLINK("https://klasma.github.io/Logging_0980/artfynd/A 12315-2024 artfynd.xlsx", "A 12315-2024")</f>
        <v/>
      </c>
      <c r="T115">
        <f>HYPERLINK("https://klasma.github.io/Logging_0980/kartor/A 12315-2024 karta.png", "A 12315-2024")</f>
        <v/>
      </c>
      <c r="V115">
        <f>HYPERLINK("https://klasma.github.io/Logging_0980/klagomål/A 12315-2024 FSC-klagomål.docx", "A 12315-2024")</f>
        <v/>
      </c>
      <c r="W115">
        <f>HYPERLINK("https://klasma.github.io/Logging_0980/klagomålsmail/A 12315-2024 FSC-klagomål mail.docx", "A 12315-2024")</f>
        <v/>
      </c>
      <c r="X115">
        <f>HYPERLINK("https://klasma.github.io/Logging_0980/tillsyn/A 12315-2024 tillsynsbegäran.docx", "A 12315-2024")</f>
        <v/>
      </c>
      <c r="Y115">
        <f>HYPERLINK("https://klasma.github.io/Logging_0980/tillsynsmail/A 12315-2024 tillsynsbegäran mail.docx", "A 12315-2024")</f>
        <v/>
      </c>
      <c r="Z115">
        <f>HYPERLINK("https://klasma.github.io/Logging_0980/fåglar/A 12315-2024 prioriterade fågelarter.docx", "A 12315-2024")</f>
        <v/>
      </c>
    </row>
    <row r="116" ht="15" customHeight="1">
      <c r="A116" t="inlineStr">
        <is>
          <t>A 13499-2022</t>
        </is>
      </c>
      <c r="B116" s="1" t="n">
        <v>44647.79203703703</v>
      </c>
      <c r="C116" s="1" t="n">
        <v>45994</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5235-2025</t>
        </is>
      </c>
      <c r="B117" s="1" t="n">
        <v>45692.26797453704</v>
      </c>
      <c r="C117" s="1" t="n">
        <v>45994</v>
      </c>
      <c r="D117" t="inlineStr">
        <is>
          <t>GOTLANDS LÄN</t>
        </is>
      </c>
      <c r="E117" t="inlineStr">
        <is>
          <t>GOTLAND</t>
        </is>
      </c>
      <c r="G117" t="n">
        <v>7.6</v>
      </c>
      <c r="H117" t="n">
        <v>1</v>
      </c>
      <c r="I117" t="n">
        <v>2</v>
      </c>
      <c r="J117" t="n">
        <v>1</v>
      </c>
      <c r="K117" t="n">
        <v>0</v>
      </c>
      <c r="L117" t="n">
        <v>0</v>
      </c>
      <c r="M117" t="n">
        <v>0</v>
      </c>
      <c r="N117" t="n">
        <v>0</v>
      </c>
      <c r="O117" t="n">
        <v>1</v>
      </c>
      <c r="P117" t="n">
        <v>0</v>
      </c>
      <c r="Q117" t="n">
        <v>3</v>
      </c>
      <c r="R117" s="2" t="inlineStr">
        <is>
          <t>Svinrot
Blåmossa
Tvåblad</t>
        </is>
      </c>
      <c r="S117">
        <f>HYPERLINK("https://klasma.github.io/Logging_0980/artfynd/A 5235-2025 artfynd.xlsx", "A 5235-2025")</f>
        <v/>
      </c>
      <c r="T117">
        <f>HYPERLINK("https://klasma.github.io/Logging_0980/kartor/A 5235-2025 karta.png", "A 5235-2025")</f>
        <v/>
      </c>
      <c r="V117">
        <f>HYPERLINK("https://klasma.github.io/Logging_0980/klagomål/A 5235-2025 FSC-klagomål.docx", "A 5235-2025")</f>
        <v/>
      </c>
      <c r="W117">
        <f>HYPERLINK("https://klasma.github.io/Logging_0980/klagomålsmail/A 5235-2025 FSC-klagomål mail.docx", "A 5235-2025")</f>
        <v/>
      </c>
      <c r="X117">
        <f>HYPERLINK("https://klasma.github.io/Logging_0980/tillsyn/A 5235-2025 tillsynsbegäran.docx", "A 5235-2025")</f>
        <v/>
      </c>
      <c r="Y117">
        <f>HYPERLINK("https://klasma.github.io/Logging_0980/tillsynsmail/A 5235-2025 tillsynsbegäran mail.docx", "A 5235-2025")</f>
        <v/>
      </c>
    </row>
    <row r="118" ht="15" customHeight="1">
      <c r="A118" t="inlineStr">
        <is>
          <t>A 17975-2024</t>
        </is>
      </c>
      <c r="B118" s="1" t="n">
        <v>45419.85546296297</v>
      </c>
      <c r="C118" s="1" t="n">
        <v>45994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48126-2022</t>
        </is>
      </c>
      <c r="B119" s="1" t="n">
        <v>44857</v>
      </c>
      <c r="C119" s="1" t="n">
        <v>45994</v>
      </c>
      <c r="D119" t="inlineStr">
        <is>
          <t>GOTLANDS LÄN</t>
        </is>
      </c>
      <c r="E119" t="inlineStr">
        <is>
          <t>GOTLAND</t>
        </is>
      </c>
      <c r="G119" t="n">
        <v>9.800000000000001</v>
      </c>
      <c r="H119" t="n">
        <v>1</v>
      </c>
      <c r="I119" t="n">
        <v>0</v>
      </c>
      <c r="J119" t="n">
        <v>3</v>
      </c>
      <c r="K119" t="n">
        <v>0</v>
      </c>
      <c r="L119" t="n">
        <v>0</v>
      </c>
      <c r="M119" t="n">
        <v>0</v>
      </c>
      <c r="N119" t="n">
        <v>0</v>
      </c>
      <c r="O119" t="n">
        <v>3</v>
      </c>
      <c r="P119" t="n">
        <v>0</v>
      </c>
      <c r="Q119" t="n">
        <v>3</v>
      </c>
      <c r="R119" s="2" t="inlineStr">
        <is>
          <t>Jordtistel
Spillkråka
Svinrot</t>
        </is>
      </c>
      <c r="S119">
        <f>HYPERLINK("https://klasma.github.io/Logging_0980/artfynd/A 48126-2022 artfynd.xlsx", "A 48126-2022")</f>
        <v/>
      </c>
      <c r="T119">
        <f>HYPERLINK("https://klasma.github.io/Logging_0980/kartor/A 48126-2022 karta.png", "A 48126-2022")</f>
        <v/>
      </c>
      <c r="V119">
        <f>HYPERLINK("https://klasma.github.io/Logging_0980/klagomål/A 48126-2022 FSC-klagomål.docx", "A 48126-2022")</f>
        <v/>
      </c>
      <c r="W119">
        <f>HYPERLINK("https://klasma.github.io/Logging_0980/klagomålsmail/A 48126-2022 FSC-klagomål mail.docx", "A 48126-2022")</f>
        <v/>
      </c>
      <c r="X119">
        <f>HYPERLINK("https://klasma.github.io/Logging_0980/tillsyn/A 48126-2022 tillsynsbegäran.docx", "A 48126-2022")</f>
        <v/>
      </c>
      <c r="Y119">
        <f>HYPERLINK("https://klasma.github.io/Logging_0980/tillsynsmail/A 48126-2022 tillsynsbegäran mail.docx", "A 48126-2022")</f>
        <v/>
      </c>
      <c r="Z119">
        <f>HYPERLINK("https://klasma.github.io/Logging_0980/fåglar/A 48126-2022 prioriterade fågelarter.docx", "A 48126-2022")</f>
        <v/>
      </c>
    </row>
    <row r="120" ht="15" customHeight="1">
      <c r="A120" t="inlineStr">
        <is>
          <t>A 17982-2023</t>
        </is>
      </c>
      <c r="B120" s="1" t="n">
        <v>45040</v>
      </c>
      <c r="C120" s="1" t="n">
        <v>45994</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30490-2025</t>
        </is>
      </c>
      <c r="B121" s="1" t="n">
        <v>45830</v>
      </c>
      <c r="C121" s="1" t="n">
        <v>45994</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55334-2024</t>
        </is>
      </c>
      <c r="B122" s="1" t="n">
        <v>45621</v>
      </c>
      <c r="C122" s="1" t="n">
        <v>45994</v>
      </c>
      <c r="D122" t="inlineStr">
        <is>
          <t>GOTLANDS LÄN</t>
        </is>
      </c>
      <c r="E122" t="inlineStr">
        <is>
          <t>GOTLAND</t>
        </is>
      </c>
      <c r="G122" t="n">
        <v>21.7</v>
      </c>
      <c r="H122" t="n">
        <v>0</v>
      </c>
      <c r="I122" t="n">
        <v>3</v>
      </c>
      <c r="J122" t="n">
        <v>0</v>
      </c>
      <c r="K122" t="n">
        <v>0</v>
      </c>
      <c r="L122" t="n">
        <v>0</v>
      </c>
      <c r="M122" t="n">
        <v>0</v>
      </c>
      <c r="N122" t="n">
        <v>0</v>
      </c>
      <c r="O122" t="n">
        <v>0</v>
      </c>
      <c r="P122" t="n">
        <v>0</v>
      </c>
      <c r="Q122" t="n">
        <v>3</v>
      </c>
      <c r="R122" s="2" t="inlineStr">
        <is>
          <t>Anisspindling
Besk kastanjemusseron
Svavelriska</t>
        </is>
      </c>
      <c r="S122">
        <f>HYPERLINK("https://klasma.github.io/Logging_0980/artfynd/A 55334-2024 artfynd.xlsx", "A 55334-2024")</f>
        <v/>
      </c>
      <c r="T122">
        <f>HYPERLINK("https://klasma.github.io/Logging_0980/kartor/A 55334-2024 karta.png", "A 55334-2024")</f>
        <v/>
      </c>
      <c r="V122">
        <f>HYPERLINK("https://klasma.github.io/Logging_0980/klagomål/A 55334-2024 FSC-klagomål.docx", "A 55334-2024")</f>
        <v/>
      </c>
      <c r="W122">
        <f>HYPERLINK("https://klasma.github.io/Logging_0980/klagomålsmail/A 55334-2024 FSC-klagomål mail.docx", "A 55334-2024")</f>
        <v/>
      </c>
      <c r="X122">
        <f>HYPERLINK("https://klasma.github.io/Logging_0980/tillsyn/A 55334-2024 tillsynsbegäran.docx", "A 55334-2024")</f>
        <v/>
      </c>
      <c r="Y122">
        <f>HYPERLINK("https://klasma.github.io/Logging_0980/tillsynsmail/A 55334-2024 tillsynsbegäran mail.docx", "A 55334-2024")</f>
        <v/>
      </c>
    </row>
    <row r="123" ht="15" customHeight="1">
      <c r="A123" t="inlineStr">
        <is>
          <t>A 20831-2024</t>
        </is>
      </c>
      <c r="B123" s="1" t="n">
        <v>45439</v>
      </c>
      <c r="C123" s="1" t="n">
        <v>45994</v>
      </c>
      <c r="D123" t="inlineStr">
        <is>
          <t>GOTLANDS LÄN</t>
        </is>
      </c>
      <c r="E123" t="inlineStr">
        <is>
          <t>GOTLAND</t>
        </is>
      </c>
      <c r="G123" t="n">
        <v>2.9</v>
      </c>
      <c r="H123" t="n">
        <v>2</v>
      </c>
      <c r="I123" t="n">
        <v>1</v>
      </c>
      <c r="J123" t="n">
        <v>2</v>
      </c>
      <c r="K123" t="n">
        <v>0</v>
      </c>
      <c r="L123" t="n">
        <v>0</v>
      </c>
      <c r="M123" t="n">
        <v>0</v>
      </c>
      <c r="N123" t="n">
        <v>0</v>
      </c>
      <c r="O123" t="n">
        <v>2</v>
      </c>
      <c r="P123" t="n">
        <v>0</v>
      </c>
      <c r="Q123" t="n">
        <v>3</v>
      </c>
      <c r="R123" s="2" t="inlineStr">
        <is>
          <t>Dårgräsfjäril
Svinrot
Skogsknipprot</t>
        </is>
      </c>
      <c r="S123">
        <f>HYPERLINK("https://klasma.github.io/Logging_0980/artfynd/A 20831-2024 artfynd.xlsx", "A 20831-2024")</f>
        <v/>
      </c>
      <c r="T123">
        <f>HYPERLINK("https://klasma.github.io/Logging_0980/kartor/A 20831-2024 karta.png", "A 20831-2024")</f>
        <v/>
      </c>
      <c r="V123">
        <f>HYPERLINK("https://klasma.github.io/Logging_0980/klagomål/A 20831-2024 FSC-klagomål.docx", "A 20831-2024")</f>
        <v/>
      </c>
      <c r="W123">
        <f>HYPERLINK("https://klasma.github.io/Logging_0980/klagomålsmail/A 20831-2024 FSC-klagomål mail.docx", "A 20831-2024")</f>
        <v/>
      </c>
      <c r="X123">
        <f>HYPERLINK("https://klasma.github.io/Logging_0980/tillsyn/A 20831-2024 tillsynsbegäran.docx", "A 20831-2024")</f>
        <v/>
      </c>
      <c r="Y123">
        <f>HYPERLINK("https://klasma.github.io/Logging_0980/tillsynsmail/A 20831-2024 tillsynsbegäran mail.docx", "A 20831-2024")</f>
        <v/>
      </c>
    </row>
    <row r="124" ht="15" customHeight="1">
      <c r="A124" t="inlineStr">
        <is>
          <t>A 49709-2025</t>
        </is>
      </c>
      <c r="B124" s="1" t="n">
        <v>45939.68228009259</v>
      </c>
      <c r="C124" s="1" t="n">
        <v>45994</v>
      </c>
      <c r="D124" t="inlineStr">
        <is>
          <t>GOTLANDS LÄN</t>
        </is>
      </c>
      <c r="E124" t="inlineStr">
        <is>
          <t>GOTLAND</t>
        </is>
      </c>
      <c r="G124" t="n">
        <v>10.2</v>
      </c>
      <c r="H124" t="n">
        <v>0</v>
      </c>
      <c r="I124" t="n">
        <v>2</v>
      </c>
      <c r="J124" t="n">
        <v>1</v>
      </c>
      <c r="K124" t="n">
        <v>0</v>
      </c>
      <c r="L124" t="n">
        <v>0</v>
      </c>
      <c r="M124" t="n">
        <v>0</v>
      </c>
      <c r="N124" t="n">
        <v>0</v>
      </c>
      <c r="O124" t="n">
        <v>1</v>
      </c>
      <c r="P124" t="n">
        <v>0</v>
      </c>
      <c r="Q124" t="n">
        <v>3</v>
      </c>
      <c r="R124" s="2" t="inlineStr">
        <is>
          <t>Tallticka
Blåmossa
Grovticka</t>
        </is>
      </c>
      <c r="S124">
        <f>HYPERLINK("https://klasma.github.io/Logging_0980/artfynd/A 49709-2025 artfynd.xlsx", "A 49709-2025")</f>
        <v/>
      </c>
      <c r="T124">
        <f>HYPERLINK("https://klasma.github.io/Logging_0980/kartor/A 49709-2025 karta.png", "A 49709-2025")</f>
        <v/>
      </c>
      <c r="V124">
        <f>HYPERLINK("https://klasma.github.io/Logging_0980/klagomål/A 49709-2025 FSC-klagomål.docx", "A 49709-2025")</f>
        <v/>
      </c>
      <c r="W124">
        <f>HYPERLINK("https://klasma.github.io/Logging_0980/klagomålsmail/A 49709-2025 FSC-klagomål mail.docx", "A 49709-2025")</f>
        <v/>
      </c>
      <c r="X124">
        <f>HYPERLINK("https://klasma.github.io/Logging_0980/tillsyn/A 49709-2025 tillsynsbegäran.docx", "A 49709-2025")</f>
        <v/>
      </c>
      <c r="Y124">
        <f>HYPERLINK("https://klasma.github.io/Logging_0980/tillsynsmail/A 49709-2025 tillsynsbegäran mail.docx", "A 49709-2025")</f>
        <v/>
      </c>
    </row>
    <row r="125" ht="15" customHeight="1">
      <c r="A125" t="inlineStr">
        <is>
          <t>A 29870-2021</t>
        </is>
      </c>
      <c r="B125" s="1" t="n">
        <v>44362</v>
      </c>
      <c r="C125" s="1" t="n">
        <v>45994</v>
      </c>
      <c r="D125" t="inlineStr">
        <is>
          <t>GOTLANDS LÄN</t>
        </is>
      </c>
      <c r="E125" t="inlineStr">
        <is>
          <t>GOTLAND</t>
        </is>
      </c>
      <c r="G125" t="n">
        <v>2.4</v>
      </c>
      <c r="H125" t="n">
        <v>0</v>
      </c>
      <c r="I125" t="n">
        <v>1</v>
      </c>
      <c r="J125" t="n">
        <v>0</v>
      </c>
      <c r="K125" t="n">
        <v>1</v>
      </c>
      <c r="L125" t="n">
        <v>0</v>
      </c>
      <c r="M125" t="n">
        <v>0</v>
      </c>
      <c r="N125" t="n">
        <v>0</v>
      </c>
      <c r="O125" t="n">
        <v>1</v>
      </c>
      <c r="P125" t="n">
        <v>1</v>
      </c>
      <c r="Q125" t="n">
        <v>2</v>
      </c>
      <c r="R125" s="2" t="inlineStr">
        <is>
          <t>Blåfotad fagerspindling
Olivspindling</t>
        </is>
      </c>
      <c r="S125">
        <f>HYPERLINK("https://klasma.github.io/Logging_0980/artfynd/A 29870-2021 artfynd.xlsx", "A 29870-2021")</f>
        <v/>
      </c>
      <c r="T125">
        <f>HYPERLINK("https://klasma.github.io/Logging_0980/kartor/A 29870-2021 karta.png", "A 29870-2021")</f>
        <v/>
      </c>
      <c r="V125">
        <f>HYPERLINK("https://klasma.github.io/Logging_0980/klagomål/A 29870-2021 FSC-klagomål.docx", "A 29870-2021")</f>
        <v/>
      </c>
      <c r="W125">
        <f>HYPERLINK("https://klasma.github.io/Logging_0980/klagomålsmail/A 29870-2021 FSC-klagomål mail.docx", "A 29870-2021")</f>
        <v/>
      </c>
      <c r="X125">
        <f>HYPERLINK("https://klasma.github.io/Logging_0980/tillsyn/A 29870-2021 tillsynsbegäran.docx", "A 29870-2021")</f>
        <v/>
      </c>
      <c r="Y125">
        <f>HYPERLINK("https://klasma.github.io/Logging_0980/tillsynsmail/A 29870-2021 tillsynsbegäran mail.docx", "A 29870-2021")</f>
        <v/>
      </c>
    </row>
    <row r="126" ht="15" customHeight="1">
      <c r="A126" t="inlineStr">
        <is>
          <t>A 26857-2021</t>
        </is>
      </c>
      <c r="B126" s="1" t="n">
        <v>44349.60091435185</v>
      </c>
      <c r="C126" s="1" t="n">
        <v>45994</v>
      </c>
      <c r="D126" t="inlineStr">
        <is>
          <t>GOTLANDS LÄN</t>
        </is>
      </c>
      <c r="E126" t="inlineStr">
        <is>
          <t>GOTLAND</t>
        </is>
      </c>
      <c r="G126" t="n">
        <v>1.9</v>
      </c>
      <c r="H126" t="n">
        <v>0</v>
      </c>
      <c r="I126" t="n">
        <v>0</v>
      </c>
      <c r="J126" t="n">
        <v>2</v>
      </c>
      <c r="K126" t="n">
        <v>0</v>
      </c>
      <c r="L126" t="n">
        <v>0</v>
      </c>
      <c r="M126" t="n">
        <v>0</v>
      </c>
      <c r="N126" t="n">
        <v>0</v>
      </c>
      <c r="O126" t="n">
        <v>2</v>
      </c>
      <c r="P126" t="n">
        <v>0</v>
      </c>
      <c r="Q126" t="n">
        <v>2</v>
      </c>
      <c r="R126" s="2" t="inlineStr">
        <is>
          <t>Jordtistel
Solvända</t>
        </is>
      </c>
      <c r="S126">
        <f>HYPERLINK("https://klasma.github.io/Logging_0980/artfynd/A 26857-2021 artfynd.xlsx", "A 26857-2021")</f>
        <v/>
      </c>
      <c r="T126">
        <f>HYPERLINK("https://klasma.github.io/Logging_0980/kartor/A 26857-2021 karta.png", "A 26857-2021")</f>
        <v/>
      </c>
      <c r="V126">
        <f>HYPERLINK("https://klasma.github.io/Logging_0980/klagomål/A 26857-2021 FSC-klagomål.docx", "A 26857-2021")</f>
        <v/>
      </c>
      <c r="W126">
        <f>HYPERLINK("https://klasma.github.io/Logging_0980/klagomålsmail/A 26857-2021 FSC-klagomål mail.docx", "A 26857-2021")</f>
        <v/>
      </c>
      <c r="X126">
        <f>HYPERLINK("https://klasma.github.io/Logging_0980/tillsyn/A 26857-2021 tillsynsbegäran.docx", "A 26857-2021")</f>
        <v/>
      </c>
      <c r="Y126">
        <f>HYPERLINK("https://klasma.github.io/Logging_0980/tillsynsmail/A 26857-2021 tillsynsbegäran mail.docx", "A 26857-2021")</f>
        <v/>
      </c>
    </row>
    <row r="127" ht="15" customHeight="1">
      <c r="A127" t="inlineStr">
        <is>
          <t>A 9930-2021</t>
        </is>
      </c>
      <c r="B127" s="1" t="n">
        <v>44252</v>
      </c>
      <c r="C127" s="1" t="n">
        <v>45994</v>
      </c>
      <c r="D127" t="inlineStr">
        <is>
          <t>GOTLANDS LÄN</t>
        </is>
      </c>
      <c r="E127" t="inlineStr">
        <is>
          <t>GOTLAND</t>
        </is>
      </c>
      <c r="G127" t="n">
        <v>1.9</v>
      </c>
      <c r="H127" t="n">
        <v>0</v>
      </c>
      <c r="I127" t="n">
        <v>0</v>
      </c>
      <c r="J127" t="n">
        <v>0</v>
      </c>
      <c r="K127" t="n">
        <v>0</v>
      </c>
      <c r="L127" t="n">
        <v>1</v>
      </c>
      <c r="M127" t="n">
        <v>1</v>
      </c>
      <c r="N127" t="n">
        <v>0</v>
      </c>
      <c r="O127" t="n">
        <v>2</v>
      </c>
      <c r="P127" t="n">
        <v>2</v>
      </c>
      <c r="Q127" t="n">
        <v>2</v>
      </c>
      <c r="R127" s="2" t="inlineStr">
        <is>
          <t>Lundalm
Ask</t>
        </is>
      </c>
      <c r="S127">
        <f>HYPERLINK("https://klasma.github.io/Logging_0980/artfynd/A 9930-2021 artfynd.xlsx", "A 9930-2021")</f>
        <v/>
      </c>
      <c r="T127">
        <f>HYPERLINK("https://klasma.github.io/Logging_0980/kartor/A 9930-2021 karta.png", "A 9930-2021")</f>
        <v/>
      </c>
      <c r="V127">
        <f>HYPERLINK("https://klasma.github.io/Logging_0980/klagomål/A 9930-2021 FSC-klagomål.docx", "A 9930-2021")</f>
        <v/>
      </c>
      <c r="W127">
        <f>HYPERLINK("https://klasma.github.io/Logging_0980/klagomålsmail/A 9930-2021 FSC-klagomål mail.docx", "A 9930-2021")</f>
        <v/>
      </c>
      <c r="X127">
        <f>HYPERLINK("https://klasma.github.io/Logging_0980/tillsyn/A 9930-2021 tillsynsbegäran.docx", "A 9930-2021")</f>
        <v/>
      </c>
      <c r="Y127">
        <f>HYPERLINK("https://klasma.github.io/Logging_0980/tillsynsmail/A 9930-2021 tillsynsbegäran mail.docx", "A 9930-2021")</f>
        <v/>
      </c>
    </row>
    <row r="128" ht="15" customHeight="1">
      <c r="A128" t="inlineStr">
        <is>
          <t>A 16429-2021</t>
        </is>
      </c>
      <c r="B128" s="1" t="n">
        <v>44293</v>
      </c>
      <c r="C128" s="1" t="n">
        <v>45994</v>
      </c>
      <c r="D128" t="inlineStr">
        <is>
          <t>GOTLANDS LÄN</t>
        </is>
      </c>
      <c r="E128" t="inlineStr">
        <is>
          <t>GOTLAND</t>
        </is>
      </c>
      <c r="G128" t="n">
        <v>3.4</v>
      </c>
      <c r="H128" t="n">
        <v>0</v>
      </c>
      <c r="I128" t="n">
        <v>0</v>
      </c>
      <c r="J128" t="n">
        <v>1</v>
      </c>
      <c r="K128" t="n">
        <v>1</v>
      </c>
      <c r="L128" t="n">
        <v>0</v>
      </c>
      <c r="M128" t="n">
        <v>0</v>
      </c>
      <c r="N128" t="n">
        <v>0</v>
      </c>
      <c r="O128" t="n">
        <v>2</v>
      </c>
      <c r="P128" t="n">
        <v>1</v>
      </c>
      <c r="Q128" t="n">
        <v>2</v>
      </c>
      <c r="R128" s="2" t="inlineStr">
        <is>
          <t>Gotlandsmåra
Barrviolspindling</t>
        </is>
      </c>
      <c r="S128">
        <f>HYPERLINK("https://klasma.github.io/Logging_0980/artfynd/A 16429-2021 artfynd.xlsx", "A 16429-2021")</f>
        <v/>
      </c>
      <c r="T128">
        <f>HYPERLINK("https://klasma.github.io/Logging_0980/kartor/A 16429-2021 karta.png", "A 16429-2021")</f>
        <v/>
      </c>
      <c r="V128">
        <f>HYPERLINK("https://klasma.github.io/Logging_0980/klagomål/A 16429-2021 FSC-klagomål.docx", "A 16429-2021")</f>
        <v/>
      </c>
      <c r="W128">
        <f>HYPERLINK("https://klasma.github.io/Logging_0980/klagomålsmail/A 16429-2021 FSC-klagomål mail.docx", "A 16429-2021")</f>
        <v/>
      </c>
      <c r="X128">
        <f>HYPERLINK("https://klasma.github.io/Logging_0980/tillsyn/A 16429-2021 tillsynsbegäran.docx", "A 16429-2021")</f>
        <v/>
      </c>
      <c r="Y128">
        <f>HYPERLINK("https://klasma.github.io/Logging_0980/tillsynsmail/A 16429-2021 tillsynsbegäran mail.docx", "A 16429-2021")</f>
        <v/>
      </c>
    </row>
    <row r="129" ht="15" customHeight="1">
      <c r="A129" t="inlineStr">
        <is>
          <t>A 60665-2021</t>
        </is>
      </c>
      <c r="B129" s="1" t="n">
        <v>44496</v>
      </c>
      <c r="C129" s="1" t="n">
        <v>45994</v>
      </c>
      <c r="D129" t="inlineStr">
        <is>
          <t>GOTLANDS LÄN</t>
        </is>
      </c>
      <c r="E129" t="inlineStr">
        <is>
          <t>GOTLAND</t>
        </is>
      </c>
      <c r="G129" t="n">
        <v>1.6</v>
      </c>
      <c r="H129" t="n">
        <v>0</v>
      </c>
      <c r="I129" t="n">
        <v>0</v>
      </c>
      <c r="J129" t="n">
        <v>0</v>
      </c>
      <c r="K129" t="n">
        <v>1</v>
      </c>
      <c r="L129" t="n">
        <v>1</v>
      </c>
      <c r="M129" t="n">
        <v>0</v>
      </c>
      <c r="N129" t="n">
        <v>0</v>
      </c>
      <c r="O129" t="n">
        <v>2</v>
      </c>
      <c r="P129" t="n">
        <v>2</v>
      </c>
      <c r="Q129" t="n">
        <v>2</v>
      </c>
      <c r="R129" s="2" t="inlineStr">
        <is>
          <t>Ädellav
Skogskorn</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45994</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28261-2024</t>
        </is>
      </c>
      <c r="B131" s="1" t="n">
        <v>45477</v>
      </c>
      <c r="C131" s="1" t="n">
        <v>45994</v>
      </c>
      <c r="D131" t="inlineStr">
        <is>
          <t>GOTLANDS LÄN</t>
        </is>
      </c>
      <c r="E131" t="inlineStr">
        <is>
          <t>GOTLAND</t>
        </is>
      </c>
      <c r="G131" t="n">
        <v>22.8</v>
      </c>
      <c r="H131" t="n">
        <v>0</v>
      </c>
      <c r="I131" t="n">
        <v>0</v>
      </c>
      <c r="J131" t="n">
        <v>2</v>
      </c>
      <c r="K131" t="n">
        <v>0</v>
      </c>
      <c r="L131" t="n">
        <v>0</v>
      </c>
      <c r="M131" t="n">
        <v>0</v>
      </c>
      <c r="N131" t="n">
        <v>0</v>
      </c>
      <c r="O131" t="n">
        <v>2</v>
      </c>
      <c r="P131" t="n">
        <v>0</v>
      </c>
      <c r="Q131" t="n">
        <v>2</v>
      </c>
      <c r="R131" s="2" t="inlineStr">
        <is>
          <t>Grådådra
Åkerkulla</t>
        </is>
      </c>
      <c r="S131">
        <f>HYPERLINK("https://klasma.github.io/Logging_0980/artfynd/A 28261-2024 artfynd.xlsx", "A 28261-2024")</f>
        <v/>
      </c>
      <c r="T131">
        <f>HYPERLINK("https://klasma.github.io/Logging_0980/kartor/A 28261-2024 karta.png", "A 28261-2024")</f>
        <v/>
      </c>
      <c r="V131">
        <f>HYPERLINK("https://klasma.github.io/Logging_0980/klagomål/A 28261-2024 FSC-klagomål.docx", "A 28261-2024")</f>
        <v/>
      </c>
      <c r="W131">
        <f>HYPERLINK("https://klasma.github.io/Logging_0980/klagomålsmail/A 28261-2024 FSC-klagomål mail.docx", "A 28261-2024")</f>
        <v/>
      </c>
      <c r="X131">
        <f>HYPERLINK("https://klasma.github.io/Logging_0980/tillsyn/A 28261-2024 tillsynsbegäran.docx", "A 28261-2024")</f>
        <v/>
      </c>
      <c r="Y131">
        <f>HYPERLINK("https://klasma.github.io/Logging_0980/tillsynsmail/A 28261-2024 tillsynsbegäran mail.docx", "A 28261-2024")</f>
        <v/>
      </c>
    </row>
    <row r="132" ht="15" customHeight="1">
      <c r="A132" t="inlineStr">
        <is>
          <t>A 64263-2020</t>
        </is>
      </c>
      <c r="B132" s="1" t="n">
        <v>44168</v>
      </c>
      <c r="C132" s="1" t="n">
        <v>45994</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55649-2024</t>
        </is>
      </c>
      <c r="B133" s="1" t="n">
        <v>45622.63053240741</v>
      </c>
      <c r="C133" s="1" t="n">
        <v>45994</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12914-2025</t>
        </is>
      </c>
      <c r="B134" s="1" t="n">
        <v>45733</v>
      </c>
      <c r="C134" s="1" t="n">
        <v>45994</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26077-2024</t>
        </is>
      </c>
      <c r="B135" s="1" t="n">
        <v>45467</v>
      </c>
      <c r="C135" s="1" t="n">
        <v>45994</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54357-2024</t>
        </is>
      </c>
      <c r="B136" s="1" t="n">
        <v>45617.40662037037</v>
      </c>
      <c r="C136" s="1" t="n">
        <v>45994</v>
      </c>
      <c r="D136" t="inlineStr">
        <is>
          <t>GOTLANDS LÄN</t>
        </is>
      </c>
      <c r="E136" t="inlineStr">
        <is>
          <t>GOTLAND</t>
        </is>
      </c>
      <c r="G136" t="n">
        <v>1.5</v>
      </c>
      <c r="H136" t="n">
        <v>1</v>
      </c>
      <c r="I136" t="n">
        <v>0</v>
      </c>
      <c r="J136" t="n">
        <v>1</v>
      </c>
      <c r="K136" t="n">
        <v>0</v>
      </c>
      <c r="L136" t="n">
        <v>0</v>
      </c>
      <c r="M136" t="n">
        <v>0</v>
      </c>
      <c r="N136" t="n">
        <v>0</v>
      </c>
      <c r="O136" t="n">
        <v>1</v>
      </c>
      <c r="P136" t="n">
        <v>0</v>
      </c>
      <c r="Q136" t="n">
        <v>2</v>
      </c>
      <c r="R136" s="2" t="inlineStr">
        <is>
          <t>Loppstarr
Fläcknycklar</t>
        </is>
      </c>
      <c r="S136">
        <f>HYPERLINK("https://klasma.github.io/Logging_0980/artfynd/A 54357-2024 artfynd.xlsx", "A 54357-2024")</f>
        <v/>
      </c>
      <c r="T136">
        <f>HYPERLINK("https://klasma.github.io/Logging_0980/kartor/A 54357-2024 karta.png", "A 54357-2024")</f>
        <v/>
      </c>
      <c r="V136">
        <f>HYPERLINK("https://klasma.github.io/Logging_0980/klagomål/A 54357-2024 FSC-klagomål.docx", "A 54357-2024")</f>
        <v/>
      </c>
      <c r="W136">
        <f>HYPERLINK("https://klasma.github.io/Logging_0980/klagomålsmail/A 54357-2024 FSC-klagomål mail.docx", "A 54357-2024")</f>
        <v/>
      </c>
      <c r="X136">
        <f>HYPERLINK("https://klasma.github.io/Logging_0980/tillsyn/A 54357-2024 tillsynsbegäran.docx", "A 54357-2024")</f>
        <v/>
      </c>
      <c r="Y136">
        <f>HYPERLINK("https://klasma.github.io/Logging_0980/tillsynsmail/A 54357-2024 tillsynsbegäran mail.docx", "A 54357-2024")</f>
        <v/>
      </c>
    </row>
    <row r="137" ht="15" customHeight="1">
      <c r="A137" t="inlineStr">
        <is>
          <t>A 21879-2025</t>
        </is>
      </c>
      <c r="B137" s="1" t="n">
        <v>45784.40533564815</v>
      </c>
      <c r="C137" s="1" t="n">
        <v>45994</v>
      </c>
      <c r="D137" t="inlineStr">
        <is>
          <t>GOTLANDS LÄN</t>
        </is>
      </c>
      <c r="E137" t="inlineStr">
        <is>
          <t>GOTLAND</t>
        </is>
      </c>
      <c r="G137" t="n">
        <v>11.1</v>
      </c>
      <c r="H137" t="n">
        <v>0</v>
      </c>
      <c r="I137" t="n">
        <v>1</v>
      </c>
      <c r="J137" t="n">
        <v>0</v>
      </c>
      <c r="K137" t="n">
        <v>0</v>
      </c>
      <c r="L137" t="n">
        <v>1</v>
      </c>
      <c r="M137" t="n">
        <v>0</v>
      </c>
      <c r="N137" t="n">
        <v>0</v>
      </c>
      <c r="O137" t="n">
        <v>1</v>
      </c>
      <c r="P137" t="n">
        <v>1</v>
      </c>
      <c r="Q137" t="n">
        <v>2</v>
      </c>
      <c r="R137" s="2" t="inlineStr">
        <is>
          <t>Ask
Murgröna</t>
        </is>
      </c>
      <c r="S137">
        <f>HYPERLINK("https://klasma.github.io/Logging_0980/artfynd/A 21879-2025 artfynd.xlsx", "A 21879-2025")</f>
        <v/>
      </c>
      <c r="T137">
        <f>HYPERLINK("https://klasma.github.io/Logging_0980/kartor/A 21879-2025 karta.png", "A 21879-2025")</f>
        <v/>
      </c>
      <c r="V137">
        <f>HYPERLINK("https://klasma.github.io/Logging_0980/klagomål/A 21879-2025 FSC-klagomål.docx", "A 21879-2025")</f>
        <v/>
      </c>
      <c r="W137">
        <f>HYPERLINK("https://klasma.github.io/Logging_0980/klagomålsmail/A 21879-2025 FSC-klagomål mail.docx", "A 21879-2025")</f>
        <v/>
      </c>
      <c r="X137">
        <f>HYPERLINK("https://klasma.github.io/Logging_0980/tillsyn/A 21879-2025 tillsynsbegäran.docx", "A 21879-2025")</f>
        <v/>
      </c>
      <c r="Y137">
        <f>HYPERLINK("https://klasma.github.io/Logging_0980/tillsynsmail/A 21879-2025 tillsynsbegäran mail.docx", "A 21879-2025")</f>
        <v/>
      </c>
    </row>
    <row r="138" ht="15" customHeight="1">
      <c r="A138" t="inlineStr">
        <is>
          <t>A 20838-2024</t>
        </is>
      </c>
      <c r="B138" s="1" t="n">
        <v>45439</v>
      </c>
      <c r="C138" s="1" t="n">
        <v>45994</v>
      </c>
      <c r="D138" t="inlineStr">
        <is>
          <t>GOTLANDS LÄN</t>
        </is>
      </c>
      <c r="E138" t="inlineStr">
        <is>
          <t>GOTLAND</t>
        </is>
      </c>
      <c r="G138" t="n">
        <v>0.7</v>
      </c>
      <c r="H138" t="n">
        <v>2</v>
      </c>
      <c r="I138" t="n">
        <v>1</v>
      </c>
      <c r="J138" t="n">
        <v>1</v>
      </c>
      <c r="K138" t="n">
        <v>0</v>
      </c>
      <c r="L138" t="n">
        <v>0</v>
      </c>
      <c r="M138" t="n">
        <v>0</v>
      </c>
      <c r="N138" t="n">
        <v>0</v>
      </c>
      <c r="O138" t="n">
        <v>1</v>
      </c>
      <c r="P138" t="n">
        <v>0</v>
      </c>
      <c r="Q138" t="n">
        <v>2</v>
      </c>
      <c r="R138" s="2" t="inlineStr">
        <is>
          <t>Spillkråka
Skogsknipprot</t>
        </is>
      </c>
      <c r="S138">
        <f>HYPERLINK("https://klasma.github.io/Logging_0980/artfynd/A 20838-2024 artfynd.xlsx", "A 20838-2024")</f>
        <v/>
      </c>
      <c r="T138">
        <f>HYPERLINK("https://klasma.github.io/Logging_0980/kartor/A 20838-2024 karta.png", "A 20838-2024")</f>
        <v/>
      </c>
      <c r="V138">
        <f>HYPERLINK("https://klasma.github.io/Logging_0980/klagomål/A 20838-2024 FSC-klagomål.docx", "A 20838-2024")</f>
        <v/>
      </c>
      <c r="W138">
        <f>HYPERLINK("https://klasma.github.io/Logging_0980/klagomålsmail/A 20838-2024 FSC-klagomål mail.docx", "A 20838-2024")</f>
        <v/>
      </c>
      <c r="X138">
        <f>HYPERLINK("https://klasma.github.io/Logging_0980/tillsyn/A 20838-2024 tillsynsbegäran.docx", "A 20838-2024")</f>
        <v/>
      </c>
      <c r="Y138">
        <f>HYPERLINK("https://klasma.github.io/Logging_0980/tillsynsmail/A 20838-2024 tillsynsbegäran mail.docx", "A 20838-2024")</f>
        <v/>
      </c>
      <c r="Z138">
        <f>HYPERLINK("https://klasma.github.io/Logging_0980/fåglar/A 20838-2024 prioriterade fågelarter.docx", "A 20838-2024")</f>
        <v/>
      </c>
    </row>
    <row r="139" ht="15" customHeight="1">
      <c r="A139" t="inlineStr">
        <is>
          <t>A 7070-2022</t>
        </is>
      </c>
      <c r="B139" s="1" t="n">
        <v>44603</v>
      </c>
      <c r="C139" s="1" t="n">
        <v>45994</v>
      </c>
      <c r="D139" t="inlineStr">
        <is>
          <t>GOTLANDS LÄN</t>
        </is>
      </c>
      <c r="E139" t="inlineStr">
        <is>
          <t>GOTLAND</t>
        </is>
      </c>
      <c r="G139" t="n">
        <v>2.6</v>
      </c>
      <c r="H139" t="n">
        <v>0</v>
      </c>
      <c r="I139" t="n">
        <v>2</v>
      </c>
      <c r="J139" t="n">
        <v>0</v>
      </c>
      <c r="K139" t="n">
        <v>0</v>
      </c>
      <c r="L139" t="n">
        <v>0</v>
      </c>
      <c r="M139" t="n">
        <v>0</v>
      </c>
      <c r="N139" t="n">
        <v>0</v>
      </c>
      <c r="O139" t="n">
        <v>0</v>
      </c>
      <c r="P139" t="n">
        <v>0</v>
      </c>
      <c r="Q139" t="n">
        <v>2</v>
      </c>
      <c r="R139" s="2" t="inlineStr">
        <is>
          <t>Blåmossa
Kattfotslav</t>
        </is>
      </c>
      <c r="S139">
        <f>HYPERLINK("https://klasma.github.io/Logging_0980/artfynd/A 7070-2022 artfynd.xlsx", "A 7070-2022")</f>
        <v/>
      </c>
      <c r="T139">
        <f>HYPERLINK("https://klasma.github.io/Logging_0980/kartor/A 7070-2022 karta.png", "A 7070-2022")</f>
        <v/>
      </c>
      <c r="V139">
        <f>HYPERLINK("https://klasma.github.io/Logging_0980/klagomål/A 7070-2022 FSC-klagomål.docx", "A 7070-2022")</f>
        <v/>
      </c>
      <c r="W139">
        <f>HYPERLINK("https://klasma.github.io/Logging_0980/klagomålsmail/A 7070-2022 FSC-klagomål mail.docx", "A 7070-2022")</f>
        <v/>
      </c>
      <c r="X139">
        <f>HYPERLINK("https://klasma.github.io/Logging_0980/tillsyn/A 7070-2022 tillsynsbegäran.docx", "A 7070-2022")</f>
        <v/>
      </c>
      <c r="Y139">
        <f>HYPERLINK("https://klasma.github.io/Logging_0980/tillsynsmail/A 7070-2022 tillsynsbegäran mail.docx", "A 7070-2022")</f>
        <v/>
      </c>
    </row>
    <row r="140" ht="15" customHeight="1">
      <c r="A140" t="inlineStr">
        <is>
          <t>A 43219-2023</t>
        </is>
      </c>
      <c r="B140" s="1" t="n">
        <v>45183</v>
      </c>
      <c r="C140" s="1" t="n">
        <v>45994</v>
      </c>
      <c r="D140" t="inlineStr">
        <is>
          <t>GOTLANDS LÄN</t>
        </is>
      </c>
      <c r="E140" t="inlineStr">
        <is>
          <t>GOTLAND</t>
        </is>
      </c>
      <c r="G140" t="n">
        <v>3.6</v>
      </c>
      <c r="H140" t="n">
        <v>1</v>
      </c>
      <c r="I140" t="n">
        <v>0</v>
      </c>
      <c r="J140" t="n">
        <v>1</v>
      </c>
      <c r="K140" t="n">
        <v>0</v>
      </c>
      <c r="L140" t="n">
        <v>0</v>
      </c>
      <c r="M140" t="n">
        <v>0</v>
      </c>
      <c r="N140" t="n">
        <v>0</v>
      </c>
      <c r="O140" t="n">
        <v>1</v>
      </c>
      <c r="P140" t="n">
        <v>0</v>
      </c>
      <c r="Q140" t="n">
        <v>2</v>
      </c>
      <c r="R140" s="2" t="inlineStr">
        <is>
          <t>Axveronika
Skogsduva</t>
        </is>
      </c>
      <c r="S140">
        <f>HYPERLINK("https://klasma.github.io/Logging_0980/artfynd/A 43219-2023 artfynd.xlsx", "A 43219-2023")</f>
        <v/>
      </c>
      <c r="T140">
        <f>HYPERLINK("https://klasma.github.io/Logging_0980/kartor/A 43219-2023 karta.png", "A 43219-2023")</f>
        <v/>
      </c>
      <c r="V140">
        <f>HYPERLINK("https://klasma.github.io/Logging_0980/klagomål/A 43219-2023 FSC-klagomål.docx", "A 43219-2023")</f>
        <v/>
      </c>
      <c r="W140">
        <f>HYPERLINK("https://klasma.github.io/Logging_0980/klagomålsmail/A 43219-2023 FSC-klagomål mail.docx", "A 43219-2023")</f>
        <v/>
      </c>
      <c r="X140">
        <f>HYPERLINK("https://klasma.github.io/Logging_0980/tillsyn/A 43219-2023 tillsynsbegäran.docx", "A 43219-2023")</f>
        <v/>
      </c>
      <c r="Y140">
        <f>HYPERLINK("https://klasma.github.io/Logging_0980/tillsynsmail/A 43219-2023 tillsynsbegäran mail.docx", "A 43219-2023")</f>
        <v/>
      </c>
      <c r="Z140">
        <f>HYPERLINK("https://klasma.github.io/Logging_0980/fåglar/A 43219-2023 prioriterade fågelarter.docx", "A 43219-2023")</f>
        <v/>
      </c>
    </row>
    <row r="141" ht="15" customHeight="1">
      <c r="A141" t="inlineStr">
        <is>
          <t>A 28276-2024</t>
        </is>
      </c>
      <c r="B141" s="1" t="n">
        <v>45477</v>
      </c>
      <c r="C141" s="1" t="n">
        <v>45994</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24-2021</t>
        </is>
      </c>
      <c r="B142" s="1" t="n">
        <v>44197</v>
      </c>
      <c r="C142" s="1" t="n">
        <v>45994</v>
      </c>
      <c r="D142" t="inlineStr">
        <is>
          <t>GOTLANDS LÄN</t>
        </is>
      </c>
      <c r="E142" t="inlineStr">
        <is>
          <t>GOTLAND</t>
        </is>
      </c>
      <c r="F142" t="inlineStr">
        <is>
          <t>Kyrkan</t>
        </is>
      </c>
      <c r="G142" t="n">
        <v>1.7</v>
      </c>
      <c r="H142" t="n">
        <v>0</v>
      </c>
      <c r="I142" t="n">
        <v>1</v>
      </c>
      <c r="J142" t="n">
        <v>0</v>
      </c>
      <c r="K142" t="n">
        <v>0</v>
      </c>
      <c r="L142" t="n">
        <v>0</v>
      </c>
      <c r="M142" t="n">
        <v>0</v>
      </c>
      <c r="N142" t="n">
        <v>0</v>
      </c>
      <c r="O142" t="n">
        <v>0</v>
      </c>
      <c r="P142" t="n">
        <v>0</v>
      </c>
      <c r="Q142" t="n">
        <v>1</v>
      </c>
      <c r="R142" s="2" t="inlineStr">
        <is>
          <t>Svavelriska</t>
        </is>
      </c>
      <c r="S142">
        <f>HYPERLINK("https://klasma.github.io/Logging_0980/artfynd/A 24-2021 artfynd.xlsx", "A 24-2021")</f>
        <v/>
      </c>
      <c r="T142">
        <f>HYPERLINK("https://klasma.github.io/Logging_0980/kartor/A 24-2021 karta.png", "A 24-2021")</f>
        <v/>
      </c>
      <c r="V142">
        <f>HYPERLINK("https://klasma.github.io/Logging_0980/klagomål/A 24-2021 FSC-klagomål.docx", "A 24-2021")</f>
        <v/>
      </c>
      <c r="W142">
        <f>HYPERLINK("https://klasma.github.io/Logging_0980/klagomålsmail/A 24-2021 FSC-klagomål mail.docx", "A 24-2021")</f>
        <v/>
      </c>
      <c r="X142">
        <f>HYPERLINK("https://klasma.github.io/Logging_0980/tillsyn/A 24-2021 tillsynsbegäran.docx", "A 24-2021")</f>
        <v/>
      </c>
      <c r="Y142">
        <f>HYPERLINK("https://klasma.github.io/Logging_0980/tillsynsmail/A 24-2021 tillsynsbegäran mail.docx", "A 24-2021")</f>
        <v/>
      </c>
    </row>
    <row r="143" ht="15" customHeight="1">
      <c r="A143" t="inlineStr">
        <is>
          <t>A 46362-2021</t>
        </is>
      </c>
      <c r="B143" s="1" t="n">
        <v>44442</v>
      </c>
      <c r="C143" s="1" t="n">
        <v>45994</v>
      </c>
      <c r="D143" t="inlineStr">
        <is>
          <t>GOTLANDS LÄN</t>
        </is>
      </c>
      <c r="E143" t="inlineStr">
        <is>
          <t>GOTLAND</t>
        </is>
      </c>
      <c r="G143" t="n">
        <v>2.1</v>
      </c>
      <c r="H143" t="n">
        <v>0</v>
      </c>
      <c r="I143" t="n">
        <v>0</v>
      </c>
      <c r="J143" t="n">
        <v>1</v>
      </c>
      <c r="K143" t="n">
        <v>0</v>
      </c>
      <c r="L143" t="n">
        <v>0</v>
      </c>
      <c r="M143" t="n">
        <v>0</v>
      </c>
      <c r="N143" t="n">
        <v>0</v>
      </c>
      <c r="O143" t="n">
        <v>1</v>
      </c>
      <c r="P143" t="n">
        <v>0</v>
      </c>
      <c r="Q143" t="n">
        <v>1</v>
      </c>
      <c r="R143" s="2" t="inlineStr">
        <is>
          <t>Igelkott</t>
        </is>
      </c>
      <c r="S143">
        <f>HYPERLINK("https://klasma.github.io/Logging_0980/artfynd/A 46362-2021 artfynd.xlsx", "A 46362-2021")</f>
        <v/>
      </c>
      <c r="T143">
        <f>HYPERLINK("https://klasma.github.io/Logging_0980/kartor/A 46362-2021 karta.png", "A 46362-2021")</f>
        <v/>
      </c>
      <c r="V143">
        <f>HYPERLINK("https://klasma.github.io/Logging_0980/klagomål/A 46362-2021 FSC-klagomål.docx", "A 46362-2021")</f>
        <v/>
      </c>
      <c r="W143">
        <f>HYPERLINK("https://klasma.github.io/Logging_0980/klagomålsmail/A 46362-2021 FSC-klagomål mail.docx", "A 46362-2021")</f>
        <v/>
      </c>
      <c r="X143">
        <f>HYPERLINK("https://klasma.github.io/Logging_0980/tillsyn/A 46362-2021 tillsynsbegäran.docx", "A 46362-2021")</f>
        <v/>
      </c>
      <c r="Y143">
        <f>HYPERLINK("https://klasma.github.io/Logging_0980/tillsynsmail/A 46362-2021 tillsynsbegäran mail.docx", "A 46362-2021")</f>
        <v/>
      </c>
    </row>
    <row r="144" ht="15" customHeight="1">
      <c r="A144" t="inlineStr">
        <is>
          <t>A 7485-2021</t>
        </is>
      </c>
      <c r="B144" s="1" t="n">
        <v>44238</v>
      </c>
      <c r="C144" s="1" t="n">
        <v>45994</v>
      </c>
      <c r="D144" t="inlineStr">
        <is>
          <t>GOTLANDS LÄN</t>
        </is>
      </c>
      <c r="E144" t="inlineStr">
        <is>
          <t>GOTLAND</t>
        </is>
      </c>
      <c r="G144" t="n">
        <v>2.9</v>
      </c>
      <c r="H144" t="n">
        <v>1</v>
      </c>
      <c r="I144" t="n">
        <v>0</v>
      </c>
      <c r="J144" t="n">
        <v>1</v>
      </c>
      <c r="K144" t="n">
        <v>0</v>
      </c>
      <c r="L144" t="n">
        <v>0</v>
      </c>
      <c r="M144" t="n">
        <v>0</v>
      </c>
      <c r="N144" t="n">
        <v>0</v>
      </c>
      <c r="O144" t="n">
        <v>1</v>
      </c>
      <c r="P144" t="n">
        <v>0</v>
      </c>
      <c r="Q144" t="n">
        <v>1</v>
      </c>
      <c r="R144" s="2" t="inlineStr">
        <is>
          <t>Spillkråka</t>
        </is>
      </c>
      <c r="S144">
        <f>HYPERLINK("https://klasma.github.io/Logging_0980/artfynd/A 7485-2021 artfynd.xlsx", "A 7485-2021")</f>
        <v/>
      </c>
      <c r="T144">
        <f>HYPERLINK("https://klasma.github.io/Logging_0980/kartor/A 7485-2021 karta.png", "A 7485-2021")</f>
        <v/>
      </c>
      <c r="V144">
        <f>HYPERLINK("https://klasma.github.io/Logging_0980/klagomål/A 7485-2021 FSC-klagomål.docx", "A 7485-2021")</f>
        <v/>
      </c>
      <c r="W144">
        <f>HYPERLINK("https://klasma.github.io/Logging_0980/klagomålsmail/A 7485-2021 FSC-klagomål mail.docx", "A 7485-2021")</f>
        <v/>
      </c>
      <c r="X144">
        <f>HYPERLINK("https://klasma.github.io/Logging_0980/tillsyn/A 7485-2021 tillsynsbegäran.docx", "A 7485-2021")</f>
        <v/>
      </c>
      <c r="Y144">
        <f>HYPERLINK("https://klasma.github.io/Logging_0980/tillsynsmail/A 7485-2021 tillsynsbegäran mail.docx", "A 7485-2021")</f>
        <v/>
      </c>
      <c r="Z144">
        <f>HYPERLINK("https://klasma.github.io/Logging_0980/fåglar/A 7485-2021 prioriterade fågelarter.docx", "A 7485-2021")</f>
        <v/>
      </c>
    </row>
    <row r="145" ht="15" customHeight="1">
      <c r="A145" t="inlineStr">
        <is>
          <t>A 13939-2021</t>
        </is>
      </c>
      <c r="B145" s="1" t="n">
        <v>44277</v>
      </c>
      <c r="C145" s="1" t="n">
        <v>45994</v>
      </c>
      <c r="D145" t="inlineStr">
        <is>
          <t>GOTLANDS LÄN</t>
        </is>
      </c>
      <c r="E145" t="inlineStr">
        <is>
          <t>GOTLAND</t>
        </is>
      </c>
      <c r="G145" t="n">
        <v>1</v>
      </c>
      <c r="H145" t="n">
        <v>0</v>
      </c>
      <c r="I145" t="n">
        <v>0</v>
      </c>
      <c r="J145" t="n">
        <v>1</v>
      </c>
      <c r="K145" t="n">
        <v>0</v>
      </c>
      <c r="L145" t="n">
        <v>0</v>
      </c>
      <c r="M145" t="n">
        <v>0</v>
      </c>
      <c r="N145" t="n">
        <v>0</v>
      </c>
      <c r="O145" t="n">
        <v>1</v>
      </c>
      <c r="P145" t="n">
        <v>0</v>
      </c>
      <c r="Q145" t="n">
        <v>1</v>
      </c>
      <c r="R145" s="2" t="inlineStr">
        <is>
          <t>Axveronika</t>
        </is>
      </c>
      <c r="S145">
        <f>HYPERLINK("https://klasma.github.io/Logging_0980/artfynd/A 13939-2021 artfynd.xlsx", "A 13939-2021")</f>
        <v/>
      </c>
      <c r="T145">
        <f>HYPERLINK("https://klasma.github.io/Logging_0980/kartor/A 13939-2021 karta.png", "A 13939-2021")</f>
        <v/>
      </c>
      <c r="V145">
        <f>HYPERLINK("https://klasma.github.io/Logging_0980/klagomål/A 13939-2021 FSC-klagomål.docx", "A 13939-2021")</f>
        <v/>
      </c>
      <c r="W145">
        <f>HYPERLINK("https://klasma.github.io/Logging_0980/klagomålsmail/A 13939-2021 FSC-klagomål mail.docx", "A 13939-2021")</f>
        <v/>
      </c>
      <c r="X145">
        <f>HYPERLINK("https://klasma.github.io/Logging_0980/tillsyn/A 13939-2021 tillsynsbegäran.docx", "A 13939-2021")</f>
        <v/>
      </c>
      <c r="Y145">
        <f>HYPERLINK("https://klasma.github.io/Logging_0980/tillsynsmail/A 13939-2021 tillsynsbegäran mail.docx", "A 13939-2021")</f>
        <v/>
      </c>
    </row>
    <row r="146" ht="15" customHeight="1">
      <c r="A146" t="inlineStr">
        <is>
          <t>A 65927-2021</t>
        </is>
      </c>
      <c r="B146" s="1" t="n">
        <v>44516</v>
      </c>
      <c r="C146" s="1" t="n">
        <v>45994</v>
      </c>
      <c r="D146" t="inlineStr">
        <is>
          <t>GOTLANDS LÄN</t>
        </is>
      </c>
      <c r="E146" t="inlineStr">
        <is>
          <t>GOTLAND</t>
        </is>
      </c>
      <c r="G146" t="n">
        <v>3.1</v>
      </c>
      <c r="H146" t="n">
        <v>1</v>
      </c>
      <c r="I146" t="n">
        <v>0</v>
      </c>
      <c r="J146" t="n">
        <v>0</v>
      </c>
      <c r="K146" t="n">
        <v>1</v>
      </c>
      <c r="L146" t="n">
        <v>0</v>
      </c>
      <c r="M146" t="n">
        <v>0</v>
      </c>
      <c r="N146" t="n">
        <v>0</v>
      </c>
      <c r="O146" t="n">
        <v>1</v>
      </c>
      <c r="P146" t="n">
        <v>1</v>
      </c>
      <c r="Q146" t="n">
        <v>1</v>
      </c>
      <c r="R146" s="2" t="inlineStr">
        <is>
          <t>Grenigt kungsljus</t>
        </is>
      </c>
      <c r="S146">
        <f>HYPERLINK("https://klasma.github.io/Logging_0980/artfynd/A 65927-2021 artfynd.xlsx", "A 65927-2021")</f>
        <v/>
      </c>
      <c r="T146">
        <f>HYPERLINK("https://klasma.github.io/Logging_0980/kartor/A 65927-2021 karta.png", "A 65927-2021")</f>
        <v/>
      </c>
      <c r="V146">
        <f>HYPERLINK("https://klasma.github.io/Logging_0980/klagomål/A 65927-2021 FSC-klagomål.docx", "A 65927-2021")</f>
        <v/>
      </c>
      <c r="W146">
        <f>HYPERLINK("https://klasma.github.io/Logging_0980/klagomålsmail/A 65927-2021 FSC-klagomål mail.docx", "A 65927-2021")</f>
        <v/>
      </c>
      <c r="X146">
        <f>HYPERLINK("https://klasma.github.io/Logging_0980/tillsyn/A 65927-2021 tillsynsbegäran.docx", "A 65927-2021")</f>
        <v/>
      </c>
      <c r="Y146">
        <f>HYPERLINK("https://klasma.github.io/Logging_0980/tillsynsmail/A 65927-2021 tillsynsbegäran mail.docx", "A 65927-2021")</f>
        <v/>
      </c>
    </row>
    <row r="147" ht="15" customHeight="1">
      <c r="A147" t="inlineStr">
        <is>
          <t>A 947-2023</t>
        </is>
      </c>
      <c r="B147" s="1" t="n">
        <v>44934</v>
      </c>
      <c r="C147" s="1" t="n">
        <v>45994</v>
      </c>
      <c r="D147" t="inlineStr">
        <is>
          <t>GOTLANDS LÄN</t>
        </is>
      </c>
      <c r="E147" t="inlineStr">
        <is>
          <t>GOTLAND</t>
        </is>
      </c>
      <c r="G147" t="n">
        <v>0.7</v>
      </c>
      <c r="H147" t="n">
        <v>1</v>
      </c>
      <c r="I147" t="n">
        <v>0</v>
      </c>
      <c r="J147" t="n">
        <v>0</v>
      </c>
      <c r="K147" t="n">
        <v>1</v>
      </c>
      <c r="L147" t="n">
        <v>0</v>
      </c>
      <c r="M147" t="n">
        <v>0</v>
      </c>
      <c r="N147" t="n">
        <v>0</v>
      </c>
      <c r="O147" t="n">
        <v>1</v>
      </c>
      <c r="P147" t="n">
        <v>1</v>
      </c>
      <c r="Q147" t="n">
        <v>1</v>
      </c>
      <c r="R147" s="2" t="inlineStr">
        <is>
          <t>Garderönn</t>
        </is>
      </c>
      <c r="S147">
        <f>HYPERLINK("https://klasma.github.io/Logging_0980/artfynd/A 947-2023 artfynd.xlsx", "A 947-2023")</f>
        <v/>
      </c>
      <c r="T147">
        <f>HYPERLINK("https://klasma.github.io/Logging_0980/kartor/A 947-2023 karta.png", "A 947-2023")</f>
        <v/>
      </c>
      <c r="V147">
        <f>HYPERLINK("https://klasma.github.io/Logging_0980/klagomål/A 947-2023 FSC-klagomål.docx", "A 947-2023")</f>
        <v/>
      </c>
      <c r="W147">
        <f>HYPERLINK("https://klasma.github.io/Logging_0980/klagomålsmail/A 947-2023 FSC-klagomål mail.docx", "A 947-2023")</f>
        <v/>
      </c>
      <c r="X147">
        <f>HYPERLINK("https://klasma.github.io/Logging_0980/tillsyn/A 947-2023 tillsynsbegäran.docx", "A 947-2023")</f>
        <v/>
      </c>
      <c r="Y147">
        <f>HYPERLINK("https://klasma.github.io/Logging_0980/tillsynsmail/A 947-2023 tillsynsbegäran mail.docx", "A 947-2023")</f>
        <v/>
      </c>
    </row>
    <row r="148" ht="15" customHeight="1">
      <c r="A148" t="inlineStr">
        <is>
          <t>A 24245-2022</t>
        </is>
      </c>
      <c r="B148" s="1" t="n">
        <v>44725</v>
      </c>
      <c r="C148" s="1" t="n">
        <v>45994</v>
      </c>
      <c r="D148" t="inlineStr">
        <is>
          <t>GOTLANDS LÄN</t>
        </is>
      </c>
      <c r="E148" t="inlineStr">
        <is>
          <t>GOTLAND</t>
        </is>
      </c>
      <c r="G148" t="n">
        <v>4.9</v>
      </c>
      <c r="H148" t="n">
        <v>0</v>
      </c>
      <c r="I148" t="n">
        <v>0</v>
      </c>
      <c r="J148" t="n">
        <v>0</v>
      </c>
      <c r="K148" t="n">
        <v>0</v>
      </c>
      <c r="L148" t="n">
        <v>1</v>
      </c>
      <c r="M148" t="n">
        <v>0</v>
      </c>
      <c r="N148" t="n">
        <v>0</v>
      </c>
      <c r="O148" t="n">
        <v>1</v>
      </c>
      <c r="P148" t="n">
        <v>1</v>
      </c>
      <c r="Q148" t="n">
        <v>1</v>
      </c>
      <c r="R148" s="2" t="inlineStr">
        <is>
          <t>Slät taggsvamp</t>
        </is>
      </c>
      <c r="S148">
        <f>HYPERLINK("https://klasma.github.io/Logging_0980/artfynd/A 24245-2022 artfynd.xlsx", "A 24245-2022")</f>
        <v/>
      </c>
      <c r="T148">
        <f>HYPERLINK("https://klasma.github.io/Logging_0980/kartor/A 24245-2022 karta.png", "A 24245-2022")</f>
        <v/>
      </c>
      <c r="V148">
        <f>HYPERLINK("https://klasma.github.io/Logging_0980/klagomål/A 24245-2022 FSC-klagomål.docx", "A 24245-2022")</f>
        <v/>
      </c>
      <c r="W148">
        <f>HYPERLINK("https://klasma.github.io/Logging_0980/klagomålsmail/A 24245-2022 FSC-klagomål mail.docx", "A 24245-2022")</f>
        <v/>
      </c>
      <c r="X148">
        <f>HYPERLINK("https://klasma.github.io/Logging_0980/tillsyn/A 24245-2022 tillsynsbegäran.docx", "A 24245-2022")</f>
        <v/>
      </c>
      <c r="Y148">
        <f>HYPERLINK("https://klasma.github.io/Logging_0980/tillsynsmail/A 24245-2022 tillsynsbegäran mail.docx", "A 24245-2022")</f>
        <v/>
      </c>
    </row>
    <row r="149" ht="15" customHeight="1">
      <c r="A149" t="inlineStr">
        <is>
          <t>A 22883-2024</t>
        </is>
      </c>
      <c r="B149" s="1" t="n">
        <v>45448.66368055555</v>
      </c>
      <c r="C149" s="1" t="n">
        <v>45994</v>
      </c>
      <c r="D149" t="inlineStr">
        <is>
          <t>GOTLANDS LÄN</t>
        </is>
      </c>
      <c r="E149" t="inlineStr">
        <is>
          <t>GOTLAND</t>
        </is>
      </c>
      <c r="G149" t="n">
        <v>0.5</v>
      </c>
      <c r="H149" t="n">
        <v>0</v>
      </c>
      <c r="I149" t="n">
        <v>0</v>
      </c>
      <c r="J149" t="n">
        <v>0</v>
      </c>
      <c r="K149" t="n">
        <v>1</v>
      </c>
      <c r="L149" t="n">
        <v>0</v>
      </c>
      <c r="M149" t="n">
        <v>0</v>
      </c>
      <c r="N149" t="n">
        <v>0</v>
      </c>
      <c r="O149" t="n">
        <v>1</v>
      </c>
      <c r="P149" t="n">
        <v>1</v>
      </c>
      <c r="Q149" t="n">
        <v>1</v>
      </c>
      <c r="R149" s="2" t="inlineStr">
        <is>
          <t>Gotlandsmåra</t>
        </is>
      </c>
      <c r="S149">
        <f>HYPERLINK("https://klasma.github.io/Logging_0980/artfynd/A 22883-2024 artfynd.xlsx", "A 22883-2024")</f>
        <v/>
      </c>
      <c r="T149">
        <f>HYPERLINK("https://klasma.github.io/Logging_0980/kartor/A 22883-2024 karta.png", "A 22883-2024")</f>
        <v/>
      </c>
      <c r="V149">
        <f>HYPERLINK("https://klasma.github.io/Logging_0980/klagomål/A 22883-2024 FSC-klagomål.docx", "A 22883-2024")</f>
        <v/>
      </c>
      <c r="W149">
        <f>HYPERLINK("https://klasma.github.io/Logging_0980/klagomålsmail/A 22883-2024 FSC-klagomål mail.docx", "A 22883-2024")</f>
        <v/>
      </c>
      <c r="X149">
        <f>HYPERLINK("https://klasma.github.io/Logging_0980/tillsyn/A 22883-2024 tillsynsbegäran.docx", "A 22883-2024")</f>
        <v/>
      </c>
      <c r="Y149">
        <f>HYPERLINK("https://klasma.github.io/Logging_0980/tillsynsmail/A 22883-2024 tillsynsbegäran mail.docx", "A 22883-2024")</f>
        <v/>
      </c>
    </row>
    <row r="150" ht="15" customHeight="1">
      <c r="A150" t="inlineStr">
        <is>
          <t>A 1477-2024</t>
        </is>
      </c>
      <c r="B150" s="1" t="n">
        <v>45305.37987268518</v>
      </c>
      <c r="C150" s="1" t="n">
        <v>45994</v>
      </c>
      <c r="D150" t="inlineStr">
        <is>
          <t>GOTLANDS LÄN</t>
        </is>
      </c>
      <c r="E150" t="inlineStr">
        <is>
          <t>GOTLAND</t>
        </is>
      </c>
      <c r="G150" t="n">
        <v>6.9</v>
      </c>
      <c r="H150" t="n">
        <v>0</v>
      </c>
      <c r="I150" t="n">
        <v>0</v>
      </c>
      <c r="J150" t="n">
        <v>1</v>
      </c>
      <c r="K150" t="n">
        <v>0</v>
      </c>
      <c r="L150" t="n">
        <v>0</v>
      </c>
      <c r="M150" t="n">
        <v>0</v>
      </c>
      <c r="N150" t="n">
        <v>0</v>
      </c>
      <c r="O150" t="n">
        <v>1</v>
      </c>
      <c r="P150" t="n">
        <v>0</v>
      </c>
      <c r="Q150" t="n">
        <v>1</v>
      </c>
      <c r="R150" s="2" t="inlineStr">
        <is>
          <t>Igelkott</t>
        </is>
      </c>
      <c r="S150">
        <f>HYPERLINK("https://klasma.github.io/Logging_0980/artfynd/A 1477-2024 artfynd.xlsx", "A 1477-2024")</f>
        <v/>
      </c>
      <c r="T150">
        <f>HYPERLINK("https://klasma.github.io/Logging_0980/kartor/A 1477-2024 karta.png", "A 1477-2024")</f>
        <v/>
      </c>
      <c r="V150">
        <f>HYPERLINK("https://klasma.github.io/Logging_0980/klagomål/A 1477-2024 FSC-klagomål.docx", "A 1477-2024")</f>
        <v/>
      </c>
      <c r="W150">
        <f>HYPERLINK("https://klasma.github.io/Logging_0980/klagomålsmail/A 1477-2024 FSC-klagomål mail.docx", "A 1477-2024")</f>
        <v/>
      </c>
      <c r="X150">
        <f>HYPERLINK("https://klasma.github.io/Logging_0980/tillsyn/A 1477-2024 tillsynsbegäran.docx", "A 1477-2024")</f>
        <v/>
      </c>
      <c r="Y150">
        <f>HYPERLINK("https://klasma.github.io/Logging_0980/tillsynsmail/A 1477-2024 tillsynsbegäran mail.docx", "A 1477-2024")</f>
        <v/>
      </c>
    </row>
    <row r="151" ht="15" customHeight="1">
      <c r="A151" t="inlineStr">
        <is>
          <t>A 63576-2021</t>
        </is>
      </c>
      <c r="B151" s="1" t="n">
        <v>44508</v>
      </c>
      <c r="C151" s="1" t="n">
        <v>45994</v>
      </c>
      <c r="D151" t="inlineStr">
        <is>
          <t>GOTLANDS LÄN</t>
        </is>
      </c>
      <c r="E151" t="inlineStr">
        <is>
          <t>GOTLAND</t>
        </is>
      </c>
      <c r="F151" t="inlineStr">
        <is>
          <t>Kyrkan</t>
        </is>
      </c>
      <c r="G151" t="n">
        <v>4.1</v>
      </c>
      <c r="H151" t="n">
        <v>1</v>
      </c>
      <c r="I151" t="n">
        <v>0</v>
      </c>
      <c r="J151" t="n">
        <v>1</v>
      </c>
      <c r="K151" t="n">
        <v>0</v>
      </c>
      <c r="L151" t="n">
        <v>0</v>
      </c>
      <c r="M151" t="n">
        <v>0</v>
      </c>
      <c r="N151" t="n">
        <v>0</v>
      </c>
      <c r="O151" t="n">
        <v>1</v>
      </c>
      <c r="P151" t="n">
        <v>0</v>
      </c>
      <c r="Q151" t="n">
        <v>1</v>
      </c>
      <c r="R151" s="2" t="inlineStr">
        <is>
          <t>Dårgräsfjäril</t>
        </is>
      </c>
      <c r="S151">
        <f>HYPERLINK("https://klasma.github.io/Logging_0980/artfynd/A 63576-2021 artfynd.xlsx", "A 63576-2021")</f>
        <v/>
      </c>
      <c r="T151">
        <f>HYPERLINK("https://klasma.github.io/Logging_0980/kartor/A 63576-2021 karta.png", "A 63576-2021")</f>
        <v/>
      </c>
      <c r="V151">
        <f>HYPERLINK("https://klasma.github.io/Logging_0980/klagomål/A 63576-2021 FSC-klagomål.docx", "A 63576-2021")</f>
        <v/>
      </c>
      <c r="W151">
        <f>HYPERLINK("https://klasma.github.io/Logging_0980/klagomålsmail/A 63576-2021 FSC-klagomål mail.docx", "A 63576-2021")</f>
        <v/>
      </c>
      <c r="X151">
        <f>HYPERLINK("https://klasma.github.io/Logging_0980/tillsyn/A 63576-2021 tillsynsbegäran.docx", "A 63576-2021")</f>
        <v/>
      </c>
      <c r="Y151">
        <f>HYPERLINK("https://klasma.github.io/Logging_0980/tillsynsmail/A 63576-2021 tillsynsbegäran mail.docx", "A 63576-2021")</f>
        <v/>
      </c>
    </row>
    <row r="152" ht="15" customHeight="1">
      <c r="A152" t="inlineStr">
        <is>
          <t>A 61561-2023</t>
        </is>
      </c>
      <c r="B152" s="1" t="n">
        <v>45265</v>
      </c>
      <c r="C152" s="1" t="n">
        <v>45994</v>
      </c>
      <c r="D152" t="inlineStr">
        <is>
          <t>GOTLANDS LÄN</t>
        </is>
      </c>
      <c r="E152" t="inlineStr">
        <is>
          <t>GOTLAND</t>
        </is>
      </c>
      <c r="G152" t="n">
        <v>7.4</v>
      </c>
      <c r="H152" t="n">
        <v>0</v>
      </c>
      <c r="I152" t="n">
        <v>0</v>
      </c>
      <c r="J152" t="n">
        <v>1</v>
      </c>
      <c r="K152" t="n">
        <v>0</v>
      </c>
      <c r="L152" t="n">
        <v>0</v>
      </c>
      <c r="M152" t="n">
        <v>0</v>
      </c>
      <c r="N152" t="n">
        <v>0</v>
      </c>
      <c r="O152" t="n">
        <v>1</v>
      </c>
      <c r="P152" t="n">
        <v>0</v>
      </c>
      <c r="Q152" t="n">
        <v>1</v>
      </c>
      <c r="R152" s="2" t="inlineStr">
        <is>
          <t>Loppstarr</t>
        </is>
      </c>
      <c r="S152">
        <f>HYPERLINK("https://klasma.github.io/Logging_0980/artfynd/A 61561-2023 artfynd.xlsx", "A 61561-2023")</f>
        <v/>
      </c>
      <c r="T152">
        <f>HYPERLINK("https://klasma.github.io/Logging_0980/kartor/A 61561-2023 karta.png", "A 61561-2023")</f>
        <v/>
      </c>
      <c r="V152">
        <f>HYPERLINK("https://klasma.github.io/Logging_0980/klagomål/A 61561-2023 FSC-klagomål.docx", "A 61561-2023")</f>
        <v/>
      </c>
      <c r="W152">
        <f>HYPERLINK("https://klasma.github.io/Logging_0980/klagomålsmail/A 61561-2023 FSC-klagomål mail.docx", "A 61561-2023")</f>
        <v/>
      </c>
      <c r="X152">
        <f>HYPERLINK("https://klasma.github.io/Logging_0980/tillsyn/A 61561-2023 tillsynsbegäran.docx", "A 61561-2023")</f>
        <v/>
      </c>
      <c r="Y152">
        <f>HYPERLINK("https://klasma.github.io/Logging_0980/tillsynsmail/A 61561-2023 tillsynsbegäran mail.docx", "A 61561-2023")</f>
        <v/>
      </c>
    </row>
    <row r="153" ht="15" customHeight="1">
      <c r="A153" t="inlineStr">
        <is>
          <t>A 7637-2025</t>
        </is>
      </c>
      <c r="B153" s="1" t="n">
        <v>45705.77181712963</v>
      </c>
      <c r="C153" s="1" t="n">
        <v>45994</v>
      </c>
      <c r="D153" t="inlineStr">
        <is>
          <t>GOTLANDS LÄN</t>
        </is>
      </c>
      <c r="E153" t="inlineStr">
        <is>
          <t>GOTLAND</t>
        </is>
      </c>
      <c r="G153" t="n">
        <v>3.7</v>
      </c>
      <c r="H153" t="n">
        <v>0</v>
      </c>
      <c r="I153" t="n">
        <v>0</v>
      </c>
      <c r="J153" t="n">
        <v>0</v>
      </c>
      <c r="K153" t="n">
        <v>0</v>
      </c>
      <c r="L153" t="n">
        <v>0</v>
      </c>
      <c r="M153" t="n">
        <v>1</v>
      </c>
      <c r="N153" t="n">
        <v>0</v>
      </c>
      <c r="O153" t="n">
        <v>1</v>
      </c>
      <c r="P153" t="n">
        <v>1</v>
      </c>
      <c r="Q153" t="n">
        <v>1</v>
      </c>
      <c r="R153" s="2" t="inlineStr">
        <is>
          <t>Skogsalm</t>
        </is>
      </c>
      <c r="S153">
        <f>HYPERLINK("https://klasma.github.io/Logging_0980/artfynd/A 7637-2025 artfynd.xlsx", "A 7637-2025")</f>
        <v/>
      </c>
      <c r="T153">
        <f>HYPERLINK("https://klasma.github.io/Logging_0980/kartor/A 7637-2025 karta.png", "A 7637-2025")</f>
        <v/>
      </c>
      <c r="V153">
        <f>HYPERLINK("https://klasma.github.io/Logging_0980/klagomål/A 7637-2025 FSC-klagomål.docx", "A 7637-2025")</f>
        <v/>
      </c>
      <c r="W153">
        <f>HYPERLINK("https://klasma.github.io/Logging_0980/klagomålsmail/A 7637-2025 FSC-klagomål mail.docx", "A 7637-2025")</f>
        <v/>
      </c>
      <c r="X153">
        <f>HYPERLINK("https://klasma.github.io/Logging_0980/tillsyn/A 7637-2025 tillsynsbegäran.docx", "A 7637-2025")</f>
        <v/>
      </c>
      <c r="Y153">
        <f>HYPERLINK("https://klasma.github.io/Logging_0980/tillsynsmail/A 7637-2025 tillsynsbegäran mail.docx", "A 7637-2025")</f>
        <v/>
      </c>
    </row>
    <row r="154" ht="15" customHeight="1">
      <c r="A154" t="inlineStr">
        <is>
          <t>A 44308-2021</t>
        </is>
      </c>
      <c r="B154" s="1" t="n">
        <v>44434</v>
      </c>
      <c r="C154" s="1" t="n">
        <v>45994</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12324-2025</t>
        </is>
      </c>
      <c r="B155" s="1" t="n">
        <v>45730</v>
      </c>
      <c r="C155" s="1" t="n">
        <v>45994</v>
      </c>
      <c r="D155" t="inlineStr">
        <is>
          <t>GOTLANDS LÄN</t>
        </is>
      </c>
      <c r="E155" t="inlineStr">
        <is>
          <t>GOTLAND</t>
        </is>
      </c>
      <c r="G155" t="n">
        <v>5</v>
      </c>
      <c r="H155" t="n">
        <v>0</v>
      </c>
      <c r="I155" t="n">
        <v>0</v>
      </c>
      <c r="J155" t="n">
        <v>0</v>
      </c>
      <c r="K155" t="n">
        <v>1</v>
      </c>
      <c r="L155" t="n">
        <v>0</v>
      </c>
      <c r="M155" t="n">
        <v>0</v>
      </c>
      <c r="N155" t="n">
        <v>0</v>
      </c>
      <c r="O155" t="n">
        <v>1</v>
      </c>
      <c r="P155" t="n">
        <v>1</v>
      </c>
      <c r="Q155" t="n">
        <v>1</v>
      </c>
      <c r="R155" s="2" t="inlineStr">
        <is>
          <t>Sommarklynne</t>
        </is>
      </c>
      <c r="S155">
        <f>HYPERLINK("https://klasma.github.io/Logging_0980/artfynd/A 12324-2025 artfynd.xlsx", "A 12324-2025")</f>
        <v/>
      </c>
      <c r="T155">
        <f>HYPERLINK("https://klasma.github.io/Logging_0980/kartor/A 12324-2025 karta.png", "A 12324-2025")</f>
        <v/>
      </c>
      <c r="V155">
        <f>HYPERLINK("https://klasma.github.io/Logging_0980/klagomål/A 12324-2025 FSC-klagomål.docx", "A 12324-2025")</f>
        <v/>
      </c>
      <c r="W155">
        <f>HYPERLINK("https://klasma.github.io/Logging_0980/klagomålsmail/A 12324-2025 FSC-klagomål mail.docx", "A 12324-2025")</f>
        <v/>
      </c>
      <c r="X155">
        <f>HYPERLINK("https://klasma.github.io/Logging_0980/tillsyn/A 12324-2025 tillsynsbegäran.docx", "A 12324-2025")</f>
        <v/>
      </c>
      <c r="Y155">
        <f>HYPERLINK("https://klasma.github.io/Logging_0980/tillsynsmail/A 12324-2025 tillsynsbegäran mail.docx", "A 12324-2025")</f>
        <v/>
      </c>
    </row>
    <row r="156" ht="15" customHeight="1">
      <c r="A156" t="inlineStr">
        <is>
          <t>A 21466-2025</t>
        </is>
      </c>
      <c r="B156" s="1" t="n">
        <v>45782</v>
      </c>
      <c r="C156" s="1" t="n">
        <v>45994</v>
      </c>
      <c r="D156" t="inlineStr">
        <is>
          <t>GOTLANDS LÄN</t>
        </is>
      </c>
      <c r="E156" t="inlineStr">
        <is>
          <t>GOTLAND</t>
        </is>
      </c>
      <c r="F156" t="inlineStr">
        <is>
          <t>Övriga statliga verk och myndigheter</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HYPERLINK("https://klasma.github.io/Logging_0980/artfynd/A 21466-2025 artfynd.xlsx", "A 21466-2025")</f>
        <v/>
      </c>
      <c r="T156">
        <f>HYPERLINK("https://klasma.github.io/Logging_0980/kartor/A 21466-2025 karta.png", "A 21466-2025")</f>
        <v/>
      </c>
      <c r="V156">
        <f>HYPERLINK("https://klasma.github.io/Logging_0980/klagomål/A 21466-2025 FSC-klagomål.docx", "A 21466-2025")</f>
        <v/>
      </c>
      <c r="W156">
        <f>HYPERLINK("https://klasma.github.io/Logging_0980/klagomålsmail/A 21466-2025 FSC-klagomål mail.docx", "A 21466-2025")</f>
        <v/>
      </c>
      <c r="X156">
        <f>HYPERLINK("https://klasma.github.io/Logging_0980/tillsyn/A 21466-2025 tillsynsbegäran.docx", "A 21466-2025")</f>
        <v/>
      </c>
      <c r="Y156">
        <f>HYPERLINK("https://klasma.github.io/Logging_0980/tillsynsmail/A 21466-2025 tillsynsbegäran mail.docx", "A 21466-2025")</f>
        <v/>
      </c>
    </row>
    <row r="157" ht="15" customHeight="1">
      <c r="A157" t="inlineStr">
        <is>
          <t>A 46527-2023</t>
        </is>
      </c>
      <c r="B157" s="1" t="n">
        <v>45197</v>
      </c>
      <c r="C157" s="1" t="n">
        <v>45994</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61796-2022</t>
        </is>
      </c>
      <c r="B158" s="1" t="n">
        <v>44917</v>
      </c>
      <c r="C158" s="1" t="n">
        <v>45994</v>
      </c>
      <c r="D158" t="inlineStr">
        <is>
          <t>GOTLANDS LÄN</t>
        </is>
      </c>
      <c r="E158" t="inlineStr">
        <is>
          <t>GOTLAND</t>
        </is>
      </c>
      <c r="G158" t="n">
        <v>1.5</v>
      </c>
      <c r="H158" t="n">
        <v>1</v>
      </c>
      <c r="I158" t="n">
        <v>0</v>
      </c>
      <c r="J158" t="n">
        <v>0</v>
      </c>
      <c r="K158" t="n">
        <v>0</v>
      </c>
      <c r="L158" t="n">
        <v>0</v>
      </c>
      <c r="M158" t="n">
        <v>0</v>
      </c>
      <c r="N158" t="n">
        <v>0</v>
      </c>
      <c r="O158" t="n">
        <v>0</v>
      </c>
      <c r="P158" t="n">
        <v>0</v>
      </c>
      <c r="Q158" t="n">
        <v>1</v>
      </c>
      <c r="R158" s="2" t="inlineStr">
        <is>
          <t>Skogsduva</t>
        </is>
      </c>
      <c r="S158">
        <f>HYPERLINK("https://klasma.github.io/Logging_0980/artfynd/A 61796-2022 artfynd.xlsx", "A 61796-2022")</f>
        <v/>
      </c>
      <c r="T158">
        <f>HYPERLINK("https://klasma.github.io/Logging_0980/kartor/A 61796-2022 karta.png", "A 61796-2022")</f>
        <v/>
      </c>
      <c r="V158">
        <f>HYPERLINK("https://klasma.github.io/Logging_0980/klagomål/A 61796-2022 FSC-klagomål.docx", "A 61796-2022")</f>
        <v/>
      </c>
      <c r="W158">
        <f>HYPERLINK("https://klasma.github.io/Logging_0980/klagomålsmail/A 61796-2022 FSC-klagomål mail.docx", "A 61796-2022")</f>
        <v/>
      </c>
      <c r="X158">
        <f>HYPERLINK("https://klasma.github.io/Logging_0980/tillsyn/A 61796-2022 tillsynsbegäran.docx", "A 61796-2022")</f>
        <v/>
      </c>
      <c r="Y158">
        <f>HYPERLINK("https://klasma.github.io/Logging_0980/tillsynsmail/A 61796-2022 tillsynsbegäran mail.docx", "A 61796-2022")</f>
        <v/>
      </c>
      <c r="Z158">
        <f>HYPERLINK("https://klasma.github.io/Logging_0980/fåglar/A 61796-2022 prioriterade fågelarter.docx", "A 61796-2022")</f>
        <v/>
      </c>
    </row>
    <row r="159" ht="15" customHeight="1">
      <c r="A159" t="inlineStr">
        <is>
          <t>A 10218-2025</t>
        </is>
      </c>
      <c r="B159" s="1" t="n">
        <v>45720</v>
      </c>
      <c r="C159" s="1" t="n">
        <v>45994</v>
      </c>
      <c r="D159" t="inlineStr">
        <is>
          <t>GOTLANDS LÄN</t>
        </is>
      </c>
      <c r="E159" t="inlineStr">
        <is>
          <t>GOTLAND</t>
        </is>
      </c>
      <c r="G159" t="n">
        <v>8.1</v>
      </c>
      <c r="H159" t="n">
        <v>0</v>
      </c>
      <c r="I159" t="n">
        <v>1</v>
      </c>
      <c r="J159" t="n">
        <v>0</v>
      </c>
      <c r="K159" t="n">
        <v>0</v>
      </c>
      <c r="L159" t="n">
        <v>0</v>
      </c>
      <c r="M159" t="n">
        <v>0</v>
      </c>
      <c r="N159" t="n">
        <v>0</v>
      </c>
      <c r="O159" t="n">
        <v>0</v>
      </c>
      <c r="P159" t="n">
        <v>0</v>
      </c>
      <c r="Q159" t="n">
        <v>1</v>
      </c>
      <c r="R159" s="2" t="inlineStr">
        <is>
          <t>Kalktallört</t>
        </is>
      </c>
      <c r="S159">
        <f>HYPERLINK("https://klasma.github.io/Logging_0980/artfynd/A 10218-2025 artfynd.xlsx", "A 10218-2025")</f>
        <v/>
      </c>
      <c r="T159">
        <f>HYPERLINK("https://klasma.github.io/Logging_0980/kartor/A 10218-2025 karta.png", "A 10218-2025")</f>
        <v/>
      </c>
      <c r="V159">
        <f>HYPERLINK("https://klasma.github.io/Logging_0980/klagomål/A 10218-2025 FSC-klagomål.docx", "A 10218-2025")</f>
        <v/>
      </c>
      <c r="W159">
        <f>HYPERLINK("https://klasma.github.io/Logging_0980/klagomålsmail/A 10218-2025 FSC-klagomål mail.docx", "A 10218-2025")</f>
        <v/>
      </c>
      <c r="X159">
        <f>HYPERLINK("https://klasma.github.io/Logging_0980/tillsyn/A 10218-2025 tillsynsbegäran.docx", "A 10218-2025")</f>
        <v/>
      </c>
      <c r="Y159">
        <f>HYPERLINK("https://klasma.github.io/Logging_0980/tillsynsmail/A 10218-2025 tillsynsbegäran mail.docx", "A 10218-2025")</f>
        <v/>
      </c>
    </row>
    <row r="160" ht="15" customHeight="1">
      <c r="A160" t="inlineStr">
        <is>
          <t>A 2476-2025</t>
        </is>
      </c>
      <c r="B160" s="1" t="n">
        <v>45673</v>
      </c>
      <c r="C160" s="1" t="n">
        <v>45994</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12379-2024</t>
        </is>
      </c>
      <c r="B161" s="1" t="n">
        <v>45379.28155092592</v>
      </c>
      <c r="C161" s="1" t="n">
        <v>45994</v>
      </c>
      <c r="D161" t="inlineStr">
        <is>
          <t>GOTLANDS LÄN</t>
        </is>
      </c>
      <c r="E161" t="inlineStr">
        <is>
          <t>GOTLAND</t>
        </is>
      </c>
      <c r="G161" t="n">
        <v>4.4</v>
      </c>
      <c r="H161" t="n">
        <v>0</v>
      </c>
      <c r="I161" t="n">
        <v>0</v>
      </c>
      <c r="J161" t="n">
        <v>1</v>
      </c>
      <c r="K161" t="n">
        <v>0</v>
      </c>
      <c r="L161" t="n">
        <v>0</v>
      </c>
      <c r="M161" t="n">
        <v>0</v>
      </c>
      <c r="N161" t="n">
        <v>0</v>
      </c>
      <c r="O161" t="n">
        <v>1</v>
      </c>
      <c r="P161" t="n">
        <v>0</v>
      </c>
      <c r="Q161" t="n">
        <v>1</v>
      </c>
      <c r="R161" s="2" t="inlineStr">
        <is>
          <t>Svinrot</t>
        </is>
      </c>
      <c r="S161">
        <f>HYPERLINK("https://klasma.github.io/Logging_0980/artfynd/A 12379-2024 artfynd.xlsx", "A 12379-2024")</f>
        <v/>
      </c>
      <c r="T161">
        <f>HYPERLINK("https://klasma.github.io/Logging_0980/kartor/A 12379-2024 karta.png", "A 12379-2024")</f>
        <v/>
      </c>
      <c r="V161">
        <f>HYPERLINK("https://klasma.github.io/Logging_0980/klagomål/A 12379-2024 FSC-klagomål.docx", "A 12379-2024")</f>
        <v/>
      </c>
      <c r="W161">
        <f>HYPERLINK("https://klasma.github.io/Logging_0980/klagomålsmail/A 12379-2024 FSC-klagomål mail.docx", "A 12379-2024")</f>
        <v/>
      </c>
      <c r="X161">
        <f>HYPERLINK("https://klasma.github.io/Logging_0980/tillsyn/A 12379-2024 tillsynsbegäran.docx", "A 12379-2024")</f>
        <v/>
      </c>
      <c r="Y161">
        <f>HYPERLINK("https://klasma.github.io/Logging_0980/tillsynsmail/A 12379-2024 tillsynsbegäran mail.docx", "A 12379-2024")</f>
        <v/>
      </c>
    </row>
    <row r="162" ht="15" customHeight="1">
      <c r="A162" t="inlineStr">
        <is>
          <t>A 17723-2021</t>
        </is>
      </c>
      <c r="B162" s="1" t="n">
        <v>44300</v>
      </c>
      <c r="C162" s="1" t="n">
        <v>45994</v>
      </c>
      <c r="D162" t="inlineStr">
        <is>
          <t>GOTLANDS LÄN</t>
        </is>
      </c>
      <c r="E162" t="inlineStr">
        <is>
          <t>GOTLAND</t>
        </is>
      </c>
      <c r="G162" t="n">
        <v>1.5</v>
      </c>
      <c r="H162" t="n">
        <v>1</v>
      </c>
      <c r="I162" t="n">
        <v>1</v>
      </c>
      <c r="J162" t="n">
        <v>0</v>
      </c>
      <c r="K162" t="n">
        <v>0</v>
      </c>
      <c r="L162" t="n">
        <v>0</v>
      </c>
      <c r="M162" t="n">
        <v>0</v>
      </c>
      <c r="N162" t="n">
        <v>0</v>
      </c>
      <c r="O162" t="n">
        <v>0</v>
      </c>
      <c r="P162" t="n">
        <v>0</v>
      </c>
      <c r="Q162" t="n">
        <v>1</v>
      </c>
      <c r="R162" s="2" t="inlineStr">
        <is>
          <t>Vit skogslilja</t>
        </is>
      </c>
      <c r="S162">
        <f>HYPERLINK("https://klasma.github.io/Logging_0980/artfynd/A 17723-2021 artfynd.xlsx", "A 17723-2021")</f>
        <v/>
      </c>
      <c r="T162">
        <f>HYPERLINK("https://klasma.github.io/Logging_0980/kartor/A 17723-2021 karta.png", "A 17723-2021")</f>
        <v/>
      </c>
      <c r="V162">
        <f>HYPERLINK("https://klasma.github.io/Logging_0980/klagomål/A 17723-2021 FSC-klagomål.docx", "A 17723-2021")</f>
        <v/>
      </c>
      <c r="W162">
        <f>HYPERLINK("https://klasma.github.io/Logging_0980/klagomålsmail/A 17723-2021 FSC-klagomål mail.docx", "A 17723-2021")</f>
        <v/>
      </c>
      <c r="X162">
        <f>HYPERLINK("https://klasma.github.io/Logging_0980/tillsyn/A 17723-2021 tillsynsbegäran.docx", "A 17723-2021")</f>
        <v/>
      </c>
      <c r="Y162">
        <f>HYPERLINK("https://klasma.github.io/Logging_0980/tillsynsmail/A 17723-2021 tillsynsbegäran mail.docx", "A 17723-2021")</f>
        <v/>
      </c>
    </row>
    <row r="163" ht="15" customHeight="1">
      <c r="A163" t="inlineStr">
        <is>
          <t>A 64700-2021</t>
        </is>
      </c>
      <c r="B163" s="1" t="n">
        <v>44511</v>
      </c>
      <c r="C163" s="1" t="n">
        <v>45994</v>
      </c>
      <c r="D163" t="inlineStr">
        <is>
          <t>GOTLANDS LÄN</t>
        </is>
      </c>
      <c r="E163" t="inlineStr">
        <is>
          <t>GOTLAND</t>
        </is>
      </c>
      <c r="F163" t="inlineStr">
        <is>
          <t>Naturvårdsverket</t>
        </is>
      </c>
      <c r="G163" t="n">
        <v>2.4</v>
      </c>
      <c r="H163" t="n">
        <v>1</v>
      </c>
      <c r="I163" t="n">
        <v>0</v>
      </c>
      <c r="J163" t="n">
        <v>0</v>
      </c>
      <c r="K163" t="n">
        <v>1</v>
      </c>
      <c r="L163" t="n">
        <v>0</v>
      </c>
      <c r="M163" t="n">
        <v>0</v>
      </c>
      <c r="N163" t="n">
        <v>0</v>
      </c>
      <c r="O163" t="n">
        <v>1</v>
      </c>
      <c r="P163" t="n">
        <v>1</v>
      </c>
      <c r="Q163" t="n">
        <v>1</v>
      </c>
      <c r="R163" s="2" t="inlineStr">
        <is>
          <t>Kalkdån</t>
        </is>
      </c>
      <c r="S163">
        <f>HYPERLINK("https://klasma.github.io/Logging_0980/artfynd/A 64700-2021 artfynd.xlsx", "A 64700-2021")</f>
        <v/>
      </c>
      <c r="T163">
        <f>HYPERLINK("https://klasma.github.io/Logging_0980/kartor/A 64700-2021 karta.png", "A 64700-2021")</f>
        <v/>
      </c>
      <c r="V163">
        <f>HYPERLINK("https://klasma.github.io/Logging_0980/klagomål/A 64700-2021 FSC-klagomål.docx", "A 64700-2021")</f>
        <v/>
      </c>
      <c r="W163">
        <f>HYPERLINK("https://klasma.github.io/Logging_0980/klagomålsmail/A 64700-2021 FSC-klagomål mail.docx", "A 64700-2021")</f>
        <v/>
      </c>
      <c r="X163">
        <f>HYPERLINK("https://klasma.github.io/Logging_0980/tillsyn/A 64700-2021 tillsynsbegäran.docx", "A 64700-2021")</f>
        <v/>
      </c>
      <c r="Y163">
        <f>HYPERLINK("https://klasma.github.io/Logging_0980/tillsynsmail/A 64700-2021 tillsynsbegäran mail.docx", "A 64700-2021")</f>
        <v/>
      </c>
    </row>
    <row r="164" ht="15" customHeight="1">
      <c r="A164" t="inlineStr">
        <is>
          <t>A 35574-2024</t>
        </is>
      </c>
      <c r="B164" s="1" t="n">
        <v>45531</v>
      </c>
      <c r="C164" s="1" t="n">
        <v>45994</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37591-2023</t>
        </is>
      </c>
      <c r="B165" s="1" t="n">
        <v>45159</v>
      </c>
      <c r="C165" s="1" t="n">
        <v>45994</v>
      </c>
      <c r="D165" t="inlineStr">
        <is>
          <t>GOTLANDS LÄN</t>
        </is>
      </c>
      <c r="E165" t="inlineStr">
        <is>
          <t>GOTLAND</t>
        </is>
      </c>
      <c r="G165" t="n">
        <v>8.300000000000001</v>
      </c>
      <c r="H165" t="n">
        <v>0</v>
      </c>
      <c r="I165" t="n">
        <v>0</v>
      </c>
      <c r="J165" t="n">
        <v>1</v>
      </c>
      <c r="K165" t="n">
        <v>0</v>
      </c>
      <c r="L165" t="n">
        <v>0</v>
      </c>
      <c r="M165" t="n">
        <v>0</v>
      </c>
      <c r="N165" t="n">
        <v>0</v>
      </c>
      <c r="O165" t="n">
        <v>1</v>
      </c>
      <c r="P165" t="n">
        <v>0</v>
      </c>
      <c r="Q165" t="n">
        <v>1</v>
      </c>
      <c r="R165" s="2" t="inlineStr">
        <is>
          <t>Ängsstarr</t>
        </is>
      </c>
      <c r="S165">
        <f>HYPERLINK("https://klasma.github.io/Logging_0980/artfynd/A 37591-2023 artfynd.xlsx", "A 37591-2023")</f>
        <v/>
      </c>
      <c r="T165">
        <f>HYPERLINK("https://klasma.github.io/Logging_0980/kartor/A 37591-2023 karta.png", "A 37591-2023")</f>
        <v/>
      </c>
      <c r="V165">
        <f>HYPERLINK("https://klasma.github.io/Logging_0980/klagomål/A 37591-2023 FSC-klagomål.docx", "A 37591-2023")</f>
        <v/>
      </c>
      <c r="W165">
        <f>HYPERLINK("https://klasma.github.io/Logging_0980/klagomålsmail/A 37591-2023 FSC-klagomål mail.docx", "A 37591-2023")</f>
        <v/>
      </c>
      <c r="X165">
        <f>HYPERLINK("https://klasma.github.io/Logging_0980/tillsyn/A 37591-2023 tillsynsbegäran.docx", "A 37591-2023")</f>
        <v/>
      </c>
      <c r="Y165">
        <f>HYPERLINK("https://klasma.github.io/Logging_0980/tillsynsmail/A 37591-2023 tillsynsbegäran mail.docx", "A 37591-2023")</f>
        <v/>
      </c>
    </row>
    <row r="166" ht="15" customHeight="1">
      <c r="A166" t="inlineStr">
        <is>
          <t>A 15637-2024</t>
        </is>
      </c>
      <c r="B166" s="1" t="n">
        <v>45403.6684837963</v>
      </c>
      <c r="C166" s="1" t="n">
        <v>45994</v>
      </c>
      <c r="D166" t="inlineStr">
        <is>
          <t>GOTLANDS LÄN</t>
        </is>
      </c>
      <c r="E166" t="inlineStr">
        <is>
          <t>GOTLAND</t>
        </is>
      </c>
      <c r="G166" t="n">
        <v>4.1</v>
      </c>
      <c r="H166" t="n">
        <v>1</v>
      </c>
      <c r="I166" t="n">
        <v>0</v>
      </c>
      <c r="J166" t="n">
        <v>0</v>
      </c>
      <c r="K166" t="n">
        <v>0</v>
      </c>
      <c r="L166" t="n">
        <v>0</v>
      </c>
      <c r="M166" t="n">
        <v>0</v>
      </c>
      <c r="N166" t="n">
        <v>0</v>
      </c>
      <c r="O166" t="n">
        <v>0</v>
      </c>
      <c r="P166" t="n">
        <v>0</v>
      </c>
      <c r="Q166" t="n">
        <v>1</v>
      </c>
      <c r="R166" s="2" t="inlineStr">
        <is>
          <t>Blåsippa</t>
        </is>
      </c>
      <c r="S166">
        <f>HYPERLINK("https://klasma.github.io/Logging_0980/artfynd/A 15637-2024 artfynd.xlsx", "A 15637-2024")</f>
        <v/>
      </c>
      <c r="T166">
        <f>HYPERLINK("https://klasma.github.io/Logging_0980/kartor/A 15637-2024 karta.png", "A 15637-2024")</f>
        <v/>
      </c>
      <c r="V166">
        <f>HYPERLINK("https://klasma.github.io/Logging_0980/klagomål/A 15637-2024 FSC-klagomål.docx", "A 15637-2024")</f>
        <v/>
      </c>
      <c r="W166">
        <f>HYPERLINK("https://klasma.github.io/Logging_0980/klagomålsmail/A 15637-2024 FSC-klagomål mail.docx", "A 15637-2024")</f>
        <v/>
      </c>
      <c r="X166">
        <f>HYPERLINK("https://klasma.github.io/Logging_0980/tillsyn/A 15637-2024 tillsynsbegäran.docx", "A 15637-2024")</f>
        <v/>
      </c>
      <c r="Y166">
        <f>HYPERLINK("https://klasma.github.io/Logging_0980/tillsynsmail/A 15637-2024 tillsynsbegäran mail.docx", "A 15637-2024")</f>
        <v/>
      </c>
    </row>
    <row r="167" ht="15" customHeight="1">
      <c r="A167" t="inlineStr">
        <is>
          <t>A 44304-2021</t>
        </is>
      </c>
      <c r="B167" s="1" t="n">
        <v>44434</v>
      </c>
      <c r="C167" s="1" t="n">
        <v>45994</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6303-2024</t>
        </is>
      </c>
      <c r="B168" s="1" t="n">
        <v>45338.35376157407</v>
      </c>
      <c r="C168" s="1" t="n">
        <v>45994</v>
      </c>
      <c r="D168" t="inlineStr">
        <is>
          <t>GOTLANDS LÄN</t>
        </is>
      </c>
      <c r="E168" t="inlineStr">
        <is>
          <t>GOTLAND</t>
        </is>
      </c>
      <c r="G168" t="n">
        <v>0.6</v>
      </c>
      <c r="H168" t="n">
        <v>0</v>
      </c>
      <c r="I168" t="n">
        <v>1</v>
      </c>
      <c r="J168" t="n">
        <v>0</v>
      </c>
      <c r="K168" t="n">
        <v>0</v>
      </c>
      <c r="L168" t="n">
        <v>0</v>
      </c>
      <c r="M168" t="n">
        <v>0</v>
      </c>
      <c r="N168" t="n">
        <v>0</v>
      </c>
      <c r="O168" t="n">
        <v>0</v>
      </c>
      <c r="P168" t="n">
        <v>0</v>
      </c>
      <c r="Q168" t="n">
        <v>1</v>
      </c>
      <c r="R168" s="2" t="inlineStr">
        <is>
          <t>Strävlosta</t>
        </is>
      </c>
      <c r="S168">
        <f>HYPERLINK("https://klasma.github.io/Logging_0980/artfynd/A 6303-2024 artfynd.xlsx", "A 6303-2024")</f>
        <v/>
      </c>
      <c r="T168">
        <f>HYPERLINK("https://klasma.github.io/Logging_0980/kartor/A 6303-2024 karta.png", "A 6303-2024")</f>
        <v/>
      </c>
      <c r="V168">
        <f>HYPERLINK("https://klasma.github.io/Logging_0980/klagomål/A 6303-2024 FSC-klagomål.docx", "A 6303-2024")</f>
        <v/>
      </c>
      <c r="W168">
        <f>HYPERLINK("https://klasma.github.io/Logging_0980/klagomålsmail/A 6303-2024 FSC-klagomål mail.docx", "A 6303-2024")</f>
        <v/>
      </c>
      <c r="X168">
        <f>HYPERLINK("https://klasma.github.io/Logging_0980/tillsyn/A 6303-2024 tillsynsbegäran.docx", "A 6303-2024")</f>
        <v/>
      </c>
      <c r="Y168">
        <f>HYPERLINK("https://klasma.github.io/Logging_0980/tillsynsmail/A 6303-2024 tillsynsbegäran mail.docx", "A 6303-2024")</f>
        <v/>
      </c>
    </row>
    <row r="169" ht="15" customHeight="1">
      <c r="A169" t="inlineStr">
        <is>
          <t>A 62552-2022</t>
        </is>
      </c>
      <c r="B169" s="1" t="n">
        <v>44924</v>
      </c>
      <c r="C169" s="1" t="n">
        <v>45994</v>
      </c>
      <c r="D169" t="inlineStr">
        <is>
          <t>GOTLANDS LÄN</t>
        </is>
      </c>
      <c r="E169" t="inlineStr">
        <is>
          <t>GOTLAND</t>
        </is>
      </c>
      <c r="G169" t="n">
        <v>1.6</v>
      </c>
      <c r="H169" t="n">
        <v>0</v>
      </c>
      <c r="I169" t="n">
        <v>0</v>
      </c>
      <c r="J169" t="n">
        <v>1</v>
      </c>
      <c r="K169" t="n">
        <v>0</v>
      </c>
      <c r="L169" t="n">
        <v>0</v>
      </c>
      <c r="M169" t="n">
        <v>0</v>
      </c>
      <c r="N169" t="n">
        <v>0</v>
      </c>
      <c r="O169" t="n">
        <v>1</v>
      </c>
      <c r="P169" t="n">
        <v>0</v>
      </c>
      <c r="Q169" t="n">
        <v>1</v>
      </c>
      <c r="R169" s="2" t="inlineStr">
        <is>
          <t>Äggspindling</t>
        </is>
      </c>
      <c r="S169">
        <f>HYPERLINK("https://klasma.github.io/Logging_0980/artfynd/A 62552-2022 artfynd.xlsx", "A 62552-2022")</f>
        <v/>
      </c>
      <c r="T169">
        <f>HYPERLINK("https://klasma.github.io/Logging_0980/kartor/A 62552-2022 karta.png", "A 62552-2022")</f>
        <v/>
      </c>
      <c r="V169">
        <f>HYPERLINK("https://klasma.github.io/Logging_0980/klagomål/A 62552-2022 FSC-klagomål.docx", "A 62552-2022")</f>
        <v/>
      </c>
      <c r="W169">
        <f>HYPERLINK("https://klasma.github.io/Logging_0980/klagomålsmail/A 62552-2022 FSC-klagomål mail.docx", "A 62552-2022")</f>
        <v/>
      </c>
      <c r="X169">
        <f>HYPERLINK("https://klasma.github.io/Logging_0980/tillsyn/A 62552-2022 tillsynsbegäran.docx", "A 62552-2022")</f>
        <v/>
      </c>
      <c r="Y169">
        <f>HYPERLINK("https://klasma.github.io/Logging_0980/tillsynsmail/A 62552-2022 tillsynsbegäran mail.docx", "A 62552-2022")</f>
        <v/>
      </c>
    </row>
    <row r="170" ht="15" customHeight="1">
      <c r="A170" t="inlineStr">
        <is>
          <t>A 447-2023</t>
        </is>
      </c>
      <c r="B170" s="1" t="n">
        <v>44929</v>
      </c>
      <c r="C170" s="1" t="n">
        <v>45994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10440-2024</t>
        </is>
      </c>
      <c r="B171" s="1" t="n">
        <v>45366.32818287037</v>
      </c>
      <c r="C171" s="1" t="n">
        <v>45994</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25977-2024</t>
        </is>
      </c>
      <c r="B172" s="1" t="n">
        <v>45467.69356481481</v>
      </c>
      <c r="C172" s="1" t="n">
        <v>45994</v>
      </c>
      <c r="D172" t="inlineStr">
        <is>
          <t>GOTLANDS LÄN</t>
        </is>
      </c>
      <c r="E172" t="inlineStr">
        <is>
          <t>GOTLAND</t>
        </is>
      </c>
      <c r="G172" t="n">
        <v>3</v>
      </c>
      <c r="H172" t="n">
        <v>1</v>
      </c>
      <c r="I172" t="n">
        <v>0</v>
      </c>
      <c r="J172" t="n">
        <v>0</v>
      </c>
      <c r="K172" t="n">
        <v>0</v>
      </c>
      <c r="L172" t="n">
        <v>0</v>
      </c>
      <c r="M172" t="n">
        <v>0</v>
      </c>
      <c r="N172" t="n">
        <v>0</v>
      </c>
      <c r="O172" t="n">
        <v>0</v>
      </c>
      <c r="P172" t="n">
        <v>0</v>
      </c>
      <c r="Q172" t="n">
        <v>1</v>
      </c>
      <c r="R172" s="2" t="inlineStr">
        <is>
          <t>Nattviol</t>
        </is>
      </c>
      <c r="S172">
        <f>HYPERLINK("https://klasma.github.io/Logging_0980/artfynd/A 25977-2024 artfynd.xlsx", "A 25977-2024")</f>
        <v/>
      </c>
      <c r="T172">
        <f>HYPERLINK("https://klasma.github.io/Logging_0980/kartor/A 25977-2024 karta.png", "A 25977-2024")</f>
        <v/>
      </c>
      <c r="V172">
        <f>HYPERLINK("https://klasma.github.io/Logging_0980/klagomål/A 25977-2024 FSC-klagomål.docx", "A 25977-2024")</f>
        <v/>
      </c>
      <c r="W172">
        <f>HYPERLINK("https://klasma.github.io/Logging_0980/klagomålsmail/A 25977-2024 FSC-klagomål mail.docx", "A 25977-2024")</f>
        <v/>
      </c>
      <c r="X172">
        <f>HYPERLINK("https://klasma.github.io/Logging_0980/tillsyn/A 25977-2024 tillsynsbegäran.docx", "A 25977-2024")</f>
        <v/>
      </c>
      <c r="Y172">
        <f>HYPERLINK("https://klasma.github.io/Logging_0980/tillsynsmail/A 25977-2024 tillsynsbegäran mail.docx", "A 25977-2024")</f>
        <v/>
      </c>
    </row>
    <row r="173" ht="15" customHeight="1">
      <c r="A173" t="inlineStr">
        <is>
          <t>A 27589-2023</t>
        </is>
      </c>
      <c r="B173" s="1" t="n">
        <v>45097</v>
      </c>
      <c r="C173" s="1" t="n">
        <v>45994</v>
      </c>
      <c r="D173" t="inlineStr">
        <is>
          <t>GOTLANDS LÄN</t>
        </is>
      </c>
      <c r="E173" t="inlineStr">
        <is>
          <t>GOTLAND</t>
        </is>
      </c>
      <c r="G173" t="n">
        <v>5.4</v>
      </c>
      <c r="H173" t="n">
        <v>0</v>
      </c>
      <c r="I173" t="n">
        <v>0</v>
      </c>
      <c r="J173" t="n">
        <v>0</v>
      </c>
      <c r="K173" t="n">
        <v>0</v>
      </c>
      <c r="L173" t="n">
        <v>0</v>
      </c>
      <c r="M173" t="n">
        <v>1</v>
      </c>
      <c r="N173" t="n">
        <v>0</v>
      </c>
      <c r="O173" t="n">
        <v>1</v>
      </c>
      <c r="P173" t="n">
        <v>1</v>
      </c>
      <c r="Q173" t="n">
        <v>1</v>
      </c>
      <c r="R173" s="2" t="inlineStr">
        <is>
          <t>Skogsalm</t>
        </is>
      </c>
      <c r="S173">
        <f>HYPERLINK("https://klasma.github.io/Logging_0980/artfynd/A 27589-2023 artfynd.xlsx", "A 27589-2023")</f>
        <v/>
      </c>
      <c r="T173">
        <f>HYPERLINK("https://klasma.github.io/Logging_0980/kartor/A 27589-2023 karta.png", "A 27589-2023")</f>
        <v/>
      </c>
      <c r="V173">
        <f>HYPERLINK("https://klasma.github.io/Logging_0980/klagomål/A 27589-2023 FSC-klagomål.docx", "A 27589-2023")</f>
        <v/>
      </c>
      <c r="W173">
        <f>HYPERLINK("https://klasma.github.io/Logging_0980/klagomålsmail/A 27589-2023 FSC-klagomål mail.docx", "A 27589-2023")</f>
        <v/>
      </c>
      <c r="X173">
        <f>HYPERLINK("https://klasma.github.io/Logging_0980/tillsyn/A 27589-2023 tillsynsbegäran.docx", "A 27589-2023")</f>
        <v/>
      </c>
      <c r="Y173">
        <f>HYPERLINK("https://klasma.github.io/Logging_0980/tillsynsmail/A 27589-2023 tillsynsbegäran mail.docx", "A 27589-2023")</f>
        <v/>
      </c>
    </row>
    <row r="174" ht="15" customHeight="1">
      <c r="A174" t="inlineStr">
        <is>
          <t>A 34809-2024</t>
        </is>
      </c>
      <c r="B174" s="1" t="n">
        <v>45526</v>
      </c>
      <c r="C174" s="1" t="n">
        <v>45994</v>
      </c>
      <c r="D174" t="inlineStr">
        <is>
          <t>GOTLANDS LÄN</t>
        </is>
      </c>
      <c r="E174" t="inlineStr">
        <is>
          <t>GOTLAND</t>
        </is>
      </c>
      <c r="G174" t="n">
        <v>9.9</v>
      </c>
      <c r="H174" t="n">
        <v>1</v>
      </c>
      <c r="I174" t="n">
        <v>0</v>
      </c>
      <c r="J174" t="n">
        <v>1</v>
      </c>
      <c r="K174" t="n">
        <v>0</v>
      </c>
      <c r="L174" t="n">
        <v>0</v>
      </c>
      <c r="M174" t="n">
        <v>0</v>
      </c>
      <c r="N174" t="n">
        <v>0</v>
      </c>
      <c r="O174" t="n">
        <v>1</v>
      </c>
      <c r="P174" t="n">
        <v>0</v>
      </c>
      <c r="Q174" t="n">
        <v>1</v>
      </c>
      <c r="R174" s="2" t="inlineStr">
        <is>
          <t>Brun ögontröst</t>
        </is>
      </c>
      <c r="S174">
        <f>HYPERLINK("https://klasma.github.io/Logging_0980/artfynd/A 34809-2024 artfynd.xlsx", "A 34809-2024")</f>
        <v/>
      </c>
      <c r="T174">
        <f>HYPERLINK("https://klasma.github.io/Logging_0980/kartor/A 34809-2024 karta.png", "A 34809-2024")</f>
        <v/>
      </c>
      <c r="V174">
        <f>HYPERLINK("https://klasma.github.io/Logging_0980/klagomål/A 34809-2024 FSC-klagomål.docx", "A 34809-2024")</f>
        <v/>
      </c>
      <c r="W174">
        <f>HYPERLINK("https://klasma.github.io/Logging_0980/klagomålsmail/A 34809-2024 FSC-klagomål mail.docx", "A 34809-2024")</f>
        <v/>
      </c>
      <c r="X174">
        <f>HYPERLINK("https://klasma.github.io/Logging_0980/tillsyn/A 34809-2024 tillsynsbegäran.docx", "A 34809-2024")</f>
        <v/>
      </c>
      <c r="Y174">
        <f>HYPERLINK("https://klasma.github.io/Logging_0980/tillsynsmail/A 34809-2024 tillsynsbegäran mail.docx", "A 34809-2024")</f>
        <v/>
      </c>
    </row>
    <row r="175" ht="15" customHeight="1">
      <c r="A175" t="inlineStr">
        <is>
          <t>A 13939-2021</t>
        </is>
      </c>
      <c r="B175" s="1" t="n">
        <v>44277</v>
      </c>
      <c r="C175" s="1" t="n">
        <v>45994</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49304-2024</t>
        </is>
      </c>
      <c r="B176" s="1" t="n">
        <v>45595.54996527778</v>
      </c>
      <c r="C176" s="1" t="n">
        <v>45994</v>
      </c>
      <c r="D176" t="inlineStr">
        <is>
          <t>GOTLANDS LÄN</t>
        </is>
      </c>
      <c r="E176" t="inlineStr">
        <is>
          <t>GOTLAND</t>
        </is>
      </c>
      <c r="G176" t="n">
        <v>10.8</v>
      </c>
      <c r="H176" t="n">
        <v>0</v>
      </c>
      <c r="I176" t="n">
        <v>0</v>
      </c>
      <c r="J176" t="n">
        <v>1</v>
      </c>
      <c r="K176" t="n">
        <v>0</v>
      </c>
      <c r="L176" t="n">
        <v>0</v>
      </c>
      <c r="M176" t="n">
        <v>0</v>
      </c>
      <c r="N176" t="n">
        <v>0</v>
      </c>
      <c r="O176" t="n">
        <v>1</v>
      </c>
      <c r="P176" t="n">
        <v>0</v>
      </c>
      <c r="Q176" t="n">
        <v>1</v>
      </c>
      <c r="R176" s="2" t="inlineStr">
        <is>
          <t>Åkerranunkel</t>
        </is>
      </c>
      <c r="S176">
        <f>HYPERLINK("https://klasma.github.io/Logging_0980/artfynd/A 49304-2024 artfynd.xlsx", "A 49304-2024")</f>
        <v/>
      </c>
      <c r="T176">
        <f>HYPERLINK("https://klasma.github.io/Logging_0980/kartor/A 49304-2024 karta.png", "A 49304-2024")</f>
        <v/>
      </c>
      <c r="V176">
        <f>HYPERLINK("https://klasma.github.io/Logging_0980/klagomål/A 49304-2024 FSC-klagomål.docx", "A 49304-2024")</f>
        <v/>
      </c>
      <c r="W176">
        <f>HYPERLINK("https://klasma.github.io/Logging_0980/klagomålsmail/A 49304-2024 FSC-klagomål mail.docx", "A 49304-2024")</f>
        <v/>
      </c>
      <c r="X176">
        <f>HYPERLINK("https://klasma.github.io/Logging_0980/tillsyn/A 49304-2024 tillsynsbegäran.docx", "A 49304-2024")</f>
        <v/>
      </c>
      <c r="Y176">
        <f>HYPERLINK("https://klasma.github.io/Logging_0980/tillsynsmail/A 49304-2024 tillsynsbegäran mail.docx", "A 49304-2024")</f>
        <v/>
      </c>
    </row>
    <row r="177" ht="15" customHeight="1">
      <c r="A177" t="inlineStr">
        <is>
          <t>A 49847-2023</t>
        </is>
      </c>
      <c r="B177" s="1" t="n">
        <v>45212</v>
      </c>
      <c r="C177" s="1" t="n">
        <v>45994</v>
      </c>
      <c r="D177" t="inlineStr">
        <is>
          <t>GOTLANDS LÄN</t>
        </is>
      </c>
      <c r="E177" t="inlineStr">
        <is>
          <t>GOTLAND</t>
        </is>
      </c>
      <c r="G177" t="n">
        <v>35.2</v>
      </c>
      <c r="H177" t="n">
        <v>0</v>
      </c>
      <c r="I177" t="n">
        <v>0</v>
      </c>
      <c r="J177" t="n">
        <v>0</v>
      </c>
      <c r="K177" t="n">
        <v>1</v>
      </c>
      <c r="L177" t="n">
        <v>0</v>
      </c>
      <c r="M177" t="n">
        <v>0</v>
      </c>
      <c r="N177" t="n">
        <v>0</v>
      </c>
      <c r="O177" t="n">
        <v>1</v>
      </c>
      <c r="P177" t="n">
        <v>1</v>
      </c>
      <c r="Q177" t="n">
        <v>1</v>
      </c>
      <c r="R177" s="2" t="inlineStr">
        <is>
          <t>Strandviol</t>
        </is>
      </c>
      <c r="S177">
        <f>HYPERLINK("https://klasma.github.io/Logging_0980/artfynd/A 49847-2023 artfynd.xlsx", "A 49847-2023")</f>
        <v/>
      </c>
      <c r="T177">
        <f>HYPERLINK("https://klasma.github.io/Logging_0980/kartor/A 49847-2023 karta.png", "A 49847-2023")</f>
        <v/>
      </c>
      <c r="V177">
        <f>HYPERLINK("https://klasma.github.io/Logging_0980/klagomål/A 49847-2023 FSC-klagomål.docx", "A 49847-2023")</f>
        <v/>
      </c>
      <c r="W177">
        <f>HYPERLINK("https://klasma.github.io/Logging_0980/klagomålsmail/A 49847-2023 FSC-klagomål mail.docx", "A 49847-2023")</f>
        <v/>
      </c>
      <c r="X177">
        <f>HYPERLINK("https://klasma.github.io/Logging_0980/tillsyn/A 49847-2023 tillsynsbegäran.docx", "A 49847-2023")</f>
        <v/>
      </c>
      <c r="Y177">
        <f>HYPERLINK("https://klasma.github.io/Logging_0980/tillsynsmail/A 49847-2023 tillsynsbegäran mail.docx", "A 49847-2023")</f>
        <v/>
      </c>
    </row>
    <row r="178" ht="15" customHeight="1">
      <c r="A178" t="inlineStr">
        <is>
          <t>A 22782-2023</t>
        </is>
      </c>
      <c r="B178" s="1" t="n">
        <v>45072</v>
      </c>
      <c r="C178" s="1" t="n">
        <v>45994</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39812-2025</t>
        </is>
      </c>
      <c r="B179" s="1" t="n">
        <v>45891</v>
      </c>
      <c r="C179" s="1" t="n">
        <v>45994</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44088-2022</t>
        </is>
      </c>
      <c r="B180" s="1" t="n">
        <v>44839</v>
      </c>
      <c r="C180" s="1" t="n">
        <v>45994</v>
      </c>
      <c r="D180" t="inlineStr">
        <is>
          <t>GOTLANDS LÄN</t>
        </is>
      </c>
      <c r="E180" t="inlineStr">
        <is>
          <t>GOTLAND</t>
        </is>
      </c>
      <c r="G180" t="n">
        <v>1.5</v>
      </c>
      <c r="H180" t="n">
        <v>0</v>
      </c>
      <c r="I180" t="n">
        <v>1</v>
      </c>
      <c r="J180" t="n">
        <v>0</v>
      </c>
      <c r="K180" t="n">
        <v>0</v>
      </c>
      <c r="L180" t="n">
        <v>0</v>
      </c>
      <c r="M180" t="n">
        <v>0</v>
      </c>
      <c r="N180" t="n">
        <v>0</v>
      </c>
      <c r="O180" t="n">
        <v>0</v>
      </c>
      <c r="P180" t="n">
        <v>0</v>
      </c>
      <c r="Q180" t="n">
        <v>1</v>
      </c>
      <c r="R180" s="2" t="inlineStr">
        <is>
          <t>Strävlosta</t>
        </is>
      </c>
      <c r="S180">
        <f>HYPERLINK("https://klasma.github.io/Logging_0980/artfynd/A 44088-2022 artfynd.xlsx", "A 44088-2022")</f>
        <v/>
      </c>
      <c r="T180">
        <f>HYPERLINK("https://klasma.github.io/Logging_0980/kartor/A 44088-2022 karta.png", "A 44088-2022")</f>
        <v/>
      </c>
      <c r="V180">
        <f>HYPERLINK("https://klasma.github.io/Logging_0980/klagomål/A 44088-2022 FSC-klagomål.docx", "A 44088-2022")</f>
        <v/>
      </c>
      <c r="W180">
        <f>HYPERLINK("https://klasma.github.io/Logging_0980/klagomålsmail/A 44088-2022 FSC-klagomål mail.docx", "A 44088-2022")</f>
        <v/>
      </c>
      <c r="X180">
        <f>HYPERLINK("https://klasma.github.io/Logging_0980/tillsyn/A 44088-2022 tillsynsbegäran.docx", "A 44088-2022")</f>
        <v/>
      </c>
      <c r="Y180">
        <f>HYPERLINK("https://klasma.github.io/Logging_0980/tillsynsmail/A 44088-2022 tillsynsbegäran mail.docx", "A 44088-2022")</f>
        <v/>
      </c>
    </row>
    <row r="181" ht="15" customHeight="1">
      <c r="A181" t="inlineStr">
        <is>
          <t>A 10995-2023</t>
        </is>
      </c>
      <c r="B181" s="1" t="n">
        <v>44986</v>
      </c>
      <c r="C181" s="1" t="n">
        <v>45994</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26461-2025</t>
        </is>
      </c>
      <c r="B182" s="1" t="n">
        <v>45807.43337962963</v>
      </c>
      <c r="C182" s="1" t="n">
        <v>45994</v>
      </c>
      <c r="D182" t="inlineStr">
        <is>
          <t>GOTLANDS LÄN</t>
        </is>
      </c>
      <c r="E182" t="inlineStr">
        <is>
          <t>GOTLAND</t>
        </is>
      </c>
      <c r="G182" t="n">
        <v>4.1</v>
      </c>
      <c r="H182" t="n">
        <v>0</v>
      </c>
      <c r="I182" t="n">
        <v>0</v>
      </c>
      <c r="J182" t="n">
        <v>0</v>
      </c>
      <c r="K182" t="n">
        <v>1</v>
      </c>
      <c r="L182" t="n">
        <v>0</v>
      </c>
      <c r="M182" t="n">
        <v>0</v>
      </c>
      <c r="N182" t="n">
        <v>0</v>
      </c>
      <c r="O182" t="n">
        <v>1</v>
      </c>
      <c r="P182" t="n">
        <v>1</v>
      </c>
      <c r="Q182" t="n">
        <v>1</v>
      </c>
      <c r="R182" s="2" t="inlineStr">
        <is>
          <t>Gotlandsmåra</t>
        </is>
      </c>
      <c r="S182">
        <f>HYPERLINK("https://klasma.github.io/Logging_0980/artfynd/A 26461-2025 artfynd.xlsx", "A 26461-2025")</f>
        <v/>
      </c>
      <c r="T182">
        <f>HYPERLINK("https://klasma.github.io/Logging_0980/kartor/A 26461-2025 karta.png", "A 26461-2025")</f>
        <v/>
      </c>
      <c r="V182">
        <f>HYPERLINK("https://klasma.github.io/Logging_0980/klagomål/A 26461-2025 FSC-klagomål.docx", "A 26461-2025")</f>
        <v/>
      </c>
      <c r="W182">
        <f>HYPERLINK("https://klasma.github.io/Logging_0980/klagomålsmail/A 26461-2025 FSC-klagomål mail.docx", "A 26461-2025")</f>
        <v/>
      </c>
      <c r="X182">
        <f>HYPERLINK("https://klasma.github.io/Logging_0980/tillsyn/A 26461-2025 tillsynsbegäran.docx", "A 26461-2025")</f>
        <v/>
      </c>
      <c r="Y182">
        <f>HYPERLINK("https://klasma.github.io/Logging_0980/tillsynsmail/A 26461-2025 tillsynsbegäran mail.docx", "A 26461-2025")</f>
        <v/>
      </c>
    </row>
    <row r="183" ht="15" customHeight="1">
      <c r="A183" t="inlineStr">
        <is>
          <t>A 35467-2021</t>
        </is>
      </c>
      <c r="B183" s="1" t="n">
        <v>44385</v>
      </c>
      <c r="C183" s="1" t="n">
        <v>45994</v>
      </c>
      <c r="D183" t="inlineStr">
        <is>
          <t>GOTLANDS LÄN</t>
        </is>
      </c>
      <c r="E183" t="inlineStr">
        <is>
          <t>GOTLAND</t>
        </is>
      </c>
      <c r="G183" t="n">
        <v>12.7</v>
      </c>
      <c r="H183" t="n">
        <v>0</v>
      </c>
      <c r="I183" t="n">
        <v>0</v>
      </c>
      <c r="J183" t="n">
        <v>1</v>
      </c>
      <c r="K183" t="n">
        <v>0</v>
      </c>
      <c r="L183" t="n">
        <v>0</v>
      </c>
      <c r="M183" t="n">
        <v>0</v>
      </c>
      <c r="N183" t="n">
        <v>0</v>
      </c>
      <c r="O183" t="n">
        <v>1</v>
      </c>
      <c r="P183" t="n">
        <v>0</v>
      </c>
      <c r="Q183" t="n">
        <v>1</v>
      </c>
      <c r="R183" s="2" t="inlineStr">
        <is>
          <t>Loppstarr</t>
        </is>
      </c>
      <c r="S183">
        <f>HYPERLINK("https://klasma.github.io/Logging_0980/artfynd/A 35467-2021 artfynd.xlsx", "A 35467-2021")</f>
        <v/>
      </c>
      <c r="T183">
        <f>HYPERLINK("https://klasma.github.io/Logging_0980/kartor/A 35467-2021 karta.png", "A 35467-2021")</f>
        <v/>
      </c>
      <c r="V183">
        <f>HYPERLINK("https://klasma.github.io/Logging_0980/klagomål/A 35467-2021 FSC-klagomål.docx", "A 35467-2021")</f>
        <v/>
      </c>
      <c r="W183">
        <f>HYPERLINK("https://klasma.github.io/Logging_0980/klagomålsmail/A 35467-2021 FSC-klagomål mail.docx", "A 35467-2021")</f>
        <v/>
      </c>
      <c r="X183">
        <f>HYPERLINK("https://klasma.github.io/Logging_0980/tillsyn/A 35467-2021 tillsynsbegäran.docx", "A 35467-2021")</f>
        <v/>
      </c>
      <c r="Y183">
        <f>HYPERLINK("https://klasma.github.io/Logging_0980/tillsynsmail/A 35467-2021 tillsynsbegäran mail.docx", "A 35467-2021")</f>
        <v/>
      </c>
    </row>
    <row r="184" ht="15" customHeight="1">
      <c r="A184" t="inlineStr">
        <is>
          <t>A 44619-2025</t>
        </is>
      </c>
      <c r="B184" s="1" t="n">
        <v>45917</v>
      </c>
      <c r="C184" s="1" t="n">
        <v>45994</v>
      </c>
      <c r="D184" t="inlineStr">
        <is>
          <t>GOTLANDS LÄN</t>
        </is>
      </c>
      <c r="E184" t="inlineStr">
        <is>
          <t>GOTLAND</t>
        </is>
      </c>
      <c r="G184" t="n">
        <v>4.3</v>
      </c>
      <c r="H184" t="n">
        <v>0</v>
      </c>
      <c r="I184" t="n">
        <v>1</v>
      </c>
      <c r="J184" t="n">
        <v>0</v>
      </c>
      <c r="K184" t="n">
        <v>0</v>
      </c>
      <c r="L184" t="n">
        <v>0</v>
      </c>
      <c r="M184" t="n">
        <v>0</v>
      </c>
      <c r="N184" t="n">
        <v>0</v>
      </c>
      <c r="O184" t="n">
        <v>0</v>
      </c>
      <c r="P184" t="n">
        <v>0</v>
      </c>
      <c r="Q184" t="n">
        <v>1</v>
      </c>
      <c r="R184" s="2" t="inlineStr">
        <is>
          <t>Ögonpyrola</t>
        </is>
      </c>
      <c r="S184">
        <f>HYPERLINK("https://klasma.github.io/Logging_0980/artfynd/A 44619-2025 artfynd.xlsx", "A 44619-2025")</f>
        <v/>
      </c>
      <c r="T184">
        <f>HYPERLINK("https://klasma.github.io/Logging_0980/kartor/A 44619-2025 karta.png", "A 44619-2025")</f>
        <v/>
      </c>
      <c r="V184">
        <f>HYPERLINK("https://klasma.github.io/Logging_0980/klagomål/A 44619-2025 FSC-klagomål.docx", "A 44619-2025")</f>
        <v/>
      </c>
      <c r="W184">
        <f>HYPERLINK("https://klasma.github.io/Logging_0980/klagomålsmail/A 44619-2025 FSC-klagomål mail.docx", "A 44619-2025")</f>
        <v/>
      </c>
      <c r="X184">
        <f>HYPERLINK("https://klasma.github.io/Logging_0980/tillsyn/A 44619-2025 tillsynsbegäran.docx", "A 44619-2025")</f>
        <v/>
      </c>
      <c r="Y184">
        <f>HYPERLINK("https://klasma.github.io/Logging_0980/tillsynsmail/A 44619-2025 tillsynsbegäran mail.docx", "A 44619-2025")</f>
        <v/>
      </c>
    </row>
    <row r="185" ht="15" customHeight="1">
      <c r="A185" t="inlineStr">
        <is>
          <t>A 9862-2024</t>
        </is>
      </c>
      <c r="B185" s="1" t="n">
        <v>45363</v>
      </c>
      <c r="C185" s="1" t="n">
        <v>45994</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45994</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20429-2025</t>
        </is>
      </c>
      <c r="B187" s="1" t="n">
        <v>45775.47728009259</v>
      </c>
      <c r="C187" s="1" t="n">
        <v>45994</v>
      </c>
      <c r="D187" t="inlineStr">
        <is>
          <t>GOTLANDS LÄN</t>
        </is>
      </c>
      <c r="E187" t="inlineStr">
        <is>
          <t>GOTLAND</t>
        </is>
      </c>
      <c r="G187" t="n">
        <v>1.4</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20429-2025 artfynd.xlsx", "A 20429-2025")</f>
        <v/>
      </c>
      <c r="T187">
        <f>HYPERLINK("https://klasma.github.io/Logging_0980/kartor/A 20429-2025 karta.png", "A 20429-2025")</f>
        <v/>
      </c>
      <c r="V187">
        <f>HYPERLINK("https://klasma.github.io/Logging_0980/klagomål/A 20429-2025 FSC-klagomål.docx", "A 20429-2025")</f>
        <v/>
      </c>
      <c r="W187">
        <f>HYPERLINK("https://klasma.github.io/Logging_0980/klagomålsmail/A 20429-2025 FSC-klagomål mail.docx", "A 20429-2025")</f>
        <v/>
      </c>
      <c r="X187">
        <f>HYPERLINK("https://klasma.github.io/Logging_0980/tillsyn/A 20429-2025 tillsynsbegäran.docx", "A 20429-2025")</f>
        <v/>
      </c>
      <c r="Y187">
        <f>HYPERLINK("https://klasma.github.io/Logging_0980/tillsynsmail/A 20429-2025 tillsynsbegäran mail.docx", "A 20429-2025")</f>
        <v/>
      </c>
    </row>
    <row r="188" ht="15" customHeight="1">
      <c r="A188" t="inlineStr">
        <is>
          <t>A 12924-2025</t>
        </is>
      </c>
      <c r="B188" s="1" t="n">
        <v>45734</v>
      </c>
      <c r="C188" s="1" t="n">
        <v>45994</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49726-2025</t>
        </is>
      </c>
      <c r="B189" s="1" t="n">
        <v>45939.84466435185</v>
      </c>
      <c r="C189" s="1" t="n">
        <v>45994</v>
      </c>
      <c r="D189" t="inlineStr">
        <is>
          <t>GOTLANDS LÄN</t>
        </is>
      </c>
      <c r="E189" t="inlineStr">
        <is>
          <t>GOTLAND</t>
        </is>
      </c>
      <c r="F189" t="inlineStr">
        <is>
          <t>Kyrkan</t>
        </is>
      </c>
      <c r="G189" t="n">
        <v>5.4</v>
      </c>
      <c r="H189" t="n">
        <v>0</v>
      </c>
      <c r="I189" t="n">
        <v>0</v>
      </c>
      <c r="J189" t="n">
        <v>1</v>
      </c>
      <c r="K189" t="n">
        <v>0</v>
      </c>
      <c r="L189" t="n">
        <v>0</v>
      </c>
      <c r="M189" t="n">
        <v>0</v>
      </c>
      <c r="N189" t="n">
        <v>0</v>
      </c>
      <c r="O189" t="n">
        <v>1</v>
      </c>
      <c r="P189" t="n">
        <v>0</v>
      </c>
      <c r="Q189" t="n">
        <v>1</v>
      </c>
      <c r="R189" s="2" t="inlineStr">
        <is>
          <t>Odörspindling</t>
        </is>
      </c>
      <c r="S189">
        <f>HYPERLINK("https://klasma.github.io/Logging_0980/artfynd/A 49726-2025 artfynd.xlsx", "A 49726-2025")</f>
        <v/>
      </c>
      <c r="T189">
        <f>HYPERLINK("https://klasma.github.io/Logging_0980/kartor/A 49726-2025 karta.png", "A 49726-2025")</f>
        <v/>
      </c>
      <c r="V189">
        <f>HYPERLINK("https://klasma.github.io/Logging_0980/klagomål/A 49726-2025 FSC-klagomål.docx", "A 49726-2025")</f>
        <v/>
      </c>
      <c r="W189">
        <f>HYPERLINK("https://klasma.github.io/Logging_0980/klagomålsmail/A 49726-2025 FSC-klagomål mail.docx", "A 49726-2025")</f>
        <v/>
      </c>
      <c r="X189">
        <f>HYPERLINK("https://klasma.github.io/Logging_0980/tillsyn/A 49726-2025 tillsynsbegäran.docx", "A 49726-2025")</f>
        <v/>
      </c>
      <c r="Y189">
        <f>HYPERLINK("https://klasma.github.io/Logging_0980/tillsynsmail/A 49726-2025 tillsynsbegäran mail.docx", "A 49726-2025")</f>
        <v/>
      </c>
    </row>
    <row r="190" ht="15" customHeight="1">
      <c r="A190" t="inlineStr">
        <is>
          <t>A 19901-2021</t>
        </is>
      </c>
      <c r="B190" s="1" t="n">
        <v>44312</v>
      </c>
      <c r="C190" s="1" t="n">
        <v>45994</v>
      </c>
      <c r="D190" t="inlineStr">
        <is>
          <t>GOTLANDS LÄN</t>
        </is>
      </c>
      <c r="E190" t="inlineStr">
        <is>
          <t>GOTLAND</t>
        </is>
      </c>
      <c r="G190" t="n">
        <v>4.5</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45994</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18038-2021</t>
        </is>
      </c>
      <c r="B192" s="1" t="n">
        <v>44302</v>
      </c>
      <c r="C192" s="1" t="n">
        <v>45994</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45994</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50892-2021</t>
        </is>
      </c>
      <c r="B194" s="1" t="n">
        <v>44459</v>
      </c>
      <c r="C194" s="1" t="n">
        <v>45994</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45994</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45994</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45994</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45994</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44108-2022</t>
        </is>
      </c>
      <c r="B199" s="1" t="n">
        <v>44839.38159722222</v>
      </c>
      <c r="C199" s="1" t="n">
        <v>45994</v>
      </c>
      <c r="D199" t="inlineStr">
        <is>
          <t>GOTLANDS LÄN</t>
        </is>
      </c>
      <c r="E199" t="inlineStr">
        <is>
          <t>GOTLAND</t>
        </is>
      </c>
      <c r="G199" t="n">
        <v>12.9</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45994</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25199-2021</t>
        </is>
      </c>
      <c r="B201" s="1" t="n">
        <v>44342</v>
      </c>
      <c r="C201" s="1" t="n">
        <v>45994</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24235-2022</t>
        </is>
      </c>
      <c r="B202" s="1" t="n">
        <v>44725</v>
      </c>
      <c r="C202" s="1" t="n">
        <v>45994</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32647-2021</t>
        </is>
      </c>
      <c r="B203" s="1" t="n">
        <v>44375</v>
      </c>
      <c r="C203" s="1" t="n">
        <v>45994</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45994</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45994</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45994</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45994</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45994</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45994</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45994</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45994</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45994</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12318-2021</t>
        </is>
      </c>
      <c r="B213" s="1" t="n">
        <v>44266</v>
      </c>
      <c r="C213" s="1" t="n">
        <v>45994</v>
      </c>
      <c r="D213" t="inlineStr">
        <is>
          <t>GOTLANDS LÄN</t>
        </is>
      </c>
      <c r="E213" t="inlineStr">
        <is>
          <t>GOTLAND</t>
        </is>
      </c>
      <c r="G213" t="n">
        <v>1</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45994</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45994</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32691-2021</t>
        </is>
      </c>
      <c r="B216" s="1" t="n">
        <v>44375</v>
      </c>
      <c r="C216" s="1" t="n">
        <v>45994</v>
      </c>
      <c r="D216" t="inlineStr">
        <is>
          <t>GOTLANDS LÄN</t>
        </is>
      </c>
      <c r="E216" t="inlineStr">
        <is>
          <t>GOTLAND</t>
        </is>
      </c>
      <c r="G216" t="n">
        <v>0.8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45994</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45994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45994</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45994</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45994</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45994</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45994</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45994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45994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60607-2021</t>
        </is>
      </c>
      <c r="B226" s="1" t="n">
        <v>44496.58627314815</v>
      </c>
      <c r="C226" s="1" t="n">
        <v>45994</v>
      </c>
      <c r="D226" t="inlineStr">
        <is>
          <t>GOTLANDS LÄN</t>
        </is>
      </c>
      <c r="E226" t="inlineStr">
        <is>
          <t>GOTLAND</t>
        </is>
      </c>
      <c r="G226" t="n">
        <v>0.6</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45994</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45994</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47369-2021</t>
        </is>
      </c>
      <c r="B229" s="1" t="n">
        <v>44447</v>
      </c>
      <c r="C229" s="1" t="n">
        <v>45994</v>
      </c>
      <c r="D229" t="inlineStr">
        <is>
          <t>GOTLANDS LÄN</t>
        </is>
      </c>
      <c r="E229" t="inlineStr">
        <is>
          <t>GOTLAND</t>
        </is>
      </c>
      <c r="G229" t="n">
        <v>2.3</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45994</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11029-2022</t>
        </is>
      </c>
      <c r="B231" s="1" t="n">
        <v>44628</v>
      </c>
      <c r="C231" s="1" t="n">
        <v>45994</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1229-2021</t>
        </is>
      </c>
      <c r="B232" s="1" t="n">
        <v>44208</v>
      </c>
      <c r="C232" s="1" t="n">
        <v>45994</v>
      </c>
      <c r="D232" t="inlineStr">
        <is>
          <t>GOTLANDS LÄN</t>
        </is>
      </c>
      <c r="E232" t="inlineStr">
        <is>
          <t>GOTLAND</t>
        </is>
      </c>
      <c r="G232" t="n">
        <v>5.3</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45994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3271-2021</t>
        </is>
      </c>
      <c r="B234" s="1" t="n">
        <v>44217</v>
      </c>
      <c r="C234" s="1" t="n">
        <v>45994</v>
      </c>
      <c r="D234" t="inlineStr">
        <is>
          <t>GOTLANDS LÄN</t>
        </is>
      </c>
      <c r="E234" t="inlineStr">
        <is>
          <t>GOTLAND</t>
        </is>
      </c>
      <c r="G234" t="n">
        <v>0.7</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45994</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64380-2020</t>
        </is>
      </c>
      <c r="B236" s="1" t="n">
        <v>44168.60128472222</v>
      </c>
      <c r="C236" s="1" t="n">
        <v>45994</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2608-2021</t>
        </is>
      </c>
      <c r="B237" s="1" t="n">
        <v>44214</v>
      </c>
      <c r="C237" s="1" t="n">
        <v>45994</v>
      </c>
      <c r="D237" t="inlineStr">
        <is>
          <t>GOTLANDS LÄN</t>
        </is>
      </c>
      <c r="E237" t="inlineStr">
        <is>
          <t>GOTLAND</t>
        </is>
      </c>
      <c r="G237" t="n">
        <v>3.9</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45994</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13498-2022</t>
        </is>
      </c>
      <c r="B239" s="1" t="n">
        <v>44647.78866898148</v>
      </c>
      <c r="C239" s="1" t="n">
        <v>45994</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13500-2022</t>
        </is>
      </c>
      <c r="B240" s="1" t="n">
        <v>44647.79513888889</v>
      </c>
      <c r="C240" s="1" t="n">
        <v>45994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45994</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456-2023</t>
        </is>
      </c>
      <c r="B242" s="1" t="n">
        <v>44929.87122685185</v>
      </c>
      <c r="C242" s="1" t="n">
        <v>45994</v>
      </c>
      <c r="D242" t="inlineStr">
        <is>
          <t>GOTLANDS LÄN</t>
        </is>
      </c>
      <c r="E242" t="inlineStr">
        <is>
          <t>GOTLAND</t>
        </is>
      </c>
      <c r="G242" t="n">
        <v>3.2</v>
      </c>
      <c r="H242" t="n">
        <v>0</v>
      </c>
      <c r="I242" t="n">
        <v>0</v>
      </c>
      <c r="J242" t="n">
        <v>0</v>
      </c>
      <c r="K242" t="n">
        <v>0</v>
      </c>
      <c r="L242" t="n">
        <v>0</v>
      </c>
      <c r="M242" t="n">
        <v>0</v>
      </c>
      <c r="N242" t="n">
        <v>0</v>
      </c>
      <c r="O242" t="n">
        <v>0</v>
      </c>
      <c r="P242" t="n">
        <v>0</v>
      </c>
      <c r="Q242" t="n">
        <v>0</v>
      </c>
      <c r="R242" s="2" t="inlineStr"/>
    </row>
    <row r="243" ht="15" customHeight="1">
      <c r="A243" t="inlineStr">
        <is>
          <t>A 40294-2022</t>
        </is>
      </c>
      <c r="B243" s="1" t="n">
        <v>44821</v>
      </c>
      <c r="C243" s="1" t="n">
        <v>45994</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27602-2023</t>
        </is>
      </c>
      <c r="B244" s="1" t="n">
        <v>45097</v>
      </c>
      <c r="C244" s="1" t="n">
        <v>45994</v>
      </c>
      <c r="D244" t="inlineStr">
        <is>
          <t>GOTLANDS LÄN</t>
        </is>
      </c>
      <c r="E244" t="inlineStr">
        <is>
          <t>GOTLAND</t>
        </is>
      </c>
      <c r="G244" t="n">
        <v>2.7</v>
      </c>
      <c r="H244" t="n">
        <v>0</v>
      </c>
      <c r="I244" t="n">
        <v>0</v>
      </c>
      <c r="J244" t="n">
        <v>0</v>
      </c>
      <c r="K244" t="n">
        <v>0</v>
      </c>
      <c r="L244" t="n">
        <v>0</v>
      </c>
      <c r="M244" t="n">
        <v>0</v>
      </c>
      <c r="N244" t="n">
        <v>0</v>
      </c>
      <c r="O244" t="n">
        <v>0</v>
      </c>
      <c r="P244" t="n">
        <v>0</v>
      </c>
      <c r="Q244" t="n">
        <v>0</v>
      </c>
      <c r="R244" s="2" t="inlineStr"/>
    </row>
    <row r="245" ht="15" customHeight="1">
      <c r="A245" t="inlineStr">
        <is>
          <t>A 58780-2024</t>
        </is>
      </c>
      <c r="B245" s="1" t="n">
        <v>45635.84113425926</v>
      </c>
      <c r="C245" s="1" t="n">
        <v>45994</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12322-2025</t>
        </is>
      </c>
      <c r="B246" s="1" t="n">
        <v>45730</v>
      </c>
      <c r="C246" s="1" t="n">
        <v>45994</v>
      </c>
      <c r="D246" t="inlineStr">
        <is>
          <t>GOTLANDS LÄN</t>
        </is>
      </c>
      <c r="E246" t="inlineStr">
        <is>
          <t>GOTLAND</t>
        </is>
      </c>
      <c r="G246" t="n">
        <v>1.4</v>
      </c>
      <c r="H246" t="n">
        <v>0</v>
      </c>
      <c r="I246" t="n">
        <v>0</v>
      </c>
      <c r="J246" t="n">
        <v>0</v>
      </c>
      <c r="K246" t="n">
        <v>0</v>
      </c>
      <c r="L246" t="n">
        <v>0</v>
      </c>
      <c r="M246" t="n">
        <v>0</v>
      </c>
      <c r="N246" t="n">
        <v>0</v>
      </c>
      <c r="O246" t="n">
        <v>0</v>
      </c>
      <c r="P246" t="n">
        <v>0</v>
      </c>
      <c r="Q246" t="n">
        <v>0</v>
      </c>
      <c r="R246" s="2" t="inlineStr"/>
    </row>
    <row r="247" ht="15" customHeight="1">
      <c r="A247" t="inlineStr">
        <is>
          <t>A 38234-2023</t>
        </is>
      </c>
      <c r="B247" s="1" t="n">
        <v>45161.56663194444</v>
      </c>
      <c r="C247" s="1" t="n">
        <v>45994</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1273-2023</t>
        </is>
      </c>
      <c r="B248" s="1" t="n">
        <v>44936</v>
      </c>
      <c r="C248" s="1" t="n">
        <v>45994</v>
      </c>
      <c r="D248" t="inlineStr">
        <is>
          <t>GOTLANDS LÄN</t>
        </is>
      </c>
      <c r="E248" t="inlineStr">
        <is>
          <t>GOTLAND</t>
        </is>
      </c>
      <c r="G248" t="n">
        <v>4.5</v>
      </c>
      <c r="H248" t="n">
        <v>0</v>
      </c>
      <c r="I248" t="n">
        <v>0</v>
      </c>
      <c r="J248" t="n">
        <v>0</v>
      </c>
      <c r="K248" t="n">
        <v>0</v>
      </c>
      <c r="L248" t="n">
        <v>0</v>
      </c>
      <c r="M248" t="n">
        <v>0</v>
      </c>
      <c r="N248" t="n">
        <v>0</v>
      </c>
      <c r="O248" t="n">
        <v>0</v>
      </c>
      <c r="P248" t="n">
        <v>0</v>
      </c>
      <c r="Q248" t="n">
        <v>0</v>
      </c>
      <c r="R248" s="2" t="inlineStr"/>
    </row>
    <row r="249" ht="15" customHeight="1">
      <c r="A249" t="inlineStr">
        <is>
          <t>A 24192-2023</t>
        </is>
      </c>
      <c r="B249" s="1" t="n">
        <v>45079</v>
      </c>
      <c r="C249" s="1" t="n">
        <v>45994</v>
      </c>
      <c r="D249" t="inlineStr">
        <is>
          <t>GOTLANDS LÄN</t>
        </is>
      </c>
      <c r="E249" t="inlineStr">
        <is>
          <t>GOTLAND</t>
        </is>
      </c>
      <c r="G249" t="n">
        <v>2.1</v>
      </c>
      <c r="H249" t="n">
        <v>0</v>
      </c>
      <c r="I249" t="n">
        <v>0</v>
      </c>
      <c r="J249" t="n">
        <v>0</v>
      </c>
      <c r="K249" t="n">
        <v>0</v>
      </c>
      <c r="L249" t="n">
        <v>0</v>
      </c>
      <c r="M249" t="n">
        <v>0</v>
      </c>
      <c r="N249" t="n">
        <v>0</v>
      </c>
      <c r="O249" t="n">
        <v>0</v>
      </c>
      <c r="P249" t="n">
        <v>0</v>
      </c>
      <c r="Q249" t="n">
        <v>0</v>
      </c>
      <c r="R249" s="2" t="inlineStr"/>
    </row>
    <row r="250" ht="15" customHeight="1">
      <c r="A250" t="inlineStr">
        <is>
          <t>A 30282-2022</t>
        </is>
      </c>
      <c r="B250" s="1" t="n">
        <v>44760</v>
      </c>
      <c r="C250" s="1" t="n">
        <v>45994</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7835-2024</t>
        </is>
      </c>
      <c r="B251" s="1" t="n">
        <v>45349.83138888889</v>
      </c>
      <c r="C251" s="1" t="n">
        <v>45994</v>
      </c>
      <c r="D251" t="inlineStr">
        <is>
          <t>GOTLANDS LÄN</t>
        </is>
      </c>
      <c r="E251" t="inlineStr">
        <is>
          <t>GOTLAND</t>
        </is>
      </c>
      <c r="G251" t="n">
        <v>3.8</v>
      </c>
      <c r="H251" t="n">
        <v>0</v>
      </c>
      <c r="I251" t="n">
        <v>0</v>
      </c>
      <c r="J251" t="n">
        <v>0</v>
      </c>
      <c r="K251" t="n">
        <v>0</v>
      </c>
      <c r="L251" t="n">
        <v>0</v>
      </c>
      <c r="M251" t="n">
        <v>0</v>
      </c>
      <c r="N251" t="n">
        <v>0</v>
      </c>
      <c r="O251" t="n">
        <v>0</v>
      </c>
      <c r="P251" t="n">
        <v>0</v>
      </c>
      <c r="Q251" t="n">
        <v>0</v>
      </c>
      <c r="R251" s="2" t="inlineStr"/>
    </row>
    <row r="252" ht="15" customHeight="1">
      <c r="A252" t="inlineStr">
        <is>
          <t>A 14413-2022</t>
        </is>
      </c>
      <c r="B252" s="1" t="n">
        <v>44652</v>
      </c>
      <c r="C252" s="1" t="n">
        <v>45994</v>
      </c>
      <c r="D252" t="inlineStr">
        <is>
          <t>GOTLANDS LÄN</t>
        </is>
      </c>
      <c r="E252" t="inlineStr">
        <is>
          <t>GOTLAND</t>
        </is>
      </c>
      <c r="G252" t="n">
        <v>3.1</v>
      </c>
      <c r="H252" t="n">
        <v>0</v>
      </c>
      <c r="I252" t="n">
        <v>0</v>
      </c>
      <c r="J252" t="n">
        <v>0</v>
      </c>
      <c r="K252" t="n">
        <v>0</v>
      </c>
      <c r="L252" t="n">
        <v>0</v>
      </c>
      <c r="M252" t="n">
        <v>0</v>
      </c>
      <c r="N252" t="n">
        <v>0</v>
      </c>
      <c r="O252" t="n">
        <v>0</v>
      </c>
      <c r="P252" t="n">
        <v>0</v>
      </c>
      <c r="Q252" t="n">
        <v>0</v>
      </c>
      <c r="R252" s="2" t="inlineStr"/>
    </row>
    <row r="253" ht="15" customHeight="1">
      <c r="A253" t="inlineStr">
        <is>
          <t>A 10650-2022</t>
        </is>
      </c>
      <c r="B253" s="1" t="n">
        <v>44624.57945601852</v>
      </c>
      <c r="C253" s="1" t="n">
        <v>45994</v>
      </c>
      <c r="D253" t="inlineStr">
        <is>
          <t>GOTLANDS LÄN</t>
        </is>
      </c>
      <c r="E253" t="inlineStr">
        <is>
          <t>GOTLAND</t>
        </is>
      </c>
      <c r="G253" t="n">
        <v>1.1</v>
      </c>
      <c r="H253" t="n">
        <v>0</v>
      </c>
      <c r="I253" t="n">
        <v>0</v>
      </c>
      <c r="J253" t="n">
        <v>0</v>
      </c>
      <c r="K253" t="n">
        <v>0</v>
      </c>
      <c r="L253" t="n">
        <v>0</v>
      </c>
      <c r="M253" t="n">
        <v>0</v>
      </c>
      <c r="N253" t="n">
        <v>0</v>
      </c>
      <c r="O253" t="n">
        <v>0</v>
      </c>
      <c r="P253" t="n">
        <v>0</v>
      </c>
      <c r="Q253" t="n">
        <v>0</v>
      </c>
      <c r="R253" s="2" t="inlineStr"/>
    </row>
    <row r="254" ht="15" customHeight="1">
      <c r="A254" t="inlineStr">
        <is>
          <t>A 26810-2021</t>
        </is>
      </c>
      <c r="B254" s="1" t="n">
        <v>44349.55087962963</v>
      </c>
      <c r="C254" s="1" t="n">
        <v>45994</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58476-2022</t>
        </is>
      </c>
      <c r="B255" s="1" t="n">
        <v>44902</v>
      </c>
      <c r="C255" s="1" t="n">
        <v>45994</v>
      </c>
      <c r="D255" t="inlineStr">
        <is>
          <t>GOTLANDS LÄN</t>
        </is>
      </c>
      <c r="E255" t="inlineStr">
        <is>
          <t>GOTLAND</t>
        </is>
      </c>
      <c r="G255" t="n">
        <v>0.9</v>
      </c>
      <c r="H255" t="n">
        <v>0</v>
      </c>
      <c r="I255" t="n">
        <v>0</v>
      </c>
      <c r="J255" t="n">
        <v>0</v>
      </c>
      <c r="K255" t="n">
        <v>0</v>
      </c>
      <c r="L255" t="n">
        <v>0</v>
      </c>
      <c r="M255" t="n">
        <v>0</v>
      </c>
      <c r="N255" t="n">
        <v>0</v>
      </c>
      <c r="O255" t="n">
        <v>0</v>
      </c>
      <c r="P255" t="n">
        <v>0</v>
      </c>
      <c r="Q255" t="n">
        <v>0</v>
      </c>
      <c r="R255" s="2" t="inlineStr"/>
    </row>
    <row r="256" ht="15" customHeight="1">
      <c r="A256" t="inlineStr">
        <is>
          <t>A 17724-2024</t>
        </is>
      </c>
      <c r="B256" s="1" t="n">
        <v>45418.55096064815</v>
      </c>
      <c r="C256" s="1" t="n">
        <v>45994</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23978-2023</t>
        </is>
      </c>
      <c r="B257" s="1" t="n">
        <v>45078</v>
      </c>
      <c r="C257" s="1" t="n">
        <v>45994</v>
      </c>
      <c r="D257" t="inlineStr">
        <is>
          <t>GOTLANDS LÄN</t>
        </is>
      </c>
      <c r="E257" t="inlineStr">
        <is>
          <t>GOTLAND</t>
        </is>
      </c>
      <c r="F257" t="inlineStr">
        <is>
          <t>Naturvårdsverket</t>
        </is>
      </c>
      <c r="G257" t="n">
        <v>1.7</v>
      </c>
      <c r="H257" t="n">
        <v>0</v>
      </c>
      <c r="I257" t="n">
        <v>0</v>
      </c>
      <c r="J257" t="n">
        <v>0</v>
      </c>
      <c r="K257" t="n">
        <v>0</v>
      </c>
      <c r="L257" t="n">
        <v>0</v>
      </c>
      <c r="M257" t="n">
        <v>0</v>
      </c>
      <c r="N257" t="n">
        <v>0</v>
      </c>
      <c r="O257" t="n">
        <v>0</v>
      </c>
      <c r="P257" t="n">
        <v>0</v>
      </c>
      <c r="Q257" t="n">
        <v>0</v>
      </c>
      <c r="R257" s="2" t="inlineStr"/>
    </row>
    <row r="258" ht="15" customHeight="1">
      <c r="A258" t="inlineStr">
        <is>
          <t>A 49884-2023</t>
        </is>
      </c>
      <c r="B258" s="1" t="n">
        <v>45213</v>
      </c>
      <c r="C258" s="1" t="n">
        <v>45994</v>
      </c>
      <c r="D258" t="inlineStr">
        <is>
          <t>GOTLANDS LÄN</t>
        </is>
      </c>
      <c r="E258" t="inlineStr">
        <is>
          <t>GOTLAND</t>
        </is>
      </c>
      <c r="G258" t="n">
        <v>8.9</v>
      </c>
      <c r="H258" t="n">
        <v>0</v>
      </c>
      <c r="I258" t="n">
        <v>0</v>
      </c>
      <c r="J258" t="n">
        <v>0</v>
      </c>
      <c r="K258" t="n">
        <v>0</v>
      </c>
      <c r="L258" t="n">
        <v>0</v>
      </c>
      <c r="M258" t="n">
        <v>0</v>
      </c>
      <c r="N258" t="n">
        <v>0</v>
      </c>
      <c r="O258" t="n">
        <v>0</v>
      </c>
      <c r="P258" t="n">
        <v>0</v>
      </c>
      <c r="Q258" t="n">
        <v>0</v>
      </c>
      <c r="R258" s="2" t="inlineStr"/>
    </row>
    <row r="259" ht="15" customHeight="1">
      <c r="A259" t="inlineStr">
        <is>
          <t>A 28425-2023</t>
        </is>
      </c>
      <c r="B259" s="1" t="n">
        <v>45102</v>
      </c>
      <c r="C259" s="1" t="n">
        <v>45994</v>
      </c>
      <c r="D259" t="inlineStr">
        <is>
          <t>GOTLANDS LÄN</t>
        </is>
      </c>
      <c r="E259" t="inlineStr">
        <is>
          <t>GOTLAND</t>
        </is>
      </c>
      <c r="G259" t="n">
        <v>0.5</v>
      </c>
      <c r="H259" t="n">
        <v>0</v>
      </c>
      <c r="I259" t="n">
        <v>0</v>
      </c>
      <c r="J259" t="n">
        <v>0</v>
      </c>
      <c r="K259" t="n">
        <v>0</v>
      </c>
      <c r="L259" t="n">
        <v>0</v>
      </c>
      <c r="M259" t="n">
        <v>0</v>
      </c>
      <c r="N259" t="n">
        <v>0</v>
      </c>
      <c r="O259" t="n">
        <v>0</v>
      </c>
      <c r="P259" t="n">
        <v>0</v>
      </c>
      <c r="Q259" t="n">
        <v>0</v>
      </c>
      <c r="R259" s="2" t="inlineStr"/>
    </row>
    <row r="260" ht="15" customHeight="1">
      <c r="A260" t="inlineStr">
        <is>
          <t>A 63229-2021</t>
        </is>
      </c>
      <c r="B260" s="1" t="n">
        <v>44508.34518518519</v>
      </c>
      <c r="C260" s="1" t="n">
        <v>45994</v>
      </c>
      <c r="D260" t="inlineStr">
        <is>
          <t>GOTLANDS LÄN</t>
        </is>
      </c>
      <c r="E260" t="inlineStr">
        <is>
          <t>GOTLAND</t>
        </is>
      </c>
      <c r="F260" t="inlineStr">
        <is>
          <t>Kyrkan</t>
        </is>
      </c>
      <c r="G260" t="n">
        <v>3.8</v>
      </c>
      <c r="H260" t="n">
        <v>0</v>
      </c>
      <c r="I260" t="n">
        <v>0</v>
      </c>
      <c r="J260" t="n">
        <v>0</v>
      </c>
      <c r="K260" t="n">
        <v>0</v>
      </c>
      <c r="L260" t="n">
        <v>0</v>
      </c>
      <c r="M260" t="n">
        <v>0</v>
      </c>
      <c r="N260" t="n">
        <v>0</v>
      </c>
      <c r="O260" t="n">
        <v>0</v>
      </c>
      <c r="P260" t="n">
        <v>0</v>
      </c>
      <c r="Q260" t="n">
        <v>0</v>
      </c>
      <c r="R260" s="2" t="inlineStr"/>
    </row>
    <row r="261" ht="15" customHeight="1">
      <c r="A261" t="inlineStr">
        <is>
          <t>A 12846-2025</t>
        </is>
      </c>
      <c r="B261" s="1" t="n">
        <v>45733.65049768519</v>
      </c>
      <c r="C261" s="1" t="n">
        <v>45994</v>
      </c>
      <c r="D261" t="inlineStr">
        <is>
          <t>GOTLANDS LÄN</t>
        </is>
      </c>
      <c r="E261" t="inlineStr">
        <is>
          <t>GOTLAND</t>
        </is>
      </c>
      <c r="G261" t="n">
        <v>1.7</v>
      </c>
      <c r="H261" t="n">
        <v>0</v>
      </c>
      <c r="I261" t="n">
        <v>0</v>
      </c>
      <c r="J261" t="n">
        <v>0</v>
      </c>
      <c r="K261" t="n">
        <v>0</v>
      </c>
      <c r="L261" t="n">
        <v>0</v>
      </c>
      <c r="M261" t="n">
        <v>0</v>
      </c>
      <c r="N261" t="n">
        <v>0</v>
      </c>
      <c r="O261" t="n">
        <v>0</v>
      </c>
      <c r="P261" t="n">
        <v>0</v>
      </c>
      <c r="Q261" t="n">
        <v>0</v>
      </c>
      <c r="R261" s="2" t="inlineStr"/>
    </row>
    <row r="262" ht="15" customHeight="1">
      <c r="A262" t="inlineStr">
        <is>
          <t>A 61596-2023</t>
        </is>
      </c>
      <c r="B262" s="1" t="n">
        <v>45265</v>
      </c>
      <c r="C262" s="1" t="n">
        <v>45994</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43200-2023</t>
        </is>
      </c>
      <c r="B263" s="1" t="n">
        <v>45183</v>
      </c>
      <c r="C263" s="1" t="n">
        <v>45994</v>
      </c>
      <c r="D263" t="inlineStr">
        <is>
          <t>GOTLANDS LÄN</t>
        </is>
      </c>
      <c r="E263" t="inlineStr">
        <is>
          <t>GOTLAND</t>
        </is>
      </c>
      <c r="G263" t="n">
        <v>0.5</v>
      </c>
      <c r="H263" t="n">
        <v>0</v>
      </c>
      <c r="I263" t="n">
        <v>0</v>
      </c>
      <c r="J263" t="n">
        <v>0</v>
      </c>
      <c r="K263" t="n">
        <v>0</v>
      </c>
      <c r="L263" t="n">
        <v>0</v>
      </c>
      <c r="M263" t="n">
        <v>0</v>
      </c>
      <c r="N263" t="n">
        <v>0</v>
      </c>
      <c r="O263" t="n">
        <v>0</v>
      </c>
      <c r="P263" t="n">
        <v>0</v>
      </c>
      <c r="Q263" t="n">
        <v>0</v>
      </c>
      <c r="R263" s="2" t="inlineStr"/>
    </row>
    <row r="264" ht="15" customHeight="1">
      <c r="A264" t="inlineStr">
        <is>
          <t>A 13037-2025</t>
        </is>
      </c>
      <c r="B264" s="1" t="n">
        <v>45734</v>
      </c>
      <c r="C264" s="1" t="n">
        <v>45994</v>
      </c>
      <c r="D264" t="inlineStr">
        <is>
          <t>GOTLANDS LÄN</t>
        </is>
      </c>
      <c r="E264" t="inlineStr">
        <is>
          <t>GOTLAND</t>
        </is>
      </c>
      <c r="G264" t="n">
        <v>9.5</v>
      </c>
      <c r="H264" t="n">
        <v>0</v>
      </c>
      <c r="I264" t="n">
        <v>0</v>
      </c>
      <c r="J264" t="n">
        <v>0</v>
      </c>
      <c r="K264" t="n">
        <v>0</v>
      </c>
      <c r="L264" t="n">
        <v>0</v>
      </c>
      <c r="M264" t="n">
        <v>0</v>
      </c>
      <c r="N264" t="n">
        <v>0</v>
      </c>
      <c r="O264" t="n">
        <v>0</v>
      </c>
      <c r="P264" t="n">
        <v>0</v>
      </c>
      <c r="Q264" t="n">
        <v>0</v>
      </c>
      <c r="R264" s="2" t="inlineStr"/>
    </row>
    <row r="265" ht="15" customHeight="1">
      <c r="A265" t="inlineStr">
        <is>
          <t>A 873-2024</t>
        </is>
      </c>
      <c r="B265" s="1" t="n">
        <v>45301</v>
      </c>
      <c r="C265" s="1" t="n">
        <v>45994</v>
      </c>
      <c r="D265" t="inlineStr">
        <is>
          <t>GOTLANDS LÄN</t>
        </is>
      </c>
      <c r="E265" t="inlineStr">
        <is>
          <t>GOTLAND</t>
        </is>
      </c>
      <c r="G265" t="n">
        <v>2.7</v>
      </c>
      <c r="H265" t="n">
        <v>0</v>
      </c>
      <c r="I265" t="n">
        <v>0</v>
      </c>
      <c r="J265" t="n">
        <v>0</v>
      </c>
      <c r="K265" t="n">
        <v>0</v>
      </c>
      <c r="L265" t="n">
        <v>0</v>
      </c>
      <c r="M265" t="n">
        <v>0</v>
      </c>
      <c r="N265" t="n">
        <v>0</v>
      </c>
      <c r="O265" t="n">
        <v>0</v>
      </c>
      <c r="P265" t="n">
        <v>0</v>
      </c>
      <c r="Q265" t="n">
        <v>0</v>
      </c>
      <c r="R265" s="2" t="inlineStr"/>
    </row>
    <row r="266" ht="15" customHeight="1">
      <c r="A266" t="inlineStr">
        <is>
          <t>A 44228-2022</t>
        </is>
      </c>
      <c r="B266" s="1" t="n">
        <v>44839.51599537037</v>
      </c>
      <c r="C266" s="1" t="n">
        <v>45994</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61386-2023</t>
        </is>
      </c>
      <c r="B267" s="1" t="n">
        <v>45264</v>
      </c>
      <c r="C267" s="1" t="n">
        <v>45994</v>
      </c>
      <c r="D267" t="inlineStr">
        <is>
          <t>GOTLANDS LÄN</t>
        </is>
      </c>
      <c r="E267" t="inlineStr">
        <is>
          <t>GOTLAND</t>
        </is>
      </c>
      <c r="G267" t="n">
        <v>0.7</v>
      </c>
      <c r="H267" t="n">
        <v>0</v>
      </c>
      <c r="I267" t="n">
        <v>0</v>
      </c>
      <c r="J267" t="n">
        <v>0</v>
      </c>
      <c r="K267" t="n">
        <v>0</v>
      </c>
      <c r="L267" t="n">
        <v>0</v>
      </c>
      <c r="M267" t="n">
        <v>0</v>
      </c>
      <c r="N267" t="n">
        <v>0</v>
      </c>
      <c r="O267" t="n">
        <v>0</v>
      </c>
      <c r="P267" t="n">
        <v>0</v>
      </c>
      <c r="Q267" t="n">
        <v>0</v>
      </c>
      <c r="R267" s="2" t="inlineStr"/>
    </row>
    <row r="268" ht="15" customHeight="1">
      <c r="A268" t="inlineStr">
        <is>
          <t>A 3935-2025</t>
        </is>
      </c>
      <c r="B268" s="1" t="n">
        <v>45684.46070601852</v>
      </c>
      <c r="C268" s="1" t="n">
        <v>45994</v>
      </c>
      <c r="D268" t="inlineStr">
        <is>
          <t>GOTLANDS LÄN</t>
        </is>
      </c>
      <c r="E268" t="inlineStr">
        <is>
          <t>GOTLAND</t>
        </is>
      </c>
      <c r="G268" t="n">
        <v>2.6</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45994</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25129-2023</t>
        </is>
      </c>
      <c r="B270" s="1" t="n">
        <v>45086.44261574074</v>
      </c>
      <c r="C270" s="1" t="n">
        <v>45994</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21792-2024</t>
        </is>
      </c>
      <c r="B271" s="1" t="n">
        <v>45442.64326388889</v>
      </c>
      <c r="C271" s="1" t="n">
        <v>45994</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10746-2025</t>
        </is>
      </c>
      <c r="B272" s="1" t="n">
        <v>45722.42766203704</v>
      </c>
      <c r="C272" s="1" t="n">
        <v>45994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48843-2024</t>
        </is>
      </c>
      <c r="B273" s="1" t="n">
        <v>45593</v>
      </c>
      <c r="C273" s="1" t="n">
        <v>45994</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21164-2024</t>
        </is>
      </c>
      <c r="B274" s="1" t="n">
        <v>45440</v>
      </c>
      <c r="C274" s="1" t="n">
        <v>45994</v>
      </c>
      <c r="D274" t="inlineStr">
        <is>
          <t>GOTLANDS LÄN</t>
        </is>
      </c>
      <c r="E274" t="inlineStr">
        <is>
          <t>GOTLAND</t>
        </is>
      </c>
      <c r="G274" t="n">
        <v>6.3</v>
      </c>
      <c r="H274" t="n">
        <v>0</v>
      </c>
      <c r="I274" t="n">
        <v>0</v>
      </c>
      <c r="J274" t="n">
        <v>0</v>
      </c>
      <c r="K274" t="n">
        <v>0</v>
      </c>
      <c r="L274" t="n">
        <v>0</v>
      </c>
      <c r="M274" t="n">
        <v>0</v>
      </c>
      <c r="N274" t="n">
        <v>0</v>
      </c>
      <c r="O274" t="n">
        <v>0</v>
      </c>
      <c r="P274" t="n">
        <v>0</v>
      </c>
      <c r="Q274" t="n">
        <v>0</v>
      </c>
      <c r="R274" s="2" t="inlineStr"/>
    </row>
    <row r="275" ht="15" customHeight="1">
      <c r="A275" t="inlineStr">
        <is>
          <t>A 17541-2024</t>
        </is>
      </c>
      <c r="B275" s="1" t="n">
        <v>45415</v>
      </c>
      <c r="C275" s="1" t="n">
        <v>45994</v>
      </c>
      <c r="D275" t="inlineStr">
        <is>
          <t>GOTLANDS LÄN</t>
        </is>
      </c>
      <c r="E275" t="inlineStr">
        <is>
          <t>GOTLAND</t>
        </is>
      </c>
      <c r="G275" t="n">
        <v>2.6</v>
      </c>
      <c r="H275" t="n">
        <v>0</v>
      </c>
      <c r="I275" t="n">
        <v>0</v>
      </c>
      <c r="J275" t="n">
        <v>0</v>
      </c>
      <c r="K275" t="n">
        <v>0</v>
      </c>
      <c r="L275" t="n">
        <v>0</v>
      </c>
      <c r="M275" t="n">
        <v>0</v>
      </c>
      <c r="N275" t="n">
        <v>0</v>
      </c>
      <c r="O275" t="n">
        <v>0</v>
      </c>
      <c r="P275" t="n">
        <v>0</v>
      </c>
      <c r="Q275" t="n">
        <v>0</v>
      </c>
      <c r="R275" s="2" t="inlineStr"/>
    </row>
    <row r="276" ht="15" customHeight="1">
      <c r="A276" t="inlineStr">
        <is>
          <t>A 883-2025</t>
        </is>
      </c>
      <c r="B276" s="1" t="n">
        <v>45665</v>
      </c>
      <c r="C276" s="1" t="n">
        <v>45994</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10653-2023</t>
        </is>
      </c>
      <c r="B277" s="1" t="n">
        <v>44988.48859953704</v>
      </c>
      <c r="C277" s="1" t="n">
        <v>45994</v>
      </c>
      <c r="D277" t="inlineStr">
        <is>
          <t>GOTLANDS LÄN</t>
        </is>
      </c>
      <c r="E277" t="inlineStr">
        <is>
          <t>GOTLAND</t>
        </is>
      </c>
      <c r="F277" t="inlineStr">
        <is>
          <t>Kyrkan</t>
        </is>
      </c>
      <c r="G277" t="n">
        <v>3</v>
      </c>
      <c r="H277" t="n">
        <v>0</v>
      </c>
      <c r="I277" t="n">
        <v>0</v>
      </c>
      <c r="J277" t="n">
        <v>0</v>
      </c>
      <c r="K277" t="n">
        <v>0</v>
      </c>
      <c r="L277" t="n">
        <v>0</v>
      </c>
      <c r="M277" t="n">
        <v>0</v>
      </c>
      <c r="N277" t="n">
        <v>0</v>
      </c>
      <c r="O277" t="n">
        <v>0</v>
      </c>
      <c r="P277" t="n">
        <v>0</v>
      </c>
      <c r="Q277" t="n">
        <v>0</v>
      </c>
      <c r="R277" s="2" t="inlineStr"/>
    </row>
    <row r="278" ht="15" customHeight="1">
      <c r="A278" t="inlineStr">
        <is>
          <t>A 43229-2023</t>
        </is>
      </c>
      <c r="B278" s="1" t="n">
        <v>45183.46704861111</v>
      </c>
      <c r="C278" s="1" t="n">
        <v>45994</v>
      </c>
      <c r="D278" t="inlineStr">
        <is>
          <t>GOTLANDS LÄN</t>
        </is>
      </c>
      <c r="E278" t="inlineStr">
        <is>
          <t>GOTLAND</t>
        </is>
      </c>
      <c r="G278" t="n">
        <v>7.1</v>
      </c>
      <c r="H278" t="n">
        <v>0</v>
      </c>
      <c r="I278" t="n">
        <v>0</v>
      </c>
      <c r="J278" t="n">
        <v>0</v>
      </c>
      <c r="K278" t="n">
        <v>0</v>
      </c>
      <c r="L278" t="n">
        <v>0</v>
      </c>
      <c r="M278" t="n">
        <v>0</v>
      </c>
      <c r="N278" t="n">
        <v>0</v>
      </c>
      <c r="O278" t="n">
        <v>0</v>
      </c>
      <c r="P278" t="n">
        <v>0</v>
      </c>
      <c r="Q278" t="n">
        <v>0</v>
      </c>
      <c r="R278" s="2" t="inlineStr"/>
    </row>
    <row r="279" ht="15" customHeight="1">
      <c r="A279" t="inlineStr">
        <is>
          <t>A 13910-2025</t>
        </is>
      </c>
      <c r="B279" s="1" t="n">
        <v>45737</v>
      </c>
      <c r="C279" s="1" t="n">
        <v>45994</v>
      </c>
      <c r="D279" t="inlineStr">
        <is>
          <t>GOTLANDS LÄN</t>
        </is>
      </c>
      <c r="E279" t="inlineStr">
        <is>
          <t>GOTLAND</t>
        </is>
      </c>
      <c r="F279" t="inlineStr">
        <is>
          <t>Kommuner</t>
        </is>
      </c>
      <c r="G279" t="n">
        <v>3.2</v>
      </c>
      <c r="H279" t="n">
        <v>0</v>
      </c>
      <c r="I279" t="n">
        <v>0</v>
      </c>
      <c r="J279" t="n">
        <v>0</v>
      </c>
      <c r="K279" t="n">
        <v>0</v>
      </c>
      <c r="L279" t="n">
        <v>0</v>
      </c>
      <c r="M279" t="n">
        <v>0</v>
      </c>
      <c r="N279" t="n">
        <v>0</v>
      </c>
      <c r="O279" t="n">
        <v>0</v>
      </c>
      <c r="P279" t="n">
        <v>0</v>
      </c>
      <c r="Q279" t="n">
        <v>0</v>
      </c>
      <c r="R279" s="2" t="inlineStr"/>
    </row>
    <row r="280" ht="15" customHeight="1">
      <c r="A280" t="inlineStr">
        <is>
          <t>A 56009-2024</t>
        </is>
      </c>
      <c r="B280" s="1" t="n">
        <v>45623.80864583333</v>
      </c>
      <c r="C280" s="1" t="n">
        <v>45994</v>
      </c>
      <c r="D280" t="inlineStr">
        <is>
          <t>GOTLANDS LÄN</t>
        </is>
      </c>
      <c r="E280" t="inlineStr">
        <is>
          <t>GOTLAND</t>
        </is>
      </c>
      <c r="G280" t="n">
        <v>2.8</v>
      </c>
      <c r="H280" t="n">
        <v>0</v>
      </c>
      <c r="I280" t="n">
        <v>0</v>
      </c>
      <c r="J280" t="n">
        <v>0</v>
      </c>
      <c r="K280" t="n">
        <v>0</v>
      </c>
      <c r="L280" t="n">
        <v>0</v>
      </c>
      <c r="M280" t="n">
        <v>0</v>
      </c>
      <c r="N280" t="n">
        <v>0</v>
      </c>
      <c r="O280" t="n">
        <v>0</v>
      </c>
      <c r="P280" t="n">
        <v>0</v>
      </c>
      <c r="Q280" t="n">
        <v>0</v>
      </c>
      <c r="R280" s="2" t="inlineStr"/>
    </row>
    <row r="281" ht="15" customHeight="1">
      <c r="A281" t="inlineStr">
        <is>
          <t>A 54073-2022</t>
        </is>
      </c>
      <c r="B281" s="1" t="n">
        <v>44881.50380787037</v>
      </c>
      <c r="C281" s="1" t="n">
        <v>45994</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35512-2023</t>
        </is>
      </c>
      <c r="B282" s="1" t="n">
        <v>45147.25623842593</v>
      </c>
      <c r="C282" s="1" t="n">
        <v>45994</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41038-2023</t>
        </is>
      </c>
      <c r="B283" s="1" t="n">
        <v>45173.60959490741</v>
      </c>
      <c r="C283" s="1" t="n">
        <v>45994</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11874-2024</t>
        </is>
      </c>
      <c r="B284" s="1" t="n">
        <v>45376.46956018519</v>
      </c>
      <c r="C284" s="1" t="n">
        <v>45994</v>
      </c>
      <c r="D284" t="inlineStr">
        <is>
          <t>GOTLANDS LÄN</t>
        </is>
      </c>
      <c r="E284" t="inlineStr">
        <is>
          <t>GOTLAND</t>
        </is>
      </c>
      <c r="G284" t="n">
        <v>0.8</v>
      </c>
      <c r="H284" t="n">
        <v>0</v>
      </c>
      <c r="I284" t="n">
        <v>0</v>
      </c>
      <c r="J284" t="n">
        <v>0</v>
      </c>
      <c r="K284" t="n">
        <v>0</v>
      </c>
      <c r="L284" t="n">
        <v>0</v>
      </c>
      <c r="M284" t="n">
        <v>0</v>
      </c>
      <c r="N284" t="n">
        <v>0</v>
      </c>
      <c r="O284" t="n">
        <v>0</v>
      </c>
      <c r="P284" t="n">
        <v>0</v>
      </c>
      <c r="Q284" t="n">
        <v>0</v>
      </c>
      <c r="R284" s="2" t="inlineStr"/>
    </row>
    <row r="285" ht="15" customHeight="1">
      <c r="A285" t="inlineStr">
        <is>
          <t>A 3964-2024</t>
        </is>
      </c>
      <c r="B285" s="1" t="n">
        <v>45322</v>
      </c>
      <c r="C285" s="1" t="n">
        <v>45994</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45106-2024</t>
        </is>
      </c>
      <c r="B286" s="1" t="n">
        <v>45575</v>
      </c>
      <c r="C286" s="1" t="n">
        <v>45994</v>
      </c>
      <c r="D286" t="inlineStr">
        <is>
          <t>GOTLANDS LÄN</t>
        </is>
      </c>
      <c r="E286" t="inlineStr">
        <is>
          <t>GOTLAND</t>
        </is>
      </c>
      <c r="G286" t="n">
        <v>10</v>
      </c>
      <c r="H286" t="n">
        <v>0</v>
      </c>
      <c r="I286" t="n">
        <v>0</v>
      </c>
      <c r="J286" t="n">
        <v>0</v>
      </c>
      <c r="K286" t="n">
        <v>0</v>
      </c>
      <c r="L286" t="n">
        <v>0</v>
      </c>
      <c r="M286" t="n">
        <v>0</v>
      </c>
      <c r="N286" t="n">
        <v>0</v>
      </c>
      <c r="O286" t="n">
        <v>0</v>
      </c>
      <c r="P286" t="n">
        <v>0</v>
      </c>
      <c r="Q286" t="n">
        <v>0</v>
      </c>
      <c r="R286" s="2" t="inlineStr"/>
    </row>
    <row r="287" ht="15" customHeight="1">
      <c r="A287" t="inlineStr">
        <is>
          <t>A 45112-2024</t>
        </is>
      </c>
      <c r="B287" s="1" t="n">
        <v>45575</v>
      </c>
      <c r="C287" s="1" t="n">
        <v>45994</v>
      </c>
      <c r="D287" t="inlineStr">
        <is>
          <t>GOTLANDS LÄN</t>
        </is>
      </c>
      <c r="E287" t="inlineStr">
        <is>
          <t>GOTLAND</t>
        </is>
      </c>
      <c r="G287" t="n">
        <v>5.1</v>
      </c>
      <c r="H287" t="n">
        <v>0</v>
      </c>
      <c r="I287" t="n">
        <v>0</v>
      </c>
      <c r="J287" t="n">
        <v>0</v>
      </c>
      <c r="K287" t="n">
        <v>0</v>
      </c>
      <c r="L287" t="n">
        <v>0</v>
      </c>
      <c r="M287" t="n">
        <v>0</v>
      </c>
      <c r="N287" t="n">
        <v>0</v>
      </c>
      <c r="O287" t="n">
        <v>0</v>
      </c>
      <c r="P287" t="n">
        <v>0</v>
      </c>
      <c r="Q287" t="n">
        <v>0</v>
      </c>
      <c r="R287" s="2" t="inlineStr"/>
    </row>
    <row r="288" ht="15" customHeight="1">
      <c r="A288" t="inlineStr">
        <is>
          <t>A 20225-2025</t>
        </is>
      </c>
      <c r="B288" s="1" t="n">
        <v>45772.65802083333</v>
      </c>
      <c r="C288" s="1" t="n">
        <v>45994</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7026-2023</t>
        </is>
      </c>
      <c r="B289" s="1" t="n">
        <v>44968.30340277778</v>
      </c>
      <c r="C289" s="1" t="n">
        <v>45994</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1677-2023</t>
        </is>
      </c>
      <c r="B290" s="1" t="n">
        <v>44938</v>
      </c>
      <c r="C290" s="1" t="n">
        <v>45994</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24966-2023</t>
        </is>
      </c>
      <c r="B291" s="1" t="n">
        <v>45085</v>
      </c>
      <c r="C291" s="1" t="n">
        <v>45994</v>
      </c>
      <c r="D291" t="inlineStr">
        <is>
          <t>GOTLANDS LÄN</t>
        </is>
      </c>
      <c r="E291" t="inlineStr">
        <is>
          <t>GOTLAND</t>
        </is>
      </c>
      <c r="G291" t="n">
        <v>7</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45994</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45994</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57652-2023</t>
        </is>
      </c>
      <c r="B294" s="1" t="n">
        <v>45246</v>
      </c>
      <c r="C294" s="1" t="n">
        <v>45994</v>
      </c>
      <c r="D294" t="inlineStr">
        <is>
          <t>GOTLANDS LÄN</t>
        </is>
      </c>
      <c r="E294" t="inlineStr">
        <is>
          <t>GOTLAND</t>
        </is>
      </c>
      <c r="G294" t="n">
        <v>7.2</v>
      </c>
      <c r="H294" t="n">
        <v>0</v>
      </c>
      <c r="I294" t="n">
        <v>0</v>
      </c>
      <c r="J294" t="n">
        <v>0</v>
      </c>
      <c r="K294" t="n">
        <v>0</v>
      </c>
      <c r="L294" t="n">
        <v>0</v>
      </c>
      <c r="M294" t="n">
        <v>0</v>
      </c>
      <c r="N294" t="n">
        <v>0</v>
      </c>
      <c r="O294" t="n">
        <v>0</v>
      </c>
      <c r="P294" t="n">
        <v>0</v>
      </c>
      <c r="Q294" t="n">
        <v>0</v>
      </c>
      <c r="R294" s="2" t="inlineStr"/>
    </row>
    <row r="295" ht="15" customHeight="1">
      <c r="A295" t="inlineStr">
        <is>
          <t>A 64831-2023</t>
        </is>
      </c>
      <c r="B295" s="1" t="n">
        <v>45282.44924768519</v>
      </c>
      <c r="C295" s="1" t="n">
        <v>45994</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46189-2022</t>
        </is>
      </c>
      <c r="B296" s="1" t="n">
        <v>44847</v>
      </c>
      <c r="C296" s="1" t="n">
        <v>45994</v>
      </c>
      <c r="D296" t="inlineStr">
        <is>
          <t>GOTLANDS LÄN</t>
        </is>
      </c>
      <c r="E296" t="inlineStr">
        <is>
          <t>GOTLAND</t>
        </is>
      </c>
      <c r="G296" t="n">
        <v>0.4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45994</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57522-2022</t>
        </is>
      </c>
      <c r="B298" s="1" t="n">
        <v>44896</v>
      </c>
      <c r="C298" s="1" t="n">
        <v>45994</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14797-2024</t>
        </is>
      </c>
      <c r="B299" s="1" t="n">
        <v>45397.87030092593</v>
      </c>
      <c r="C299" s="1" t="n">
        <v>45994</v>
      </c>
      <c r="D299" t="inlineStr">
        <is>
          <t>GOTLANDS LÄN</t>
        </is>
      </c>
      <c r="E299" t="inlineStr">
        <is>
          <t>GOTLAND</t>
        </is>
      </c>
      <c r="G299" t="n">
        <v>8.1</v>
      </c>
      <c r="H299" t="n">
        <v>0</v>
      </c>
      <c r="I299" t="n">
        <v>0</v>
      </c>
      <c r="J299" t="n">
        <v>0</v>
      </c>
      <c r="K299" t="n">
        <v>0</v>
      </c>
      <c r="L299" t="n">
        <v>0</v>
      </c>
      <c r="M299" t="n">
        <v>0</v>
      </c>
      <c r="N299" t="n">
        <v>0</v>
      </c>
      <c r="O299" t="n">
        <v>0</v>
      </c>
      <c r="P299" t="n">
        <v>0</v>
      </c>
      <c r="Q299" t="n">
        <v>0</v>
      </c>
      <c r="R299" s="2" t="inlineStr"/>
    </row>
    <row r="300" ht="15" customHeight="1">
      <c r="A300" t="inlineStr">
        <is>
          <t>A 8036-2022</t>
        </is>
      </c>
      <c r="B300" s="1" t="n">
        <v>44609.44362268518</v>
      </c>
      <c r="C300" s="1" t="n">
        <v>45994</v>
      </c>
      <c r="D300" t="inlineStr">
        <is>
          <t>GOTLANDS LÄN</t>
        </is>
      </c>
      <c r="E300" t="inlineStr">
        <is>
          <t>GOTLAND</t>
        </is>
      </c>
      <c r="G300" t="n">
        <v>6.1</v>
      </c>
      <c r="H300" t="n">
        <v>0</v>
      </c>
      <c r="I300" t="n">
        <v>0</v>
      </c>
      <c r="J300" t="n">
        <v>0</v>
      </c>
      <c r="K300" t="n">
        <v>0</v>
      </c>
      <c r="L300" t="n">
        <v>0</v>
      </c>
      <c r="M300" t="n">
        <v>0</v>
      </c>
      <c r="N300" t="n">
        <v>0</v>
      </c>
      <c r="O300" t="n">
        <v>0</v>
      </c>
      <c r="P300" t="n">
        <v>0</v>
      </c>
      <c r="Q300" t="n">
        <v>0</v>
      </c>
      <c r="R300" s="2" t="inlineStr"/>
    </row>
    <row r="301" ht="15" customHeight="1">
      <c r="A301" t="inlineStr">
        <is>
          <t>A 7837-2024</t>
        </is>
      </c>
      <c r="B301" s="1" t="n">
        <v>45349.83787037037</v>
      </c>
      <c r="C301" s="1" t="n">
        <v>45994</v>
      </c>
      <c r="D301" t="inlineStr">
        <is>
          <t>GOTLANDS LÄN</t>
        </is>
      </c>
      <c r="E301" t="inlineStr">
        <is>
          <t>GOTLAND</t>
        </is>
      </c>
      <c r="G301" t="n">
        <v>5</v>
      </c>
      <c r="H301" t="n">
        <v>0</v>
      </c>
      <c r="I301" t="n">
        <v>0</v>
      </c>
      <c r="J301" t="n">
        <v>0</v>
      </c>
      <c r="K301" t="n">
        <v>0</v>
      </c>
      <c r="L301" t="n">
        <v>0</v>
      </c>
      <c r="M301" t="n">
        <v>0</v>
      </c>
      <c r="N301" t="n">
        <v>0</v>
      </c>
      <c r="O301" t="n">
        <v>0</v>
      </c>
      <c r="P301" t="n">
        <v>0</v>
      </c>
      <c r="Q301" t="n">
        <v>0</v>
      </c>
      <c r="R301" s="2" t="inlineStr"/>
    </row>
    <row r="302" ht="15" customHeight="1">
      <c r="A302" t="inlineStr">
        <is>
          <t>A 46375-2024</t>
        </is>
      </c>
      <c r="B302" s="1" t="n">
        <v>45582</v>
      </c>
      <c r="C302" s="1" t="n">
        <v>45994</v>
      </c>
      <c r="D302" t="inlineStr">
        <is>
          <t>GOTLANDS LÄN</t>
        </is>
      </c>
      <c r="E302" t="inlineStr">
        <is>
          <t>GOTLAND</t>
        </is>
      </c>
      <c r="G302" t="n">
        <v>3</v>
      </c>
      <c r="H302" t="n">
        <v>0</v>
      </c>
      <c r="I302" t="n">
        <v>0</v>
      </c>
      <c r="J302" t="n">
        <v>0</v>
      </c>
      <c r="K302" t="n">
        <v>0</v>
      </c>
      <c r="L302" t="n">
        <v>0</v>
      </c>
      <c r="M302" t="n">
        <v>0</v>
      </c>
      <c r="N302" t="n">
        <v>0</v>
      </c>
      <c r="O302" t="n">
        <v>0</v>
      </c>
      <c r="P302" t="n">
        <v>0</v>
      </c>
      <c r="Q302" t="n">
        <v>0</v>
      </c>
      <c r="R302" s="2" t="inlineStr"/>
    </row>
    <row r="303" ht="15" customHeight="1">
      <c r="A303" t="inlineStr">
        <is>
          <t>A 20794-2025</t>
        </is>
      </c>
      <c r="B303" s="1" t="n">
        <v>45776</v>
      </c>
      <c r="C303" s="1" t="n">
        <v>45994</v>
      </c>
      <c r="D303" t="inlineStr">
        <is>
          <t>GOTLANDS LÄN</t>
        </is>
      </c>
      <c r="E303" t="inlineStr">
        <is>
          <t>GOTLAND</t>
        </is>
      </c>
      <c r="G303" t="n">
        <v>6</v>
      </c>
      <c r="H303" t="n">
        <v>0</v>
      </c>
      <c r="I303" t="n">
        <v>0</v>
      </c>
      <c r="J303" t="n">
        <v>0</v>
      </c>
      <c r="K303" t="n">
        <v>0</v>
      </c>
      <c r="L303" t="n">
        <v>0</v>
      </c>
      <c r="M303" t="n">
        <v>0</v>
      </c>
      <c r="N303" t="n">
        <v>0</v>
      </c>
      <c r="O303" t="n">
        <v>0</v>
      </c>
      <c r="P303" t="n">
        <v>0</v>
      </c>
      <c r="Q303" t="n">
        <v>0</v>
      </c>
      <c r="R303" s="2" t="inlineStr"/>
    </row>
    <row r="304" ht="15" customHeight="1">
      <c r="A304" t="inlineStr">
        <is>
          <t>A 62915-2021</t>
        </is>
      </c>
      <c r="B304" s="1" t="n">
        <v>44504</v>
      </c>
      <c r="C304" s="1" t="n">
        <v>45994</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1394-2023</t>
        </is>
      </c>
      <c r="B305" s="1" t="n">
        <v>44936.72997685185</v>
      </c>
      <c r="C305" s="1" t="n">
        <v>45994</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2676-2023</t>
        </is>
      </c>
      <c r="B306" s="1" t="n">
        <v>44944</v>
      </c>
      <c r="C306" s="1" t="n">
        <v>45994</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4387-2023</t>
        </is>
      </c>
      <c r="B307" s="1" t="n">
        <v>44955.73359953704</v>
      </c>
      <c r="C307" s="1" t="n">
        <v>45994</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7638-2025</t>
        </is>
      </c>
      <c r="B308" s="1" t="n">
        <v>45705.77306712963</v>
      </c>
      <c r="C308" s="1" t="n">
        <v>45994</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51782-2023</t>
        </is>
      </c>
      <c r="B309" s="1" t="n">
        <v>45222.80952546297</v>
      </c>
      <c r="C309" s="1" t="n">
        <v>45994</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60675-2021</t>
        </is>
      </c>
      <c r="B310" s="1" t="n">
        <v>44496.64855324074</v>
      </c>
      <c r="C310" s="1" t="n">
        <v>45994</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49411-2023</t>
        </is>
      </c>
      <c r="B311" s="1" t="n">
        <v>45205</v>
      </c>
      <c r="C311" s="1" t="n">
        <v>45994</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37728-2024</t>
        </is>
      </c>
      <c r="B312" s="1" t="n">
        <v>45541</v>
      </c>
      <c r="C312" s="1" t="n">
        <v>45994</v>
      </c>
      <c r="D312" t="inlineStr">
        <is>
          <t>GOTLANDS LÄN</t>
        </is>
      </c>
      <c r="E312" t="inlineStr">
        <is>
          <t>GOTLAND</t>
        </is>
      </c>
      <c r="G312" t="n">
        <v>0.4</v>
      </c>
      <c r="H312" t="n">
        <v>0</v>
      </c>
      <c r="I312" t="n">
        <v>0</v>
      </c>
      <c r="J312" t="n">
        <v>0</v>
      </c>
      <c r="K312" t="n">
        <v>0</v>
      </c>
      <c r="L312" t="n">
        <v>0</v>
      </c>
      <c r="M312" t="n">
        <v>0</v>
      </c>
      <c r="N312" t="n">
        <v>0</v>
      </c>
      <c r="O312" t="n">
        <v>0</v>
      </c>
      <c r="P312" t="n">
        <v>0</v>
      </c>
      <c r="Q312" t="n">
        <v>0</v>
      </c>
      <c r="R312" s="2" t="inlineStr"/>
    </row>
    <row r="313" ht="15" customHeight="1">
      <c r="A313" t="inlineStr">
        <is>
          <t>A 4377-2023</t>
        </is>
      </c>
      <c r="B313" s="1" t="n">
        <v>44955.5502662037</v>
      </c>
      <c r="C313" s="1" t="n">
        <v>45994</v>
      </c>
      <c r="D313" t="inlineStr">
        <is>
          <t>GOTLANDS LÄN</t>
        </is>
      </c>
      <c r="E313" t="inlineStr">
        <is>
          <t>GOTLAND</t>
        </is>
      </c>
      <c r="F313" t="inlineStr">
        <is>
          <t>Kyrkan</t>
        </is>
      </c>
      <c r="G313" t="n">
        <v>0.6</v>
      </c>
      <c r="H313" t="n">
        <v>0</v>
      </c>
      <c r="I313" t="n">
        <v>0</v>
      </c>
      <c r="J313" t="n">
        <v>0</v>
      </c>
      <c r="K313" t="n">
        <v>0</v>
      </c>
      <c r="L313" t="n">
        <v>0</v>
      </c>
      <c r="M313" t="n">
        <v>0</v>
      </c>
      <c r="N313" t="n">
        <v>0</v>
      </c>
      <c r="O313" t="n">
        <v>0</v>
      </c>
      <c r="P313" t="n">
        <v>0</v>
      </c>
      <c r="Q313" t="n">
        <v>0</v>
      </c>
      <c r="R313" s="2" t="inlineStr"/>
    </row>
    <row r="314" ht="15" customHeight="1">
      <c r="A314" t="inlineStr">
        <is>
          <t>A 5217-2023</t>
        </is>
      </c>
      <c r="B314" s="1" t="n">
        <v>44959.39582175926</v>
      </c>
      <c r="C314" s="1" t="n">
        <v>45994</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2241-2025</t>
        </is>
      </c>
      <c r="B315" s="1" t="n">
        <v>45673.48710648148</v>
      </c>
      <c r="C315" s="1" t="n">
        <v>45994</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14638-2025</t>
        </is>
      </c>
      <c r="B316" s="1" t="n">
        <v>45742</v>
      </c>
      <c r="C316" s="1" t="n">
        <v>45994</v>
      </c>
      <c r="D316" t="inlineStr">
        <is>
          <t>GOTLANDS LÄN</t>
        </is>
      </c>
      <c r="E316" t="inlineStr">
        <is>
          <t>GOTLAND</t>
        </is>
      </c>
      <c r="G316" t="n">
        <v>13.4</v>
      </c>
      <c r="H316" t="n">
        <v>0</v>
      </c>
      <c r="I316" t="n">
        <v>0</v>
      </c>
      <c r="J316" t="n">
        <v>0</v>
      </c>
      <c r="K316" t="n">
        <v>0</v>
      </c>
      <c r="L316" t="n">
        <v>0</v>
      </c>
      <c r="M316" t="n">
        <v>0</v>
      </c>
      <c r="N316" t="n">
        <v>0</v>
      </c>
      <c r="O316" t="n">
        <v>0</v>
      </c>
      <c r="P316" t="n">
        <v>0</v>
      </c>
      <c r="Q316" t="n">
        <v>0</v>
      </c>
      <c r="R316" s="2" t="inlineStr"/>
    </row>
    <row r="317" ht="15" customHeight="1">
      <c r="A317" t="inlineStr">
        <is>
          <t>A 4421-2024</t>
        </is>
      </c>
      <c r="B317" s="1" t="n">
        <v>45327.45173611111</v>
      </c>
      <c r="C317" s="1" t="n">
        <v>45994</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43901-2023</t>
        </is>
      </c>
      <c r="B318" s="1" t="n">
        <v>45187</v>
      </c>
      <c r="C318" s="1" t="n">
        <v>45994</v>
      </c>
      <c r="D318" t="inlineStr">
        <is>
          <t>GOTLANDS LÄN</t>
        </is>
      </c>
      <c r="E318" t="inlineStr">
        <is>
          <t>GOTLAND</t>
        </is>
      </c>
      <c r="G318" t="n">
        <v>5.4</v>
      </c>
      <c r="H318" t="n">
        <v>0</v>
      </c>
      <c r="I318" t="n">
        <v>0</v>
      </c>
      <c r="J318" t="n">
        <v>0</v>
      </c>
      <c r="K318" t="n">
        <v>0</v>
      </c>
      <c r="L318" t="n">
        <v>0</v>
      </c>
      <c r="M318" t="n">
        <v>0</v>
      </c>
      <c r="N318" t="n">
        <v>0</v>
      </c>
      <c r="O318" t="n">
        <v>0</v>
      </c>
      <c r="P318" t="n">
        <v>0</v>
      </c>
      <c r="Q318" t="n">
        <v>0</v>
      </c>
      <c r="R318" s="2" t="inlineStr"/>
    </row>
    <row r="319" ht="15" customHeight="1">
      <c r="A319" t="inlineStr">
        <is>
          <t>A 17532-2024</t>
        </is>
      </c>
      <c r="B319" s="1" t="n">
        <v>45415</v>
      </c>
      <c r="C319" s="1" t="n">
        <v>45994</v>
      </c>
      <c r="D319" t="inlineStr">
        <is>
          <t>GOTLANDS LÄN</t>
        </is>
      </c>
      <c r="E319" t="inlineStr">
        <is>
          <t>GOTLAND</t>
        </is>
      </c>
      <c r="G319" t="n">
        <v>4.3</v>
      </c>
      <c r="H319" t="n">
        <v>0</v>
      </c>
      <c r="I319" t="n">
        <v>0</v>
      </c>
      <c r="J319" t="n">
        <v>0</v>
      </c>
      <c r="K319" t="n">
        <v>0</v>
      </c>
      <c r="L319" t="n">
        <v>0</v>
      </c>
      <c r="M319" t="n">
        <v>0</v>
      </c>
      <c r="N319" t="n">
        <v>0</v>
      </c>
      <c r="O319" t="n">
        <v>0</v>
      </c>
      <c r="P319" t="n">
        <v>0</v>
      </c>
      <c r="Q319" t="n">
        <v>0</v>
      </c>
      <c r="R319" s="2" t="inlineStr"/>
    </row>
    <row r="320" ht="15" customHeight="1">
      <c r="A320" t="inlineStr">
        <is>
          <t>A 45692-2023</t>
        </is>
      </c>
      <c r="B320" s="1" t="n">
        <v>45195</v>
      </c>
      <c r="C320" s="1" t="n">
        <v>45994</v>
      </c>
      <c r="D320" t="inlineStr">
        <is>
          <t>GOTLANDS LÄN</t>
        </is>
      </c>
      <c r="E320" t="inlineStr">
        <is>
          <t>GOTLAND</t>
        </is>
      </c>
      <c r="G320" t="n">
        <v>5.3</v>
      </c>
      <c r="H320" t="n">
        <v>0</v>
      </c>
      <c r="I320" t="n">
        <v>0</v>
      </c>
      <c r="J320" t="n">
        <v>0</v>
      </c>
      <c r="K320" t="n">
        <v>0</v>
      </c>
      <c r="L320" t="n">
        <v>0</v>
      </c>
      <c r="M320" t="n">
        <v>0</v>
      </c>
      <c r="N320" t="n">
        <v>0</v>
      </c>
      <c r="O320" t="n">
        <v>0</v>
      </c>
      <c r="P320" t="n">
        <v>0</v>
      </c>
      <c r="Q320" t="n">
        <v>0</v>
      </c>
      <c r="R320" s="2" t="inlineStr"/>
    </row>
    <row r="321" ht="15" customHeight="1">
      <c r="A321" t="inlineStr">
        <is>
          <t>A 20165-2022</t>
        </is>
      </c>
      <c r="B321" s="1" t="n">
        <v>44698.49854166667</v>
      </c>
      <c r="C321" s="1" t="n">
        <v>45994</v>
      </c>
      <c r="D321" t="inlineStr">
        <is>
          <t>GOTLANDS LÄN</t>
        </is>
      </c>
      <c r="E321" t="inlineStr">
        <is>
          <t>GOTLAND</t>
        </is>
      </c>
      <c r="G321" t="n">
        <v>4.1</v>
      </c>
      <c r="H321" t="n">
        <v>0</v>
      </c>
      <c r="I321" t="n">
        <v>0</v>
      </c>
      <c r="J321" t="n">
        <v>0</v>
      </c>
      <c r="K321" t="n">
        <v>0</v>
      </c>
      <c r="L321" t="n">
        <v>0</v>
      </c>
      <c r="M321" t="n">
        <v>0</v>
      </c>
      <c r="N321" t="n">
        <v>0</v>
      </c>
      <c r="O321" t="n">
        <v>0</v>
      </c>
      <c r="P321" t="n">
        <v>0</v>
      </c>
      <c r="Q321" t="n">
        <v>0</v>
      </c>
      <c r="R321" s="2" t="inlineStr"/>
    </row>
    <row r="322" ht="15" customHeight="1">
      <c r="A322" t="inlineStr">
        <is>
          <t>A 37222-2021</t>
        </is>
      </c>
      <c r="B322" s="1" t="n">
        <v>44396</v>
      </c>
      <c r="C322" s="1" t="n">
        <v>45994</v>
      </c>
      <c r="D322" t="inlineStr">
        <is>
          <t>GOTLANDS LÄN</t>
        </is>
      </c>
      <c r="E322" t="inlineStr">
        <is>
          <t>GOTLAND</t>
        </is>
      </c>
      <c r="G322" t="n">
        <v>3</v>
      </c>
      <c r="H322" t="n">
        <v>0</v>
      </c>
      <c r="I322" t="n">
        <v>0</v>
      </c>
      <c r="J322" t="n">
        <v>0</v>
      </c>
      <c r="K322" t="n">
        <v>0</v>
      </c>
      <c r="L322" t="n">
        <v>0</v>
      </c>
      <c r="M322" t="n">
        <v>0</v>
      </c>
      <c r="N322" t="n">
        <v>0</v>
      </c>
      <c r="O322" t="n">
        <v>0</v>
      </c>
      <c r="P322" t="n">
        <v>0</v>
      </c>
      <c r="Q322" t="n">
        <v>0</v>
      </c>
      <c r="R322" s="2" t="inlineStr"/>
    </row>
    <row r="323" ht="15" customHeight="1">
      <c r="A323" t="inlineStr">
        <is>
          <t>A 22275-2023</t>
        </is>
      </c>
      <c r="B323" s="1" t="n">
        <v>45070.39875</v>
      </c>
      <c r="C323" s="1" t="n">
        <v>45994</v>
      </c>
      <c r="D323" t="inlineStr">
        <is>
          <t>GOTLANDS LÄN</t>
        </is>
      </c>
      <c r="E323" t="inlineStr">
        <is>
          <t>GOTLAND</t>
        </is>
      </c>
      <c r="G323" t="n">
        <v>7.2</v>
      </c>
      <c r="H323" t="n">
        <v>0</v>
      </c>
      <c r="I323" t="n">
        <v>0</v>
      </c>
      <c r="J323" t="n">
        <v>0</v>
      </c>
      <c r="K323" t="n">
        <v>0</v>
      </c>
      <c r="L323" t="n">
        <v>0</v>
      </c>
      <c r="M323" t="n">
        <v>0</v>
      </c>
      <c r="N323" t="n">
        <v>0</v>
      </c>
      <c r="O323" t="n">
        <v>0</v>
      </c>
      <c r="P323" t="n">
        <v>0</v>
      </c>
      <c r="Q323" t="n">
        <v>0</v>
      </c>
      <c r="R323" s="2" t="inlineStr"/>
    </row>
    <row r="324" ht="15" customHeight="1">
      <c r="A324" t="inlineStr">
        <is>
          <t>A 31264-2021</t>
        </is>
      </c>
      <c r="B324" s="1" t="n">
        <v>44368</v>
      </c>
      <c r="C324" s="1" t="n">
        <v>45994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14635-2023</t>
        </is>
      </c>
      <c r="B325" s="1" t="n">
        <v>45013.69365740741</v>
      </c>
      <c r="C325" s="1" t="n">
        <v>45994</v>
      </c>
      <c r="D325" t="inlineStr">
        <is>
          <t>GOTLANDS LÄN</t>
        </is>
      </c>
      <c r="E325" t="inlineStr">
        <is>
          <t>GOTLAND</t>
        </is>
      </c>
      <c r="G325" t="n">
        <v>3.1</v>
      </c>
      <c r="H325" t="n">
        <v>0</v>
      </c>
      <c r="I325" t="n">
        <v>0</v>
      </c>
      <c r="J325" t="n">
        <v>0</v>
      </c>
      <c r="K325" t="n">
        <v>0</v>
      </c>
      <c r="L325" t="n">
        <v>0</v>
      </c>
      <c r="M325" t="n">
        <v>0</v>
      </c>
      <c r="N325" t="n">
        <v>0</v>
      </c>
      <c r="O325" t="n">
        <v>0</v>
      </c>
      <c r="P325" t="n">
        <v>0</v>
      </c>
      <c r="Q325" t="n">
        <v>0</v>
      </c>
      <c r="R325" s="2" t="inlineStr"/>
    </row>
    <row r="326" ht="15" customHeight="1">
      <c r="A326" t="inlineStr">
        <is>
          <t>A 63763-2023</t>
        </is>
      </c>
      <c r="B326" s="1" t="n">
        <v>45278.33944444444</v>
      </c>
      <c r="C326" s="1" t="n">
        <v>45994</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20805-2025</t>
        </is>
      </c>
      <c r="B327" s="1" t="n">
        <v>45776</v>
      </c>
      <c r="C327" s="1" t="n">
        <v>45994</v>
      </c>
      <c r="D327" t="inlineStr">
        <is>
          <t>GOTLANDS LÄN</t>
        </is>
      </c>
      <c r="E327" t="inlineStr">
        <is>
          <t>GOTLAND</t>
        </is>
      </c>
      <c r="G327" t="n">
        <v>3.1</v>
      </c>
      <c r="H327" t="n">
        <v>0</v>
      </c>
      <c r="I327" t="n">
        <v>0</v>
      </c>
      <c r="J327" t="n">
        <v>0</v>
      </c>
      <c r="K327" t="n">
        <v>0</v>
      </c>
      <c r="L327" t="n">
        <v>0</v>
      </c>
      <c r="M327" t="n">
        <v>0</v>
      </c>
      <c r="N327" t="n">
        <v>0</v>
      </c>
      <c r="O327" t="n">
        <v>0</v>
      </c>
      <c r="P327" t="n">
        <v>0</v>
      </c>
      <c r="Q327" t="n">
        <v>0</v>
      </c>
      <c r="R327" s="2" t="inlineStr"/>
    </row>
    <row r="328" ht="15" customHeight="1">
      <c r="A328" t="inlineStr">
        <is>
          <t>A 7635-2025</t>
        </is>
      </c>
      <c r="B328" s="1" t="n">
        <v>45705</v>
      </c>
      <c r="C328" s="1" t="n">
        <v>45994</v>
      </c>
      <c r="D328" t="inlineStr">
        <is>
          <t>GOTLANDS LÄN</t>
        </is>
      </c>
      <c r="E328" t="inlineStr">
        <is>
          <t>GOTLAND</t>
        </is>
      </c>
      <c r="G328" t="n">
        <v>0.9</v>
      </c>
      <c r="H328" t="n">
        <v>0</v>
      </c>
      <c r="I328" t="n">
        <v>0</v>
      </c>
      <c r="J328" t="n">
        <v>0</v>
      </c>
      <c r="K328" t="n">
        <v>0</v>
      </c>
      <c r="L328" t="n">
        <v>0</v>
      </c>
      <c r="M328" t="n">
        <v>0</v>
      </c>
      <c r="N328" t="n">
        <v>0</v>
      </c>
      <c r="O328" t="n">
        <v>0</v>
      </c>
      <c r="P328" t="n">
        <v>0</v>
      </c>
      <c r="Q328" t="n">
        <v>0</v>
      </c>
      <c r="R328" s="2" t="inlineStr"/>
    </row>
    <row r="329" ht="15" customHeight="1">
      <c r="A329" t="inlineStr">
        <is>
          <t>A 7636-2025</t>
        </is>
      </c>
      <c r="B329" s="1" t="n">
        <v>45705.7687962963</v>
      </c>
      <c r="C329" s="1" t="n">
        <v>45994</v>
      </c>
      <c r="D329" t="inlineStr">
        <is>
          <t>GOTLANDS LÄN</t>
        </is>
      </c>
      <c r="E329" t="inlineStr">
        <is>
          <t>GOTLAND</t>
        </is>
      </c>
      <c r="G329" t="n">
        <v>0.6</v>
      </c>
      <c r="H329" t="n">
        <v>0</v>
      </c>
      <c r="I329" t="n">
        <v>0</v>
      </c>
      <c r="J329" t="n">
        <v>0</v>
      </c>
      <c r="K329" t="n">
        <v>0</v>
      </c>
      <c r="L329" t="n">
        <v>0</v>
      </c>
      <c r="M329" t="n">
        <v>0</v>
      </c>
      <c r="N329" t="n">
        <v>0</v>
      </c>
      <c r="O329" t="n">
        <v>0</v>
      </c>
      <c r="P329" t="n">
        <v>0</v>
      </c>
      <c r="Q329" t="n">
        <v>0</v>
      </c>
      <c r="R329" s="2" t="inlineStr"/>
    </row>
    <row r="330" ht="15" customHeight="1">
      <c r="A330" t="inlineStr">
        <is>
          <t>A 7639-2025</t>
        </is>
      </c>
      <c r="B330" s="1" t="n">
        <v>45705.77465277778</v>
      </c>
      <c r="C330" s="1" t="n">
        <v>45994</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46396-2023</t>
        </is>
      </c>
      <c r="B331" s="1" t="n">
        <v>45197</v>
      </c>
      <c r="C331" s="1" t="n">
        <v>45994</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33876-2024</t>
        </is>
      </c>
      <c r="B332" s="1" t="n">
        <v>45521.87988425926</v>
      </c>
      <c r="C332" s="1" t="n">
        <v>45994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61682-2024</t>
        </is>
      </c>
      <c r="B333" s="1" t="n">
        <v>45647.48824074074</v>
      </c>
      <c r="C333" s="1" t="n">
        <v>45994</v>
      </c>
      <c r="D333" t="inlineStr">
        <is>
          <t>GOTLANDS LÄN</t>
        </is>
      </c>
      <c r="E333" t="inlineStr">
        <is>
          <t>GOTLAND</t>
        </is>
      </c>
      <c r="G333" t="n">
        <v>1.9</v>
      </c>
      <c r="H333" t="n">
        <v>0</v>
      </c>
      <c r="I333" t="n">
        <v>0</v>
      </c>
      <c r="J333" t="n">
        <v>0</v>
      </c>
      <c r="K333" t="n">
        <v>0</v>
      </c>
      <c r="L333" t="n">
        <v>0</v>
      </c>
      <c r="M333" t="n">
        <v>0</v>
      </c>
      <c r="N333" t="n">
        <v>0</v>
      </c>
      <c r="O333" t="n">
        <v>0</v>
      </c>
      <c r="P333" t="n">
        <v>0</v>
      </c>
      <c r="Q333" t="n">
        <v>0</v>
      </c>
      <c r="R333" s="2" t="inlineStr"/>
    </row>
    <row r="334" ht="15" customHeight="1">
      <c r="A334" t="inlineStr">
        <is>
          <t>A 15434-2024</t>
        </is>
      </c>
      <c r="B334" s="1" t="n">
        <v>45401.38836805556</v>
      </c>
      <c r="C334" s="1" t="n">
        <v>45994</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58388-2022</t>
        </is>
      </c>
      <c r="B335" s="1" t="n">
        <v>44894</v>
      </c>
      <c r="C335" s="1" t="n">
        <v>45994</v>
      </c>
      <c r="D335" t="inlineStr">
        <is>
          <t>GOTLANDS LÄN</t>
        </is>
      </c>
      <c r="E335" t="inlineStr">
        <is>
          <t>GOTLAND</t>
        </is>
      </c>
      <c r="F335" t="inlineStr">
        <is>
          <t>Övriga statliga verk och myndigheter</t>
        </is>
      </c>
      <c r="G335" t="n">
        <v>3.1</v>
      </c>
      <c r="H335" t="n">
        <v>0</v>
      </c>
      <c r="I335" t="n">
        <v>0</v>
      </c>
      <c r="J335" t="n">
        <v>0</v>
      </c>
      <c r="K335" t="n">
        <v>0</v>
      </c>
      <c r="L335" t="n">
        <v>0</v>
      </c>
      <c r="M335" t="n">
        <v>0</v>
      </c>
      <c r="N335" t="n">
        <v>0</v>
      </c>
      <c r="O335" t="n">
        <v>0</v>
      </c>
      <c r="P335" t="n">
        <v>0</v>
      </c>
      <c r="Q335" t="n">
        <v>0</v>
      </c>
      <c r="R335" s="2" t="inlineStr"/>
    </row>
    <row r="336" ht="15" customHeight="1">
      <c r="A336" t="inlineStr">
        <is>
          <t>A 43223-2023</t>
        </is>
      </c>
      <c r="B336" s="1" t="n">
        <v>45183.45642361111</v>
      </c>
      <c r="C336" s="1" t="n">
        <v>45994</v>
      </c>
      <c r="D336" t="inlineStr">
        <is>
          <t>GOTLANDS LÄN</t>
        </is>
      </c>
      <c r="E336" t="inlineStr">
        <is>
          <t>GOTLAND</t>
        </is>
      </c>
      <c r="G336" t="n">
        <v>1.8</v>
      </c>
      <c r="H336" t="n">
        <v>0</v>
      </c>
      <c r="I336" t="n">
        <v>0</v>
      </c>
      <c r="J336" t="n">
        <v>0</v>
      </c>
      <c r="K336" t="n">
        <v>0</v>
      </c>
      <c r="L336" t="n">
        <v>0</v>
      </c>
      <c r="M336" t="n">
        <v>0</v>
      </c>
      <c r="N336" t="n">
        <v>0</v>
      </c>
      <c r="O336" t="n">
        <v>0</v>
      </c>
      <c r="P336" t="n">
        <v>0</v>
      </c>
      <c r="Q336" t="n">
        <v>0</v>
      </c>
      <c r="R336" s="2" t="inlineStr"/>
    </row>
    <row r="337" ht="15" customHeight="1">
      <c r="A337" t="inlineStr">
        <is>
          <t>A 61962-2024</t>
        </is>
      </c>
      <c r="B337" s="1" t="n">
        <v>45653.54340277778</v>
      </c>
      <c r="C337" s="1" t="n">
        <v>45994</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7034-2023</t>
        </is>
      </c>
      <c r="B338" s="1" t="n">
        <v>44968.32108796296</v>
      </c>
      <c r="C338" s="1" t="n">
        <v>45994</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7042-2023</t>
        </is>
      </c>
      <c r="B339" s="1" t="n">
        <v>44968</v>
      </c>
      <c r="C339" s="1" t="n">
        <v>45994</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2180-2025</t>
        </is>
      </c>
      <c r="B340" s="1" t="n">
        <v>45673</v>
      </c>
      <c r="C340" s="1" t="n">
        <v>45994</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21389-2025</t>
        </is>
      </c>
      <c r="B341" s="1" t="n">
        <v>45782</v>
      </c>
      <c r="C341" s="1" t="n">
        <v>45994</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27930-2021</t>
        </is>
      </c>
      <c r="B342" s="1" t="n">
        <v>44354</v>
      </c>
      <c r="C342" s="1" t="n">
        <v>45994</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59469-2024</t>
        </is>
      </c>
      <c r="B343" s="1" t="n">
        <v>45638</v>
      </c>
      <c r="C343" s="1" t="n">
        <v>45994</v>
      </c>
      <c r="D343" t="inlineStr">
        <is>
          <t>GOTLANDS LÄN</t>
        </is>
      </c>
      <c r="E343" t="inlineStr">
        <is>
          <t>GOTLAND</t>
        </is>
      </c>
      <c r="G343" t="n">
        <v>0.4</v>
      </c>
      <c r="H343" t="n">
        <v>0</v>
      </c>
      <c r="I343" t="n">
        <v>0</v>
      </c>
      <c r="J343" t="n">
        <v>0</v>
      </c>
      <c r="K343" t="n">
        <v>0</v>
      </c>
      <c r="L343" t="n">
        <v>0</v>
      </c>
      <c r="M343" t="n">
        <v>0</v>
      </c>
      <c r="N343" t="n">
        <v>0</v>
      </c>
      <c r="O343" t="n">
        <v>0</v>
      </c>
      <c r="P343" t="n">
        <v>0</v>
      </c>
      <c r="Q343" t="n">
        <v>0</v>
      </c>
      <c r="R343" s="2" t="inlineStr"/>
    </row>
    <row r="344" ht="15" customHeight="1">
      <c r="A344" t="inlineStr">
        <is>
          <t>A 54074-2022</t>
        </is>
      </c>
      <c r="B344" s="1" t="n">
        <v>44881</v>
      </c>
      <c r="C344" s="1" t="n">
        <v>45994</v>
      </c>
      <c r="D344" t="inlineStr">
        <is>
          <t>GOTLANDS LÄN</t>
        </is>
      </c>
      <c r="E344" t="inlineStr">
        <is>
          <t>GOTLAND</t>
        </is>
      </c>
      <c r="G344" t="n">
        <v>0.9</v>
      </c>
      <c r="H344" t="n">
        <v>0</v>
      </c>
      <c r="I344" t="n">
        <v>0</v>
      </c>
      <c r="J344" t="n">
        <v>0</v>
      </c>
      <c r="K344" t="n">
        <v>0</v>
      </c>
      <c r="L344" t="n">
        <v>0</v>
      </c>
      <c r="M344" t="n">
        <v>0</v>
      </c>
      <c r="N344" t="n">
        <v>0</v>
      </c>
      <c r="O344" t="n">
        <v>0</v>
      </c>
      <c r="P344" t="n">
        <v>0</v>
      </c>
      <c r="Q344" t="n">
        <v>0</v>
      </c>
      <c r="R344" s="2" t="inlineStr"/>
    </row>
    <row r="345" ht="15" customHeight="1">
      <c r="A345" t="inlineStr">
        <is>
          <t>A 21651-2025</t>
        </is>
      </c>
      <c r="B345" s="1" t="n">
        <v>45783</v>
      </c>
      <c r="C345" s="1" t="n">
        <v>45994</v>
      </c>
      <c r="D345" t="inlineStr">
        <is>
          <t>GOTLANDS LÄN</t>
        </is>
      </c>
      <c r="E345" t="inlineStr">
        <is>
          <t>GOTLAND</t>
        </is>
      </c>
      <c r="G345" t="n">
        <v>4.2</v>
      </c>
      <c r="H345" t="n">
        <v>0</v>
      </c>
      <c r="I345" t="n">
        <v>0</v>
      </c>
      <c r="J345" t="n">
        <v>0</v>
      </c>
      <c r="K345" t="n">
        <v>0</v>
      </c>
      <c r="L345" t="n">
        <v>0</v>
      </c>
      <c r="M345" t="n">
        <v>0</v>
      </c>
      <c r="N345" t="n">
        <v>0</v>
      </c>
      <c r="O345" t="n">
        <v>0</v>
      </c>
      <c r="P345" t="n">
        <v>0</v>
      </c>
      <c r="Q345" t="n">
        <v>0</v>
      </c>
      <c r="R345" s="2" t="inlineStr"/>
    </row>
    <row r="346" ht="15" customHeight="1">
      <c r="A346" t="inlineStr">
        <is>
          <t>A 61694-2023</t>
        </is>
      </c>
      <c r="B346" s="1" t="n">
        <v>45264</v>
      </c>
      <c r="C346" s="1" t="n">
        <v>45994</v>
      </c>
      <c r="D346" t="inlineStr">
        <is>
          <t>GOTLANDS LÄN</t>
        </is>
      </c>
      <c r="E346" t="inlineStr">
        <is>
          <t>GOTLAND</t>
        </is>
      </c>
      <c r="G346" t="n">
        <v>4.6</v>
      </c>
      <c r="H346" t="n">
        <v>0</v>
      </c>
      <c r="I346" t="n">
        <v>0</v>
      </c>
      <c r="J346" t="n">
        <v>0</v>
      </c>
      <c r="K346" t="n">
        <v>0</v>
      </c>
      <c r="L346" t="n">
        <v>0</v>
      </c>
      <c r="M346" t="n">
        <v>0</v>
      </c>
      <c r="N346" t="n">
        <v>0</v>
      </c>
      <c r="O346" t="n">
        <v>0</v>
      </c>
      <c r="P346" t="n">
        <v>0</v>
      </c>
      <c r="Q346" t="n">
        <v>0</v>
      </c>
      <c r="R346" s="2" t="inlineStr"/>
    </row>
    <row r="347" ht="15" customHeight="1">
      <c r="A347" t="inlineStr">
        <is>
          <t>A 5751-2024</t>
        </is>
      </c>
      <c r="B347" s="1" t="n">
        <v>45335.32702546296</v>
      </c>
      <c r="C347" s="1" t="n">
        <v>45994</v>
      </c>
      <c r="D347" t="inlineStr">
        <is>
          <t>GOTLANDS LÄN</t>
        </is>
      </c>
      <c r="E347" t="inlineStr">
        <is>
          <t>GOTLAND</t>
        </is>
      </c>
      <c r="G347" t="n">
        <v>4.2</v>
      </c>
      <c r="H347" t="n">
        <v>0</v>
      </c>
      <c r="I347" t="n">
        <v>0</v>
      </c>
      <c r="J347" t="n">
        <v>0</v>
      </c>
      <c r="K347" t="n">
        <v>0</v>
      </c>
      <c r="L347" t="n">
        <v>0</v>
      </c>
      <c r="M347" t="n">
        <v>0</v>
      </c>
      <c r="N347" t="n">
        <v>0</v>
      </c>
      <c r="O347" t="n">
        <v>0</v>
      </c>
      <c r="P347" t="n">
        <v>0</v>
      </c>
      <c r="Q347" t="n">
        <v>0</v>
      </c>
      <c r="R347" s="2" t="inlineStr"/>
    </row>
    <row r="348" ht="15" customHeight="1">
      <c r="A348" t="inlineStr">
        <is>
          <t>A 6696-2023</t>
        </is>
      </c>
      <c r="B348" s="1" t="n">
        <v>44966.66425925926</v>
      </c>
      <c r="C348" s="1" t="n">
        <v>45994</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28480-2023</t>
        </is>
      </c>
      <c r="B349" s="1" t="n">
        <v>45103</v>
      </c>
      <c r="C349" s="1" t="n">
        <v>45994</v>
      </c>
      <c r="D349" t="inlineStr">
        <is>
          <t>GOTLANDS LÄN</t>
        </is>
      </c>
      <c r="E349" t="inlineStr">
        <is>
          <t>GOTLAND</t>
        </is>
      </c>
      <c r="G349" t="n">
        <v>5.7</v>
      </c>
      <c r="H349" t="n">
        <v>0</v>
      </c>
      <c r="I349" t="n">
        <v>0</v>
      </c>
      <c r="J349" t="n">
        <v>0</v>
      </c>
      <c r="K349" t="n">
        <v>0</v>
      </c>
      <c r="L349" t="n">
        <v>0</v>
      </c>
      <c r="M349" t="n">
        <v>0</v>
      </c>
      <c r="N349" t="n">
        <v>0</v>
      </c>
      <c r="O349" t="n">
        <v>0</v>
      </c>
      <c r="P349" t="n">
        <v>0</v>
      </c>
      <c r="Q349" t="n">
        <v>0</v>
      </c>
      <c r="R349" s="2" t="inlineStr"/>
    </row>
    <row r="350" ht="15" customHeight="1">
      <c r="A350" t="inlineStr">
        <is>
          <t>A 28485-2023</t>
        </is>
      </c>
      <c r="B350" s="1" t="n">
        <v>45103.43731481482</v>
      </c>
      <c r="C350" s="1" t="n">
        <v>45994</v>
      </c>
      <c r="D350" t="inlineStr">
        <is>
          <t>GOTLANDS LÄN</t>
        </is>
      </c>
      <c r="E350" t="inlineStr">
        <is>
          <t>GOTLAND</t>
        </is>
      </c>
      <c r="G350" t="n">
        <v>2.3</v>
      </c>
      <c r="H350" t="n">
        <v>0</v>
      </c>
      <c r="I350" t="n">
        <v>0</v>
      </c>
      <c r="J350" t="n">
        <v>0</v>
      </c>
      <c r="K350" t="n">
        <v>0</v>
      </c>
      <c r="L350" t="n">
        <v>0</v>
      </c>
      <c r="M350" t="n">
        <v>0</v>
      </c>
      <c r="N350" t="n">
        <v>0</v>
      </c>
      <c r="O350" t="n">
        <v>0</v>
      </c>
      <c r="P350" t="n">
        <v>0</v>
      </c>
      <c r="Q350" t="n">
        <v>0</v>
      </c>
      <c r="R350" s="2" t="inlineStr"/>
    </row>
    <row r="351" ht="15" customHeight="1">
      <c r="A351" t="inlineStr">
        <is>
          <t>A 4990-2025</t>
        </is>
      </c>
      <c r="B351" s="1" t="n">
        <v>45691</v>
      </c>
      <c r="C351" s="1" t="n">
        <v>45994</v>
      </c>
      <c r="D351" t="inlineStr">
        <is>
          <t>GOTLANDS LÄN</t>
        </is>
      </c>
      <c r="E351" t="inlineStr">
        <is>
          <t>GOTLAND</t>
        </is>
      </c>
      <c r="G351" t="n">
        <v>7.7</v>
      </c>
      <c r="H351" t="n">
        <v>0</v>
      </c>
      <c r="I351" t="n">
        <v>0</v>
      </c>
      <c r="J351" t="n">
        <v>0</v>
      </c>
      <c r="K351" t="n">
        <v>0</v>
      </c>
      <c r="L351" t="n">
        <v>0</v>
      </c>
      <c r="M351" t="n">
        <v>0</v>
      </c>
      <c r="N351" t="n">
        <v>0</v>
      </c>
      <c r="O351" t="n">
        <v>0</v>
      </c>
      <c r="P351" t="n">
        <v>0</v>
      </c>
      <c r="Q351" t="n">
        <v>0</v>
      </c>
      <c r="R351" s="2" t="inlineStr"/>
    </row>
    <row r="352" ht="15" customHeight="1">
      <c r="A352" t="inlineStr">
        <is>
          <t>A 53934-2024</t>
        </is>
      </c>
      <c r="B352" s="1" t="n">
        <v>45615</v>
      </c>
      <c r="C352" s="1" t="n">
        <v>45994</v>
      </c>
      <c r="D352" t="inlineStr">
        <is>
          <t>GOTLANDS LÄN</t>
        </is>
      </c>
      <c r="E352" t="inlineStr">
        <is>
          <t>GOTLAND</t>
        </is>
      </c>
      <c r="G352" t="n">
        <v>5</v>
      </c>
      <c r="H352" t="n">
        <v>0</v>
      </c>
      <c r="I352" t="n">
        <v>0</v>
      </c>
      <c r="J352" t="n">
        <v>0</v>
      </c>
      <c r="K352" t="n">
        <v>0</v>
      </c>
      <c r="L352" t="n">
        <v>0</v>
      </c>
      <c r="M352" t="n">
        <v>0</v>
      </c>
      <c r="N352" t="n">
        <v>0</v>
      </c>
      <c r="O352" t="n">
        <v>0</v>
      </c>
      <c r="P352" t="n">
        <v>0</v>
      </c>
      <c r="Q352" t="n">
        <v>0</v>
      </c>
      <c r="R352" s="2" t="inlineStr"/>
    </row>
    <row r="353" ht="15" customHeight="1">
      <c r="A353" t="inlineStr">
        <is>
          <t>A 64208-2021</t>
        </is>
      </c>
      <c r="B353" s="1" t="n">
        <v>44510</v>
      </c>
      <c r="C353" s="1" t="n">
        <v>45994</v>
      </c>
      <c r="D353" t="inlineStr">
        <is>
          <t>GOTLANDS LÄN</t>
        </is>
      </c>
      <c r="E353" t="inlineStr">
        <is>
          <t>GOTLAND</t>
        </is>
      </c>
      <c r="G353" t="n">
        <v>4.7</v>
      </c>
      <c r="H353" t="n">
        <v>0</v>
      </c>
      <c r="I353" t="n">
        <v>0</v>
      </c>
      <c r="J353" t="n">
        <v>0</v>
      </c>
      <c r="K353" t="n">
        <v>0</v>
      </c>
      <c r="L353" t="n">
        <v>0</v>
      </c>
      <c r="M353" t="n">
        <v>0</v>
      </c>
      <c r="N353" t="n">
        <v>0</v>
      </c>
      <c r="O353" t="n">
        <v>0</v>
      </c>
      <c r="P353" t="n">
        <v>0</v>
      </c>
      <c r="Q353" t="n">
        <v>0</v>
      </c>
      <c r="R353" s="2" t="inlineStr"/>
    </row>
    <row r="354" ht="15" customHeight="1">
      <c r="A354" t="inlineStr">
        <is>
          <t>A 58132-2023</t>
        </is>
      </c>
      <c r="B354" s="1" t="n">
        <v>45250</v>
      </c>
      <c r="C354" s="1" t="n">
        <v>45994</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54268-2022</t>
        </is>
      </c>
      <c r="B355" s="1" t="n">
        <v>44882</v>
      </c>
      <c r="C355" s="1" t="n">
        <v>45994</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22899-2023</t>
        </is>
      </c>
      <c r="B356" s="1" t="n">
        <v>45072</v>
      </c>
      <c r="C356" s="1" t="n">
        <v>45994</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1446-2025</t>
        </is>
      </c>
      <c r="B357" s="1" t="n">
        <v>45669.86035879629</v>
      </c>
      <c r="C357" s="1" t="n">
        <v>45994</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1462-2025</t>
        </is>
      </c>
      <c r="B358" s="1" t="n">
        <v>45670.36319444444</v>
      </c>
      <c r="C358" s="1" t="n">
        <v>45994</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45994</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57685-2022</t>
        </is>
      </c>
      <c r="B360" s="1" t="n">
        <v>44897.4777662037</v>
      </c>
      <c r="C360" s="1" t="n">
        <v>45994</v>
      </c>
      <c r="D360" t="inlineStr">
        <is>
          <t>GOTLANDS LÄN</t>
        </is>
      </c>
      <c r="E360" t="inlineStr">
        <is>
          <t>GOTLAND</t>
        </is>
      </c>
      <c r="G360" t="n">
        <v>3.7</v>
      </c>
      <c r="H360" t="n">
        <v>0</v>
      </c>
      <c r="I360" t="n">
        <v>0</v>
      </c>
      <c r="J360" t="n">
        <v>0</v>
      </c>
      <c r="K360" t="n">
        <v>0</v>
      </c>
      <c r="L360" t="n">
        <v>0</v>
      </c>
      <c r="M360" t="n">
        <v>0</v>
      </c>
      <c r="N360" t="n">
        <v>0</v>
      </c>
      <c r="O360" t="n">
        <v>0</v>
      </c>
      <c r="P360" t="n">
        <v>0</v>
      </c>
      <c r="Q360" t="n">
        <v>0</v>
      </c>
      <c r="R360" s="2" t="inlineStr"/>
    </row>
    <row r="361" ht="15" customHeight="1">
      <c r="A361" t="inlineStr">
        <is>
          <t>A 51963-2024</t>
        </is>
      </c>
      <c r="B361" s="1" t="n">
        <v>45607.64833333333</v>
      </c>
      <c r="C361" s="1" t="n">
        <v>45994</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811-2023</t>
        </is>
      </c>
      <c r="B362" s="1" t="n">
        <v>44931</v>
      </c>
      <c r="C362" s="1" t="n">
        <v>45994</v>
      </c>
      <c r="D362" t="inlineStr">
        <is>
          <t>GOTLANDS LÄN</t>
        </is>
      </c>
      <c r="E362" t="inlineStr">
        <is>
          <t>GOTLAND</t>
        </is>
      </c>
      <c r="G362" t="n">
        <v>0.6</v>
      </c>
      <c r="H362" t="n">
        <v>0</v>
      </c>
      <c r="I362" t="n">
        <v>0</v>
      </c>
      <c r="J362" t="n">
        <v>0</v>
      </c>
      <c r="K362" t="n">
        <v>0</v>
      </c>
      <c r="L362" t="n">
        <v>0</v>
      </c>
      <c r="M362" t="n">
        <v>0</v>
      </c>
      <c r="N362" t="n">
        <v>0</v>
      </c>
      <c r="O362" t="n">
        <v>0</v>
      </c>
      <c r="P362" t="n">
        <v>0</v>
      </c>
      <c r="Q362" t="n">
        <v>0</v>
      </c>
      <c r="R362" s="2" t="inlineStr"/>
    </row>
    <row r="363" ht="15" customHeight="1">
      <c r="A363" t="inlineStr">
        <is>
          <t>A 38165-2023</t>
        </is>
      </c>
      <c r="B363" s="1" t="n">
        <v>45161</v>
      </c>
      <c r="C363" s="1" t="n">
        <v>45994</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45994</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3431-2025</t>
        </is>
      </c>
      <c r="B365" s="1" t="n">
        <v>45680.42935185185</v>
      </c>
      <c r="C365" s="1" t="n">
        <v>45994</v>
      </c>
      <c r="D365" t="inlineStr">
        <is>
          <t>GOTLANDS LÄN</t>
        </is>
      </c>
      <c r="E365" t="inlineStr">
        <is>
          <t>GOTLAND</t>
        </is>
      </c>
      <c r="G365" t="n">
        <v>4.8</v>
      </c>
      <c r="H365" t="n">
        <v>0</v>
      </c>
      <c r="I365" t="n">
        <v>0</v>
      </c>
      <c r="J365" t="n">
        <v>0</v>
      </c>
      <c r="K365" t="n">
        <v>0</v>
      </c>
      <c r="L365" t="n">
        <v>0</v>
      </c>
      <c r="M365" t="n">
        <v>0</v>
      </c>
      <c r="N365" t="n">
        <v>0</v>
      </c>
      <c r="O365" t="n">
        <v>0</v>
      </c>
      <c r="P365" t="n">
        <v>0</v>
      </c>
      <c r="Q365" t="n">
        <v>0</v>
      </c>
      <c r="R365" s="2" t="inlineStr"/>
    </row>
    <row r="366" ht="15" customHeight="1">
      <c r="A366" t="inlineStr">
        <is>
          <t>A 1734-2025</t>
        </is>
      </c>
      <c r="B366" s="1" t="n">
        <v>45671.3840625</v>
      </c>
      <c r="C366" s="1" t="n">
        <v>45994</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30365-2024</t>
        </is>
      </c>
      <c r="B367" s="1" t="n">
        <v>45491.3716087963</v>
      </c>
      <c r="C367" s="1" t="n">
        <v>45994</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34407-2023</t>
        </is>
      </c>
      <c r="B368" s="1" t="n">
        <v>45132</v>
      </c>
      <c r="C368" s="1" t="n">
        <v>45994</v>
      </c>
      <c r="D368" t="inlineStr">
        <is>
          <t>GOTLANDS LÄN</t>
        </is>
      </c>
      <c r="E368" t="inlineStr">
        <is>
          <t>GOTLAND</t>
        </is>
      </c>
      <c r="G368" t="n">
        <v>4.4</v>
      </c>
      <c r="H368" t="n">
        <v>0</v>
      </c>
      <c r="I368" t="n">
        <v>0</v>
      </c>
      <c r="J368" t="n">
        <v>0</v>
      </c>
      <c r="K368" t="n">
        <v>0</v>
      </c>
      <c r="L368" t="n">
        <v>0</v>
      </c>
      <c r="M368" t="n">
        <v>0</v>
      </c>
      <c r="N368" t="n">
        <v>0</v>
      </c>
      <c r="O368" t="n">
        <v>0</v>
      </c>
      <c r="P368" t="n">
        <v>0</v>
      </c>
      <c r="Q368" t="n">
        <v>0</v>
      </c>
      <c r="R368" s="2" t="inlineStr"/>
    </row>
    <row r="369" ht="15" customHeight="1">
      <c r="A369" t="inlineStr">
        <is>
          <t>A 30892-2024</t>
        </is>
      </c>
      <c r="B369" s="1" t="n">
        <v>45491</v>
      </c>
      <c r="C369" s="1" t="n">
        <v>45994</v>
      </c>
      <c r="D369" t="inlineStr">
        <is>
          <t>GOTLANDS LÄN</t>
        </is>
      </c>
      <c r="E369" t="inlineStr">
        <is>
          <t>GOTLAND</t>
        </is>
      </c>
      <c r="G369" t="n">
        <v>6.1</v>
      </c>
      <c r="H369" t="n">
        <v>0</v>
      </c>
      <c r="I369" t="n">
        <v>0</v>
      </c>
      <c r="J369" t="n">
        <v>0</v>
      </c>
      <c r="K369" t="n">
        <v>0</v>
      </c>
      <c r="L369" t="n">
        <v>0</v>
      </c>
      <c r="M369" t="n">
        <v>0</v>
      </c>
      <c r="N369" t="n">
        <v>0</v>
      </c>
      <c r="O369" t="n">
        <v>0</v>
      </c>
      <c r="P369" t="n">
        <v>0</v>
      </c>
      <c r="Q369" t="n">
        <v>0</v>
      </c>
      <c r="R369" s="2" t="inlineStr"/>
    </row>
    <row r="370" ht="15" customHeight="1">
      <c r="A370" t="inlineStr">
        <is>
          <t>A 32958-2021</t>
        </is>
      </c>
      <c r="B370" s="1" t="n">
        <v>44376</v>
      </c>
      <c r="C370" s="1" t="n">
        <v>45994</v>
      </c>
      <c r="D370" t="inlineStr">
        <is>
          <t>GOTLANDS LÄN</t>
        </is>
      </c>
      <c r="E370" t="inlineStr">
        <is>
          <t>GOTLAND</t>
        </is>
      </c>
      <c r="G370" t="n">
        <v>2.2</v>
      </c>
      <c r="H370" t="n">
        <v>0</v>
      </c>
      <c r="I370" t="n">
        <v>0</v>
      </c>
      <c r="J370" t="n">
        <v>0</v>
      </c>
      <c r="K370" t="n">
        <v>0</v>
      </c>
      <c r="L370" t="n">
        <v>0</v>
      </c>
      <c r="M370" t="n">
        <v>0</v>
      </c>
      <c r="N370" t="n">
        <v>0</v>
      </c>
      <c r="O370" t="n">
        <v>0</v>
      </c>
      <c r="P370" t="n">
        <v>0</v>
      </c>
      <c r="Q370" t="n">
        <v>0</v>
      </c>
      <c r="R370" s="2" t="inlineStr"/>
    </row>
    <row r="371" ht="15" customHeight="1">
      <c r="A371" t="inlineStr">
        <is>
          <t>A 2674-2023</t>
        </is>
      </c>
      <c r="B371" s="1" t="n">
        <v>44944</v>
      </c>
      <c r="C371" s="1" t="n">
        <v>45994</v>
      </c>
      <c r="D371" t="inlineStr">
        <is>
          <t>GOTLANDS LÄN</t>
        </is>
      </c>
      <c r="E371" t="inlineStr">
        <is>
          <t>GOTLAND</t>
        </is>
      </c>
      <c r="G371" t="n">
        <v>2.5</v>
      </c>
      <c r="H371" t="n">
        <v>0</v>
      </c>
      <c r="I371" t="n">
        <v>0</v>
      </c>
      <c r="J371" t="n">
        <v>0</v>
      </c>
      <c r="K371" t="n">
        <v>0</v>
      </c>
      <c r="L371" t="n">
        <v>0</v>
      </c>
      <c r="M371" t="n">
        <v>0</v>
      </c>
      <c r="N371" t="n">
        <v>0</v>
      </c>
      <c r="O371" t="n">
        <v>0</v>
      </c>
      <c r="P371" t="n">
        <v>0</v>
      </c>
      <c r="Q371" t="n">
        <v>0</v>
      </c>
      <c r="R371" s="2" t="inlineStr"/>
    </row>
    <row r="372" ht="15" customHeight="1">
      <c r="A372" t="inlineStr">
        <is>
          <t>A 61100-2022</t>
        </is>
      </c>
      <c r="B372" s="1" t="n">
        <v>44915</v>
      </c>
      <c r="C372" s="1" t="n">
        <v>45994</v>
      </c>
      <c r="D372" t="inlineStr">
        <is>
          <t>GOTLANDS LÄN</t>
        </is>
      </c>
      <c r="E372" t="inlineStr">
        <is>
          <t>GOTLAND</t>
        </is>
      </c>
      <c r="G372" t="n">
        <v>1.4</v>
      </c>
      <c r="H372" t="n">
        <v>0</v>
      </c>
      <c r="I372" t="n">
        <v>0</v>
      </c>
      <c r="J372" t="n">
        <v>0</v>
      </c>
      <c r="K372" t="n">
        <v>0</v>
      </c>
      <c r="L372" t="n">
        <v>0</v>
      </c>
      <c r="M372" t="n">
        <v>0</v>
      </c>
      <c r="N372" t="n">
        <v>0</v>
      </c>
      <c r="O372" t="n">
        <v>0</v>
      </c>
      <c r="P372" t="n">
        <v>0</v>
      </c>
      <c r="Q372" t="n">
        <v>0</v>
      </c>
      <c r="R372" s="2" t="inlineStr"/>
    </row>
    <row r="373" ht="15" customHeight="1">
      <c r="A373" t="inlineStr">
        <is>
          <t>A 49693-2023</t>
        </is>
      </c>
      <c r="B373" s="1" t="n">
        <v>45212.38138888889</v>
      </c>
      <c r="C373" s="1" t="n">
        <v>45994</v>
      </c>
      <c r="D373" t="inlineStr">
        <is>
          <t>GOTLANDS LÄN</t>
        </is>
      </c>
      <c r="E373" t="inlineStr">
        <is>
          <t>GOTLAND</t>
        </is>
      </c>
      <c r="G373" t="n">
        <v>2.4</v>
      </c>
      <c r="H373" t="n">
        <v>0</v>
      </c>
      <c r="I373" t="n">
        <v>0</v>
      </c>
      <c r="J373" t="n">
        <v>0</v>
      </c>
      <c r="K373" t="n">
        <v>0</v>
      </c>
      <c r="L373" t="n">
        <v>0</v>
      </c>
      <c r="M373" t="n">
        <v>0</v>
      </c>
      <c r="N373" t="n">
        <v>0</v>
      </c>
      <c r="O373" t="n">
        <v>0</v>
      </c>
      <c r="P373" t="n">
        <v>0</v>
      </c>
      <c r="Q373" t="n">
        <v>0</v>
      </c>
      <c r="R373" s="2" t="inlineStr"/>
    </row>
    <row r="374" ht="15" customHeight="1">
      <c r="A374" t="inlineStr">
        <is>
          <t>A 49697-2023</t>
        </is>
      </c>
      <c r="B374" s="1" t="n">
        <v>45212.38909722222</v>
      </c>
      <c r="C374" s="1" t="n">
        <v>45994</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34312-2024</t>
        </is>
      </c>
      <c r="B375" s="1" t="n">
        <v>45524.69703703704</v>
      </c>
      <c r="C375" s="1" t="n">
        <v>45994</v>
      </c>
      <c r="D375" t="inlineStr">
        <is>
          <t>GOTLANDS LÄN</t>
        </is>
      </c>
      <c r="E375" t="inlineStr">
        <is>
          <t>GOTLAND</t>
        </is>
      </c>
      <c r="G375" t="n">
        <v>2</v>
      </c>
      <c r="H375" t="n">
        <v>0</v>
      </c>
      <c r="I375" t="n">
        <v>0</v>
      </c>
      <c r="J375" t="n">
        <v>0</v>
      </c>
      <c r="K375" t="n">
        <v>0</v>
      </c>
      <c r="L375" t="n">
        <v>0</v>
      </c>
      <c r="M375" t="n">
        <v>0</v>
      </c>
      <c r="N375" t="n">
        <v>0</v>
      </c>
      <c r="O375" t="n">
        <v>0</v>
      </c>
      <c r="P375" t="n">
        <v>0</v>
      </c>
      <c r="Q375" t="n">
        <v>0</v>
      </c>
      <c r="R375" s="2" t="inlineStr"/>
    </row>
    <row r="376" ht="15" customHeight="1">
      <c r="A376" t="inlineStr">
        <is>
          <t>A 7858-2025</t>
        </is>
      </c>
      <c r="B376" s="1" t="n">
        <v>45706.68633101852</v>
      </c>
      <c r="C376" s="1" t="n">
        <v>45994</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46545-2024</t>
        </is>
      </c>
      <c r="B377" s="1" t="n">
        <v>45582.65831018519</v>
      </c>
      <c r="C377" s="1" t="n">
        <v>45994</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581-2023</t>
        </is>
      </c>
      <c r="B378" s="1" t="n">
        <v>44930</v>
      </c>
      <c r="C378" s="1" t="n">
        <v>45994</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999-2023</t>
        </is>
      </c>
      <c r="B379" s="1" t="n">
        <v>44935</v>
      </c>
      <c r="C379" s="1" t="n">
        <v>45994</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1364-2025</t>
        </is>
      </c>
      <c r="B380" s="1" t="n">
        <v>45667.63929398148</v>
      </c>
      <c r="C380" s="1" t="n">
        <v>45994</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2125-2025</t>
        </is>
      </c>
      <c r="B381" s="1" t="n">
        <v>45672.64940972222</v>
      </c>
      <c r="C381" s="1" t="n">
        <v>45994</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10655-2023</t>
        </is>
      </c>
      <c r="B382" s="1" t="n">
        <v>44988.49543981482</v>
      </c>
      <c r="C382" s="1" t="n">
        <v>45994</v>
      </c>
      <c r="D382" t="inlineStr">
        <is>
          <t>GOTLANDS LÄN</t>
        </is>
      </c>
      <c r="E382" t="inlineStr">
        <is>
          <t>GOTLAND</t>
        </is>
      </c>
      <c r="F382" t="inlineStr">
        <is>
          <t>Kyrkan</t>
        </is>
      </c>
      <c r="G382" t="n">
        <v>2</v>
      </c>
      <c r="H382" t="n">
        <v>0</v>
      </c>
      <c r="I382" t="n">
        <v>0</v>
      </c>
      <c r="J382" t="n">
        <v>0</v>
      </c>
      <c r="K382" t="n">
        <v>0</v>
      </c>
      <c r="L382" t="n">
        <v>0</v>
      </c>
      <c r="M382" t="n">
        <v>0</v>
      </c>
      <c r="N382" t="n">
        <v>0</v>
      </c>
      <c r="O382" t="n">
        <v>0</v>
      </c>
      <c r="P382" t="n">
        <v>0</v>
      </c>
      <c r="Q382" t="n">
        <v>0</v>
      </c>
      <c r="R382" s="2" t="inlineStr"/>
    </row>
    <row r="383" ht="15" customHeight="1">
      <c r="A383" t="inlineStr">
        <is>
          <t>A 48503-2023</t>
        </is>
      </c>
      <c r="B383" s="1" t="n">
        <v>45207</v>
      </c>
      <c r="C383" s="1" t="n">
        <v>45994</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44649-2021</t>
        </is>
      </c>
      <c r="B384" s="1" t="n">
        <v>44437</v>
      </c>
      <c r="C384" s="1" t="n">
        <v>45994</v>
      </c>
      <c r="D384" t="inlineStr">
        <is>
          <t>GOTLANDS LÄN</t>
        </is>
      </c>
      <c r="E384" t="inlineStr">
        <is>
          <t>GOTLAND</t>
        </is>
      </c>
      <c r="G384" t="n">
        <v>8.1</v>
      </c>
      <c r="H384" t="n">
        <v>0</v>
      </c>
      <c r="I384" t="n">
        <v>0</v>
      </c>
      <c r="J384" t="n">
        <v>0</v>
      </c>
      <c r="K384" t="n">
        <v>0</v>
      </c>
      <c r="L384" t="n">
        <v>0</v>
      </c>
      <c r="M384" t="n">
        <v>0</v>
      </c>
      <c r="N384" t="n">
        <v>0</v>
      </c>
      <c r="O384" t="n">
        <v>0</v>
      </c>
      <c r="P384" t="n">
        <v>0</v>
      </c>
      <c r="Q384" t="n">
        <v>0</v>
      </c>
      <c r="R384" s="2" t="inlineStr"/>
    </row>
    <row r="385" ht="15" customHeight="1">
      <c r="A385" t="inlineStr">
        <is>
          <t>A 24825-2024</t>
        </is>
      </c>
      <c r="B385" s="1" t="n">
        <v>45461</v>
      </c>
      <c r="C385" s="1" t="n">
        <v>45994</v>
      </c>
      <c r="D385" t="inlineStr">
        <is>
          <t>GOTLANDS LÄN</t>
        </is>
      </c>
      <c r="E385" t="inlineStr">
        <is>
          <t>GOTLAND</t>
        </is>
      </c>
      <c r="G385" t="n">
        <v>1.3</v>
      </c>
      <c r="H385" t="n">
        <v>0</v>
      </c>
      <c r="I385" t="n">
        <v>0</v>
      </c>
      <c r="J385" t="n">
        <v>0</v>
      </c>
      <c r="K385" t="n">
        <v>0</v>
      </c>
      <c r="L385" t="n">
        <v>0</v>
      </c>
      <c r="M385" t="n">
        <v>0</v>
      </c>
      <c r="N385" t="n">
        <v>0</v>
      </c>
      <c r="O385" t="n">
        <v>0</v>
      </c>
      <c r="P385" t="n">
        <v>0</v>
      </c>
      <c r="Q385" t="n">
        <v>0</v>
      </c>
      <c r="R385" s="2" t="inlineStr"/>
    </row>
    <row r="386" ht="15" customHeight="1">
      <c r="A386" t="inlineStr">
        <is>
          <t>A 8484-2025</t>
        </is>
      </c>
      <c r="B386" s="1" t="n">
        <v>45709</v>
      </c>
      <c r="C386" s="1" t="n">
        <v>45994</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14141-2024</t>
        </is>
      </c>
      <c r="B387" s="1" t="n">
        <v>45392.85193287037</v>
      </c>
      <c r="C387" s="1" t="n">
        <v>45994</v>
      </c>
      <c r="D387" t="inlineStr">
        <is>
          <t>GOTLANDS LÄN</t>
        </is>
      </c>
      <c r="E387" t="inlineStr">
        <is>
          <t>GOTLAND</t>
        </is>
      </c>
      <c r="G387" t="n">
        <v>5.3</v>
      </c>
      <c r="H387" t="n">
        <v>0</v>
      </c>
      <c r="I387" t="n">
        <v>0</v>
      </c>
      <c r="J387" t="n">
        <v>0</v>
      </c>
      <c r="K387" t="n">
        <v>0</v>
      </c>
      <c r="L387" t="n">
        <v>0</v>
      </c>
      <c r="M387" t="n">
        <v>0</v>
      </c>
      <c r="N387" t="n">
        <v>0</v>
      </c>
      <c r="O387" t="n">
        <v>0</v>
      </c>
      <c r="P387" t="n">
        <v>0</v>
      </c>
      <c r="Q387" t="n">
        <v>0</v>
      </c>
      <c r="R387" s="2" t="inlineStr"/>
    </row>
    <row r="388" ht="15" customHeight="1">
      <c r="A388" t="inlineStr">
        <is>
          <t>A 12155-2023</t>
        </is>
      </c>
      <c r="B388" s="1" t="n">
        <v>44998.49106481481</v>
      </c>
      <c r="C388" s="1" t="n">
        <v>45994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22031-2024</t>
        </is>
      </c>
      <c r="B389" s="1" t="n">
        <v>45443.60075231481</v>
      </c>
      <c r="C389" s="1" t="n">
        <v>45994</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17688-2024</t>
        </is>
      </c>
      <c r="B390" s="1" t="n">
        <v>45418.43575231481</v>
      </c>
      <c r="C390" s="1" t="n">
        <v>45994</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2774-2024</t>
        </is>
      </c>
      <c r="B391" s="1" t="n">
        <v>45314.62375</v>
      </c>
      <c r="C391" s="1" t="n">
        <v>45994</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9947-2024</t>
        </is>
      </c>
      <c r="B392" s="1" t="n">
        <v>45363</v>
      </c>
      <c r="C392" s="1" t="n">
        <v>45994</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42007-2023</t>
        </is>
      </c>
      <c r="B393" s="1" t="n">
        <v>45177</v>
      </c>
      <c r="C393" s="1" t="n">
        <v>45994</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27694-2024</t>
        </is>
      </c>
      <c r="B394" s="1" t="n">
        <v>45475</v>
      </c>
      <c r="C394" s="1" t="n">
        <v>45994</v>
      </c>
      <c r="D394" t="inlineStr">
        <is>
          <t>GOTLANDS LÄN</t>
        </is>
      </c>
      <c r="E394" t="inlineStr">
        <is>
          <t>GOTLAND</t>
        </is>
      </c>
      <c r="G394" t="n">
        <v>1.2</v>
      </c>
      <c r="H394" t="n">
        <v>0</v>
      </c>
      <c r="I394" t="n">
        <v>0</v>
      </c>
      <c r="J394" t="n">
        <v>0</v>
      </c>
      <c r="K394" t="n">
        <v>0</v>
      </c>
      <c r="L394" t="n">
        <v>0</v>
      </c>
      <c r="M394" t="n">
        <v>0</v>
      </c>
      <c r="N394" t="n">
        <v>0</v>
      </c>
      <c r="O394" t="n">
        <v>0</v>
      </c>
      <c r="P394" t="n">
        <v>0</v>
      </c>
      <c r="Q394" t="n">
        <v>0</v>
      </c>
      <c r="R394" s="2" t="inlineStr"/>
    </row>
    <row r="395" ht="15" customHeight="1">
      <c r="A395" t="inlineStr">
        <is>
          <t>A 39764-2022</t>
        </is>
      </c>
      <c r="B395" s="1" t="n">
        <v>44819</v>
      </c>
      <c r="C395" s="1" t="n">
        <v>45994</v>
      </c>
      <c r="D395" t="inlineStr">
        <is>
          <t>GOTLANDS LÄN</t>
        </is>
      </c>
      <c r="E395" t="inlineStr">
        <is>
          <t>GOTLAND</t>
        </is>
      </c>
      <c r="F395" t="inlineStr">
        <is>
          <t>Kyrkan</t>
        </is>
      </c>
      <c r="G395" t="n">
        <v>3.7</v>
      </c>
      <c r="H395" t="n">
        <v>0</v>
      </c>
      <c r="I395" t="n">
        <v>0</v>
      </c>
      <c r="J395" t="n">
        <v>0</v>
      </c>
      <c r="K395" t="n">
        <v>0</v>
      </c>
      <c r="L395" t="n">
        <v>0</v>
      </c>
      <c r="M395" t="n">
        <v>0</v>
      </c>
      <c r="N395" t="n">
        <v>0</v>
      </c>
      <c r="O395" t="n">
        <v>0</v>
      </c>
      <c r="P395" t="n">
        <v>0</v>
      </c>
      <c r="Q395" t="n">
        <v>0</v>
      </c>
      <c r="R395" s="2" t="inlineStr"/>
    </row>
    <row r="396" ht="15" customHeight="1">
      <c r="A396" t="inlineStr">
        <is>
          <t>A 6099-2024</t>
        </is>
      </c>
      <c r="B396" s="1" t="n">
        <v>45337</v>
      </c>
      <c r="C396" s="1" t="n">
        <v>45994</v>
      </c>
      <c r="D396" t="inlineStr">
        <is>
          <t>GOTLANDS LÄN</t>
        </is>
      </c>
      <c r="E396" t="inlineStr">
        <is>
          <t>GOTLAND</t>
        </is>
      </c>
      <c r="G396" t="n">
        <v>12.6</v>
      </c>
      <c r="H396" t="n">
        <v>0</v>
      </c>
      <c r="I396" t="n">
        <v>0</v>
      </c>
      <c r="J396" t="n">
        <v>0</v>
      </c>
      <c r="K396" t="n">
        <v>0</v>
      </c>
      <c r="L396" t="n">
        <v>0</v>
      </c>
      <c r="M396" t="n">
        <v>0</v>
      </c>
      <c r="N396" t="n">
        <v>0</v>
      </c>
      <c r="O396" t="n">
        <v>0</v>
      </c>
      <c r="P396" t="n">
        <v>0</v>
      </c>
      <c r="Q396" t="n">
        <v>0</v>
      </c>
      <c r="R396" s="2" t="inlineStr"/>
    </row>
    <row r="397" ht="15" customHeight="1">
      <c r="A397" t="inlineStr">
        <is>
          <t>A 49962-2023</t>
        </is>
      </c>
      <c r="B397" s="1" t="n">
        <v>45215.38775462963</v>
      </c>
      <c r="C397" s="1" t="n">
        <v>45994</v>
      </c>
      <c r="D397" t="inlineStr">
        <is>
          <t>GOTLANDS LÄN</t>
        </is>
      </c>
      <c r="E397" t="inlineStr">
        <is>
          <t>GOTLAND</t>
        </is>
      </c>
      <c r="G397" t="n">
        <v>1.4</v>
      </c>
      <c r="H397" t="n">
        <v>0</v>
      </c>
      <c r="I397" t="n">
        <v>0</v>
      </c>
      <c r="J397" t="n">
        <v>0</v>
      </c>
      <c r="K397" t="n">
        <v>0</v>
      </c>
      <c r="L397" t="n">
        <v>0</v>
      </c>
      <c r="M397" t="n">
        <v>0</v>
      </c>
      <c r="N397" t="n">
        <v>0</v>
      </c>
      <c r="O397" t="n">
        <v>0</v>
      </c>
      <c r="P397" t="n">
        <v>0</v>
      </c>
      <c r="Q397" t="n">
        <v>0</v>
      </c>
      <c r="R397" s="2" t="inlineStr"/>
    </row>
    <row r="398" ht="15" customHeight="1">
      <c r="A398" t="inlineStr">
        <is>
          <t>A 8260-2023</t>
        </is>
      </c>
      <c r="B398" s="1" t="n">
        <v>44974.61608796296</v>
      </c>
      <c r="C398" s="1" t="n">
        <v>45994</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50744-2024</t>
        </is>
      </c>
      <c r="B399" s="1" t="n">
        <v>45602.4187037037</v>
      </c>
      <c r="C399" s="1" t="n">
        <v>45994</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22287-2022</t>
        </is>
      </c>
      <c r="B400" s="1" t="n">
        <v>44712</v>
      </c>
      <c r="C400" s="1" t="n">
        <v>45994</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57534-2022</t>
        </is>
      </c>
      <c r="B401" s="1" t="n">
        <v>44896</v>
      </c>
      <c r="C401" s="1" t="n">
        <v>45994</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45244-2024</t>
        </is>
      </c>
      <c r="B402" s="1" t="n">
        <v>45576</v>
      </c>
      <c r="C402" s="1" t="n">
        <v>45994</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38787-2023</t>
        </is>
      </c>
      <c r="B403" s="1" t="n">
        <v>45163</v>
      </c>
      <c r="C403" s="1" t="n">
        <v>45994</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15083-2025</t>
        </is>
      </c>
      <c r="B404" s="1" t="n">
        <v>45743</v>
      </c>
      <c r="C404" s="1" t="n">
        <v>45994</v>
      </c>
      <c r="D404" t="inlineStr">
        <is>
          <t>GOTLANDS LÄN</t>
        </is>
      </c>
      <c r="E404" t="inlineStr">
        <is>
          <t>GOTLAND</t>
        </is>
      </c>
      <c r="G404" t="n">
        <v>2.3</v>
      </c>
      <c r="H404" t="n">
        <v>0</v>
      </c>
      <c r="I404" t="n">
        <v>0</v>
      </c>
      <c r="J404" t="n">
        <v>0</v>
      </c>
      <c r="K404" t="n">
        <v>0</v>
      </c>
      <c r="L404" t="n">
        <v>0</v>
      </c>
      <c r="M404" t="n">
        <v>0</v>
      </c>
      <c r="N404" t="n">
        <v>0</v>
      </c>
      <c r="O404" t="n">
        <v>0</v>
      </c>
      <c r="P404" t="n">
        <v>0</v>
      </c>
      <c r="Q404" t="n">
        <v>0</v>
      </c>
      <c r="R404" s="2" t="inlineStr"/>
    </row>
    <row r="405" ht="15" customHeight="1">
      <c r="A405" t="inlineStr">
        <is>
          <t>A 21420-2024</t>
        </is>
      </c>
      <c r="B405" s="1" t="n">
        <v>45441.38293981482</v>
      </c>
      <c r="C405" s="1" t="n">
        <v>45994</v>
      </c>
      <c r="D405" t="inlineStr">
        <is>
          <t>GOTLANDS LÄN</t>
        </is>
      </c>
      <c r="E405" t="inlineStr">
        <is>
          <t>GOTLAND</t>
        </is>
      </c>
      <c r="G405" t="n">
        <v>4.1</v>
      </c>
      <c r="H405" t="n">
        <v>0</v>
      </c>
      <c r="I405" t="n">
        <v>0</v>
      </c>
      <c r="J405" t="n">
        <v>0</v>
      </c>
      <c r="K405" t="n">
        <v>0</v>
      </c>
      <c r="L405" t="n">
        <v>0</v>
      </c>
      <c r="M405" t="n">
        <v>0</v>
      </c>
      <c r="N405" t="n">
        <v>0</v>
      </c>
      <c r="O405" t="n">
        <v>0</v>
      </c>
      <c r="P405" t="n">
        <v>0</v>
      </c>
      <c r="Q405" t="n">
        <v>0</v>
      </c>
      <c r="R405" s="2" t="inlineStr"/>
    </row>
    <row r="406" ht="15" customHeight="1">
      <c r="A406" t="inlineStr">
        <is>
          <t>A 2714-2023</t>
        </is>
      </c>
      <c r="B406" s="1" t="n">
        <v>44944.54896990741</v>
      </c>
      <c r="C406" s="1" t="n">
        <v>45994</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22897-2023</t>
        </is>
      </c>
      <c r="B407" s="1" t="n">
        <v>45072.55239583334</v>
      </c>
      <c r="C407" s="1" t="n">
        <v>45994</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10656-2024</t>
        </is>
      </c>
      <c r="B408" s="1" t="n">
        <v>45368</v>
      </c>
      <c r="C408" s="1" t="n">
        <v>45994</v>
      </c>
      <c r="D408" t="inlineStr">
        <is>
          <t>GOTLANDS LÄN</t>
        </is>
      </c>
      <c r="E408" t="inlineStr">
        <is>
          <t>GOTLAND</t>
        </is>
      </c>
      <c r="G408" t="n">
        <v>1.5</v>
      </c>
      <c r="H408" t="n">
        <v>0</v>
      </c>
      <c r="I408" t="n">
        <v>0</v>
      </c>
      <c r="J408" t="n">
        <v>0</v>
      </c>
      <c r="K408" t="n">
        <v>0</v>
      </c>
      <c r="L408" t="n">
        <v>0</v>
      </c>
      <c r="M408" t="n">
        <v>0</v>
      </c>
      <c r="N408" t="n">
        <v>0</v>
      </c>
      <c r="O408" t="n">
        <v>0</v>
      </c>
      <c r="P408" t="n">
        <v>0</v>
      </c>
      <c r="Q408" t="n">
        <v>0</v>
      </c>
      <c r="R408" s="2" t="inlineStr"/>
    </row>
    <row r="409" ht="15" customHeight="1">
      <c r="A409" t="inlineStr">
        <is>
          <t>A 4568-2025</t>
        </is>
      </c>
      <c r="B409" s="1" t="n">
        <v>45687</v>
      </c>
      <c r="C409" s="1" t="n">
        <v>45994</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1681-2023</t>
        </is>
      </c>
      <c r="B410" s="1" t="n">
        <v>44938.39715277778</v>
      </c>
      <c r="C410" s="1" t="n">
        <v>45994</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64660-2023</t>
        </is>
      </c>
      <c r="B411" s="1" t="n">
        <v>45281.60122685185</v>
      </c>
      <c r="C411" s="1" t="n">
        <v>45994</v>
      </c>
      <c r="D411" t="inlineStr">
        <is>
          <t>GOTLANDS LÄN</t>
        </is>
      </c>
      <c r="E411" t="inlineStr">
        <is>
          <t>GOTLAND</t>
        </is>
      </c>
      <c r="G411" t="n">
        <v>6.3</v>
      </c>
      <c r="H411" t="n">
        <v>0</v>
      </c>
      <c r="I411" t="n">
        <v>0</v>
      </c>
      <c r="J411" t="n">
        <v>0</v>
      </c>
      <c r="K411" t="n">
        <v>0</v>
      </c>
      <c r="L411" t="n">
        <v>0</v>
      </c>
      <c r="M411" t="n">
        <v>0</v>
      </c>
      <c r="N411" t="n">
        <v>0</v>
      </c>
      <c r="O411" t="n">
        <v>0</v>
      </c>
      <c r="P411" t="n">
        <v>0</v>
      </c>
      <c r="Q411" t="n">
        <v>0</v>
      </c>
      <c r="R411" s="2" t="inlineStr"/>
    </row>
    <row r="412" ht="15" customHeight="1">
      <c r="A412" t="inlineStr">
        <is>
          <t>A 57356-2023</t>
        </is>
      </c>
      <c r="B412" s="1" t="n">
        <v>45240</v>
      </c>
      <c r="C412" s="1" t="n">
        <v>45994</v>
      </c>
      <c r="D412" t="inlineStr">
        <is>
          <t>GOTLANDS LÄN</t>
        </is>
      </c>
      <c r="E412" t="inlineStr">
        <is>
          <t>GOTLAND</t>
        </is>
      </c>
      <c r="G412" t="n">
        <v>6.4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45994</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18918-2025</t>
        </is>
      </c>
      <c r="B414" s="1" t="n">
        <v>45764</v>
      </c>
      <c r="C414" s="1" t="n">
        <v>45994</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11013-2024</t>
        </is>
      </c>
      <c r="B415" s="1" t="n">
        <v>45370</v>
      </c>
      <c r="C415" s="1" t="n">
        <v>45994</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28506-2023</t>
        </is>
      </c>
      <c r="B416" s="1" t="n">
        <v>45103</v>
      </c>
      <c r="C416" s="1" t="n">
        <v>45994</v>
      </c>
      <c r="D416" t="inlineStr">
        <is>
          <t>GOTLANDS LÄN</t>
        </is>
      </c>
      <c r="E416" t="inlineStr">
        <is>
          <t>GOTLAND</t>
        </is>
      </c>
      <c r="G416" t="n">
        <v>3.2</v>
      </c>
      <c r="H416" t="n">
        <v>0</v>
      </c>
      <c r="I416" t="n">
        <v>0</v>
      </c>
      <c r="J416" t="n">
        <v>0</v>
      </c>
      <c r="K416" t="n">
        <v>0</v>
      </c>
      <c r="L416" t="n">
        <v>0</v>
      </c>
      <c r="M416" t="n">
        <v>0</v>
      </c>
      <c r="N416" t="n">
        <v>0</v>
      </c>
      <c r="O416" t="n">
        <v>0</v>
      </c>
      <c r="P416" t="n">
        <v>0</v>
      </c>
      <c r="Q416" t="n">
        <v>0</v>
      </c>
      <c r="R416" s="2" t="inlineStr"/>
    </row>
    <row r="417" ht="15" customHeight="1">
      <c r="A417" t="inlineStr">
        <is>
          <t>A 45084-2024</t>
        </is>
      </c>
      <c r="B417" s="1" t="n">
        <v>45575</v>
      </c>
      <c r="C417" s="1" t="n">
        <v>45994</v>
      </c>
      <c r="D417" t="inlineStr">
        <is>
          <t>GOTLANDS LÄN</t>
        </is>
      </c>
      <c r="E417" t="inlineStr">
        <is>
          <t>GOTLAND</t>
        </is>
      </c>
      <c r="G417" t="n">
        <v>6.8</v>
      </c>
      <c r="H417" t="n">
        <v>0</v>
      </c>
      <c r="I417" t="n">
        <v>0</v>
      </c>
      <c r="J417" t="n">
        <v>0</v>
      </c>
      <c r="K417" t="n">
        <v>0</v>
      </c>
      <c r="L417" t="n">
        <v>0</v>
      </c>
      <c r="M417" t="n">
        <v>0</v>
      </c>
      <c r="N417" t="n">
        <v>0</v>
      </c>
      <c r="O417" t="n">
        <v>0</v>
      </c>
      <c r="P417" t="n">
        <v>0</v>
      </c>
      <c r="Q417" t="n">
        <v>0</v>
      </c>
      <c r="R417" s="2" t="inlineStr"/>
    </row>
    <row r="418" ht="15" customHeight="1">
      <c r="A418" t="inlineStr">
        <is>
          <t>A 23188-2025</t>
        </is>
      </c>
      <c r="B418" s="1" t="n">
        <v>45791</v>
      </c>
      <c r="C418" s="1" t="n">
        <v>45994</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20356-2022</t>
        </is>
      </c>
      <c r="B419" s="1" t="n">
        <v>44699</v>
      </c>
      <c r="C419" s="1" t="n">
        <v>45994</v>
      </c>
      <c r="D419" t="inlineStr">
        <is>
          <t>GOTLANDS LÄN</t>
        </is>
      </c>
      <c r="E419" t="inlineStr">
        <is>
          <t>GOTLAND</t>
        </is>
      </c>
      <c r="F419" t="inlineStr">
        <is>
          <t>Övriga Aktiebolag</t>
        </is>
      </c>
      <c r="G419" t="n">
        <v>4.4</v>
      </c>
      <c r="H419" t="n">
        <v>0</v>
      </c>
      <c r="I419" t="n">
        <v>0</v>
      </c>
      <c r="J419" t="n">
        <v>0</v>
      </c>
      <c r="K419" t="n">
        <v>0</v>
      </c>
      <c r="L419" t="n">
        <v>0</v>
      </c>
      <c r="M419" t="n">
        <v>0</v>
      </c>
      <c r="N419" t="n">
        <v>0</v>
      </c>
      <c r="O419" t="n">
        <v>0</v>
      </c>
      <c r="P419" t="n">
        <v>0</v>
      </c>
      <c r="Q419" t="n">
        <v>0</v>
      </c>
      <c r="R419" s="2" t="inlineStr"/>
    </row>
    <row r="420" ht="15" customHeight="1">
      <c r="A420" t="inlineStr">
        <is>
          <t>A 20855-2023</t>
        </is>
      </c>
      <c r="B420" s="1" t="n">
        <v>45058.82172453704</v>
      </c>
      <c r="C420" s="1" t="n">
        <v>45994</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4868-2024</t>
        </is>
      </c>
      <c r="B421" s="1" t="n">
        <v>45329</v>
      </c>
      <c r="C421" s="1" t="n">
        <v>45994</v>
      </c>
      <c r="D421" t="inlineStr">
        <is>
          <t>GOTLANDS LÄN</t>
        </is>
      </c>
      <c r="E421" t="inlineStr">
        <is>
          <t>GOTLAND</t>
        </is>
      </c>
      <c r="G421" t="n">
        <v>7.1</v>
      </c>
      <c r="H421" t="n">
        <v>0</v>
      </c>
      <c r="I421" t="n">
        <v>0</v>
      </c>
      <c r="J421" t="n">
        <v>0</v>
      </c>
      <c r="K421" t="n">
        <v>0</v>
      </c>
      <c r="L421" t="n">
        <v>0</v>
      </c>
      <c r="M421" t="n">
        <v>0</v>
      </c>
      <c r="N421" t="n">
        <v>0</v>
      </c>
      <c r="O421" t="n">
        <v>0</v>
      </c>
      <c r="P421" t="n">
        <v>0</v>
      </c>
      <c r="Q421" t="n">
        <v>0</v>
      </c>
      <c r="R421" s="2" t="inlineStr"/>
    </row>
    <row r="422" ht="15" customHeight="1">
      <c r="A422" t="inlineStr">
        <is>
          <t>A 1066-2024</t>
        </is>
      </c>
      <c r="B422" s="1" t="n">
        <v>45302.285</v>
      </c>
      <c r="C422" s="1" t="n">
        <v>45994</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9613-2025</t>
        </is>
      </c>
      <c r="B423" s="1" t="n">
        <v>45715</v>
      </c>
      <c r="C423" s="1" t="n">
        <v>45994</v>
      </c>
      <c r="D423" t="inlineStr">
        <is>
          <t>GOTLANDS LÄN</t>
        </is>
      </c>
      <c r="E423" t="inlineStr">
        <is>
          <t>GOTLAND</t>
        </is>
      </c>
      <c r="G423" t="n">
        <v>3.5</v>
      </c>
      <c r="H423" t="n">
        <v>0</v>
      </c>
      <c r="I423" t="n">
        <v>0</v>
      </c>
      <c r="J423" t="n">
        <v>0</v>
      </c>
      <c r="K423" t="n">
        <v>0</v>
      </c>
      <c r="L423" t="n">
        <v>0</v>
      </c>
      <c r="M423" t="n">
        <v>0</v>
      </c>
      <c r="N423" t="n">
        <v>0</v>
      </c>
      <c r="O423" t="n">
        <v>0</v>
      </c>
      <c r="P423" t="n">
        <v>0</v>
      </c>
      <c r="Q423" t="n">
        <v>0</v>
      </c>
      <c r="R423" s="2" t="inlineStr"/>
    </row>
    <row r="424" ht="15" customHeight="1">
      <c r="A424" t="inlineStr">
        <is>
          <t>A 37202-2024</t>
        </is>
      </c>
      <c r="B424" s="1" t="n">
        <v>45539.67310185185</v>
      </c>
      <c r="C424" s="1" t="n">
        <v>45994</v>
      </c>
      <c r="D424" t="inlineStr">
        <is>
          <t>GOTLANDS LÄN</t>
        </is>
      </c>
      <c r="E424" t="inlineStr">
        <is>
          <t>GOTLAND</t>
        </is>
      </c>
      <c r="G424" t="n">
        <v>0.3</v>
      </c>
      <c r="H424" t="n">
        <v>0</v>
      </c>
      <c r="I424" t="n">
        <v>0</v>
      </c>
      <c r="J424" t="n">
        <v>0</v>
      </c>
      <c r="K424" t="n">
        <v>0</v>
      </c>
      <c r="L424" t="n">
        <v>0</v>
      </c>
      <c r="M424" t="n">
        <v>0</v>
      </c>
      <c r="N424" t="n">
        <v>0</v>
      </c>
      <c r="O424" t="n">
        <v>0</v>
      </c>
      <c r="P424" t="n">
        <v>0</v>
      </c>
      <c r="Q424" t="n">
        <v>0</v>
      </c>
      <c r="R424" s="2" t="inlineStr"/>
    </row>
    <row r="425" ht="15" customHeight="1">
      <c r="A425" t="inlineStr">
        <is>
          <t>A 5386-2023</t>
        </is>
      </c>
      <c r="B425" s="1" t="n">
        <v>44959</v>
      </c>
      <c r="C425" s="1" t="n">
        <v>45994</v>
      </c>
      <c r="D425" t="inlineStr">
        <is>
          <t>GOTLANDS LÄN</t>
        </is>
      </c>
      <c r="E425" t="inlineStr">
        <is>
          <t>GOTLAND</t>
        </is>
      </c>
      <c r="G425" t="n">
        <v>5.4</v>
      </c>
      <c r="H425" t="n">
        <v>0</v>
      </c>
      <c r="I425" t="n">
        <v>0</v>
      </c>
      <c r="J425" t="n">
        <v>0</v>
      </c>
      <c r="K425" t="n">
        <v>0</v>
      </c>
      <c r="L425" t="n">
        <v>0</v>
      </c>
      <c r="M425" t="n">
        <v>0</v>
      </c>
      <c r="N425" t="n">
        <v>0</v>
      </c>
      <c r="O425" t="n">
        <v>0</v>
      </c>
      <c r="P425" t="n">
        <v>0</v>
      </c>
      <c r="Q425" t="n">
        <v>0</v>
      </c>
      <c r="R425" s="2" t="inlineStr"/>
    </row>
    <row r="426" ht="15" customHeight="1">
      <c r="A426" t="inlineStr">
        <is>
          <t>A 60709-2023</t>
        </is>
      </c>
      <c r="B426" s="1" t="n">
        <v>45260</v>
      </c>
      <c r="C426" s="1" t="n">
        <v>45994</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1000-2024</t>
        </is>
      </c>
      <c r="B427" s="1" t="n">
        <v>45301.63371527778</v>
      </c>
      <c r="C427" s="1" t="n">
        <v>45994</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1010-2024</t>
        </is>
      </c>
      <c r="B428" s="1" t="n">
        <v>45301</v>
      </c>
      <c r="C428" s="1" t="n">
        <v>45994</v>
      </c>
      <c r="D428" t="inlineStr">
        <is>
          <t>GOTLANDS LÄN</t>
        </is>
      </c>
      <c r="E428" t="inlineStr">
        <is>
          <t>GOTLAND</t>
        </is>
      </c>
      <c r="G428" t="n">
        <v>2.4</v>
      </c>
      <c r="H428" t="n">
        <v>0</v>
      </c>
      <c r="I428" t="n">
        <v>0</v>
      </c>
      <c r="J428" t="n">
        <v>0</v>
      </c>
      <c r="K428" t="n">
        <v>0</v>
      </c>
      <c r="L428" t="n">
        <v>0</v>
      </c>
      <c r="M428" t="n">
        <v>0</v>
      </c>
      <c r="N428" t="n">
        <v>0</v>
      </c>
      <c r="O428" t="n">
        <v>0</v>
      </c>
      <c r="P428" t="n">
        <v>0</v>
      </c>
      <c r="Q428" t="n">
        <v>0</v>
      </c>
      <c r="R428" s="2" t="inlineStr"/>
    </row>
    <row r="429" ht="15" customHeight="1">
      <c r="A429" t="inlineStr">
        <is>
          <t>A 65249-2023</t>
        </is>
      </c>
      <c r="B429" s="1" t="n">
        <v>45290</v>
      </c>
      <c r="C429" s="1" t="n">
        <v>45994</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30815-2023</t>
        </is>
      </c>
      <c r="B430" s="1" t="n">
        <v>45112</v>
      </c>
      <c r="C430" s="1" t="n">
        <v>45994</v>
      </c>
      <c r="D430" t="inlineStr">
        <is>
          <t>GOTLANDS LÄN</t>
        </is>
      </c>
      <c r="E430" t="inlineStr">
        <is>
          <t>GOTLAND</t>
        </is>
      </c>
      <c r="G430" t="n">
        <v>6</v>
      </c>
      <c r="H430" t="n">
        <v>0</v>
      </c>
      <c r="I430" t="n">
        <v>0</v>
      </c>
      <c r="J430" t="n">
        <v>0</v>
      </c>
      <c r="K430" t="n">
        <v>0</v>
      </c>
      <c r="L430" t="n">
        <v>0</v>
      </c>
      <c r="M430" t="n">
        <v>0</v>
      </c>
      <c r="N430" t="n">
        <v>0</v>
      </c>
      <c r="O430" t="n">
        <v>0</v>
      </c>
      <c r="P430" t="n">
        <v>0</v>
      </c>
      <c r="Q430" t="n">
        <v>0</v>
      </c>
      <c r="R430" s="2" t="inlineStr"/>
    </row>
    <row r="431" ht="15" customHeight="1">
      <c r="A431" t="inlineStr">
        <is>
          <t>A 30956-2024</t>
        </is>
      </c>
      <c r="B431" s="1" t="n">
        <v>45499.42527777778</v>
      </c>
      <c r="C431" s="1" t="n">
        <v>45994</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12596-2023</t>
        </is>
      </c>
      <c r="B432" s="1" t="n">
        <v>45000.43310185185</v>
      </c>
      <c r="C432" s="1" t="n">
        <v>45994</v>
      </c>
      <c r="D432" t="inlineStr">
        <is>
          <t>GOTLANDS LÄN</t>
        </is>
      </c>
      <c r="E432" t="inlineStr">
        <is>
          <t>GOTLAND</t>
        </is>
      </c>
      <c r="G432" t="n">
        <v>4.1</v>
      </c>
      <c r="H432" t="n">
        <v>0</v>
      </c>
      <c r="I432" t="n">
        <v>0</v>
      </c>
      <c r="J432" t="n">
        <v>0</v>
      </c>
      <c r="K432" t="n">
        <v>0</v>
      </c>
      <c r="L432" t="n">
        <v>0</v>
      </c>
      <c r="M432" t="n">
        <v>0</v>
      </c>
      <c r="N432" t="n">
        <v>0</v>
      </c>
      <c r="O432" t="n">
        <v>0</v>
      </c>
      <c r="P432" t="n">
        <v>0</v>
      </c>
      <c r="Q432" t="n">
        <v>0</v>
      </c>
      <c r="R432" s="2" t="inlineStr"/>
    </row>
    <row r="433" ht="15" customHeight="1">
      <c r="A433" t="inlineStr">
        <is>
          <t>A 46400-2023</t>
        </is>
      </c>
      <c r="B433" s="1" t="n">
        <v>45197.49290509259</v>
      </c>
      <c r="C433" s="1" t="n">
        <v>45994</v>
      </c>
      <c r="D433" t="inlineStr">
        <is>
          <t>GOTLANDS LÄN</t>
        </is>
      </c>
      <c r="E433" t="inlineStr">
        <is>
          <t>GOTLAND</t>
        </is>
      </c>
      <c r="G433" t="n">
        <v>0.8</v>
      </c>
      <c r="H433" t="n">
        <v>0</v>
      </c>
      <c r="I433" t="n">
        <v>0</v>
      </c>
      <c r="J433" t="n">
        <v>0</v>
      </c>
      <c r="K433" t="n">
        <v>0</v>
      </c>
      <c r="L433" t="n">
        <v>0</v>
      </c>
      <c r="M433" t="n">
        <v>0</v>
      </c>
      <c r="N433" t="n">
        <v>0</v>
      </c>
      <c r="O433" t="n">
        <v>0</v>
      </c>
      <c r="P433" t="n">
        <v>0</v>
      </c>
      <c r="Q433" t="n">
        <v>0</v>
      </c>
      <c r="R433" s="2" t="inlineStr"/>
    </row>
    <row r="434" ht="15" customHeight="1">
      <c r="A434" t="inlineStr">
        <is>
          <t>A 58211-2024</t>
        </is>
      </c>
      <c r="B434" s="1" t="n">
        <v>45632.49292824074</v>
      </c>
      <c r="C434" s="1" t="n">
        <v>45994</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10492-2023</t>
        </is>
      </c>
      <c r="B435" s="1" t="n">
        <v>44987</v>
      </c>
      <c r="C435" s="1" t="n">
        <v>45994</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8045-2022</t>
        </is>
      </c>
      <c r="B436" s="1" t="n">
        <v>44609</v>
      </c>
      <c r="C436" s="1" t="n">
        <v>45994</v>
      </c>
      <c r="D436" t="inlineStr">
        <is>
          <t>GOTLANDS LÄN</t>
        </is>
      </c>
      <c r="E436" t="inlineStr">
        <is>
          <t>GOTLAND</t>
        </is>
      </c>
      <c r="G436" t="n">
        <v>7</v>
      </c>
      <c r="H436" t="n">
        <v>0</v>
      </c>
      <c r="I436" t="n">
        <v>0</v>
      </c>
      <c r="J436" t="n">
        <v>0</v>
      </c>
      <c r="K436" t="n">
        <v>0</v>
      </c>
      <c r="L436" t="n">
        <v>0</v>
      </c>
      <c r="M436" t="n">
        <v>0</v>
      </c>
      <c r="N436" t="n">
        <v>0</v>
      </c>
      <c r="O436" t="n">
        <v>0</v>
      </c>
      <c r="P436" t="n">
        <v>0</v>
      </c>
      <c r="Q436" t="n">
        <v>0</v>
      </c>
      <c r="R436" s="2" t="inlineStr"/>
    </row>
    <row r="437" ht="15" customHeight="1">
      <c r="A437" t="inlineStr">
        <is>
          <t>A 11634-2024</t>
        </is>
      </c>
      <c r="B437" s="1" t="n">
        <v>45373</v>
      </c>
      <c r="C437" s="1" t="n">
        <v>45994</v>
      </c>
      <c r="D437" t="inlineStr">
        <is>
          <t>GOTLANDS LÄN</t>
        </is>
      </c>
      <c r="E437" t="inlineStr">
        <is>
          <t>GOTLAND</t>
        </is>
      </c>
      <c r="G437" t="n">
        <v>3</v>
      </c>
      <c r="H437" t="n">
        <v>0</v>
      </c>
      <c r="I437" t="n">
        <v>0</v>
      </c>
      <c r="J437" t="n">
        <v>0</v>
      </c>
      <c r="K437" t="n">
        <v>0</v>
      </c>
      <c r="L437" t="n">
        <v>0</v>
      </c>
      <c r="M437" t="n">
        <v>0</v>
      </c>
      <c r="N437" t="n">
        <v>0</v>
      </c>
      <c r="O437" t="n">
        <v>0</v>
      </c>
      <c r="P437" t="n">
        <v>0</v>
      </c>
      <c r="Q437" t="n">
        <v>0</v>
      </c>
      <c r="R437" s="2" t="inlineStr"/>
    </row>
    <row r="438" ht="15" customHeight="1">
      <c r="A438" t="inlineStr">
        <is>
          <t>A 5884-2025</t>
        </is>
      </c>
      <c r="B438" s="1" t="n">
        <v>45695.37482638889</v>
      </c>
      <c r="C438" s="1" t="n">
        <v>45994</v>
      </c>
      <c r="D438" t="inlineStr">
        <is>
          <t>GOTLANDS LÄN</t>
        </is>
      </c>
      <c r="E438" t="inlineStr">
        <is>
          <t>GOTLAND</t>
        </is>
      </c>
      <c r="G438" t="n">
        <v>2.1</v>
      </c>
      <c r="H438" t="n">
        <v>0</v>
      </c>
      <c r="I438" t="n">
        <v>0</v>
      </c>
      <c r="J438" t="n">
        <v>0</v>
      </c>
      <c r="K438" t="n">
        <v>0</v>
      </c>
      <c r="L438" t="n">
        <v>0</v>
      </c>
      <c r="M438" t="n">
        <v>0</v>
      </c>
      <c r="N438" t="n">
        <v>0</v>
      </c>
      <c r="O438" t="n">
        <v>0</v>
      </c>
      <c r="P438" t="n">
        <v>0</v>
      </c>
      <c r="Q438" t="n">
        <v>0</v>
      </c>
      <c r="R438" s="2" t="inlineStr"/>
    </row>
    <row r="439" ht="15" customHeight="1">
      <c r="A439" t="inlineStr">
        <is>
          <t>A 5897-2025</t>
        </is>
      </c>
      <c r="B439" s="1" t="n">
        <v>45695.39273148148</v>
      </c>
      <c r="C439" s="1" t="n">
        <v>45994</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5909-2025</t>
        </is>
      </c>
      <c r="B440" s="1" t="n">
        <v>45695.40634259259</v>
      </c>
      <c r="C440" s="1" t="n">
        <v>45994</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44919-2022</t>
        </is>
      </c>
      <c r="B441" s="1" t="n">
        <v>44841</v>
      </c>
      <c r="C441" s="1" t="n">
        <v>45994</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60086-2022</t>
        </is>
      </c>
      <c r="B442" s="1" t="n">
        <v>44909</v>
      </c>
      <c r="C442" s="1" t="n">
        <v>45994</v>
      </c>
      <c r="D442" t="inlineStr">
        <is>
          <t>GOTLANDS LÄN</t>
        </is>
      </c>
      <c r="E442" t="inlineStr">
        <is>
          <t>GOTLAND</t>
        </is>
      </c>
      <c r="G442" t="n">
        <v>2.1</v>
      </c>
      <c r="H442" t="n">
        <v>0</v>
      </c>
      <c r="I442" t="n">
        <v>0</v>
      </c>
      <c r="J442" t="n">
        <v>0</v>
      </c>
      <c r="K442" t="n">
        <v>0</v>
      </c>
      <c r="L442" t="n">
        <v>0</v>
      </c>
      <c r="M442" t="n">
        <v>0</v>
      </c>
      <c r="N442" t="n">
        <v>0</v>
      </c>
      <c r="O442" t="n">
        <v>0</v>
      </c>
      <c r="P442" t="n">
        <v>0</v>
      </c>
      <c r="Q442" t="n">
        <v>0</v>
      </c>
      <c r="R442" s="2" t="inlineStr"/>
    </row>
    <row r="443" ht="15" customHeight="1">
      <c r="A443" t="inlineStr">
        <is>
          <t>A 22704-2023</t>
        </is>
      </c>
      <c r="B443" s="1" t="n">
        <v>45071</v>
      </c>
      <c r="C443" s="1" t="n">
        <v>45994</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16501-2023</t>
        </is>
      </c>
      <c r="B444" s="1" t="n">
        <v>45029</v>
      </c>
      <c r="C444" s="1" t="n">
        <v>45994</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999-2024</t>
        </is>
      </c>
      <c r="B445" s="1" t="n">
        <v>45301</v>
      </c>
      <c r="C445" s="1" t="n">
        <v>45994</v>
      </c>
      <c r="D445" t="inlineStr">
        <is>
          <t>GOTLANDS LÄN</t>
        </is>
      </c>
      <c r="E445" t="inlineStr">
        <is>
          <t>GOTLAND</t>
        </is>
      </c>
      <c r="G445" t="n">
        <v>1</v>
      </c>
      <c r="H445" t="n">
        <v>0</v>
      </c>
      <c r="I445" t="n">
        <v>0</v>
      </c>
      <c r="J445" t="n">
        <v>0</v>
      </c>
      <c r="K445" t="n">
        <v>0</v>
      </c>
      <c r="L445" t="n">
        <v>0</v>
      </c>
      <c r="M445" t="n">
        <v>0</v>
      </c>
      <c r="N445" t="n">
        <v>0</v>
      </c>
      <c r="O445" t="n">
        <v>0</v>
      </c>
      <c r="P445" t="n">
        <v>0</v>
      </c>
      <c r="Q445" t="n">
        <v>0</v>
      </c>
      <c r="R445" s="2" t="inlineStr"/>
    </row>
    <row r="446" ht="15" customHeight="1">
      <c r="A446" t="inlineStr">
        <is>
          <t>A 65901-2021</t>
        </is>
      </c>
      <c r="B446" s="1" t="n">
        <v>44516</v>
      </c>
      <c r="C446" s="1" t="n">
        <v>45994</v>
      </c>
      <c r="D446" t="inlineStr">
        <is>
          <t>GOTLANDS LÄN</t>
        </is>
      </c>
      <c r="E446" t="inlineStr">
        <is>
          <t>GOTLAND</t>
        </is>
      </c>
      <c r="G446" t="n">
        <v>4.9</v>
      </c>
      <c r="H446" t="n">
        <v>0</v>
      </c>
      <c r="I446" t="n">
        <v>0</v>
      </c>
      <c r="J446" t="n">
        <v>0</v>
      </c>
      <c r="K446" t="n">
        <v>0</v>
      </c>
      <c r="L446" t="n">
        <v>0</v>
      </c>
      <c r="M446" t="n">
        <v>0</v>
      </c>
      <c r="N446" t="n">
        <v>0</v>
      </c>
      <c r="O446" t="n">
        <v>0</v>
      </c>
      <c r="P446" t="n">
        <v>0</v>
      </c>
      <c r="Q446" t="n">
        <v>0</v>
      </c>
      <c r="R446" s="2" t="inlineStr"/>
    </row>
    <row r="447" ht="15" customHeight="1">
      <c r="A447" t="inlineStr">
        <is>
          <t>A 47762-2023</t>
        </is>
      </c>
      <c r="B447" s="1" t="n">
        <v>45203.86256944444</v>
      </c>
      <c r="C447" s="1" t="n">
        <v>45994</v>
      </c>
      <c r="D447" t="inlineStr">
        <is>
          <t>GOTLANDS LÄN</t>
        </is>
      </c>
      <c r="E447" t="inlineStr">
        <is>
          <t>GOTLAND</t>
        </is>
      </c>
      <c r="G447" t="n">
        <v>1.3</v>
      </c>
      <c r="H447" t="n">
        <v>0</v>
      </c>
      <c r="I447" t="n">
        <v>0</v>
      </c>
      <c r="J447" t="n">
        <v>0</v>
      </c>
      <c r="K447" t="n">
        <v>0</v>
      </c>
      <c r="L447" t="n">
        <v>0</v>
      </c>
      <c r="M447" t="n">
        <v>0</v>
      </c>
      <c r="N447" t="n">
        <v>0</v>
      </c>
      <c r="O447" t="n">
        <v>0</v>
      </c>
      <c r="P447" t="n">
        <v>0</v>
      </c>
      <c r="Q447" t="n">
        <v>0</v>
      </c>
      <c r="R447" s="2" t="inlineStr"/>
    </row>
    <row r="448" ht="15" customHeight="1">
      <c r="A448" t="inlineStr">
        <is>
          <t>A 27095-2022</t>
        </is>
      </c>
      <c r="B448" s="1" t="n">
        <v>44741</v>
      </c>
      <c r="C448" s="1" t="n">
        <v>45994</v>
      </c>
      <c r="D448" t="inlineStr">
        <is>
          <t>GOTLANDS LÄN</t>
        </is>
      </c>
      <c r="E448" t="inlineStr">
        <is>
          <t>GOTLAND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458-2023</t>
        </is>
      </c>
      <c r="B449" s="1" t="n">
        <v>44929</v>
      </c>
      <c r="C449" s="1" t="n">
        <v>45994</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1291-2023</t>
        </is>
      </c>
      <c r="B450" s="1" t="n">
        <v>44936.47561342592</v>
      </c>
      <c r="C450" s="1" t="n">
        <v>45994</v>
      </c>
      <c r="D450" t="inlineStr">
        <is>
          <t>GOTLANDS LÄN</t>
        </is>
      </c>
      <c r="E450" t="inlineStr">
        <is>
          <t>GOTLAND</t>
        </is>
      </c>
      <c r="G450" t="n">
        <v>7.4</v>
      </c>
      <c r="H450" t="n">
        <v>0</v>
      </c>
      <c r="I450" t="n">
        <v>0</v>
      </c>
      <c r="J450" t="n">
        <v>0</v>
      </c>
      <c r="K450" t="n">
        <v>0</v>
      </c>
      <c r="L450" t="n">
        <v>0</v>
      </c>
      <c r="M450" t="n">
        <v>0</v>
      </c>
      <c r="N450" t="n">
        <v>0</v>
      </c>
      <c r="O450" t="n">
        <v>0</v>
      </c>
      <c r="P450" t="n">
        <v>0</v>
      </c>
      <c r="Q450" t="n">
        <v>0</v>
      </c>
      <c r="R450" s="2" t="inlineStr"/>
    </row>
    <row r="451" ht="15" customHeight="1">
      <c r="A451" t="inlineStr">
        <is>
          <t>A 18993-2025</t>
        </is>
      </c>
      <c r="B451" s="1" t="n">
        <v>45764</v>
      </c>
      <c r="C451" s="1" t="n">
        <v>45994</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30135-2025</t>
        </is>
      </c>
      <c r="B452" s="1" t="n">
        <v>45826</v>
      </c>
      <c r="C452" s="1" t="n">
        <v>45994</v>
      </c>
      <c r="D452" t="inlineStr">
        <is>
          <t>GOTLANDS LÄN</t>
        </is>
      </c>
      <c r="E452" t="inlineStr">
        <is>
          <t>GOTLAND</t>
        </is>
      </c>
      <c r="G452" t="n">
        <v>2.7</v>
      </c>
      <c r="H452" t="n">
        <v>0</v>
      </c>
      <c r="I452" t="n">
        <v>0</v>
      </c>
      <c r="J452" t="n">
        <v>0</v>
      </c>
      <c r="K452" t="n">
        <v>0</v>
      </c>
      <c r="L452" t="n">
        <v>0</v>
      </c>
      <c r="M452" t="n">
        <v>0</v>
      </c>
      <c r="N452" t="n">
        <v>0</v>
      </c>
      <c r="O452" t="n">
        <v>0</v>
      </c>
      <c r="P452" t="n">
        <v>0</v>
      </c>
      <c r="Q452" t="n">
        <v>0</v>
      </c>
      <c r="R452" s="2" t="inlineStr"/>
    </row>
    <row r="453" ht="15" customHeight="1">
      <c r="A453" t="inlineStr">
        <is>
          <t>A 23856-2025</t>
        </is>
      </c>
      <c r="B453" s="1" t="n">
        <v>45793</v>
      </c>
      <c r="C453" s="1" t="n">
        <v>45994</v>
      </c>
      <c r="D453" t="inlineStr">
        <is>
          <t>GOTLANDS LÄN</t>
        </is>
      </c>
      <c r="E453" t="inlineStr">
        <is>
          <t>GOTLAND</t>
        </is>
      </c>
      <c r="G453" t="n">
        <v>4.4</v>
      </c>
      <c r="H453" t="n">
        <v>0</v>
      </c>
      <c r="I453" t="n">
        <v>0</v>
      </c>
      <c r="J453" t="n">
        <v>0</v>
      </c>
      <c r="K453" t="n">
        <v>0</v>
      </c>
      <c r="L453" t="n">
        <v>0</v>
      </c>
      <c r="M453" t="n">
        <v>0</v>
      </c>
      <c r="N453" t="n">
        <v>0</v>
      </c>
      <c r="O453" t="n">
        <v>0</v>
      </c>
      <c r="P453" t="n">
        <v>0</v>
      </c>
      <c r="Q453" t="n">
        <v>0</v>
      </c>
      <c r="R453" s="2" t="inlineStr"/>
    </row>
    <row r="454" ht="15" customHeight="1">
      <c r="A454" t="inlineStr">
        <is>
          <t>A 23473-2025</t>
        </is>
      </c>
      <c r="B454" s="1" t="n">
        <v>45792</v>
      </c>
      <c r="C454" s="1" t="n">
        <v>45994</v>
      </c>
      <c r="D454" t="inlineStr">
        <is>
          <t>GOTLANDS LÄN</t>
        </is>
      </c>
      <c r="E454" t="inlineStr">
        <is>
          <t>GOTLAND</t>
        </is>
      </c>
      <c r="G454" t="n">
        <v>3.6</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45994</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23698-2025</t>
        </is>
      </c>
      <c r="B456" s="1" t="n">
        <v>45793</v>
      </c>
      <c r="C456" s="1" t="n">
        <v>45994</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15073-2025</t>
        </is>
      </c>
      <c r="B457" s="1" t="n">
        <v>45743</v>
      </c>
      <c r="C457" s="1" t="n">
        <v>45994</v>
      </c>
      <c r="D457" t="inlineStr">
        <is>
          <t>GOTLANDS LÄN</t>
        </is>
      </c>
      <c r="E457" t="inlineStr">
        <is>
          <t>GOTLAND</t>
        </is>
      </c>
      <c r="G457" t="n">
        <v>12.1</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45994</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12599-2025</t>
        </is>
      </c>
      <c r="B459" s="1" t="n">
        <v>45733.29546296296</v>
      </c>
      <c r="C459" s="1" t="n">
        <v>45994</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5891-2025</t>
        </is>
      </c>
      <c r="B460" s="1" t="n">
        <v>45695.38327546296</v>
      </c>
      <c r="C460" s="1" t="n">
        <v>45994</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9887-2025</t>
        </is>
      </c>
      <c r="B461" s="1" t="n">
        <v>45716</v>
      </c>
      <c r="C461" s="1" t="n">
        <v>45994</v>
      </c>
      <c r="D461" t="inlineStr">
        <is>
          <t>GOTLANDS LÄN</t>
        </is>
      </c>
      <c r="E461" t="inlineStr">
        <is>
          <t>GOTLAND</t>
        </is>
      </c>
      <c r="G461" t="n">
        <v>7.5</v>
      </c>
      <c r="H461" t="n">
        <v>0</v>
      </c>
      <c r="I461" t="n">
        <v>0</v>
      </c>
      <c r="J461" t="n">
        <v>0</v>
      </c>
      <c r="K461" t="n">
        <v>0</v>
      </c>
      <c r="L461" t="n">
        <v>0</v>
      </c>
      <c r="M461" t="n">
        <v>0</v>
      </c>
      <c r="N461" t="n">
        <v>0</v>
      </c>
      <c r="O461" t="n">
        <v>0</v>
      </c>
      <c r="P461" t="n">
        <v>0</v>
      </c>
      <c r="Q461" t="n">
        <v>0</v>
      </c>
      <c r="R461" s="2" t="inlineStr"/>
    </row>
    <row r="462" ht="15" customHeight="1">
      <c r="A462" t="inlineStr">
        <is>
          <t>A 12209-2024</t>
        </is>
      </c>
      <c r="B462" s="1" t="n">
        <v>45378</v>
      </c>
      <c r="C462" s="1" t="n">
        <v>45994</v>
      </c>
      <c r="D462" t="inlineStr">
        <is>
          <t>GOTLANDS LÄN</t>
        </is>
      </c>
      <c r="E462" t="inlineStr">
        <is>
          <t>GOTLAND</t>
        </is>
      </c>
      <c r="G462" t="n">
        <v>5.3</v>
      </c>
      <c r="H462" t="n">
        <v>0</v>
      </c>
      <c r="I462" t="n">
        <v>0</v>
      </c>
      <c r="J462" t="n">
        <v>0</v>
      </c>
      <c r="K462" t="n">
        <v>0</v>
      </c>
      <c r="L462" t="n">
        <v>0</v>
      </c>
      <c r="M462" t="n">
        <v>0</v>
      </c>
      <c r="N462" t="n">
        <v>0</v>
      </c>
      <c r="O462" t="n">
        <v>0</v>
      </c>
      <c r="P462" t="n">
        <v>0</v>
      </c>
      <c r="Q462" t="n">
        <v>0</v>
      </c>
      <c r="R462" s="2" t="inlineStr"/>
    </row>
    <row r="463" ht="15" customHeight="1">
      <c r="A463" t="inlineStr">
        <is>
          <t>A 12210-2024</t>
        </is>
      </c>
      <c r="B463" s="1" t="n">
        <v>45378</v>
      </c>
      <c r="C463" s="1" t="n">
        <v>45994</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14804-2021</t>
        </is>
      </c>
      <c r="B464" s="1" t="n">
        <v>44280</v>
      </c>
      <c r="C464" s="1" t="n">
        <v>45994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59986-2022</t>
        </is>
      </c>
      <c r="B465" s="1" t="n">
        <v>44909</v>
      </c>
      <c r="C465" s="1" t="n">
        <v>45994</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2719-2023</t>
        </is>
      </c>
      <c r="B466" s="1" t="n">
        <v>44944.55361111111</v>
      </c>
      <c r="C466" s="1" t="n">
        <v>45994</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17144-2025</t>
        </is>
      </c>
      <c r="B467" s="1" t="n">
        <v>45755.9499537037</v>
      </c>
      <c r="C467" s="1" t="n">
        <v>45994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49314-2024</t>
        </is>
      </c>
      <c r="B468" s="1" t="n">
        <v>45595.55893518519</v>
      </c>
      <c r="C468" s="1" t="n">
        <v>45994</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9875-2025</t>
        </is>
      </c>
      <c r="B469" s="1" t="n">
        <v>45716</v>
      </c>
      <c r="C469" s="1" t="n">
        <v>45994</v>
      </c>
      <c r="D469" t="inlineStr">
        <is>
          <t>GOTLANDS LÄN</t>
        </is>
      </c>
      <c r="E469" t="inlineStr">
        <is>
          <t>GOTLAND</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45994</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20356-2022</t>
        </is>
      </c>
      <c r="B471" s="1" t="n">
        <v>44699</v>
      </c>
      <c r="C471" s="1" t="n">
        <v>45994</v>
      </c>
      <c r="D471" t="inlineStr">
        <is>
          <t>GOTLANDS LÄN</t>
        </is>
      </c>
      <c r="E471" t="inlineStr">
        <is>
          <t>GOTLAND</t>
        </is>
      </c>
      <c r="F471" t="inlineStr">
        <is>
          <t>Övriga Aktiebolag</t>
        </is>
      </c>
      <c r="G471" t="n">
        <v>4.4</v>
      </c>
      <c r="H471" t="n">
        <v>0</v>
      </c>
      <c r="I471" t="n">
        <v>0</v>
      </c>
      <c r="J471" t="n">
        <v>0</v>
      </c>
      <c r="K471" t="n">
        <v>0</v>
      </c>
      <c r="L471" t="n">
        <v>0</v>
      </c>
      <c r="M471" t="n">
        <v>0</v>
      </c>
      <c r="N471" t="n">
        <v>0</v>
      </c>
      <c r="O471" t="n">
        <v>0</v>
      </c>
      <c r="P471" t="n">
        <v>0</v>
      </c>
      <c r="Q471" t="n">
        <v>0</v>
      </c>
      <c r="R471" s="2" t="inlineStr"/>
    </row>
    <row r="472" ht="15" customHeight="1">
      <c r="A472" t="inlineStr">
        <is>
          <t>A 31802-2024</t>
        </is>
      </c>
      <c r="B472" s="1" t="n">
        <v>45509</v>
      </c>
      <c r="C472" s="1" t="n">
        <v>45994</v>
      </c>
      <c r="D472" t="inlineStr">
        <is>
          <t>GOTLANDS LÄN</t>
        </is>
      </c>
      <c r="E472" t="inlineStr">
        <is>
          <t>GOTLAND</t>
        </is>
      </c>
      <c r="G472" t="n">
        <v>2.8</v>
      </c>
      <c r="H472" t="n">
        <v>0</v>
      </c>
      <c r="I472" t="n">
        <v>0</v>
      </c>
      <c r="J472" t="n">
        <v>0</v>
      </c>
      <c r="K472" t="n">
        <v>0</v>
      </c>
      <c r="L472" t="n">
        <v>0</v>
      </c>
      <c r="M472" t="n">
        <v>0</v>
      </c>
      <c r="N472" t="n">
        <v>0</v>
      </c>
      <c r="O472" t="n">
        <v>0</v>
      </c>
      <c r="P472" t="n">
        <v>0</v>
      </c>
      <c r="Q472" t="n">
        <v>0</v>
      </c>
      <c r="R472" s="2" t="inlineStr"/>
    </row>
    <row r="473" ht="15" customHeight="1">
      <c r="A473" t="inlineStr">
        <is>
          <t>A 2292-2021</t>
        </is>
      </c>
      <c r="B473" s="1" t="n">
        <v>44212</v>
      </c>
      <c r="C473" s="1" t="n">
        <v>45994</v>
      </c>
      <c r="D473" t="inlineStr">
        <is>
          <t>GOTLANDS LÄN</t>
        </is>
      </c>
      <c r="E473" t="inlineStr">
        <is>
          <t>GOTLAND</t>
        </is>
      </c>
      <c r="G473" t="n">
        <v>3</v>
      </c>
      <c r="H473" t="n">
        <v>0</v>
      </c>
      <c r="I473" t="n">
        <v>0</v>
      </c>
      <c r="J473" t="n">
        <v>0</v>
      </c>
      <c r="K473" t="n">
        <v>0</v>
      </c>
      <c r="L473" t="n">
        <v>0</v>
      </c>
      <c r="M473" t="n">
        <v>0</v>
      </c>
      <c r="N473" t="n">
        <v>0</v>
      </c>
      <c r="O473" t="n">
        <v>0</v>
      </c>
      <c r="P473" t="n">
        <v>0</v>
      </c>
      <c r="Q473" t="n">
        <v>0</v>
      </c>
      <c r="R473" s="2" t="inlineStr"/>
    </row>
    <row r="474" ht="15" customHeight="1">
      <c r="A474" t="inlineStr">
        <is>
          <t>A 35142-2025</t>
        </is>
      </c>
      <c r="B474" s="1" t="n">
        <v>45852.65532407408</v>
      </c>
      <c r="C474" s="1" t="n">
        <v>45994</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16361-2024</t>
        </is>
      </c>
      <c r="B475" s="1" t="n">
        <v>45407</v>
      </c>
      <c r="C475" s="1" t="n">
        <v>45994</v>
      </c>
      <c r="D475" t="inlineStr">
        <is>
          <t>GOTLANDS LÄN</t>
        </is>
      </c>
      <c r="E475" t="inlineStr">
        <is>
          <t>GOTLAND</t>
        </is>
      </c>
      <c r="G475" t="n">
        <v>6</v>
      </c>
      <c r="H475" t="n">
        <v>0</v>
      </c>
      <c r="I475" t="n">
        <v>0</v>
      </c>
      <c r="J475" t="n">
        <v>0</v>
      </c>
      <c r="K475" t="n">
        <v>0</v>
      </c>
      <c r="L475" t="n">
        <v>0</v>
      </c>
      <c r="M475" t="n">
        <v>0</v>
      </c>
      <c r="N475" t="n">
        <v>0</v>
      </c>
      <c r="O475" t="n">
        <v>0</v>
      </c>
      <c r="P475" t="n">
        <v>0</v>
      </c>
      <c r="Q475" t="n">
        <v>0</v>
      </c>
      <c r="R475" s="2" t="inlineStr"/>
    </row>
    <row r="476" ht="15" customHeight="1">
      <c r="A476" t="inlineStr">
        <is>
          <t>A 20993-2023</t>
        </is>
      </c>
      <c r="B476" s="1" t="n">
        <v>45056</v>
      </c>
      <c r="C476" s="1" t="n">
        <v>45994</v>
      </c>
      <c r="D476" t="inlineStr">
        <is>
          <t>GOTLANDS LÄN</t>
        </is>
      </c>
      <c r="E476" t="inlineStr">
        <is>
          <t>GOTLAND</t>
        </is>
      </c>
      <c r="G476" t="n">
        <v>7.1</v>
      </c>
      <c r="H476" t="n">
        <v>0</v>
      </c>
      <c r="I476" t="n">
        <v>0</v>
      </c>
      <c r="J476" t="n">
        <v>0</v>
      </c>
      <c r="K476" t="n">
        <v>0</v>
      </c>
      <c r="L476" t="n">
        <v>0</v>
      </c>
      <c r="M476" t="n">
        <v>0</v>
      </c>
      <c r="N476" t="n">
        <v>0</v>
      </c>
      <c r="O476" t="n">
        <v>0</v>
      </c>
      <c r="P476" t="n">
        <v>0</v>
      </c>
      <c r="Q476" t="n">
        <v>0</v>
      </c>
      <c r="R476" s="2" t="inlineStr"/>
    </row>
    <row r="477" ht="15" customHeight="1">
      <c r="A477" t="inlineStr">
        <is>
          <t>A 15042-2025</t>
        </is>
      </c>
      <c r="B477" s="1" t="n">
        <v>45743</v>
      </c>
      <c r="C477" s="1" t="n">
        <v>45994</v>
      </c>
      <c r="D477" t="inlineStr">
        <is>
          <t>GOTLANDS LÄN</t>
        </is>
      </c>
      <c r="E477" t="inlineStr">
        <is>
          <t>GOTLAND</t>
        </is>
      </c>
      <c r="G477" t="n">
        <v>8.5</v>
      </c>
      <c r="H477" t="n">
        <v>0</v>
      </c>
      <c r="I477" t="n">
        <v>0</v>
      </c>
      <c r="J477" t="n">
        <v>0</v>
      </c>
      <c r="K477" t="n">
        <v>0</v>
      </c>
      <c r="L477" t="n">
        <v>0</v>
      </c>
      <c r="M477" t="n">
        <v>0</v>
      </c>
      <c r="N477" t="n">
        <v>0</v>
      </c>
      <c r="O477" t="n">
        <v>0</v>
      </c>
      <c r="P477" t="n">
        <v>0</v>
      </c>
      <c r="Q477" t="n">
        <v>0</v>
      </c>
      <c r="R477" s="2" t="inlineStr"/>
    </row>
    <row r="478" ht="15" customHeight="1">
      <c r="A478" t="inlineStr">
        <is>
          <t>A 35141-2025</t>
        </is>
      </c>
      <c r="B478" s="1" t="n">
        <v>45852.65206018519</v>
      </c>
      <c r="C478" s="1" t="n">
        <v>45994</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43081-2022</t>
        </is>
      </c>
      <c r="B479" s="1" t="n">
        <v>44833</v>
      </c>
      <c r="C479" s="1" t="n">
        <v>45994</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6749-2025</t>
        </is>
      </c>
      <c r="B480" s="1" t="n">
        <v>45700</v>
      </c>
      <c r="C480" s="1" t="n">
        <v>45994</v>
      </c>
      <c r="D480" t="inlineStr">
        <is>
          <t>GOTLANDS LÄN</t>
        </is>
      </c>
      <c r="E480" t="inlineStr">
        <is>
          <t>GOTLAND</t>
        </is>
      </c>
      <c r="G480" t="n">
        <v>4.5</v>
      </c>
      <c r="H480" t="n">
        <v>0</v>
      </c>
      <c r="I480" t="n">
        <v>0</v>
      </c>
      <c r="J480" t="n">
        <v>0</v>
      </c>
      <c r="K480" t="n">
        <v>0</v>
      </c>
      <c r="L480" t="n">
        <v>0</v>
      </c>
      <c r="M480" t="n">
        <v>0</v>
      </c>
      <c r="N480" t="n">
        <v>0</v>
      </c>
      <c r="O480" t="n">
        <v>0</v>
      </c>
      <c r="P480" t="n">
        <v>0</v>
      </c>
      <c r="Q480" t="n">
        <v>0</v>
      </c>
      <c r="R480" s="2" t="inlineStr"/>
    </row>
    <row r="481" ht="15" customHeight="1">
      <c r="A481" t="inlineStr">
        <is>
          <t>A 1175-2025</t>
        </is>
      </c>
      <c r="B481" s="1" t="n">
        <v>45667.34449074074</v>
      </c>
      <c r="C481" s="1" t="n">
        <v>45994</v>
      </c>
      <c r="D481" t="inlineStr">
        <is>
          <t>GOTLANDS LÄN</t>
        </is>
      </c>
      <c r="E481" t="inlineStr">
        <is>
          <t>GOTLAND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12327-2025</t>
        </is>
      </c>
      <c r="B482" s="1" t="n">
        <v>45730</v>
      </c>
      <c r="C482" s="1" t="n">
        <v>45994</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4420-2025</t>
        </is>
      </c>
      <c r="B483" s="1" t="n">
        <v>45686.47157407407</v>
      </c>
      <c r="C483" s="1" t="n">
        <v>45994</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14427-2024</t>
        </is>
      </c>
      <c r="B484" s="1" t="n">
        <v>45394</v>
      </c>
      <c r="C484" s="1" t="n">
        <v>45994</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42201-2023</t>
        </is>
      </c>
      <c r="B485" s="1" t="n">
        <v>45179</v>
      </c>
      <c r="C485" s="1" t="n">
        <v>45994</v>
      </c>
      <c r="D485" t="inlineStr">
        <is>
          <t>GOTLANDS LÄN</t>
        </is>
      </c>
      <c r="E485" t="inlineStr">
        <is>
          <t>GOTLAND</t>
        </is>
      </c>
      <c r="G485" t="n">
        <v>11.9</v>
      </c>
      <c r="H485" t="n">
        <v>0</v>
      </c>
      <c r="I485" t="n">
        <v>0</v>
      </c>
      <c r="J485" t="n">
        <v>0</v>
      </c>
      <c r="K485" t="n">
        <v>0</v>
      </c>
      <c r="L485" t="n">
        <v>0</v>
      </c>
      <c r="M485" t="n">
        <v>0</v>
      </c>
      <c r="N485" t="n">
        <v>0</v>
      </c>
      <c r="O485" t="n">
        <v>0</v>
      </c>
      <c r="P485" t="n">
        <v>0</v>
      </c>
      <c r="Q485" t="n">
        <v>0</v>
      </c>
      <c r="R485" s="2" t="inlineStr"/>
    </row>
    <row r="486" ht="15" customHeight="1">
      <c r="A486" t="inlineStr">
        <is>
          <t>A 3150-2025</t>
        </is>
      </c>
      <c r="B486" s="1" t="n">
        <v>45679.28974537037</v>
      </c>
      <c r="C486" s="1" t="n">
        <v>45994</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39849-2025</t>
        </is>
      </c>
      <c r="B487" s="1" t="n">
        <v>45891.58502314815</v>
      </c>
      <c r="C487" s="1" t="n">
        <v>45994</v>
      </c>
      <c r="D487" t="inlineStr">
        <is>
          <t>GOTLANDS LÄN</t>
        </is>
      </c>
      <c r="E487" t="inlineStr">
        <is>
          <t>GOTLAND</t>
        </is>
      </c>
      <c r="G487" t="n">
        <v>6.1</v>
      </c>
      <c r="H487" t="n">
        <v>0</v>
      </c>
      <c r="I487" t="n">
        <v>0</v>
      </c>
      <c r="J487" t="n">
        <v>0</v>
      </c>
      <c r="K487" t="n">
        <v>0</v>
      </c>
      <c r="L487" t="n">
        <v>0</v>
      </c>
      <c r="M487" t="n">
        <v>0</v>
      </c>
      <c r="N487" t="n">
        <v>0</v>
      </c>
      <c r="O487" t="n">
        <v>0</v>
      </c>
      <c r="P487" t="n">
        <v>0</v>
      </c>
      <c r="Q487" t="n">
        <v>0</v>
      </c>
      <c r="R487" s="2" t="inlineStr"/>
    </row>
    <row r="488" ht="15" customHeight="1">
      <c r="A488" t="inlineStr">
        <is>
          <t>A 39814-2025</t>
        </is>
      </c>
      <c r="B488" s="1" t="n">
        <v>45891.52694444444</v>
      </c>
      <c r="C488" s="1" t="n">
        <v>45994</v>
      </c>
      <c r="D488" t="inlineStr">
        <is>
          <t>GOTLANDS LÄN</t>
        </is>
      </c>
      <c r="E488" t="inlineStr">
        <is>
          <t>GOTLAND</t>
        </is>
      </c>
      <c r="G488" t="n">
        <v>4.5</v>
      </c>
      <c r="H488" t="n">
        <v>0</v>
      </c>
      <c r="I488" t="n">
        <v>0</v>
      </c>
      <c r="J488" t="n">
        <v>0</v>
      </c>
      <c r="K488" t="n">
        <v>0</v>
      </c>
      <c r="L488" t="n">
        <v>0</v>
      </c>
      <c r="M488" t="n">
        <v>0</v>
      </c>
      <c r="N488" t="n">
        <v>0</v>
      </c>
      <c r="O488" t="n">
        <v>0</v>
      </c>
      <c r="P488" t="n">
        <v>0</v>
      </c>
      <c r="Q488" t="n">
        <v>0</v>
      </c>
      <c r="R488" s="2" t="inlineStr"/>
    </row>
    <row r="489" ht="15" customHeight="1">
      <c r="A489" t="inlineStr">
        <is>
          <t>A 49257-2024</t>
        </is>
      </c>
      <c r="B489" s="1" t="n">
        <v>45595.47627314815</v>
      </c>
      <c r="C489" s="1" t="n">
        <v>45994</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39819-2025</t>
        </is>
      </c>
      <c r="B490" s="1" t="n">
        <v>45891.53418981482</v>
      </c>
      <c r="C490" s="1" t="n">
        <v>45994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42041-2024</t>
        </is>
      </c>
      <c r="B491" s="1" t="n">
        <v>45561</v>
      </c>
      <c r="C491" s="1" t="n">
        <v>45994</v>
      </c>
      <c r="D491" t="inlineStr">
        <is>
          <t>GOTLANDS LÄN</t>
        </is>
      </c>
      <c r="E491" t="inlineStr">
        <is>
          <t>GOTLAND</t>
        </is>
      </c>
      <c r="G491" t="n">
        <v>3.2</v>
      </c>
      <c r="H491" t="n">
        <v>0</v>
      </c>
      <c r="I491" t="n">
        <v>0</v>
      </c>
      <c r="J491" t="n">
        <v>0</v>
      </c>
      <c r="K491" t="n">
        <v>0</v>
      </c>
      <c r="L491" t="n">
        <v>0</v>
      </c>
      <c r="M491" t="n">
        <v>0</v>
      </c>
      <c r="N491" t="n">
        <v>0</v>
      </c>
      <c r="O491" t="n">
        <v>0</v>
      </c>
      <c r="P491" t="n">
        <v>0</v>
      </c>
      <c r="Q491" t="n">
        <v>0</v>
      </c>
      <c r="R491" s="2" t="inlineStr"/>
    </row>
    <row r="492" ht="15" customHeight="1">
      <c r="A492" t="inlineStr">
        <is>
          <t>A 49315-2024</t>
        </is>
      </c>
      <c r="B492" s="1" t="n">
        <v>45595</v>
      </c>
      <c r="C492" s="1" t="n">
        <v>45994</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39752-2025</t>
        </is>
      </c>
      <c r="B493" s="1" t="n">
        <v>45891</v>
      </c>
      <c r="C493" s="1" t="n">
        <v>45994</v>
      </c>
      <c r="D493" t="inlineStr">
        <is>
          <t>GOTLANDS LÄN</t>
        </is>
      </c>
      <c r="E493" t="inlineStr">
        <is>
          <t>GOTLAND</t>
        </is>
      </c>
      <c r="G493" t="n">
        <v>5.3</v>
      </c>
      <c r="H493" t="n">
        <v>0</v>
      </c>
      <c r="I493" t="n">
        <v>0</v>
      </c>
      <c r="J493" t="n">
        <v>0</v>
      </c>
      <c r="K493" t="n">
        <v>0</v>
      </c>
      <c r="L493" t="n">
        <v>0</v>
      </c>
      <c r="M493" t="n">
        <v>0</v>
      </c>
      <c r="N493" t="n">
        <v>0</v>
      </c>
      <c r="O493" t="n">
        <v>0</v>
      </c>
      <c r="P493" t="n">
        <v>0</v>
      </c>
      <c r="Q493" t="n">
        <v>0</v>
      </c>
      <c r="R493" s="2" t="inlineStr"/>
    </row>
    <row r="494" ht="15" customHeight="1">
      <c r="A494" t="inlineStr">
        <is>
          <t>A 39816-2025</t>
        </is>
      </c>
      <c r="B494" s="1" t="n">
        <v>45891</v>
      </c>
      <c r="C494" s="1" t="n">
        <v>45994</v>
      </c>
      <c r="D494" t="inlineStr">
        <is>
          <t>GOTLANDS LÄN</t>
        </is>
      </c>
      <c r="E494" t="inlineStr">
        <is>
          <t>GOTLAND</t>
        </is>
      </c>
      <c r="G494" t="n">
        <v>0.9</v>
      </c>
      <c r="H494" t="n">
        <v>0</v>
      </c>
      <c r="I494" t="n">
        <v>0</v>
      </c>
      <c r="J494" t="n">
        <v>0</v>
      </c>
      <c r="K494" t="n">
        <v>0</v>
      </c>
      <c r="L494" t="n">
        <v>0</v>
      </c>
      <c r="M494" t="n">
        <v>0</v>
      </c>
      <c r="N494" t="n">
        <v>0</v>
      </c>
      <c r="O494" t="n">
        <v>0</v>
      </c>
      <c r="P494" t="n">
        <v>0</v>
      </c>
      <c r="Q494" t="n">
        <v>0</v>
      </c>
      <c r="R494" s="2" t="inlineStr"/>
    </row>
    <row r="495" ht="15" customHeight="1">
      <c r="A495" t="inlineStr">
        <is>
          <t>A 40372-2025</t>
        </is>
      </c>
      <c r="B495" s="1" t="n">
        <v>45895.5162037037</v>
      </c>
      <c r="C495" s="1" t="n">
        <v>45994</v>
      </c>
      <c r="D495" t="inlineStr">
        <is>
          <t>GOTLANDS LÄN</t>
        </is>
      </c>
      <c r="E495" t="inlineStr">
        <is>
          <t>GOTLAND</t>
        </is>
      </c>
      <c r="G495" t="n">
        <v>3.3</v>
      </c>
      <c r="H495" t="n">
        <v>0</v>
      </c>
      <c r="I495" t="n">
        <v>0</v>
      </c>
      <c r="J495" t="n">
        <v>0</v>
      </c>
      <c r="K495" t="n">
        <v>0</v>
      </c>
      <c r="L495" t="n">
        <v>0</v>
      </c>
      <c r="M495" t="n">
        <v>0</v>
      </c>
      <c r="N495" t="n">
        <v>0</v>
      </c>
      <c r="O495" t="n">
        <v>0</v>
      </c>
      <c r="P495" t="n">
        <v>0</v>
      </c>
      <c r="Q495" t="n">
        <v>0</v>
      </c>
      <c r="R495" s="2" t="inlineStr"/>
    </row>
    <row r="496" ht="15" customHeight="1">
      <c r="A496" t="inlineStr">
        <is>
          <t>A 40373-2025</t>
        </is>
      </c>
      <c r="B496" s="1" t="n">
        <v>45895.51821759259</v>
      </c>
      <c r="C496" s="1" t="n">
        <v>45994</v>
      </c>
      <c r="D496" t="inlineStr">
        <is>
          <t>GOTLANDS LÄN</t>
        </is>
      </c>
      <c r="E496" t="inlineStr">
        <is>
          <t>GOTLAND</t>
        </is>
      </c>
      <c r="G496" t="n">
        <v>0.6</v>
      </c>
      <c r="H496" t="n">
        <v>0</v>
      </c>
      <c r="I496" t="n">
        <v>0</v>
      </c>
      <c r="J496" t="n">
        <v>0</v>
      </c>
      <c r="K496" t="n">
        <v>0</v>
      </c>
      <c r="L496" t="n">
        <v>0</v>
      </c>
      <c r="M496" t="n">
        <v>0</v>
      </c>
      <c r="N496" t="n">
        <v>0</v>
      </c>
      <c r="O496" t="n">
        <v>0</v>
      </c>
      <c r="P496" t="n">
        <v>0</v>
      </c>
      <c r="Q496" t="n">
        <v>0</v>
      </c>
      <c r="R496" s="2" t="inlineStr"/>
    </row>
    <row r="497" ht="15" customHeight="1">
      <c r="A497" t="inlineStr">
        <is>
          <t>A 40103-2025</t>
        </is>
      </c>
      <c r="B497" s="1" t="n">
        <v>45894.4880324074</v>
      </c>
      <c r="C497" s="1" t="n">
        <v>45994</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38649-2025</t>
        </is>
      </c>
      <c r="B498" s="1" t="n">
        <v>45884</v>
      </c>
      <c r="C498" s="1" t="n">
        <v>45994</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15436-2025</t>
        </is>
      </c>
      <c r="B499" s="1" t="n">
        <v>45747.47462962963</v>
      </c>
      <c r="C499" s="1" t="n">
        <v>45994</v>
      </c>
      <c r="D499" t="inlineStr">
        <is>
          <t>GOTLANDS LÄN</t>
        </is>
      </c>
      <c r="E499" t="inlineStr">
        <is>
          <t>GOTLAND</t>
        </is>
      </c>
      <c r="G499" t="n">
        <v>4.1</v>
      </c>
      <c r="H499" t="n">
        <v>0</v>
      </c>
      <c r="I499" t="n">
        <v>0</v>
      </c>
      <c r="J499" t="n">
        <v>0</v>
      </c>
      <c r="K499" t="n">
        <v>0</v>
      </c>
      <c r="L499" t="n">
        <v>0</v>
      </c>
      <c r="M499" t="n">
        <v>0</v>
      </c>
      <c r="N499" t="n">
        <v>0</v>
      </c>
      <c r="O499" t="n">
        <v>0</v>
      </c>
      <c r="P499" t="n">
        <v>0</v>
      </c>
      <c r="Q499" t="n">
        <v>0</v>
      </c>
      <c r="R499" s="2" t="inlineStr"/>
    </row>
    <row r="500" ht="15" customHeight="1">
      <c r="A500" t="inlineStr">
        <is>
          <t>A 40499-2025</t>
        </is>
      </c>
      <c r="B500" s="1" t="n">
        <v>45896.32517361111</v>
      </c>
      <c r="C500" s="1" t="n">
        <v>45994</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27596-2023</t>
        </is>
      </c>
      <c r="B501" s="1" t="n">
        <v>45097</v>
      </c>
      <c r="C501" s="1" t="n">
        <v>45994</v>
      </c>
      <c r="D501" t="inlineStr">
        <is>
          <t>GOTLANDS LÄN</t>
        </is>
      </c>
      <c r="E501" t="inlineStr">
        <is>
          <t>GOTLAND</t>
        </is>
      </c>
      <c r="G501" t="n">
        <v>3.6</v>
      </c>
      <c r="H501" t="n">
        <v>0</v>
      </c>
      <c r="I501" t="n">
        <v>0</v>
      </c>
      <c r="J501" t="n">
        <v>0</v>
      </c>
      <c r="K501" t="n">
        <v>0</v>
      </c>
      <c r="L501" t="n">
        <v>0</v>
      </c>
      <c r="M501" t="n">
        <v>0</v>
      </c>
      <c r="N501" t="n">
        <v>0</v>
      </c>
      <c r="O501" t="n">
        <v>0</v>
      </c>
      <c r="P501" t="n">
        <v>0</v>
      </c>
      <c r="Q501" t="n">
        <v>0</v>
      </c>
      <c r="R501" s="2" t="inlineStr"/>
    </row>
    <row r="502" ht="15" customHeight="1">
      <c r="A502" t="inlineStr">
        <is>
          <t>A 21247-2022</t>
        </is>
      </c>
      <c r="B502" s="1" t="n">
        <v>44705.38832175926</v>
      </c>
      <c r="C502" s="1" t="n">
        <v>45994</v>
      </c>
      <c r="D502" t="inlineStr">
        <is>
          <t>GOTLANDS LÄN</t>
        </is>
      </c>
      <c r="E502" t="inlineStr">
        <is>
          <t>GOTLAND</t>
        </is>
      </c>
      <c r="G502" t="n">
        <v>16.2</v>
      </c>
      <c r="H502" t="n">
        <v>0</v>
      </c>
      <c r="I502" t="n">
        <v>0</v>
      </c>
      <c r="J502" t="n">
        <v>0</v>
      </c>
      <c r="K502" t="n">
        <v>0</v>
      </c>
      <c r="L502" t="n">
        <v>0</v>
      </c>
      <c r="M502" t="n">
        <v>0</v>
      </c>
      <c r="N502" t="n">
        <v>0</v>
      </c>
      <c r="O502" t="n">
        <v>0</v>
      </c>
      <c r="P502" t="n">
        <v>0</v>
      </c>
      <c r="Q502" t="n">
        <v>0</v>
      </c>
      <c r="R502" s="2" t="inlineStr"/>
    </row>
    <row r="503" ht="15" customHeight="1">
      <c r="A503" t="inlineStr">
        <is>
          <t>A 56115-2023</t>
        </is>
      </c>
      <c r="B503" s="1" t="n">
        <v>45236</v>
      </c>
      <c r="C503" s="1" t="n">
        <v>45994</v>
      </c>
      <c r="D503" t="inlineStr">
        <is>
          <t>GOTLANDS LÄN</t>
        </is>
      </c>
      <c r="E503" t="inlineStr">
        <is>
          <t>GOTLAND</t>
        </is>
      </c>
      <c r="G503" t="n">
        <v>2</v>
      </c>
      <c r="H503" t="n">
        <v>0</v>
      </c>
      <c r="I503" t="n">
        <v>0</v>
      </c>
      <c r="J503" t="n">
        <v>0</v>
      </c>
      <c r="K503" t="n">
        <v>0</v>
      </c>
      <c r="L503" t="n">
        <v>0</v>
      </c>
      <c r="M503" t="n">
        <v>0</v>
      </c>
      <c r="N503" t="n">
        <v>0</v>
      </c>
      <c r="O503" t="n">
        <v>0</v>
      </c>
      <c r="P503" t="n">
        <v>0</v>
      </c>
      <c r="Q503" t="n">
        <v>0</v>
      </c>
      <c r="R503" s="2" t="inlineStr"/>
    </row>
    <row r="504" ht="15" customHeight="1">
      <c r="A504" t="inlineStr">
        <is>
          <t>A 64969-2023</t>
        </is>
      </c>
      <c r="B504" s="1" t="n">
        <v>45284.54009259259</v>
      </c>
      <c r="C504" s="1" t="n">
        <v>45994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33853-2024</t>
        </is>
      </c>
      <c r="B505" s="1" t="n">
        <v>45520.64298611111</v>
      </c>
      <c r="C505" s="1" t="n">
        <v>45994</v>
      </c>
      <c r="D505" t="inlineStr">
        <is>
          <t>GOTLANDS LÄN</t>
        </is>
      </c>
      <c r="E505" t="inlineStr">
        <is>
          <t>GOTLAND</t>
        </is>
      </c>
      <c r="G505" t="n">
        <v>3.9</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45994</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41551-2025</t>
        </is>
      </c>
      <c r="B507" s="1" t="n">
        <v>45901.58854166666</v>
      </c>
      <c r="C507" s="1" t="n">
        <v>45994</v>
      </c>
      <c r="D507" t="inlineStr">
        <is>
          <t>GOTLANDS LÄN</t>
        </is>
      </c>
      <c r="E507" t="inlineStr">
        <is>
          <t>GOTLAND</t>
        </is>
      </c>
      <c r="G507" t="n">
        <v>5.6</v>
      </c>
      <c r="H507" t="n">
        <v>0</v>
      </c>
      <c r="I507" t="n">
        <v>0</v>
      </c>
      <c r="J507" t="n">
        <v>0</v>
      </c>
      <c r="K507" t="n">
        <v>0</v>
      </c>
      <c r="L507" t="n">
        <v>0</v>
      </c>
      <c r="M507" t="n">
        <v>0</v>
      </c>
      <c r="N507" t="n">
        <v>0</v>
      </c>
      <c r="O507" t="n">
        <v>0</v>
      </c>
      <c r="P507" t="n">
        <v>0</v>
      </c>
      <c r="Q507" t="n">
        <v>0</v>
      </c>
      <c r="R507" s="2" t="inlineStr"/>
    </row>
    <row r="508" ht="15" customHeight="1">
      <c r="A508" t="inlineStr">
        <is>
          <t>A 18223-2025</t>
        </is>
      </c>
      <c r="B508" s="1" t="n">
        <v>45761</v>
      </c>
      <c r="C508" s="1" t="n">
        <v>45994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46949-2024</t>
        </is>
      </c>
      <c r="B509" s="1" t="n">
        <v>45585</v>
      </c>
      <c r="C509" s="1" t="n">
        <v>45994</v>
      </c>
      <c r="D509" t="inlineStr">
        <is>
          <t>GOTLANDS LÄN</t>
        </is>
      </c>
      <c r="E509" t="inlineStr">
        <is>
          <t>GOTLAND</t>
        </is>
      </c>
      <c r="G509" t="n">
        <v>0.6</v>
      </c>
      <c r="H509" t="n">
        <v>0</v>
      </c>
      <c r="I509" t="n">
        <v>0</v>
      </c>
      <c r="J509" t="n">
        <v>0</v>
      </c>
      <c r="K509" t="n">
        <v>0</v>
      </c>
      <c r="L509" t="n">
        <v>0</v>
      </c>
      <c r="M509" t="n">
        <v>0</v>
      </c>
      <c r="N509" t="n">
        <v>0</v>
      </c>
      <c r="O509" t="n">
        <v>0</v>
      </c>
      <c r="P509" t="n">
        <v>0</v>
      </c>
      <c r="Q509" t="n">
        <v>0</v>
      </c>
      <c r="R509" s="2" t="inlineStr"/>
    </row>
    <row r="510" ht="15" customHeight="1">
      <c r="A510" t="inlineStr">
        <is>
          <t>A 17780-2022</t>
        </is>
      </c>
      <c r="B510" s="1" t="n">
        <v>44682.82622685185</v>
      </c>
      <c r="C510" s="1" t="n">
        <v>45994</v>
      </c>
      <c r="D510" t="inlineStr">
        <is>
          <t>GOTLANDS LÄN</t>
        </is>
      </c>
      <c r="E510" t="inlineStr">
        <is>
          <t>GOTLAND</t>
        </is>
      </c>
      <c r="G510" t="n">
        <v>2.2</v>
      </c>
      <c r="H510" t="n">
        <v>0</v>
      </c>
      <c r="I510" t="n">
        <v>0</v>
      </c>
      <c r="J510" t="n">
        <v>0</v>
      </c>
      <c r="K510" t="n">
        <v>0</v>
      </c>
      <c r="L510" t="n">
        <v>0</v>
      </c>
      <c r="M510" t="n">
        <v>0</v>
      </c>
      <c r="N510" t="n">
        <v>0</v>
      </c>
      <c r="O510" t="n">
        <v>0</v>
      </c>
      <c r="P510" t="n">
        <v>0</v>
      </c>
      <c r="Q510" t="n">
        <v>0</v>
      </c>
      <c r="R510" s="2" t="inlineStr"/>
    </row>
    <row r="511" ht="15" customHeight="1">
      <c r="A511" t="inlineStr">
        <is>
          <t>A 63516-2023</t>
        </is>
      </c>
      <c r="B511" s="1" t="n">
        <v>45274</v>
      </c>
      <c r="C511" s="1" t="n">
        <v>45994</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39278-2025</t>
        </is>
      </c>
      <c r="B512" s="1" t="n">
        <v>45889</v>
      </c>
      <c r="C512" s="1" t="n">
        <v>45994</v>
      </c>
      <c r="D512" t="inlineStr">
        <is>
          <t>GOTLANDS LÄN</t>
        </is>
      </c>
      <c r="E512" t="inlineStr">
        <is>
          <t>GOTLAND</t>
        </is>
      </c>
      <c r="G512" t="n">
        <v>3.7</v>
      </c>
      <c r="H512" t="n">
        <v>0</v>
      </c>
      <c r="I512" t="n">
        <v>0</v>
      </c>
      <c r="J512" t="n">
        <v>0</v>
      </c>
      <c r="K512" t="n">
        <v>0</v>
      </c>
      <c r="L512" t="n">
        <v>0</v>
      </c>
      <c r="M512" t="n">
        <v>0</v>
      </c>
      <c r="N512" t="n">
        <v>0</v>
      </c>
      <c r="O512" t="n">
        <v>0</v>
      </c>
      <c r="P512" t="n">
        <v>0</v>
      </c>
      <c r="Q512" t="n">
        <v>0</v>
      </c>
      <c r="R512" s="2" t="inlineStr"/>
    </row>
    <row r="513" ht="15" customHeight="1">
      <c r="A513" t="inlineStr">
        <is>
          <t>A 24001-2021</t>
        </is>
      </c>
      <c r="B513" s="1" t="n">
        <v>44335</v>
      </c>
      <c r="C513" s="1" t="n">
        <v>45994</v>
      </c>
      <c r="D513" t="inlineStr">
        <is>
          <t>GOTLANDS LÄN</t>
        </is>
      </c>
      <c r="E513" t="inlineStr">
        <is>
          <t>GOTLAND</t>
        </is>
      </c>
      <c r="G513" t="n">
        <v>3.4</v>
      </c>
      <c r="H513" t="n">
        <v>0</v>
      </c>
      <c r="I513" t="n">
        <v>0</v>
      </c>
      <c r="J513" t="n">
        <v>0</v>
      </c>
      <c r="K513" t="n">
        <v>0</v>
      </c>
      <c r="L513" t="n">
        <v>0</v>
      </c>
      <c r="M513" t="n">
        <v>0</v>
      </c>
      <c r="N513" t="n">
        <v>0</v>
      </c>
      <c r="O513" t="n">
        <v>0</v>
      </c>
      <c r="P513" t="n">
        <v>0</v>
      </c>
      <c r="Q513" t="n">
        <v>0</v>
      </c>
      <c r="R513" s="2" t="inlineStr"/>
    </row>
    <row r="514" ht="15" customHeight="1">
      <c r="A514" t="inlineStr">
        <is>
          <t>A 41435-2025</t>
        </is>
      </c>
      <c r="B514" s="1" t="n">
        <v>45901.39974537037</v>
      </c>
      <c r="C514" s="1" t="n">
        <v>45994</v>
      </c>
      <c r="D514" t="inlineStr">
        <is>
          <t>GOTLANDS LÄN</t>
        </is>
      </c>
      <c r="E514" t="inlineStr">
        <is>
          <t>GOTLAND</t>
        </is>
      </c>
      <c r="G514" t="n">
        <v>4.9</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45994</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39496-2022</t>
        </is>
      </c>
      <c r="B516" s="1" t="n">
        <v>44818</v>
      </c>
      <c r="C516" s="1" t="n">
        <v>45994</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53935-2024</t>
        </is>
      </c>
      <c r="B517" s="1" t="n">
        <v>45615</v>
      </c>
      <c r="C517" s="1" t="n">
        <v>45994</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69112-2021</t>
        </is>
      </c>
      <c r="B518" s="1" t="n">
        <v>44530</v>
      </c>
      <c r="C518" s="1" t="n">
        <v>45994</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45994</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23516-2023</t>
        </is>
      </c>
      <c r="B520" s="1" t="n">
        <v>45076.93391203704</v>
      </c>
      <c r="C520" s="1" t="n">
        <v>45994</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45183.47025462963</v>
      </c>
      <c r="C521" s="1" t="n">
        <v>45994</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58230-2024</t>
        </is>
      </c>
      <c r="B522" s="1" t="n">
        <v>45632.51625</v>
      </c>
      <c r="C522" s="1" t="n">
        <v>45994</v>
      </c>
      <c r="D522" t="inlineStr">
        <is>
          <t>GOTLANDS LÄN</t>
        </is>
      </c>
      <c r="E522" t="inlineStr">
        <is>
          <t>GOTLAND</t>
        </is>
      </c>
      <c r="G522" t="n">
        <v>7.3</v>
      </c>
      <c r="H522" t="n">
        <v>0</v>
      </c>
      <c r="I522" t="n">
        <v>0</v>
      </c>
      <c r="J522" t="n">
        <v>0</v>
      </c>
      <c r="K522" t="n">
        <v>0</v>
      </c>
      <c r="L522" t="n">
        <v>0</v>
      </c>
      <c r="M522" t="n">
        <v>0</v>
      </c>
      <c r="N522" t="n">
        <v>0</v>
      </c>
      <c r="O522" t="n">
        <v>0</v>
      </c>
      <c r="P522" t="n">
        <v>0</v>
      </c>
      <c r="Q522" t="n">
        <v>0</v>
      </c>
      <c r="R522" s="2" t="inlineStr"/>
    </row>
    <row r="523" ht="15" customHeight="1">
      <c r="A523" t="inlineStr">
        <is>
          <t>A 64555-2023</t>
        </is>
      </c>
      <c r="B523" s="1" t="n">
        <v>45281</v>
      </c>
      <c r="C523" s="1" t="n">
        <v>45994</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46389-2021</t>
        </is>
      </c>
      <c r="B524" s="1" t="n">
        <v>44443</v>
      </c>
      <c r="C524" s="1" t="n">
        <v>45994</v>
      </c>
      <c r="D524" t="inlineStr">
        <is>
          <t>GOTLANDS LÄN</t>
        </is>
      </c>
      <c r="E524" t="inlineStr">
        <is>
          <t>GOTLAND</t>
        </is>
      </c>
      <c r="F524" t="inlineStr">
        <is>
          <t>Kyrkan</t>
        </is>
      </c>
      <c r="G524" t="n">
        <v>2.1</v>
      </c>
      <c r="H524" t="n">
        <v>0</v>
      </c>
      <c r="I524" t="n">
        <v>0</v>
      </c>
      <c r="J524" t="n">
        <v>0</v>
      </c>
      <c r="K524" t="n">
        <v>0</v>
      </c>
      <c r="L524" t="n">
        <v>0</v>
      </c>
      <c r="M524" t="n">
        <v>0</v>
      </c>
      <c r="N524" t="n">
        <v>0</v>
      </c>
      <c r="O524" t="n">
        <v>0</v>
      </c>
      <c r="P524" t="n">
        <v>0</v>
      </c>
      <c r="Q524" t="n">
        <v>0</v>
      </c>
      <c r="R524" s="2" t="inlineStr"/>
    </row>
    <row r="525" ht="15" customHeight="1">
      <c r="A525" t="inlineStr">
        <is>
          <t>A 457-2023</t>
        </is>
      </c>
      <c r="B525" s="1" t="n">
        <v>44929.87238425926</v>
      </c>
      <c r="C525" s="1" t="n">
        <v>45994</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459-2023</t>
        </is>
      </c>
      <c r="B526" s="1" t="n">
        <v>44929.87423611111</v>
      </c>
      <c r="C526" s="1" t="n">
        <v>45994</v>
      </c>
      <c r="D526" t="inlineStr">
        <is>
          <t>GOTLANDS LÄN</t>
        </is>
      </c>
      <c r="E526" t="inlineStr">
        <is>
          <t>GOTLAND</t>
        </is>
      </c>
      <c r="G526" t="n">
        <v>4.2</v>
      </c>
      <c r="H526" t="n">
        <v>0</v>
      </c>
      <c r="I526" t="n">
        <v>0</v>
      </c>
      <c r="J526" t="n">
        <v>0</v>
      </c>
      <c r="K526" t="n">
        <v>0</v>
      </c>
      <c r="L526" t="n">
        <v>0</v>
      </c>
      <c r="M526" t="n">
        <v>0</v>
      </c>
      <c r="N526" t="n">
        <v>0</v>
      </c>
      <c r="O526" t="n">
        <v>0</v>
      </c>
      <c r="P526" t="n">
        <v>0</v>
      </c>
      <c r="Q526" t="n">
        <v>0</v>
      </c>
      <c r="R526" s="2" t="inlineStr"/>
    </row>
    <row r="527" ht="15" customHeight="1">
      <c r="A527" t="inlineStr">
        <is>
          <t>A 42608-2025</t>
        </is>
      </c>
      <c r="B527" s="1" t="n">
        <v>45905</v>
      </c>
      <c r="C527" s="1" t="n">
        <v>45994</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44949-2023</t>
        </is>
      </c>
      <c r="B528" s="1" t="n">
        <v>45190.69520833333</v>
      </c>
      <c r="C528" s="1" t="n">
        <v>45994</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876-2024</t>
        </is>
      </c>
      <c r="B529" s="1" t="n">
        <v>45301</v>
      </c>
      <c r="C529" s="1" t="n">
        <v>45994</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26891-2024</t>
        </is>
      </c>
      <c r="B530" s="1" t="n">
        <v>45470.65540509259</v>
      </c>
      <c r="C530" s="1" t="n">
        <v>45994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14536-2021</t>
        </is>
      </c>
      <c r="B531" s="1" t="n">
        <v>44279.66168981481</v>
      </c>
      <c r="C531" s="1" t="n">
        <v>45994</v>
      </c>
      <c r="D531" t="inlineStr">
        <is>
          <t>GOTLANDS LÄN</t>
        </is>
      </c>
      <c r="E531" t="inlineStr">
        <is>
          <t>GOTLAND</t>
        </is>
      </c>
      <c r="G531" t="n">
        <v>8.5</v>
      </c>
      <c r="H531" t="n">
        <v>0</v>
      </c>
      <c r="I531" t="n">
        <v>0</v>
      </c>
      <c r="J531" t="n">
        <v>0</v>
      </c>
      <c r="K531" t="n">
        <v>0</v>
      </c>
      <c r="L531" t="n">
        <v>0</v>
      </c>
      <c r="M531" t="n">
        <v>0</v>
      </c>
      <c r="N531" t="n">
        <v>0</v>
      </c>
      <c r="O531" t="n">
        <v>0</v>
      </c>
      <c r="P531" t="n">
        <v>0</v>
      </c>
      <c r="Q531" t="n">
        <v>0</v>
      </c>
      <c r="R531" s="2" t="inlineStr"/>
    </row>
    <row r="532" ht="15" customHeight="1">
      <c r="A532" t="inlineStr">
        <is>
          <t>A 16373-2025</t>
        </is>
      </c>
      <c r="B532" s="1" t="n">
        <v>45751</v>
      </c>
      <c r="C532" s="1" t="n">
        <v>45994</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45994</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5923-2023</t>
        </is>
      </c>
      <c r="B534" s="1" t="n">
        <v>44963.69503472222</v>
      </c>
      <c r="C534" s="1" t="n">
        <v>45994</v>
      </c>
      <c r="D534" t="inlineStr">
        <is>
          <t>GOTLANDS LÄN</t>
        </is>
      </c>
      <c r="E534" t="inlineStr">
        <is>
          <t>GOTLAND</t>
        </is>
      </c>
      <c r="G534" t="n">
        <v>2.6</v>
      </c>
      <c r="H534" t="n">
        <v>0</v>
      </c>
      <c r="I534" t="n">
        <v>0</v>
      </c>
      <c r="J534" t="n">
        <v>0</v>
      </c>
      <c r="K534" t="n">
        <v>0</v>
      </c>
      <c r="L534" t="n">
        <v>0</v>
      </c>
      <c r="M534" t="n">
        <v>0</v>
      </c>
      <c r="N534" t="n">
        <v>0</v>
      </c>
      <c r="O534" t="n">
        <v>0</v>
      </c>
      <c r="P534" t="n">
        <v>0</v>
      </c>
      <c r="Q534" t="n">
        <v>0</v>
      </c>
      <c r="R534" s="2" t="inlineStr"/>
    </row>
    <row r="535" ht="15" customHeight="1">
      <c r="A535" t="inlineStr">
        <is>
          <t>A 50482-2024</t>
        </is>
      </c>
      <c r="B535" s="1" t="n">
        <v>45601.48114583334</v>
      </c>
      <c r="C535" s="1" t="n">
        <v>45994</v>
      </c>
      <c r="D535" t="inlineStr">
        <is>
          <t>GOTLANDS LÄN</t>
        </is>
      </c>
      <c r="E535" t="inlineStr">
        <is>
          <t>GOTLAND</t>
        </is>
      </c>
      <c r="G535" t="n">
        <v>2.3</v>
      </c>
      <c r="H535" t="n">
        <v>0</v>
      </c>
      <c r="I535" t="n">
        <v>0</v>
      </c>
      <c r="J535" t="n">
        <v>0</v>
      </c>
      <c r="K535" t="n">
        <v>0</v>
      </c>
      <c r="L535" t="n">
        <v>0</v>
      </c>
      <c r="M535" t="n">
        <v>0</v>
      </c>
      <c r="N535" t="n">
        <v>0</v>
      </c>
      <c r="O535" t="n">
        <v>0</v>
      </c>
      <c r="P535" t="n">
        <v>0</v>
      </c>
      <c r="Q535" t="n">
        <v>0</v>
      </c>
      <c r="R535" s="2" t="inlineStr"/>
    </row>
    <row r="536" ht="15" customHeight="1">
      <c r="A536" t="inlineStr">
        <is>
          <t>A 61897-2024</t>
        </is>
      </c>
      <c r="B536" s="1" t="n">
        <v>45652.75685185185</v>
      </c>
      <c r="C536" s="1" t="n">
        <v>45994</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row r="537" ht="15" customHeight="1">
      <c r="A537" t="inlineStr">
        <is>
          <t>A 12032-2025</t>
        </is>
      </c>
      <c r="B537" s="1" t="n">
        <v>45728.64472222222</v>
      </c>
      <c r="C537" s="1" t="n">
        <v>45994</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5943-2024</t>
        </is>
      </c>
      <c r="B538" s="1" t="n">
        <v>45336</v>
      </c>
      <c r="C538" s="1" t="n">
        <v>45994</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15595-2024</t>
        </is>
      </c>
      <c r="B539" s="1" t="n">
        <v>45401.81480324074</v>
      </c>
      <c r="C539" s="1" t="n">
        <v>45994</v>
      </c>
      <c r="D539" t="inlineStr">
        <is>
          <t>GOTLANDS LÄN</t>
        </is>
      </c>
      <c r="E539" t="inlineStr">
        <is>
          <t>GOTLAND</t>
        </is>
      </c>
      <c r="G539" t="n">
        <v>6.4</v>
      </c>
      <c r="H539" t="n">
        <v>0</v>
      </c>
      <c r="I539" t="n">
        <v>0</v>
      </c>
      <c r="J539" t="n">
        <v>0</v>
      </c>
      <c r="K539" t="n">
        <v>0</v>
      </c>
      <c r="L539" t="n">
        <v>0</v>
      </c>
      <c r="M539" t="n">
        <v>0</v>
      </c>
      <c r="N539" t="n">
        <v>0</v>
      </c>
      <c r="O539" t="n">
        <v>0</v>
      </c>
      <c r="P539" t="n">
        <v>0</v>
      </c>
      <c r="Q539" t="n">
        <v>0</v>
      </c>
      <c r="R539" s="2" t="inlineStr"/>
    </row>
    <row r="540" ht="15" customHeight="1">
      <c r="A540" t="inlineStr">
        <is>
          <t>A 10158-2025</t>
        </is>
      </c>
      <c r="B540" s="1" t="n">
        <v>45719</v>
      </c>
      <c r="C540" s="1" t="n">
        <v>45994</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25796-2025</t>
        </is>
      </c>
      <c r="B541" s="1" t="n">
        <v>45804.39543981481</v>
      </c>
      <c r="C541" s="1" t="n">
        <v>45994</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43911-2025</t>
        </is>
      </c>
      <c r="B542" s="1" t="n">
        <v>45914.3881712963</v>
      </c>
      <c r="C542" s="1" t="n">
        <v>45994</v>
      </c>
      <c r="D542" t="inlineStr">
        <is>
          <t>GOTLANDS LÄN</t>
        </is>
      </c>
      <c r="E542" t="inlineStr">
        <is>
          <t>GOTLAND</t>
        </is>
      </c>
      <c r="G542" t="n">
        <v>1.9</v>
      </c>
      <c r="H542" t="n">
        <v>0</v>
      </c>
      <c r="I542" t="n">
        <v>0</v>
      </c>
      <c r="J542" t="n">
        <v>0</v>
      </c>
      <c r="K542" t="n">
        <v>0</v>
      </c>
      <c r="L542" t="n">
        <v>0</v>
      </c>
      <c r="M542" t="n">
        <v>0</v>
      </c>
      <c r="N542" t="n">
        <v>0</v>
      </c>
      <c r="O542" t="n">
        <v>0</v>
      </c>
      <c r="P542" t="n">
        <v>0</v>
      </c>
      <c r="Q542" t="n">
        <v>0</v>
      </c>
      <c r="R542" s="2" t="inlineStr"/>
    </row>
    <row r="543" ht="15" customHeight="1">
      <c r="A543" t="inlineStr">
        <is>
          <t>A 26465-2025</t>
        </is>
      </c>
      <c r="B543" s="1" t="n">
        <v>45807.44377314814</v>
      </c>
      <c r="C543" s="1" t="n">
        <v>45994</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26457-2025</t>
        </is>
      </c>
      <c r="B544" s="1" t="n">
        <v>45807.42773148148</v>
      </c>
      <c r="C544" s="1" t="n">
        <v>45994</v>
      </c>
      <c r="D544" t="inlineStr">
        <is>
          <t>GOTLANDS LÄN</t>
        </is>
      </c>
      <c r="E544" t="inlineStr">
        <is>
          <t>GOTLAND</t>
        </is>
      </c>
      <c r="G544" t="n">
        <v>5.7</v>
      </c>
      <c r="H544" t="n">
        <v>0</v>
      </c>
      <c r="I544" t="n">
        <v>0</v>
      </c>
      <c r="J544" t="n">
        <v>0</v>
      </c>
      <c r="K544" t="n">
        <v>0</v>
      </c>
      <c r="L544" t="n">
        <v>0</v>
      </c>
      <c r="M544" t="n">
        <v>0</v>
      </c>
      <c r="N544" t="n">
        <v>0</v>
      </c>
      <c r="O544" t="n">
        <v>0</v>
      </c>
      <c r="P544" t="n">
        <v>0</v>
      </c>
      <c r="Q544" t="n">
        <v>0</v>
      </c>
      <c r="R544" s="2" t="inlineStr"/>
    </row>
    <row r="545" ht="15" customHeight="1">
      <c r="A545" t="inlineStr">
        <is>
          <t>A 26467-2025</t>
        </is>
      </c>
      <c r="B545" s="1" t="n">
        <v>45807.44640046296</v>
      </c>
      <c r="C545" s="1" t="n">
        <v>45994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43951-2025</t>
        </is>
      </c>
      <c r="B546" s="1" t="n">
        <v>45915.38119212963</v>
      </c>
      <c r="C546" s="1" t="n">
        <v>45994</v>
      </c>
      <c r="D546" t="inlineStr">
        <is>
          <t>GOTLANDS LÄN</t>
        </is>
      </c>
      <c r="E546" t="inlineStr">
        <is>
          <t>GOTLAND</t>
        </is>
      </c>
      <c r="G546" t="n">
        <v>4.4</v>
      </c>
      <c r="H546" t="n">
        <v>0</v>
      </c>
      <c r="I546" t="n">
        <v>0</v>
      </c>
      <c r="J546" t="n">
        <v>0</v>
      </c>
      <c r="K546" t="n">
        <v>0</v>
      </c>
      <c r="L546" t="n">
        <v>0</v>
      </c>
      <c r="M546" t="n">
        <v>0</v>
      </c>
      <c r="N546" t="n">
        <v>0</v>
      </c>
      <c r="O546" t="n">
        <v>0</v>
      </c>
      <c r="P546" t="n">
        <v>0</v>
      </c>
      <c r="Q546" t="n">
        <v>0</v>
      </c>
      <c r="R546" s="2" t="inlineStr"/>
    </row>
    <row r="547" ht="15" customHeight="1">
      <c r="A547" t="inlineStr">
        <is>
          <t>A 26660-2025</t>
        </is>
      </c>
      <c r="B547" s="1" t="n">
        <v>45810.39737268518</v>
      </c>
      <c r="C547" s="1" t="n">
        <v>45994</v>
      </c>
      <c r="D547" t="inlineStr">
        <is>
          <t>GOTLANDS LÄN</t>
        </is>
      </c>
      <c r="E547" t="inlineStr">
        <is>
          <t>GOTLAND</t>
        </is>
      </c>
      <c r="G547" t="n">
        <v>1.8</v>
      </c>
      <c r="H547" t="n">
        <v>0</v>
      </c>
      <c r="I547" t="n">
        <v>0</v>
      </c>
      <c r="J547" t="n">
        <v>0</v>
      </c>
      <c r="K547" t="n">
        <v>0</v>
      </c>
      <c r="L547" t="n">
        <v>0</v>
      </c>
      <c r="M547" t="n">
        <v>0</v>
      </c>
      <c r="N547" t="n">
        <v>0</v>
      </c>
      <c r="O547" t="n">
        <v>0</v>
      </c>
      <c r="P547" t="n">
        <v>0</v>
      </c>
      <c r="Q547" t="n">
        <v>0</v>
      </c>
      <c r="R547" s="2" t="inlineStr"/>
    </row>
    <row r="548" ht="15" customHeight="1">
      <c r="A548" t="inlineStr">
        <is>
          <t>A 52637-2025</t>
        </is>
      </c>
      <c r="B548" s="1" t="n">
        <v>45954.75099537037</v>
      </c>
      <c r="C548" s="1" t="n">
        <v>45994</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44410-2025</t>
        </is>
      </c>
      <c r="B549" s="1" t="n">
        <v>45916.53699074074</v>
      </c>
      <c r="C549" s="1" t="n">
        <v>45994</v>
      </c>
      <c r="D549" t="inlineStr">
        <is>
          <t>GOTLANDS LÄN</t>
        </is>
      </c>
      <c r="E549" t="inlineStr">
        <is>
          <t>GOTLAND</t>
        </is>
      </c>
      <c r="G549" t="n">
        <v>2.3</v>
      </c>
      <c r="H549" t="n">
        <v>0</v>
      </c>
      <c r="I549" t="n">
        <v>0</v>
      </c>
      <c r="J549" t="n">
        <v>0</v>
      </c>
      <c r="K549" t="n">
        <v>0</v>
      </c>
      <c r="L549" t="n">
        <v>0</v>
      </c>
      <c r="M549" t="n">
        <v>0</v>
      </c>
      <c r="N549" t="n">
        <v>0</v>
      </c>
      <c r="O549" t="n">
        <v>0</v>
      </c>
      <c r="P549" t="n">
        <v>0</v>
      </c>
      <c r="Q549" t="n">
        <v>0</v>
      </c>
      <c r="R549" s="2" t="inlineStr"/>
    </row>
    <row r="550" ht="15" customHeight="1">
      <c r="A550" t="inlineStr">
        <is>
          <t>A 27355-2025</t>
        </is>
      </c>
      <c r="B550" s="1" t="n">
        <v>45812</v>
      </c>
      <c r="C550" s="1" t="n">
        <v>45994</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27371-2025</t>
        </is>
      </c>
      <c r="B551" s="1" t="n">
        <v>45812</v>
      </c>
      <c r="C551" s="1" t="n">
        <v>45994</v>
      </c>
      <c r="D551" t="inlineStr">
        <is>
          <t>GOTLANDS LÄN</t>
        </is>
      </c>
      <c r="E551" t="inlineStr">
        <is>
          <t>GOTLAND</t>
        </is>
      </c>
      <c r="G551" t="n">
        <v>8</v>
      </c>
      <c r="H551" t="n">
        <v>0</v>
      </c>
      <c r="I551" t="n">
        <v>0</v>
      </c>
      <c r="J551" t="n">
        <v>0</v>
      </c>
      <c r="K551" t="n">
        <v>0</v>
      </c>
      <c r="L551" t="n">
        <v>0</v>
      </c>
      <c r="M551" t="n">
        <v>0</v>
      </c>
      <c r="N551" t="n">
        <v>0</v>
      </c>
      <c r="O551" t="n">
        <v>0</v>
      </c>
      <c r="P551" t="n">
        <v>0</v>
      </c>
      <c r="Q551" t="n">
        <v>0</v>
      </c>
      <c r="R551" s="2" t="inlineStr"/>
    </row>
    <row r="552" ht="15" customHeight="1">
      <c r="A552" t="inlineStr">
        <is>
          <t>A 44405-2025</t>
        </is>
      </c>
      <c r="B552" s="1" t="n">
        <v>45916.52405092592</v>
      </c>
      <c r="C552" s="1" t="n">
        <v>45994</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7850-2025</t>
        </is>
      </c>
      <c r="B553" s="1" t="n">
        <v>45706</v>
      </c>
      <c r="C553" s="1" t="n">
        <v>45994</v>
      </c>
      <c r="D553" t="inlineStr">
        <is>
          <t>GOTLANDS LÄN</t>
        </is>
      </c>
      <c r="E553" t="inlineStr">
        <is>
          <t>GOTLAND</t>
        </is>
      </c>
      <c r="G553" t="n">
        <v>0.5</v>
      </c>
      <c r="H553" t="n">
        <v>0</v>
      </c>
      <c r="I553" t="n">
        <v>0</v>
      </c>
      <c r="J553" t="n">
        <v>0</v>
      </c>
      <c r="K553" t="n">
        <v>0</v>
      </c>
      <c r="L553" t="n">
        <v>0</v>
      </c>
      <c r="M553" t="n">
        <v>0</v>
      </c>
      <c r="N553" t="n">
        <v>0</v>
      </c>
      <c r="O553" t="n">
        <v>0</v>
      </c>
      <c r="P553" t="n">
        <v>0</v>
      </c>
      <c r="Q553" t="n">
        <v>0</v>
      </c>
      <c r="R553" s="2" t="inlineStr"/>
    </row>
    <row r="554" ht="15" customHeight="1">
      <c r="A554" t="inlineStr">
        <is>
          <t>A 6739-2025</t>
        </is>
      </c>
      <c r="B554" s="1" t="n">
        <v>45700</v>
      </c>
      <c r="C554" s="1" t="n">
        <v>45994</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8444-2025</t>
        </is>
      </c>
      <c r="B555" s="1" t="n">
        <v>45709</v>
      </c>
      <c r="C555" s="1" t="n">
        <v>45994</v>
      </c>
      <c r="D555" t="inlineStr">
        <is>
          <t>GOTLANDS LÄN</t>
        </is>
      </c>
      <c r="E555" t="inlineStr">
        <is>
          <t>GOTLAND</t>
        </is>
      </c>
      <c r="G555" t="n">
        <v>5.2</v>
      </c>
      <c r="H555" t="n">
        <v>0</v>
      </c>
      <c r="I555" t="n">
        <v>0</v>
      </c>
      <c r="J555" t="n">
        <v>0</v>
      </c>
      <c r="K555" t="n">
        <v>0</v>
      </c>
      <c r="L555" t="n">
        <v>0</v>
      </c>
      <c r="M555" t="n">
        <v>0</v>
      </c>
      <c r="N555" t="n">
        <v>0</v>
      </c>
      <c r="O555" t="n">
        <v>0</v>
      </c>
      <c r="P555" t="n">
        <v>0</v>
      </c>
      <c r="Q555" t="n">
        <v>0</v>
      </c>
      <c r="R555" s="2" t="inlineStr"/>
    </row>
    <row r="556" ht="15" customHeight="1">
      <c r="A556" t="inlineStr">
        <is>
          <t>A 19905-2025</t>
        </is>
      </c>
      <c r="B556" s="1" t="n">
        <v>45771</v>
      </c>
      <c r="C556" s="1" t="n">
        <v>45994</v>
      </c>
      <c r="D556" t="inlineStr">
        <is>
          <t>GOTLANDS LÄN</t>
        </is>
      </c>
      <c r="E556" t="inlineStr">
        <is>
          <t>GOTLAND</t>
        </is>
      </c>
      <c r="G556" t="n">
        <v>1.2</v>
      </c>
      <c r="H556" t="n">
        <v>0</v>
      </c>
      <c r="I556" t="n">
        <v>0</v>
      </c>
      <c r="J556" t="n">
        <v>0</v>
      </c>
      <c r="K556" t="n">
        <v>0</v>
      </c>
      <c r="L556" t="n">
        <v>0</v>
      </c>
      <c r="M556" t="n">
        <v>0</v>
      </c>
      <c r="N556" t="n">
        <v>0</v>
      </c>
      <c r="O556" t="n">
        <v>0</v>
      </c>
      <c r="P556" t="n">
        <v>0</v>
      </c>
      <c r="Q556" t="n">
        <v>0</v>
      </c>
      <c r="R556" s="2" t="inlineStr"/>
    </row>
    <row r="557" ht="15" customHeight="1">
      <c r="A557" t="inlineStr">
        <is>
          <t>A 53587-2025</t>
        </is>
      </c>
      <c r="B557" s="1" t="n">
        <v>45960.43681712963</v>
      </c>
      <c r="C557" s="1" t="n">
        <v>45994</v>
      </c>
      <c r="D557" t="inlineStr">
        <is>
          <t>GOTLANDS LÄN</t>
        </is>
      </c>
      <c r="E557" t="inlineStr">
        <is>
          <t>GOTLAND</t>
        </is>
      </c>
      <c r="F557" t="inlineStr">
        <is>
          <t>Övriga Aktiebolag</t>
        </is>
      </c>
      <c r="G557" t="n">
        <v>1.7</v>
      </c>
      <c r="H557" t="n">
        <v>0</v>
      </c>
      <c r="I557" t="n">
        <v>0</v>
      </c>
      <c r="J557" t="n">
        <v>0</v>
      </c>
      <c r="K557" t="n">
        <v>0</v>
      </c>
      <c r="L557" t="n">
        <v>0</v>
      </c>
      <c r="M557" t="n">
        <v>0</v>
      </c>
      <c r="N557" t="n">
        <v>0</v>
      </c>
      <c r="O557" t="n">
        <v>0</v>
      </c>
      <c r="P557" t="n">
        <v>0</v>
      </c>
      <c r="Q557" t="n">
        <v>0</v>
      </c>
      <c r="R557" s="2" t="inlineStr"/>
    </row>
    <row r="558" ht="15" customHeight="1">
      <c r="A558" t="inlineStr">
        <is>
          <t>A 53561-2025</t>
        </is>
      </c>
      <c r="B558" s="1" t="n">
        <v>45960.4059375</v>
      </c>
      <c r="C558" s="1" t="n">
        <v>45994</v>
      </c>
      <c r="D558" t="inlineStr">
        <is>
          <t>GOTLANDS LÄN</t>
        </is>
      </c>
      <c r="E558" t="inlineStr">
        <is>
          <t>GOTLAND</t>
        </is>
      </c>
      <c r="F558" t="inlineStr">
        <is>
          <t>Övriga Aktiebolag</t>
        </is>
      </c>
      <c r="G558" t="n">
        <v>2.4</v>
      </c>
      <c r="H558" t="n">
        <v>0</v>
      </c>
      <c r="I558" t="n">
        <v>0</v>
      </c>
      <c r="J558" t="n">
        <v>0</v>
      </c>
      <c r="K558" t="n">
        <v>0</v>
      </c>
      <c r="L558" t="n">
        <v>0</v>
      </c>
      <c r="M558" t="n">
        <v>0</v>
      </c>
      <c r="N558" t="n">
        <v>0</v>
      </c>
      <c r="O558" t="n">
        <v>0</v>
      </c>
      <c r="P558" t="n">
        <v>0</v>
      </c>
      <c r="Q558" t="n">
        <v>0</v>
      </c>
      <c r="R558" s="2" t="inlineStr"/>
    </row>
    <row r="559" ht="15" customHeight="1">
      <c r="A559" t="inlineStr">
        <is>
          <t>A 29207-2025</t>
        </is>
      </c>
      <c r="B559" s="1" t="n">
        <v>45823</v>
      </c>
      <c r="C559" s="1" t="n">
        <v>45994</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29196-2025</t>
        </is>
      </c>
      <c r="B560" s="1" t="n">
        <v>45822</v>
      </c>
      <c r="C560" s="1" t="n">
        <v>45994</v>
      </c>
      <c r="D560" t="inlineStr">
        <is>
          <t>GOTLANDS LÄN</t>
        </is>
      </c>
      <c r="E560" t="inlineStr">
        <is>
          <t>GOTLAND</t>
        </is>
      </c>
      <c r="G560" t="n">
        <v>0.5</v>
      </c>
      <c r="H560" t="n">
        <v>0</v>
      </c>
      <c r="I560" t="n">
        <v>0</v>
      </c>
      <c r="J560" t="n">
        <v>0</v>
      </c>
      <c r="K560" t="n">
        <v>0</v>
      </c>
      <c r="L560" t="n">
        <v>0</v>
      </c>
      <c r="M560" t="n">
        <v>0</v>
      </c>
      <c r="N560" t="n">
        <v>0</v>
      </c>
      <c r="O560" t="n">
        <v>0</v>
      </c>
      <c r="P560" t="n">
        <v>0</v>
      </c>
      <c r="Q560" t="n">
        <v>0</v>
      </c>
      <c r="R560" s="2" t="inlineStr"/>
    </row>
    <row r="561" ht="15" customHeight="1">
      <c r="A561" t="inlineStr">
        <is>
          <t>A 30061-2025</t>
        </is>
      </c>
      <c r="B561" s="1" t="n">
        <v>45826.61488425926</v>
      </c>
      <c r="C561" s="1" t="n">
        <v>45994</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54584-2025</t>
        </is>
      </c>
      <c r="B562" s="1" t="n">
        <v>45965.71788194445</v>
      </c>
      <c r="C562" s="1" t="n">
        <v>45994</v>
      </c>
      <c r="D562" t="inlineStr">
        <is>
          <t>GOTLANDS LÄN</t>
        </is>
      </c>
      <c r="E562" t="inlineStr">
        <is>
          <t>GOTLAND</t>
        </is>
      </c>
      <c r="G562" t="n">
        <v>3.5</v>
      </c>
      <c r="H562" t="n">
        <v>0</v>
      </c>
      <c r="I562" t="n">
        <v>0</v>
      </c>
      <c r="J562" t="n">
        <v>0</v>
      </c>
      <c r="K562" t="n">
        <v>0</v>
      </c>
      <c r="L562" t="n">
        <v>0</v>
      </c>
      <c r="M562" t="n">
        <v>0</v>
      </c>
      <c r="N562" t="n">
        <v>0</v>
      </c>
      <c r="O562" t="n">
        <v>0</v>
      </c>
      <c r="P562" t="n">
        <v>0</v>
      </c>
      <c r="Q562" t="n">
        <v>0</v>
      </c>
      <c r="R562" s="2" t="inlineStr"/>
    </row>
    <row r="563" ht="15" customHeight="1">
      <c r="A563" t="inlineStr">
        <is>
          <t>A 58160-2024</t>
        </is>
      </c>
      <c r="B563" s="1" t="n">
        <v>45632.44927083333</v>
      </c>
      <c r="C563" s="1" t="n">
        <v>45994</v>
      </c>
      <c r="D563" t="inlineStr">
        <is>
          <t>GOTLANDS LÄN</t>
        </is>
      </c>
      <c r="E563" t="inlineStr">
        <is>
          <t>GOTLAND</t>
        </is>
      </c>
      <c r="G563" t="n">
        <v>5.6</v>
      </c>
      <c r="H563" t="n">
        <v>0</v>
      </c>
      <c r="I563" t="n">
        <v>0</v>
      </c>
      <c r="J563" t="n">
        <v>0</v>
      </c>
      <c r="K563" t="n">
        <v>0</v>
      </c>
      <c r="L563" t="n">
        <v>0</v>
      </c>
      <c r="M563" t="n">
        <v>0</v>
      </c>
      <c r="N563" t="n">
        <v>0</v>
      </c>
      <c r="O563" t="n">
        <v>0</v>
      </c>
      <c r="P563" t="n">
        <v>0</v>
      </c>
      <c r="Q563" t="n">
        <v>0</v>
      </c>
      <c r="R563" s="2" t="inlineStr"/>
    </row>
    <row r="564" ht="15" customHeight="1">
      <c r="A564" t="inlineStr">
        <is>
          <t>A 16109-2025</t>
        </is>
      </c>
      <c r="B564" s="1" t="n">
        <v>45750</v>
      </c>
      <c r="C564" s="1" t="n">
        <v>45994</v>
      </c>
      <c r="D564" t="inlineStr">
        <is>
          <t>GOTLANDS LÄN</t>
        </is>
      </c>
      <c r="E564" t="inlineStr">
        <is>
          <t>GOTLAND</t>
        </is>
      </c>
      <c r="G564" t="n">
        <v>4.9</v>
      </c>
      <c r="H564" t="n">
        <v>0</v>
      </c>
      <c r="I564" t="n">
        <v>0</v>
      </c>
      <c r="J564" t="n">
        <v>0</v>
      </c>
      <c r="K564" t="n">
        <v>0</v>
      </c>
      <c r="L564" t="n">
        <v>0</v>
      </c>
      <c r="M564" t="n">
        <v>0</v>
      </c>
      <c r="N564" t="n">
        <v>0</v>
      </c>
      <c r="O564" t="n">
        <v>0</v>
      </c>
      <c r="P564" t="n">
        <v>0</v>
      </c>
      <c r="Q564" t="n">
        <v>0</v>
      </c>
      <c r="R564" s="2" t="inlineStr"/>
    </row>
    <row r="565" ht="15" customHeight="1">
      <c r="A565" t="inlineStr">
        <is>
          <t>A 32467-2025</t>
        </is>
      </c>
      <c r="B565" s="1" t="n">
        <v>45838.42111111111</v>
      </c>
      <c r="C565" s="1" t="n">
        <v>45994</v>
      </c>
      <c r="D565" t="inlineStr">
        <is>
          <t>GOTLANDS LÄN</t>
        </is>
      </c>
      <c r="E565" t="inlineStr">
        <is>
          <t>GOTLAND</t>
        </is>
      </c>
      <c r="G565" t="n">
        <v>4.3</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45994</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32379-2025</t>
        </is>
      </c>
      <c r="B567" s="1" t="n">
        <v>45837</v>
      </c>
      <c r="C567" s="1" t="n">
        <v>45994</v>
      </c>
      <c r="D567" t="inlineStr">
        <is>
          <t>GOTLANDS LÄN</t>
        </is>
      </c>
      <c r="E567" t="inlineStr">
        <is>
          <t>GOTLAND</t>
        </is>
      </c>
      <c r="G567" t="n">
        <v>1</v>
      </c>
      <c r="H567" t="n">
        <v>0</v>
      </c>
      <c r="I567" t="n">
        <v>0</v>
      </c>
      <c r="J567" t="n">
        <v>0</v>
      </c>
      <c r="K567" t="n">
        <v>0</v>
      </c>
      <c r="L567" t="n">
        <v>0</v>
      </c>
      <c r="M567" t="n">
        <v>0</v>
      </c>
      <c r="N567" t="n">
        <v>0</v>
      </c>
      <c r="O567" t="n">
        <v>0</v>
      </c>
      <c r="P567" t="n">
        <v>0</v>
      </c>
      <c r="Q567" t="n">
        <v>0</v>
      </c>
      <c r="R567" s="2" t="inlineStr"/>
    </row>
    <row r="568" ht="15" customHeight="1">
      <c r="A568" t="inlineStr">
        <is>
          <t>A 33007-2025</t>
        </is>
      </c>
      <c r="B568" s="1" t="n">
        <v>45840</v>
      </c>
      <c r="C568" s="1" t="n">
        <v>45994</v>
      </c>
      <c r="D568" t="inlineStr">
        <is>
          <t>GOTLANDS LÄN</t>
        </is>
      </c>
      <c r="E568" t="inlineStr">
        <is>
          <t>GOTLAND</t>
        </is>
      </c>
      <c r="G568" t="n">
        <v>4.9</v>
      </c>
      <c r="H568" t="n">
        <v>0</v>
      </c>
      <c r="I568" t="n">
        <v>0</v>
      </c>
      <c r="J568" t="n">
        <v>0</v>
      </c>
      <c r="K568" t="n">
        <v>0</v>
      </c>
      <c r="L568" t="n">
        <v>0</v>
      </c>
      <c r="M568" t="n">
        <v>0</v>
      </c>
      <c r="N568" t="n">
        <v>0</v>
      </c>
      <c r="O568" t="n">
        <v>0</v>
      </c>
      <c r="P568" t="n">
        <v>0</v>
      </c>
      <c r="Q568" t="n">
        <v>0</v>
      </c>
      <c r="R568" s="2" t="inlineStr"/>
    </row>
    <row r="569" ht="15" customHeight="1">
      <c r="A569" t="inlineStr">
        <is>
          <t>A 46836-2025</t>
        </is>
      </c>
      <c r="B569" s="1" t="n">
        <v>45928.31511574074</v>
      </c>
      <c r="C569" s="1" t="n">
        <v>45994</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47637-2025</t>
        </is>
      </c>
      <c r="B570" s="1" t="n">
        <v>45931.49753472222</v>
      </c>
      <c r="C570" s="1" t="n">
        <v>45994</v>
      </c>
      <c r="D570" t="inlineStr">
        <is>
          <t>GOTLANDS LÄN</t>
        </is>
      </c>
      <c r="E570" t="inlineStr">
        <is>
          <t>GOTLAND</t>
        </is>
      </c>
      <c r="G570" t="n">
        <v>1.3</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45994</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35096-2025</t>
        </is>
      </c>
      <c r="B572" s="1" t="n">
        <v>45852.54356481481</v>
      </c>
      <c r="C572" s="1" t="n">
        <v>45994</v>
      </c>
      <c r="D572" t="inlineStr">
        <is>
          <t>GOTLANDS LÄN</t>
        </is>
      </c>
      <c r="E572" t="inlineStr">
        <is>
          <t>GOTLAND</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45994</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35290-2025</t>
        </is>
      </c>
      <c r="B574" s="1" t="n">
        <v>45854.38502314815</v>
      </c>
      <c r="C574" s="1" t="n">
        <v>45994</v>
      </c>
      <c r="D574" t="inlineStr">
        <is>
          <t>GOTLANDS LÄN</t>
        </is>
      </c>
      <c r="E574" t="inlineStr">
        <is>
          <t>GOTLAND</t>
        </is>
      </c>
      <c r="G574" t="n">
        <v>5.4</v>
      </c>
      <c r="H574" t="n">
        <v>0</v>
      </c>
      <c r="I574" t="n">
        <v>0</v>
      </c>
      <c r="J574" t="n">
        <v>0</v>
      </c>
      <c r="K574" t="n">
        <v>0</v>
      </c>
      <c r="L574" t="n">
        <v>0</v>
      </c>
      <c r="M574" t="n">
        <v>0</v>
      </c>
      <c r="N574" t="n">
        <v>0</v>
      </c>
      <c r="O574" t="n">
        <v>0</v>
      </c>
      <c r="P574" t="n">
        <v>0</v>
      </c>
      <c r="Q574" t="n">
        <v>0</v>
      </c>
      <c r="R574" s="2" t="inlineStr"/>
    </row>
    <row r="575" ht="15" customHeight="1">
      <c r="A575" t="inlineStr">
        <is>
          <t>A 30104-2025</t>
        </is>
      </c>
      <c r="B575" s="1" t="n">
        <v>45826.68806712963</v>
      </c>
      <c r="C575" s="1" t="n">
        <v>45994</v>
      </c>
      <c r="D575" t="inlineStr">
        <is>
          <t>GOTLANDS LÄN</t>
        </is>
      </c>
      <c r="E575" t="inlineStr">
        <is>
          <t>GOTLAND</t>
        </is>
      </c>
      <c r="G575" t="n">
        <v>15.4</v>
      </c>
      <c r="H575" t="n">
        <v>0</v>
      </c>
      <c r="I575" t="n">
        <v>0</v>
      </c>
      <c r="J575" t="n">
        <v>0</v>
      </c>
      <c r="K575" t="n">
        <v>0</v>
      </c>
      <c r="L575" t="n">
        <v>0</v>
      </c>
      <c r="M575" t="n">
        <v>0</v>
      </c>
      <c r="N575" t="n">
        <v>0</v>
      </c>
      <c r="O575" t="n">
        <v>0</v>
      </c>
      <c r="P575" t="n">
        <v>0</v>
      </c>
      <c r="Q575" t="n">
        <v>0</v>
      </c>
      <c r="R575" s="2" t="inlineStr"/>
    </row>
    <row r="576" ht="15" customHeight="1">
      <c r="A576" t="inlineStr">
        <is>
          <t>A 32669-2024</t>
        </is>
      </c>
      <c r="B576" s="1" t="n">
        <v>45514</v>
      </c>
      <c r="C576" s="1" t="n">
        <v>45994</v>
      </c>
      <c r="D576" t="inlineStr">
        <is>
          <t>GOTLANDS LÄN</t>
        </is>
      </c>
      <c r="E576" t="inlineStr">
        <is>
          <t>GOTLAND</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35537-2025</t>
        </is>
      </c>
      <c r="B577" s="1" t="n">
        <v>45856</v>
      </c>
      <c r="C577" s="1" t="n">
        <v>45994</v>
      </c>
      <c r="D577" t="inlineStr">
        <is>
          <t>GOTLANDS LÄN</t>
        </is>
      </c>
      <c r="E577" t="inlineStr">
        <is>
          <t>GOTLAND</t>
        </is>
      </c>
      <c r="G577" t="n">
        <v>16.8</v>
      </c>
      <c r="H577" t="n">
        <v>0</v>
      </c>
      <c r="I577" t="n">
        <v>0</v>
      </c>
      <c r="J577" t="n">
        <v>0</v>
      </c>
      <c r="K577" t="n">
        <v>0</v>
      </c>
      <c r="L577" t="n">
        <v>0</v>
      </c>
      <c r="M577" t="n">
        <v>0</v>
      </c>
      <c r="N577" t="n">
        <v>0</v>
      </c>
      <c r="O577" t="n">
        <v>0</v>
      </c>
      <c r="P577" t="n">
        <v>0</v>
      </c>
      <c r="Q577" t="n">
        <v>0</v>
      </c>
      <c r="R577" s="2" t="inlineStr"/>
    </row>
    <row r="578" ht="15" customHeight="1">
      <c r="A578" t="inlineStr">
        <is>
          <t>A 32378-2025</t>
        </is>
      </c>
      <c r="B578" s="1" t="n">
        <v>45837</v>
      </c>
      <c r="C578" s="1" t="n">
        <v>45994</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56799-2025</t>
        </is>
      </c>
      <c r="B579" s="1" t="n">
        <v>45978.43392361111</v>
      </c>
      <c r="C579" s="1" t="n">
        <v>45994</v>
      </c>
      <c r="D579" t="inlineStr">
        <is>
          <t>GOTLANDS LÄN</t>
        </is>
      </c>
      <c r="E579" t="inlineStr">
        <is>
          <t>GOTLAND</t>
        </is>
      </c>
      <c r="G579" t="n">
        <v>1.1</v>
      </c>
      <c r="H579" t="n">
        <v>0</v>
      </c>
      <c r="I579" t="n">
        <v>0</v>
      </c>
      <c r="J579" t="n">
        <v>0</v>
      </c>
      <c r="K579" t="n">
        <v>0</v>
      </c>
      <c r="L579" t="n">
        <v>0</v>
      </c>
      <c r="M579" t="n">
        <v>0</v>
      </c>
      <c r="N579" t="n">
        <v>0</v>
      </c>
      <c r="O579" t="n">
        <v>0</v>
      </c>
      <c r="P579" t="n">
        <v>0</v>
      </c>
      <c r="Q579" t="n">
        <v>0</v>
      </c>
      <c r="R579" s="2" t="inlineStr"/>
    </row>
    <row r="580" ht="15" customHeight="1">
      <c r="A580" t="inlineStr">
        <is>
          <t>A 30488-2025</t>
        </is>
      </c>
      <c r="B580" s="1" t="n">
        <v>45830</v>
      </c>
      <c r="C580" s="1" t="n">
        <v>45994</v>
      </c>
      <c r="D580" t="inlineStr">
        <is>
          <t>GOTLANDS LÄN</t>
        </is>
      </c>
      <c r="E580" t="inlineStr">
        <is>
          <t>GOTLAND</t>
        </is>
      </c>
      <c r="F580" t="inlineStr">
        <is>
          <t>Kyrkan</t>
        </is>
      </c>
      <c r="G580" t="n">
        <v>3.9</v>
      </c>
      <c r="H580" t="n">
        <v>0</v>
      </c>
      <c r="I580" t="n">
        <v>0</v>
      </c>
      <c r="J580" t="n">
        <v>0</v>
      </c>
      <c r="K580" t="n">
        <v>0</v>
      </c>
      <c r="L580" t="n">
        <v>0</v>
      </c>
      <c r="M580" t="n">
        <v>0</v>
      </c>
      <c r="N580" t="n">
        <v>0</v>
      </c>
      <c r="O580" t="n">
        <v>0</v>
      </c>
      <c r="P580" t="n">
        <v>0</v>
      </c>
      <c r="Q580" t="n">
        <v>0</v>
      </c>
      <c r="R580" s="2" t="inlineStr"/>
    </row>
    <row r="581" ht="15" customHeight="1">
      <c r="A581" t="inlineStr">
        <is>
          <t>A 15216-2025</t>
        </is>
      </c>
      <c r="B581" s="1" t="n">
        <v>45744</v>
      </c>
      <c r="C581" s="1" t="n">
        <v>45994</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56688-2025</t>
        </is>
      </c>
      <c r="B582" s="1" t="n">
        <v>45975.84331018518</v>
      </c>
      <c r="C582" s="1" t="n">
        <v>45994</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15001-2025</t>
        </is>
      </c>
      <c r="B583" s="1" t="n">
        <v>45743</v>
      </c>
      <c r="C583" s="1" t="n">
        <v>45994</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43790-2024</t>
        </is>
      </c>
      <c r="B584" s="1" t="n">
        <v>45571</v>
      </c>
      <c r="C584" s="1" t="n">
        <v>45994</v>
      </c>
      <c r="D584" t="inlineStr">
        <is>
          <t>GOTLANDS LÄN</t>
        </is>
      </c>
      <c r="E584" t="inlineStr">
        <is>
          <t>GOTLAND</t>
        </is>
      </c>
      <c r="G584" t="n">
        <v>3.5</v>
      </c>
      <c r="H584" t="n">
        <v>0</v>
      </c>
      <c r="I584" t="n">
        <v>0</v>
      </c>
      <c r="J584" t="n">
        <v>0</v>
      </c>
      <c r="K584" t="n">
        <v>0</v>
      </c>
      <c r="L584" t="n">
        <v>0</v>
      </c>
      <c r="M584" t="n">
        <v>0</v>
      </c>
      <c r="N584" t="n">
        <v>0</v>
      </c>
      <c r="O584" t="n">
        <v>0</v>
      </c>
      <c r="P584" t="n">
        <v>0</v>
      </c>
      <c r="Q584" t="n">
        <v>0</v>
      </c>
      <c r="R584" s="2" t="inlineStr"/>
    </row>
    <row r="585" ht="15" customHeight="1">
      <c r="A585" t="inlineStr">
        <is>
          <t>A 17847-2025</t>
        </is>
      </c>
      <c r="B585" s="1" t="n">
        <v>45758</v>
      </c>
      <c r="C585" s="1" t="n">
        <v>45994</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47147-2025</t>
        </is>
      </c>
      <c r="B586" s="1" t="n">
        <v>45929</v>
      </c>
      <c r="C586" s="1" t="n">
        <v>45994</v>
      </c>
      <c r="D586" t="inlineStr">
        <is>
          <t>GOTLANDS LÄN</t>
        </is>
      </c>
      <c r="E586" t="inlineStr">
        <is>
          <t>GOTLAND</t>
        </is>
      </c>
      <c r="G586" t="n">
        <v>2.3</v>
      </c>
      <c r="H586" t="n">
        <v>0</v>
      </c>
      <c r="I586" t="n">
        <v>0</v>
      </c>
      <c r="J586" t="n">
        <v>0</v>
      </c>
      <c r="K586" t="n">
        <v>0</v>
      </c>
      <c r="L586" t="n">
        <v>0</v>
      </c>
      <c r="M586" t="n">
        <v>0</v>
      </c>
      <c r="N586" t="n">
        <v>0</v>
      </c>
      <c r="O586" t="n">
        <v>0</v>
      </c>
      <c r="P586" t="n">
        <v>0</v>
      </c>
      <c r="Q586" t="n">
        <v>0</v>
      </c>
      <c r="R586" s="2" t="inlineStr"/>
    </row>
    <row r="587" ht="15" customHeight="1">
      <c r="A587" t="inlineStr">
        <is>
          <t>A 36319-2025</t>
        </is>
      </c>
      <c r="B587" s="1" t="n">
        <v>45868</v>
      </c>
      <c r="C587" s="1" t="n">
        <v>45994</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18742-2025</t>
        </is>
      </c>
      <c r="B588" s="1" t="n">
        <v>45763</v>
      </c>
      <c r="C588" s="1" t="n">
        <v>45994</v>
      </c>
      <c r="D588" t="inlineStr">
        <is>
          <t>GOTLANDS LÄN</t>
        </is>
      </c>
      <c r="E588" t="inlineStr">
        <is>
          <t>GOTLAND</t>
        </is>
      </c>
      <c r="G588" t="n">
        <v>3.4</v>
      </c>
      <c r="H588" t="n">
        <v>0</v>
      </c>
      <c r="I588" t="n">
        <v>0</v>
      </c>
      <c r="J588" t="n">
        <v>0</v>
      </c>
      <c r="K588" t="n">
        <v>0</v>
      </c>
      <c r="L588" t="n">
        <v>0</v>
      </c>
      <c r="M588" t="n">
        <v>0</v>
      </c>
      <c r="N588" t="n">
        <v>0</v>
      </c>
      <c r="O588" t="n">
        <v>0</v>
      </c>
      <c r="P588" t="n">
        <v>0</v>
      </c>
      <c r="Q588" t="n">
        <v>0</v>
      </c>
      <c r="R588" s="2" t="inlineStr"/>
    </row>
    <row r="589" ht="15" customHeight="1">
      <c r="A589" t="inlineStr">
        <is>
          <t>A 35129-2025</t>
        </is>
      </c>
      <c r="B589" s="1" t="n">
        <v>45852.63224537037</v>
      </c>
      <c r="C589" s="1" t="n">
        <v>45994</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35550-2025</t>
        </is>
      </c>
      <c r="B590" s="1" t="n">
        <v>45856.49324074074</v>
      </c>
      <c r="C590" s="1" t="n">
        <v>45994</v>
      </c>
      <c r="D590" t="inlineStr">
        <is>
          <t>GOTLANDS LÄN</t>
        </is>
      </c>
      <c r="E590" t="inlineStr">
        <is>
          <t>GOTLAND</t>
        </is>
      </c>
      <c r="G590" t="n">
        <v>3.2</v>
      </c>
      <c r="H590" t="n">
        <v>0</v>
      </c>
      <c r="I590" t="n">
        <v>0</v>
      </c>
      <c r="J590" t="n">
        <v>0</v>
      </c>
      <c r="K590" t="n">
        <v>0</v>
      </c>
      <c r="L590" t="n">
        <v>0</v>
      </c>
      <c r="M590" t="n">
        <v>0</v>
      </c>
      <c r="N590" t="n">
        <v>0</v>
      </c>
      <c r="O590" t="n">
        <v>0</v>
      </c>
      <c r="P590" t="n">
        <v>0</v>
      </c>
      <c r="Q590" t="n">
        <v>0</v>
      </c>
      <c r="R590" s="2" t="inlineStr"/>
    </row>
    <row r="591" ht="15" customHeight="1">
      <c r="A591" t="inlineStr">
        <is>
          <t>A 47578-2025</t>
        </is>
      </c>
      <c r="B591" s="1" t="n">
        <v>45931</v>
      </c>
      <c r="C591" s="1" t="n">
        <v>45994</v>
      </c>
      <c r="D591" t="inlineStr">
        <is>
          <t>GOTLANDS LÄN</t>
        </is>
      </c>
      <c r="E591" t="inlineStr">
        <is>
          <t>GOTLAND</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33011-2025</t>
        </is>
      </c>
      <c r="B592" s="1" t="n">
        <v>45840</v>
      </c>
      <c r="C592" s="1" t="n">
        <v>45994</v>
      </c>
      <c r="D592" t="inlineStr">
        <is>
          <t>GOTLANDS LÄN</t>
        </is>
      </c>
      <c r="E592" t="inlineStr">
        <is>
          <t>GOTLAND</t>
        </is>
      </c>
      <c r="G592" t="n">
        <v>1.7</v>
      </c>
      <c r="H592" t="n">
        <v>0</v>
      </c>
      <c r="I592" t="n">
        <v>0</v>
      </c>
      <c r="J592" t="n">
        <v>0</v>
      </c>
      <c r="K592" t="n">
        <v>0</v>
      </c>
      <c r="L592" t="n">
        <v>0</v>
      </c>
      <c r="M592" t="n">
        <v>0</v>
      </c>
      <c r="N592" t="n">
        <v>0</v>
      </c>
      <c r="O592" t="n">
        <v>0</v>
      </c>
      <c r="P592" t="n">
        <v>0</v>
      </c>
      <c r="Q592" t="n">
        <v>0</v>
      </c>
      <c r="R592" s="2" t="inlineStr"/>
    </row>
    <row r="593" ht="15" customHeight="1">
      <c r="A593" t="inlineStr">
        <is>
          <t>A 49690-2025</t>
        </is>
      </c>
      <c r="B593" s="1" t="n">
        <v>45939.66730324074</v>
      </c>
      <c r="C593" s="1" t="n">
        <v>45994</v>
      </c>
      <c r="D593" t="inlineStr">
        <is>
          <t>GOTLANDS LÄN</t>
        </is>
      </c>
      <c r="E593" t="inlineStr">
        <is>
          <t>GOTLAND</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30489-2025</t>
        </is>
      </c>
      <c r="B594" s="1" t="n">
        <v>45830</v>
      </c>
      <c r="C594" s="1" t="n">
        <v>45994</v>
      </c>
      <c r="D594" t="inlineStr">
        <is>
          <t>GOTLANDS LÄN</t>
        </is>
      </c>
      <c r="E594" t="inlineStr">
        <is>
          <t>GOTLAND</t>
        </is>
      </c>
      <c r="G594" t="n">
        <v>4.6</v>
      </c>
      <c r="H594" t="n">
        <v>0</v>
      </c>
      <c r="I594" t="n">
        <v>0</v>
      </c>
      <c r="J594" t="n">
        <v>0</v>
      </c>
      <c r="K594" t="n">
        <v>0</v>
      </c>
      <c r="L594" t="n">
        <v>0</v>
      </c>
      <c r="M594" t="n">
        <v>0</v>
      </c>
      <c r="N594" t="n">
        <v>0</v>
      </c>
      <c r="O594" t="n">
        <v>0</v>
      </c>
      <c r="P594" t="n">
        <v>0</v>
      </c>
      <c r="Q594" t="n">
        <v>0</v>
      </c>
      <c r="R594" s="2" t="inlineStr"/>
    </row>
    <row r="595" ht="15" customHeight="1">
      <c r="A595" t="inlineStr">
        <is>
          <t>A 21142-2025</t>
        </is>
      </c>
      <c r="B595" s="1" t="n">
        <v>45779</v>
      </c>
      <c r="C595" s="1" t="n">
        <v>45994</v>
      </c>
      <c r="D595" t="inlineStr">
        <is>
          <t>GOTLANDS LÄN</t>
        </is>
      </c>
      <c r="E595" t="inlineStr">
        <is>
          <t>GOTLAND</t>
        </is>
      </c>
      <c r="G595" t="n">
        <v>1.3</v>
      </c>
      <c r="H595" t="n">
        <v>0</v>
      </c>
      <c r="I595" t="n">
        <v>0</v>
      </c>
      <c r="J595" t="n">
        <v>0</v>
      </c>
      <c r="K595" t="n">
        <v>0</v>
      </c>
      <c r="L595" t="n">
        <v>0</v>
      </c>
      <c r="M595" t="n">
        <v>0</v>
      </c>
      <c r="N595" t="n">
        <v>0</v>
      </c>
      <c r="O595" t="n">
        <v>0</v>
      </c>
      <c r="P595" t="n">
        <v>0</v>
      </c>
      <c r="Q595" t="n">
        <v>0</v>
      </c>
      <c r="R595" s="2" t="inlineStr"/>
    </row>
    <row r="596" ht="15" customHeight="1">
      <c r="A596" t="inlineStr">
        <is>
          <t>A 6108-2025</t>
        </is>
      </c>
      <c r="B596" s="1" t="n">
        <v>45698.29880787037</v>
      </c>
      <c r="C596" s="1" t="n">
        <v>45994</v>
      </c>
      <c r="D596" t="inlineStr">
        <is>
          <t>GOTLANDS LÄN</t>
        </is>
      </c>
      <c r="E596" t="inlineStr">
        <is>
          <t>GOTLAND</t>
        </is>
      </c>
      <c r="G596" t="n">
        <v>2.8</v>
      </c>
      <c r="H596" t="n">
        <v>0</v>
      </c>
      <c r="I596" t="n">
        <v>0</v>
      </c>
      <c r="J596" t="n">
        <v>0</v>
      </c>
      <c r="K596" t="n">
        <v>0</v>
      </c>
      <c r="L596" t="n">
        <v>0</v>
      </c>
      <c r="M596" t="n">
        <v>0</v>
      </c>
      <c r="N596" t="n">
        <v>0</v>
      </c>
      <c r="O596" t="n">
        <v>0</v>
      </c>
      <c r="P596" t="n">
        <v>0</v>
      </c>
      <c r="Q596" t="n">
        <v>0</v>
      </c>
      <c r="R596" s="2" t="inlineStr"/>
    </row>
    <row r="597" ht="15" customHeight="1">
      <c r="A597" t="inlineStr">
        <is>
          <t>A 17343-2025</t>
        </is>
      </c>
      <c r="B597" s="1" t="n">
        <v>45756.6687037037</v>
      </c>
      <c r="C597" s="1" t="n">
        <v>45994</v>
      </c>
      <c r="D597" t="inlineStr">
        <is>
          <t>GOTLANDS LÄN</t>
        </is>
      </c>
      <c r="E597" t="inlineStr">
        <is>
          <t>GOTLAND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18938-2025</t>
        </is>
      </c>
      <c r="B598" s="1" t="n">
        <v>45764.49172453704</v>
      </c>
      <c r="C598" s="1" t="n">
        <v>45994</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20307-2025</t>
        </is>
      </c>
      <c r="B599" s="1" t="n">
        <v>45774.95546296296</v>
      </c>
      <c r="C599" s="1" t="n">
        <v>45994</v>
      </c>
      <c r="D599" t="inlineStr">
        <is>
          <t>GOTLANDS LÄN</t>
        </is>
      </c>
      <c r="E599" t="inlineStr">
        <is>
          <t>GOTLAND</t>
        </is>
      </c>
      <c r="G599" t="n">
        <v>6.8</v>
      </c>
      <c r="H599" t="n">
        <v>0</v>
      </c>
      <c r="I599" t="n">
        <v>0</v>
      </c>
      <c r="J599" t="n">
        <v>0</v>
      </c>
      <c r="K599" t="n">
        <v>0</v>
      </c>
      <c r="L599" t="n">
        <v>0</v>
      </c>
      <c r="M599" t="n">
        <v>0</v>
      </c>
      <c r="N599" t="n">
        <v>0</v>
      </c>
      <c r="O599" t="n">
        <v>0</v>
      </c>
      <c r="P599" t="n">
        <v>0</v>
      </c>
      <c r="Q599" t="n">
        <v>0</v>
      </c>
      <c r="R599" s="2" t="inlineStr"/>
    </row>
    <row r="600" ht="15" customHeight="1">
      <c r="A600" t="inlineStr">
        <is>
          <t>A 49724-2025</t>
        </is>
      </c>
      <c r="B600" s="1" t="n">
        <v>45939.83730324074</v>
      </c>
      <c r="C600" s="1" t="n">
        <v>45994</v>
      </c>
      <c r="D600" t="inlineStr">
        <is>
          <t>GOTLANDS LÄN</t>
        </is>
      </c>
      <c r="E600" t="inlineStr">
        <is>
          <t>GOTLAND</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49730-2025</t>
        </is>
      </c>
      <c r="B601" s="1" t="n">
        <v>45939.87613425926</v>
      </c>
      <c r="C601" s="1" t="n">
        <v>45994</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50421-2025</t>
        </is>
      </c>
      <c r="B602" s="1" t="n">
        <v>45944.66049768519</v>
      </c>
      <c r="C602" s="1" t="n">
        <v>45994</v>
      </c>
      <c r="D602" t="inlineStr">
        <is>
          <t>GOTLANDS LÄN</t>
        </is>
      </c>
      <c r="E602" t="inlineStr">
        <is>
          <t>GOTLAND</t>
        </is>
      </c>
      <c r="G602" t="n">
        <v>3.9</v>
      </c>
      <c r="H602" t="n">
        <v>0</v>
      </c>
      <c r="I602" t="n">
        <v>0</v>
      </c>
      <c r="J602" t="n">
        <v>0</v>
      </c>
      <c r="K602" t="n">
        <v>0</v>
      </c>
      <c r="L602" t="n">
        <v>0</v>
      </c>
      <c r="M602" t="n">
        <v>0</v>
      </c>
      <c r="N602" t="n">
        <v>0</v>
      </c>
      <c r="O602" t="n">
        <v>0</v>
      </c>
      <c r="P602" t="n">
        <v>0</v>
      </c>
      <c r="Q602" t="n">
        <v>0</v>
      </c>
      <c r="R602" s="2" t="inlineStr"/>
    </row>
    <row r="603" ht="15" customHeight="1">
      <c r="A603" t="inlineStr">
        <is>
          <t>A 50431-2025</t>
        </is>
      </c>
      <c r="B603" s="1" t="n">
        <v>45944.68453703704</v>
      </c>
      <c r="C603" s="1" t="n">
        <v>45994</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59197-2025</t>
        </is>
      </c>
      <c r="B604" s="1" t="n">
        <v>45988.59846064815</v>
      </c>
      <c r="C604" s="1" t="n">
        <v>45994</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50928-2025</t>
        </is>
      </c>
      <c r="B605" s="1" t="n">
        <v>45946.67896990741</v>
      </c>
      <c r="C605" s="1" t="n">
        <v>45994</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51262-2025</t>
        </is>
      </c>
      <c r="B606" s="1" t="n">
        <v>45949.49872685185</v>
      </c>
      <c r="C606" s="1" t="n">
        <v>45994</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53569-2025</t>
        </is>
      </c>
      <c r="B607" s="1" t="n">
        <v>45960.41155092593</v>
      </c>
      <c r="C607" s="1" t="n">
        <v>45994</v>
      </c>
      <c r="D607" t="inlineStr">
        <is>
          <t>GOTLANDS LÄN</t>
        </is>
      </c>
      <c r="E607" t="inlineStr">
        <is>
          <t>GOTLAND</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53577-2025</t>
        </is>
      </c>
      <c r="B608" s="1" t="n">
        <v>45960.42224537037</v>
      </c>
      <c r="C608" s="1" t="n">
        <v>45994</v>
      </c>
      <c r="D608" t="inlineStr">
        <is>
          <t>GOTLANDS LÄN</t>
        </is>
      </c>
      <c r="E608" t="inlineStr">
        <is>
          <t>GOTLAND</t>
        </is>
      </c>
      <c r="F608" t="inlineStr">
        <is>
          <t>Övriga Aktiebolag</t>
        </is>
      </c>
      <c r="G608" t="n">
        <v>3.3</v>
      </c>
      <c r="H608" t="n">
        <v>0</v>
      </c>
      <c r="I608" t="n">
        <v>0</v>
      </c>
      <c r="J608" t="n">
        <v>0</v>
      </c>
      <c r="K608" t="n">
        <v>0</v>
      </c>
      <c r="L608" t="n">
        <v>0</v>
      </c>
      <c r="M608" t="n">
        <v>0</v>
      </c>
      <c r="N608" t="n">
        <v>0</v>
      </c>
      <c r="O608" t="n">
        <v>0</v>
      </c>
      <c r="P608" t="n">
        <v>0</v>
      </c>
      <c r="Q608" t="n">
        <v>0</v>
      </c>
      <c r="R608" s="2" t="inlineStr"/>
    </row>
    <row r="609">
      <c r="A609" t="inlineStr">
        <is>
          <t>A 52249-2025</t>
        </is>
      </c>
      <c r="B609" s="1" t="n">
        <v>45953.48637731482</v>
      </c>
      <c r="C609" s="1" t="n">
        <v>45994</v>
      </c>
      <c r="D609" t="inlineStr">
        <is>
          <t>GOTLANDS LÄN</t>
        </is>
      </c>
      <c r="E609" t="inlineStr">
        <is>
          <t>GOTLAND</t>
        </is>
      </c>
      <c r="F609" t="inlineStr">
        <is>
          <t>Övriga Aktiebolag</t>
        </is>
      </c>
      <c r="G609" t="n">
        <v>1</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2025-12-03T10:26:01Z</dcterms:created>
  <dcterms:modified xmlns:dcterms="http://purl.org/dc/terms/" xmlns:xsi="http://www.w3.org/2001/XMLSchema-instance" xsi:type="dcterms:W3CDTF">2025-12-03T10:26:02Z</dcterms:modified>
</cp:coreProperties>
</file>