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45968</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45968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45968</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45968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45968</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45968</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45968</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45968</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45968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45968</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45968</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45968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45968</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6913-2025</t>
        </is>
      </c>
      <c r="B25" s="1" t="n">
        <v>45701.43809027778</v>
      </c>
      <c r="C25" s="1" t="n">
        <v>45968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34100-2024</t>
        </is>
      </c>
      <c r="B26" s="1" t="n">
        <v>45523</v>
      </c>
      <c r="C26" s="1" t="n">
        <v>45968</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6153-2024</t>
        </is>
      </c>
      <c r="B27" s="1" t="n">
        <v>45337</v>
      </c>
      <c r="C27" s="1" t="n">
        <v>45968</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45968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45968</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45968</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45968</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45968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45968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45968</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45968</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45968</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45968</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45968</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45968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45968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45968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45968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45968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45968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45968</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45968</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45968</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45968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45968</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14354-2024</t>
        </is>
      </c>
      <c r="B50" s="1" t="n">
        <v>45393</v>
      </c>
      <c r="C50" s="1" t="n">
        <v>45968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45968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22404-2024</t>
        </is>
      </c>
      <c r="B52" s="1" t="n">
        <v>45446</v>
      </c>
      <c r="C52" s="1" t="n">
        <v>45968</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59132-2024</t>
        </is>
      </c>
      <c r="B53" s="1" t="n">
        <v>45637</v>
      </c>
      <c r="C53" s="1" t="n">
        <v>45968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45968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2649-2023</t>
        </is>
      </c>
      <c r="B55" s="1" t="n">
        <v>44943</v>
      </c>
      <c r="C55" s="1" t="n">
        <v>45968</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45968</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45968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45968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45968</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27280-2023</t>
        </is>
      </c>
      <c r="B60" s="1" t="n">
        <v>45096</v>
      </c>
      <c r="C60" s="1" t="n">
        <v>45968</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45248-2024</t>
        </is>
      </c>
      <c r="B61" s="1" t="n">
        <v>45576</v>
      </c>
      <c r="C61" s="1" t="n">
        <v>45968</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34142-2024</t>
        </is>
      </c>
      <c r="B62" s="1" t="n">
        <v>45524.36521990741</v>
      </c>
      <c r="C62" s="1" t="n">
        <v>45968</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18541-2024</t>
        </is>
      </c>
      <c r="B63" s="1" t="n">
        <v>45425</v>
      </c>
      <c r="C63" s="1" t="n">
        <v>45968</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4984-2025</t>
        </is>
      </c>
      <c r="B64" s="1" t="n">
        <v>45691.29891203704</v>
      </c>
      <c r="C64" s="1" t="n">
        <v>45968</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10419-2025</t>
        </is>
      </c>
      <c r="B65" s="1" t="n">
        <v>45720</v>
      </c>
      <c r="C65" s="1" t="n">
        <v>45968</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52223-2025</t>
        </is>
      </c>
      <c r="B66" s="1" t="n">
        <v>45953.44509259259</v>
      </c>
      <c r="C66" s="1" t="n">
        <v>45968</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45968</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45968</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45968</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16823-2024</t>
        </is>
      </c>
      <c r="B70" s="1" t="n">
        <v>45411</v>
      </c>
      <c r="C70" s="1" t="n">
        <v>45968</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65819-2020</t>
        </is>
      </c>
      <c r="B71" s="1" t="n">
        <v>44174</v>
      </c>
      <c r="C71" s="1" t="n">
        <v>45968</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7038-2023</t>
        </is>
      </c>
      <c r="B72" s="1" t="n">
        <v>44968</v>
      </c>
      <c r="C72" s="1" t="n">
        <v>45968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446-2023</t>
        </is>
      </c>
      <c r="B73" s="1" t="n">
        <v>44929</v>
      </c>
      <c r="C73" s="1" t="n">
        <v>45968</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45968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66091-2021</t>
        </is>
      </c>
      <c r="B75" s="1" t="n">
        <v>44517</v>
      </c>
      <c r="C75" s="1" t="n">
        <v>45968</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16375-2025</t>
        </is>
      </c>
      <c r="B76" s="1" t="n">
        <v>45751.41064814815</v>
      </c>
      <c r="C76" s="1" t="n">
        <v>45968</v>
      </c>
      <c r="D76" t="inlineStr">
        <is>
          <t>GOTLANDS LÄN</t>
        </is>
      </c>
      <c r="E76" t="inlineStr">
        <is>
          <t>GOTLAND</t>
        </is>
      </c>
      <c r="G76" t="n">
        <v>1.9</v>
      </c>
      <c r="H76" t="n">
        <v>3</v>
      </c>
      <c r="I76" t="n">
        <v>3</v>
      </c>
      <c r="J76" t="n">
        <v>1</v>
      </c>
      <c r="K76" t="n">
        <v>0</v>
      </c>
      <c r="L76" t="n">
        <v>1</v>
      </c>
      <c r="M76" t="n">
        <v>0</v>
      </c>
      <c r="N76" t="n">
        <v>0</v>
      </c>
      <c r="O76" t="n">
        <v>2</v>
      </c>
      <c r="P76" t="n">
        <v>1</v>
      </c>
      <c r="Q76" t="n">
        <v>5</v>
      </c>
      <c r="R76" s="2" t="inlineStr">
        <is>
          <t>Ask
Spillkråka
Blåmossa
Nästrot
Tvåblad</t>
        </is>
      </c>
      <c r="S76">
        <f>HYPERLINK("https://klasma.github.io/Logging_0980/artfynd/A 16375-2025 artfynd.xlsx", "A 16375-2025")</f>
        <v/>
      </c>
      <c r="T76">
        <f>HYPERLINK("https://klasma.github.io/Logging_0980/kartor/A 16375-2025 karta.png", "A 16375-2025")</f>
        <v/>
      </c>
      <c r="V76">
        <f>HYPERLINK("https://klasma.github.io/Logging_0980/klagomål/A 16375-2025 FSC-klagomål.docx", "A 16375-2025")</f>
        <v/>
      </c>
      <c r="W76">
        <f>HYPERLINK("https://klasma.github.io/Logging_0980/klagomålsmail/A 16375-2025 FSC-klagomål mail.docx", "A 16375-2025")</f>
        <v/>
      </c>
      <c r="X76">
        <f>HYPERLINK("https://klasma.github.io/Logging_0980/tillsyn/A 16375-2025 tillsynsbegäran.docx", "A 16375-2025")</f>
        <v/>
      </c>
      <c r="Y76">
        <f>HYPERLINK("https://klasma.github.io/Logging_0980/tillsynsmail/A 16375-2025 tillsynsbegäran mail.docx", "A 16375-2025")</f>
        <v/>
      </c>
      <c r="Z76">
        <f>HYPERLINK("https://klasma.github.io/Logging_0980/fåglar/A 16375-2025 prioriterade fågelarter.docx", "A 16375-2025")</f>
        <v/>
      </c>
    </row>
    <row r="77" ht="15" customHeight="1">
      <c r="A77" t="inlineStr">
        <is>
          <t>A 42936-2024</t>
        </is>
      </c>
      <c r="B77" s="1" t="n">
        <v>45567</v>
      </c>
      <c r="C77" s="1" t="n">
        <v>45968</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32326-2024</t>
        </is>
      </c>
      <c r="B78" s="1" t="n">
        <v>45512</v>
      </c>
      <c r="C78" s="1" t="n">
        <v>45968</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54055-2022</t>
        </is>
      </c>
      <c r="B79" s="1" t="n">
        <v>44881</v>
      </c>
      <c r="C79" s="1" t="n">
        <v>45968</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35293-2025</t>
        </is>
      </c>
      <c r="B80" s="1" t="n">
        <v>45854.39438657407</v>
      </c>
      <c r="C80" s="1" t="n">
        <v>45968</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39425-2023</t>
        </is>
      </c>
      <c r="B81" s="1" t="n">
        <v>45166</v>
      </c>
      <c r="C81" s="1" t="n">
        <v>45968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44944-2022</t>
        </is>
      </c>
      <c r="B82" s="1" t="n">
        <v>44841</v>
      </c>
      <c r="C82" s="1" t="n">
        <v>45968</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2213-2023</t>
        </is>
      </c>
      <c r="B83" s="1" t="n">
        <v>44942</v>
      </c>
      <c r="C83" s="1" t="n">
        <v>45968</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29331-2021</t>
        </is>
      </c>
      <c r="B84" s="1" t="n">
        <v>44361</v>
      </c>
      <c r="C84" s="1" t="n">
        <v>45968</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56717-2024</t>
        </is>
      </c>
      <c r="B85" s="1" t="n">
        <v>45628.3166550926</v>
      </c>
      <c r="C85" s="1" t="n">
        <v>45968</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54523-2023</t>
        </is>
      </c>
      <c r="B86" s="1" t="n">
        <v>45233</v>
      </c>
      <c r="C86" s="1" t="n">
        <v>45968</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20833-2024</t>
        </is>
      </c>
      <c r="B87" s="1" t="n">
        <v>45439</v>
      </c>
      <c r="C87" s="1" t="n">
        <v>45968</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2485-2025</t>
        </is>
      </c>
      <c r="B88" s="1" t="n">
        <v>45673</v>
      </c>
      <c r="C88" s="1" t="n">
        <v>45968</v>
      </c>
      <c r="D88" t="inlineStr">
        <is>
          <t>GOTLANDS LÄN</t>
        </is>
      </c>
      <c r="E88" t="inlineStr">
        <is>
          <t>GOTLAND</t>
        </is>
      </c>
      <c r="G88" t="n">
        <v>5</v>
      </c>
      <c r="H88" t="n">
        <v>2</v>
      </c>
      <c r="I88" t="n">
        <v>2</v>
      </c>
      <c r="J88" t="n">
        <v>0</v>
      </c>
      <c r="K88" t="n">
        <v>2</v>
      </c>
      <c r="L88" t="n">
        <v>0</v>
      </c>
      <c r="M88" t="n">
        <v>0</v>
      </c>
      <c r="N88" t="n">
        <v>0</v>
      </c>
      <c r="O88" t="n">
        <v>2</v>
      </c>
      <c r="P88" t="n">
        <v>2</v>
      </c>
      <c r="Q88" t="n">
        <v>4</v>
      </c>
      <c r="R88" s="2" t="inlineStr">
        <is>
          <t>Gotlandsmåra
Skogskorn
Nästrot
Skogsknipprot</t>
        </is>
      </c>
      <c r="S88">
        <f>HYPERLINK("https://klasma.github.io/Logging_0980/artfynd/A 2485-2025 artfynd.xlsx", "A 2485-2025")</f>
        <v/>
      </c>
      <c r="T88">
        <f>HYPERLINK("https://klasma.github.io/Logging_0980/kartor/A 2485-2025 karta.png", "A 2485-2025")</f>
        <v/>
      </c>
      <c r="V88">
        <f>HYPERLINK("https://klasma.github.io/Logging_0980/klagomål/A 2485-2025 FSC-klagomål.docx", "A 2485-2025")</f>
        <v/>
      </c>
      <c r="W88">
        <f>HYPERLINK("https://klasma.github.io/Logging_0980/klagomålsmail/A 2485-2025 FSC-klagomål mail.docx", "A 2485-2025")</f>
        <v/>
      </c>
      <c r="X88">
        <f>HYPERLINK("https://klasma.github.io/Logging_0980/tillsyn/A 2485-2025 tillsynsbegäran.docx", "A 2485-2025")</f>
        <v/>
      </c>
      <c r="Y88">
        <f>HYPERLINK("https://klasma.github.io/Logging_0980/tillsynsmail/A 2485-2025 tillsynsbegäran mail.docx", "A 2485-2025")</f>
        <v/>
      </c>
    </row>
    <row r="89" ht="15" customHeight="1">
      <c r="A89" t="inlineStr">
        <is>
          <t>A 8265-2023</t>
        </is>
      </c>
      <c r="B89" s="1" t="n">
        <v>44974</v>
      </c>
      <c r="C89" s="1" t="n">
        <v>45968</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6159-2023</t>
        </is>
      </c>
      <c r="B90" s="1" t="n">
        <v>44964</v>
      </c>
      <c r="C90" s="1" t="n">
        <v>45968</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45968</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45968</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44933-2022</t>
        </is>
      </c>
      <c r="B93" s="1" t="n">
        <v>44841</v>
      </c>
      <c r="C93" s="1" t="n">
        <v>45968</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40099-2025</t>
        </is>
      </c>
      <c r="B94" s="1" t="n">
        <v>45894.48462962963</v>
      </c>
      <c r="C94" s="1" t="n">
        <v>45968</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64378-2020</t>
        </is>
      </c>
      <c r="B95" s="1" t="n">
        <v>44168</v>
      </c>
      <c r="C95" s="1" t="n">
        <v>45968</v>
      </c>
      <c r="D95" t="inlineStr">
        <is>
          <t>GOTLANDS LÄN</t>
        </is>
      </c>
      <c r="E95" t="inlineStr">
        <is>
          <t>GOTLAND</t>
        </is>
      </c>
      <c r="G95" t="n">
        <v>2.1</v>
      </c>
      <c r="H95" t="n">
        <v>0</v>
      </c>
      <c r="I95" t="n">
        <v>1</v>
      </c>
      <c r="J95" t="n">
        <v>0</v>
      </c>
      <c r="K95" t="n">
        <v>2</v>
      </c>
      <c r="L95" t="n">
        <v>1</v>
      </c>
      <c r="M95" t="n">
        <v>0</v>
      </c>
      <c r="N95" t="n">
        <v>0</v>
      </c>
      <c r="O95" t="n">
        <v>3</v>
      </c>
      <c r="P95" t="n">
        <v>3</v>
      </c>
      <c r="Q95" t="n">
        <v>4</v>
      </c>
      <c r="R95" s="2" t="inlineStr">
        <is>
          <t>Sienamusseron
Bitter taggsvamp
Duvspindling
Fjällig taggsvamp s.str.</t>
        </is>
      </c>
      <c r="S95">
        <f>HYPERLINK("https://klasma.github.io/Logging_0980/artfynd/A 64378-2020 artfynd.xlsx", "A 64378-2020")</f>
        <v/>
      </c>
      <c r="T95">
        <f>HYPERLINK("https://klasma.github.io/Logging_0980/kartor/A 64378-2020 karta.png", "A 64378-2020")</f>
        <v/>
      </c>
      <c r="V95">
        <f>HYPERLINK("https://klasma.github.io/Logging_0980/klagomål/A 64378-2020 FSC-klagomål.docx", "A 64378-2020")</f>
        <v/>
      </c>
      <c r="W95">
        <f>HYPERLINK("https://klasma.github.io/Logging_0980/klagomålsmail/A 64378-2020 FSC-klagomål mail.docx", "A 64378-2020")</f>
        <v/>
      </c>
      <c r="X95">
        <f>HYPERLINK("https://klasma.github.io/Logging_0980/tillsyn/A 64378-2020 tillsynsbegäran.docx", "A 64378-2020")</f>
        <v/>
      </c>
      <c r="Y95">
        <f>HYPERLINK("https://klasma.github.io/Logging_0980/tillsynsmail/A 64378-2020 tillsynsbegäran mail.docx", "A 64378-2020")</f>
        <v/>
      </c>
    </row>
    <row r="96" ht="15" customHeight="1">
      <c r="A96" t="inlineStr">
        <is>
          <t>A 1971-2023</t>
        </is>
      </c>
      <c r="B96" s="1" t="n">
        <v>44939</v>
      </c>
      <c r="C96" s="1" t="n">
        <v>45968</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52309-2025</t>
        </is>
      </c>
      <c r="B97" s="1" t="n">
        <v>45953.64381944444</v>
      </c>
      <c r="C97" s="1" t="n">
        <v>45968</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186-2023</t>
        </is>
      </c>
      <c r="B98" s="1" t="n">
        <v>44928</v>
      </c>
      <c r="C98" s="1" t="n">
        <v>45968</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53584-2025</t>
        </is>
      </c>
      <c r="B99" s="1" t="n">
        <v>45960.43130787037</v>
      </c>
      <c r="C99" s="1" t="n">
        <v>45968</v>
      </c>
      <c r="D99" t="inlineStr">
        <is>
          <t>GOTLANDS LÄN</t>
        </is>
      </c>
      <c r="E99" t="inlineStr">
        <is>
          <t>GOTLAND</t>
        </is>
      </c>
      <c r="F99" t="inlineStr">
        <is>
          <t>Övriga Aktiebolag</t>
        </is>
      </c>
      <c r="G99" t="n">
        <v>18.1</v>
      </c>
      <c r="H99" t="n">
        <v>1</v>
      </c>
      <c r="I99" t="n">
        <v>0</v>
      </c>
      <c r="J99" t="n">
        <v>4</v>
      </c>
      <c r="K99" t="n">
        <v>0</v>
      </c>
      <c r="L99" t="n">
        <v>0</v>
      </c>
      <c r="M99" t="n">
        <v>0</v>
      </c>
      <c r="N99" t="n">
        <v>0</v>
      </c>
      <c r="O99" t="n">
        <v>4</v>
      </c>
      <c r="P99" t="n">
        <v>0</v>
      </c>
      <c r="Q99" t="n">
        <v>4</v>
      </c>
      <c r="R99" s="2" t="inlineStr">
        <is>
          <t>Apollofjäril
Jordtistel
Klasefibbla
Majviva</t>
        </is>
      </c>
      <c r="S99">
        <f>HYPERLINK("https://klasma.github.io/Logging_0980/artfynd/A 53584-2025 artfynd.xlsx", "A 53584-2025")</f>
        <v/>
      </c>
      <c r="T99">
        <f>HYPERLINK("https://klasma.github.io/Logging_0980/kartor/A 53584-2025 karta.png", "A 53584-2025")</f>
        <v/>
      </c>
      <c r="V99">
        <f>HYPERLINK("https://klasma.github.io/Logging_0980/klagomål/A 53584-2025 FSC-klagomål.docx", "A 53584-2025")</f>
        <v/>
      </c>
      <c r="W99">
        <f>HYPERLINK("https://klasma.github.io/Logging_0980/klagomålsmail/A 53584-2025 FSC-klagomål mail.docx", "A 53584-2025")</f>
        <v/>
      </c>
      <c r="X99">
        <f>HYPERLINK("https://klasma.github.io/Logging_0980/tillsyn/A 53584-2025 tillsynsbegäran.docx", "A 53584-2025")</f>
        <v/>
      </c>
      <c r="Y99">
        <f>HYPERLINK("https://klasma.github.io/Logging_0980/tillsynsmail/A 53584-2025 tillsynsbegäran mail.docx", "A 53584-2025")</f>
        <v/>
      </c>
    </row>
    <row r="100" ht="15" customHeight="1">
      <c r="A100" t="inlineStr">
        <is>
          <t>A 65537-2020</t>
        </is>
      </c>
      <c r="B100" s="1" t="n">
        <v>44173</v>
      </c>
      <c r="C100" s="1" t="n">
        <v>45968</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45968</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45968</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45968</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45968</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43013-2022</t>
        </is>
      </c>
      <c r="B105" s="1" t="n">
        <v>44833</v>
      </c>
      <c r="C105" s="1" t="n">
        <v>45968</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32718-2021</t>
        </is>
      </c>
      <c r="B106" s="1" t="n">
        <v>44375</v>
      </c>
      <c r="C106" s="1" t="n">
        <v>45968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45968</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53552-2021</t>
        </is>
      </c>
      <c r="B108" s="1" t="n">
        <v>44468</v>
      </c>
      <c r="C108" s="1" t="n">
        <v>45968</v>
      </c>
      <c r="D108" t="inlineStr">
        <is>
          <t>GOTLANDS LÄN</t>
        </is>
      </c>
      <c r="E108" t="inlineStr">
        <is>
          <t>GOTLAND</t>
        </is>
      </c>
      <c r="G108" t="n">
        <v>6.2</v>
      </c>
      <c r="H108" t="n">
        <v>2</v>
      </c>
      <c r="I108" t="n">
        <v>0</v>
      </c>
      <c r="J108" t="n">
        <v>1</v>
      </c>
      <c r="K108" t="n">
        <v>0</v>
      </c>
      <c r="L108" t="n">
        <v>0</v>
      </c>
      <c r="M108" t="n">
        <v>0</v>
      </c>
      <c r="N108" t="n">
        <v>0</v>
      </c>
      <c r="O108" t="n">
        <v>1</v>
      </c>
      <c r="P108" t="n">
        <v>0</v>
      </c>
      <c r="Q108" t="n">
        <v>3</v>
      </c>
      <c r="R108" s="2" t="inlineStr">
        <is>
          <t>Bredbrämad bastardsvärmare
Grönvit nattviol
Gullviva</t>
        </is>
      </c>
      <c r="S108">
        <f>HYPERLINK("https://klasma.github.io/Logging_0980/artfynd/A 53552-2021 artfynd.xlsx", "A 53552-2021")</f>
        <v/>
      </c>
      <c r="T108">
        <f>HYPERLINK("https://klasma.github.io/Logging_0980/kartor/A 53552-2021 karta.png", "A 53552-2021")</f>
        <v/>
      </c>
      <c r="V108">
        <f>HYPERLINK("https://klasma.github.io/Logging_0980/klagomål/A 53552-2021 FSC-klagomål.docx", "A 53552-2021")</f>
        <v/>
      </c>
      <c r="W108">
        <f>HYPERLINK("https://klasma.github.io/Logging_0980/klagomålsmail/A 53552-2021 FSC-klagomål mail.docx", "A 53552-2021")</f>
        <v/>
      </c>
      <c r="X108">
        <f>HYPERLINK("https://klasma.github.io/Logging_0980/tillsyn/A 53552-2021 tillsynsbegäran.docx", "A 53552-2021")</f>
        <v/>
      </c>
      <c r="Y108">
        <f>HYPERLINK("https://klasma.github.io/Logging_0980/tillsynsmail/A 53552-2021 tillsynsbegäran mail.docx", "A 53552-2021")</f>
        <v/>
      </c>
    </row>
    <row r="109" ht="15" customHeight="1">
      <c r="A109" t="inlineStr">
        <is>
          <t>A 12315-2024</t>
        </is>
      </c>
      <c r="B109" s="1" t="n">
        <v>45378.6434837963</v>
      </c>
      <c r="C109" s="1" t="n">
        <v>45968</v>
      </c>
      <c r="D109" t="inlineStr">
        <is>
          <t>GOTLANDS LÄN</t>
        </is>
      </c>
      <c r="E109" t="inlineStr">
        <is>
          <t>GOTLAND</t>
        </is>
      </c>
      <c r="G109" t="n">
        <v>6</v>
      </c>
      <c r="H109" t="n">
        <v>3</v>
      </c>
      <c r="I109" t="n">
        <v>1</v>
      </c>
      <c r="J109" t="n">
        <v>1</v>
      </c>
      <c r="K109" t="n">
        <v>0</v>
      </c>
      <c r="L109" t="n">
        <v>0</v>
      </c>
      <c r="M109" t="n">
        <v>0</v>
      </c>
      <c r="N109" t="n">
        <v>0</v>
      </c>
      <c r="O109" t="n">
        <v>1</v>
      </c>
      <c r="P109" t="n">
        <v>0</v>
      </c>
      <c r="Q109" t="n">
        <v>3</v>
      </c>
      <c r="R109" s="2" t="inlineStr">
        <is>
          <t>Buskskvätta
Tvåblad
Fläcknycklar</t>
        </is>
      </c>
      <c r="S109">
        <f>HYPERLINK("https://klasma.github.io/Logging_0980/artfynd/A 12315-2024 artfynd.xlsx", "A 12315-2024")</f>
        <v/>
      </c>
      <c r="T109">
        <f>HYPERLINK("https://klasma.github.io/Logging_0980/kartor/A 12315-2024 karta.png", "A 12315-2024")</f>
        <v/>
      </c>
      <c r="V109">
        <f>HYPERLINK("https://klasma.github.io/Logging_0980/klagomål/A 12315-2024 FSC-klagomål.docx", "A 12315-2024")</f>
        <v/>
      </c>
      <c r="W109">
        <f>HYPERLINK("https://klasma.github.io/Logging_0980/klagomålsmail/A 12315-2024 FSC-klagomål mail.docx", "A 12315-2024")</f>
        <v/>
      </c>
      <c r="X109">
        <f>HYPERLINK("https://klasma.github.io/Logging_0980/tillsyn/A 12315-2024 tillsynsbegäran.docx", "A 12315-2024")</f>
        <v/>
      </c>
      <c r="Y109">
        <f>HYPERLINK("https://klasma.github.io/Logging_0980/tillsynsmail/A 12315-2024 tillsynsbegäran mail.docx", "A 12315-2024")</f>
        <v/>
      </c>
      <c r="Z109">
        <f>HYPERLINK("https://klasma.github.io/Logging_0980/fåglar/A 12315-2024 prioriterade fågelarter.docx", "A 12315-2024")</f>
        <v/>
      </c>
    </row>
    <row r="110" ht="15" customHeight="1">
      <c r="A110" t="inlineStr">
        <is>
          <t>A 48126-2022</t>
        </is>
      </c>
      <c r="B110" s="1" t="n">
        <v>44857</v>
      </c>
      <c r="C110" s="1" t="n">
        <v>45968</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30490-2025</t>
        </is>
      </c>
      <c r="B111" s="1" t="n">
        <v>45830</v>
      </c>
      <c r="C111" s="1" t="n">
        <v>45968</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55334-2024</t>
        </is>
      </c>
      <c r="B112" s="1" t="n">
        <v>45621</v>
      </c>
      <c r="C112" s="1" t="n">
        <v>45968</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20831-2024</t>
        </is>
      </c>
      <c r="B113" s="1" t="n">
        <v>45439</v>
      </c>
      <c r="C113" s="1" t="n">
        <v>45968</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13499-2022</t>
        </is>
      </c>
      <c r="B114" s="1" t="n">
        <v>44647.79203703703</v>
      </c>
      <c r="C114" s="1" t="n">
        <v>45968</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5235-2025</t>
        </is>
      </c>
      <c r="B115" s="1" t="n">
        <v>45692.26797453704</v>
      </c>
      <c r="C115" s="1" t="n">
        <v>45968</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17975-2024</t>
        </is>
      </c>
      <c r="B116" s="1" t="n">
        <v>45419.85546296297</v>
      </c>
      <c r="C116" s="1" t="n">
        <v>45968</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62326-2020</t>
        </is>
      </c>
      <c r="B117" s="1" t="n">
        <v>44160</v>
      </c>
      <c r="C117" s="1" t="n">
        <v>45968</v>
      </c>
      <c r="D117" t="inlineStr">
        <is>
          <t>GOTLANDS LÄN</t>
        </is>
      </c>
      <c r="E117" t="inlineStr">
        <is>
          <t>GOTLAND</t>
        </is>
      </c>
      <c r="G117" t="n">
        <v>7.4</v>
      </c>
      <c r="H117" t="n">
        <v>1</v>
      </c>
      <c r="I117" t="n">
        <v>3</v>
      </c>
      <c r="J117" t="n">
        <v>0</v>
      </c>
      <c r="K117" t="n">
        <v>0</v>
      </c>
      <c r="L117" t="n">
        <v>0</v>
      </c>
      <c r="M117" t="n">
        <v>0</v>
      </c>
      <c r="N117" t="n">
        <v>0</v>
      </c>
      <c r="O117" t="n">
        <v>0</v>
      </c>
      <c r="P117" t="n">
        <v>0</v>
      </c>
      <c r="Q117" t="n">
        <v>3</v>
      </c>
      <c r="R117" s="2" t="inlineStr">
        <is>
          <t>Anisspindling
Blåmossa
Skogsknipprot</t>
        </is>
      </c>
      <c r="S117">
        <f>HYPERLINK("https://klasma.github.io/Logging_0980/artfynd/A 62326-2020 artfynd.xlsx", "A 62326-2020")</f>
        <v/>
      </c>
      <c r="T117">
        <f>HYPERLINK("https://klasma.github.io/Logging_0980/kartor/A 62326-2020 karta.png", "A 62326-2020")</f>
        <v/>
      </c>
      <c r="V117">
        <f>HYPERLINK("https://klasma.github.io/Logging_0980/klagomål/A 62326-2020 FSC-klagomål.docx", "A 62326-2020")</f>
        <v/>
      </c>
      <c r="W117">
        <f>HYPERLINK("https://klasma.github.io/Logging_0980/klagomålsmail/A 62326-2020 FSC-klagomål mail.docx", "A 62326-2020")</f>
        <v/>
      </c>
      <c r="X117">
        <f>HYPERLINK("https://klasma.github.io/Logging_0980/tillsyn/A 62326-2020 tillsynsbegäran.docx", "A 62326-2020")</f>
        <v/>
      </c>
      <c r="Y117">
        <f>HYPERLINK("https://klasma.github.io/Logging_0980/tillsynsmail/A 62326-2020 tillsynsbegäran mail.docx", "A 62326-2020")</f>
        <v/>
      </c>
    </row>
    <row r="118" ht="15" customHeight="1">
      <c r="A118" t="inlineStr">
        <is>
          <t>A 49709-2025</t>
        </is>
      </c>
      <c r="B118" s="1" t="n">
        <v>45939.68228009259</v>
      </c>
      <c r="C118" s="1" t="n">
        <v>45968</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45968</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29870-2021</t>
        </is>
      </c>
      <c r="B120" s="1" t="n">
        <v>44362</v>
      </c>
      <c r="C120" s="1" t="n">
        <v>45968</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45968</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45968</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45968</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45968</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45968</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60665-2021</t>
        </is>
      </c>
      <c r="B126" s="1" t="n">
        <v>44496</v>
      </c>
      <c r="C126" s="1" t="n">
        <v>45968</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58701-2020</t>
        </is>
      </c>
      <c r="B127" s="1" t="n">
        <v>44146</v>
      </c>
      <c r="C127" s="1" t="n">
        <v>45968</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55649-2024</t>
        </is>
      </c>
      <c r="B128" s="1" t="n">
        <v>45622.63053240741</v>
      </c>
      <c r="C128" s="1" t="n">
        <v>45968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26077-2024</t>
        </is>
      </c>
      <c r="B129" s="1" t="n">
        <v>45467</v>
      </c>
      <c r="C129" s="1" t="n">
        <v>45968</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7070-2022</t>
        </is>
      </c>
      <c r="B130" s="1" t="n">
        <v>44603</v>
      </c>
      <c r="C130" s="1" t="n">
        <v>45968</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64263-2020</t>
        </is>
      </c>
      <c r="B131" s="1" t="n">
        <v>44168</v>
      </c>
      <c r="C131" s="1" t="n">
        <v>45968</v>
      </c>
      <c r="D131" t="inlineStr">
        <is>
          <t>GOTLANDS LÄN</t>
        </is>
      </c>
      <c r="E131" t="inlineStr">
        <is>
          <t>GOTLAND</t>
        </is>
      </c>
      <c r="G131" t="n">
        <v>10.9</v>
      </c>
      <c r="H131" t="n">
        <v>1</v>
      </c>
      <c r="I131" t="n">
        <v>0</v>
      </c>
      <c r="J131" t="n">
        <v>2</v>
      </c>
      <c r="K131" t="n">
        <v>0</v>
      </c>
      <c r="L131" t="n">
        <v>0</v>
      </c>
      <c r="M131" t="n">
        <v>0</v>
      </c>
      <c r="N131" t="n">
        <v>0</v>
      </c>
      <c r="O131" t="n">
        <v>2</v>
      </c>
      <c r="P131" t="n">
        <v>0</v>
      </c>
      <c r="Q131" t="n">
        <v>2</v>
      </c>
      <c r="R131" s="2" t="inlineStr">
        <is>
          <t>Mindre hackspett
Ullticka</t>
        </is>
      </c>
      <c r="S131">
        <f>HYPERLINK("https://klasma.github.io/Logging_0980/artfynd/A 64263-2020 artfynd.xlsx", "A 64263-2020")</f>
        <v/>
      </c>
      <c r="T131">
        <f>HYPERLINK("https://klasma.github.io/Logging_0980/kartor/A 64263-2020 karta.png", "A 64263-2020")</f>
        <v/>
      </c>
      <c r="V131">
        <f>HYPERLINK("https://klasma.github.io/Logging_0980/klagomål/A 64263-2020 FSC-klagomål.docx", "A 64263-2020")</f>
        <v/>
      </c>
      <c r="W131">
        <f>HYPERLINK("https://klasma.github.io/Logging_0980/klagomålsmail/A 64263-2020 FSC-klagomål mail.docx", "A 64263-2020")</f>
        <v/>
      </c>
      <c r="X131">
        <f>HYPERLINK("https://klasma.github.io/Logging_0980/tillsyn/A 64263-2020 tillsynsbegäran.docx", "A 64263-2020")</f>
        <v/>
      </c>
      <c r="Y131">
        <f>HYPERLINK("https://klasma.github.io/Logging_0980/tillsynsmail/A 64263-2020 tillsynsbegäran mail.docx", "A 64263-2020")</f>
        <v/>
      </c>
      <c r="Z131">
        <f>HYPERLINK("https://klasma.github.io/Logging_0980/fåglar/A 64263-2020 prioriterade fågelarter.docx", "A 64263-2020")</f>
        <v/>
      </c>
    </row>
    <row r="132" ht="15" customHeight="1">
      <c r="A132" t="inlineStr">
        <is>
          <t>A 12914-2025</t>
        </is>
      </c>
      <c r="B132" s="1" t="n">
        <v>45733</v>
      </c>
      <c r="C132" s="1" t="n">
        <v>45968</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43219-2023</t>
        </is>
      </c>
      <c r="B133" s="1" t="n">
        <v>45183</v>
      </c>
      <c r="C133" s="1" t="n">
        <v>45968</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54357-2024</t>
        </is>
      </c>
      <c r="B134" s="1" t="n">
        <v>45617.40662037037</v>
      </c>
      <c r="C134" s="1" t="n">
        <v>45968</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28276-2024</t>
        </is>
      </c>
      <c r="B135" s="1" t="n">
        <v>45477</v>
      </c>
      <c r="C135" s="1" t="n">
        <v>45968</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20838-2024</t>
        </is>
      </c>
      <c r="B136" s="1" t="n">
        <v>45439</v>
      </c>
      <c r="C136" s="1" t="n">
        <v>45968</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21879-2025</t>
        </is>
      </c>
      <c r="B137" s="1" t="n">
        <v>45784.40533564815</v>
      </c>
      <c r="C137" s="1" t="n">
        <v>45968</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52245-2025</t>
        </is>
      </c>
      <c r="B138" s="1" t="n">
        <v>45953.47115740741</v>
      </c>
      <c r="C138" s="1" t="n">
        <v>45968</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45968</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45968</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45968</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44308-2021</t>
        </is>
      </c>
      <c r="B143" s="1" t="n">
        <v>44434</v>
      </c>
      <c r="C143" s="1" t="n">
        <v>45968</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45968</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1477-2024</t>
        </is>
      </c>
      <c r="B145" s="1" t="n">
        <v>45305.37987268518</v>
      </c>
      <c r="C145" s="1" t="n">
        <v>45968</v>
      </c>
      <c r="D145" t="inlineStr">
        <is>
          <t>GOTLANDS LÄN</t>
        </is>
      </c>
      <c r="E145" t="inlineStr">
        <is>
          <t>GOTLAND</t>
        </is>
      </c>
      <c r="G145" t="n">
        <v>6.9</v>
      </c>
      <c r="H145" t="n">
        <v>0</v>
      </c>
      <c r="I145" t="n">
        <v>0</v>
      </c>
      <c r="J145" t="n">
        <v>1</v>
      </c>
      <c r="K145" t="n">
        <v>0</v>
      </c>
      <c r="L145" t="n">
        <v>0</v>
      </c>
      <c r="M145" t="n">
        <v>0</v>
      </c>
      <c r="N145" t="n">
        <v>0</v>
      </c>
      <c r="O145" t="n">
        <v>1</v>
      </c>
      <c r="P145" t="n">
        <v>0</v>
      </c>
      <c r="Q145" t="n">
        <v>1</v>
      </c>
      <c r="R145" s="2" t="inlineStr">
        <is>
          <t>Igelkott</t>
        </is>
      </c>
      <c r="S145">
        <f>HYPERLINK("https://klasma.github.io/Logging_0980/artfynd/A 1477-2024 artfynd.xlsx", "A 1477-2024")</f>
        <v/>
      </c>
      <c r="T145">
        <f>HYPERLINK("https://klasma.github.io/Logging_0980/kartor/A 1477-2024 karta.png", "A 1477-2024")</f>
        <v/>
      </c>
      <c r="V145">
        <f>HYPERLINK("https://klasma.github.io/Logging_0980/klagomål/A 1477-2024 FSC-klagomål.docx", "A 1477-2024")</f>
        <v/>
      </c>
      <c r="W145">
        <f>HYPERLINK("https://klasma.github.io/Logging_0980/klagomålsmail/A 1477-2024 FSC-klagomål mail.docx", "A 1477-2024")</f>
        <v/>
      </c>
      <c r="X145">
        <f>HYPERLINK("https://klasma.github.io/Logging_0980/tillsyn/A 1477-2024 tillsynsbegäran.docx", "A 1477-2024")</f>
        <v/>
      </c>
      <c r="Y145">
        <f>HYPERLINK("https://klasma.github.io/Logging_0980/tillsynsmail/A 1477-2024 tillsynsbegäran mail.docx", "A 1477-2024")</f>
        <v/>
      </c>
    </row>
    <row r="146" ht="15" customHeight="1">
      <c r="A146" t="inlineStr">
        <is>
          <t>A 17723-2021</t>
        </is>
      </c>
      <c r="B146" s="1" t="n">
        <v>44300</v>
      </c>
      <c r="C146" s="1" t="n">
        <v>45968</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26461-2025</t>
        </is>
      </c>
      <c r="B147" s="1" t="n">
        <v>45807.43337962963</v>
      </c>
      <c r="C147" s="1" t="n">
        <v>45968</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24245-2022</t>
        </is>
      </c>
      <c r="B148" s="1" t="n">
        <v>44725</v>
      </c>
      <c r="C148" s="1" t="n">
        <v>45968</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45968</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6303-2024</t>
        </is>
      </c>
      <c r="B150" s="1" t="n">
        <v>45338.35376157407</v>
      </c>
      <c r="C150" s="1" t="n">
        <v>45968</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45968</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27168-2022</t>
        </is>
      </c>
      <c r="B152" s="1" t="n">
        <v>44741</v>
      </c>
      <c r="C152" s="1" t="n">
        <v>45968</v>
      </c>
      <c r="D152" t="inlineStr">
        <is>
          <t>GOTLANDS LÄN</t>
        </is>
      </c>
      <c r="E152" t="inlineStr">
        <is>
          <t>GOTLAND</t>
        </is>
      </c>
      <c r="G152" t="n">
        <v>2.2</v>
      </c>
      <c r="H152" t="n">
        <v>1</v>
      </c>
      <c r="I152" t="n">
        <v>1</v>
      </c>
      <c r="J152" t="n">
        <v>0</v>
      </c>
      <c r="K152" t="n">
        <v>0</v>
      </c>
      <c r="L152" t="n">
        <v>0</v>
      </c>
      <c r="M152" t="n">
        <v>0</v>
      </c>
      <c r="N152" t="n">
        <v>0</v>
      </c>
      <c r="O152" t="n">
        <v>0</v>
      </c>
      <c r="P152" t="n">
        <v>0</v>
      </c>
      <c r="Q152" t="n">
        <v>1</v>
      </c>
      <c r="R152" s="2" t="inlineStr">
        <is>
          <t>Purpurknipprot</t>
        </is>
      </c>
      <c r="S152">
        <f>HYPERLINK("https://klasma.github.io/Logging_0980/artfynd/A 27168-2022 artfynd.xlsx", "A 27168-2022")</f>
        <v/>
      </c>
      <c r="T152">
        <f>HYPERLINK("https://klasma.github.io/Logging_0980/kartor/A 27168-2022 karta.png", "A 27168-2022")</f>
        <v/>
      </c>
      <c r="V152">
        <f>HYPERLINK("https://klasma.github.io/Logging_0980/klagomål/A 27168-2022 FSC-klagomål.docx", "A 27168-2022")</f>
        <v/>
      </c>
      <c r="W152">
        <f>HYPERLINK("https://klasma.github.io/Logging_0980/klagomålsmail/A 27168-2022 FSC-klagomål mail.docx", "A 27168-2022")</f>
        <v/>
      </c>
      <c r="X152">
        <f>HYPERLINK("https://klasma.github.io/Logging_0980/tillsyn/A 27168-2022 tillsynsbegäran.docx", "A 27168-2022")</f>
        <v/>
      </c>
      <c r="Y152">
        <f>HYPERLINK("https://klasma.github.io/Logging_0980/tillsynsmail/A 27168-2022 tillsynsbegäran mail.docx", "A 27168-2022")</f>
        <v/>
      </c>
    </row>
    <row r="153" ht="15" customHeight="1">
      <c r="A153" t="inlineStr">
        <is>
          <t>A 25977-2024</t>
        </is>
      </c>
      <c r="B153" s="1" t="n">
        <v>45467.69356481481</v>
      </c>
      <c r="C153" s="1" t="n">
        <v>45968</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7637-2025</t>
        </is>
      </c>
      <c r="B154" s="1" t="n">
        <v>45705.77181712963</v>
      </c>
      <c r="C154" s="1" t="n">
        <v>45968</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27589-2023</t>
        </is>
      </c>
      <c r="B155" s="1" t="n">
        <v>45097</v>
      </c>
      <c r="C155" s="1" t="n">
        <v>45968</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61796-2022</t>
        </is>
      </c>
      <c r="B156" s="1" t="n">
        <v>44917</v>
      </c>
      <c r="C156" s="1" t="n">
        <v>45968</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9862-2024</t>
        </is>
      </c>
      <c r="B157" s="1" t="n">
        <v>45363</v>
      </c>
      <c r="C157" s="1" t="n">
        <v>45968</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45968</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65927-2021</t>
        </is>
      </c>
      <c r="B159" s="1" t="n">
        <v>44516</v>
      </c>
      <c r="C159" s="1" t="n">
        <v>45968</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45968</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10218-2025</t>
        </is>
      </c>
      <c r="B161" s="1" t="n">
        <v>45720</v>
      </c>
      <c r="C161" s="1" t="n">
        <v>45968</v>
      </c>
      <c r="D161" t="inlineStr">
        <is>
          <t>GOTLANDS LÄN</t>
        </is>
      </c>
      <c r="E161" t="inlineStr">
        <is>
          <t>GOTLAND</t>
        </is>
      </c>
      <c r="G161" t="n">
        <v>8.1</v>
      </c>
      <c r="H161" t="n">
        <v>0</v>
      </c>
      <c r="I161" t="n">
        <v>1</v>
      </c>
      <c r="J161" t="n">
        <v>0</v>
      </c>
      <c r="K161" t="n">
        <v>0</v>
      </c>
      <c r="L161" t="n">
        <v>0</v>
      </c>
      <c r="M161" t="n">
        <v>0</v>
      </c>
      <c r="N161" t="n">
        <v>0</v>
      </c>
      <c r="O161" t="n">
        <v>0</v>
      </c>
      <c r="P161" t="n">
        <v>0</v>
      </c>
      <c r="Q161" t="n">
        <v>1</v>
      </c>
      <c r="R161" s="2" t="inlineStr">
        <is>
          <t>Kalktallört</t>
        </is>
      </c>
      <c r="S161">
        <f>HYPERLINK("https://klasma.github.io/Logging_0980/artfynd/A 10218-2025 artfynd.xlsx", "A 10218-2025")</f>
        <v/>
      </c>
      <c r="T161">
        <f>HYPERLINK("https://klasma.github.io/Logging_0980/kartor/A 10218-2025 karta.png", "A 10218-2025")</f>
        <v/>
      </c>
      <c r="V161">
        <f>HYPERLINK("https://klasma.github.io/Logging_0980/klagomål/A 10218-2025 FSC-klagomål.docx", "A 10218-2025")</f>
        <v/>
      </c>
      <c r="W161">
        <f>HYPERLINK("https://klasma.github.io/Logging_0980/klagomålsmail/A 10218-2025 FSC-klagomål mail.docx", "A 10218-2025")</f>
        <v/>
      </c>
      <c r="X161">
        <f>HYPERLINK("https://klasma.github.io/Logging_0980/tillsyn/A 10218-2025 tillsynsbegäran.docx", "A 10218-2025")</f>
        <v/>
      </c>
      <c r="Y161">
        <f>HYPERLINK("https://klasma.github.io/Logging_0980/tillsynsmail/A 10218-2025 tillsynsbegäran mail.docx", "A 10218-2025")</f>
        <v/>
      </c>
    </row>
    <row r="162" ht="15" customHeight="1">
      <c r="A162" t="inlineStr">
        <is>
          <t>A 12379-2024</t>
        </is>
      </c>
      <c r="B162" s="1" t="n">
        <v>45379.28155092592</v>
      </c>
      <c r="C162" s="1" t="n">
        <v>45968</v>
      </c>
      <c r="D162" t="inlineStr">
        <is>
          <t>GOTLANDS LÄN</t>
        </is>
      </c>
      <c r="E162" t="inlineStr">
        <is>
          <t>GOTLAND</t>
        </is>
      </c>
      <c r="G162" t="n">
        <v>4.4</v>
      </c>
      <c r="H162" t="n">
        <v>0</v>
      </c>
      <c r="I162" t="n">
        <v>0</v>
      </c>
      <c r="J162" t="n">
        <v>1</v>
      </c>
      <c r="K162" t="n">
        <v>0</v>
      </c>
      <c r="L162" t="n">
        <v>0</v>
      </c>
      <c r="M162" t="n">
        <v>0</v>
      </c>
      <c r="N162" t="n">
        <v>0</v>
      </c>
      <c r="O162" t="n">
        <v>1</v>
      </c>
      <c r="P162" t="n">
        <v>0</v>
      </c>
      <c r="Q162" t="n">
        <v>1</v>
      </c>
      <c r="R162" s="2" t="inlineStr">
        <is>
          <t>Svinrot</t>
        </is>
      </c>
      <c r="S162">
        <f>HYPERLINK("https://klasma.github.io/Logging_0980/artfynd/A 12379-2024 artfynd.xlsx", "A 12379-2024")</f>
        <v/>
      </c>
      <c r="T162">
        <f>HYPERLINK("https://klasma.github.io/Logging_0980/kartor/A 12379-2024 karta.png", "A 12379-2024")</f>
        <v/>
      </c>
      <c r="V162">
        <f>HYPERLINK("https://klasma.github.io/Logging_0980/klagomål/A 12379-2024 FSC-klagomål.docx", "A 12379-2024")</f>
        <v/>
      </c>
      <c r="W162">
        <f>HYPERLINK("https://klasma.github.io/Logging_0980/klagomålsmail/A 12379-2024 FSC-klagomål mail.docx", "A 12379-2024")</f>
        <v/>
      </c>
      <c r="X162">
        <f>HYPERLINK("https://klasma.github.io/Logging_0980/tillsyn/A 12379-2024 tillsynsbegäran.docx", "A 12379-2024")</f>
        <v/>
      </c>
      <c r="Y162">
        <f>HYPERLINK("https://klasma.github.io/Logging_0980/tillsynsmail/A 12379-2024 tillsynsbegäran mail.docx", "A 12379-2024")</f>
        <v/>
      </c>
    </row>
    <row r="163" ht="15" customHeight="1">
      <c r="A163" t="inlineStr">
        <is>
          <t>A 64700-2021</t>
        </is>
      </c>
      <c r="B163" s="1" t="n">
        <v>44511</v>
      </c>
      <c r="C163" s="1" t="n">
        <v>45968</v>
      </c>
      <c r="D163" t="inlineStr">
        <is>
          <t>GOTLANDS LÄN</t>
        </is>
      </c>
      <c r="E163" t="inlineStr">
        <is>
          <t>GOTLAND</t>
        </is>
      </c>
      <c r="F163" t="inlineStr">
        <is>
          <t>Naturvårdsverket</t>
        </is>
      </c>
      <c r="G163" t="n">
        <v>2.4</v>
      </c>
      <c r="H163" t="n">
        <v>1</v>
      </c>
      <c r="I163" t="n">
        <v>0</v>
      </c>
      <c r="J163" t="n">
        <v>0</v>
      </c>
      <c r="K163" t="n">
        <v>1</v>
      </c>
      <c r="L163" t="n">
        <v>0</v>
      </c>
      <c r="M163" t="n">
        <v>0</v>
      </c>
      <c r="N163" t="n">
        <v>0</v>
      </c>
      <c r="O163" t="n">
        <v>1</v>
      </c>
      <c r="P163" t="n">
        <v>1</v>
      </c>
      <c r="Q163" t="n">
        <v>1</v>
      </c>
      <c r="R163" s="2" t="inlineStr">
        <is>
          <t>Kalkdån</t>
        </is>
      </c>
      <c r="S163">
        <f>HYPERLINK("https://klasma.github.io/Logging_0980/artfynd/A 64700-2021 artfynd.xlsx", "A 64700-2021")</f>
        <v/>
      </c>
      <c r="T163">
        <f>HYPERLINK("https://klasma.github.io/Logging_0980/kartor/A 64700-2021 karta.png", "A 64700-2021")</f>
        <v/>
      </c>
      <c r="V163">
        <f>HYPERLINK("https://klasma.github.io/Logging_0980/klagomål/A 64700-2021 FSC-klagomål.docx", "A 64700-2021")</f>
        <v/>
      </c>
      <c r="W163">
        <f>HYPERLINK("https://klasma.github.io/Logging_0980/klagomålsmail/A 64700-2021 FSC-klagomål mail.docx", "A 64700-2021")</f>
        <v/>
      </c>
      <c r="X163">
        <f>HYPERLINK("https://klasma.github.io/Logging_0980/tillsyn/A 64700-2021 tillsynsbegäran.docx", "A 64700-2021")</f>
        <v/>
      </c>
      <c r="Y163">
        <f>HYPERLINK("https://klasma.github.io/Logging_0980/tillsynsmail/A 64700-2021 tillsynsbegäran mail.docx", "A 64700-2021")</f>
        <v/>
      </c>
    </row>
    <row r="164" ht="15" customHeight="1">
      <c r="A164" t="inlineStr">
        <is>
          <t>A 35574-2024</t>
        </is>
      </c>
      <c r="B164" s="1" t="n">
        <v>45531</v>
      </c>
      <c r="C164" s="1" t="n">
        <v>45968</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37591-2023</t>
        </is>
      </c>
      <c r="B165" s="1" t="n">
        <v>45159</v>
      </c>
      <c r="C165" s="1" t="n">
        <v>45968</v>
      </c>
      <c r="D165" t="inlineStr">
        <is>
          <t>GOTLANDS LÄN</t>
        </is>
      </c>
      <c r="E165" t="inlineStr">
        <is>
          <t>GOTLAND</t>
        </is>
      </c>
      <c r="G165" t="n">
        <v>8.300000000000001</v>
      </c>
      <c r="H165" t="n">
        <v>0</v>
      </c>
      <c r="I165" t="n">
        <v>0</v>
      </c>
      <c r="J165" t="n">
        <v>1</v>
      </c>
      <c r="K165" t="n">
        <v>0</v>
      </c>
      <c r="L165" t="n">
        <v>0</v>
      </c>
      <c r="M165" t="n">
        <v>0</v>
      </c>
      <c r="N165" t="n">
        <v>0</v>
      </c>
      <c r="O165" t="n">
        <v>1</v>
      </c>
      <c r="P165" t="n">
        <v>0</v>
      </c>
      <c r="Q165" t="n">
        <v>1</v>
      </c>
      <c r="R165" s="2" t="inlineStr">
        <is>
          <t>Ängsstarr</t>
        </is>
      </c>
      <c r="S165">
        <f>HYPERLINK("https://klasma.github.io/Logging_0980/artfynd/A 37591-2023 artfynd.xlsx", "A 37591-2023")</f>
        <v/>
      </c>
      <c r="T165">
        <f>HYPERLINK("https://klasma.github.io/Logging_0980/kartor/A 37591-2023 karta.png", "A 37591-2023")</f>
        <v/>
      </c>
      <c r="V165">
        <f>HYPERLINK("https://klasma.github.io/Logging_0980/klagomål/A 37591-2023 FSC-klagomål.docx", "A 37591-2023")</f>
        <v/>
      </c>
      <c r="W165">
        <f>HYPERLINK("https://klasma.github.io/Logging_0980/klagomålsmail/A 37591-2023 FSC-klagomål mail.docx", "A 37591-2023")</f>
        <v/>
      </c>
      <c r="X165">
        <f>HYPERLINK("https://klasma.github.io/Logging_0980/tillsyn/A 37591-2023 tillsynsbegäran.docx", "A 37591-2023")</f>
        <v/>
      </c>
      <c r="Y165">
        <f>HYPERLINK("https://klasma.github.io/Logging_0980/tillsynsmail/A 37591-2023 tillsynsbegäran mail.docx", "A 37591-2023")</f>
        <v/>
      </c>
    </row>
    <row r="166" ht="15" customHeight="1">
      <c r="A166" t="inlineStr">
        <is>
          <t>A 15637-2024</t>
        </is>
      </c>
      <c r="B166" s="1" t="n">
        <v>45403.6684837963</v>
      </c>
      <c r="C166" s="1" t="n">
        <v>45968</v>
      </c>
      <c r="D166" t="inlineStr">
        <is>
          <t>GOTLANDS LÄN</t>
        </is>
      </c>
      <c r="E166" t="inlineStr">
        <is>
          <t>GOTLAND</t>
        </is>
      </c>
      <c r="G166" t="n">
        <v>4.1</v>
      </c>
      <c r="H166" t="n">
        <v>1</v>
      </c>
      <c r="I166" t="n">
        <v>0</v>
      </c>
      <c r="J166" t="n">
        <v>0</v>
      </c>
      <c r="K166" t="n">
        <v>0</v>
      </c>
      <c r="L166" t="n">
        <v>0</v>
      </c>
      <c r="M166" t="n">
        <v>0</v>
      </c>
      <c r="N166" t="n">
        <v>0</v>
      </c>
      <c r="O166" t="n">
        <v>0</v>
      </c>
      <c r="P166" t="n">
        <v>0</v>
      </c>
      <c r="Q166" t="n">
        <v>1</v>
      </c>
      <c r="R166" s="2" t="inlineStr">
        <is>
          <t>Blåsippa</t>
        </is>
      </c>
      <c r="S166">
        <f>HYPERLINK("https://klasma.github.io/Logging_0980/artfynd/A 15637-2024 artfynd.xlsx", "A 15637-2024")</f>
        <v/>
      </c>
      <c r="T166">
        <f>HYPERLINK("https://klasma.github.io/Logging_0980/kartor/A 15637-2024 karta.png", "A 15637-2024")</f>
        <v/>
      </c>
      <c r="V166">
        <f>HYPERLINK("https://klasma.github.io/Logging_0980/klagomål/A 15637-2024 FSC-klagomål.docx", "A 15637-2024")</f>
        <v/>
      </c>
      <c r="W166">
        <f>HYPERLINK("https://klasma.github.io/Logging_0980/klagomålsmail/A 15637-2024 FSC-klagomål mail.docx", "A 15637-2024")</f>
        <v/>
      </c>
      <c r="X166">
        <f>HYPERLINK("https://klasma.github.io/Logging_0980/tillsyn/A 15637-2024 tillsynsbegäran.docx", "A 15637-2024")</f>
        <v/>
      </c>
      <c r="Y166">
        <f>HYPERLINK("https://klasma.github.io/Logging_0980/tillsynsmail/A 15637-2024 tillsynsbegäran mail.docx", "A 15637-2024")</f>
        <v/>
      </c>
    </row>
    <row r="167" ht="15" customHeight="1">
      <c r="A167" t="inlineStr">
        <is>
          <t>A 61561-2023</t>
        </is>
      </c>
      <c r="B167" s="1" t="n">
        <v>45265</v>
      </c>
      <c r="C167" s="1" t="n">
        <v>45968</v>
      </c>
      <c r="D167" t="inlineStr">
        <is>
          <t>GOTLANDS LÄN</t>
        </is>
      </c>
      <c r="E167" t="inlineStr">
        <is>
          <t>GOTLAND</t>
        </is>
      </c>
      <c r="G167" t="n">
        <v>7.4</v>
      </c>
      <c r="H167" t="n">
        <v>0</v>
      </c>
      <c r="I167" t="n">
        <v>0</v>
      </c>
      <c r="J167" t="n">
        <v>1</v>
      </c>
      <c r="K167" t="n">
        <v>0</v>
      </c>
      <c r="L167" t="n">
        <v>0</v>
      </c>
      <c r="M167" t="n">
        <v>0</v>
      </c>
      <c r="N167" t="n">
        <v>0</v>
      </c>
      <c r="O167" t="n">
        <v>1</v>
      </c>
      <c r="P167" t="n">
        <v>0</v>
      </c>
      <c r="Q167" t="n">
        <v>1</v>
      </c>
      <c r="R167" s="2" t="inlineStr">
        <is>
          <t>Loppstarr</t>
        </is>
      </c>
      <c r="S167">
        <f>HYPERLINK("https://klasma.github.io/Logging_0980/artfynd/A 61561-2023 artfynd.xlsx", "A 61561-2023")</f>
        <v/>
      </c>
      <c r="T167">
        <f>HYPERLINK("https://klasma.github.io/Logging_0980/kartor/A 61561-2023 karta.png", "A 61561-2023")</f>
        <v/>
      </c>
      <c r="V167">
        <f>HYPERLINK("https://klasma.github.io/Logging_0980/klagomål/A 61561-2023 FSC-klagomål.docx", "A 61561-2023")</f>
        <v/>
      </c>
      <c r="W167">
        <f>HYPERLINK("https://klasma.github.io/Logging_0980/klagomålsmail/A 61561-2023 FSC-klagomål mail.docx", "A 61561-2023")</f>
        <v/>
      </c>
      <c r="X167">
        <f>HYPERLINK("https://klasma.github.io/Logging_0980/tillsyn/A 61561-2023 tillsynsbegäran.docx", "A 61561-2023")</f>
        <v/>
      </c>
      <c r="Y167">
        <f>HYPERLINK("https://klasma.github.io/Logging_0980/tillsynsmail/A 61561-2023 tillsynsbegäran mail.docx", "A 61561-2023")</f>
        <v/>
      </c>
    </row>
    <row r="168" ht="15" customHeight="1">
      <c r="A168" t="inlineStr">
        <is>
          <t>A 12924-2025</t>
        </is>
      </c>
      <c r="B168" s="1" t="n">
        <v>45734</v>
      </c>
      <c r="C168" s="1" t="n">
        <v>45968</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13939-2021</t>
        </is>
      </c>
      <c r="B169" s="1" t="n">
        <v>44277</v>
      </c>
      <c r="C169" s="1" t="n">
        <v>45968</v>
      </c>
      <c r="D169" t="inlineStr">
        <is>
          <t>GOTLANDS LÄN</t>
        </is>
      </c>
      <c r="E169" t="inlineStr">
        <is>
          <t>GOTLAND</t>
        </is>
      </c>
      <c r="G169" t="n">
        <v>1</v>
      </c>
      <c r="H169" t="n">
        <v>0</v>
      </c>
      <c r="I169" t="n">
        <v>0</v>
      </c>
      <c r="J169" t="n">
        <v>1</v>
      </c>
      <c r="K169" t="n">
        <v>0</v>
      </c>
      <c r="L169" t="n">
        <v>0</v>
      </c>
      <c r="M169" t="n">
        <v>0</v>
      </c>
      <c r="N169" t="n">
        <v>0</v>
      </c>
      <c r="O169" t="n">
        <v>1</v>
      </c>
      <c r="P169" t="n">
        <v>0</v>
      </c>
      <c r="Q169" t="n">
        <v>1</v>
      </c>
      <c r="R169" s="2" t="inlineStr">
        <is>
          <t>Axveronika</t>
        </is>
      </c>
      <c r="S169">
        <f>HYPERLINK("https://klasma.github.io/Logging_0980/artfynd/A 13939-2021 artfynd.xlsx", "A 13939-2021")</f>
        <v/>
      </c>
      <c r="T169">
        <f>HYPERLINK("https://klasma.github.io/Logging_0980/kartor/A 13939-2021 karta.png", "A 13939-2021")</f>
        <v/>
      </c>
      <c r="V169">
        <f>HYPERLINK("https://klasma.github.io/Logging_0980/klagomål/A 13939-2021 FSC-klagomål.docx", "A 13939-2021")</f>
        <v/>
      </c>
      <c r="W169">
        <f>HYPERLINK("https://klasma.github.io/Logging_0980/klagomålsmail/A 13939-2021 FSC-klagomål mail.docx", "A 13939-2021")</f>
        <v/>
      </c>
      <c r="X169">
        <f>HYPERLINK("https://klasma.github.io/Logging_0980/tillsyn/A 13939-2021 tillsynsbegäran.docx", "A 13939-2021")</f>
        <v/>
      </c>
      <c r="Y169">
        <f>HYPERLINK("https://klasma.github.io/Logging_0980/tillsynsmail/A 13939-2021 tillsynsbegäran mail.docx", "A 13939-2021")</f>
        <v/>
      </c>
    </row>
    <row r="170" ht="15" customHeight="1">
      <c r="A170" t="inlineStr">
        <is>
          <t>A 12324-2025</t>
        </is>
      </c>
      <c r="B170" s="1" t="n">
        <v>45730</v>
      </c>
      <c r="C170" s="1" t="n">
        <v>45968</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63299-2020</t>
        </is>
      </c>
      <c r="B171" s="1" t="n">
        <v>44165</v>
      </c>
      <c r="C171" s="1" t="n">
        <v>45968</v>
      </c>
      <c r="D171" t="inlineStr">
        <is>
          <t>GOTLANDS LÄN</t>
        </is>
      </c>
      <c r="E171" t="inlineStr">
        <is>
          <t>GOTLAND</t>
        </is>
      </c>
      <c r="G171" t="n">
        <v>12.9</v>
      </c>
      <c r="H171" t="n">
        <v>1</v>
      </c>
      <c r="I171" t="n">
        <v>0</v>
      </c>
      <c r="J171" t="n">
        <v>1</v>
      </c>
      <c r="K171" t="n">
        <v>0</v>
      </c>
      <c r="L171" t="n">
        <v>0</v>
      </c>
      <c r="M171" t="n">
        <v>0</v>
      </c>
      <c r="N171" t="n">
        <v>0</v>
      </c>
      <c r="O171" t="n">
        <v>1</v>
      </c>
      <c r="P171" t="n">
        <v>0</v>
      </c>
      <c r="Q171" t="n">
        <v>1</v>
      </c>
      <c r="R171" s="2" t="inlineStr">
        <is>
          <t>Svartfläckig blåvinge</t>
        </is>
      </c>
      <c r="S171">
        <f>HYPERLINK("https://klasma.github.io/Logging_0980/artfynd/A 63299-2020 artfynd.xlsx", "A 63299-2020")</f>
        <v/>
      </c>
      <c r="T171">
        <f>HYPERLINK("https://klasma.github.io/Logging_0980/kartor/A 63299-2020 karta.png", "A 63299-2020")</f>
        <v/>
      </c>
      <c r="V171">
        <f>HYPERLINK("https://klasma.github.io/Logging_0980/klagomål/A 63299-2020 FSC-klagomål.docx", "A 63299-2020")</f>
        <v/>
      </c>
      <c r="W171">
        <f>HYPERLINK("https://klasma.github.io/Logging_0980/klagomålsmail/A 63299-2020 FSC-klagomål mail.docx", "A 63299-2020")</f>
        <v/>
      </c>
      <c r="X171">
        <f>HYPERLINK("https://klasma.github.io/Logging_0980/tillsyn/A 63299-2020 tillsynsbegäran.docx", "A 63299-2020")</f>
        <v/>
      </c>
      <c r="Y171">
        <f>HYPERLINK("https://klasma.github.io/Logging_0980/tillsynsmail/A 63299-2020 tillsynsbegäran mail.docx", "A 63299-2020")</f>
        <v/>
      </c>
    </row>
    <row r="172" ht="15" customHeight="1">
      <c r="A172" t="inlineStr">
        <is>
          <t>A 20429-2025</t>
        </is>
      </c>
      <c r="B172" s="1" t="n">
        <v>45775.47728009259</v>
      </c>
      <c r="C172" s="1" t="n">
        <v>45968</v>
      </c>
      <c r="D172" t="inlineStr">
        <is>
          <t>GOTLANDS LÄN</t>
        </is>
      </c>
      <c r="E172" t="inlineStr">
        <is>
          <t>GOTLAND</t>
        </is>
      </c>
      <c r="G172" t="n">
        <v>1.4</v>
      </c>
      <c r="H172" t="n">
        <v>1</v>
      </c>
      <c r="I172" t="n">
        <v>0</v>
      </c>
      <c r="J172" t="n">
        <v>0</v>
      </c>
      <c r="K172" t="n">
        <v>0</v>
      </c>
      <c r="L172" t="n">
        <v>0</v>
      </c>
      <c r="M172" t="n">
        <v>0</v>
      </c>
      <c r="N172" t="n">
        <v>0</v>
      </c>
      <c r="O172" t="n">
        <v>0</v>
      </c>
      <c r="P172" t="n">
        <v>0</v>
      </c>
      <c r="Q172" t="n">
        <v>1</v>
      </c>
      <c r="R172" s="2" t="inlineStr">
        <is>
          <t>Äkta lopplummer</t>
        </is>
      </c>
      <c r="S172">
        <f>HYPERLINK("https://klasma.github.io/Logging_0980/artfynd/A 20429-2025 artfynd.xlsx", "A 20429-2025")</f>
        <v/>
      </c>
      <c r="T172">
        <f>HYPERLINK("https://klasma.github.io/Logging_0980/kartor/A 20429-2025 karta.png", "A 20429-2025")</f>
        <v/>
      </c>
      <c r="V172">
        <f>HYPERLINK("https://klasma.github.io/Logging_0980/klagomål/A 20429-2025 FSC-klagomål.docx", "A 20429-2025")</f>
        <v/>
      </c>
      <c r="W172">
        <f>HYPERLINK("https://klasma.github.io/Logging_0980/klagomålsmail/A 20429-2025 FSC-klagomål mail.docx", "A 20429-2025")</f>
        <v/>
      </c>
      <c r="X172">
        <f>HYPERLINK("https://klasma.github.io/Logging_0980/tillsyn/A 20429-2025 tillsynsbegäran.docx", "A 20429-2025")</f>
        <v/>
      </c>
      <c r="Y172">
        <f>HYPERLINK("https://klasma.github.io/Logging_0980/tillsynsmail/A 20429-2025 tillsynsbegäran mail.docx", "A 20429-2025")</f>
        <v/>
      </c>
    </row>
    <row r="173" ht="15" customHeight="1">
      <c r="A173" t="inlineStr">
        <is>
          <t>A 49847-2023</t>
        </is>
      </c>
      <c r="B173" s="1" t="n">
        <v>45212</v>
      </c>
      <c r="C173" s="1" t="n">
        <v>45968</v>
      </c>
      <c r="D173" t="inlineStr">
        <is>
          <t>GOTLANDS LÄN</t>
        </is>
      </c>
      <c r="E173" t="inlineStr">
        <is>
          <t>GOTLAND</t>
        </is>
      </c>
      <c r="G173" t="n">
        <v>35.2</v>
      </c>
      <c r="H173" t="n">
        <v>0</v>
      </c>
      <c r="I173" t="n">
        <v>0</v>
      </c>
      <c r="J173" t="n">
        <v>0</v>
      </c>
      <c r="K173" t="n">
        <v>1</v>
      </c>
      <c r="L173" t="n">
        <v>0</v>
      </c>
      <c r="M173" t="n">
        <v>0</v>
      </c>
      <c r="N173" t="n">
        <v>0</v>
      </c>
      <c r="O173" t="n">
        <v>1</v>
      </c>
      <c r="P173" t="n">
        <v>1</v>
      </c>
      <c r="Q173" t="n">
        <v>1</v>
      </c>
      <c r="R173" s="2" t="inlineStr">
        <is>
          <t>Strandviol</t>
        </is>
      </c>
      <c r="S173">
        <f>HYPERLINK("https://klasma.github.io/Logging_0980/artfynd/A 49847-2023 artfynd.xlsx", "A 49847-2023")</f>
        <v/>
      </c>
      <c r="T173">
        <f>HYPERLINK("https://klasma.github.io/Logging_0980/kartor/A 49847-2023 karta.png", "A 49847-2023")</f>
        <v/>
      </c>
      <c r="V173">
        <f>HYPERLINK("https://klasma.github.io/Logging_0980/klagomål/A 49847-2023 FSC-klagomål.docx", "A 49847-2023")</f>
        <v/>
      </c>
      <c r="W173">
        <f>HYPERLINK("https://klasma.github.io/Logging_0980/klagomålsmail/A 49847-2023 FSC-klagomål mail.docx", "A 49847-2023")</f>
        <v/>
      </c>
      <c r="X173">
        <f>HYPERLINK("https://klasma.github.io/Logging_0980/tillsyn/A 49847-2023 tillsynsbegäran.docx", "A 49847-2023")</f>
        <v/>
      </c>
      <c r="Y173">
        <f>HYPERLINK("https://klasma.github.io/Logging_0980/tillsynsmail/A 49847-2023 tillsynsbegäran mail.docx", "A 49847-2023")</f>
        <v/>
      </c>
    </row>
    <row r="174" ht="15" customHeight="1">
      <c r="A174" t="inlineStr">
        <is>
          <t>A 2476-2025</t>
        </is>
      </c>
      <c r="B174" s="1" t="n">
        <v>45673</v>
      </c>
      <c r="C174" s="1" t="n">
        <v>45968</v>
      </c>
      <c r="D174" t="inlineStr">
        <is>
          <t>GOTLANDS LÄN</t>
        </is>
      </c>
      <c r="E174" t="inlineStr">
        <is>
          <t>GOTLAND</t>
        </is>
      </c>
      <c r="G174" t="n">
        <v>3.1</v>
      </c>
      <c r="H174" t="n">
        <v>0</v>
      </c>
      <c r="I174" t="n">
        <v>1</v>
      </c>
      <c r="J174" t="n">
        <v>0</v>
      </c>
      <c r="K174" t="n">
        <v>0</v>
      </c>
      <c r="L174" t="n">
        <v>0</v>
      </c>
      <c r="M174" t="n">
        <v>0</v>
      </c>
      <c r="N174" t="n">
        <v>0</v>
      </c>
      <c r="O174" t="n">
        <v>0</v>
      </c>
      <c r="P174" t="n">
        <v>0</v>
      </c>
      <c r="Q174" t="n">
        <v>1</v>
      </c>
      <c r="R174" s="2" t="inlineStr">
        <is>
          <t>Kryddspindling</t>
        </is>
      </c>
      <c r="S174">
        <f>HYPERLINK("https://klasma.github.io/Logging_0980/artfynd/A 2476-2025 artfynd.xlsx", "A 2476-2025")</f>
        <v/>
      </c>
      <c r="T174">
        <f>HYPERLINK("https://klasma.github.io/Logging_0980/kartor/A 2476-2025 karta.png", "A 2476-2025")</f>
        <v/>
      </c>
      <c r="V174">
        <f>HYPERLINK("https://klasma.github.io/Logging_0980/klagomål/A 2476-2025 FSC-klagomål.docx", "A 2476-2025")</f>
        <v/>
      </c>
      <c r="W174">
        <f>HYPERLINK("https://klasma.github.io/Logging_0980/klagomålsmail/A 2476-2025 FSC-klagomål mail.docx", "A 2476-2025")</f>
        <v/>
      </c>
      <c r="X174">
        <f>HYPERLINK("https://klasma.github.io/Logging_0980/tillsyn/A 2476-2025 tillsynsbegäran.docx", "A 2476-2025")</f>
        <v/>
      </c>
      <c r="Y174">
        <f>HYPERLINK("https://klasma.github.io/Logging_0980/tillsynsmail/A 2476-2025 tillsynsbegäran mail.docx", "A 2476-2025")</f>
        <v/>
      </c>
    </row>
    <row r="175" ht="15" customHeight="1">
      <c r="A175" t="inlineStr">
        <is>
          <t>A 39812-2025</t>
        </is>
      </c>
      <c r="B175" s="1" t="n">
        <v>45891</v>
      </c>
      <c r="C175" s="1" t="n">
        <v>45968</v>
      </c>
      <c r="D175" t="inlineStr">
        <is>
          <t>GOTLANDS LÄN</t>
        </is>
      </c>
      <c r="E175" t="inlineStr">
        <is>
          <t>GOTLAND</t>
        </is>
      </c>
      <c r="G175" t="n">
        <v>6</v>
      </c>
      <c r="H175" t="n">
        <v>1</v>
      </c>
      <c r="I175" t="n">
        <v>0</v>
      </c>
      <c r="J175" t="n">
        <v>0</v>
      </c>
      <c r="K175" t="n">
        <v>0</v>
      </c>
      <c r="L175" t="n">
        <v>1</v>
      </c>
      <c r="M175" t="n">
        <v>0</v>
      </c>
      <c r="N175" t="n">
        <v>0</v>
      </c>
      <c r="O175" t="n">
        <v>1</v>
      </c>
      <c r="P175" t="n">
        <v>1</v>
      </c>
      <c r="Q175" t="n">
        <v>1</v>
      </c>
      <c r="R175" s="2" t="inlineStr">
        <is>
          <t>Nålkörvel</t>
        </is>
      </c>
      <c r="S175">
        <f>HYPERLINK("https://klasma.github.io/Logging_0980/artfynd/A 39812-2025 artfynd.xlsx", "A 39812-2025")</f>
        <v/>
      </c>
      <c r="T175">
        <f>HYPERLINK("https://klasma.github.io/Logging_0980/kartor/A 39812-2025 karta.png", "A 39812-2025")</f>
        <v/>
      </c>
      <c r="V175">
        <f>HYPERLINK("https://klasma.github.io/Logging_0980/klagomål/A 39812-2025 FSC-klagomål.docx", "A 39812-2025")</f>
        <v/>
      </c>
      <c r="W175">
        <f>HYPERLINK("https://klasma.github.io/Logging_0980/klagomålsmail/A 39812-2025 FSC-klagomål mail.docx", "A 39812-2025")</f>
        <v/>
      </c>
      <c r="X175">
        <f>HYPERLINK("https://klasma.github.io/Logging_0980/tillsyn/A 39812-2025 tillsynsbegäran.docx", "A 39812-2025")</f>
        <v/>
      </c>
      <c r="Y175">
        <f>HYPERLINK("https://klasma.github.io/Logging_0980/tillsynsmail/A 39812-2025 tillsynsbegäran mail.docx", "A 39812-2025")</f>
        <v/>
      </c>
    </row>
    <row r="176" ht="15" customHeight="1">
      <c r="A176" t="inlineStr">
        <is>
          <t>A 49726-2025</t>
        </is>
      </c>
      <c r="B176" s="1" t="n">
        <v>45939.84466435185</v>
      </c>
      <c r="C176" s="1" t="n">
        <v>45968</v>
      </c>
      <c r="D176" t="inlineStr">
        <is>
          <t>GOTLANDS LÄN</t>
        </is>
      </c>
      <c r="E176" t="inlineStr">
        <is>
          <t>GOTLAND</t>
        </is>
      </c>
      <c r="F176" t="inlineStr">
        <is>
          <t>Kyrkan</t>
        </is>
      </c>
      <c r="G176" t="n">
        <v>5.4</v>
      </c>
      <c r="H176" t="n">
        <v>0</v>
      </c>
      <c r="I176" t="n">
        <v>0</v>
      </c>
      <c r="J176" t="n">
        <v>1</v>
      </c>
      <c r="K176" t="n">
        <v>0</v>
      </c>
      <c r="L176" t="n">
        <v>0</v>
      </c>
      <c r="M176" t="n">
        <v>0</v>
      </c>
      <c r="N176" t="n">
        <v>0</v>
      </c>
      <c r="O176" t="n">
        <v>1</v>
      </c>
      <c r="P176" t="n">
        <v>0</v>
      </c>
      <c r="Q176" t="n">
        <v>1</v>
      </c>
      <c r="R176" s="2" t="inlineStr">
        <is>
          <t>Odörspindling</t>
        </is>
      </c>
      <c r="S176">
        <f>HYPERLINK("https://klasma.github.io/Logging_0980/artfynd/A 49726-2025 artfynd.xlsx", "A 49726-2025")</f>
        <v/>
      </c>
      <c r="T176">
        <f>HYPERLINK("https://klasma.github.io/Logging_0980/kartor/A 49726-2025 karta.png", "A 49726-2025")</f>
        <v/>
      </c>
      <c r="V176">
        <f>HYPERLINK("https://klasma.github.io/Logging_0980/klagomål/A 49726-2025 FSC-klagomål.docx", "A 49726-2025")</f>
        <v/>
      </c>
      <c r="W176">
        <f>HYPERLINK("https://klasma.github.io/Logging_0980/klagomålsmail/A 49726-2025 FSC-klagomål mail.docx", "A 49726-2025")</f>
        <v/>
      </c>
      <c r="X176">
        <f>HYPERLINK("https://klasma.github.io/Logging_0980/tillsyn/A 49726-2025 tillsynsbegäran.docx", "A 49726-2025")</f>
        <v/>
      </c>
      <c r="Y176">
        <f>HYPERLINK("https://klasma.github.io/Logging_0980/tillsynsmail/A 49726-2025 tillsynsbegäran mail.docx", "A 49726-2025")</f>
        <v/>
      </c>
    </row>
    <row r="177" ht="15" customHeight="1">
      <c r="A177" t="inlineStr">
        <is>
          <t>A 447-2023</t>
        </is>
      </c>
      <c r="B177" s="1" t="n">
        <v>44929</v>
      </c>
      <c r="C177" s="1" t="n">
        <v>45968</v>
      </c>
      <c r="D177" t="inlineStr">
        <is>
          <t>GOTLANDS LÄN</t>
        </is>
      </c>
      <c r="E177" t="inlineStr">
        <is>
          <t>GOTLAND</t>
        </is>
      </c>
      <c r="G177" t="n">
        <v>5.1</v>
      </c>
      <c r="H177" t="n">
        <v>0</v>
      </c>
      <c r="I177" t="n">
        <v>0</v>
      </c>
      <c r="J177" t="n">
        <v>1</v>
      </c>
      <c r="K177" t="n">
        <v>0</v>
      </c>
      <c r="L177" t="n">
        <v>0</v>
      </c>
      <c r="M177" t="n">
        <v>0</v>
      </c>
      <c r="N177" t="n">
        <v>0</v>
      </c>
      <c r="O177" t="n">
        <v>1</v>
      </c>
      <c r="P177" t="n">
        <v>0</v>
      </c>
      <c r="Q177" t="n">
        <v>1</v>
      </c>
      <c r="R177" s="2" t="inlineStr">
        <is>
          <t>Äggspindling</t>
        </is>
      </c>
      <c r="S177">
        <f>HYPERLINK("https://klasma.github.io/Logging_0980/artfynd/A 447-2023 artfynd.xlsx", "A 447-2023")</f>
        <v/>
      </c>
      <c r="T177">
        <f>HYPERLINK("https://klasma.github.io/Logging_0980/kartor/A 447-2023 karta.png", "A 447-2023")</f>
        <v/>
      </c>
      <c r="V177">
        <f>HYPERLINK("https://klasma.github.io/Logging_0980/klagomål/A 447-2023 FSC-klagomål.docx", "A 447-2023")</f>
        <v/>
      </c>
      <c r="W177">
        <f>HYPERLINK("https://klasma.github.io/Logging_0980/klagomålsmail/A 447-2023 FSC-klagomål mail.docx", "A 447-2023")</f>
        <v/>
      </c>
      <c r="X177">
        <f>HYPERLINK("https://klasma.github.io/Logging_0980/tillsyn/A 447-2023 tillsynsbegäran.docx", "A 447-2023")</f>
        <v/>
      </c>
      <c r="Y177">
        <f>HYPERLINK("https://klasma.github.io/Logging_0980/tillsynsmail/A 447-2023 tillsynsbegäran mail.docx", "A 447-2023")</f>
        <v/>
      </c>
    </row>
    <row r="178" ht="15" customHeight="1">
      <c r="A178" t="inlineStr">
        <is>
          <t>A 10995-2023</t>
        </is>
      </c>
      <c r="B178" s="1" t="n">
        <v>44986</v>
      </c>
      <c r="C178" s="1" t="n">
        <v>45968</v>
      </c>
      <c r="D178" t="inlineStr">
        <is>
          <t>GOTLANDS LÄN</t>
        </is>
      </c>
      <c r="E178" t="inlineStr">
        <is>
          <t>GOTLAND</t>
        </is>
      </c>
      <c r="G178" t="n">
        <v>2.8</v>
      </c>
      <c r="H178" t="n">
        <v>0</v>
      </c>
      <c r="I178" t="n">
        <v>0</v>
      </c>
      <c r="J178" t="n">
        <v>0</v>
      </c>
      <c r="K178" t="n">
        <v>1</v>
      </c>
      <c r="L178" t="n">
        <v>0</v>
      </c>
      <c r="M178" t="n">
        <v>0</v>
      </c>
      <c r="N178" t="n">
        <v>0</v>
      </c>
      <c r="O178" t="n">
        <v>1</v>
      </c>
      <c r="P178" t="n">
        <v>1</v>
      </c>
      <c r="Q178" t="n">
        <v>1</v>
      </c>
      <c r="R178" s="2" t="inlineStr">
        <is>
          <t>Violettfläckig spindling</t>
        </is>
      </c>
      <c r="S178">
        <f>HYPERLINK("https://klasma.github.io/Logging_0980/artfynd/A 10995-2023 artfynd.xlsx", "A 10995-2023")</f>
        <v/>
      </c>
      <c r="T178">
        <f>HYPERLINK("https://klasma.github.io/Logging_0980/kartor/A 10995-2023 karta.png", "A 10995-2023")</f>
        <v/>
      </c>
      <c r="V178">
        <f>HYPERLINK("https://klasma.github.io/Logging_0980/klagomål/A 10995-2023 FSC-klagomål.docx", "A 10995-2023")</f>
        <v/>
      </c>
      <c r="W178">
        <f>HYPERLINK("https://klasma.github.io/Logging_0980/klagomålsmail/A 10995-2023 FSC-klagomål mail.docx", "A 10995-2023")</f>
        <v/>
      </c>
      <c r="X178">
        <f>HYPERLINK("https://klasma.github.io/Logging_0980/tillsyn/A 10995-2023 tillsynsbegäran.docx", "A 10995-2023")</f>
        <v/>
      </c>
      <c r="Y178">
        <f>HYPERLINK("https://klasma.github.io/Logging_0980/tillsynsmail/A 10995-2023 tillsynsbegäran mail.docx", "A 10995-2023")</f>
        <v/>
      </c>
    </row>
    <row r="179" ht="15" customHeight="1">
      <c r="A179" t="inlineStr">
        <is>
          <t>A 63576-2021</t>
        </is>
      </c>
      <c r="B179" s="1" t="n">
        <v>44508</v>
      </c>
      <c r="C179" s="1" t="n">
        <v>45968</v>
      </c>
      <c r="D179" t="inlineStr">
        <is>
          <t>GOTLANDS LÄN</t>
        </is>
      </c>
      <c r="E179" t="inlineStr">
        <is>
          <t>GOTLAND</t>
        </is>
      </c>
      <c r="F179" t="inlineStr">
        <is>
          <t>Kyrkan</t>
        </is>
      </c>
      <c r="G179" t="n">
        <v>4.1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63576-2021 artfynd.xlsx", "A 63576-2021")</f>
        <v/>
      </c>
      <c r="T179">
        <f>HYPERLINK("https://klasma.github.io/Logging_0980/kartor/A 63576-2021 karta.png", "A 63576-2021")</f>
        <v/>
      </c>
      <c r="V179">
        <f>HYPERLINK("https://klasma.github.io/Logging_0980/klagomål/A 63576-2021 FSC-klagomål.docx", "A 63576-2021")</f>
        <v/>
      </c>
      <c r="W179">
        <f>HYPERLINK("https://klasma.github.io/Logging_0980/klagomålsmail/A 63576-2021 FSC-klagomål mail.docx", "A 63576-2021")</f>
        <v/>
      </c>
      <c r="X179">
        <f>HYPERLINK("https://klasma.github.io/Logging_0980/tillsyn/A 63576-2021 tillsynsbegäran.docx", "A 63576-2021")</f>
        <v/>
      </c>
      <c r="Y179">
        <f>HYPERLINK("https://klasma.github.io/Logging_0980/tillsynsmail/A 63576-2021 tillsynsbegäran mail.docx", "A 63576-2021")</f>
        <v/>
      </c>
    </row>
    <row r="180" ht="15" customHeight="1">
      <c r="A180" t="inlineStr">
        <is>
          <t>A 34809-2024</t>
        </is>
      </c>
      <c r="B180" s="1" t="n">
        <v>45526</v>
      </c>
      <c r="C180" s="1" t="n">
        <v>45968</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21466-2025</t>
        </is>
      </c>
      <c r="B181" s="1" t="n">
        <v>45782</v>
      </c>
      <c r="C181" s="1" t="n">
        <v>45968</v>
      </c>
      <c r="D181" t="inlineStr">
        <is>
          <t>GOTLANDS LÄN</t>
        </is>
      </c>
      <c r="E181" t="inlineStr">
        <is>
          <t>GOTLAND</t>
        </is>
      </c>
      <c r="F181" t="inlineStr">
        <is>
          <t>Övriga statliga verk och myndigheter</t>
        </is>
      </c>
      <c r="G181" t="n">
        <v>1.7</v>
      </c>
      <c r="H181" t="n">
        <v>1</v>
      </c>
      <c r="I181" t="n">
        <v>0</v>
      </c>
      <c r="J181" t="n">
        <v>0</v>
      </c>
      <c r="K181" t="n">
        <v>0</v>
      </c>
      <c r="L181" t="n">
        <v>0</v>
      </c>
      <c r="M181" t="n">
        <v>0</v>
      </c>
      <c r="N181" t="n">
        <v>0</v>
      </c>
      <c r="O181" t="n">
        <v>0</v>
      </c>
      <c r="P181" t="n">
        <v>0</v>
      </c>
      <c r="Q181" t="n">
        <v>1</v>
      </c>
      <c r="R181" s="2" t="inlineStr">
        <is>
          <t>Blåsippa</t>
        </is>
      </c>
      <c r="S181">
        <f>HYPERLINK("https://klasma.github.io/Logging_0980/artfynd/A 21466-2025 artfynd.xlsx", "A 21466-2025")</f>
        <v/>
      </c>
      <c r="T181">
        <f>HYPERLINK("https://klasma.github.io/Logging_0980/kartor/A 21466-2025 karta.png", "A 21466-2025")</f>
        <v/>
      </c>
      <c r="V181">
        <f>HYPERLINK("https://klasma.github.io/Logging_0980/klagomål/A 21466-2025 FSC-klagomål.docx", "A 21466-2025")</f>
        <v/>
      </c>
      <c r="W181">
        <f>HYPERLINK("https://klasma.github.io/Logging_0980/klagomålsmail/A 21466-2025 FSC-klagomål mail.docx", "A 21466-2025")</f>
        <v/>
      </c>
      <c r="X181">
        <f>HYPERLINK("https://klasma.github.io/Logging_0980/tillsyn/A 21466-2025 tillsynsbegäran.docx", "A 21466-2025")</f>
        <v/>
      </c>
      <c r="Y181">
        <f>HYPERLINK("https://klasma.github.io/Logging_0980/tillsynsmail/A 21466-2025 tillsynsbegäran mail.docx", "A 21466-2025")</f>
        <v/>
      </c>
    </row>
    <row r="182" ht="15" customHeight="1">
      <c r="A182" t="inlineStr">
        <is>
          <t>A 49304-2024</t>
        </is>
      </c>
      <c r="B182" s="1" t="n">
        <v>45595.54996527778</v>
      </c>
      <c r="C182" s="1" t="n">
        <v>45968</v>
      </c>
      <c r="D182" t="inlineStr">
        <is>
          <t>GOTLANDS LÄN</t>
        </is>
      </c>
      <c r="E182" t="inlineStr">
        <is>
          <t>GOTLAND</t>
        </is>
      </c>
      <c r="G182" t="n">
        <v>10.8</v>
      </c>
      <c r="H182" t="n">
        <v>0</v>
      </c>
      <c r="I182" t="n">
        <v>0</v>
      </c>
      <c r="J182" t="n">
        <v>1</v>
      </c>
      <c r="K182" t="n">
        <v>0</v>
      </c>
      <c r="L182" t="n">
        <v>0</v>
      </c>
      <c r="M182" t="n">
        <v>0</v>
      </c>
      <c r="N182" t="n">
        <v>0</v>
      </c>
      <c r="O182" t="n">
        <v>1</v>
      </c>
      <c r="P182" t="n">
        <v>0</v>
      </c>
      <c r="Q182" t="n">
        <v>1</v>
      </c>
      <c r="R182" s="2" t="inlineStr">
        <is>
          <t>Åkerranunkel</t>
        </is>
      </c>
      <c r="S182">
        <f>HYPERLINK("https://klasma.github.io/Logging_0980/artfynd/A 49304-2024 artfynd.xlsx", "A 49304-2024")</f>
        <v/>
      </c>
      <c r="T182">
        <f>HYPERLINK("https://klasma.github.io/Logging_0980/kartor/A 49304-2024 karta.png", "A 49304-2024")</f>
        <v/>
      </c>
      <c r="V182">
        <f>HYPERLINK("https://klasma.github.io/Logging_0980/klagomål/A 49304-2024 FSC-klagomål.docx", "A 49304-2024")</f>
        <v/>
      </c>
      <c r="W182">
        <f>HYPERLINK("https://klasma.github.io/Logging_0980/klagomålsmail/A 49304-2024 FSC-klagomål mail.docx", "A 49304-2024")</f>
        <v/>
      </c>
      <c r="X182">
        <f>HYPERLINK("https://klasma.github.io/Logging_0980/tillsyn/A 49304-2024 tillsynsbegäran.docx", "A 49304-2024")</f>
        <v/>
      </c>
      <c r="Y182">
        <f>HYPERLINK("https://klasma.github.io/Logging_0980/tillsynsmail/A 49304-2024 tillsynsbegäran mail.docx", "A 49304-2024")</f>
        <v/>
      </c>
    </row>
    <row r="183" ht="15" customHeight="1">
      <c r="A183" t="inlineStr">
        <is>
          <t>A 10440-2024</t>
        </is>
      </c>
      <c r="B183" s="1" t="n">
        <v>45366.32818287037</v>
      </c>
      <c r="C183" s="1" t="n">
        <v>45968</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22782-2023</t>
        </is>
      </c>
      <c r="B184" s="1" t="n">
        <v>45072</v>
      </c>
      <c r="C184" s="1" t="n">
        <v>45968</v>
      </c>
      <c r="D184" t="inlineStr">
        <is>
          <t>GOTLANDS LÄN</t>
        </is>
      </c>
      <c r="E184" t="inlineStr">
        <is>
          <t>GOTLAND</t>
        </is>
      </c>
      <c r="F184" t="inlineStr">
        <is>
          <t>Kyrkan</t>
        </is>
      </c>
      <c r="G184" t="n">
        <v>3.1</v>
      </c>
      <c r="H184" t="n">
        <v>1</v>
      </c>
      <c r="I184" t="n">
        <v>0</v>
      </c>
      <c r="J184" t="n">
        <v>0</v>
      </c>
      <c r="K184" t="n">
        <v>0</v>
      </c>
      <c r="L184" t="n">
        <v>0</v>
      </c>
      <c r="M184" t="n">
        <v>0</v>
      </c>
      <c r="N184" t="n">
        <v>0</v>
      </c>
      <c r="O184" t="n">
        <v>0</v>
      </c>
      <c r="P184" t="n">
        <v>0</v>
      </c>
      <c r="Q184" t="n">
        <v>1</v>
      </c>
      <c r="R184" s="2" t="inlineStr">
        <is>
          <t>Ängsnycklar × skogsnycklar</t>
        </is>
      </c>
      <c r="S184">
        <f>HYPERLINK("https://klasma.github.io/Logging_0980/artfynd/A 22782-2023 artfynd.xlsx", "A 22782-2023")</f>
        <v/>
      </c>
      <c r="T184">
        <f>HYPERLINK("https://klasma.github.io/Logging_0980/kartor/A 22782-2023 karta.png", "A 22782-2023")</f>
        <v/>
      </c>
      <c r="V184">
        <f>HYPERLINK("https://klasma.github.io/Logging_0980/klagomål/A 22782-2023 FSC-klagomål.docx", "A 22782-2023")</f>
        <v/>
      </c>
      <c r="W184">
        <f>HYPERLINK("https://klasma.github.io/Logging_0980/klagomålsmail/A 22782-2023 FSC-klagomål mail.docx", "A 22782-2023")</f>
        <v/>
      </c>
      <c r="X184">
        <f>HYPERLINK("https://klasma.github.io/Logging_0980/tillsyn/A 22782-2023 tillsynsbegäran.docx", "A 22782-2023")</f>
        <v/>
      </c>
      <c r="Y184">
        <f>HYPERLINK("https://klasma.github.io/Logging_0980/tillsynsmail/A 22782-2023 tillsynsbegäran mail.docx", "A 22782-2023")</f>
        <v/>
      </c>
    </row>
    <row r="185" ht="15" customHeight="1">
      <c r="A185" t="inlineStr">
        <is>
          <t>A 35467-2021</t>
        </is>
      </c>
      <c r="B185" s="1" t="n">
        <v>44385</v>
      </c>
      <c r="C185" s="1" t="n">
        <v>45968</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44088-2022</t>
        </is>
      </c>
      <c r="B186" s="1" t="n">
        <v>44839</v>
      </c>
      <c r="C186" s="1" t="n">
        <v>45968</v>
      </c>
      <c r="D186" t="inlineStr">
        <is>
          <t>GOTLANDS LÄN</t>
        </is>
      </c>
      <c r="E186" t="inlineStr">
        <is>
          <t>GOTLAND</t>
        </is>
      </c>
      <c r="G186" t="n">
        <v>1.5</v>
      </c>
      <c r="H186" t="n">
        <v>0</v>
      </c>
      <c r="I186" t="n">
        <v>1</v>
      </c>
      <c r="J186" t="n">
        <v>0</v>
      </c>
      <c r="K186" t="n">
        <v>0</v>
      </c>
      <c r="L186" t="n">
        <v>0</v>
      </c>
      <c r="M186" t="n">
        <v>0</v>
      </c>
      <c r="N186" t="n">
        <v>0</v>
      </c>
      <c r="O186" t="n">
        <v>0</v>
      </c>
      <c r="P186" t="n">
        <v>0</v>
      </c>
      <c r="Q186" t="n">
        <v>1</v>
      </c>
      <c r="R186" s="2" t="inlineStr">
        <is>
          <t>Strävlosta</t>
        </is>
      </c>
      <c r="S186">
        <f>HYPERLINK("https://klasma.github.io/Logging_0980/artfynd/A 44088-2022 artfynd.xlsx", "A 44088-2022")</f>
        <v/>
      </c>
      <c r="T186">
        <f>HYPERLINK("https://klasma.github.io/Logging_0980/kartor/A 44088-2022 karta.png", "A 44088-2022")</f>
        <v/>
      </c>
      <c r="V186">
        <f>HYPERLINK("https://klasma.github.io/Logging_0980/klagomål/A 44088-2022 FSC-klagomål.docx", "A 44088-2022")</f>
        <v/>
      </c>
      <c r="W186">
        <f>HYPERLINK("https://klasma.github.io/Logging_0980/klagomålsmail/A 44088-2022 FSC-klagomål mail.docx", "A 44088-2022")</f>
        <v/>
      </c>
      <c r="X186">
        <f>HYPERLINK("https://klasma.github.io/Logging_0980/tillsyn/A 44088-2022 tillsynsbegäran.docx", "A 44088-2022")</f>
        <v/>
      </c>
      <c r="Y186">
        <f>HYPERLINK("https://klasma.github.io/Logging_0980/tillsynsmail/A 44088-2022 tillsynsbegäran mail.docx", "A 44088-2022")</f>
        <v/>
      </c>
    </row>
    <row r="187" ht="15" customHeight="1">
      <c r="A187" t="inlineStr">
        <is>
          <t>A 44619-2025</t>
        </is>
      </c>
      <c r="B187" s="1" t="n">
        <v>45917</v>
      </c>
      <c r="C187" s="1" t="n">
        <v>45968</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Ögonpyrola</t>
        </is>
      </c>
      <c r="S187">
        <f>HYPERLINK("https://klasma.github.io/Logging_0980/artfynd/A 44619-2025 artfynd.xlsx", "A 44619-2025")</f>
        <v/>
      </c>
      <c r="T187">
        <f>HYPERLINK("https://klasma.github.io/Logging_0980/kartor/A 44619-2025 karta.png", "A 44619-2025")</f>
        <v/>
      </c>
      <c r="V187">
        <f>HYPERLINK("https://klasma.github.io/Logging_0980/klagomål/A 44619-2025 FSC-klagomål.docx", "A 44619-2025")</f>
        <v/>
      </c>
      <c r="W187">
        <f>HYPERLINK("https://klasma.github.io/Logging_0980/klagomålsmail/A 44619-2025 FSC-klagomål mail.docx", "A 44619-2025")</f>
        <v/>
      </c>
      <c r="X187">
        <f>HYPERLINK("https://klasma.github.io/Logging_0980/tillsyn/A 44619-2025 tillsynsbegäran.docx", "A 44619-2025")</f>
        <v/>
      </c>
      <c r="Y187">
        <f>HYPERLINK("https://klasma.github.io/Logging_0980/tillsynsmail/A 44619-2025 tillsynsbegäran mail.docx", "A 44619-2025")</f>
        <v/>
      </c>
    </row>
    <row r="188" ht="15" customHeight="1">
      <c r="A188" t="inlineStr">
        <is>
          <t>A 19901-2021</t>
        </is>
      </c>
      <c r="B188" s="1" t="n">
        <v>44312</v>
      </c>
      <c r="C188" s="1" t="n">
        <v>45968</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45968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45968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45968</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45968</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45968</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45968</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45968</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45968</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45968</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45968</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45968</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45968</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45968</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45968</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45968</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45968</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45968</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45968</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45968</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45968</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45968</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45968</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45968</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45968</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45968</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45968</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12318-2021</t>
        </is>
      </c>
      <c r="B216" s="1" t="n">
        <v>44266</v>
      </c>
      <c r="C216" s="1" t="n">
        <v>45968</v>
      </c>
      <c r="D216" t="inlineStr">
        <is>
          <t>GOTLANDS LÄN</t>
        </is>
      </c>
      <c r="E216" t="inlineStr">
        <is>
          <t>GOTLAND</t>
        </is>
      </c>
      <c r="G216" t="n">
        <v>1</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45968</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45968</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45968</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45968</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45968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45968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47369-2021</t>
        </is>
      </c>
      <c r="B223" s="1" t="n">
        <v>44447</v>
      </c>
      <c r="C223" s="1" t="n">
        <v>45968</v>
      </c>
      <c r="D223" t="inlineStr">
        <is>
          <t>GOTLANDS LÄN</t>
        </is>
      </c>
      <c r="E223" t="inlineStr">
        <is>
          <t>GOTLAND</t>
        </is>
      </c>
      <c r="G223" t="n">
        <v>2.3</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45968</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1229-2021</t>
        </is>
      </c>
      <c r="B225" s="1" t="n">
        <v>44208</v>
      </c>
      <c r="C225" s="1" t="n">
        <v>45968</v>
      </c>
      <c r="D225" t="inlineStr">
        <is>
          <t>GOTLANDS LÄN</t>
        </is>
      </c>
      <c r="E225" t="inlineStr">
        <is>
          <t>GOTLAND</t>
        </is>
      </c>
      <c r="G225" t="n">
        <v>5.3</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45968</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62120-2020</t>
        </is>
      </c>
      <c r="B227" s="1" t="n">
        <v>44158</v>
      </c>
      <c r="C227" s="1" t="n">
        <v>45968</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3271-2021</t>
        </is>
      </c>
      <c r="B228" s="1" t="n">
        <v>44217</v>
      </c>
      <c r="C228" s="1" t="n">
        <v>45968</v>
      </c>
      <c r="D228" t="inlineStr">
        <is>
          <t>GOTLANDS LÄN</t>
        </is>
      </c>
      <c r="E228" t="inlineStr">
        <is>
          <t>GOTLAND</t>
        </is>
      </c>
      <c r="G228" t="n">
        <v>0.7</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45968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45968</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45968</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71010-2021</t>
        </is>
      </c>
      <c r="B232" s="1" t="n">
        <v>44538.63775462963</v>
      </c>
      <c r="C232" s="1" t="n">
        <v>45968</v>
      </c>
      <c r="D232" t="inlineStr">
        <is>
          <t>GOTLANDS LÄN</t>
        </is>
      </c>
      <c r="E232" t="inlineStr">
        <is>
          <t>GOTLAND</t>
        </is>
      </c>
      <c r="G232" t="n">
        <v>0.5</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45968</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45968</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45968</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17354-2022</t>
        </is>
      </c>
      <c r="B236" s="1" t="n">
        <v>44678</v>
      </c>
      <c r="C236" s="1" t="n">
        <v>45968</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45968</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45968</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45968</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45968</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45968</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14413-2022</t>
        </is>
      </c>
      <c r="B242" s="1" t="n">
        <v>44652</v>
      </c>
      <c r="C242" s="1" t="n">
        <v>45968</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44942-2022</t>
        </is>
      </c>
      <c r="B243" s="1" t="n">
        <v>44841</v>
      </c>
      <c r="C243" s="1" t="n">
        <v>45968</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20165-2022</t>
        </is>
      </c>
      <c r="B244" s="1" t="n">
        <v>44698.49854166667</v>
      </c>
      <c r="C244" s="1" t="n">
        <v>45968</v>
      </c>
      <c r="D244" t="inlineStr">
        <is>
          <t>GOTLANDS LÄN</t>
        </is>
      </c>
      <c r="E244" t="inlineStr">
        <is>
          <t>GOTLAND</t>
        </is>
      </c>
      <c r="G244" t="n">
        <v>4.1</v>
      </c>
      <c r="H244" t="n">
        <v>0</v>
      </c>
      <c r="I244" t="n">
        <v>0</v>
      </c>
      <c r="J244" t="n">
        <v>0</v>
      </c>
      <c r="K244" t="n">
        <v>0</v>
      </c>
      <c r="L244" t="n">
        <v>0</v>
      </c>
      <c r="M244" t="n">
        <v>0</v>
      </c>
      <c r="N244" t="n">
        <v>0</v>
      </c>
      <c r="O244" t="n">
        <v>0</v>
      </c>
      <c r="P244" t="n">
        <v>0</v>
      </c>
      <c r="Q244" t="n">
        <v>0</v>
      </c>
      <c r="R244" s="2" t="inlineStr"/>
    </row>
    <row r="245" ht="15" customHeight="1">
      <c r="A245" t="inlineStr">
        <is>
          <t>A 53225-2022</t>
        </is>
      </c>
      <c r="B245" s="1" t="n">
        <v>44876</v>
      </c>
      <c r="C245" s="1" t="n">
        <v>45968</v>
      </c>
      <c r="D245" t="inlineStr">
        <is>
          <t>GOTLANDS LÄN</t>
        </is>
      </c>
      <c r="E245" t="inlineStr">
        <is>
          <t>GOTLAND</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17780-2022</t>
        </is>
      </c>
      <c r="B246" s="1" t="n">
        <v>44682.82622685185</v>
      </c>
      <c r="C246" s="1" t="n">
        <v>45968</v>
      </c>
      <c r="D246" t="inlineStr">
        <is>
          <t>GOTLANDS LÄN</t>
        </is>
      </c>
      <c r="E246" t="inlineStr">
        <is>
          <t>GOTLAND</t>
        </is>
      </c>
      <c r="G246" t="n">
        <v>2.2</v>
      </c>
      <c r="H246" t="n">
        <v>0</v>
      </c>
      <c r="I246" t="n">
        <v>0</v>
      </c>
      <c r="J246" t="n">
        <v>0</v>
      </c>
      <c r="K246" t="n">
        <v>0</v>
      </c>
      <c r="L246" t="n">
        <v>0</v>
      </c>
      <c r="M246" t="n">
        <v>0</v>
      </c>
      <c r="N246" t="n">
        <v>0</v>
      </c>
      <c r="O246" t="n">
        <v>0</v>
      </c>
      <c r="P246" t="n">
        <v>0</v>
      </c>
      <c r="Q246" t="n">
        <v>0</v>
      </c>
      <c r="R246" s="2" t="inlineStr"/>
    </row>
    <row r="247" ht="15" customHeight="1">
      <c r="A247" t="inlineStr">
        <is>
          <t>A 31264-2021</t>
        </is>
      </c>
      <c r="B247" s="1" t="n">
        <v>44368</v>
      </c>
      <c r="C247" s="1" t="n">
        <v>45968</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63516-2023</t>
        </is>
      </c>
      <c r="B248" s="1" t="n">
        <v>45274</v>
      </c>
      <c r="C248" s="1" t="n">
        <v>45968</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30055-2021</t>
        </is>
      </c>
      <c r="B249" s="1" t="n">
        <v>44363</v>
      </c>
      <c r="C249" s="1" t="n">
        <v>45968</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45968</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53935-2024</t>
        </is>
      </c>
      <c r="B251" s="1" t="n">
        <v>45615</v>
      </c>
      <c r="C251" s="1" t="n">
        <v>45968</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23856-2025</t>
        </is>
      </c>
      <c r="B252" s="1" t="n">
        <v>45793</v>
      </c>
      <c r="C252" s="1" t="n">
        <v>45968</v>
      </c>
      <c r="D252" t="inlineStr">
        <is>
          <t>GOTLANDS LÄN</t>
        </is>
      </c>
      <c r="E252" t="inlineStr">
        <is>
          <t>GOTLAND</t>
        </is>
      </c>
      <c r="G252" t="n">
        <v>4.4</v>
      </c>
      <c r="H252" t="n">
        <v>0</v>
      </c>
      <c r="I252" t="n">
        <v>0</v>
      </c>
      <c r="J252" t="n">
        <v>0</v>
      </c>
      <c r="K252" t="n">
        <v>0</v>
      </c>
      <c r="L252" t="n">
        <v>0</v>
      </c>
      <c r="M252" t="n">
        <v>0</v>
      </c>
      <c r="N252" t="n">
        <v>0</v>
      </c>
      <c r="O252" t="n">
        <v>0</v>
      </c>
      <c r="P252" t="n">
        <v>0</v>
      </c>
      <c r="Q252" t="n">
        <v>0</v>
      </c>
      <c r="R252" s="2" t="inlineStr"/>
    </row>
    <row r="253" ht="15" customHeight="1">
      <c r="A253" t="inlineStr">
        <is>
          <t>A 23473-2025</t>
        </is>
      </c>
      <c r="B253" s="1" t="n">
        <v>45792</v>
      </c>
      <c r="C253" s="1" t="n">
        <v>45968</v>
      </c>
      <c r="D253" t="inlineStr">
        <is>
          <t>GOTLANDS LÄN</t>
        </is>
      </c>
      <c r="E253" t="inlineStr">
        <is>
          <t>GOTLAND</t>
        </is>
      </c>
      <c r="G253" t="n">
        <v>3.6</v>
      </c>
      <c r="H253" t="n">
        <v>0</v>
      </c>
      <c r="I253" t="n">
        <v>0</v>
      </c>
      <c r="J253" t="n">
        <v>0</v>
      </c>
      <c r="K253" t="n">
        <v>0</v>
      </c>
      <c r="L253" t="n">
        <v>0</v>
      </c>
      <c r="M253" t="n">
        <v>0</v>
      </c>
      <c r="N253" t="n">
        <v>0</v>
      </c>
      <c r="O253" t="n">
        <v>0</v>
      </c>
      <c r="P253" t="n">
        <v>0</v>
      </c>
      <c r="Q253" t="n">
        <v>0</v>
      </c>
      <c r="R253" s="2" t="inlineStr"/>
    </row>
    <row r="254" ht="15" customHeight="1">
      <c r="A254" t="inlineStr">
        <is>
          <t>A 43223-2023</t>
        </is>
      </c>
      <c r="B254" s="1" t="n">
        <v>45183.45642361111</v>
      </c>
      <c r="C254" s="1" t="n">
        <v>45968</v>
      </c>
      <c r="D254" t="inlineStr">
        <is>
          <t>GOTLANDS LÄN</t>
        </is>
      </c>
      <c r="E254" t="inlineStr">
        <is>
          <t>GOTLAND</t>
        </is>
      </c>
      <c r="G254" t="n">
        <v>1.8</v>
      </c>
      <c r="H254" t="n">
        <v>0</v>
      </c>
      <c r="I254" t="n">
        <v>0</v>
      </c>
      <c r="J254" t="n">
        <v>0</v>
      </c>
      <c r="K254" t="n">
        <v>0</v>
      </c>
      <c r="L254" t="n">
        <v>0</v>
      </c>
      <c r="M254" t="n">
        <v>0</v>
      </c>
      <c r="N254" t="n">
        <v>0</v>
      </c>
      <c r="O254" t="n">
        <v>0</v>
      </c>
      <c r="P254" t="n">
        <v>0</v>
      </c>
      <c r="Q254" t="n">
        <v>0</v>
      </c>
      <c r="R254" s="2" t="inlineStr"/>
    </row>
    <row r="255" ht="15" customHeight="1">
      <c r="A255" t="inlineStr">
        <is>
          <t>A 61962-2024</t>
        </is>
      </c>
      <c r="B255" s="1" t="n">
        <v>45653.54340277778</v>
      </c>
      <c r="C255" s="1" t="n">
        <v>45968</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23698-2025</t>
        </is>
      </c>
      <c r="B256" s="1" t="n">
        <v>45793</v>
      </c>
      <c r="C256" s="1" t="n">
        <v>45968</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45968</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69112-2021</t>
        </is>
      </c>
      <c r="B258" s="1" t="n">
        <v>44530</v>
      </c>
      <c r="C258" s="1" t="n">
        <v>45968</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27930-2021</t>
        </is>
      </c>
      <c r="B259" s="1" t="n">
        <v>44354</v>
      </c>
      <c r="C259" s="1" t="n">
        <v>45968</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59469-2024</t>
        </is>
      </c>
      <c r="B260" s="1" t="n">
        <v>45638</v>
      </c>
      <c r="C260" s="1" t="n">
        <v>45968</v>
      </c>
      <c r="D260" t="inlineStr">
        <is>
          <t>GOTLANDS LÄN</t>
        </is>
      </c>
      <c r="E260" t="inlineStr">
        <is>
          <t>GOTLAND</t>
        </is>
      </c>
      <c r="G260" t="n">
        <v>0.4</v>
      </c>
      <c r="H260" t="n">
        <v>0</v>
      </c>
      <c r="I260" t="n">
        <v>0</v>
      </c>
      <c r="J260" t="n">
        <v>0</v>
      </c>
      <c r="K260" t="n">
        <v>0</v>
      </c>
      <c r="L260" t="n">
        <v>0</v>
      </c>
      <c r="M260" t="n">
        <v>0</v>
      </c>
      <c r="N260" t="n">
        <v>0</v>
      </c>
      <c r="O260" t="n">
        <v>0</v>
      </c>
      <c r="P260" t="n">
        <v>0</v>
      </c>
      <c r="Q260" t="n">
        <v>0</v>
      </c>
      <c r="R260" s="2" t="inlineStr"/>
    </row>
    <row r="261" ht="15" customHeight="1">
      <c r="A261" t="inlineStr">
        <is>
          <t>A 48734-2022</t>
        </is>
      </c>
      <c r="B261" s="1" t="n">
        <v>44855</v>
      </c>
      <c r="C261" s="1" t="n">
        <v>45968</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23516-2023</t>
        </is>
      </c>
      <c r="B262" s="1" t="n">
        <v>45076.93391203704</v>
      </c>
      <c r="C262" s="1" t="n">
        <v>45968</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43231-2023</t>
        </is>
      </c>
      <c r="B263" s="1" t="n">
        <v>45183.47025462963</v>
      </c>
      <c r="C263" s="1" t="n">
        <v>45968</v>
      </c>
      <c r="D263" t="inlineStr">
        <is>
          <t>GOTLANDS LÄN</t>
        </is>
      </c>
      <c r="E263" t="inlineStr">
        <is>
          <t>GOTLAND</t>
        </is>
      </c>
      <c r="G263" t="n">
        <v>3.6</v>
      </c>
      <c r="H263" t="n">
        <v>0</v>
      </c>
      <c r="I263" t="n">
        <v>0</v>
      </c>
      <c r="J263" t="n">
        <v>0</v>
      </c>
      <c r="K263" t="n">
        <v>0</v>
      </c>
      <c r="L263" t="n">
        <v>0</v>
      </c>
      <c r="M263" t="n">
        <v>0</v>
      </c>
      <c r="N263" t="n">
        <v>0</v>
      </c>
      <c r="O263" t="n">
        <v>0</v>
      </c>
      <c r="P263" t="n">
        <v>0</v>
      </c>
      <c r="Q263" t="n">
        <v>0</v>
      </c>
      <c r="R263" s="2" t="inlineStr"/>
    </row>
    <row r="264" ht="15" customHeight="1">
      <c r="A264" t="inlineStr">
        <is>
          <t>A 58230-2024</t>
        </is>
      </c>
      <c r="B264" s="1" t="n">
        <v>45632.51625</v>
      </c>
      <c r="C264" s="1" t="n">
        <v>45968</v>
      </c>
      <c r="D264" t="inlineStr">
        <is>
          <t>GOTLANDS LÄN</t>
        </is>
      </c>
      <c r="E264" t="inlineStr">
        <is>
          <t>GOTLAND</t>
        </is>
      </c>
      <c r="G264" t="n">
        <v>7.3</v>
      </c>
      <c r="H264" t="n">
        <v>0</v>
      </c>
      <c r="I264" t="n">
        <v>0</v>
      </c>
      <c r="J264" t="n">
        <v>0</v>
      </c>
      <c r="K264" t="n">
        <v>0</v>
      </c>
      <c r="L264" t="n">
        <v>0</v>
      </c>
      <c r="M264" t="n">
        <v>0</v>
      </c>
      <c r="N264" t="n">
        <v>0</v>
      </c>
      <c r="O264" t="n">
        <v>0</v>
      </c>
      <c r="P264" t="n">
        <v>0</v>
      </c>
      <c r="Q264" t="n">
        <v>0</v>
      </c>
      <c r="R264" s="2" t="inlineStr"/>
    </row>
    <row r="265" ht="15" customHeight="1">
      <c r="A265" t="inlineStr">
        <is>
          <t>A 64555-2023</t>
        </is>
      </c>
      <c r="B265" s="1" t="n">
        <v>45281</v>
      </c>
      <c r="C265" s="1" t="n">
        <v>45968</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457-2023</t>
        </is>
      </c>
      <c r="B266" s="1" t="n">
        <v>44929.87238425926</v>
      </c>
      <c r="C266" s="1" t="n">
        <v>45968</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459-2023</t>
        </is>
      </c>
      <c r="B267" s="1" t="n">
        <v>44929.87423611111</v>
      </c>
      <c r="C267" s="1" t="n">
        <v>45968</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5751-2024</t>
        </is>
      </c>
      <c r="B268" s="1" t="n">
        <v>45335.32702546296</v>
      </c>
      <c r="C268" s="1" t="n">
        <v>45968</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6749-2025</t>
        </is>
      </c>
      <c r="B269" s="1" t="n">
        <v>45700</v>
      </c>
      <c r="C269" s="1" t="n">
        <v>45968</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45968</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45968</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45968</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45968</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876-2024</t>
        </is>
      </c>
      <c r="B274" s="1" t="n">
        <v>45301</v>
      </c>
      <c r="C274" s="1" t="n">
        <v>45968</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58476-2022</t>
        </is>
      </c>
      <c r="B275" s="1" t="n">
        <v>44902</v>
      </c>
      <c r="C275" s="1" t="n">
        <v>45968</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26891-2024</t>
        </is>
      </c>
      <c r="B276" s="1" t="n">
        <v>45470.65540509259</v>
      </c>
      <c r="C276" s="1" t="n">
        <v>45968</v>
      </c>
      <c r="D276" t="inlineStr">
        <is>
          <t>GOTLANDS LÄN</t>
        </is>
      </c>
      <c r="E276" t="inlineStr">
        <is>
          <t>GOTLAND</t>
        </is>
      </c>
      <c r="G276" t="n">
        <v>0.8</v>
      </c>
      <c r="H276" t="n">
        <v>0</v>
      </c>
      <c r="I276" t="n">
        <v>0</v>
      </c>
      <c r="J276" t="n">
        <v>0</v>
      </c>
      <c r="K276" t="n">
        <v>0</v>
      </c>
      <c r="L276" t="n">
        <v>0</v>
      </c>
      <c r="M276" t="n">
        <v>0</v>
      </c>
      <c r="N276" t="n">
        <v>0</v>
      </c>
      <c r="O276" t="n">
        <v>0</v>
      </c>
      <c r="P276" t="n">
        <v>0</v>
      </c>
      <c r="Q276" t="n">
        <v>0</v>
      </c>
      <c r="R276" s="2" t="inlineStr"/>
    </row>
    <row r="277" ht="15" customHeight="1">
      <c r="A277" t="inlineStr">
        <is>
          <t>A 14536-2021</t>
        </is>
      </c>
      <c r="B277" s="1" t="n">
        <v>44279.66168981481</v>
      </c>
      <c r="C277" s="1" t="n">
        <v>45968</v>
      </c>
      <c r="D277" t="inlineStr">
        <is>
          <t>GOTLANDS LÄN</t>
        </is>
      </c>
      <c r="E277" t="inlineStr">
        <is>
          <t>GOTLAND</t>
        </is>
      </c>
      <c r="G277" t="n">
        <v>8.5</v>
      </c>
      <c r="H277" t="n">
        <v>0</v>
      </c>
      <c r="I277" t="n">
        <v>0</v>
      </c>
      <c r="J277" t="n">
        <v>0</v>
      </c>
      <c r="K277" t="n">
        <v>0</v>
      </c>
      <c r="L277" t="n">
        <v>0</v>
      </c>
      <c r="M277" t="n">
        <v>0</v>
      </c>
      <c r="N277" t="n">
        <v>0</v>
      </c>
      <c r="O277" t="n">
        <v>0</v>
      </c>
      <c r="P277" t="n">
        <v>0</v>
      </c>
      <c r="Q277" t="n">
        <v>0</v>
      </c>
      <c r="R277" s="2" t="inlineStr"/>
    </row>
    <row r="278" ht="15" customHeight="1">
      <c r="A278" t="inlineStr">
        <is>
          <t>A 5923-2023</t>
        </is>
      </c>
      <c r="B278" s="1" t="n">
        <v>44963.69503472222</v>
      </c>
      <c r="C278" s="1" t="n">
        <v>45968</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5462-2025</t>
        </is>
      </c>
      <c r="B279" s="1" t="n">
        <v>45693.29331018519</v>
      </c>
      <c r="C279" s="1" t="n">
        <v>45968</v>
      </c>
      <c r="D279" t="inlineStr">
        <is>
          <t>GOTLANDS LÄN</t>
        </is>
      </c>
      <c r="E279" t="inlineStr">
        <is>
          <t>GOTLAND</t>
        </is>
      </c>
      <c r="G279" t="n">
        <v>2.6</v>
      </c>
      <c r="H279" t="n">
        <v>0</v>
      </c>
      <c r="I279" t="n">
        <v>0</v>
      </c>
      <c r="J279" t="n">
        <v>0</v>
      </c>
      <c r="K279" t="n">
        <v>0</v>
      </c>
      <c r="L279" t="n">
        <v>0</v>
      </c>
      <c r="M279" t="n">
        <v>0</v>
      </c>
      <c r="N279" t="n">
        <v>0</v>
      </c>
      <c r="O279" t="n">
        <v>0</v>
      </c>
      <c r="P279" t="n">
        <v>0</v>
      </c>
      <c r="Q279" t="n">
        <v>0</v>
      </c>
      <c r="R279" s="2" t="inlineStr"/>
    </row>
    <row r="280" ht="15" customHeight="1">
      <c r="A280" t="inlineStr">
        <is>
          <t>A 50482-2024</t>
        </is>
      </c>
      <c r="B280" s="1" t="n">
        <v>45601.48114583334</v>
      </c>
      <c r="C280" s="1" t="n">
        <v>45968</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38165-2023</t>
        </is>
      </c>
      <c r="B281" s="1" t="n">
        <v>45161</v>
      </c>
      <c r="C281" s="1" t="n">
        <v>45968</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5943-2024</t>
        </is>
      </c>
      <c r="B282" s="1" t="n">
        <v>45336</v>
      </c>
      <c r="C282" s="1" t="n">
        <v>45968</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38234-2023</t>
        </is>
      </c>
      <c r="B283" s="1" t="n">
        <v>45161.56663194444</v>
      </c>
      <c r="C283" s="1" t="n">
        <v>45968</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1273-2023</t>
        </is>
      </c>
      <c r="B284" s="1" t="n">
        <v>44936</v>
      </c>
      <c r="C284" s="1" t="n">
        <v>45968</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49693-2023</t>
        </is>
      </c>
      <c r="B285" s="1" t="n">
        <v>45212.38138888889</v>
      </c>
      <c r="C285" s="1" t="n">
        <v>45968</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49697-2023</t>
        </is>
      </c>
      <c r="B286" s="1" t="n">
        <v>45212.38909722222</v>
      </c>
      <c r="C286" s="1" t="n">
        <v>45968</v>
      </c>
      <c r="D286" t="inlineStr">
        <is>
          <t>GOTLANDS LÄN</t>
        </is>
      </c>
      <c r="E286" t="inlineStr">
        <is>
          <t>GOTLAND</t>
        </is>
      </c>
      <c r="G286" t="n">
        <v>4.4</v>
      </c>
      <c r="H286" t="n">
        <v>0</v>
      </c>
      <c r="I286" t="n">
        <v>0</v>
      </c>
      <c r="J286" t="n">
        <v>0</v>
      </c>
      <c r="K286" t="n">
        <v>0</v>
      </c>
      <c r="L286" t="n">
        <v>0</v>
      </c>
      <c r="M286" t="n">
        <v>0</v>
      </c>
      <c r="N286" t="n">
        <v>0</v>
      </c>
      <c r="O286" t="n">
        <v>0</v>
      </c>
      <c r="P286" t="n">
        <v>0</v>
      </c>
      <c r="Q286" t="n">
        <v>0</v>
      </c>
      <c r="R286" s="2" t="inlineStr"/>
    </row>
    <row r="287" ht="15" customHeight="1">
      <c r="A287" t="inlineStr">
        <is>
          <t>A 17724-2024</t>
        </is>
      </c>
      <c r="B287" s="1" t="n">
        <v>45418.55096064815</v>
      </c>
      <c r="C287" s="1" t="n">
        <v>45968</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34312-2024</t>
        </is>
      </c>
      <c r="B288" s="1" t="n">
        <v>45524.69703703704</v>
      </c>
      <c r="C288" s="1" t="n">
        <v>45968</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23978-2023</t>
        </is>
      </c>
      <c r="B289" s="1" t="n">
        <v>45078</v>
      </c>
      <c r="C289" s="1" t="n">
        <v>45968</v>
      </c>
      <c r="D289" t="inlineStr">
        <is>
          <t>GOTLANDS LÄN</t>
        </is>
      </c>
      <c r="E289" t="inlineStr">
        <is>
          <t>GOTLAND</t>
        </is>
      </c>
      <c r="F289" t="inlineStr">
        <is>
          <t>Naturvårdsverket</t>
        </is>
      </c>
      <c r="G289" t="n">
        <v>1.7</v>
      </c>
      <c r="H289" t="n">
        <v>0</v>
      </c>
      <c r="I289" t="n">
        <v>0</v>
      </c>
      <c r="J289" t="n">
        <v>0</v>
      </c>
      <c r="K289" t="n">
        <v>0</v>
      </c>
      <c r="L289" t="n">
        <v>0</v>
      </c>
      <c r="M289" t="n">
        <v>0</v>
      </c>
      <c r="N289" t="n">
        <v>0</v>
      </c>
      <c r="O289" t="n">
        <v>0</v>
      </c>
      <c r="P289" t="n">
        <v>0</v>
      </c>
      <c r="Q289" t="n">
        <v>0</v>
      </c>
      <c r="R289" s="2" t="inlineStr"/>
    </row>
    <row r="290" ht="15" customHeight="1">
      <c r="A290" t="inlineStr">
        <is>
          <t>A 49884-2023</t>
        </is>
      </c>
      <c r="B290" s="1" t="n">
        <v>45213</v>
      </c>
      <c r="C290" s="1" t="n">
        <v>45968</v>
      </c>
      <c r="D290" t="inlineStr">
        <is>
          <t>GOTLANDS LÄN</t>
        </is>
      </c>
      <c r="E290" t="inlineStr">
        <is>
          <t>GOTLAND</t>
        </is>
      </c>
      <c r="G290" t="n">
        <v>8.9</v>
      </c>
      <c r="H290" t="n">
        <v>0</v>
      </c>
      <c r="I290" t="n">
        <v>0</v>
      </c>
      <c r="J290" t="n">
        <v>0</v>
      </c>
      <c r="K290" t="n">
        <v>0</v>
      </c>
      <c r="L290" t="n">
        <v>0</v>
      </c>
      <c r="M290" t="n">
        <v>0</v>
      </c>
      <c r="N290" t="n">
        <v>0</v>
      </c>
      <c r="O290" t="n">
        <v>0</v>
      </c>
      <c r="P290" t="n">
        <v>0</v>
      </c>
      <c r="Q290" t="n">
        <v>0</v>
      </c>
      <c r="R290" s="2" t="inlineStr"/>
    </row>
    <row r="291" ht="15" customHeight="1">
      <c r="A291" t="inlineStr">
        <is>
          <t>A 12846-2025</t>
        </is>
      </c>
      <c r="B291" s="1" t="n">
        <v>45733.65049768519</v>
      </c>
      <c r="C291" s="1" t="n">
        <v>45968</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25796-2025</t>
        </is>
      </c>
      <c r="B292" s="1" t="n">
        <v>45804.39543981481</v>
      </c>
      <c r="C292" s="1" t="n">
        <v>45968</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43200-2023</t>
        </is>
      </c>
      <c r="B293" s="1" t="n">
        <v>45183</v>
      </c>
      <c r="C293" s="1" t="n">
        <v>45968</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48503-2023</t>
        </is>
      </c>
      <c r="B294" s="1" t="n">
        <v>45207</v>
      </c>
      <c r="C294" s="1" t="n">
        <v>45968</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63229-2021</t>
        </is>
      </c>
      <c r="B295" s="1" t="n">
        <v>44508.34518518519</v>
      </c>
      <c r="C295" s="1" t="n">
        <v>45968</v>
      </c>
      <c r="D295" t="inlineStr">
        <is>
          <t>GOTLANDS LÄN</t>
        </is>
      </c>
      <c r="E295" t="inlineStr">
        <is>
          <t>GOTLAND</t>
        </is>
      </c>
      <c r="F295" t="inlineStr">
        <is>
          <t>Kyrkan</t>
        </is>
      </c>
      <c r="G295" t="n">
        <v>3.8</v>
      </c>
      <c r="H295" t="n">
        <v>0</v>
      </c>
      <c r="I295" t="n">
        <v>0</v>
      </c>
      <c r="J295" t="n">
        <v>0</v>
      </c>
      <c r="K295" t="n">
        <v>0</v>
      </c>
      <c r="L295" t="n">
        <v>0</v>
      </c>
      <c r="M295" t="n">
        <v>0</v>
      </c>
      <c r="N295" t="n">
        <v>0</v>
      </c>
      <c r="O295" t="n">
        <v>0</v>
      </c>
      <c r="P295" t="n">
        <v>0</v>
      </c>
      <c r="Q295" t="n">
        <v>0</v>
      </c>
      <c r="R295" s="2" t="inlineStr"/>
    </row>
    <row r="296" ht="15" customHeight="1">
      <c r="A296" t="inlineStr">
        <is>
          <t>A 3935-2025</t>
        </is>
      </c>
      <c r="B296" s="1" t="n">
        <v>45684.46070601852</v>
      </c>
      <c r="C296" s="1" t="n">
        <v>45968</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61596-2023</t>
        </is>
      </c>
      <c r="B297" s="1" t="n">
        <v>45265</v>
      </c>
      <c r="C297" s="1" t="n">
        <v>45968</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24825-2024</t>
        </is>
      </c>
      <c r="B298" s="1" t="n">
        <v>45461</v>
      </c>
      <c r="C298" s="1" t="n">
        <v>45968</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873-2024</t>
        </is>
      </c>
      <c r="B299" s="1" t="n">
        <v>45301</v>
      </c>
      <c r="C299" s="1" t="n">
        <v>45968</v>
      </c>
      <c r="D299" t="inlineStr">
        <is>
          <t>GOTLANDS LÄN</t>
        </is>
      </c>
      <c r="E299" t="inlineStr">
        <is>
          <t>GOTLAND</t>
        </is>
      </c>
      <c r="G299" t="n">
        <v>2.7</v>
      </c>
      <c r="H299" t="n">
        <v>0</v>
      </c>
      <c r="I299" t="n">
        <v>0</v>
      </c>
      <c r="J299" t="n">
        <v>0</v>
      </c>
      <c r="K299" t="n">
        <v>0</v>
      </c>
      <c r="L299" t="n">
        <v>0</v>
      </c>
      <c r="M299" t="n">
        <v>0</v>
      </c>
      <c r="N299" t="n">
        <v>0</v>
      </c>
      <c r="O299" t="n">
        <v>0</v>
      </c>
      <c r="P299" t="n">
        <v>0</v>
      </c>
      <c r="Q299" t="n">
        <v>0</v>
      </c>
      <c r="R299" s="2" t="inlineStr"/>
    </row>
    <row r="300" ht="15" customHeight="1">
      <c r="A300" t="inlineStr">
        <is>
          <t>A 44228-2022</t>
        </is>
      </c>
      <c r="B300" s="1" t="n">
        <v>44839.51599537037</v>
      </c>
      <c r="C300" s="1" t="n">
        <v>45968</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26391-2025</t>
        </is>
      </c>
      <c r="B301" s="1" t="n">
        <v>45806</v>
      </c>
      <c r="C301" s="1" t="n">
        <v>45968</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26465-2025</t>
        </is>
      </c>
      <c r="B302" s="1" t="n">
        <v>45807.44377314814</v>
      </c>
      <c r="C302" s="1" t="n">
        <v>45968</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26457-2025</t>
        </is>
      </c>
      <c r="B303" s="1" t="n">
        <v>45807.42773148148</v>
      </c>
      <c r="C303" s="1" t="n">
        <v>45968</v>
      </c>
      <c r="D303" t="inlineStr">
        <is>
          <t>GOTLANDS LÄN</t>
        </is>
      </c>
      <c r="E303" t="inlineStr">
        <is>
          <t>GOTLAND</t>
        </is>
      </c>
      <c r="G303" t="n">
        <v>5.7</v>
      </c>
      <c r="H303" t="n">
        <v>0</v>
      </c>
      <c r="I303" t="n">
        <v>0</v>
      </c>
      <c r="J303" t="n">
        <v>0</v>
      </c>
      <c r="K303" t="n">
        <v>0</v>
      </c>
      <c r="L303" t="n">
        <v>0</v>
      </c>
      <c r="M303" t="n">
        <v>0</v>
      </c>
      <c r="N303" t="n">
        <v>0</v>
      </c>
      <c r="O303" t="n">
        <v>0</v>
      </c>
      <c r="P303" t="n">
        <v>0</v>
      </c>
      <c r="Q303" t="n">
        <v>0</v>
      </c>
      <c r="R303" s="2" t="inlineStr"/>
    </row>
    <row r="304" ht="15" customHeight="1">
      <c r="A304" t="inlineStr">
        <is>
          <t>A 26467-2025</t>
        </is>
      </c>
      <c r="B304" s="1" t="n">
        <v>45807.44640046296</v>
      </c>
      <c r="C304" s="1" t="n">
        <v>45968</v>
      </c>
      <c r="D304" t="inlineStr">
        <is>
          <t>GOTLANDS LÄN</t>
        </is>
      </c>
      <c r="E304" t="inlineStr">
        <is>
          <t>GOTLAND</t>
        </is>
      </c>
      <c r="G304" t="n">
        <v>0.7</v>
      </c>
      <c r="H304" t="n">
        <v>0</v>
      </c>
      <c r="I304" t="n">
        <v>0</v>
      </c>
      <c r="J304" t="n">
        <v>0</v>
      </c>
      <c r="K304" t="n">
        <v>0</v>
      </c>
      <c r="L304" t="n">
        <v>0</v>
      </c>
      <c r="M304" t="n">
        <v>0</v>
      </c>
      <c r="N304" t="n">
        <v>0</v>
      </c>
      <c r="O304" t="n">
        <v>0</v>
      </c>
      <c r="P304" t="n">
        <v>0</v>
      </c>
      <c r="Q304" t="n">
        <v>0</v>
      </c>
      <c r="R304" s="2" t="inlineStr"/>
    </row>
    <row r="305" ht="15" customHeight="1">
      <c r="A305" t="inlineStr">
        <is>
          <t>A 21792-2024</t>
        </is>
      </c>
      <c r="B305" s="1" t="n">
        <v>45442.64326388889</v>
      </c>
      <c r="C305" s="1" t="n">
        <v>45968</v>
      </c>
      <c r="D305" t="inlineStr">
        <is>
          <t>GOTLANDS LÄN</t>
        </is>
      </c>
      <c r="E305" t="inlineStr">
        <is>
          <t>GOTLAND</t>
        </is>
      </c>
      <c r="G305" t="n">
        <v>1</v>
      </c>
      <c r="H305" t="n">
        <v>0</v>
      </c>
      <c r="I305" t="n">
        <v>0</v>
      </c>
      <c r="J305" t="n">
        <v>0</v>
      </c>
      <c r="K305" t="n">
        <v>0</v>
      </c>
      <c r="L305" t="n">
        <v>0</v>
      </c>
      <c r="M305" t="n">
        <v>0</v>
      </c>
      <c r="N305" t="n">
        <v>0</v>
      </c>
      <c r="O305" t="n">
        <v>0</v>
      </c>
      <c r="P305" t="n">
        <v>0</v>
      </c>
      <c r="Q305" t="n">
        <v>0</v>
      </c>
      <c r="R305" s="2" t="inlineStr"/>
    </row>
    <row r="306" ht="15" customHeight="1">
      <c r="A306" t="inlineStr">
        <is>
          <t>A 61386-2023</t>
        </is>
      </c>
      <c r="B306" s="1" t="n">
        <v>45264</v>
      </c>
      <c r="C306" s="1" t="n">
        <v>45968</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22031-2024</t>
        </is>
      </c>
      <c r="B307" s="1" t="n">
        <v>45443.60075231481</v>
      </c>
      <c r="C307" s="1" t="n">
        <v>45968</v>
      </c>
      <c r="D307" t="inlineStr">
        <is>
          <t>GOTLANDS LÄN</t>
        </is>
      </c>
      <c r="E307" t="inlineStr">
        <is>
          <t>GOTLAND</t>
        </is>
      </c>
      <c r="G307" t="n">
        <v>2.3</v>
      </c>
      <c r="H307" t="n">
        <v>0</v>
      </c>
      <c r="I307" t="n">
        <v>0</v>
      </c>
      <c r="J307" t="n">
        <v>0</v>
      </c>
      <c r="K307" t="n">
        <v>0</v>
      </c>
      <c r="L307" t="n">
        <v>0</v>
      </c>
      <c r="M307" t="n">
        <v>0</v>
      </c>
      <c r="N307" t="n">
        <v>0</v>
      </c>
      <c r="O307" t="n">
        <v>0</v>
      </c>
      <c r="P307" t="n">
        <v>0</v>
      </c>
      <c r="Q307" t="n">
        <v>0</v>
      </c>
      <c r="R307" s="2" t="inlineStr"/>
    </row>
    <row r="308" ht="15" customHeight="1">
      <c r="A308" t="inlineStr">
        <is>
          <t>A 17688-2024</t>
        </is>
      </c>
      <c r="B308" s="1" t="n">
        <v>45418.43575231481</v>
      </c>
      <c r="C308" s="1" t="n">
        <v>45968</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27593-2023</t>
        </is>
      </c>
      <c r="B309" s="1" t="n">
        <v>45097</v>
      </c>
      <c r="C309" s="1" t="n">
        <v>45968</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25129-2023</t>
        </is>
      </c>
      <c r="B310" s="1" t="n">
        <v>45086.44261574074</v>
      </c>
      <c r="C310" s="1" t="n">
        <v>45968</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26660-2025</t>
        </is>
      </c>
      <c r="B311" s="1" t="n">
        <v>45810.39737268518</v>
      </c>
      <c r="C311" s="1" t="n">
        <v>45968</v>
      </c>
      <c r="D311" t="inlineStr">
        <is>
          <t>GOTLANDS LÄN</t>
        </is>
      </c>
      <c r="E311" t="inlineStr">
        <is>
          <t>GOTLAND</t>
        </is>
      </c>
      <c r="G311" t="n">
        <v>1.8</v>
      </c>
      <c r="H311" t="n">
        <v>0</v>
      </c>
      <c r="I311" t="n">
        <v>0</v>
      </c>
      <c r="J311" t="n">
        <v>0</v>
      </c>
      <c r="K311" t="n">
        <v>0</v>
      </c>
      <c r="L311" t="n">
        <v>0</v>
      </c>
      <c r="M311" t="n">
        <v>0</v>
      </c>
      <c r="N311" t="n">
        <v>0</v>
      </c>
      <c r="O311" t="n">
        <v>0</v>
      </c>
      <c r="P311" t="n">
        <v>0</v>
      </c>
      <c r="Q311" t="n">
        <v>0</v>
      </c>
      <c r="R311" s="2" t="inlineStr"/>
    </row>
    <row r="312" ht="15" customHeight="1">
      <c r="A312" t="inlineStr">
        <is>
          <t>A 48843-2024</t>
        </is>
      </c>
      <c r="B312" s="1" t="n">
        <v>45593</v>
      </c>
      <c r="C312" s="1" t="n">
        <v>45968</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27694-2024</t>
        </is>
      </c>
      <c r="B313" s="1" t="n">
        <v>45475</v>
      </c>
      <c r="C313" s="1" t="n">
        <v>45968</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39764-2022</t>
        </is>
      </c>
      <c r="B314" s="1" t="n">
        <v>44819</v>
      </c>
      <c r="C314" s="1" t="n">
        <v>45968</v>
      </c>
      <c r="D314" t="inlineStr">
        <is>
          <t>GOTLANDS LÄN</t>
        </is>
      </c>
      <c r="E314" t="inlineStr">
        <is>
          <t>GOTLAND</t>
        </is>
      </c>
      <c r="F314" t="inlineStr">
        <is>
          <t>Kyrkan</t>
        </is>
      </c>
      <c r="G314" t="n">
        <v>3.7</v>
      </c>
      <c r="H314" t="n">
        <v>0</v>
      </c>
      <c r="I314" t="n">
        <v>0</v>
      </c>
      <c r="J314" t="n">
        <v>0</v>
      </c>
      <c r="K314" t="n">
        <v>0</v>
      </c>
      <c r="L314" t="n">
        <v>0</v>
      </c>
      <c r="M314" t="n">
        <v>0</v>
      </c>
      <c r="N314" t="n">
        <v>0</v>
      </c>
      <c r="O314" t="n">
        <v>0</v>
      </c>
      <c r="P314" t="n">
        <v>0</v>
      </c>
      <c r="Q314" t="n">
        <v>0</v>
      </c>
      <c r="R314" s="2" t="inlineStr"/>
    </row>
    <row r="315" ht="15" customHeight="1">
      <c r="A315" t="inlineStr">
        <is>
          <t>A 27355-2025</t>
        </is>
      </c>
      <c r="B315" s="1" t="n">
        <v>45812</v>
      </c>
      <c r="C315" s="1" t="n">
        <v>45968</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6099-2024</t>
        </is>
      </c>
      <c r="B316" s="1" t="n">
        <v>45337</v>
      </c>
      <c r="C316" s="1" t="n">
        <v>45968</v>
      </c>
      <c r="D316" t="inlineStr">
        <is>
          <t>GOTLANDS LÄN</t>
        </is>
      </c>
      <c r="E316" t="inlineStr">
        <is>
          <t>GOTLAND</t>
        </is>
      </c>
      <c r="G316" t="n">
        <v>12.6</v>
      </c>
      <c r="H316" t="n">
        <v>0</v>
      </c>
      <c r="I316" t="n">
        <v>0</v>
      </c>
      <c r="J316" t="n">
        <v>0</v>
      </c>
      <c r="K316" t="n">
        <v>0</v>
      </c>
      <c r="L316" t="n">
        <v>0</v>
      </c>
      <c r="M316" t="n">
        <v>0</v>
      </c>
      <c r="N316" t="n">
        <v>0</v>
      </c>
      <c r="O316" t="n">
        <v>0</v>
      </c>
      <c r="P316" t="n">
        <v>0</v>
      </c>
      <c r="Q316" t="n">
        <v>0</v>
      </c>
      <c r="R316" s="2" t="inlineStr"/>
    </row>
    <row r="317" ht="15" customHeight="1">
      <c r="A317" t="inlineStr">
        <is>
          <t>A 8260-2023</t>
        </is>
      </c>
      <c r="B317" s="1" t="n">
        <v>44974.61608796296</v>
      </c>
      <c r="C317" s="1" t="n">
        <v>45968</v>
      </c>
      <c r="D317" t="inlineStr">
        <is>
          <t>GOTLANDS LÄN</t>
        </is>
      </c>
      <c r="E317" t="inlineStr">
        <is>
          <t>GOTLAND</t>
        </is>
      </c>
      <c r="G317" t="n">
        <v>2.9</v>
      </c>
      <c r="H317" t="n">
        <v>0</v>
      </c>
      <c r="I317" t="n">
        <v>0</v>
      </c>
      <c r="J317" t="n">
        <v>0</v>
      </c>
      <c r="K317" t="n">
        <v>0</v>
      </c>
      <c r="L317" t="n">
        <v>0</v>
      </c>
      <c r="M317" t="n">
        <v>0</v>
      </c>
      <c r="N317" t="n">
        <v>0</v>
      </c>
      <c r="O317" t="n">
        <v>0</v>
      </c>
      <c r="P317" t="n">
        <v>0</v>
      </c>
      <c r="Q317" t="n">
        <v>0</v>
      </c>
      <c r="R317" s="2" t="inlineStr"/>
    </row>
    <row r="318" ht="15" customHeight="1">
      <c r="A318" t="inlineStr">
        <is>
          <t>A 27371-2025</t>
        </is>
      </c>
      <c r="B318" s="1" t="n">
        <v>45812</v>
      </c>
      <c r="C318" s="1" t="n">
        <v>45968</v>
      </c>
      <c r="D318" t="inlineStr">
        <is>
          <t>GOTLANDS LÄN</t>
        </is>
      </c>
      <c r="E318" t="inlineStr">
        <is>
          <t>GOTLAND</t>
        </is>
      </c>
      <c r="G318" t="n">
        <v>8</v>
      </c>
      <c r="H318" t="n">
        <v>0</v>
      </c>
      <c r="I318" t="n">
        <v>0</v>
      </c>
      <c r="J318" t="n">
        <v>0</v>
      </c>
      <c r="K318" t="n">
        <v>0</v>
      </c>
      <c r="L318" t="n">
        <v>0</v>
      </c>
      <c r="M318" t="n">
        <v>0</v>
      </c>
      <c r="N318" t="n">
        <v>0</v>
      </c>
      <c r="O318" t="n">
        <v>0</v>
      </c>
      <c r="P318" t="n">
        <v>0</v>
      </c>
      <c r="Q318" t="n">
        <v>0</v>
      </c>
      <c r="R318" s="2" t="inlineStr"/>
    </row>
    <row r="319" ht="15" customHeight="1">
      <c r="A319" t="inlineStr">
        <is>
          <t>A 10653-2023</t>
        </is>
      </c>
      <c r="B319" s="1" t="n">
        <v>44988.48859953704</v>
      </c>
      <c r="C319" s="1" t="n">
        <v>45968</v>
      </c>
      <c r="D319" t="inlineStr">
        <is>
          <t>GOTLANDS LÄN</t>
        </is>
      </c>
      <c r="E319" t="inlineStr">
        <is>
          <t>GOTLAND</t>
        </is>
      </c>
      <c r="F319" t="inlineStr">
        <is>
          <t>Kyrkan</t>
        </is>
      </c>
      <c r="G319" t="n">
        <v>3</v>
      </c>
      <c r="H319" t="n">
        <v>0</v>
      </c>
      <c r="I319" t="n">
        <v>0</v>
      </c>
      <c r="J319" t="n">
        <v>0</v>
      </c>
      <c r="K319" t="n">
        <v>0</v>
      </c>
      <c r="L319" t="n">
        <v>0</v>
      </c>
      <c r="M319" t="n">
        <v>0</v>
      </c>
      <c r="N319" t="n">
        <v>0</v>
      </c>
      <c r="O319" t="n">
        <v>0</v>
      </c>
      <c r="P319" t="n">
        <v>0</v>
      </c>
      <c r="Q319" t="n">
        <v>0</v>
      </c>
      <c r="R319" s="2" t="inlineStr"/>
    </row>
    <row r="320" ht="15" customHeight="1">
      <c r="A320" t="inlineStr">
        <is>
          <t>A 35512-2023</t>
        </is>
      </c>
      <c r="B320" s="1" t="n">
        <v>45147.25623842593</v>
      </c>
      <c r="C320" s="1" t="n">
        <v>45968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22287-2022</t>
        </is>
      </c>
      <c r="B321" s="1" t="n">
        <v>44712</v>
      </c>
      <c r="C321" s="1" t="n">
        <v>45968</v>
      </c>
      <c r="D321" t="inlineStr">
        <is>
          <t>GOTLANDS LÄN</t>
        </is>
      </c>
      <c r="E321" t="inlineStr">
        <is>
          <t>GOTLAND</t>
        </is>
      </c>
      <c r="G321" t="n">
        <v>6.1</v>
      </c>
      <c r="H321" t="n">
        <v>0</v>
      </c>
      <c r="I321" t="n">
        <v>0</v>
      </c>
      <c r="J321" t="n">
        <v>0</v>
      </c>
      <c r="K321" t="n">
        <v>0</v>
      </c>
      <c r="L321" t="n">
        <v>0</v>
      </c>
      <c r="M321" t="n">
        <v>0</v>
      </c>
      <c r="N321" t="n">
        <v>0</v>
      </c>
      <c r="O321" t="n">
        <v>0</v>
      </c>
      <c r="P321" t="n">
        <v>0</v>
      </c>
      <c r="Q321" t="n">
        <v>0</v>
      </c>
      <c r="R321" s="2" t="inlineStr"/>
    </row>
    <row r="322" ht="15" customHeight="1">
      <c r="A322" t="inlineStr">
        <is>
          <t>A 11874-2024</t>
        </is>
      </c>
      <c r="B322" s="1" t="n">
        <v>45376.46956018519</v>
      </c>
      <c r="C322" s="1" t="n">
        <v>45968</v>
      </c>
      <c r="D322" t="inlineStr">
        <is>
          <t>GOTLANDS LÄN</t>
        </is>
      </c>
      <c r="E322" t="inlineStr">
        <is>
          <t>GOTLAND</t>
        </is>
      </c>
      <c r="G322" t="n">
        <v>0.8</v>
      </c>
      <c r="H322" t="n">
        <v>0</v>
      </c>
      <c r="I322" t="n">
        <v>0</v>
      </c>
      <c r="J322" t="n">
        <v>0</v>
      </c>
      <c r="K322" t="n">
        <v>0</v>
      </c>
      <c r="L322" t="n">
        <v>0</v>
      </c>
      <c r="M322" t="n">
        <v>0</v>
      </c>
      <c r="N322" t="n">
        <v>0</v>
      </c>
      <c r="O322" t="n">
        <v>0</v>
      </c>
      <c r="P322" t="n">
        <v>0</v>
      </c>
      <c r="Q322" t="n">
        <v>0</v>
      </c>
      <c r="R322" s="2" t="inlineStr"/>
    </row>
    <row r="323" ht="15" customHeight="1">
      <c r="A323" t="inlineStr">
        <is>
          <t>A 57534-2022</t>
        </is>
      </c>
      <c r="B323" s="1" t="n">
        <v>44896</v>
      </c>
      <c r="C323" s="1" t="n">
        <v>45968</v>
      </c>
      <c r="D323" t="inlineStr">
        <is>
          <t>GOTLANDS LÄN</t>
        </is>
      </c>
      <c r="E323" t="inlineStr">
        <is>
          <t>GOTLAND</t>
        </is>
      </c>
      <c r="G323" t="n">
        <v>0.6</v>
      </c>
      <c r="H323" t="n">
        <v>0</v>
      </c>
      <c r="I323" t="n">
        <v>0</v>
      </c>
      <c r="J323" t="n">
        <v>0</v>
      </c>
      <c r="K323" t="n">
        <v>0</v>
      </c>
      <c r="L323" t="n">
        <v>0</v>
      </c>
      <c r="M323" t="n">
        <v>0</v>
      </c>
      <c r="N323" t="n">
        <v>0</v>
      </c>
      <c r="O323" t="n">
        <v>0</v>
      </c>
      <c r="P323" t="n">
        <v>0</v>
      </c>
      <c r="Q323" t="n">
        <v>0</v>
      </c>
      <c r="R323" s="2" t="inlineStr"/>
    </row>
    <row r="324" ht="15" customHeight="1">
      <c r="A324" t="inlineStr">
        <is>
          <t>A 7850-2025</t>
        </is>
      </c>
      <c r="B324" s="1" t="n">
        <v>45706</v>
      </c>
      <c r="C324" s="1" t="n">
        <v>45968</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6739-2025</t>
        </is>
      </c>
      <c r="B325" s="1" t="n">
        <v>45700</v>
      </c>
      <c r="C325" s="1" t="n">
        <v>45968</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20225-2025</t>
        </is>
      </c>
      <c r="B326" s="1" t="n">
        <v>45772.65802083333</v>
      </c>
      <c r="C326" s="1" t="n">
        <v>45968</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8444-2025</t>
        </is>
      </c>
      <c r="B327" s="1" t="n">
        <v>45709</v>
      </c>
      <c r="C327" s="1" t="n">
        <v>45968</v>
      </c>
      <c r="D327" t="inlineStr">
        <is>
          <t>GOTLANDS LÄN</t>
        </is>
      </c>
      <c r="E327" t="inlineStr">
        <is>
          <t>GOTLAND</t>
        </is>
      </c>
      <c r="G327" t="n">
        <v>5.2</v>
      </c>
      <c r="H327" t="n">
        <v>0</v>
      </c>
      <c r="I327" t="n">
        <v>0</v>
      </c>
      <c r="J327" t="n">
        <v>0</v>
      </c>
      <c r="K327" t="n">
        <v>0</v>
      </c>
      <c r="L327" t="n">
        <v>0</v>
      </c>
      <c r="M327" t="n">
        <v>0</v>
      </c>
      <c r="N327" t="n">
        <v>0</v>
      </c>
      <c r="O327" t="n">
        <v>0</v>
      </c>
      <c r="P327" t="n">
        <v>0</v>
      </c>
      <c r="Q327" t="n">
        <v>0</v>
      </c>
      <c r="R327" s="2" t="inlineStr"/>
    </row>
    <row r="328" ht="15" customHeight="1">
      <c r="A328" t="inlineStr">
        <is>
          <t>A 19905-2025</t>
        </is>
      </c>
      <c r="B328" s="1" t="n">
        <v>45771</v>
      </c>
      <c r="C328" s="1" t="n">
        <v>45968</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1677-2023</t>
        </is>
      </c>
      <c r="B329" s="1" t="n">
        <v>44938</v>
      </c>
      <c r="C329" s="1" t="n">
        <v>45968</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64831-2023</t>
        </is>
      </c>
      <c r="B330" s="1" t="n">
        <v>45282.44924768519</v>
      </c>
      <c r="C330" s="1" t="n">
        <v>45968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64660-2023</t>
        </is>
      </c>
      <c r="B331" s="1" t="n">
        <v>45281.60122685185</v>
      </c>
      <c r="C331" s="1" t="n">
        <v>45968</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29207-2025</t>
        </is>
      </c>
      <c r="B332" s="1" t="n">
        <v>45823</v>
      </c>
      <c r="C332" s="1" t="n">
        <v>45968</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8036-2022</t>
        </is>
      </c>
      <c r="B333" s="1" t="n">
        <v>44609.44362268518</v>
      </c>
      <c r="C333" s="1" t="n">
        <v>45968</v>
      </c>
      <c r="D333" t="inlineStr">
        <is>
          <t>GOTLANDS LÄN</t>
        </is>
      </c>
      <c r="E333" t="inlineStr">
        <is>
          <t>GOTLAND</t>
        </is>
      </c>
      <c r="G333" t="n">
        <v>6.1</v>
      </c>
      <c r="H333" t="n">
        <v>0</v>
      </c>
      <c r="I333" t="n">
        <v>0</v>
      </c>
      <c r="J333" t="n">
        <v>0</v>
      </c>
      <c r="K333" t="n">
        <v>0</v>
      </c>
      <c r="L333" t="n">
        <v>0</v>
      </c>
      <c r="M333" t="n">
        <v>0</v>
      </c>
      <c r="N333" t="n">
        <v>0</v>
      </c>
      <c r="O333" t="n">
        <v>0</v>
      </c>
      <c r="P333" t="n">
        <v>0</v>
      </c>
      <c r="Q333" t="n">
        <v>0</v>
      </c>
      <c r="R333" s="2" t="inlineStr"/>
    </row>
    <row r="334" ht="15" customHeight="1">
      <c r="A334" t="inlineStr">
        <is>
          <t>A 29196-2025</t>
        </is>
      </c>
      <c r="B334" s="1" t="n">
        <v>45822</v>
      </c>
      <c r="C334" s="1" t="n">
        <v>45968</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46375-2024</t>
        </is>
      </c>
      <c r="B335" s="1" t="n">
        <v>45582</v>
      </c>
      <c r="C335" s="1" t="n">
        <v>45968</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62915-2021</t>
        </is>
      </c>
      <c r="B336" s="1" t="n">
        <v>44504</v>
      </c>
      <c r="C336" s="1" t="n">
        <v>45968</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7638-2025</t>
        </is>
      </c>
      <c r="B337" s="1" t="n">
        <v>45705.77306712963</v>
      </c>
      <c r="C337" s="1" t="n">
        <v>45968</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30061-2025</t>
        </is>
      </c>
      <c r="B338" s="1" t="n">
        <v>45826.61488425926</v>
      </c>
      <c r="C338" s="1" t="n">
        <v>45968</v>
      </c>
      <c r="D338" t="inlineStr">
        <is>
          <t>GOTLANDS LÄN</t>
        </is>
      </c>
      <c r="E338" t="inlineStr">
        <is>
          <t>GOTLAND</t>
        </is>
      </c>
      <c r="G338" t="n">
        <v>4.1</v>
      </c>
      <c r="H338" t="n">
        <v>0</v>
      </c>
      <c r="I338" t="n">
        <v>0</v>
      </c>
      <c r="J338" t="n">
        <v>0</v>
      </c>
      <c r="K338" t="n">
        <v>0</v>
      </c>
      <c r="L338" t="n">
        <v>0</v>
      </c>
      <c r="M338" t="n">
        <v>0</v>
      </c>
      <c r="N338" t="n">
        <v>0</v>
      </c>
      <c r="O338" t="n">
        <v>0</v>
      </c>
      <c r="P338" t="n">
        <v>0</v>
      </c>
      <c r="Q338" t="n">
        <v>0</v>
      </c>
      <c r="R338" s="2" t="inlineStr"/>
    </row>
    <row r="339" ht="15" customHeight="1">
      <c r="A339" t="inlineStr">
        <is>
          <t>A 4377-2023</t>
        </is>
      </c>
      <c r="B339" s="1" t="n">
        <v>44955.5502662037</v>
      </c>
      <c r="C339" s="1" t="n">
        <v>45968</v>
      </c>
      <c r="D339" t="inlineStr">
        <is>
          <t>GOTLANDS LÄN</t>
        </is>
      </c>
      <c r="E339" t="inlineStr">
        <is>
          <t>GOTLAND</t>
        </is>
      </c>
      <c r="F339" t="inlineStr">
        <is>
          <t>Kyrkan</t>
        </is>
      </c>
      <c r="G339" t="n">
        <v>0.6</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45968</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60709-2023</t>
        </is>
      </c>
      <c r="B341" s="1" t="n">
        <v>45260</v>
      </c>
      <c r="C341" s="1" t="n">
        <v>45968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58160-2024</t>
        </is>
      </c>
      <c r="B342" s="1" t="n">
        <v>45632.44927083333</v>
      </c>
      <c r="C342" s="1" t="n">
        <v>45968</v>
      </c>
      <c r="D342" t="inlineStr">
        <is>
          <t>GOTLANDS LÄN</t>
        </is>
      </c>
      <c r="E342" t="inlineStr">
        <is>
          <t>GOTLAND</t>
        </is>
      </c>
      <c r="G342" t="n">
        <v>5.6</v>
      </c>
      <c r="H342" t="n">
        <v>0</v>
      </c>
      <c r="I342" t="n">
        <v>0</v>
      </c>
      <c r="J342" t="n">
        <v>0</v>
      </c>
      <c r="K342" t="n">
        <v>0</v>
      </c>
      <c r="L342" t="n">
        <v>0</v>
      </c>
      <c r="M342" t="n">
        <v>0</v>
      </c>
      <c r="N342" t="n">
        <v>0</v>
      </c>
      <c r="O342" t="n">
        <v>0</v>
      </c>
      <c r="P342" t="n">
        <v>0</v>
      </c>
      <c r="Q342" t="n">
        <v>0</v>
      </c>
      <c r="R342" s="2" t="inlineStr"/>
    </row>
    <row r="343" ht="15" customHeight="1">
      <c r="A343" t="inlineStr">
        <is>
          <t>A 43901-2023</t>
        </is>
      </c>
      <c r="B343" s="1" t="n">
        <v>45187</v>
      </c>
      <c r="C343" s="1" t="n">
        <v>45968</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17532-2024</t>
        </is>
      </c>
      <c r="B344" s="1" t="n">
        <v>45415</v>
      </c>
      <c r="C344" s="1" t="n">
        <v>45968</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45692-2023</t>
        </is>
      </c>
      <c r="B345" s="1" t="n">
        <v>45195</v>
      </c>
      <c r="C345" s="1" t="n">
        <v>45968</v>
      </c>
      <c r="D345" t="inlineStr">
        <is>
          <t>GOTLANDS LÄN</t>
        </is>
      </c>
      <c r="E345" t="inlineStr">
        <is>
          <t>GOTLAND</t>
        </is>
      </c>
      <c r="G345" t="n">
        <v>5.3</v>
      </c>
      <c r="H345" t="n">
        <v>0</v>
      </c>
      <c r="I345" t="n">
        <v>0</v>
      </c>
      <c r="J345" t="n">
        <v>0</v>
      </c>
      <c r="K345" t="n">
        <v>0</v>
      </c>
      <c r="L345" t="n">
        <v>0</v>
      </c>
      <c r="M345" t="n">
        <v>0</v>
      </c>
      <c r="N345" t="n">
        <v>0</v>
      </c>
      <c r="O345" t="n">
        <v>0</v>
      </c>
      <c r="P345" t="n">
        <v>0</v>
      </c>
      <c r="Q345" t="n">
        <v>0</v>
      </c>
      <c r="R345" s="2" t="inlineStr"/>
    </row>
    <row r="346" ht="15" customHeight="1">
      <c r="A346" t="inlineStr">
        <is>
          <t>A 1000-2024</t>
        </is>
      </c>
      <c r="B346" s="1" t="n">
        <v>45301.63371527778</v>
      </c>
      <c r="C346" s="1" t="n">
        <v>45968</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1010-2024</t>
        </is>
      </c>
      <c r="B347" s="1" t="n">
        <v>45301</v>
      </c>
      <c r="C347" s="1" t="n">
        <v>45968</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65249-2023</t>
        </is>
      </c>
      <c r="B348" s="1" t="n">
        <v>45290</v>
      </c>
      <c r="C348" s="1" t="n">
        <v>45968</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45499.42527777778</v>
      </c>
      <c r="C349" s="1" t="n">
        <v>45968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37222-2021</t>
        </is>
      </c>
      <c r="B350" s="1" t="n">
        <v>44396</v>
      </c>
      <c r="C350" s="1" t="n">
        <v>45968</v>
      </c>
      <c r="D350" t="inlineStr">
        <is>
          <t>GOTLANDS LÄN</t>
        </is>
      </c>
      <c r="E350" t="inlineStr">
        <is>
          <t>GOTLAND</t>
        </is>
      </c>
      <c r="G350" t="n">
        <v>3</v>
      </c>
      <c r="H350" t="n">
        <v>0</v>
      </c>
      <c r="I350" t="n">
        <v>0</v>
      </c>
      <c r="J350" t="n">
        <v>0</v>
      </c>
      <c r="K350" t="n">
        <v>0</v>
      </c>
      <c r="L350" t="n">
        <v>0</v>
      </c>
      <c r="M350" t="n">
        <v>0</v>
      </c>
      <c r="N350" t="n">
        <v>0</v>
      </c>
      <c r="O350" t="n">
        <v>0</v>
      </c>
      <c r="P350" t="n">
        <v>0</v>
      </c>
      <c r="Q350" t="n">
        <v>0</v>
      </c>
      <c r="R350" s="2" t="inlineStr"/>
    </row>
    <row r="351" ht="15" customHeight="1">
      <c r="A351" t="inlineStr">
        <is>
          <t>A 12596-2023</t>
        </is>
      </c>
      <c r="B351" s="1" t="n">
        <v>45000.43310185185</v>
      </c>
      <c r="C351" s="1" t="n">
        <v>45968</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8045-2022</t>
        </is>
      </c>
      <c r="B352" s="1" t="n">
        <v>44609</v>
      </c>
      <c r="C352" s="1" t="n">
        <v>45968</v>
      </c>
      <c r="D352" t="inlineStr">
        <is>
          <t>GOTLANDS LÄN</t>
        </is>
      </c>
      <c r="E352" t="inlineStr">
        <is>
          <t>GOTLAND</t>
        </is>
      </c>
      <c r="G352" t="n">
        <v>7</v>
      </c>
      <c r="H352" t="n">
        <v>0</v>
      </c>
      <c r="I352" t="n">
        <v>0</v>
      </c>
      <c r="J352" t="n">
        <v>0</v>
      </c>
      <c r="K352" t="n">
        <v>0</v>
      </c>
      <c r="L352" t="n">
        <v>0</v>
      </c>
      <c r="M352" t="n">
        <v>0</v>
      </c>
      <c r="N352" t="n">
        <v>0</v>
      </c>
      <c r="O352" t="n">
        <v>0</v>
      </c>
      <c r="P352" t="n">
        <v>0</v>
      </c>
      <c r="Q352" t="n">
        <v>0</v>
      </c>
      <c r="R352" s="2" t="inlineStr"/>
    </row>
    <row r="353" ht="15" customHeight="1">
      <c r="A353" t="inlineStr">
        <is>
          <t>A 46396-2023</t>
        </is>
      </c>
      <c r="B353" s="1" t="n">
        <v>45197</v>
      </c>
      <c r="C353" s="1" t="n">
        <v>45968</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58388-2022</t>
        </is>
      </c>
      <c r="B354" s="1" t="n">
        <v>44894</v>
      </c>
      <c r="C354" s="1" t="n">
        <v>45968</v>
      </c>
      <c r="D354" t="inlineStr">
        <is>
          <t>GOTLANDS LÄN</t>
        </is>
      </c>
      <c r="E354" t="inlineStr">
        <is>
          <t>GOTLAND</t>
        </is>
      </c>
      <c r="F354" t="inlineStr">
        <is>
          <t>Övriga statliga verk och myndigheter</t>
        </is>
      </c>
      <c r="G354" t="n">
        <v>3.1</v>
      </c>
      <c r="H354" t="n">
        <v>0</v>
      </c>
      <c r="I354" t="n">
        <v>0</v>
      </c>
      <c r="J354" t="n">
        <v>0</v>
      </c>
      <c r="K354" t="n">
        <v>0</v>
      </c>
      <c r="L354" t="n">
        <v>0</v>
      </c>
      <c r="M354" t="n">
        <v>0</v>
      </c>
      <c r="N354" t="n">
        <v>0</v>
      </c>
      <c r="O354" t="n">
        <v>0</v>
      </c>
      <c r="P354" t="n">
        <v>0</v>
      </c>
      <c r="Q354" t="n">
        <v>0</v>
      </c>
      <c r="R354" s="2" t="inlineStr"/>
    </row>
    <row r="355" ht="15" customHeight="1">
      <c r="A355" t="inlineStr">
        <is>
          <t>A 999-2024</t>
        </is>
      </c>
      <c r="B355" s="1" t="n">
        <v>45301</v>
      </c>
      <c r="C355" s="1" t="n">
        <v>45968</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65901-2021</t>
        </is>
      </c>
      <c r="B356" s="1" t="n">
        <v>44516</v>
      </c>
      <c r="C356" s="1" t="n">
        <v>45968</v>
      </c>
      <c r="D356" t="inlineStr">
        <is>
          <t>GOTLANDS LÄN</t>
        </is>
      </c>
      <c r="E356" t="inlineStr">
        <is>
          <t>GOTLAND</t>
        </is>
      </c>
      <c r="G356" t="n">
        <v>4.9</v>
      </c>
      <c r="H356" t="n">
        <v>0</v>
      </c>
      <c r="I356" t="n">
        <v>0</v>
      </c>
      <c r="J356" t="n">
        <v>0</v>
      </c>
      <c r="K356" t="n">
        <v>0</v>
      </c>
      <c r="L356" t="n">
        <v>0</v>
      </c>
      <c r="M356" t="n">
        <v>0</v>
      </c>
      <c r="N356" t="n">
        <v>0</v>
      </c>
      <c r="O356" t="n">
        <v>0</v>
      </c>
      <c r="P356" t="n">
        <v>0</v>
      </c>
      <c r="Q356" t="n">
        <v>0</v>
      </c>
      <c r="R356" s="2" t="inlineStr"/>
    </row>
    <row r="357" ht="15" customHeight="1">
      <c r="A357" t="inlineStr">
        <is>
          <t>A 47762-2023</t>
        </is>
      </c>
      <c r="B357" s="1" t="n">
        <v>45203.86256944444</v>
      </c>
      <c r="C357" s="1" t="n">
        <v>45968</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16109-2025</t>
        </is>
      </c>
      <c r="B358" s="1" t="n">
        <v>45750</v>
      </c>
      <c r="C358" s="1" t="n">
        <v>45968</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32467-2025</t>
        </is>
      </c>
      <c r="B359" s="1" t="n">
        <v>45838.42111111111</v>
      </c>
      <c r="C359" s="1" t="n">
        <v>45968</v>
      </c>
      <c r="D359" t="inlineStr">
        <is>
          <t>GOTLANDS LÄN</t>
        </is>
      </c>
      <c r="E359" t="inlineStr">
        <is>
          <t>GOTLAND</t>
        </is>
      </c>
      <c r="G359" t="n">
        <v>4.3</v>
      </c>
      <c r="H359" t="n">
        <v>0</v>
      </c>
      <c r="I359" t="n">
        <v>0</v>
      </c>
      <c r="J359" t="n">
        <v>0</v>
      </c>
      <c r="K359" t="n">
        <v>0</v>
      </c>
      <c r="L359" t="n">
        <v>0</v>
      </c>
      <c r="M359" t="n">
        <v>0</v>
      </c>
      <c r="N359" t="n">
        <v>0</v>
      </c>
      <c r="O359" t="n">
        <v>0</v>
      </c>
      <c r="P359" t="n">
        <v>0</v>
      </c>
      <c r="Q359" t="n">
        <v>0</v>
      </c>
      <c r="R359" s="2" t="inlineStr"/>
    </row>
    <row r="360" ht="15" customHeight="1">
      <c r="A360" t="inlineStr">
        <is>
          <t>A 40294-2022</t>
        </is>
      </c>
      <c r="B360" s="1" t="n">
        <v>44821</v>
      </c>
      <c r="C360" s="1" t="n">
        <v>45968</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27602-2023</t>
        </is>
      </c>
      <c r="B361" s="1" t="n">
        <v>45097</v>
      </c>
      <c r="C361" s="1" t="n">
        <v>45968</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58780-2024</t>
        </is>
      </c>
      <c r="B362" s="1" t="n">
        <v>45635.84113425926</v>
      </c>
      <c r="C362" s="1" t="n">
        <v>45968</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12322-2025</t>
        </is>
      </c>
      <c r="B363" s="1" t="n">
        <v>45730</v>
      </c>
      <c r="C363" s="1" t="n">
        <v>45968</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32378-2025</t>
        </is>
      </c>
      <c r="B364" s="1" t="n">
        <v>45837</v>
      </c>
      <c r="C364" s="1" t="n">
        <v>45968</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32379-2025</t>
        </is>
      </c>
      <c r="B365" s="1" t="n">
        <v>45837</v>
      </c>
      <c r="C365" s="1" t="n">
        <v>45968</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56009-2024</t>
        </is>
      </c>
      <c r="B366" s="1" t="n">
        <v>45623.80864583333</v>
      </c>
      <c r="C366" s="1" t="n">
        <v>45968</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53934-2024</t>
        </is>
      </c>
      <c r="B367" s="1" t="n">
        <v>45615</v>
      </c>
      <c r="C367" s="1" t="n">
        <v>45968</v>
      </c>
      <c r="D367" t="inlineStr">
        <is>
          <t>GOTLANDS LÄN</t>
        </is>
      </c>
      <c r="E367" t="inlineStr">
        <is>
          <t>GOTLAND</t>
        </is>
      </c>
      <c r="G367" t="n">
        <v>5</v>
      </c>
      <c r="H367" t="n">
        <v>0</v>
      </c>
      <c r="I367" t="n">
        <v>0</v>
      </c>
      <c r="J367" t="n">
        <v>0</v>
      </c>
      <c r="K367" t="n">
        <v>0</v>
      </c>
      <c r="L367" t="n">
        <v>0</v>
      </c>
      <c r="M367" t="n">
        <v>0</v>
      </c>
      <c r="N367" t="n">
        <v>0</v>
      </c>
      <c r="O367" t="n">
        <v>0</v>
      </c>
      <c r="P367" t="n">
        <v>0</v>
      </c>
      <c r="Q367" t="n">
        <v>0</v>
      </c>
      <c r="R367" s="2" t="inlineStr"/>
    </row>
    <row r="368" ht="15" customHeight="1">
      <c r="A368" t="inlineStr">
        <is>
          <t>A 54073-2022</t>
        </is>
      </c>
      <c r="B368" s="1" t="n">
        <v>44881.50380787037</v>
      </c>
      <c r="C368" s="1" t="n">
        <v>45968</v>
      </c>
      <c r="D368" t="inlineStr">
        <is>
          <t>GOTLANDS LÄN</t>
        </is>
      </c>
      <c r="E368" t="inlineStr">
        <is>
          <t>GOTLAND</t>
        </is>
      </c>
      <c r="G368" t="n">
        <v>3.8</v>
      </c>
      <c r="H368" t="n">
        <v>0</v>
      </c>
      <c r="I368" t="n">
        <v>0</v>
      </c>
      <c r="J368" t="n">
        <v>0</v>
      </c>
      <c r="K368" t="n">
        <v>0</v>
      </c>
      <c r="L368" t="n">
        <v>0</v>
      </c>
      <c r="M368" t="n">
        <v>0</v>
      </c>
      <c r="N368" t="n">
        <v>0</v>
      </c>
      <c r="O368" t="n">
        <v>0</v>
      </c>
      <c r="P368" t="n">
        <v>0</v>
      </c>
      <c r="Q368" t="n">
        <v>0</v>
      </c>
      <c r="R368" s="2" t="inlineStr"/>
    </row>
    <row r="369" ht="15" customHeight="1">
      <c r="A369" t="inlineStr">
        <is>
          <t>A 58132-2023</t>
        </is>
      </c>
      <c r="B369" s="1" t="n">
        <v>45250</v>
      </c>
      <c r="C369" s="1" t="n">
        <v>45968</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24192-2023</t>
        </is>
      </c>
      <c r="B370" s="1" t="n">
        <v>45079</v>
      </c>
      <c r="C370" s="1" t="n">
        <v>45968</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30282-2022</t>
        </is>
      </c>
      <c r="B371" s="1" t="n">
        <v>44760</v>
      </c>
      <c r="C371" s="1" t="n">
        <v>45968</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22899-2023</t>
        </is>
      </c>
      <c r="B372" s="1" t="n">
        <v>45072</v>
      </c>
      <c r="C372" s="1" t="n">
        <v>45968</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3964-2024</t>
        </is>
      </c>
      <c r="B373" s="1" t="n">
        <v>45322</v>
      </c>
      <c r="C373" s="1" t="n">
        <v>45968</v>
      </c>
      <c r="D373" t="inlineStr">
        <is>
          <t>GOTLANDS LÄN</t>
        </is>
      </c>
      <c r="E373" t="inlineStr">
        <is>
          <t>GOTLAND</t>
        </is>
      </c>
      <c r="G373" t="n">
        <v>1.4</v>
      </c>
      <c r="H373" t="n">
        <v>0</v>
      </c>
      <c r="I373" t="n">
        <v>0</v>
      </c>
      <c r="J373" t="n">
        <v>0</v>
      </c>
      <c r="K373" t="n">
        <v>0</v>
      </c>
      <c r="L373" t="n">
        <v>0</v>
      </c>
      <c r="M373" t="n">
        <v>0</v>
      </c>
      <c r="N373" t="n">
        <v>0</v>
      </c>
      <c r="O373" t="n">
        <v>0</v>
      </c>
      <c r="P373" t="n">
        <v>0</v>
      </c>
      <c r="Q373" t="n">
        <v>0</v>
      </c>
      <c r="R373" s="2" t="inlineStr"/>
    </row>
    <row r="374" ht="15" customHeight="1">
      <c r="A374" t="inlineStr">
        <is>
          <t>A 28285-2024</t>
        </is>
      </c>
      <c r="B374" s="1" t="n">
        <v>45477</v>
      </c>
      <c r="C374" s="1" t="n">
        <v>45968</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33007-2025</t>
        </is>
      </c>
      <c r="B375" s="1" t="n">
        <v>45840</v>
      </c>
      <c r="C375" s="1" t="n">
        <v>45968</v>
      </c>
      <c r="D375" t="inlineStr">
        <is>
          <t>GOTLANDS LÄN</t>
        </is>
      </c>
      <c r="E375" t="inlineStr">
        <is>
          <t>GOTLAND</t>
        </is>
      </c>
      <c r="G375" t="n">
        <v>4.9</v>
      </c>
      <c r="H375" t="n">
        <v>0</v>
      </c>
      <c r="I375" t="n">
        <v>0</v>
      </c>
      <c r="J375" t="n">
        <v>0</v>
      </c>
      <c r="K375" t="n">
        <v>0</v>
      </c>
      <c r="L375" t="n">
        <v>0</v>
      </c>
      <c r="M375" t="n">
        <v>0</v>
      </c>
      <c r="N375" t="n">
        <v>0</v>
      </c>
      <c r="O375" t="n">
        <v>0</v>
      </c>
      <c r="P375" t="n">
        <v>0</v>
      </c>
      <c r="Q375" t="n">
        <v>0</v>
      </c>
      <c r="R375" s="2" t="inlineStr"/>
    </row>
    <row r="376" ht="15" customHeight="1">
      <c r="A376" t="inlineStr">
        <is>
          <t>A 7835-2024</t>
        </is>
      </c>
      <c r="B376" s="1" t="n">
        <v>45349.83138888889</v>
      </c>
      <c r="C376" s="1" t="n">
        <v>45968</v>
      </c>
      <c r="D376" t="inlineStr">
        <is>
          <t>GOTLANDS LÄN</t>
        </is>
      </c>
      <c r="E376" t="inlineStr">
        <is>
          <t>GOTLAND</t>
        </is>
      </c>
      <c r="G376" t="n">
        <v>3.8</v>
      </c>
      <c r="H376" t="n">
        <v>0</v>
      </c>
      <c r="I376" t="n">
        <v>0</v>
      </c>
      <c r="J376" t="n">
        <v>0</v>
      </c>
      <c r="K376" t="n">
        <v>0</v>
      </c>
      <c r="L376" t="n">
        <v>0</v>
      </c>
      <c r="M376" t="n">
        <v>0</v>
      </c>
      <c r="N376" t="n">
        <v>0</v>
      </c>
      <c r="O376" t="n">
        <v>0</v>
      </c>
      <c r="P376" t="n">
        <v>0</v>
      </c>
      <c r="Q376" t="n">
        <v>0</v>
      </c>
      <c r="R376" s="2" t="inlineStr"/>
    </row>
    <row r="377" ht="15" customHeight="1">
      <c r="A377" t="inlineStr">
        <is>
          <t>A 51963-2024</t>
        </is>
      </c>
      <c r="B377" s="1" t="n">
        <v>45607.64833333333</v>
      </c>
      <c r="C377" s="1" t="n">
        <v>45968</v>
      </c>
      <c r="D377" t="inlineStr">
        <is>
          <t>GOTLANDS LÄN</t>
        </is>
      </c>
      <c r="E377" t="inlineStr">
        <is>
          <t>GOTLAND</t>
        </is>
      </c>
      <c r="G377" t="n">
        <v>2.4</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45968</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45106-2024</t>
        </is>
      </c>
      <c r="B379" s="1" t="n">
        <v>45575</v>
      </c>
      <c r="C379" s="1" t="n">
        <v>45968</v>
      </c>
      <c r="D379" t="inlineStr">
        <is>
          <t>GOTLANDS LÄN</t>
        </is>
      </c>
      <c r="E379" t="inlineStr">
        <is>
          <t>GOTLAND</t>
        </is>
      </c>
      <c r="G379" t="n">
        <v>10</v>
      </c>
      <c r="H379" t="n">
        <v>0</v>
      </c>
      <c r="I379" t="n">
        <v>0</v>
      </c>
      <c r="J379" t="n">
        <v>0</v>
      </c>
      <c r="K379" t="n">
        <v>0</v>
      </c>
      <c r="L379" t="n">
        <v>0</v>
      </c>
      <c r="M379" t="n">
        <v>0</v>
      </c>
      <c r="N379" t="n">
        <v>0</v>
      </c>
      <c r="O379" t="n">
        <v>0</v>
      </c>
      <c r="P379" t="n">
        <v>0</v>
      </c>
      <c r="Q379" t="n">
        <v>0</v>
      </c>
      <c r="R379" s="2" t="inlineStr"/>
    </row>
    <row r="380" ht="15" customHeight="1">
      <c r="A380" t="inlineStr">
        <is>
          <t>A 45112-2024</t>
        </is>
      </c>
      <c r="B380" s="1" t="n">
        <v>45575</v>
      </c>
      <c r="C380" s="1" t="n">
        <v>45968</v>
      </c>
      <c r="D380" t="inlineStr">
        <is>
          <t>GOTLANDS LÄN</t>
        </is>
      </c>
      <c r="E380" t="inlineStr">
        <is>
          <t>GOTLAND</t>
        </is>
      </c>
      <c r="G380" t="n">
        <v>5.1</v>
      </c>
      <c r="H380" t="n">
        <v>0</v>
      </c>
      <c r="I380" t="n">
        <v>0</v>
      </c>
      <c r="J380" t="n">
        <v>0</v>
      </c>
      <c r="K380" t="n">
        <v>0</v>
      </c>
      <c r="L380" t="n">
        <v>0</v>
      </c>
      <c r="M380" t="n">
        <v>0</v>
      </c>
      <c r="N380" t="n">
        <v>0</v>
      </c>
      <c r="O380" t="n">
        <v>0</v>
      </c>
      <c r="P380" t="n">
        <v>0</v>
      </c>
      <c r="Q380" t="n">
        <v>0</v>
      </c>
      <c r="R380" s="2" t="inlineStr"/>
    </row>
    <row r="381" ht="15" customHeight="1">
      <c r="A381" t="inlineStr">
        <is>
          <t>A 26810-2021</t>
        </is>
      </c>
      <c r="B381" s="1" t="n">
        <v>44349.55087962963</v>
      </c>
      <c r="C381" s="1" t="n">
        <v>45968</v>
      </c>
      <c r="D381" t="inlineStr">
        <is>
          <t>GOTLANDS LÄN</t>
        </is>
      </c>
      <c r="E381" t="inlineStr">
        <is>
          <t>GOTLAND</t>
        </is>
      </c>
      <c r="G381" t="n">
        <v>3.5</v>
      </c>
      <c r="H381" t="n">
        <v>0</v>
      </c>
      <c r="I381" t="n">
        <v>0</v>
      </c>
      <c r="J381" t="n">
        <v>0</v>
      </c>
      <c r="K381" t="n">
        <v>0</v>
      </c>
      <c r="L381" t="n">
        <v>0</v>
      </c>
      <c r="M381" t="n">
        <v>0</v>
      </c>
      <c r="N381" t="n">
        <v>0</v>
      </c>
      <c r="O381" t="n">
        <v>0</v>
      </c>
      <c r="P381" t="n">
        <v>0</v>
      </c>
      <c r="Q381" t="n">
        <v>0</v>
      </c>
      <c r="R381" s="2" t="inlineStr"/>
    </row>
    <row r="382" ht="15" customHeight="1">
      <c r="A382" t="inlineStr">
        <is>
          <t>A 1734-2025</t>
        </is>
      </c>
      <c r="B382" s="1" t="n">
        <v>45671.3840625</v>
      </c>
      <c r="C382" s="1" t="n">
        <v>45968</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30365-2024</t>
        </is>
      </c>
      <c r="B383" s="1" t="n">
        <v>45491.3716087963</v>
      </c>
      <c r="C383" s="1" t="n">
        <v>45968</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28425-2023</t>
        </is>
      </c>
      <c r="B384" s="1" t="n">
        <v>45102</v>
      </c>
      <c r="C384" s="1" t="n">
        <v>45968</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2674-2023</t>
        </is>
      </c>
      <c r="B385" s="1" t="n">
        <v>44944</v>
      </c>
      <c r="C385" s="1" t="n">
        <v>45968</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61100-2022</t>
        </is>
      </c>
      <c r="B386" s="1" t="n">
        <v>44915</v>
      </c>
      <c r="C386" s="1" t="n">
        <v>45968</v>
      </c>
      <c r="D386" t="inlineStr">
        <is>
          <t>GOTLANDS LÄN</t>
        </is>
      </c>
      <c r="E386" t="inlineStr">
        <is>
          <t>GOTLAND</t>
        </is>
      </c>
      <c r="G386" t="n">
        <v>1.4</v>
      </c>
      <c r="H386" t="n">
        <v>0</v>
      </c>
      <c r="I386" t="n">
        <v>0</v>
      </c>
      <c r="J386" t="n">
        <v>0</v>
      </c>
      <c r="K386" t="n">
        <v>0</v>
      </c>
      <c r="L386" t="n">
        <v>0</v>
      </c>
      <c r="M386" t="n">
        <v>0</v>
      </c>
      <c r="N386" t="n">
        <v>0</v>
      </c>
      <c r="O386" t="n">
        <v>0</v>
      </c>
      <c r="P386" t="n">
        <v>0</v>
      </c>
      <c r="Q386" t="n">
        <v>0</v>
      </c>
      <c r="R386" s="2" t="inlineStr"/>
    </row>
    <row r="387" ht="15" customHeight="1">
      <c r="A387" t="inlineStr">
        <is>
          <t>A 581-2023</t>
        </is>
      </c>
      <c r="B387" s="1" t="n">
        <v>44930</v>
      </c>
      <c r="C387" s="1" t="n">
        <v>45968</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13037-2025</t>
        </is>
      </c>
      <c r="B388" s="1" t="n">
        <v>45734</v>
      </c>
      <c r="C388" s="1" t="n">
        <v>45968</v>
      </c>
      <c r="D388" t="inlineStr">
        <is>
          <t>GOTLANDS LÄN</t>
        </is>
      </c>
      <c r="E388" t="inlineStr">
        <is>
          <t>GOTLAND</t>
        </is>
      </c>
      <c r="G388" t="n">
        <v>9.5</v>
      </c>
      <c r="H388" t="n">
        <v>0</v>
      </c>
      <c r="I388" t="n">
        <v>0</v>
      </c>
      <c r="J388" t="n">
        <v>0</v>
      </c>
      <c r="K388" t="n">
        <v>0</v>
      </c>
      <c r="L388" t="n">
        <v>0</v>
      </c>
      <c r="M388" t="n">
        <v>0</v>
      </c>
      <c r="N388" t="n">
        <v>0</v>
      </c>
      <c r="O388" t="n">
        <v>0</v>
      </c>
      <c r="P388" t="n">
        <v>0</v>
      </c>
      <c r="Q388" t="n">
        <v>0</v>
      </c>
      <c r="R388" s="2" t="inlineStr"/>
    </row>
    <row r="389" ht="15" customHeight="1">
      <c r="A389" t="inlineStr">
        <is>
          <t>A 10655-2023</t>
        </is>
      </c>
      <c r="B389" s="1" t="n">
        <v>44988.49543981482</v>
      </c>
      <c r="C389" s="1" t="n">
        <v>45968</v>
      </c>
      <c r="D389" t="inlineStr">
        <is>
          <t>GOTLANDS LÄN</t>
        </is>
      </c>
      <c r="E389" t="inlineStr">
        <is>
          <t>GOTLAND</t>
        </is>
      </c>
      <c r="F389" t="inlineStr">
        <is>
          <t>Kyrkan</t>
        </is>
      </c>
      <c r="G389" t="n">
        <v>2</v>
      </c>
      <c r="H389" t="n">
        <v>0</v>
      </c>
      <c r="I389" t="n">
        <v>0</v>
      </c>
      <c r="J389" t="n">
        <v>0</v>
      </c>
      <c r="K389" t="n">
        <v>0</v>
      </c>
      <c r="L389" t="n">
        <v>0</v>
      </c>
      <c r="M389" t="n">
        <v>0</v>
      </c>
      <c r="N389" t="n">
        <v>0</v>
      </c>
      <c r="O389" t="n">
        <v>0</v>
      </c>
      <c r="P389" t="n">
        <v>0</v>
      </c>
      <c r="Q389" t="n">
        <v>0</v>
      </c>
      <c r="R389" s="2" t="inlineStr"/>
    </row>
    <row r="390" ht="15" customHeight="1">
      <c r="A390" t="inlineStr">
        <is>
          <t>A 15413-2025</t>
        </is>
      </c>
      <c r="B390" s="1" t="n">
        <v>45747.451875</v>
      </c>
      <c r="C390" s="1" t="n">
        <v>45968</v>
      </c>
      <c r="D390" t="inlineStr">
        <is>
          <t>GOTLANDS LÄN</t>
        </is>
      </c>
      <c r="E390" t="inlineStr">
        <is>
          <t>GOTLAND</t>
        </is>
      </c>
      <c r="G390" t="n">
        <v>0.6</v>
      </c>
      <c r="H390" t="n">
        <v>0</v>
      </c>
      <c r="I390" t="n">
        <v>0</v>
      </c>
      <c r="J390" t="n">
        <v>0</v>
      </c>
      <c r="K390" t="n">
        <v>0</v>
      </c>
      <c r="L390" t="n">
        <v>0</v>
      </c>
      <c r="M390" t="n">
        <v>0</v>
      </c>
      <c r="N390" t="n">
        <v>0</v>
      </c>
      <c r="O390" t="n">
        <v>0</v>
      </c>
      <c r="P390" t="n">
        <v>0</v>
      </c>
      <c r="Q390" t="n">
        <v>0</v>
      </c>
      <c r="R390" s="2" t="inlineStr"/>
    </row>
    <row r="391" ht="15" customHeight="1">
      <c r="A391" t="inlineStr">
        <is>
          <t>A 35096-2025</t>
        </is>
      </c>
      <c r="B391" s="1" t="n">
        <v>45852.54356481481</v>
      </c>
      <c r="C391" s="1" t="n">
        <v>45968</v>
      </c>
      <c r="D391" t="inlineStr">
        <is>
          <t>GOTLANDS LÄN</t>
        </is>
      </c>
      <c r="E391" t="inlineStr">
        <is>
          <t>GOTLAND</t>
        </is>
      </c>
      <c r="F391" t="inlineStr">
        <is>
          <t>Kyrkan</t>
        </is>
      </c>
      <c r="G391" t="n">
        <v>1</v>
      </c>
      <c r="H391" t="n">
        <v>0</v>
      </c>
      <c r="I391" t="n">
        <v>0</v>
      </c>
      <c r="J391" t="n">
        <v>0</v>
      </c>
      <c r="K391" t="n">
        <v>0</v>
      </c>
      <c r="L391" t="n">
        <v>0</v>
      </c>
      <c r="M391" t="n">
        <v>0</v>
      </c>
      <c r="N391" t="n">
        <v>0</v>
      </c>
      <c r="O391" t="n">
        <v>0</v>
      </c>
      <c r="P391" t="n">
        <v>0</v>
      </c>
      <c r="Q391" t="n">
        <v>0</v>
      </c>
      <c r="R391" s="2" t="inlineStr"/>
    </row>
    <row r="392" ht="15" customHeight="1">
      <c r="A392" t="inlineStr">
        <is>
          <t>A 35123-2025</t>
        </is>
      </c>
      <c r="B392" s="1" t="n">
        <v>45852.614375</v>
      </c>
      <c r="C392" s="1" t="n">
        <v>45968</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44649-2021</t>
        </is>
      </c>
      <c r="B393" s="1" t="n">
        <v>44437</v>
      </c>
      <c r="C393" s="1" t="n">
        <v>45968</v>
      </c>
      <c r="D393" t="inlineStr">
        <is>
          <t>GOTLANDS LÄN</t>
        </is>
      </c>
      <c r="E393" t="inlineStr">
        <is>
          <t>GOTLAND</t>
        </is>
      </c>
      <c r="G393" t="n">
        <v>8.1</v>
      </c>
      <c r="H393" t="n">
        <v>0</v>
      </c>
      <c r="I393" t="n">
        <v>0</v>
      </c>
      <c r="J393" t="n">
        <v>0</v>
      </c>
      <c r="K393" t="n">
        <v>0</v>
      </c>
      <c r="L393" t="n">
        <v>0</v>
      </c>
      <c r="M393" t="n">
        <v>0</v>
      </c>
      <c r="N393" t="n">
        <v>0</v>
      </c>
      <c r="O393" t="n">
        <v>0</v>
      </c>
      <c r="P393" t="n">
        <v>0</v>
      </c>
      <c r="Q393" t="n">
        <v>0</v>
      </c>
      <c r="R393" s="2" t="inlineStr"/>
    </row>
    <row r="394" ht="15" customHeight="1">
      <c r="A394" t="inlineStr">
        <is>
          <t>A 8484-2025</t>
        </is>
      </c>
      <c r="B394" s="1" t="n">
        <v>45709</v>
      </c>
      <c r="C394" s="1" t="n">
        <v>45968</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7026-2023</t>
        </is>
      </c>
      <c r="B395" s="1" t="n">
        <v>44968.30340277778</v>
      </c>
      <c r="C395" s="1" t="n">
        <v>45968</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35290-2025</t>
        </is>
      </c>
      <c r="B396" s="1" t="n">
        <v>45854.38502314815</v>
      </c>
      <c r="C396" s="1" t="n">
        <v>45968</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30104-2025</t>
        </is>
      </c>
      <c r="B397" s="1" t="n">
        <v>45826.68806712963</v>
      </c>
      <c r="C397" s="1" t="n">
        <v>45968</v>
      </c>
      <c r="D397" t="inlineStr">
        <is>
          <t>GOTLANDS LÄN</t>
        </is>
      </c>
      <c r="E397" t="inlineStr">
        <is>
          <t>GOTLAND</t>
        </is>
      </c>
      <c r="G397" t="n">
        <v>15.4</v>
      </c>
      <c r="H397" t="n">
        <v>0</v>
      </c>
      <c r="I397" t="n">
        <v>0</v>
      </c>
      <c r="J397" t="n">
        <v>0</v>
      </c>
      <c r="K397" t="n">
        <v>0</v>
      </c>
      <c r="L397" t="n">
        <v>0</v>
      </c>
      <c r="M397" t="n">
        <v>0</v>
      </c>
      <c r="N397" t="n">
        <v>0</v>
      </c>
      <c r="O397" t="n">
        <v>0</v>
      </c>
      <c r="P397" t="n">
        <v>0</v>
      </c>
      <c r="Q397" t="n">
        <v>0</v>
      </c>
      <c r="R397" s="2" t="inlineStr"/>
    </row>
    <row r="398" ht="15" customHeight="1">
      <c r="A398" t="inlineStr">
        <is>
          <t>A 32669-2024</t>
        </is>
      </c>
      <c r="B398" s="1" t="n">
        <v>45514</v>
      </c>
      <c r="C398" s="1" t="n">
        <v>45968</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35550-2025</t>
        </is>
      </c>
      <c r="B399" s="1" t="n">
        <v>45856.49324074074</v>
      </c>
      <c r="C399" s="1" t="n">
        <v>45968</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35537-2025</t>
        </is>
      </c>
      <c r="B400" s="1" t="n">
        <v>45856</v>
      </c>
      <c r="C400" s="1" t="n">
        <v>45968</v>
      </c>
      <c r="D400" t="inlineStr">
        <is>
          <t>GOTLANDS LÄN</t>
        </is>
      </c>
      <c r="E400" t="inlineStr">
        <is>
          <t>GOTLAND</t>
        </is>
      </c>
      <c r="G400" t="n">
        <v>16.8</v>
      </c>
      <c r="H400" t="n">
        <v>0</v>
      </c>
      <c r="I400" t="n">
        <v>0</v>
      </c>
      <c r="J400" t="n">
        <v>0</v>
      </c>
      <c r="K400" t="n">
        <v>0</v>
      </c>
      <c r="L400" t="n">
        <v>0</v>
      </c>
      <c r="M400" t="n">
        <v>0</v>
      </c>
      <c r="N400" t="n">
        <v>0</v>
      </c>
      <c r="O400" t="n">
        <v>0</v>
      </c>
      <c r="P400" t="n">
        <v>0</v>
      </c>
      <c r="Q400" t="n">
        <v>0</v>
      </c>
      <c r="R400" s="2" t="inlineStr"/>
    </row>
    <row r="401" ht="15" customHeight="1">
      <c r="A401" t="inlineStr">
        <is>
          <t>A 10746-2025</t>
        </is>
      </c>
      <c r="B401" s="1" t="n">
        <v>45722.42766203704</v>
      </c>
      <c r="C401" s="1" t="n">
        <v>45968</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49962-2023</t>
        </is>
      </c>
      <c r="B402" s="1" t="n">
        <v>45215.38775462963</v>
      </c>
      <c r="C402" s="1" t="n">
        <v>45968</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50744-2024</t>
        </is>
      </c>
      <c r="B403" s="1" t="n">
        <v>45602.4187037037</v>
      </c>
      <c r="C403" s="1" t="n">
        <v>45968</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30488-2025</t>
        </is>
      </c>
      <c r="B404" s="1" t="n">
        <v>45830</v>
      </c>
      <c r="C404" s="1" t="n">
        <v>45968</v>
      </c>
      <c r="D404" t="inlineStr">
        <is>
          <t>GOTLANDS LÄN</t>
        </is>
      </c>
      <c r="E404" t="inlineStr">
        <is>
          <t>GOTLAND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15216-2025</t>
        </is>
      </c>
      <c r="B405" s="1" t="n">
        <v>45744</v>
      </c>
      <c r="C405" s="1" t="n">
        <v>45968</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15001-2025</t>
        </is>
      </c>
      <c r="B406" s="1" t="n">
        <v>45743</v>
      </c>
      <c r="C406" s="1" t="n">
        <v>45968</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43790-2024</t>
        </is>
      </c>
      <c r="B407" s="1" t="n">
        <v>45571</v>
      </c>
      <c r="C407" s="1" t="n">
        <v>45968</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43229-2023</t>
        </is>
      </c>
      <c r="B408" s="1" t="n">
        <v>45183.46704861111</v>
      </c>
      <c r="C408" s="1" t="n">
        <v>45968</v>
      </c>
      <c r="D408" t="inlineStr">
        <is>
          <t>GOTLANDS LÄN</t>
        </is>
      </c>
      <c r="E408" t="inlineStr">
        <is>
          <t>GOTLAND</t>
        </is>
      </c>
      <c r="G408" t="n">
        <v>7.1</v>
      </c>
      <c r="H408" t="n">
        <v>0</v>
      </c>
      <c r="I408" t="n">
        <v>0</v>
      </c>
      <c r="J408" t="n">
        <v>0</v>
      </c>
      <c r="K408" t="n">
        <v>0</v>
      </c>
      <c r="L408" t="n">
        <v>0</v>
      </c>
      <c r="M408" t="n">
        <v>0</v>
      </c>
      <c r="N408" t="n">
        <v>0</v>
      </c>
      <c r="O408" t="n">
        <v>0</v>
      </c>
      <c r="P408" t="n">
        <v>0</v>
      </c>
      <c r="Q408" t="n">
        <v>0</v>
      </c>
      <c r="R408" s="2" t="inlineStr"/>
    </row>
    <row r="409" ht="15" customHeight="1">
      <c r="A409" t="inlineStr">
        <is>
          <t>A 17847-2025</t>
        </is>
      </c>
      <c r="B409" s="1" t="n">
        <v>45758</v>
      </c>
      <c r="C409" s="1" t="n">
        <v>45968</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45244-2024</t>
        </is>
      </c>
      <c r="B410" s="1" t="n">
        <v>45576</v>
      </c>
      <c r="C410" s="1" t="n">
        <v>45968</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36319-2025</t>
        </is>
      </c>
      <c r="B411" s="1" t="n">
        <v>45868</v>
      </c>
      <c r="C411" s="1" t="n">
        <v>45968</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38787-2023</t>
        </is>
      </c>
      <c r="B412" s="1" t="n">
        <v>45163</v>
      </c>
      <c r="C412" s="1" t="n">
        <v>45968</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18742-2025</t>
        </is>
      </c>
      <c r="B413" s="1" t="n">
        <v>45763</v>
      </c>
      <c r="C413" s="1" t="n">
        <v>45968</v>
      </c>
      <c r="D413" t="inlineStr">
        <is>
          <t>GOTLANDS LÄN</t>
        </is>
      </c>
      <c r="E413" t="inlineStr">
        <is>
          <t>GOTLAND</t>
        </is>
      </c>
      <c r="G413" t="n">
        <v>3.4</v>
      </c>
      <c r="H413" t="n">
        <v>0</v>
      </c>
      <c r="I413" t="n">
        <v>0</v>
      </c>
      <c r="J413" t="n">
        <v>0</v>
      </c>
      <c r="K413" t="n">
        <v>0</v>
      </c>
      <c r="L413" t="n">
        <v>0</v>
      </c>
      <c r="M413" t="n">
        <v>0</v>
      </c>
      <c r="N413" t="n">
        <v>0</v>
      </c>
      <c r="O413" t="n">
        <v>0</v>
      </c>
      <c r="P413" t="n">
        <v>0</v>
      </c>
      <c r="Q413" t="n">
        <v>0</v>
      </c>
      <c r="R413" s="2" t="inlineStr"/>
    </row>
    <row r="414" ht="15" customHeight="1">
      <c r="A414" t="inlineStr">
        <is>
          <t>A 41038-2023</t>
        </is>
      </c>
      <c r="B414" s="1" t="n">
        <v>45173.60959490741</v>
      </c>
      <c r="C414" s="1" t="n">
        <v>45968</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35129-2025</t>
        </is>
      </c>
      <c r="B415" s="1" t="n">
        <v>45852.63224537037</v>
      </c>
      <c r="C415" s="1" t="n">
        <v>45968</v>
      </c>
      <c r="D415" t="inlineStr">
        <is>
          <t>GOTLANDS LÄN</t>
        </is>
      </c>
      <c r="E415" t="inlineStr">
        <is>
          <t>GOTLAND</t>
        </is>
      </c>
      <c r="G415" t="n">
        <v>3.2</v>
      </c>
      <c r="H415" t="n">
        <v>0</v>
      </c>
      <c r="I415" t="n">
        <v>0</v>
      </c>
      <c r="J415" t="n">
        <v>0</v>
      </c>
      <c r="K415" t="n">
        <v>0</v>
      </c>
      <c r="L415" t="n">
        <v>0</v>
      </c>
      <c r="M415" t="n">
        <v>0</v>
      </c>
      <c r="N415" t="n">
        <v>0</v>
      </c>
      <c r="O415" t="n">
        <v>0</v>
      </c>
      <c r="P415" t="n">
        <v>0</v>
      </c>
      <c r="Q415" t="n">
        <v>0</v>
      </c>
      <c r="R415" s="2" t="inlineStr"/>
    </row>
    <row r="416" ht="15" customHeight="1">
      <c r="A416" t="inlineStr">
        <is>
          <t>A 52892-2021</t>
        </is>
      </c>
      <c r="B416" s="1" t="n">
        <v>44467.49048611111</v>
      </c>
      <c r="C416" s="1" t="n">
        <v>45968</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1351-2025</t>
        </is>
      </c>
      <c r="B417" s="1" t="n">
        <v>45667.62246527777</v>
      </c>
      <c r="C417" s="1" t="n">
        <v>45968</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2714-2023</t>
        </is>
      </c>
      <c r="B418" s="1" t="n">
        <v>44944.54896990741</v>
      </c>
      <c r="C418" s="1" t="n">
        <v>45968</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22897-2023</t>
        </is>
      </c>
      <c r="B419" s="1" t="n">
        <v>45072.55239583334</v>
      </c>
      <c r="C419" s="1" t="n">
        <v>45968</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4568-2025</t>
        </is>
      </c>
      <c r="B420" s="1" t="n">
        <v>45687</v>
      </c>
      <c r="C420" s="1" t="n">
        <v>45968</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1681-2023</t>
        </is>
      </c>
      <c r="B421" s="1" t="n">
        <v>44938.39715277778</v>
      </c>
      <c r="C421" s="1" t="n">
        <v>45968</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42338-2023</t>
        </is>
      </c>
      <c r="B422" s="1" t="n">
        <v>45180</v>
      </c>
      <c r="C422" s="1" t="n">
        <v>45968</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18918-2025</t>
        </is>
      </c>
      <c r="B423" s="1" t="n">
        <v>45764</v>
      </c>
      <c r="C423" s="1" t="n">
        <v>45968</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11013-2024</t>
        </is>
      </c>
      <c r="B424" s="1" t="n">
        <v>45370</v>
      </c>
      <c r="C424" s="1" t="n">
        <v>45968</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24966-2023</t>
        </is>
      </c>
      <c r="B425" s="1" t="n">
        <v>45085</v>
      </c>
      <c r="C425" s="1" t="n">
        <v>45968</v>
      </c>
      <c r="D425" t="inlineStr">
        <is>
          <t>GOTLANDS LÄN</t>
        </is>
      </c>
      <c r="E425" t="inlineStr">
        <is>
          <t>GOTLAND</t>
        </is>
      </c>
      <c r="G425" t="n">
        <v>7</v>
      </c>
      <c r="H425" t="n">
        <v>0</v>
      </c>
      <c r="I425" t="n">
        <v>0</v>
      </c>
      <c r="J425" t="n">
        <v>0</v>
      </c>
      <c r="K425" t="n">
        <v>0</v>
      </c>
      <c r="L425" t="n">
        <v>0</v>
      </c>
      <c r="M425" t="n">
        <v>0</v>
      </c>
      <c r="N425" t="n">
        <v>0</v>
      </c>
      <c r="O425" t="n">
        <v>0</v>
      </c>
      <c r="P425" t="n">
        <v>0</v>
      </c>
      <c r="Q425" t="n">
        <v>0</v>
      </c>
      <c r="R425" s="2" t="inlineStr"/>
    </row>
    <row r="426" ht="15" customHeight="1">
      <c r="A426" t="inlineStr">
        <is>
          <t>A 45084-2024</t>
        </is>
      </c>
      <c r="B426" s="1" t="n">
        <v>45575</v>
      </c>
      <c r="C426" s="1" t="n">
        <v>45968</v>
      </c>
      <c r="D426" t="inlineStr">
        <is>
          <t>GOTLANDS LÄN</t>
        </is>
      </c>
      <c r="E426" t="inlineStr">
        <is>
          <t>GOTLAND</t>
        </is>
      </c>
      <c r="G426" t="n">
        <v>6.8</v>
      </c>
      <c r="H426" t="n">
        <v>0</v>
      </c>
      <c r="I426" t="n">
        <v>0</v>
      </c>
      <c r="J426" t="n">
        <v>0</v>
      </c>
      <c r="K426" t="n">
        <v>0</v>
      </c>
      <c r="L426" t="n">
        <v>0</v>
      </c>
      <c r="M426" t="n">
        <v>0</v>
      </c>
      <c r="N426" t="n">
        <v>0</v>
      </c>
      <c r="O426" t="n">
        <v>0</v>
      </c>
      <c r="P426" t="n">
        <v>0</v>
      </c>
      <c r="Q426" t="n">
        <v>0</v>
      </c>
      <c r="R426" s="2" t="inlineStr"/>
    </row>
    <row r="427" ht="15" customHeight="1">
      <c r="A427" t="inlineStr">
        <is>
          <t>A 57652-2023</t>
        </is>
      </c>
      <c r="B427" s="1" t="n">
        <v>45246</v>
      </c>
      <c r="C427" s="1" t="n">
        <v>45968</v>
      </c>
      <c r="D427" t="inlineStr">
        <is>
          <t>GOTLANDS LÄN</t>
        </is>
      </c>
      <c r="E427" t="inlineStr">
        <is>
          <t>GOTLAND</t>
        </is>
      </c>
      <c r="G427" t="n">
        <v>7.2</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45968</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46189-2022</t>
        </is>
      </c>
      <c r="B429" s="1" t="n">
        <v>44847</v>
      </c>
      <c r="C429" s="1" t="n">
        <v>45968</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4868-2024</t>
        </is>
      </c>
      <c r="B430" s="1" t="n">
        <v>45329</v>
      </c>
      <c r="C430" s="1" t="n">
        <v>45968</v>
      </c>
      <c r="D430" t="inlineStr">
        <is>
          <t>GOTLANDS LÄN</t>
        </is>
      </c>
      <c r="E430" t="inlineStr">
        <is>
          <t>GOTLAND</t>
        </is>
      </c>
      <c r="G430" t="n">
        <v>7.1</v>
      </c>
      <c r="H430" t="n">
        <v>0</v>
      </c>
      <c r="I430" t="n">
        <v>0</v>
      </c>
      <c r="J430" t="n">
        <v>0</v>
      </c>
      <c r="K430" t="n">
        <v>0</v>
      </c>
      <c r="L430" t="n">
        <v>0</v>
      </c>
      <c r="M430" t="n">
        <v>0</v>
      </c>
      <c r="N430" t="n">
        <v>0</v>
      </c>
      <c r="O430" t="n">
        <v>0</v>
      </c>
      <c r="P430" t="n">
        <v>0</v>
      </c>
      <c r="Q430" t="n">
        <v>0</v>
      </c>
      <c r="R430" s="2" t="inlineStr"/>
    </row>
    <row r="431" ht="15" customHeight="1">
      <c r="A431" t="inlineStr">
        <is>
          <t>A 57522-2022</t>
        </is>
      </c>
      <c r="B431" s="1" t="n">
        <v>44896</v>
      </c>
      <c r="C431" s="1" t="n">
        <v>45968</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9613-2025</t>
        </is>
      </c>
      <c r="B432" s="1" t="n">
        <v>45715</v>
      </c>
      <c r="C432" s="1" t="n">
        <v>45968</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14797-2024</t>
        </is>
      </c>
      <c r="B433" s="1" t="n">
        <v>45397.87030092593</v>
      </c>
      <c r="C433" s="1" t="n">
        <v>45968</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5386-2023</t>
        </is>
      </c>
      <c r="B434" s="1" t="n">
        <v>44959</v>
      </c>
      <c r="C434" s="1" t="n">
        <v>45968</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7837-2024</t>
        </is>
      </c>
      <c r="B435" s="1" t="n">
        <v>45349.83787037037</v>
      </c>
      <c r="C435" s="1" t="n">
        <v>45968</v>
      </c>
      <c r="D435" t="inlineStr">
        <is>
          <t>GOTLANDS LÄN</t>
        </is>
      </c>
      <c r="E435" t="inlineStr">
        <is>
          <t>GOTLAND</t>
        </is>
      </c>
      <c r="G435" t="n">
        <v>5</v>
      </c>
      <c r="H435" t="n">
        <v>0</v>
      </c>
      <c r="I435" t="n">
        <v>0</v>
      </c>
      <c r="J435" t="n">
        <v>0</v>
      </c>
      <c r="K435" t="n">
        <v>0</v>
      </c>
      <c r="L435" t="n">
        <v>0</v>
      </c>
      <c r="M435" t="n">
        <v>0</v>
      </c>
      <c r="N435" t="n">
        <v>0</v>
      </c>
      <c r="O435" t="n">
        <v>0</v>
      </c>
      <c r="P435" t="n">
        <v>0</v>
      </c>
      <c r="Q435" t="n">
        <v>0</v>
      </c>
      <c r="R435" s="2" t="inlineStr"/>
    </row>
    <row r="436" ht="15" customHeight="1">
      <c r="A436" t="inlineStr">
        <is>
          <t>A 30489-2025</t>
        </is>
      </c>
      <c r="B436" s="1" t="n">
        <v>45830</v>
      </c>
      <c r="C436" s="1" t="n">
        <v>45968</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21142-2025</t>
        </is>
      </c>
      <c r="B437" s="1" t="n">
        <v>45779</v>
      </c>
      <c r="C437" s="1" t="n">
        <v>45968</v>
      </c>
      <c r="D437" t="inlineStr">
        <is>
          <t>GOTLANDS LÄN</t>
        </is>
      </c>
      <c r="E437" t="inlineStr">
        <is>
          <t>GOTLAND</t>
        </is>
      </c>
      <c r="G437" t="n">
        <v>1.3</v>
      </c>
      <c r="H437" t="n">
        <v>0</v>
      </c>
      <c r="I437" t="n">
        <v>0</v>
      </c>
      <c r="J437" t="n">
        <v>0</v>
      </c>
      <c r="K437" t="n">
        <v>0</v>
      </c>
      <c r="L437" t="n">
        <v>0</v>
      </c>
      <c r="M437" t="n">
        <v>0</v>
      </c>
      <c r="N437" t="n">
        <v>0</v>
      </c>
      <c r="O437" t="n">
        <v>0</v>
      </c>
      <c r="P437" t="n">
        <v>0</v>
      </c>
      <c r="Q437" t="n">
        <v>0</v>
      </c>
      <c r="R437" s="2" t="inlineStr"/>
    </row>
    <row r="438" ht="15" customHeight="1">
      <c r="A438" t="inlineStr">
        <is>
          <t>A 6108-2025</t>
        </is>
      </c>
      <c r="B438" s="1" t="n">
        <v>45698.29880787037</v>
      </c>
      <c r="C438" s="1" t="n">
        <v>45968</v>
      </c>
      <c r="D438" t="inlineStr">
        <is>
          <t>GOTLANDS LÄN</t>
        </is>
      </c>
      <c r="E438" t="inlineStr">
        <is>
          <t>GOTLAND</t>
        </is>
      </c>
      <c r="G438" t="n">
        <v>2.8</v>
      </c>
      <c r="H438" t="n">
        <v>0</v>
      </c>
      <c r="I438" t="n">
        <v>0</v>
      </c>
      <c r="J438" t="n">
        <v>0</v>
      </c>
      <c r="K438" t="n">
        <v>0</v>
      </c>
      <c r="L438" t="n">
        <v>0</v>
      </c>
      <c r="M438" t="n">
        <v>0</v>
      </c>
      <c r="N438" t="n">
        <v>0</v>
      </c>
      <c r="O438" t="n">
        <v>0</v>
      </c>
      <c r="P438" t="n">
        <v>0</v>
      </c>
      <c r="Q438" t="n">
        <v>0</v>
      </c>
      <c r="R438" s="2" t="inlineStr"/>
    </row>
    <row r="439" ht="15" customHeight="1">
      <c r="A439" t="inlineStr">
        <is>
          <t>A 49874-2024</t>
        </is>
      </c>
      <c r="B439" s="1" t="n">
        <v>45597.49274305555</v>
      </c>
      <c r="C439" s="1" t="n">
        <v>45968</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58211-2024</t>
        </is>
      </c>
      <c r="B440" s="1" t="n">
        <v>45632.49292824074</v>
      </c>
      <c r="C440" s="1" t="n">
        <v>45968</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17343-2025</t>
        </is>
      </c>
      <c r="B441" s="1" t="n">
        <v>45756.6687037037</v>
      </c>
      <c r="C441" s="1" t="n">
        <v>45968</v>
      </c>
      <c r="D441" t="inlineStr">
        <is>
          <t>GOTLANDS LÄN</t>
        </is>
      </c>
      <c r="E441" t="inlineStr">
        <is>
          <t>GOTLAND</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18938-2025</t>
        </is>
      </c>
      <c r="B442" s="1" t="n">
        <v>45764.49172453704</v>
      </c>
      <c r="C442" s="1" t="n">
        <v>45968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20307-2025</t>
        </is>
      </c>
      <c r="B443" s="1" t="n">
        <v>45774.95546296296</v>
      </c>
      <c r="C443" s="1" t="n">
        <v>45968</v>
      </c>
      <c r="D443" t="inlineStr">
        <is>
          <t>GOTLANDS LÄN</t>
        </is>
      </c>
      <c r="E443" t="inlineStr">
        <is>
          <t>GOTLAND</t>
        </is>
      </c>
      <c r="G443" t="n">
        <v>6.8</v>
      </c>
      <c r="H443" t="n">
        <v>0</v>
      </c>
      <c r="I443" t="n">
        <v>0</v>
      </c>
      <c r="J443" t="n">
        <v>0</v>
      </c>
      <c r="K443" t="n">
        <v>0</v>
      </c>
      <c r="L443" t="n">
        <v>0</v>
      </c>
      <c r="M443" t="n">
        <v>0</v>
      </c>
      <c r="N443" t="n">
        <v>0</v>
      </c>
      <c r="O443" t="n">
        <v>0</v>
      </c>
      <c r="P443" t="n">
        <v>0</v>
      </c>
      <c r="Q443" t="n">
        <v>0</v>
      </c>
      <c r="R443" s="2" t="inlineStr"/>
    </row>
    <row r="444" ht="15" customHeight="1">
      <c r="A444" t="inlineStr">
        <is>
          <t>A 1394-2023</t>
        </is>
      </c>
      <c r="B444" s="1" t="n">
        <v>44936.72997685185</v>
      </c>
      <c r="C444" s="1" t="n">
        <v>45968</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2676-2023</t>
        </is>
      </c>
      <c r="B445" s="1" t="n">
        <v>44944</v>
      </c>
      <c r="C445" s="1" t="n">
        <v>45968</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4387-2023</t>
        </is>
      </c>
      <c r="B446" s="1" t="n">
        <v>44955.73359953704</v>
      </c>
      <c r="C446" s="1" t="n">
        <v>45968</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11634-2024</t>
        </is>
      </c>
      <c r="B447" s="1" t="n">
        <v>45373</v>
      </c>
      <c r="C447" s="1" t="n">
        <v>45968</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49411-2023</t>
        </is>
      </c>
      <c r="B448" s="1" t="n">
        <v>45205</v>
      </c>
      <c r="C448" s="1" t="n">
        <v>45968</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5884-2025</t>
        </is>
      </c>
      <c r="B449" s="1" t="n">
        <v>45695.37482638889</v>
      </c>
      <c r="C449" s="1" t="n">
        <v>45968</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5897-2025</t>
        </is>
      </c>
      <c r="B450" s="1" t="n">
        <v>45695.39273148148</v>
      </c>
      <c r="C450" s="1" t="n">
        <v>45968</v>
      </c>
      <c r="D450" t="inlineStr">
        <is>
          <t>GOTLANDS LÄN</t>
        </is>
      </c>
      <c r="E450" t="inlineStr">
        <is>
          <t>GOTLAND</t>
        </is>
      </c>
      <c r="G450" t="n">
        <v>3.7</v>
      </c>
      <c r="H450" t="n">
        <v>0</v>
      </c>
      <c r="I450" t="n">
        <v>0</v>
      </c>
      <c r="J450" t="n">
        <v>0</v>
      </c>
      <c r="K450" t="n">
        <v>0</v>
      </c>
      <c r="L450" t="n">
        <v>0</v>
      </c>
      <c r="M450" t="n">
        <v>0</v>
      </c>
      <c r="N450" t="n">
        <v>0</v>
      </c>
      <c r="O450" t="n">
        <v>0</v>
      </c>
      <c r="P450" t="n">
        <v>0</v>
      </c>
      <c r="Q450" t="n">
        <v>0</v>
      </c>
      <c r="R450" s="2" t="inlineStr"/>
    </row>
    <row r="451" ht="15" customHeight="1">
      <c r="A451" t="inlineStr">
        <is>
          <t>A 5909-2025</t>
        </is>
      </c>
      <c r="B451" s="1" t="n">
        <v>45695.40634259259</v>
      </c>
      <c r="C451" s="1" t="n">
        <v>45968</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37728-2024</t>
        </is>
      </c>
      <c r="B452" s="1" t="n">
        <v>45541</v>
      </c>
      <c r="C452" s="1" t="n">
        <v>45968</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60086-2022</t>
        </is>
      </c>
      <c r="B453" s="1" t="n">
        <v>44909</v>
      </c>
      <c r="C453" s="1" t="n">
        <v>45968</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2241-2025</t>
        </is>
      </c>
      <c r="B454" s="1" t="n">
        <v>45673.48710648148</v>
      </c>
      <c r="C454" s="1" t="n">
        <v>45968</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22704-2023</t>
        </is>
      </c>
      <c r="B455" s="1" t="n">
        <v>45071</v>
      </c>
      <c r="C455" s="1" t="n">
        <v>45968</v>
      </c>
      <c r="D455" t="inlineStr">
        <is>
          <t>GOTLANDS LÄN</t>
        </is>
      </c>
      <c r="E455" t="inlineStr">
        <is>
          <t>GOTLAND</t>
        </is>
      </c>
      <c r="G455" t="n">
        <v>1.9</v>
      </c>
      <c r="H455" t="n">
        <v>0</v>
      </c>
      <c r="I455" t="n">
        <v>0</v>
      </c>
      <c r="J455" t="n">
        <v>0</v>
      </c>
      <c r="K455" t="n">
        <v>0</v>
      </c>
      <c r="L455" t="n">
        <v>0</v>
      </c>
      <c r="M455" t="n">
        <v>0</v>
      </c>
      <c r="N455" t="n">
        <v>0</v>
      </c>
      <c r="O455" t="n">
        <v>0</v>
      </c>
      <c r="P455" t="n">
        <v>0</v>
      </c>
      <c r="Q455" t="n">
        <v>0</v>
      </c>
      <c r="R455" s="2" t="inlineStr"/>
    </row>
    <row r="456" ht="15" customHeight="1">
      <c r="A456" t="inlineStr">
        <is>
          <t>A 18993-2025</t>
        </is>
      </c>
      <c r="B456" s="1" t="n">
        <v>45764</v>
      </c>
      <c r="C456" s="1" t="n">
        <v>45968</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30135-2025</t>
        </is>
      </c>
      <c r="B457" s="1" t="n">
        <v>45826</v>
      </c>
      <c r="C457" s="1" t="n">
        <v>45968</v>
      </c>
      <c r="D457" t="inlineStr">
        <is>
          <t>GOTLANDS LÄN</t>
        </is>
      </c>
      <c r="E457" t="inlineStr">
        <is>
          <t>GOTLAND</t>
        </is>
      </c>
      <c r="G457" t="n">
        <v>2.7</v>
      </c>
      <c r="H457" t="n">
        <v>0</v>
      </c>
      <c r="I457" t="n">
        <v>0</v>
      </c>
      <c r="J457" t="n">
        <v>0</v>
      </c>
      <c r="K457" t="n">
        <v>0</v>
      </c>
      <c r="L457" t="n">
        <v>0</v>
      </c>
      <c r="M457" t="n">
        <v>0</v>
      </c>
      <c r="N457" t="n">
        <v>0</v>
      </c>
      <c r="O457" t="n">
        <v>0</v>
      </c>
      <c r="P457" t="n">
        <v>0</v>
      </c>
      <c r="Q457" t="n">
        <v>0</v>
      </c>
      <c r="R457" s="2" t="inlineStr"/>
    </row>
    <row r="458" ht="15" customHeight="1">
      <c r="A458" t="inlineStr">
        <is>
          <t>A 46836-2025</t>
        </is>
      </c>
      <c r="B458" s="1" t="n">
        <v>45928.31511574074</v>
      </c>
      <c r="C458" s="1" t="n">
        <v>45968</v>
      </c>
      <c r="D458" t="inlineStr">
        <is>
          <t>GOTLANDS LÄN</t>
        </is>
      </c>
      <c r="E458" t="inlineStr">
        <is>
          <t>GOTLAND</t>
        </is>
      </c>
      <c r="G458" t="n">
        <v>2.8</v>
      </c>
      <c r="H458" t="n">
        <v>0</v>
      </c>
      <c r="I458" t="n">
        <v>0</v>
      </c>
      <c r="J458" t="n">
        <v>0</v>
      </c>
      <c r="K458" t="n">
        <v>0</v>
      </c>
      <c r="L458" t="n">
        <v>0</v>
      </c>
      <c r="M458" t="n">
        <v>0</v>
      </c>
      <c r="N458" t="n">
        <v>0</v>
      </c>
      <c r="O458" t="n">
        <v>0</v>
      </c>
      <c r="P458" t="n">
        <v>0</v>
      </c>
      <c r="Q458" t="n">
        <v>0</v>
      </c>
      <c r="R458" s="2" t="inlineStr"/>
    </row>
    <row r="459" ht="15" customHeight="1">
      <c r="A459" t="inlineStr">
        <is>
          <t>A 25866-2022</t>
        </is>
      </c>
      <c r="B459" s="1" t="n">
        <v>44733</v>
      </c>
      <c r="C459" s="1" t="n">
        <v>45968</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22275-2023</t>
        </is>
      </c>
      <c r="B460" s="1" t="n">
        <v>45070.39875</v>
      </c>
      <c r="C460" s="1" t="n">
        <v>45968</v>
      </c>
      <c r="D460" t="inlineStr">
        <is>
          <t>GOTLANDS LÄN</t>
        </is>
      </c>
      <c r="E460" t="inlineStr">
        <is>
          <t>GOTLAND</t>
        </is>
      </c>
      <c r="G460" t="n">
        <v>7.2</v>
      </c>
      <c r="H460" t="n">
        <v>0</v>
      </c>
      <c r="I460" t="n">
        <v>0</v>
      </c>
      <c r="J460" t="n">
        <v>0</v>
      </c>
      <c r="K460" t="n">
        <v>0</v>
      </c>
      <c r="L460" t="n">
        <v>0</v>
      </c>
      <c r="M460" t="n">
        <v>0</v>
      </c>
      <c r="N460" t="n">
        <v>0</v>
      </c>
      <c r="O460" t="n">
        <v>0</v>
      </c>
      <c r="P460" t="n">
        <v>0</v>
      </c>
      <c r="Q460" t="n">
        <v>0</v>
      </c>
      <c r="R460" s="2" t="inlineStr"/>
    </row>
    <row r="461" ht="15" customHeight="1">
      <c r="A461" t="inlineStr">
        <is>
          <t>A 12599-2025</t>
        </is>
      </c>
      <c r="B461" s="1" t="n">
        <v>45733.29546296296</v>
      </c>
      <c r="C461" s="1" t="n">
        <v>45968</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14635-2023</t>
        </is>
      </c>
      <c r="B462" s="1" t="n">
        <v>45013.69365740741</v>
      </c>
      <c r="C462" s="1" t="n">
        <v>45968</v>
      </c>
      <c r="D462" t="inlineStr">
        <is>
          <t>GOTLANDS LÄN</t>
        </is>
      </c>
      <c r="E462" t="inlineStr">
        <is>
          <t>GOTLAND</t>
        </is>
      </c>
      <c r="G462" t="n">
        <v>3.1</v>
      </c>
      <c r="H462" t="n">
        <v>0</v>
      </c>
      <c r="I462" t="n">
        <v>0</v>
      </c>
      <c r="J462" t="n">
        <v>0</v>
      </c>
      <c r="K462" t="n">
        <v>0</v>
      </c>
      <c r="L462" t="n">
        <v>0</v>
      </c>
      <c r="M462" t="n">
        <v>0</v>
      </c>
      <c r="N462" t="n">
        <v>0</v>
      </c>
      <c r="O462" t="n">
        <v>0</v>
      </c>
      <c r="P462" t="n">
        <v>0</v>
      </c>
      <c r="Q462" t="n">
        <v>0</v>
      </c>
      <c r="R462" s="2" t="inlineStr"/>
    </row>
    <row r="463" ht="15" customHeight="1">
      <c r="A463" t="inlineStr">
        <is>
          <t>A 63763-2023</t>
        </is>
      </c>
      <c r="B463" s="1" t="n">
        <v>45278.33944444444</v>
      </c>
      <c r="C463" s="1" t="n">
        <v>45968</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7635-2025</t>
        </is>
      </c>
      <c r="B464" s="1" t="n">
        <v>45705</v>
      </c>
      <c r="C464" s="1" t="n">
        <v>45968</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7636-2025</t>
        </is>
      </c>
      <c r="B465" s="1" t="n">
        <v>45705.7687962963</v>
      </c>
      <c r="C465" s="1" t="n">
        <v>45968</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7639-2025</t>
        </is>
      </c>
      <c r="B466" s="1" t="n">
        <v>45705.77465277778</v>
      </c>
      <c r="C466" s="1" t="n">
        <v>45968</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61682-2024</t>
        </is>
      </c>
      <c r="B467" s="1" t="n">
        <v>45647.48824074074</v>
      </c>
      <c r="C467" s="1" t="n">
        <v>45968</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15434-2024</t>
        </is>
      </c>
      <c r="B468" s="1" t="n">
        <v>45401.38836805556</v>
      </c>
      <c r="C468" s="1" t="n">
        <v>45968</v>
      </c>
      <c r="D468" t="inlineStr">
        <is>
          <t>GOTLANDS LÄN</t>
        </is>
      </c>
      <c r="E468" t="inlineStr">
        <is>
          <t>GOTLAND</t>
        </is>
      </c>
      <c r="G468" t="n">
        <v>2.5</v>
      </c>
      <c r="H468" t="n">
        <v>0</v>
      </c>
      <c r="I468" t="n">
        <v>0</v>
      </c>
      <c r="J468" t="n">
        <v>0</v>
      </c>
      <c r="K468" t="n">
        <v>0</v>
      </c>
      <c r="L468" t="n">
        <v>0</v>
      </c>
      <c r="M468" t="n">
        <v>0</v>
      </c>
      <c r="N468" t="n">
        <v>0</v>
      </c>
      <c r="O468" t="n">
        <v>0</v>
      </c>
      <c r="P468" t="n">
        <v>0</v>
      </c>
      <c r="Q468" t="n">
        <v>0</v>
      </c>
      <c r="R468" s="2" t="inlineStr"/>
    </row>
    <row r="469" ht="15" customHeight="1">
      <c r="A469" t="inlineStr">
        <is>
          <t>A 9887-2025</t>
        </is>
      </c>
      <c r="B469" s="1" t="n">
        <v>45716</v>
      </c>
      <c r="C469" s="1" t="n">
        <v>45968</v>
      </c>
      <c r="D469" t="inlineStr">
        <is>
          <t>GOTLANDS LÄN</t>
        </is>
      </c>
      <c r="E469" t="inlineStr">
        <is>
          <t>GOTLAND</t>
        </is>
      </c>
      <c r="G469" t="n">
        <v>7.5</v>
      </c>
      <c r="H469" t="n">
        <v>0</v>
      </c>
      <c r="I469" t="n">
        <v>0</v>
      </c>
      <c r="J469" t="n">
        <v>0</v>
      </c>
      <c r="K469" t="n">
        <v>0</v>
      </c>
      <c r="L469" t="n">
        <v>0</v>
      </c>
      <c r="M469" t="n">
        <v>0</v>
      </c>
      <c r="N469" t="n">
        <v>0</v>
      </c>
      <c r="O469" t="n">
        <v>0</v>
      </c>
      <c r="P469" t="n">
        <v>0</v>
      </c>
      <c r="Q469" t="n">
        <v>0</v>
      </c>
      <c r="R469" s="2" t="inlineStr"/>
    </row>
    <row r="470" ht="15" customHeight="1">
      <c r="A470" t="inlineStr">
        <is>
          <t>A 12209-2024</t>
        </is>
      </c>
      <c r="B470" s="1" t="n">
        <v>45378</v>
      </c>
      <c r="C470" s="1" t="n">
        <v>45968</v>
      </c>
      <c r="D470" t="inlineStr">
        <is>
          <t>GOTLANDS LÄN</t>
        </is>
      </c>
      <c r="E470" t="inlineStr">
        <is>
          <t>GOTLAND</t>
        </is>
      </c>
      <c r="G470" t="n">
        <v>5.3</v>
      </c>
      <c r="H470" t="n">
        <v>0</v>
      </c>
      <c r="I470" t="n">
        <v>0</v>
      </c>
      <c r="J470" t="n">
        <v>0</v>
      </c>
      <c r="K470" t="n">
        <v>0</v>
      </c>
      <c r="L470" t="n">
        <v>0</v>
      </c>
      <c r="M470" t="n">
        <v>0</v>
      </c>
      <c r="N470" t="n">
        <v>0</v>
      </c>
      <c r="O470" t="n">
        <v>0</v>
      </c>
      <c r="P470" t="n">
        <v>0</v>
      </c>
      <c r="Q470" t="n">
        <v>0</v>
      </c>
      <c r="R470" s="2" t="inlineStr"/>
    </row>
    <row r="471" ht="15" customHeight="1">
      <c r="A471" t="inlineStr">
        <is>
          <t>A 12210-2024</t>
        </is>
      </c>
      <c r="B471" s="1" t="n">
        <v>45378</v>
      </c>
      <c r="C471" s="1" t="n">
        <v>45968</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7034-2023</t>
        </is>
      </c>
      <c r="B472" s="1" t="n">
        <v>44968.32108796296</v>
      </c>
      <c r="C472" s="1" t="n">
        <v>45968</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7042-2023</t>
        </is>
      </c>
      <c r="B473" s="1" t="n">
        <v>44968</v>
      </c>
      <c r="C473" s="1" t="n">
        <v>45968</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59986-2022</t>
        </is>
      </c>
      <c r="B474" s="1" t="n">
        <v>44909</v>
      </c>
      <c r="C474" s="1" t="n">
        <v>45968</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51782-2023</t>
        </is>
      </c>
      <c r="B475" s="1" t="n">
        <v>45222.80952546297</v>
      </c>
      <c r="C475" s="1" t="n">
        <v>45968</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2180-2025</t>
        </is>
      </c>
      <c r="B476" s="1" t="n">
        <v>45673</v>
      </c>
      <c r="C476" s="1" t="n">
        <v>45968</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20356-2022</t>
        </is>
      </c>
      <c r="B477" s="1" t="n">
        <v>44699</v>
      </c>
      <c r="C477" s="1" t="n">
        <v>45968</v>
      </c>
      <c r="D477" t="inlineStr">
        <is>
          <t>GOTLANDS LÄN</t>
        </is>
      </c>
      <c r="E477" t="inlineStr">
        <is>
          <t>GOTLAND</t>
        </is>
      </c>
      <c r="F477" t="inlineStr">
        <is>
          <t>Övriga Aktiebolag</t>
        </is>
      </c>
      <c r="G477" t="n">
        <v>4.4</v>
      </c>
      <c r="H477" t="n">
        <v>0</v>
      </c>
      <c r="I477" t="n">
        <v>0</v>
      </c>
      <c r="J477" t="n">
        <v>0</v>
      </c>
      <c r="K477" t="n">
        <v>0</v>
      </c>
      <c r="L477" t="n">
        <v>0</v>
      </c>
      <c r="M477" t="n">
        <v>0</v>
      </c>
      <c r="N477" t="n">
        <v>0</v>
      </c>
      <c r="O477" t="n">
        <v>0</v>
      </c>
      <c r="P477" t="n">
        <v>0</v>
      </c>
      <c r="Q477" t="n">
        <v>0</v>
      </c>
      <c r="R477" s="2" t="inlineStr"/>
    </row>
    <row r="478" ht="15" customHeight="1">
      <c r="A478" t="inlineStr">
        <is>
          <t>A 2292-2021</t>
        </is>
      </c>
      <c r="B478" s="1" t="n">
        <v>44212</v>
      </c>
      <c r="C478" s="1" t="n">
        <v>45968</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35142-2025</t>
        </is>
      </c>
      <c r="B479" s="1" t="n">
        <v>45852.65532407408</v>
      </c>
      <c r="C479" s="1" t="n">
        <v>45968</v>
      </c>
      <c r="D479" t="inlineStr">
        <is>
          <t>GOTLANDS LÄN</t>
        </is>
      </c>
      <c r="E479" t="inlineStr">
        <is>
          <t>GOTLAND</t>
        </is>
      </c>
      <c r="G479" t="n">
        <v>2.4</v>
      </c>
      <c r="H479" t="n">
        <v>0</v>
      </c>
      <c r="I479" t="n">
        <v>0</v>
      </c>
      <c r="J479" t="n">
        <v>0</v>
      </c>
      <c r="K479" t="n">
        <v>0</v>
      </c>
      <c r="L479" t="n">
        <v>0</v>
      </c>
      <c r="M479" t="n">
        <v>0</v>
      </c>
      <c r="N479" t="n">
        <v>0</v>
      </c>
      <c r="O479" t="n">
        <v>0</v>
      </c>
      <c r="P479" t="n">
        <v>0</v>
      </c>
      <c r="Q479" t="n">
        <v>0</v>
      </c>
      <c r="R479" s="2" t="inlineStr"/>
    </row>
    <row r="480" ht="15" customHeight="1">
      <c r="A480" t="inlineStr">
        <is>
          <t>A 54074-2022</t>
        </is>
      </c>
      <c r="B480" s="1" t="n">
        <v>44881</v>
      </c>
      <c r="C480" s="1" t="n">
        <v>45968</v>
      </c>
      <c r="D480" t="inlineStr">
        <is>
          <t>GOTLANDS LÄN</t>
        </is>
      </c>
      <c r="E480" t="inlineStr">
        <is>
          <t>GOTLAND</t>
        </is>
      </c>
      <c r="G480" t="n">
        <v>0.9</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44496.64855324074</v>
      </c>
      <c r="C481" s="1" t="n">
        <v>45968</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31802-2024</t>
        </is>
      </c>
      <c r="B482" s="1" t="n">
        <v>45509</v>
      </c>
      <c r="C482" s="1" t="n">
        <v>45968</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35141-2025</t>
        </is>
      </c>
      <c r="B483" s="1" t="n">
        <v>45852.65206018519</v>
      </c>
      <c r="C483" s="1" t="n">
        <v>45968</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61694-2023</t>
        </is>
      </c>
      <c r="B484" s="1" t="n">
        <v>45264</v>
      </c>
      <c r="C484" s="1" t="n">
        <v>45968</v>
      </c>
      <c r="D484" t="inlineStr">
        <is>
          <t>GOTLANDS LÄN</t>
        </is>
      </c>
      <c r="E484" t="inlineStr">
        <is>
          <t>GOTLAND</t>
        </is>
      </c>
      <c r="G484" t="n">
        <v>4.6</v>
      </c>
      <c r="H484" t="n">
        <v>0</v>
      </c>
      <c r="I484" t="n">
        <v>0</v>
      </c>
      <c r="J484" t="n">
        <v>0</v>
      </c>
      <c r="K484" t="n">
        <v>0</v>
      </c>
      <c r="L484" t="n">
        <v>0</v>
      </c>
      <c r="M484" t="n">
        <v>0</v>
      </c>
      <c r="N484" t="n">
        <v>0</v>
      </c>
      <c r="O484" t="n">
        <v>0</v>
      </c>
      <c r="P484" t="n">
        <v>0</v>
      </c>
      <c r="Q484" t="n">
        <v>0</v>
      </c>
      <c r="R484" s="2" t="inlineStr"/>
    </row>
    <row r="485" ht="15" customHeight="1">
      <c r="A485" t="inlineStr">
        <is>
          <t>A 20993-2023</t>
        </is>
      </c>
      <c r="B485" s="1" t="n">
        <v>45056</v>
      </c>
      <c r="C485" s="1" t="n">
        <v>45968</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45968</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15042-2025</t>
        </is>
      </c>
      <c r="B487" s="1" t="n">
        <v>45743</v>
      </c>
      <c r="C487" s="1" t="n">
        <v>45968</v>
      </c>
      <c r="D487" t="inlineStr">
        <is>
          <t>GOTLANDS LÄN</t>
        </is>
      </c>
      <c r="E487" t="inlineStr">
        <is>
          <t>GOTLAND</t>
        </is>
      </c>
      <c r="G487" t="n">
        <v>8.5</v>
      </c>
      <c r="H487" t="n">
        <v>0</v>
      </c>
      <c r="I487" t="n">
        <v>0</v>
      </c>
      <c r="J487" t="n">
        <v>0</v>
      </c>
      <c r="K487" t="n">
        <v>0</v>
      </c>
      <c r="L487" t="n">
        <v>0</v>
      </c>
      <c r="M487" t="n">
        <v>0</v>
      </c>
      <c r="N487" t="n">
        <v>0</v>
      </c>
      <c r="O487" t="n">
        <v>0</v>
      </c>
      <c r="P487" t="n">
        <v>0</v>
      </c>
      <c r="Q487" t="n">
        <v>0</v>
      </c>
      <c r="R487" s="2" t="inlineStr"/>
    </row>
    <row r="488" ht="15" customHeight="1">
      <c r="A488" t="inlineStr">
        <is>
          <t>A 54268-2022</t>
        </is>
      </c>
      <c r="B488" s="1" t="n">
        <v>44882</v>
      </c>
      <c r="C488" s="1" t="n">
        <v>45968</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1446-2025</t>
        </is>
      </c>
      <c r="B489" s="1" t="n">
        <v>45669.86035879629</v>
      </c>
      <c r="C489" s="1" t="n">
        <v>45968</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1462-2025</t>
        </is>
      </c>
      <c r="B490" s="1" t="n">
        <v>45670.36319444444</v>
      </c>
      <c r="C490" s="1" t="n">
        <v>45968</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12327-2025</t>
        </is>
      </c>
      <c r="B491" s="1" t="n">
        <v>45730</v>
      </c>
      <c r="C491" s="1" t="n">
        <v>45968</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57685-2022</t>
        </is>
      </c>
      <c r="B492" s="1" t="n">
        <v>44897.4777662037</v>
      </c>
      <c r="C492" s="1" t="n">
        <v>45968</v>
      </c>
      <c r="D492" t="inlineStr">
        <is>
          <t>GOTLANDS LÄN</t>
        </is>
      </c>
      <c r="E492" t="inlineStr">
        <is>
          <t>GOTLAND</t>
        </is>
      </c>
      <c r="G492" t="n">
        <v>3.7</v>
      </c>
      <c r="H492" t="n">
        <v>0</v>
      </c>
      <c r="I492" t="n">
        <v>0</v>
      </c>
      <c r="J492" t="n">
        <v>0</v>
      </c>
      <c r="K492" t="n">
        <v>0</v>
      </c>
      <c r="L492" t="n">
        <v>0</v>
      </c>
      <c r="M492" t="n">
        <v>0</v>
      </c>
      <c r="N492" t="n">
        <v>0</v>
      </c>
      <c r="O492" t="n">
        <v>0</v>
      </c>
      <c r="P492" t="n">
        <v>0</v>
      </c>
      <c r="Q492" t="n">
        <v>0</v>
      </c>
      <c r="R492" s="2" t="inlineStr"/>
    </row>
    <row r="493" ht="15" customHeight="1">
      <c r="A493" t="inlineStr">
        <is>
          <t>A 811-2023</t>
        </is>
      </c>
      <c r="B493" s="1" t="n">
        <v>44931</v>
      </c>
      <c r="C493" s="1" t="n">
        <v>45968</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4420-2025</t>
        </is>
      </c>
      <c r="B494" s="1" t="n">
        <v>45686.47157407407</v>
      </c>
      <c r="C494" s="1" t="n">
        <v>45968</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14427-2024</t>
        </is>
      </c>
      <c r="B495" s="1" t="n">
        <v>45394</v>
      </c>
      <c r="C495" s="1" t="n">
        <v>45968</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47637-2025</t>
        </is>
      </c>
      <c r="B496" s="1" t="n">
        <v>45931.49753472222</v>
      </c>
      <c r="C496" s="1" t="n">
        <v>45968</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5217-2023</t>
        </is>
      </c>
      <c r="B497" s="1" t="n">
        <v>44959.39582175926</v>
      </c>
      <c r="C497" s="1" t="n">
        <v>45968</v>
      </c>
      <c r="D497" t="inlineStr">
        <is>
          <t>GOTLANDS LÄN</t>
        </is>
      </c>
      <c r="E497" t="inlineStr">
        <is>
          <t>GOTLAND</t>
        </is>
      </c>
      <c r="G497" t="n">
        <v>1.9</v>
      </c>
      <c r="H497" t="n">
        <v>0</v>
      </c>
      <c r="I497" t="n">
        <v>0</v>
      </c>
      <c r="J497" t="n">
        <v>0</v>
      </c>
      <c r="K497" t="n">
        <v>0</v>
      </c>
      <c r="L497" t="n">
        <v>0</v>
      </c>
      <c r="M497" t="n">
        <v>0</v>
      </c>
      <c r="N497" t="n">
        <v>0</v>
      </c>
      <c r="O497" t="n">
        <v>0</v>
      </c>
      <c r="P497" t="n">
        <v>0</v>
      </c>
      <c r="Q497" t="n">
        <v>0</v>
      </c>
      <c r="R497" s="2" t="inlineStr"/>
    </row>
    <row r="498" ht="15" customHeight="1">
      <c r="A498" t="inlineStr">
        <is>
          <t>A 47147-2025</t>
        </is>
      </c>
      <c r="B498" s="1" t="n">
        <v>45929.71716435185</v>
      </c>
      <c r="C498" s="1" t="n">
        <v>45968</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5905-2024</t>
        </is>
      </c>
      <c r="B499" s="1" t="n">
        <v>45335.88993055555</v>
      </c>
      <c r="C499" s="1" t="n">
        <v>45968</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14638-2025</t>
        </is>
      </c>
      <c r="B500" s="1" t="n">
        <v>45742</v>
      </c>
      <c r="C500" s="1" t="n">
        <v>45968</v>
      </c>
      <c r="D500" t="inlineStr">
        <is>
          <t>GOTLANDS LÄN</t>
        </is>
      </c>
      <c r="E500" t="inlineStr">
        <is>
          <t>GOTLAND</t>
        </is>
      </c>
      <c r="G500" t="n">
        <v>13.4</v>
      </c>
      <c r="H500" t="n">
        <v>0</v>
      </c>
      <c r="I500" t="n">
        <v>0</v>
      </c>
      <c r="J500" t="n">
        <v>0</v>
      </c>
      <c r="K500" t="n">
        <v>0</v>
      </c>
      <c r="L500" t="n">
        <v>0</v>
      </c>
      <c r="M500" t="n">
        <v>0</v>
      </c>
      <c r="N500" t="n">
        <v>0</v>
      </c>
      <c r="O500" t="n">
        <v>0</v>
      </c>
      <c r="P500" t="n">
        <v>0</v>
      </c>
      <c r="Q500" t="n">
        <v>0</v>
      </c>
      <c r="R500" s="2" t="inlineStr"/>
    </row>
    <row r="501" ht="15" customHeight="1">
      <c r="A501" t="inlineStr">
        <is>
          <t>A 3431-2025</t>
        </is>
      </c>
      <c r="B501" s="1" t="n">
        <v>45680.42935185185</v>
      </c>
      <c r="C501" s="1" t="n">
        <v>45968</v>
      </c>
      <c r="D501" t="inlineStr">
        <is>
          <t>GOTLANDS LÄN</t>
        </is>
      </c>
      <c r="E501" t="inlineStr">
        <is>
          <t>GOTLAND</t>
        </is>
      </c>
      <c r="G501" t="n">
        <v>4.8</v>
      </c>
      <c r="H501" t="n">
        <v>0</v>
      </c>
      <c r="I501" t="n">
        <v>0</v>
      </c>
      <c r="J501" t="n">
        <v>0</v>
      </c>
      <c r="K501" t="n">
        <v>0</v>
      </c>
      <c r="L501" t="n">
        <v>0</v>
      </c>
      <c r="M501" t="n">
        <v>0</v>
      </c>
      <c r="N501" t="n">
        <v>0</v>
      </c>
      <c r="O501" t="n">
        <v>0</v>
      </c>
      <c r="P501" t="n">
        <v>0</v>
      </c>
      <c r="Q501" t="n">
        <v>0</v>
      </c>
      <c r="R501" s="2" t="inlineStr"/>
    </row>
    <row r="502" ht="15" customHeight="1">
      <c r="A502" t="inlineStr">
        <is>
          <t>A 34407-2023</t>
        </is>
      </c>
      <c r="B502" s="1" t="n">
        <v>45132</v>
      </c>
      <c r="C502" s="1" t="n">
        <v>45968</v>
      </c>
      <c r="D502" t="inlineStr">
        <is>
          <t>GOTLANDS LÄN</t>
        </is>
      </c>
      <c r="E502" t="inlineStr">
        <is>
          <t>GOTLAND</t>
        </is>
      </c>
      <c r="G502" t="n">
        <v>4.4</v>
      </c>
      <c r="H502" t="n">
        <v>0</v>
      </c>
      <c r="I502" t="n">
        <v>0</v>
      </c>
      <c r="J502" t="n">
        <v>0</v>
      </c>
      <c r="K502" t="n">
        <v>0</v>
      </c>
      <c r="L502" t="n">
        <v>0</v>
      </c>
      <c r="M502" t="n">
        <v>0</v>
      </c>
      <c r="N502" t="n">
        <v>0</v>
      </c>
      <c r="O502" t="n">
        <v>0</v>
      </c>
      <c r="P502" t="n">
        <v>0</v>
      </c>
      <c r="Q502" t="n">
        <v>0</v>
      </c>
      <c r="R502" s="2" t="inlineStr"/>
    </row>
    <row r="503" ht="15" customHeight="1">
      <c r="A503" t="inlineStr">
        <is>
          <t>A 30892-2024</t>
        </is>
      </c>
      <c r="B503" s="1" t="n">
        <v>45491</v>
      </c>
      <c r="C503" s="1" t="n">
        <v>45968</v>
      </c>
      <c r="D503" t="inlineStr">
        <is>
          <t>GOTLANDS LÄN</t>
        </is>
      </c>
      <c r="E503" t="inlineStr">
        <is>
          <t>GOTLAND</t>
        </is>
      </c>
      <c r="G503" t="n">
        <v>6.1</v>
      </c>
      <c r="H503" t="n">
        <v>0</v>
      </c>
      <c r="I503" t="n">
        <v>0</v>
      </c>
      <c r="J503" t="n">
        <v>0</v>
      </c>
      <c r="K503" t="n">
        <v>0</v>
      </c>
      <c r="L503" t="n">
        <v>0</v>
      </c>
      <c r="M503" t="n">
        <v>0</v>
      </c>
      <c r="N503" t="n">
        <v>0</v>
      </c>
      <c r="O503" t="n">
        <v>0</v>
      </c>
      <c r="P503" t="n">
        <v>0</v>
      </c>
      <c r="Q503" t="n">
        <v>0</v>
      </c>
      <c r="R503" s="2" t="inlineStr"/>
    </row>
    <row r="504" ht="15" customHeight="1">
      <c r="A504" t="inlineStr">
        <is>
          <t>A 32958-2021</t>
        </is>
      </c>
      <c r="B504" s="1" t="n">
        <v>44376</v>
      </c>
      <c r="C504" s="1" t="n">
        <v>45968</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4421-2024</t>
        </is>
      </c>
      <c r="B505" s="1" t="n">
        <v>45327.45173611111</v>
      </c>
      <c r="C505" s="1" t="n">
        <v>45968</v>
      </c>
      <c r="D505" t="inlineStr">
        <is>
          <t>GOTLANDS LÄN</t>
        </is>
      </c>
      <c r="E505" t="inlineStr">
        <is>
          <t>GOTLAND</t>
        </is>
      </c>
      <c r="G505" t="n">
        <v>5.1</v>
      </c>
      <c r="H505" t="n">
        <v>0</v>
      </c>
      <c r="I505" t="n">
        <v>0</v>
      </c>
      <c r="J505" t="n">
        <v>0</v>
      </c>
      <c r="K505" t="n">
        <v>0</v>
      </c>
      <c r="L505" t="n">
        <v>0</v>
      </c>
      <c r="M505" t="n">
        <v>0</v>
      </c>
      <c r="N505" t="n">
        <v>0</v>
      </c>
      <c r="O505" t="n">
        <v>0</v>
      </c>
      <c r="P505" t="n">
        <v>0</v>
      </c>
      <c r="Q505" t="n">
        <v>0</v>
      </c>
      <c r="R505" s="2" t="inlineStr"/>
    </row>
    <row r="506" ht="15" customHeight="1">
      <c r="A506" t="inlineStr">
        <is>
          <t>A 39849-2025</t>
        </is>
      </c>
      <c r="B506" s="1" t="n">
        <v>45891.58502314815</v>
      </c>
      <c r="C506" s="1" t="n">
        <v>45968</v>
      </c>
      <c r="D506" t="inlineStr">
        <is>
          <t>GOTLANDS LÄN</t>
        </is>
      </c>
      <c r="E506" t="inlineStr">
        <is>
          <t>GOTLAND</t>
        </is>
      </c>
      <c r="G506" t="n">
        <v>6.1</v>
      </c>
      <c r="H506" t="n">
        <v>0</v>
      </c>
      <c r="I506" t="n">
        <v>0</v>
      </c>
      <c r="J506" t="n">
        <v>0</v>
      </c>
      <c r="K506" t="n">
        <v>0</v>
      </c>
      <c r="L506" t="n">
        <v>0</v>
      </c>
      <c r="M506" t="n">
        <v>0</v>
      </c>
      <c r="N506" t="n">
        <v>0</v>
      </c>
      <c r="O506" t="n">
        <v>0</v>
      </c>
      <c r="P506" t="n">
        <v>0</v>
      </c>
      <c r="Q506" t="n">
        <v>0</v>
      </c>
      <c r="R506" s="2" t="inlineStr"/>
    </row>
    <row r="507" ht="15" customHeight="1">
      <c r="A507" t="inlineStr">
        <is>
          <t>A 49257-2024</t>
        </is>
      </c>
      <c r="B507" s="1" t="n">
        <v>45595.47627314815</v>
      </c>
      <c r="C507" s="1" t="n">
        <v>45968</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49315-2024</t>
        </is>
      </c>
      <c r="B508" s="1" t="n">
        <v>45595</v>
      </c>
      <c r="C508" s="1" t="n">
        <v>45968</v>
      </c>
      <c r="D508" t="inlineStr">
        <is>
          <t>GOTLANDS LÄN</t>
        </is>
      </c>
      <c r="E508" t="inlineStr">
        <is>
          <t>GOTLAND</t>
        </is>
      </c>
      <c r="G508" t="n">
        <v>1.5</v>
      </c>
      <c r="H508" t="n">
        <v>0</v>
      </c>
      <c r="I508" t="n">
        <v>0</v>
      </c>
      <c r="J508" t="n">
        <v>0</v>
      </c>
      <c r="K508" t="n">
        <v>0</v>
      </c>
      <c r="L508" t="n">
        <v>0</v>
      </c>
      <c r="M508" t="n">
        <v>0</v>
      </c>
      <c r="N508" t="n">
        <v>0</v>
      </c>
      <c r="O508" t="n">
        <v>0</v>
      </c>
      <c r="P508" t="n">
        <v>0</v>
      </c>
      <c r="Q508" t="n">
        <v>0</v>
      </c>
      <c r="R508" s="2" t="inlineStr"/>
    </row>
    <row r="509" ht="15" customHeight="1">
      <c r="A509" t="inlineStr">
        <is>
          <t>A 39814-2025</t>
        </is>
      </c>
      <c r="B509" s="1" t="n">
        <v>45891.52694444444</v>
      </c>
      <c r="C509" s="1" t="n">
        <v>45968</v>
      </c>
      <c r="D509" t="inlineStr">
        <is>
          <t>GOTLANDS LÄN</t>
        </is>
      </c>
      <c r="E509" t="inlineStr">
        <is>
          <t>GOTLAND</t>
        </is>
      </c>
      <c r="G509" t="n">
        <v>4.5</v>
      </c>
      <c r="H509" t="n">
        <v>0</v>
      </c>
      <c r="I509" t="n">
        <v>0</v>
      </c>
      <c r="J509" t="n">
        <v>0</v>
      </c>
      <c r="K509" t="n">
        <v>0</v>
      </c>
      <c r="L509" t="n">
        <v>0</v>
      </c>
      <c r="M509" t="n">
        <v>0</v>
      </c>
      <c r="N509" t="n">
        <v>0</v>
      </c>
      <c r="O509" t="n">
        <v>0</v>
      </c>
      <c r="P509" t="n">
        <v>0</v>
      </c>
      <c r="Q509" t="n">
        <v>0</v>
      </c>
      <c r="R509" s="2" t="inlineStr"/>
    </row>
    <row r="510" ht="15" customHeight="1">
      <c r="A510" t="inlineStr">
        <is>
          <t>A 7858-2025</t>
        </is>
      </c>
      <c r="B510" s="1" t="n">
        <v>45706.68633101852</v>
      </c>
      <c r="C510" s="1" t="n">
        <v>45968</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46545-2024</t>
        </is>
      </c>
      <c r="B511" s="1" t="n">
        <v>45582.65831018519</v>
      </c>
      <c r="C511" s="1" t="n">
        <v>45968</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999-2023</t>
        </is>
      </c>
      <c r="B512" s="1" t="n">
        <v>44935</v>
      </c>
      <c r="C512" s="1" t="n">
        <v>45968</v>
      </c>
      <c r="D512" t="inlineStr">
        <is>
          <t>GOTLANDS LÄN</t>
        </is>
      </c>
      <c r="E512" t="inlineStr">
        <is>
          <t>GOTLAND</t>
        </is>
      </c>
      <c r="G512" t="n">
        <v>4.7</v>
      </c>
      <c r="H512" t="n">
        <v>0</v>
      </c>
      <c r="I512" t="n">
        <v>0</v>
      </c>
      <c r="J512" t="n">
        <v>0</v>
      </c>
      <c r="K512" t="n">
        <v>0</v>
      </c>
      <c r="L512" t="n">
        <v>0</v>
      </c>
      <c r="M512" t="n">
        <v>0</v>
      </c>
      <c r="N512" t="n">
        <v>0</v>
      </c>
      <c r="O512" t="n">
        <v>0</v>
      </c>
      <c r="P512" t="n">
        <v>0</v>
      </c>
      <c r="Q512" t="n">
        <v>0</v>
      </c>
      <c r="R512" s="2" t="inlineStr"/>
    </row>
    <row r="513" ht="15" customHeight="1">
      <c r="A513" t="inlineStr">
        <is>
          <t>A 39819-2025</t>
        </is>
      </c>
      <c r="B513" s="1" t="n">
        <v>45891.53418981482</v>
      </c>
      <c r="C513" s="1" t="n">
        <v>45968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1364-2025</t>
        </is>
      </c>
      <c r="B514" s="1" t="n">
        <v>45667.63929398148</v>
      </c>
      <c r="C514" s="1" t="n">
        <v>45968</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2125-2025</t>
        </is>
      </c>
      <c r="B515" s="1" t="n">
        <v>45672.64940972222</v>
      </c>
      <c r="C515" s="1" t="n">
        <v>45968</v>
      </c>
      <c r="D515" t="inlineStr">
        <is>
          <t>GOTLANDS LÄN</t>
        </is>
      </c>
      <c r="E515" t="inlineStr">
        <is>
          <t>GOTLAND</t>
        </is>
      </c>
      <c r="G515" t="n">
        <v>2.3</v>
      </c>
      <c r="H515" t="n">
        <v>0</v>
      </c>
      <c r="I515" t="n">
        <v>0</v>
      </c>
      <c r="J515" t="n">
        <v>0</v>
      </c>
      <c r="K515" t="n">
        <v>0</v>
      </c>
      <c r="L515" t="n">
        <v>0</v>
      </c>
      <c r="M515" t="n">
        <v>0</v>
      </c>
      <c r="N515" t="n">
        <v>0</v>
      </c>
      <c r="O515" t="n">
        <v>0</v>
      </c>
      <c r="P515" t="n">
        <v>0</v>
      </c>
      <c r="Q515" t="n">
        <v>0</v>
      </c>
      <c r="R515" s="2" t="inlineStr"/>
    </row>
    <row r="516" ht="15" customHeight="1">
      <c r="A516" t="inlineStr">
        <is>
          <t>A 47578-2025</t>
        </is>
      </c>
      <c r="B516" s="1" t="n">
        <v>45931</v>
      </c>
      <c r="C516" s="1" t="n">
        <v>45968</v>
      </c>
      <c r="D516" t="inlineStr">
        <is>
          <t>GOTLANDS LÄN</t>
        </is>
      </c>
      <c r="E516" t="inlineStr">
        <is>
          <t>GOTLAND</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39752-2025</t>
        </is>
      </c>
      <c r="B517" s="1" t="n">
        <v>45891</v>
      </c>
      <c r="C517" s="1" t="n">
        <v>45968</v>
      </c>
      <c r="D517" t="inlineStr">
        <is>
          <t>GOTLANDS LÄN</t>
        </is>
      </c>
      <c r="E517" t="inlineStr">
        <is>
          <t>GOTLAND</t>
        </is>
      </c>
      <c r="G517" t="n">
        <v>5.3</v>
      </c>
      <c r="H517" t="n">
        <v>0</v>
      </c>
      <c r="I517" t="n">
        <v>0</v>
      </c>
      <c r="J517" t="n">
        <v>0</v>
      </c>
      <c r="K517" t="n">
        <v>0</v>
      </c>
      <c r="L517" t="n">
        <v>0</v>
      </c>
      <c r="M517" t="n">
        <v>0</v>
      </c>
      <c r="N517" t="n">
        <v>0</v>
      </c>
      <c r="O517" t="n">
        <v>0</v>
      </c>
      <c r="P517" t="n">
        <v>0</v>
      </c>
      <c r="Q517" t="n">
        <v>0</v>
      </c>
      <c r="R517" s="2" t="inlineStr"/>
    </row>
    <row r="518" ht="15" customHeight="1">
      <c r="A518" t="inlineStr">
        <is>
          <t>A 39816-2025</t>
        </is>
      </c>
      <c r="B518" s="1" t="n">
        <v>45891</v>
      </c>
      <c r="C518" s="1" t="n">
        <v>45968</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14141-2024</t>
        </is>
      </c>
      <c r="B519" s="1" t="n">
        <v>45392.85193287037</v>
      </c>
      <c r="C519" s="1" t="n">
        <v>45968</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40372-2025</t>
        </is>
      </c>
      <c r="B520" s="1" t="n">
        <v>45895.5162037037</v>
      </c>
      <c r="C520" s="1" t="n">
        <v>45968</v>
      </c>
      <c r="D520" t="inlineStr">
        <is>
          <t>GOTLANDS LÄN</t>
        </is>
      </c>
      <c r="E520" t="inlineStr">
        <is>
          <t>GOTLAND</t>
        </is>
      </c>
      <c r="G520" t="n">
        <v>3.3</v>
      </c>
      <c r="H520" t="n">
        <v>0</v>
      </c>
      <c r="I520" t="n">
        <v>0</v>
      </c>
      <c r="J520" t="n">
        <v>0</v>
      </c>
      <c r="K520" t="n">
        <v>0</v>
      </c>
      <c r="L520" t="n">
        <v>0</v>
      </c>
      <c r="M520" t="n">
        <v>0</v>
      </c>
      <c r="N520" t="n">
        <v>0</v>
      </c>
      <c r="O520" t="n">
        <v>0</v>
      </c>
      <c r="P520" t="n">
        <v>0</v>
      </c>
      <c r="Q520" t="n">
        <v>0</v>
      </c>
      <c r="R520" s="2" t="inlineStr"/>
    </row>
    <row r="521" ht="15" customHeight="1">
      <c r="A521" t="inlineStr">
        <is>
          <t>A 27596-2023</t>
        </is>
      </c>
      <c r="B521" s="1" t="n">
        <v>45097</v>
      </c>
      <c r="C521" s="1" t="n">
        <v>45968</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56115-2023</t>
        </is>
      </c>
      <c r="B522" s="1" t="n">
        <v>45236</v>
      </c>
      <c r="C522" s="1" t="n">
        <v>45968</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64969-2023</t>
        </is>
      </c>
      <c r="B523" s="1" t="n">
        <v>45284.54009259259</v>
      </c>
      <c r="C523" s="1" t="n">
        <v>45968</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12155-2023</t>
        </is>
      </c>
      <c r="B524" s="1" t="n">
        <v>44998.49106481481</v>
      </c>
      <c r="C524" s="1" t="n">
        <v>45968</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40373-2025</t>
        </is>
      </c>
      <c r="B525" s="1" t="n">
        <v>45895.51821759259</v>
      </c>
      <c r="C525" s="1" t="n">
        <v>45968</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33853-2024</t>
        </is>
      </c>
      <c r="B526" s="1" t="n">
        <v>45520.64298611111</v>
      </c>
      <c r="C526" s="1" t="n">
        <v>45968</v>
      </c>
      <c r="D526" t="inlineStr">
        <is>
          <t>GOTLANDS LÄN</t>
        </is>
      </c>
      <c r="E526" t="inlineStr">
        <is>
          <t>GOTLAND</t>
        </is>
      </c>
      <c r="G526" t="n">
        <v>3.9</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45968</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2774-2024</t>
        </is>
      </c>
      <c r="B528" s="1" t="n">
        <v>45314.62375</v>
      </c>
      <c r="C528" s="1" t="n">
        <v>45968</v>
      </c>
      <c r="D528" t="inlineStr">
        <is>
          <t>GOTLANDS LÄN</t>
        </is>
      </c>
      <c r="E528" t="inlineStr">
        <is>
          <t>GOTLAND</t>
        </is>
      </c>
      <c r="G528" t="n">
        <v>1</v>
      </c>
      <c r="H528" t="n">
        <v>0</v>
      </c>
      <c r="I528" t="n">
        <v>0</v>
      </c>
      <c r="J528" t="n">
        <v>0</v>
      </c>
      <c r="K528" t="n">
        <v>0</v>
      </c>
      <c r="L528" t="n">
        <v>0</v>
      </c>
      <c r="M528" t="n">
        <v>0</v>
      </c>
      <c r="N528" t="n">
        <v>0</v>
      </c>
      <c r="O528" t="n">
        <v>0</v>
      </c>
      <c r="P528" t="n">
        <v>0</v>
      </c>
      <c r="Q528" t="n">
        <v>0</v>
      </c>
      <c r="R528" s="2" t="inlineStr"/>
    </row>
    <row r="529" ht="15" customHeight="1">
      <c r="A529" t="inlineStr">
        <is>
          <t>A 46949-2024</t>
        </is>
      </c>
      <c r="B529" s="1" t="n">
        <v>45585</v>
      </c>
      <c r="C529" s="1" t="n">
        <v>45968</v>
      </c>
      <c r="D529" t="inlineStr">
        <is>
          <t>GOTLANDS LÄN</t>
        </is>
      </c>
      <c r="E529" t="inlineStr">
        <is>
          <t>GOTLAND</t>
        </is>
      </c>
      <c r="G529" t="n">
        <v>0.6</v>
      </c>
      <c r="H529" t="n">
        <v>0</v>
      </c>
      <c r="I529" t="n">
        <v>0</v>
      </c>
      <c r="J529" t="n">
        <v>0</v>
      </c>
      <c r="K529" t="n">
        <v>0</v>
      </c>
      <c r="L529" t="n">
        <v>0</v>
      </c>
      <c r="M529" t="n">
        <v>0</v>
      </c>
      <c r="N529" t="n">
        <v>0</v>
      </c>
      <c r="O529" t="n">
        <v>0</v>
      </c>
      <c r="P529" t="n">
        <v>0</v>
      </c>
      <c r="Q529" t="n">
        <v>0</v>
      </c>
      <c r="R529" s="2" t="inlineStr"/>
    </row>
    <row r="530" ht="15" customHeight="1">
      <c r="A530" t="inlineStr">
        <is>
          <t>A 9947-2024</t>
        </is>
      </c>
      <c r="B530" s="1" t="n">
        <v>45363</v>
      </c>
      <c r="C530" s="1" t="n">
        <v>45968</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42007-2023</t>
        </is>
      </c>
      <c r="B531" s="1" t="n">
        <v>45177</v>
      </c>
      <c r="C531" s="1" t="n">
        <v>45968</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40103-2025</t>
        </is>
      </c>
      <c r="B532" s="1" t="n">
        <v>45894.4880324074</v>
      </c>
      <c r="C532" s="1" t="n">
        <v>45968</v>
      </c>
      <c r="D532" t="inlineStr">
        <is>
          <t>GOTLANDS LÄN</t>
        </is>
      </c>
      <c r="E532" t="inlineStr">
        <is>
          <t>GOTLAND</t>
        </is>
      </c>
      <c r="G532" t="n">
        <v>0.9</v>
      </c>
      <c r="H532" t="n">
        <v>0</v>
      </c>
      <c r="I532" t="n">
        <v>0</v>
      </c>
      <c r="J532" t="n">
        <v>0</v>
      </c>
      <c r="K532" t="n">
        <v>0</v>
      </c>
      <c r="L532" t="n">
        <v>0</v>
      </c>
      <c r="M532" t="n">
        <v>0</v>
      </c>
      <c r="N532" t="n">
        <v>0</v>
      </c>
      <c r="O532" t="n">
        <v>0</v>
      </c>
      <c r="P532" t="n">
        <v>0</v>
      </c>
      <c r="Q532" t="n">
        <v>0</v>
      </c>
      <c r="R532" s="2" t="inlineStr"/>
    </row>
    <row r="533" ht="15" customHeight="1">
      <c r="A533" t="inlineStr">
        <is>
          <t>A 24001-2021</t>
        </is>
      </c>
      <c r="B533" s="1" t="n">
        <v>44335</v>
      </c>
      <c r="C533" s="1" t="n">
        <v>45968</v>
      </c>
      <c r="D533" t="inlineStr">
        <is>
          <t>GOTLANDS LÄN</t>
        </is>
      </c>
      <c r="E533" t="inlineStr">
        <is>
          <t>GOTLAND</t>
        </is>
      </c>
      <c r="G533" t="n">
        <v>3.4</v>
      </c>
      <c r="H533" t="n">
        <v>0</v>
      </c>
      <c r="I533" t="n">
        <v>0</v>
      </c>
      <c r="J533" t="n">
        <v>0</v>
      </c>
      <c r="K533" t="n">
        <v>0</v>
      </c>
      <c r="L533" t="n">
        <v>0</v>
      </c>
      <c r="M533" t="n">
        <v>0</v>
      </c>
      <c r="N533" t="n">
        <v>0</v>
      </c>
      <c r="O533" t="n">
        <v>0</v>
      </c>
      <c r="P533" t="n">
        <v>0</v>
      </c>
      <c r="Q533" t="n">
        <v>0</v>
      </c>
      <c r="R533" s="2" t="inlineStr"/>
    </row>
    <row r="534" ht="15" customHeight="1">
      <c r="A534" t="inlineStr">
        <is>
          <t>A 38649-2025</t>
        </is>
      </c>
      <c r="B534" s="1" t="n">
        <v>45884</v>
      </c>
      <c r="C534" s="1" t="n">
        <v>45968</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39479-2022</t>
        </is>
      </c>
      <c r="B535" s="1" t="n">
        <v>44818</v>
      </c>
      <c r="C535" s="1" t="n">
        <v>45968</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39496-2022</t>
        </is>
      </c>
      <c r="B536" s="1" t="n">
        <v>44818</v>
      </c>
      <c r="C536" s="1" t="n">
        <v>45968</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44304-2021</t>
        </is>
      </c>
      <c r="B537" s="1" t="n">
        <v>44434</v>
      </c>
      <c r="C537" s="1" t="n">
        <v>45968</v>
      </c>
      <c r="D537" t="inlineStr">
        <is>
          <t>GOTLANDS LÄN</t>
        </is>
      </c>
      <c r="E537" t="inlineStr">
        <is>
          <t>GOTLAND</t>
        </is>
      </c>
      <c r="G537" t="n">
        <v>5.8</v>
      </c>
      <c r="H537" t="n">
        <v>0</v>
      </c>
      <c r="I537" t="n">
        <v>0</v>
      </c>
      <c r="J537" t="n">
        <v>0</v>
      </c>
      <c r="K537" t="n">
        <v>0</v>
      </c>
      <c r="L537" t="n">
        <v>0</v>
      </c>
      <c r="M537" t="n">
        <v>0</v>
      </c>
      <c r="N537" t="n">
        <v>0</v>
      </c>
      <c r="O537" t="n">
        <v>0</v>
      </c>
      <c r="P537" t="n">
        <v>0</v>
      </c>
      <c r="Q537" t="n">
        <v>0</v>
      </c>
      <c r="R537" s="2" t="inlineStr"/>
    </row>
    <row r="538" ht="15" customHeight="1">
      <c r="A538" t="inlineStr">
        <is>
          <t>A 40499-2025</t>
        </is>
      </c>
      <c r="B538" s="1" t="n">
        <v>45896.32517361111</v>
      </c>
      <c r="C538" s="1" t="n">
        <v>45968</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49690-2025</t>
        </is>
      </c>
      <c r="B539" s="1" t="n">
        <v>45939.66730324074</v>
      </c>
      <c r="C539" s="1" t="n">
        <v>45968</v>
      </c>
      <c r="D539" t="inlineStr">
        <is>
          <t>GOTLANDS LÄN</t>
        </is>
      </c>
      <c r="E539" t="inlineStr">
        <is>
          <t>GOTLAND</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46389-2021</t>
        </is>
      </c>
      <c r="B540" s="1" t="n">
        <v>44443</v>
      </c>
      <c r="C540" s="1" t="n">
        <v>45968</v>
      </c>
      <c r="D540" t="inlineStr">
        <is>
          <t>GOTLANDS LÄN</t>
        </is>
      </c>
      <c r="E540" t="inlineStr">
        <is>
          <t>GOTLAND</t>
        </is>
      </c>
      <c r="F540" t="inlineStr">
        <is>
          <t>Kyrkan</t>
        </is>
      </c>
      <c r="G540" t="n">
        <v>2.1</v>
      </c>
      <c r="H540" t="n">
        <v>0</v>
      </c>
      <c r="I540" t="n">
        <v>0</v>
      </c>
      <c r="J540" t="n">
        <v>0</v>
      </c>
      <c r="K540" t="n">
        <v>0</v>
      </c>
      <c r="L540" t="n">
        <v>0</v>
      </c>
      <c r="M540" t="n">
        <v>0</v>
      </c>
      <c r="N540" t="n">
        <v>0</v>
      </c>
      <c r="O540" t="n">
        <v>0</v>
      </c>
      <c r="P540" t="n">
        <v>0</v>
      </c>
      <c r="Q540" t="n">
        <v>0</v>
      </c>
      <c r="R540" s="2" t="inlineStr"/>
    </row>
    <row r="541" ht="15" customHeight="1">
      <c r="A541" t="inlineStr">
        <is>
          <t>A 15083-2025</t>
        </is>
      </c>
      <c r="B541" s="1" t="n">
        <v>45743</v>
      </c>
      <c r="C541" s="1" t="n">
        <v>45968</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49724-2025</t>
        </is>
      </c>
      <c r="B542" s="1" t="n">
        <v>45939.83730324074</v>
      </c>
      <c r="C542" s="1" t="n">
        <v>45968</v>
      </c>
      <c r="D542" t="inlineStr">
        <is>
          <t>GOTLANDS LÄN</t>
        </is>
      </c>
      <c r="E542" t="inlineStr">
        <is>
          <t>GOTLAND</t>
        </is>
      </c>
      <c r="F542" t="inlineStr">
        <is>
          <t>Kyrkan</t>
        </is>
      </c>
      <c r="G542" t="n">
        <v>3.1</v>
      </c>
      <c r="H542" t="n">
        <v>0</v>
      </c>
      <c r="I542" t="n">
        <v>0</v>
      </c>
      <c r="J542" t="n">
        <v>0</v>
      </c>
      <c r="K542" t="n">
        <v>0</v>
      </c>
      <c r="L542" t="n">
        <v>0</v>
      </c>
      <c r="M542" t="n">
        <v>0</v>
      </c>
      <c r="N542" t="n">
        <v>0</v>
      </c>
      <c r="O542" t="n">
        <v>0</v>
      </c>
      <c r="P542" t="n">
        <v>0</v>
      </c>
      <c r="Q542" t="n">
        <v>0</v>
      </c>
      <c r="R542" s="2" t="inlineStr"/>
    </row>
    <row r="543" ht="15" customHeight="1">
      <c r="A543" t="inlineStr">
        <is>
          <t>A 49730-2025</t>
        </is>
      </c>
      <c r="B543" s="1" t="n">
        <v>45939.87613425926</v>
      </c>
      <c r="C543" s="1" t="n">
        <v>45968</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44949-2023</t>
        </is>
      </c>
      <c r="B544" s="1" t="n">
        <v>45190.69520833333</v>
      </c>
      <c r="C544" s="1" t="n">
        <v>45968</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41551-2025</t>
        </is>
      </c>
      <c r="B545" s="1" t="n">
        <v>45901.58854166666</v>
      </c>
      <c r="C545" s="1" t="n">
        <v>45968</v>
      </c>
      <c r="D545" t="inlineStr">
        <is>
          <t>GOTLANDS LÄN</t>
        </is>
      </c>
      <c r="E545" t="inlineStr">
        <is>
          <t>GOTLAND</t>
        </is>
      </c>
      <c r="G545" t="n">
        <v>5.6</v>
      </c>
      <c r="H545" t="n">
        <v>0</v>
      </c>
      <c r="I545" t="n">
        <v>0</v>
      </c>
      <c r="J545" t="n">
        <v>0</v>
      </c>
      <c r="K545" t="n">
        <v>0</v>
      </c>
      <c r="L545" t="n">
        <v>0</v>
      </c>
      <c r="M545" t="n">
        <v>0</v>
      </c>
      <c r="N545" t="n">
        <v>0</v>
      </c>
      <c r="O545" t="n">
        <v>0</v>
      </c>
      <c r="P545" t="n">
        <v>0</v>
      </c>
      <c r="Q545" t="n">
        <v>0</v>
      </c>
      <c r="R545" s="2" t="inlineStr"/>
    </row>
    <row r="546" ht="15" customHeight="1">
      <c r="A546" t="inlineStr">
        <is>
          <t>A 17682-2024</t>
        </is>
      </c>
      <c r="B546" s="1" t="n">
        <v>45418.42966435185</v>
      </c>
      <c r="C546" s="1" t="n">
        <v>45968</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61897-2024</t>
        </is>
      </c>
      <c r="B547" s="1" t="n">
        <v>45652.75685185185</v>
      </c>
      <c r="C547" s="1" t="n">
        <v>45968</v>
      </c>
      <c r="D547" t="inlineStr">
        <is>
          <t>GOTLANDS LÄN</t>
        </is>
      </c>
      <c r="E547" t="inlineStr">
        <is>
          <t>GOTLAND</t>
        </is>
      </c>
      <c r="G547" t="n">
        <v>6.4</v>
      </c>
      <c r="H547" t="n">
        <v>0</v>
      </c>
      <c r="I547" t="n">
        <v>0</v>
      </c>
      <c r="J547" t="n">
        <v>0</v>
      </c>
      <c r="K547" t="n">
        <v>0</v>
      </c>
      <c r="L547" t="n">
        <v>0</v>
      </c>
      <c r="M547" t="n">
        <v>0</v>
      </c>
      <c r="N547" t="n">
        <v>0</v>
      </c>
      <c r="O547" t="n">
        <v>0</v>
      </c>
      <c r="P547" t="n">
        <v>0</v>
      </c>
      <c r="Q547" t="n">
        <v>0</v>
      </c>
      <c r="R547" s="2" t="inlineStr"/>
    </row>
    <row r="548" ht="15" customHeight="1">
      <c r="A548" t="inlineStr">
        <is>
          <t>A 12032-2025</t>
        </is>
      </c>
      <c r="B548" s="1" t="n">
        <v>45728.64472222222</v>
      </c>
      <c r="C548" s="1" t="n">
        <v>45968</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15595-2024</t>
        </is>
      </c>
      <c r="B549" s="1" t="n">
        <v>45401.81480324074</v>
      </c>
      <c r="C549" s="1" t="n">
        <v>45968</v>
      </c>
      <c r="D549" t="inlineStr">
        <is>
          <t>GOTLANDS LÄN</t>
        </is>
      </c>
      <c r="E549" t="inlineStr">
        <is>
          <t>GOTLAND</t>
        </is>
      </c>
      <c r="G549" t="n">
        <v>6.4</v>
      </c>
      <c r="H549" t="n">
        <v>0</v>
      </c>
      <c r="I549" t="n">
        <v>0</v>
      </c>
      <c r="J549" t="n">
        <v>0</v>
      </c>
      <c r="K549" t="n">
        <v>0</v>
      </c>
      <c r="L549" t="n">
        <v>0</v>
      </c>
      <c r="M549" t="n">
        <v>0</v>
      </c>
      <c r="N549" t="n">
        <v>0</v>
      </c>
      <c r="O549" t="n">
        <v>0</v>
      </c>
      <c r="P549" t="n">
        <v>0</v>
      </c>
      <c r="Q549" t="n">
        <v>0</v>
      </c>
      <c r="R549" s="2" t="inlineStr"/>
    </row>
    <row r="550" ht="15" customHeight="1">
      <c r="A550" t="inlineStr">
        <is>
          <t>A 39278-2025</t>
        </is>
      </c>
      <c r="B550" s="1" t="n">
        <v>45889</v>
      </c>
      <c r="C550" s="1" t="n">
        <v>45968</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1066-2024</t>
        </is>
      </c>
      <c r="B551" s="1" t="n">
        <v>45302.285</v>
      </c>
      <c r="C551" s="1" t="n">
        <v>45968</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33011-2025</t>
        </is>
      </c>
      <c r="B552" s="1" t="n">
        <v>45840</v>
      </c>
      <c r="C552" s="1" t="n">
        <v>45968</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37202-2024</t>
        </is>
      </c>
      <c r="B553" s="1" t="n">
        <v>45539.67310185185</v>
      </c>
      <c r="C553" s="1" t="n">
        <v>45968</v>
      </c>
      <c r="D553" t="inlineStr">
        <is>
          <t>GOTLANDS LÄN</t>
        </is>
      </c>
      <c r="E553" t="inlineStr">
        <is>
          <t>GOTLAND</t>
        </is>
      </c>
      <c r="G553" t="n">
        <v>0.3</v>
      </c>
      <c r="H553" t="n">
        <v>0</v>
      </c>
      <c r="I553" t="n">
        <v>0</v>
      </c>
      <c r="J553" t="n">
        <v>0</v>
      </c>
      <c r="K553" t="n">
        <v>0</v>
      </c>
      <c r="L553" t="n">
        <v>0</v>
      </c>
      <c r="M553" t="n">
        <v>0</v>
      </c>
      <c r="N553" t="n">
        <v>0</v>
      </c>
      <c r="O553" t="n">
        <v>0</v>
      </c>
      <c r="P553" t="n">
        <v>0</v>
      </c>
      <c r="Q553" t="n">
        <v>0</v>
      </c>
      <c r="R553" s="2" t="inlineStr"/>
    </row>
    <row r="554" ht="15" customHeight="1">
      <c r="A554" t="inlineStr">
        <is>
          <t>A 41435-2025</t>
        </is>
      </c>
      <c r="B554" s="1" t="n">
        <v>45901.39974537037</v>
      </c>
      <c r="C554" s="1" t="n">
        <v>45968</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50421-2025</t>
        </is>
      </c>
      <c r="B555" s="1" t="n">
        <v>45944.66049768519</v>
      </c>
      <c r="C555" s="1" t="n">
        <v>45968</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21164-2024</t>
        </is>
      </c>
      <c r="B556" s="1" t="n">
        <v>45440</v>
      </c>
      <c r="C556" s="1" t="n">
        <v>45968</v>
      </c>
      <c r="D556" t="inlineStr">
        <is>
          <t>GOTLANDS LÄN</t>
        </is>
      </c>
      <c r="E556" t="inlineStr">
        <is>
          <t>GOTLAND</t>
        </is>
      </c>
      <c r="G556" t="n">
        <v>6.3</v>
      </c>
      <c r="H556" t="n">
        <v>0</v>
      </c>
      <c r="I556" t="n">
        <v>0</v>
      </c>
      <c r="J556" t="n">
        <v>0</v>
      </c>
      <c r="K556" t="n">
        <v>0</v>
      </c>
      <c r="L556" t="n">
        <v>0</v>
      </c>
      <c r="M556" t="n">
        <v>0</v>
      </c>
      <c r="N556" t="n">
        <v>0</v>
      </c>
      <c r="O556" t="n">
        <v>0</v>
      </c>
      <c r="P556" t="n">
        <v>0</v>
      </c>
      <c r="Q556" t="n">
        <v>0</v>
      </c>
      <c r="R556" s="2" t="inlineStr"/>
    </row>
    <row r="557" ht="15" customHeight="1">
      <c r="A557" t="inlineStr">
        <is>
          <t>A 17541-2024</t>
        </is>
      </c>
      <c r="B557" s="1" t="n">
        <v>45415</v>
      </c>
      <c r="C557" s="1" t="n">
        <v>45968</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883-2025</t>
        </is>
      </c>
      <c r="B558" s="1" t="n">
        <v>45665</v>
      </c>
      <c r="C558" s="1" t="n">
        <v>45968</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13910-2025</t>
        </is>
      </c>
      <c r="B559" s="1" t="n">
        <v>45737</v>
      </c>
      <c r="C559" s="1" t="n">
        <v>45968</v>
      </c>
      <c r="D559" t="inlineStr">
        <is>
          <t>GOTLANDS LÄN</t>
        </is>
      </c>
      <c r="E559" t="inlineStr">
        <is>
          <t>GOTLAND</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50431-2025</t>
        </is>
      </c>
      <c r="B560" s="1" t="n">
        <v>45944.68453703704</v>
      </c>
      <c r="C560" s="1" t="n">
        <v>45968</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30815-2023</t>
        </is>
      </c>
      <c r="B561" s="1" t="n">
        <v>45112</v>
      </c>
      <c r="C561" s="1" t="n">
        <v>45968</v>
      </c>
      <c r="D561" t="inlineStr">
        <is>
          <t>GOTLANDS LÄN</t>
        </is>
      </c>
      <c r="E561" t="inlineStr">
        <is>
          <t>GOTLAND</t>
        </is>
      </c>
      <c r="G561" t="n">
        <v>6</v>
      </c>
      <c r="H561" t="n">
        <v>0</v>
      </c>
      <c r="I561" t="n">
        <v>0</v>
      </c>
      <c r="J561" t="n">
        <v>0</v>
      </c>
      <c r="K561" t="n">
        <v>0</v>
      </c>
      <c r="L561" t="n">
        <v>0</v>
      </c>
      <c r="M561" t="n">
        <v>0</v>
      </c>
      <c r="N561" t="n">
        <v>0</v>
      </c>
      <c r="O561" t="n">
        <v>0</v>
      </c>
      <c r="P561" t="n">
        <v>0</v>
      </c>
      <c r="Q561" t="n">
        <v>0</v>
      </c>
      <c r="R561" s="2" t="inlineStr"/>
    </row>
    <row r="562" ht="15" customHeight="1">
      <c r="A562" t="inlineStr">
        <is>
          <t>A 46400-2023</t>
        </is>
      </c>
      <c r="B562" s="1" t="n">
        <v>45197.49290509259</v>
      </c>
      <c r="C562" s="1" t="n">
        <v>45968</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10492-2023</t>
        </is>
      </c>
      <c r="B563" s="1" t="n">
        <v>44987</v>
      </c>
      <c r="C563" s="1" t="n">
        <v>45968</v>
      </c>
      <c r="D563" t="inlineStr">
        <is>
          <t>GOTLANDS LÄN</t>
        </is>
      </c>
      <c r="E563" t="inlineStr">
        <is>
          <t>GOTLAND</t>
        </is>
      </c>
      <c r="G563" t="n">
        <v>1</v>
      </c>
      <c r="H563" t="n">
        <v>0</v>
      </c>
      <c r="I563" t="n">
        <v>0</v>
      </c>
      <c r="J563" t="n">
        <v>0</v>
      </c>
      <c r="K563" t="n">
        <v>0</v>
      </c>
      <c r="L563" t="n">
        <v>0</v>
      </c>
      <c r="M563" t="n">
        <v>0</v>
      </c>
      <c r="N563" t="n">
        <v>0</v>
      </c>
      <c r="O563" t="n">
        <v>0</v>
      </c>
      <c r="P563" t="n">
        <v>0</v>
      </c>
      <c r="Q563" t="n">
        <v>0</v>
      </c>
      <c r="R563" s="2" t="inlineStr"/>
    </row>
    <row r="564" ht="15" customHeight="1">
      <c r="A564" t="inlineStr">
        <is>
          <t>A 20794-2025</t>
        </is>
      </c>
      <c r="B564" s="1" t="n">
        <v>45776</v>
      </c>
      <c r="C564" s="1" t="n">
        <v>45968</v>
      </c>
      <c r="D564" t="inlineStr">
        <is>
          <t>GOTLANDS LÄN</t>
        </is>
      </c>
      <c r="E564" t="inlineStr">
        <is>
          <t>GOTLAND</t>
        </is>
      </c>
      <c r="G564" t="n">
        <v>6</v>
      </c>
      <c r="H564" t="n">
        <v>0</v>
      </c>
      <c r="I564" t="n">
        <v>0</v>
      </c>
      <c r="J564" t="n">
        <v>0</v>
      </c>
      <c r="K564" t="n">
        <v>0</v>
      </c>
      <c r="L564" t="n">
        <v>0</v>
      </c>
      <c r="M564" t="n">
        <v>0</v>
      </c>
      <c r="N564" t="n">
        <v>0</v>
      </c>
      <c r="O564" t="n">
        <v>0</v>
      </c>
      <c r="P564" t="n">
        <v>0</v>
      </c>
      <c r="Q564" t="n">
        <v>0</v>
      </c>
      <c r="R564" s="2" t="inlineStr"/>
    </row>
    <row r="565" ht="15" customHeight="1">
      <c r="A565" t="inlineStr">
        <is>
          <t>A 20805-2025</t>
        </is>
      </c>
      <c r="B565" s="1" t="n">
        <v>45776</v>
      </c>
      <c r="C565" s="1" t="n">
        <v>45968</v>
      </c>
      <c r="D565" t="inlineStr">
        <is>
          <t>GOTLANDS LÄN</t>
        </is>
      </c>
      <c r="E565" t="inlineStr">
        <is>
          <t>GOTLAND</t>
        </is>
      </c>
      <c r="G565" t="n">
        <v>3.1</v>
      </c>
      <c r="H565" t="n">
        <v>0</v>
      </c>
      <c r="I565" t="n">
        <v>0</v>
      </c>
      <c r="J565" t="n">
        <v>0</v>
      </c>
      <c r="K565" t="n">
        <v>0</v>
      </c>
      <c r="L565" t="n">
        <v>0</v>
      </c>
      <c r="M565" t="n">
        <v>0</v>
      </c>
      <c r="N565" t="n">
        <v>0</v>
      </c>
      <c r="O565" t="n">
        <v>0</v>
      </c>
      <c r="P565" t="n">
        <v>0</v>
      </c>
      <c r="Q565" t="n">
        <v>0</v>
      </c>
      <c r="R565" s="2" t="inlineStr"/>
    </row>
    <row r="566" ht="15" customHeight="1">
      <c r="A566" t="inlineStr">
        <is>
          <t>A 21389-2025</t>
        </is>
      </c>
      <c r="B566" s="1" t="n">
        <v>45782</v>
      </c>
      <c r="C566" s="1" t="n">
        <v>45968</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44919-2022</t>
        </is>
      </c>
      <c r="B567" s="1" t="n">
        <v>44841</v>
      </c>
      <c r="C567" s="1" t="n">
        <v>45968</v>
      </c>
      <c r="D567" t="inlineStr">
        <is>
          <t>GOTLANDS LÄN</t>
        </is>
      </c>
      <c r="E567" t="inlineStr">
        <is>
          <t>GOTLAND</t>
        </is>
      </c>
      <c r="G567" t="n">
        <v>2.2</v>
      </c>
      <c r="H567" t="n">
        <v>0</v>
      </c>
      <c r="I567" t="n">
        <v>0</v>
      </c>
      <c r="J567" t="n">
        <v>0</v>
      </c>
      <c r="K567" t="n">
        <v>0</v>
      </c>
      <c r="L567" t="n">
        <v>0</v>
      </c>
      <c r="M567" t="n">
        <v>0</v>
      </c>
      <c r="N567" t="n">
        <v>0</v>
      </c>
      <c r="O567" t="n">
        <v>0</v>
      </c>
      <c r="P567" t="n">
        <v>0</v>
      </c>
      <c r="Q567" t="n">
        <v>0</v>
      </c>
      <c r="R567" s="2" t="inlineStr"/>
    </row>
    <row r="568" ht="15" customHeight="1">
      <c r="A568" t="inlineStr">
        <is>
          <t>A 16501-2023</t>
        </is>
      </c>
      <c r="B568" s="1" t="n">
        <v>45029</v>
      </c>
      <c r="C568" s="1" t="n">
        <v>45968</v>
      </c>
      <c r="D568" t="inlineStr">
        <is>
          <t>GOTLANDS LÄN</t>
        </is>
      </c>
      <c r="E568" t="inlineStr">
        <is>
          <t>GOTLAND</t>
        </is>
      </c>
      <c r="G568" t="n">
        <v>3.1</v>
      </c>
      <c r="H568" t="n">
        <v>0</v>
      </c>
      <c r="I568" t="n">
        <v>0</v>
      </c>
      <c r="J568" t="n">
        <v>0</v>
      </c>
      <c r="K568" t="n">
        <v>0</v>
      </c>
      <c r="L568" t="n">
        <v>0</v>
      </c>
      <c r="M568" t="n">
        <v>0</v>
      </c>
      <c r="N568" t="n">
        <v>0</v>
      </c>
      <c r="O568" t="n">
        <v>0</v>
      </c>
      <c r="P568" t="n">
        <v>0</v>
      </c>
      <c r="Q568" t="n">
        <v>0</v>
      </c>
      <c r="R568" s="2" t="inlineStr"/>
    </row>
    <row r="569" ht="15" customHeight="1">
      <c r="A569" t="inlineStr">
        <is>
          <t>A 50928-2025</t>
        </is>
      </c>
      <c r="B569" s="1" t="n">
        <v>45946.67896990741</v>
      </c>
      <c r="C569" s="1" t="n">
        <v>45968</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27095-2022</t>
        </is>
      </c>
      <c r="B570" s="1" t="n">
        <v>44741</v>
      </c>
      <c r="C570" s="1" t="n">
        <v>45968</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45968</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1291-2023</t>
        </is>
      </c>
      <c r="B572" s="1" t="n">
        <v>44936.47561342592</v>
      </c>
      <c r="C572" s="1" t="n">
        <v>45968</v>
      </c>
      <c r="D572" t="inlineStr">
        <is>
          <t>GOTLANDS LÄN</t>
        </is>
      </c>
      <c r="E572" t="inlineStr">
        <is>
          <t>GOTLAND</t>
        </is>
      </c>
      <c r="G572" t="n">
        <v>7.4</v>
      </c>
      <c r="H572" t="n">
        <v>0</v>
      </c>
      <c r="I572" t="n">
        <v>0</v>
      </c>
      <c r="J572" t="n">
        <v>0</v>
      </c>
      <c r="K572" t="n">
        <v>0</v>
      </c>
      <c r="L572" t="n">
        <v>0</v>
      </c>
      <c r="M572" t="n">
        <v>0</v>
      </c>
      <c r="N572" t="n">
        <v>0</v>
      </c>
      <c r="O572" t="n">
        <v>0</v>
      </c>
      <c r="P572" t="n">
        <v>0</v>
      </c>
      <c r="Q572" t="n">
        <v>0</v>
      </c>
      <c r="R572" s="2" t="inlineStr"/>
    </row>
    <row r="573" ht="15" customHeight="1">
      <c r="A573" t="inlineStr">
        <is>
          <t>A 42608-2025</t>
        </is>
      </c>
      <c r="B573" s="1" t="n">
        <v>45905</v>
      </c>
      <c r="C573" s="1" t="n">
        <v>45968</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21651-2025</t>
        </is>
      </c>
      <c r="B574" s="1" t="n">
        <v>45783</v>
      </c>
      <c r="C574" s="1" t="n">
        <v>45968</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32330-2024</t>
        </is>
      </c>
      <c r="B575" s="1" t="n">
        <v>45512</v>
      </c>
      <c r="C575" s="1" t="n">
        <v>45968</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16373-2025</t>
        </is>
      </c>
      <c r="B576" s="1" t="n">
        <v>45751</v>
      </c>
      <c r="C576" s="1" t="n">
        <v>45968</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5891-2025</t>
        </is>
      </c>
      <c r="B577" s="1" t="n">
        <v>45695.38327546296</v>
      </c>
      <c r="C577" s="1" t="n">
        <v>45968</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51262-2025</t>
        </is>
      </c>
      <c r="B578" s="1" t="n">
        <v>45949.49872685185</v>
      </c>
      <c r="C578" s="1" t="n">
        <v>45968</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14804-2021</t>
        </is>
      </c>
      <c r="B579" s="1" t="n">
        <v>44280</v>
      </c>
      <c r="C579" s="1" t="n">
        <v>45968</v>
      </c>
      <c r="D579" t="inlineStr">
        <is>
          <t>GOTLANDS LÄN</t>
        </is>
      </c>
      <c r="E579" t="inlineStr">
        <is>
          <t>GOTLAND</t>
        </is>
      </c>
      <c r="G579" t="n">
        <v>2.2</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44944.55361111111</v>
      </c>
      <c r="C580" s="1" t="n">
        <v>45968</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17144-2025</t>
        </is>
      </c>
      <c r="B581" s="1" t="n">
        <v>45755.9499537037</v>
      </c>
      <c r="C581" s="1" t="n">
        <v>45968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49314-2024</t>
        </is>
      </c>
      <c r="B582" s="1" t="n">
        <v>45595.55893518519</v>
      </c>
      <c r="C582" s="1" t="n">
        <v>45968</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9875-2025</t>
        </is>
      </c>
      <c r="B583" s="1" t="n">
        <v>45716</v>
      </c>
      <c r="C583" s="1" t="n">
        <v>45968</v>
      </c>
      <c r="D583" t="inlineStr">
        <is>
          <t>GOTLANDS LÄN</t>
        </is>
      </c>
      <c r="E583" t="inlineStr">
        <is>
          <t>GOTLAND</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29809-2022</t>
        </is>
      </c>
      <c r="B584" s="1" t="n">
        <v>44755.8713425926</v>
      </c>
      <c r="C584" s="1" t="n">
        <v>45968</v>
      </c>
      <c r="D584" t="inlineStr">
        <is>
          <t>GOTLANDS LÄN</t>
        </is>
      </c>
      <c r="E584" t="inlineStr">
        <is>
          <t>GOTLAND</t>
        </is>
      </c>
      <c r="G584" t="n">
        <v>11.5</v>
      </c>
      <c r="H584" t="n">
        <v>0</v>
      </c>
      <c r="I584" t="n">
        <v>0</v>
      </c>
      <c r="J584" t="n">
        <v>0</v>
      </c>
      <c r="K584" t="n">
        <v>0</v>
      </c>
      <c r="L584" t="n">
        <v>0</v>
      </c>
      <c r="M584" t="n">
        <v>0</v>
      </c>
      <c r="N584" t="n">
        <v>0</v>
      </c>
      <c r="O584" t="n">
        <v>0</v>
      </c>
      <c r="P584" t="n">
        <v>0</v>
      </c>
      <c r="Q584" t="n">
        <v>0</v>
      </c>
      <c r="R584" s="2" t="inlineStr"/>
    </row>
    <row r="585" ht="15" customHeight="1">
      <c r="A585" t="inlineStr">
        <is>
          <t>A 21420-2024</t>
        </is>
      </c>
      <c r="B585" s="1" t="n">
        <v>45441.38293981482</v>
      </c>
      <c r="C585" s="1" t="n">
        <v>45968</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10656-2024</t>
        </is>
      </c>
      <c r="B586" s="1" t="n">
        <v>45368</v>
      </c>
      <c r="C586" s="1" t="n">
        <v>45968</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57356-2023</t>
        </is>
      </c>
      <c r="B587" s="1" t="n">
        <v>45240</v>
      </c>
      <c r="C587" s="1" t="n">
        <v>45968</v>
      </c>
      <c r="D587" t="inlineStr">
        <is>
          <t>GOTLANDS LÄN</t>
        </is>
      </c>
      <c r="E587" t="inlineStr">
        <is>
          <t>GOTLAND</t>
        </is>
      </c>
      <c r="G587" t="n">
        <v>6.4</v>
      </c>
      <c r="H587" t="n">
        <v>0</v>
      </c>
      <c r="I587" t="n">
        <v>0</v>
      </c>
      <c r="J587" t="n">
        <v>0</v>
      </c>
      <c r="K587" t="n">
        <v>0</v>
      </c>
      <c r="L587" t="n">
        <v>0</v>
      </c>
      <c r="M587" t="n">
        <v>0</v>
      </c>
      <c r="N587" t="n">
        <v>0</v>
      </c>
      <c r="O587" t="n">
        <v>0</v>
      </c>
      <c r="P587" t="n">
        <v>0</v>
      </c>
      <c r="Q587" t="n">
        <v>0</v>
      </c>
      <c r="R587" s="2" t="inlineStr"/>
    </row>
    <row r="588" ht="15" customHeight="1">
      <c r="A588" t="inlineStr">
        <is>
          <t>A 28506-2023</t>
        </is>
      </c>
      <c r="B588" s="1" t="n">
        <v>45103</v>
      </c>
      <c r="C588" s="1" t="n">
        <v>45968</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16361-2024</t>
        </is>
      </c>
      <c r="B589" s="1" t="n">
        <v>45407</v>
      </c>
      <c r="C589" s="1" t="n">
        <v>45968</v>
      </c>
      <c r="D589" t="inlineStr">
        <is>
          <t>GOTLANDS LÄN</t>
        </is>
      </c>
      <c r="E589" t="inlineStr">
        <is>
          <t>GOTLAND</t>
        </is>
      </c>
      <c r="G589" t="n">
        <v>6</v>
      </c>
      <c r="H589" t="n">
        <v>0</v>
      </c>
      <c r="I589" t="n">
        <v>0</v>
      </c>
      <c r="J589" t="n">
        <v>0</v>
      </c>
      <c r="K589" t="n">
        <v>0</v>
      </c>
      <c r="L589" t="n">
        <v>0</v>
      </c>
      <c r="M589" t="n">
        <v>0</v>
      </c>
      <c r="N589" t="n">
        <v>0</v>
      </c>
      <c r="O589" t="n">
        <v>0</v>
      </c>
      <c r="P589" t="n">
        <v>0</v>
      </c>
      <c r="Q589" t="n">
        <v>0</v>
      </c>
      <c r="R589" s="2" t="inlineStr"/>
    </row>
    <row r="590" ht="15" customHeight="1">
      <c r="A590" t="inlineStr">
        <is>
          <t>A 23188-2025</t>
        </is>
      </c>
      <c r="B590" s="1" t="n">
        <v>45791</v>
      </c>
      <c r="C590" s="1" t="n">
        <v>45968</v>
      </c>
      <c r="D590" t="inlineStr">
        <is>
          <t>GOTLANDS LÄN</t>
        </is>
      </c>
      <c r="E590" t="inlineStr">
        <is>
          <t>GOTLAND</t>
        </is>
      </c>
      <c r="G590" t="n">
        <v>6.2</v>
      </c>
      <c r="H590" t="n">
        <v>0</v>
      </c>
      <c r="I590" t="n">
        <v>0</v>
      </c>
      <c r="J590" t="n">
        <v>0</v>
      </c>
      <c r="K590" t="n">
        <v>0</v>
      </c>
      <c r="L590" t="n">
        <v>0</v>
      </c>
      <c r="M590" t="n">
        <v>0</v>
      </c>
      <c r="N590" t="n">
        <v>0</v>
      </c>
      <c r="O590" t="n">
        <v>0</v>
      </c>
      <c r="P590" t="n">
        <v>0</v>
      </c>
      <c r="Q590" t="n">
        <v>0</v>
      </c>
      <c r="R590" s="2" t="inlineStr"/>
    </row>
    <row r="591" ht="15" customHeight="1">
      <c r="A591" t="inlineStr">
        <is>
          <t>A 43081-2022</t>
        </is>
      </c>
      <c r="B591" s="1" t="n">
        <v>44833</v>
      </c>
      <c r="C591" s="1" t="n">
        <v>45968</v>
      </c>
      <c r="D591" t="inlineStr">
        <is>
          <t>GOTLANDS LÄN</t>
        </is>
      </c>
      <c r="E591" t="inlineStr">
        <is>
          <t>GOTLAND</t>
        </is>
      </c>
      <c r="G591" t="n">
        <v>6.8</v>
      </c>
      <c r="H591" t="n">
        <v>0</v>
      </c>
      <c r="I591" t="n">
        <v>0</v>
      </c>
      <c r="J591" t="n">
        <v>0</v>
      </c>
      <c r="K591" t="n">
        <v>0</v>
      </c>
      <c r="L591" t="n">
        <v>0</v>
      </c>
      <c r="M591" t="n">
        <v>0</v>
      </c>
      <c r="N591" t="n">
        <v>0</v>
      </c>
      <c r="O591" t="n">
        <v>0</v>
      </c>
      <c r="P591" t="n">
        <v>0</v>
      </c>
      <c r="Q591" t="n">
        <v>0</v>
      </c>
      <c r="R591" s="2" t="inlineStr"/>
    </row>
    <row r="592" ht="15" customHeight="1">
      <c r="A592" t="inlineStr">
        <is>
          <t>A 1175-2025</t>
        </is>
      </c>
      <c r="B592" s="1" t="n">
        <v>45667.34449074074</v>
      </c>
      <c r="C592" s="1" t="n">
        <v>45968</v>
      </c>
      <c r="D592" t="inlineStr">
        <is>
          <t>GOTLANDS LÄN</t>
        </is>
      </c>
      <c r="E592" t="inlineStr">
        <is>
          <t>GOTLAND</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10158-2025</t>
        </is>
      </c>
      <c r="B593" s="1" t="n">
        <v>45719</v>
      </c>
      <c r="C593" s="1" t="n">
        <v>45968</v>
      </c>
      <c r="D593" t="inlineStr">
        <is>
          <t>GOTLANDS LÄN</t>
        </is>
      </c>
      <c r="E593" t="inlineStr">
        <is>
          <t>GOTLAND</t>
        </is>
      </c>
      <c r="G593" t="n">
        <v>3.5</v>
      </c>
      <c r="H593" t="n">
        <v>0</v>
      </c>
      <c r="I593" t="n">
        <v>0</v>
      </c>
      <c r="J593" t="n">
        <v>0</v>
      </c>
      <c r="K593" t="n">
        <v>0</v>
      </c>
      <c r="L593" t="n">
        <v>0</v>
      </c>
      <c r="M593" t="n">
        <v>0</v>
      </c>
      <c r="N593" t="n">
        <v>0</v>
      </c>
      <c r="O593" t="n">
        <v>0</v>
      </c>
      <c r="P593" t="n">
        <v>0</v>
      </c>
      <c r="Q593" t="n">
        <v>0</v>
      </c>
      <c r="R593" s="2" t="inlineStr"/>
    </row>
    <row r="594" ht="15" customHeight="1">
      <c r="A594" t="inlineStr">
        <is>
          <t>A 52249-2025</t>
        </is>
      </c>
      <c r="B594" s="1" t="n">
        <v>45953.48637731482</v>
      </c>
      <c r="C594" s="1" t="n">
        <v>45968</v>
      </c>
      <c r="D594" t="inlineStr">
        <is>
          <t>GOTLANDS LÄN</t>
        </is>
      </c>
      <c r="E594" t="inlineStr">
        <is>
          <t>GOTLAND</t>
        </is>
      </c>
      <c r="F594" t="inlineStr">
        <is>
          <t>Övriga Aktiebolag</t>
        </is>
      </c>
      <c r="G594" t="n">
        <v>1</v>
      </c>
      <c r="H594" t="n">
        <v>0</v>
      </c>
      <c r="I594" t="n">
        <v>0</v>
      </c>
      <c r="J594" t="n">
        <v>0</v>
      </c>
      <c r="K594" t="n">
        <v>0</v>
      </c>
      <c r="L594" t="n">
        <v>0</v>
      </c>
      <c r="M594" t="n">
        <v>0</v>
      </c>
      <c r="N594" t="n">
        <v>0</v>
      </c>
      <c r="O594" t="n">
        <v>0</v>
      </c>
      <c r="P594" t="n">
        <v>0</v>
      </c>
      <c r="Q594" t="n">
        <v>0</v>
      </c>
      <c r="R594" s="2" t="inlineStr"/>
    </row>
    <row r="595" ht="15" customHeight="1">
      <c r="A595" t="inlineStr">
        <is>
          <t>A 42201-2023</t>
        </is>
      </c>
      <c r="B595" s="1" t="n">
        <v>45179</v>
      </c>
      <c r="C595" s="1" t="n">
        <v>45968</v>
      </c>
      <c r="D595" t="inlineStr">
        <is>
          <t>GOTLANDS LÄN</t>
        </is>
      </c>
      <c r="E595" t="inlineStr">
        <is>
          <t>GOTLAND</t>
        </is>
      </c>
      <c r="G595" t="n">
        <v>11.9</v>
      </c>
      <c r="H595" t="n">
        <v>0</v>
      </c>
      <c r="I595" t="n">
        <v>0</v>
      </c>
      <c r="J595" t="n">
        <v>0</v>
      </c>
      <c r="K595" t="n">
        <v>0</v>
      </c>
      <c r="L595" t="n">
        <v>0</v>
      </c>
      <c r="M595" t="n">
        <v>0</v>
      </c>
      <c r="N595" t="n">
        <v>0</v>
      </c>
      <c r="O595" t="n">
        <v>0</v>
      </c>
      <c r="P595" t="n">
        <v>0</v>
      </c>
      <c r="Q595" t="n">
        <v>0</v>
      </c>
      <c r="R595" s="2" t="inlineStr"/>
    </row>
    <row r="596" ht="15" customHeight="1">
      <c r="A596" t="inlineStr">
        <is>
          <t>A 3150-2025</t>
        </is>
      </c>
      <c r="B596" s="1" t="n">
        <v>45679.28974537037</v>
      </c>
      <c r="C596" s="1" t="n">
        <v>45968</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43911-2025</t>
        </is>
      </c>
      <c r="B597" s="1" t="n">
        <v>45914.3881712963</v>
      </c>
      <c r="C597" s="1" t="n">
        <v>45968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42041-2024</t>
        </is>
      </c>
      <c r="B598" s="1" t="n">
        <v>45561</v>
      </c>
      <c r="C598" s="1" t="n">
        <v>45968</v>
      </c>
      <c r="D598" t="inlineStr">
        <is>
          <t>GOTLANDS LÄN</t>
        </is>
      </c>
      <c r="E598" t="inlineStr">
        <is>
          <t>GOTLAND</t>
        </is>
      </c>
      <c r="G598" t="n">
        <v>3.2</v>
      </c>
      <c r="H598" t="n">
        <v>0</v>
      </c>
      <c r="I598" t="n">
        <v>0</v>
      </c>
      <c r="J598" t="n">
        <v>0</v>
      </c>
      <c r="K598" t="n">
        <v>0</v>
      </c>
      <c r="L598" t="n">
        <v>0</v>
      </c>
      <c r="M598" t="n">
        <v>0</v>
      </c>
      <c r="N598" t="n">
        <v>0</v>
      </c>
      <c r="O598" t="n">
        <v>0</v>
      </c>
      <c r="P598" t="n">
        <v>0</v>
      </c>
      <c r="Q598" t="n">
        <v>0</v>
      </c>
      <c r="R598" s="2" t="inlineStr"/>
    </row>
    <row r="599" ht="15" customHeight="1">
      <c r="A599" t="inlineStr">
        <is>
          <t>A 15436-2025</t>
        </is>
      </c>
      <c r="B599" s="1" t="n">
        <v>45747.47462962963</v>
      </c>
      <c r="C599" s="1" t="n">
        <v>45968</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43951-2025</t>
        </is>
      </c>
      <c r="B600" s="1" t="n">
        <v>45915.38119212963</v>
      </c>
      <c r="C600" s="1" t="n">
        <v>45968</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52637-2025</t>
        </is>
      </c>
      <c r="B601" s="1" t="n">
        <v>45954.75099537037</v>
      </c>
      <c r="C601" s="1" t="n">
        <v>45968</v>
      </c>
      <c r="D601" t="inlineStr">
        <is>
          <t>GOTLANDS LÄN</t>
        </is>
      </c>
      <c r="E601" t="inlineStr">
        <is>
          <t>GOTLAND</t>
        </is>
      </c>
      <c r="G601" t="n">
        <v>1.2</v>
      </c>
      <c r="H601" t="n">
        <v>0</v>
      </c>
      <c r="I601" t="n">
        <v>0</v>
      </c>
      <c r="J601" t="n">
        <v>0</v>
      </c>
      <c r="K601" t="n">
        <v>0</v>
      </c>
      <c r="L601" t="n">
        <v>0</v>
      </c>
      <c r="M601" t="n">
        <v>0</v>
      </c>
      <c r="N601" t="n">
        <v>0</v>
      </c>
      <c r="O601" t="n">
        <v>0</v>
      </c>
      <c r="P601" t="n">
        <v>0</v>
      </c>
      <c r="Q601" t="n">
        <v>0</v>
      </c>
      <c r="R601" s="2" t="inlineStr"/>
    </row>
    <row r="602" ht="15" customHeight="1">
      <c r="A602" t="inlineStr">
        <is>
          <t>A 44410-2025</t>
        </is>
      </c>
      <c r="B602" s="1" t="n">
        <v>45916.53699074074</v>
      </c>
      <c r="C602" s="1" t="n">
        <v>45968</v>
      </c>
      <c r="D602" t="inlineStr">
        <is>
          <t>GOTLANDS LÄN</t>
        </is>
      </c>
      <c r="E602" t="inlineStr">
        <is>
          <t>GOTLAND</t>
        </is>
      </c>
      <c r="G602" t="n">
        <v>2.3</v>
      </c>
      <c r="H602" t="n">
        <v>0</v>
      </c>
      <c r="I602" t="n">
        <v>0</v>
      </c>
      <c r="J602" t="n">
        <v>0</v>
      </c>
      <c r="K602" t="n">
        <v>0</v>
      </c>
      <c r="L602" t="n">
        <v>0</v>
      </c>
      <c r="M602" t="n">
        <v>0</v>
      </c>
      <c r="N602" t="n">
        <v>0</v>
      </c>
      <c r="O602" t="n">
        <v>0</v>
      </c>
      <c r="P602" t="n">
        <v>0</v>
      </c>
      <c r="Q602" t="n">
        <v>0</v>
      </c>
      <c r="R602" s="2" t="inlineStr"/>
    </row>
    <row r="603" ht="15" customHeight="1">
      <c r="A603" t="inlineStr">
        <is>
          <t>A 21247-2022</t>
        </is>
      </c>
      <c r="B603" s="1" t="n">
        <v>44705.38832175926</v>
      </c>
      <c r="C603" s="1" t="n">
        <v>45968</v>
      </c>
      <c r="D603" t="inlineStr">
        <is>
          <t>GOTLANDS LÄN</t>
        </is>
      </c>
      <c r="E603" t="inlineStr">
        <is>
          <t>GOTLAND</t>
        </is>
      </c>
      <c r="G603" t="n">
        <v>16.2</v>
      </c>
      <c r="H603" t="n">
        <v>0</v>
      </c>
      <c r="I603" t="n">
        <v>0</v>
      </c>
      <c r="J603" t="n">
        <v>0</v>
      </c>
      <c r="K603" t="n">
        <v>0</v>
      </c>
      <c r="L603" t="n">
        <v>0</v>
      </c>
      <c r="M603" t="n">
        <v>0</v>
      </c>
      <c r="N603" t="n">
        <v>0</v>
      </c>
      <c r="O603" t="n">
        <v>0</v>
      </c>
      <c r="P603" t="n">
        <v>0</v>
      </c>
      <c r="Q603" t="n">
        <v>0</v>
      </c>
      <c r="R603" s="2" t="inlineStr"/>
    </row>
    <row r="604" ht="15" customHeight="1">
      <c r="A604" t="inlineStr">
        <is>
          <t>A 44405-2025</t>
        </is>
      </c>
      <c r="B604" s="1" t="n">
        <v>45916.52405092592</v>
      </c>
      <c r="C604" s="1" t="n">
        <v>45968</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53587-2025</t>
        </is>
      </c>
      <c r="B605" s="1" t="n">
        <v>45960.43681712963</v>
      </c>
      <c r="C605" s="1" t="n">
        <v>45968</v>
      </c>
      <c r="D605" t="inlineStr">
        <is>
          <t>GOTLANDS LÄN</t>
        </is>
      </c>
      <c r="E605" t="inlineStr">
        <is>
          <t>GOTLAND</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53561-2025</t>
        </is>
      </c>
      <c r="B606" s="1" t="n">
        <v>45960.4059375</v>
      </c>
      <c r="C606" s="1" t="n">
        <v>45968</v>
      </c>
      <c r="D606" t="inlineStr">
        <is>
          <t>GOTLANDS LÄN</t>
        </is>
      </c>
      <c r="E606" t="inlineStr">
        <is>
          <t>GOTLAND</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53569-2025</t>
        </is>
      </c>
      <c r="B607" s="1" t="n">
        <v>45960.41155092593</v>
      </c>
      <c r="C607" s="1" t="n">
        <v>45968</v>
      </c>
      <c r="D607" t="inlineStr">
        <is>
          <t>GOTLANDS LÄN</t>
        </is>
      </c>
      <c r="E607" t="inlineStr">
        <is>
          <t>GOTLAND</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53577-2025</t>
        </is>
      </c>
      <c r="B608" s="1" t="n">
        <v>45960.42224537037</v>
      </c>
      <c r="C608" s="1" t="n">
        <v>45968</v>
      </c>
      <c r="D608" t="inlineStr">
        <is>
          <t>GOTLANDS LÄN</t>
        </is>
      </c>
      <c r="E608" t="inlineStr">
        <is>
          <t>GOTLAND</t>
        </is>
      </c>
      <c r="F608" t="inlineStr">
        <is>
          <t>Övriga Aktiebolag</t>
        </is>
      </c>
      <c r="G608" t="n">
        <v>3.3</v>
      </c>
      <c r="H608" t="n">
        <v>0</v>
      </c>
      <c r="I608" t="n">
        <v>0</v>
      </c>
      <c r="J608" t="n">
        <v>0</v>
      </c>
      <c r="K608" t="n">
        <v>0</v>
      </c>
      <c r="L608" t="n">
        <v>0</v>
      </c>
      <c r="M608" t="n">
        <v>0</v>
      </c>
      <c r="N608" t="n">
        <v>0</v>
      </c>
      <c r="O608" t="n">
        <v>0</v>
      </c>
      <c r="P608" t="n">
        <v>0</v>
      </c>
      <c r="Q608" t="n">
        <v>0</v>
      </c>
      <c r="R608" s="2" t="inlineStr"/>
    </row>
    <row r="609" ht="15" customHeight="1">
      <c r="A609" t="inlineStr">
        <is>
          <t>A 54584-2025</t>
        </is>
      </c>
      <c r="B609" s="1" t="n">
        <v>45965.71788194445</v>
      </c>
      <c r="C609" s="1" t="n">
        <v>45968</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c r="A610" t="inlineStr">
        <is>
          <t>A 52250-2025</t>
        </is>
      </c>
      <c r="B610" s="1" t="n">
        <v>45953.48998842593</v>
      </c>
      <c r="C610" s="1" t="n">
        <v>45968</v>
      </c>
      <c r="D610" t="inlineStr">
        <is>
          <t>GOTLANDS LÄN</t>
        </is>
      </c>
      <c r="E610" t="inlineStr">
        <is>
          <t>GOTLAND</t>
        </is>
      </c>
      <c r="F610" t="inlineStr">
        <is>
          <t>Övriga Aktiebolag</t>
        </is>
      </c>
      <c r="G610" t="n">
        <v>1.2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2025-11-07T10:16:01Z</dcterms:created>
  <dcterms:modified xmlns:dcterms="http://purl.org/dc/terms/" xmlns:xsi="http://www.w3.org/2001/XMLSchema-instance" xsi:type="dcterms:W3CDTF">2025-11-07T10:16:01Z</dcterms:modified>
</cp:coreProperties>
</file>