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45974</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45974</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45974</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45974</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45974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45974</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45974</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45974</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6913-2025</t>
        </is>
      </c>
      <c r="B24" s="1" t="n">
        <v>45701.43809027778</v>
      </c>
      <c r="C24" s="1" t="n">
        <v>45974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34100-2024</t>
        </is>
      </c>
      <c r="B25" s="1" t="n">
        <v>45523</v>
      </c>
      <c r="C25" s="1" t="n">
        <v>45974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45974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62132-2023</t>
        </is>
      </c>
      <c r="B28" s="1" t="n">
        <v>45267</v>
      </c>
      <c r="C28" s="1" t="n">
        <v>45974</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15629-2024</t>
        </is>
      </c>
      <c r="B29" s="1" t="n">
        <v>45402.78372685185</v>
      </c>
      <c r="C29" s="1" t="n">
        <v>45974</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45974</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45974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45974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45974</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45974</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45974</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45974</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45974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28287-2024</t>
        </is>
      </c>
      <c r="B39" s="1" t="n">
        <v>45477</v>
      </c>
      <c r="C39" s="1" t="n">
        <v>45974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45974</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45974</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45974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45974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45974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45974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45974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45974</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17766-2024</t>
        </is>
      </c>
      <c r="B50" s="1" t="n">
        <v>45418</v>
      </c>
      <c r="C50" s="1" t="n">
        <v>45974</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14354-2024</t>
        </is>
      </c>
      <c r="B51" s="1" t="n">
        <v>45393</v>
      </c>
      <c r="C51" s="1" t="n">
        <v>45974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59132-2024</t>
        </is>
      </c>
      <c r="B53" s="1" t="n">
        <v>45637</v>
      </c>
      <c r="C53" s="1" t="n">
        <v>45974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45974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52223-2025</t>
        </is>
      </c>
      <c r="B55" s="1" t="n">
        <v>45953.44509259259</v>
      </c>
      <c r="C55" s="1" t="n">
        <v>45974</v>
      </c>
      <c r="D55" t="inlineStr">
        <is>
          <t>GOTLANDS LÄN</t>
        </is>
      </c>
      <c r="E55" t="inlineStr">
        <is>
          <t>GOTLAND</t>
        </is>
      </c>
      <c r="F55" t="inlineStr">
        <is>
          <t>Övriga Aktiebolag</t>
        </is>
      </c>
      <c r="G55" t="n">
        <v>5.8</v>
      </c>
      <c r="H55" t="n">
        <v>5</v>
      </c>
      <c r="I55" t="n">
        <v>1</v>
      </c>
      <c r="J55" t="n">
        <v>5</v>
      </c>
      <c r="K55" t="n">
        <v>0</v>
      </c>
      <c r="L55" t="n">
        <v>0</v>
      </c>
      <c r="M55" t="n">
        <v>0</v>
      </c>
      <c r="N55" t="n">
        <v>0</v>
      </c>
      <c r="O55" t="n">
        <v>5</v>
      </c>
      <c r="P55" t="n">
        <v>0</v>
      </c>
      <c r="Q55" t="n">
        <v>9</v>
      </c>
      <c r="R55" s="2" t="inlineStr">
        <is>
          <t>Axveronika
Backtimjan
Solvända
Spillkråka
Ängsstarr
Skogsknipprot
Brudsporre
Kärrknipprot
Ängsnycklar</t>
        </is>
      </c>
      <c r="S55">
        <f>HYPERLINK("https://klasma.github.io/Logging_0980/artfynd/A 52223-2025 artfynd.xlsx", "A 52223-2025")</f>
        <v/>
      </c>
      <c r="T55">
        <f>HYPERLINK("https://klasma.github.io/Logging_0980/kartor/A 52223-2025 karta.png", "A 52223-2025")</f>
        <v/>
      </c>
      <c r="V55">
        <f>HYPERLINK("https://klasma.github.io/Logging_0980/klagomål/A 52223-2025 FSC-klagomål.docx", "A 52223-2025")</f>
        <v/>
      </c>
      <c r="W55">
        <f>HYPERLINK("https://klasma.github.io/Logging_0980/klagomålsmail/A 52223-2025 FSC-klagomål mail.docx", "A 52223-2025")</f>
        <v/>
      </c>
      <c r="X55">
        <f>HYPERLINK("https://klasma.github.io/Logging_0980/tillsyn/A 52223-2025 tillsynsbegäran.docx", "A 52223-2025")</f>
        <v/>
      </c>
      <c r="Y55">
        <f>HYPERLINK("https://klasma.github.io/Logging_0980/tillsynsmail/A 52223-2025 tillsynsbegäran mail.docx", "A 52223-2025")</f>
        <v/>
      </c>
      <c r="Z55">
        <f>HYPERLINK("https://klasma.github.io/Logging_0980/fåglar/A 52223-2025 prioriterade fågelarter.docx", "A 52223-2025")</f>
        <v/>
      </c>
    </row>
    <row r="56" ht="15" customHeight="1">
      <c r="A56" t="inlineStr">
        <is>
          <t>A 7039-2023</t>
        </is>
      </c>
      <c r="B56" s="1" t="n">
        <v>44968</v>
      </c>
      <c r="C56" s="1" t="n">
        <v>45974</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45974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45974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45974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45974</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10419-2025</t>
        </is>
      </c>
      <c r="B61" s="1" t="n">
        <v>45720</v>
      </c>
      <c r="C61" s="1" t="n">
        <v>45974</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45248-2024</t>
        </is>
      </c>
      <c r="B62" s="1" t="n">
        <v>45576</v>
      </c>
      <c r="C62" s="1" t="n">
        <v>45974</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34142-2024</t>
        </is>
      </c>
      <c r="B63" s="1" t="n">
        <v>45524.36521990741</v>
      </c>
      <c r="C63" s="1" t="n">
        <v>45974</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45974</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45974</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27280-2023</t>
        </is>
      </c>
      <c r="B66" s="1" t="n">
        <v>45096</v>
      </c>
      <c r="C66" s="1" t="n">
        <v>45974</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25205-2021</t>
        </is>
      </c>
      <c r="B67" s="1" t="n">
        <v>44342</v>
      </c>
      <c r="C67" s="1" t="n">
        <v>45974</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45974</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45974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65819-2020</t>
        </is>
      </c>
      <c r="B70" s="1" t="n">
        <v>44174</v>
      </c>
      <c r="C70" s="1" t="n">
        <v>45974</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7038-2023</t>
        </is>
      </c>
      <c r="B71" s="1" t="n">
        <v>44968</v>
      </c>
      <c r="C71" s="1" t="n">
        <v>45974</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45974</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45974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45974</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45974</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66091-2021</t>
        </is>
      </c>
      <c r="B76" s="1" t="n">
        <v>44517</v>
      </c>
      <c r="C76" s="1" t="n">
        <v>45974</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42936-2024</t>
        </is>
      </c>
      <c r="B77" s="1" t="n">
        <v>45567</v>
      </c>
      <c r="C77" s="1" t="n">
        <v>45974</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54055-2022</t>
        </is>
      </c>
      <c r="B78" s="1" t="n">
        <v>44881</v>
      </c>
      <c r="C78" s="1" t="n">
        <v>45974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32326-2024</t>
        </is>
      </c>
      <c r="B79" s="1" t="n">
        <v>45512</v>
      </c>
      <c r="C79" s="1" t="n">
        <v>45974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16375-2025</t>
        </is>
      </c>
      <c r="B80" s="1" t="n">
        <v>45751.41064814815</v>
      </c>
      <c r="C80" s="1" t="n">
        <v>45974</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45974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45974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44944-2022</t>
        </is>
      </c>
      <c r="B83" s="1" t="n">
        <v>44841</v>
      </c>
      <c r="C83" s="1" t="n">
        <v>45974</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2213-2023</t>
        </is>
      </c>
      <c r="B84" s="1" t="n">
        <v>44942</v>
      </c>
      <c r="C84" s="1" t="n">
        <v>45974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29331-2021</t>
        </is>
      </c>
      <c r="B85" s="1" t="n">
        <v>44361</v>
      </c>
      <c r="C85" s="1" t="n">
        <v>45974</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64378-2020</t>
        </is>
      </c>
      <c r="B86" s="1" t="n">
        <v>44168</v>
      </c>
      <c r="C86" s="1" t="n">
        <v>45974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54523-2023</t>
        </is>
      </c>
      <c r="B87" s="1" t="n">
        <v>45233</v>
      </c>
      <c r="C87" s="1" t="n">
        <v>45974</v>
      </c>
      <c r="D87" t="inlineStr">
        <is>
          <t>GOTLANDS LÄN</t>
        </is>
      </c>
      <c r="E87" t="inlineStr">
        <is>
          <t>GOTLAND</t>
        </is>
      </c>
      <c r="G87" t="n">
        <v>3.7</v>
      </c>
      <c r="H87" t="n">
        <v>2</v>
      </c>
      <c r="I87" t="n">
        <v>0</v>
      </c>
      <c r="J87" t="n">
        <v>1</v>
      </c>
      <c r="K87" t="n">
        <v>1</v>
      </c>
      <c r="L87" t="n">
        <v>0</v>
      </c>
      <c r="M87" t="n">
        <v>0</v>
      </c>
      <c r="N87" t="n">
        <v>0</v>
      </c>
      <c r="O87" t="n">
        <v>2</v>
      </c>
      <c r="P87" t="n">
        <v>1</v>
      </c>
      <c r="Q87" t="n">
        <v>4</v>
      </c>
      <c r="R87" s="2" t="inlineStr">
        <is>
          <t>Sommarklynne
Åkerkulla
Brudsporre
Kärrknipprot</t>
        </is>
      </c>
      <c r="S87">
        <f>HYPERLINK("https://klasma.github.io/Logging_0980/artfynd/A 54523-2023 artfynd.xlsx", "A 54523-2023")</f>
        <v/>
      </c>
      <c r="T87">
        <f>HYPERLINK("https://klasma.github.io/Logging_0980/kartor/A 54523-2023 karta.png", "A 54523-2023")</f>
        <v/>
      </c>
      <c r="V87">
        <f>HYPERLINK("https://klasma.github.io/Logging_0980/klagomål/A 54523-2023 FSC-klagomål.docx", "A 54523-2023")</f>
        <v/>
      </c>
      <c r="W87">
        <f>HYPERLINK("https://klasma.github.io/Logging_0980/klagomålsmail/A 54523-2023 FSC-klagomål mail.docx", "A 54523-2023")</f>
        <v/>
      </c>
      <c r="X87">
        <f>HYPERLINK("https://klasma.github.io/Logging_0980/tillsyn/A 54523-2023 tillsynsbegäran.docx", "A 54523-2023")</f>
        <v/>
      </c>
      <c r="Y87">
        <f>HYPERLINK("https://klasma.github.io/Logging_0980/tillsynsmail/A 54523-2023 tillsynsbegäran mail.docx", "A 54523-2023")</f>
        <v/>
      </c>
    </row>
    <row r="88" ht="15" customHeight="1">
      <c r="A88" t="inlineStr">
        <is>
          <t>A 8265-2023</t>
        </is>
      </c>
      <c r="B88" s="1" t="n">
        <v>44974</v>
      </c>
      <c r="C88" s="1" t="n">
        <v>45974</v>
      </c>
      <c r="D88" t="inlineStr">
        <is>
          <t>GOTLANDS LÄN</t>
        </is>
      </c>
      <c r="E88" t="inlineStr">
        <is>
          <t>GOTLAND</t>
        </is>
      </c>
      <c r="G88" t="n">
        <v>3.3</v>
      </c>
      <c r="H88" t="n">
        <v>4</v>
      </c>
      <c r="I88" t="n">
        <v>3</v>
      </c>
      <c r="J88" t="n">
        <v>0</v>
      </c>
      <c r="K88" t="n">
        <v>0</v>
      </c>
      <c r="L88" t="n">
        <v>0</v>
      </c>
      <c r="M88" t="n">
        <v>0</v>
      </c>
      <c r="N88" t="n">
        <v>0</v>
      </c>
      <c r="O88" t="n">
        <v>0</v>
      </c>
      <c r="P88" t="n">
        <v>0</v>
      </c>
      <c r="Q88" t="n">
        <v>4</v>
      </c>
      <c r="R88" s="2" t="inlineStr">
        <is>
          <t>Flugblomster
Purpurknipprot
Tvåblad
Salepsrot</t>
        </is>
      </c>
      <c r="S88">
        <f>HYPERLINK("https://klasma.github.io/Logging_0980/artfynd/A 8265-2023 artfynd.xlsx", "A 8265-2023")</f>
        <v/>
      </c>
      <c r="T88">
        <f>HYPERLINK("https://klasma.github.io/Logging_0980/kartor/A 8265-2023 karta.png", "A 8265-2023")</f>
        <v/>
      </c>
      <c r="V88">
        <f>HYPERLINK("https://klasma.github.io/Logging_0980/klagomål/A 8265-2023 FSC-klagomål.docx", "A 8265-2023")</f>
        <v/>
      </c>
      <c r="W88">
        <f>HYPERLINK("https://klasma.github.io/Logging_0980/klagomålsmail/A 8265-2023 FSC-klagomål mail.docx", "A 8265-2023")</f>
        <v/>
      </c>
      <c r="X88">
        <f>HYPERLINK("https://klasma.github.io/Logging_0980/tillsyn/A 8265-2023 tillsynsbegäran.docx", "A 8265-2023")</f>
        <v/>
      </c>
      <c r="Y88">
        <f>HYPERLINK("https://klasma.github.io/Logging_0980/tillsynsmail/A 8265-2023 tillsynsbegäran mail.docx", "A 8265-2023")</f>
        <v/>
      </c>
    </row>
    <row r="89" ht="15" customHeight="1">
      <c r="A89" t="inlineStr">
        <is>
          <t>A 2485-2025</t>
        </is>
      </c>
      <c r="B89" s="1" t="n">
        <v>45673</v>
      </c>
      <c r="C89" s="1" t="n">
        <v>45974</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56717-2024</t>
        </is>
      </c>
      <c r="B90" s="1" t="n">
        <v>45628.3166550926</v>
      </c>
      <c r="C90" s="1" t="n">
        <v>45974</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6159-2023</t>
        </is>
      </c>
      <c r="B91" s="1" t="n">
        <v>44964</v>
      </c>
      <c r="C91" s="1" t="n">
        <v>45974</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45974</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5904-2024</t>
        </is>
      </c>
      <c r="B93" s="1" t="n">
        <v>45335</v>
      </c>
      <c r="C93" s="1" t="n">
        <v>45974</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44933-2022</t>
        </is>
      </c>
      <c r="B94" s="1" t="n">
        <v>44841</v>
      </c>
      <c r="C94" s="1" t="n">
        <v>45974</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40099-2025</t>
        </is>
      </c>
      <c r="B95" s="1" t="n">
        <v>45894.48462962963</v>
      </c>
      <c r="C95" s="1" t="n">
        <v>45974</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20833-2024</t>
        </is>
      </c>
      <c r="B96" s="1" t="n">
        <v>45439</v>
      </c>
      <c r="C96" s="1" t="n">
        <v>45974</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1971-2023</t>
        </is>
      </c>
      <c r="B97" s="1" t="n">
        <v>44939</v>
      </c>
      <c r="C97" s="1" t="n">
        <v>45974</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52309-2025</t>
        </is>
      </c>
      <c r="B98" s="1" t="n">
        <v>45953.64381944444</v>
      </c>
      <c r="C98" s="1" t="n">
        <v>45974</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186-2023</t>
        </is>
      </c>
      <c r="B99" s="1" t="n">
        <v>44928</v>
      </c>
      <c r="C99" s="1" t="n">
        <v>45974</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65537-2020</t>
        </is>
      </c>
      <c r="B100" s="1" t="n">
        <v>44173</v>
      </c>
      <c r="C100" s="1" t="n">
        <v>45974</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45974</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45974</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45974</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45974</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43013-2022</t>
        </is>
      </c>
      <c r="B106" s="1" t="n">
        <v>44833</v>
      </c>
      <c r="C106" s="1" t="n">
        <v>45974</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48126-2022</t>
        </is>
      </c>
      <c r="B107" s="1" t="n">
        <v>44857</v>
      </c>
      <c r="C107" s="1" t="n">
        <v>45974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73144-2021</t>
        </is>
      </c>
      <c r="B108" s="1" t="n">
        <v>44550</v>
      </c>
      <c r="C108" s="1" t="n">
        <v>45974</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45974</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45974</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17975-2024</t>
        </is>
      </c>
      <c r="B111" s="1" t="n">
        <v>45419.85546296297</v>
      </c>
      <c r="C111" s="1" t="n">
        <v>45974</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62326-2020</t>
        </is>
      </c>
      <c r="B112" s="1" t="n">
        <v>44160</v>
      </c>
      <c r="C112" s="1" t="n">
        <v>45974</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30490-2025</t>
        </is>
      </c>
      <c r="B113" s="1" t="n">
        <v>45830</v>
      </c>
      <c r="C113" s="1" t="n">
        <v>45974</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49709-2025</t>
        </is>
      </c>
      <c r="B114" s="1" t="n">
        <v>45939.68228009259</v>
      </c>
      <c r="C114" s="1" t="n">
        <v>45974</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20831-2024</t>
        </is>
      </c>
      <c r="B115" s="1" t="n">
        <v>45439</v>
      </c>
      <c r="C115" s="1" t="n">
        <v>45974</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17982-2023</t>
        </is>
      </c>
      <c r="B116" s="1" t="n">
        <v>45040</v>
      </c>
      <c r="C116" s="1" t="n">
        <v>45974</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53552-2021</t>
        </is>
      </c>
      <c r="B117" s="1" t="n">
        <v>44468</v>
      </c>
      <c r="C117" s="1" t="n">
        <v>45974</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12315-2024</t>
        </is>
      </c>
      <c r="B118" s="1" t="n">
        <v>45378.6434837963</v>
      </c>
      <c r="C118" s="1" t="n">
        <v>45974</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55334-2024</t>
        </is>
      </c>
      <c r="B119" s="1" t="n">
        <v>45621</v>
      </c>
      <c r="C119" s="1" t="n">
        <v>45974</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29870-2021</t>
        </is>
      </c>
      <c r="B120" s="1" t="n">
        <v>44362</v>
      </c>
      <c r="C120" s="1" t="n">
        <v>45974</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45974</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45974</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45974</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28261-2024</t>
        </is>
      </c>
      <c r="B126" s="1" t="n">
        <v>45477</v>
      </c>
      <c r="C126" s="1" t="n">
        <v>45974</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45974</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45974</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64263-2020</t>
        </is>
      </c>
      <c r="B129" s="1" t="n">
        <v>44168</v>
      </c>
      <c r="C129" s="1" t="n">
        <v>45974</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21879-2025</t>
        </is>
      </c>
      <c r="B130" s="1" t="n">
        <v>45784.40533564815</v>
      </c>
      <c r="C130" s="1" t="n">
        <v>45974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12914-2025</t>
        </is>
      </c>
      <c r="B131" s="1" t="n">
        <v>45733</v>
      </c>
      <c r="C131" s="1" t="n">
        <v>45974</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43219-2023</t>
        </is>
      </c>
      <c r="B132" s="1" t="n">
        <v>45183</v>
      </c>
      <c r="C132" s="1" t="n">
        <v>45974</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54357-2024</t>
        </is>
      </c>
      <c r="B133" s="1" t="n">
        <v>45617.40662037037</v>
      </c>
      <c r="C133" s="1" t="n">
        <v>45974</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28276-2024</t>
        </is>
      </c>
      <c r="B134" s="1" t="n">
        <v>45477</v>
      </c>
      <c r="C134" s="1" t="n">
        <v>45974</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28276-2024 artfynd.xlsx", "A 28276-2024")</f>
        <v/>
      </c>
      <c r="T134">
        <f>HYPERLINK("https://klasma.github.io/Logging_0980/kartor/A 28276-2024 karta.png", "A 28276-2024")</f>
        <v/>
      </c>
      <c r="V134">
        <f>HYPERLINK("https://klasma.github.io/Logging_0980/klagomål/A 28276-2024 FSC-klagomål.docx", "A 28276-2024")</f>
        <v/>
      </c>
      <c r="W134">
        <f>HYPERLINK("https://klasma.github.io/Logging_0980/klagomålsmail/A 28276-2024 FSC-klagomål mail.docx", "A 28276-2024")</f>
        <v/>
      </c>
      <c r="X134">
        <f>HYPERLINK("https://klasma.github.io/Logging_0980/tillsyn/A 28276-2024 tillsynsbegäran.docx", "A 28276-2024")</f>
        <v/>
      </c>
      <c r="Y134">
        <f>HYPERLINK("https://klasma.github.io/Logging_0980/tillsynsmail/A 28276-2024 tillsynsbegäran mail.docx", "A 28276-2024")</f>
        <v/>
      </c>
    </row>
    <row r="135" ht="15" customHeight="1">
      <c r="A135" t="inlineStr">
        <is>
          <t>A 20838-2024</t>
        </is>
      </c>
      <c r="B135" s="1" t="n">
        <v>45439</v>
      </c>
      <c r="C135" s="1" t="n">
        <v>45974</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52250-2025</t>
        </is>
      </c>
      <c r="B136" s="1" t="n">
        <v>45953.48998842593</v>
      </c>
      <c r="C136" s="1" t="n">
        <v>45974</v>
      </c>
      <c r="D136" t="inlineStr">
        <is>
          <t>GOTLANDS LÄN</t>
        </is>
      </c>
      <c r="E136" t="inlineStr">
        <is>
          <t>GOTLAND</t>
        </is>
      </c>
      <c r="F136" t="inlineStr">
        <is>
          <t>Övriga Aktiebolag</t>
        </is>
      </c>
      <c r="G136" t="n">
        <v>1.2</v>
      </c>
      <c r="H136" t="n">
        <v>1</v>
      </c>
      <c r="I136" t="n">
        <v>1</v>
      </c>
      <c r="J136" t="n">
        <v>0</v>
      </c>
      <c r="K136" t="n">
        <v>0</v>
      </c>
      <c r="L136" t="n">
        <v>0</v>
      </c>
      <c r="M136" t="n">
        <v>0</v>
      </c>
      <c r="N136" t="n">
        <v>0</v>
      </c>
      <c r="O136" t="n">
        <v>0</v>
      </c>
      <c r="P136" t="n">
        <v>0</v>
      </c>
      <c r="Q136" t="n">
        <v>2</v>
      </c>
      <c r="R136" s="2" t="inlineStr">
        <is>
          <t>Anisspindling
Nattviol</t>
        </is>
      </c>
      <c r="S136">
        <f>HYPERLINK("https://klasma.github.io/Logging_0980/artfynd/A 52250-2025 artfynd.xlsx", "A 52250-2025")</f>
        <v/>
      </c>
      <c r="T136">
        <f>HYPERLINK("https://klasma.github.io/Logging_0980/kartor/A 52250-2025 karta.png", "A 52250-2025")</f>
        <v/>
      </c>
      <c r="V136">
        <f>HYPERLINK("https://klasma.github.io/Logging_0980/klagomål/A 52250-2025 FSC-klagomål.docx", "A 52250-2025")</f>
        <v/>
      </c>
      <c r="W136">
        <f>HYPERLINK("https://klasma.github.io/Logging_0980/klagomålsmail/A 52250-2025 FSC-klagomål mail.docx", "A 52250-2025")</f>
        <v/>
      </c>
      <c r="X136">
        <f>HYPERLINK("https://klasma.github.io/Logging_0980/tillsyn/A 52250-2025 tillsynsbegäran.docx", "A 52250-2025")</f>
        <v/>
      </c>
      <c r="Y136">
        <f>HYPERLINK("https://klasma.github.io/Logging_0980/tillsynsmail/A 52250-2025 tillsynsbegäran mail.docx", "A 52250-2025")</f>
        <v/>
      </c>
    </row>
    <row r="137" ht="15" customHeight="1">
      <c r="A137" t="inlineStr">
        <is>
          <t>A 52245-2025</t>
        </is>
      </c>
      <c r="B137" s="1" t="n">
        <v>45953.47115740741</v>
      </c>
      <c r="C137" s="1" t="n">
        <v>45974</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26077-2024</t>
        </is>
      </c>
      <c r="B138" s="1" t="n">
        <v>45467</v>
      </c>
      <c r="C138" s="1" t="n">
        <v>45974</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24-2021</t>
        </is>
      </c>
      <c r="B139" s="1" t="n">
        <v>44197</v>
      </c>
      <c r="C139" s="1" t="n">
        <v>45974</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45974</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7637-2025</t>
        </is>
      </c>
      <c r="B143" s="1" t="n">
        <v>45705.77181712963</v>
      </c>
      <c r="C143" s="1" t="n">
        <v>45974</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6303-2024</t>
        </is>
      </c>
      <c r="B144" s="1" t="n">
        <v>45338.35376157407</v>
      </c>
      <c r="C144" s="1" t="n">
        <v>45974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45974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27168-2022</t>
        </is>
      </c>
      <c r="B146" s="1" t="n">
        <v>44741</v>
      </c>
      <c r="C146" s="1" t="n">
        <v>45974</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25977-2024</t>
        </is>
      </c>
      <c r="B147" s="1" t="n">
        <v>45467.69356481481</v>
      </c>
      <c r="C147" s="1" t="n">
        <v>45974</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61796-2022</t>
        </is>
      </c>
      <c r="B148" s="1" t="n">
        <v>44917</v>
      </c>
      <c r="C148" s="1" t="n">
        <v>45974</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27589-2023</t>
        </is>
      </c>
      <c r="B149" s="1" t="n">
        <v>45097</v>
      </c>
      <c r="C149" s="1" t="n">
        <v>45974</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10218-2025</t>
        </is>
      </c>
      <c r="B150" s="1" t="n">
        <v>45720</v>
      </c>
      <c r="C150" s="1" t="n">
        <v>45974</v>
      </c>
      <c r="D150" t="inlineStr">
        <is>
          <t>GOTLANDS LÄN</t>
        </is>
      </c>
      <c r="E150" t="inlineStr">
        <is>
          <t>GOTLAND</t>
        </is>
      </c>
      <c r="G150" t="n">
        <v>8.1</v>
      </c>
      <c r="H150" t="n">
        <v>0</v>
      </c>
      <c r="I150" t="n">
        <v>1</v>
      </c>
      <c r="J150" t="n">
        <v>0</v>
      </c>
      <c r="K150" t="n">
        <v>0</v>
      </c>
      <c r="L150" t="n">
        <v>0</v>
      </c>
      <c r="M150" t="n">
        <v>0</v>
      </c>
      <c r="N150" t="n">
        <v>0</v>
      </c>
      <c r="O150" t="n">
        <v>0</v>
      </c>
      <c r="P150" t="n">
        <v>0</v>
      </c>
      <c r="Q150" t="n">
        <v>1</v>
      </c>
      <c r="R150" s="2" t="inlineStr">
        <is>
          <t>Kalktallört</t>
        </is>
      </c>
      <c r="S150">
        <f>HYPERLINK("https://klasma.github.io/Logging_0980/artfynd/A 10218-2025 artfynd.xlsx", "A 10218-2025")</f>
        <v/>
      </c>
      <c r="T150">
        <f>HYPERLINK("https://klasma.github.io/Logging_0980/kartor/A 10218-2025 karta.png", "A 10218-2025")</f>
        <v/>
      </c>
      <c r="V150">
        <f>HYPERLINK("https://klasma.github.io/Logging_0980/klagomål/A 10218-2025 FSC-klagomål.docx", "A 10218-2025")</f>
        <v/>
      </c>
      <c r="W150">
        <f>HYPERLINK("https://klasma.github.io/Logging_0980/klagomålsmail/A 10218-2025 FSC-klagomål mail.docx", "A 10218-2025")</f>
        <v/>
      </c>
      <c r="X150">
        <f>HYPERLINK("https://klasma.github.io/Logging_0980/tillsyn/A 10218-2025 tillsynsbegäran.docx", "A 10218-2025")</f>
        <v/>
      </c>
      <c r="Y150">
        <f>HYPERLINK("https://klasma.github.io/Logging_0980/tillsynsmail/A 10218-2025 tillsynsbegäran mail.docx", "A 10218-2025")</f>
        <v/>
      </c>
    </row>
    <row r="151" ht="15" customHeight="1">
      <c r="A151" t="inlineStr">
        <is>
          <t>A 12379-2024</t>
        </is>
      </c>
      <c r="B151" s="1" t="n">
        <v>45379.28155092592</v>
      </c>
      <c r="C151" s="1" t="n">
        <v>45974</v>
      </c>
      <c r="D151" t="inlineStr">
        <is>
          <t>GOTLANDS LÄN</t>
        </is>
      </c>
      <c r="E151" t="inlineStr">
        <is>
          <t>GOTLAND</t>
        </is>
      </c>
      <c r="G151" t="n">
        <v>4.4</v>
      </c>
      <c r="H151" t="n">
        <v>0</v>
      </c>
      <c r="I151" t="n">
        <v>0</v>
      </c>
      <c r="J151" t="n">
        <v>1</v>
      </c>
      <c r="K151" t="n">
        <v>0</v>
      </c>
      <c r="L151" t="n">
        <v>0</v>
      </c>
      <c r="M151" t="n">
        <v>0</v>
      </c>
      <c r="N151" t="n">
        <v>0</v>
      </c>
      <c r="O151" t="n">
        <v>1</v>
      </c>
      <c r="P151" t="n">
        <v>0</v>
      </c>
      <c r="Q151" t="n">
        <v>1</v>
      </c>
      <c r="R151" s="2" t="inlineStr">
        <is>
          <t>Svinrot</t>
        </is>
      </c>
      <c r="S151">
        <f>HYPERLINK("https://klasma.github.io/Logging_0980/artfynd/A 12379-2024 artfynd.xlsx", "A 12379-2024")</f>
        <v/>
      </c>
      <c r="T151">
        <f>HYPERLINK("https://klasma.github.io/Logging_0980/kartor/A 12379-2024 karta.png", "A 12379-2024")</f>
        <v/>
      </c>
      <c r="V151">
        <f>HYPERLINK("https://klasma.github.io/Logging_0980/klagomål/A 12379-2024 FSC-klagomål.docx", "A 12379-2024")</f>
        <v/>
      </c>
      <c r="W151">
        <f>HYPERLINK("https://klasma.github.io/Logging_0980/klagomålsmail/A 12379-2024 FSC-klagomål mail.docx", "A 12379-2024")</f>
        <v/>
      </c>
      <c r="X151">
        <f>HYPERLINK("https://klasma.github.io/Logging_0980/tillsyn/A 12379-2024 tillsynsbegäran.docx", "A 12379-2024")</f>
        <v/>
      </c>
      <c r="Y151">
        <f>HYPERLINK("https://klasma.github.io/Logging_0980/tillsynsmail/A 12379-2024 tillsynsbegäran mail.docx", "A 12379-2024")</f>
        <v/>
      </c>
    </row>
    <row r="152" ht="15" customHeight="1">
      <c r="A152" t="inlineStr">
        <is>
          <t>A 24245-2022</t>
        </is>
      </c>
      <c r="B152" s="1" t="n">
        <v>44725</v>
      </c>
      <c r="C152" s="1" t="n">
        <v>45974</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22883-2024</t>
        </is>
      </c>
      <c r="B153" s="1" t="n">
        <v>45448.66368055555</v>
      </c>
      <c r="C153" s="1" t="n">
        <v>45974</v>
      </c>
      <c r="D153" t="inlineStr">
        <is>
          <t>GOTLANDS LÄN</t>
        </is>
      </c>
      <c r="E153" t="inlineStr">
        <is>
          <t>GOTLAND</t>
        </is>
      </c>
      <c r="G153" t="n">
        <v>0.5</v>
      </c>
      <c r="H153" t="n">
        <v>0</v>
      </c>
      <c r="I153" t="n">
        <v>0</v>
      </c>
      <c r="J153" t="n">
        <v>0</v>
      </c>
      <c r="K153" t="n">
        <v>1</v>
      </c>
      <c r="L153" t="n">
        <v>0</v>
      </c>
      <c r="M153" t="n">
        <v>0</v>
      </c>
      <c r="N153" t="n">
        <v>0</v>
      </c>
      <c r="O153" t="n">
        <v>1</v>
      </c>
      <c r="P153" t="n">
        <v>1</v>
      </c>
      <c r="Q153" t="n">
        <v>1</v>
      </c>
      <c r="R153" s="2" t="inlineStr">
        <is>
          <t>Gotlandsmåra</t>
        </is>
      </c>
      <c r="S153">
        <f>HYPERLINK("https://klasma.github.io/Logging_0980/artfynd/A 22883-2024 artfynd.xlsx", "A 22883-2024")</f>
        <v/>
      </c>
      <c r="T153">
        <f>HYPERLINK("https://klasma.github.io/Logging_0980/kartor/A 22883-2024 karta.png", "A 22883-2024")</f>
        <v/>
      </c>
      <c r="V153">
        <f>HYPERLINK("https://klasma.github.io/Logging_0980/klagomål/A 22883-2024 FSC-klagomål.docx", "A 22883-2024")</f>
        <v/>
      </c>
      <c r="W153">
        <f>HYPERLINK("https://klasma.github.io/Logging_0980/klagomålsmail/A 22883-2024 FSC-klagomål mail.docx", "A 22883-2024")</f>
        <v/>
      </c>
      <c r="X153">
        <f>HYPERLINK("https://klasma.github.io/Logging_0980/tillsyn/A 22883-2024 tillsynsbegäran.docx", "A 22883-2024")</f>
        <v/>
      </c>
      <c r="Y153">
        <f>HYPERLINK("https://klasma.github.io/Logging_0980/tillsynsmail/A 22883-2024 tillsynsbegäran mail.docx", "A 22883-2024")</f>
        <v/>
      </c>
    </row>
    <row r="154" ht="15" customHeight="1">
      <c r="A154" t="inlineStr">
        <is>
          <t>A 10995-2023</t>
        </is>
      </c>
      <c r="B154" s="1" t="n">
        <v>44986</v>
      </c>
      <c r="C154" s="1" t="n">
        <v>45974</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63576-2021</t>
        </is>
      </c>
      <c r="B155" s="1" t="n">
        <v>44508</v>
      </c>
      <c r="C155" s="1" t="n">
        <v>45974</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21466-2025</t>
        </is>
      </c>
      <c r="B156" s="1" t="n">
        <v>45782</v>
      </c>
      <c r="C156" s="1" t="n">
        <v>45974</v>
      </c>
      <c r="D156" t="inlineStr">
        <is>
          <t>GOTLANDS LÄN</t>
        </is>
      </c>
      <c r="E156" t="inlineStr">
        <is>
          <t>GOTLAND</t>
        </is>
      </c>
      <c r="F156" t="inlineStr">
        <is>
          <t>Övriga statliga verk och myndigheter</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HYPERLINK("https://klasma.github.io/Logging_0980/artfynd/A 21466-2025 artfynd.xlsx", "A 21466-2025")</f>
        <v/>
      </c>
      <c r="T156">
        <f>HYPERLINK("https://klasma.github.io/Logging_0980/kartor/A 21466-2025 karta.png", "A 21466-2025")</f>
        <v/>
      </c>
      <c r="V156">
        <f>HYPERLINK("https://klasma.github.io/Logging_0980/klagomål/A 21466-2025 FSC-klagomål.docx", "A 21466-2025")</f>
        <v/>
      </c>
      <c r="W156">
        <f>HYPERLINK("https://klasma.github.io/Logging_0980/klagomålsmail/A 21466-2025 FSC-klagomål mail.docx", "A 21466-2025")</f>
        <v/>
      </c>
      <c r="X156">
        <f>HYPERLINK("https://klasma.github.io/Logging_0980/tillsyn/A 21466-2025 tillsynsbegäran.docx", "A 21466-2025")</f>
        <v/>
      </c>
      <c r="Y156">
        <f>HYPERLINK("https://klasma.github.io/Logging_0980/tillsynsmail/A 21466-2025 tillsynsbegäran mail.docx", "A 21466-2025")</f>
        <v/>
      </c>
    </row>
    <row r="157" ht="15" customHeight="1">
      <c r="A157" t="inlineStr">
        <is>
          <t>A 65927-2021</t>
        </is>
      </c>
      <c r="B157" s="1" t="n">
        <v>44516</v>
      </c>
      <c r="C157" s="1" t="n">
        <v>45974</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45974</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45974</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45974</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10440-2024</t>
        </is>
      </c>
      <c r="B161" s="1" t="n">
        <v>45366.32818287037</v>
      </c>
      <c r="C161" s="1" t="n">
        <v>45974</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61561-2023</t>
        </is>
      </c>
      <c r="B162" s="1" t="n">
        <v>45265</v>
      </c>
      <c r="C162" s="1" t="n">
        <v>45974</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37591-2023</t>
        </is>
      </c>
      <c r="B163" s="1" t="n">
        <v>45159</v>
      </c>
      <c r="C163" s="1" t="n">
        <v>45974</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44308-2021</t>
        </is>
      </c>
      <c r="B164" s="1" t="n">
        <v>44434</v>
      </c>
      <c r="C164" s="1" t="n">
        <v>45974</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15637-2024</t>
        </is>
      </c>
      <c r="B165" s="1" t="n">
        <v>45403.6684837963</v>
      </c>
      <c r="C165" s="1" t="n">
        <v>45974</v>
      </c>
      <c r="D165" t="inlineStr">
        <is>
          <t>GOTLANDS LÄN</t>
        </is>
      </c>
      <c r="E165" t="inlineStr">
        <is>
          <t>GOTLAND</t>
        </is>
      </c>
      <c r="G165" t="n">
        <v>4.1</v>
      </c>
      <c r="H165" t="n">
        <v>1</v>
      </c>
      <c r="I165" t="n">
        <v>0</v>
      </c>
      <c r="J165" t="n">
        <v>0</v>
      </c>
      <c r="K165" t="n">
        <v>0</v>
      </c>
      <c r="L165" t="n">
        <v>0</v>
      </c>
      <c r="M165" t="n">
        <v>0</v>
      </c>
      <c r="N165" t="n">
        <v>0</v>
      </c>
      <c r="O165" t="n">
        <v>0</v>
      </c>
      <c r="P165" t="n">
        <v>0</v>
      </c>
      <c r="Q165" t="n">
        <v>1</v>
      </c>
      <c r="R165" s="2" t="inlineStr">
        <is>
          <t>Blåsippa</t>
        </is>
      </c>
      <c r="S165">
        <f>HYPERLINK("https://klasma.github.io/Logging_0980/artfynd/A 15637-2024 artfynd.xlsx", "A 15637-2024")</f>
        <v/>
      </c>
      <c r="T165">
        <f>HYPERLINK("https://klasma.github.io/Logging_0980/kartor/A 15637-2024 karta.png", "A 15637-2024")</f>
        <v/>
      </c>
      <c r="V165">
        <f>HYPERLINK("https://klasma.github.io/Logging_0980/klagomål/A 15637-2024 FSC-klagomål.docx", "A 15637-2024")</f>
        <v/>
      </c>
      <c r="W165">
        <f>HYPERLINK("https://klasma.github.io/Logging_0980/klagomålsmail/A 15637-2024 FSC-klagomål mail.docx", "A 15637-2024")</f>
        <v/>
      </c>
      <c r="X165">
        <f>HYPERLINK("https://klasma.github.io/Logging_0980/tillsyn/A 15637-2024 tillsynsbegäran.docx", "A 15637-2024")</f>
        <v/>
      </c>
      <c r="Y165">
        <f>HYPERLINK("https://klasma.github.io/Logging_0980/tillsynsmail/A 15637-2024 tillsynsbegäran mail.docx", "A 15637-2024")</f>
        <v/>
      </c>
    </row>
    <row r="166" ht="15" customHeight="1">
      <c r="A166" t="inlineStr">
        <is>
          <t>A 46527-2023</t>
        </is>
      </c>
      <c r="B166" s="1" t="n">
        <v>45197</v>
      </c>
      <c r="C166" s="1" t="n">
        <v>45974</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45974</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63299-2020</t>
        </is>
      </c>
      <c r="B168" s="1" t="n">
        <v>44165</v>
      </c>
      <c r="C168" s="1" t="n">
        <v>45974</v>
      </c>
      <c r="D168" t="inlineStr">
        <is>
          <t>GOTLANDS LÄN</t>
        </is>
      </c>
      <c r="E168" t="inlineStr">
        <is>
          <t>GOTLAND</t>
        </is>
      </c>
      <c r="G168" t="n">
        <v>12.9</v>
      </c>
      <c r="H168" t="n">
        <v>1</v>
      </c>
      <c r="I168" t="n">
        <v>0</v>
      </c>
      <c r="J168" t="n">
        <v>1</v>
      </c>
      <c r="K168" t="n">
        <v>0</v>
      </c>
      <c r="L168" t="n">
        <v>0</v>
      </c>
      <c r="M168" t="n">
        <v>0</v>
      </c>
      <c r="N168" t="n">
        <v>0</v>
      </c>
      <c r="O168" t="n">
        <v>1</v>
      </c>
      <c r="P168" t="n">
        <v>0</v>
      </c>
      <c r="Q168" t="n">
        <v>1</v>
      </c>
      <c r="R168" s="2" t="inlineStr">
        <is>
          <t>Svartfläckig blåvinge</t>
        </is>
      </c>
      <c r="S168">
        <f>HYPERLINK("https://klasma.github.io/Logging_0980/artfynd/A 63299-2020 artfynd.xlsx", "A 63299-2020")</f>
        <v/>
      </c>
      <c r="T168">
        <f>HYPERLINK("https://klasma.github.io/Logging_0980/kartor/A 63299-2020 karta.png", "A 63299-2020")</f>
        <v/>
      </c>
      <c r="V168">
        <f>HYPERLINK("https://klasma.github.io/Logging_0980/klagomål/A 63299-2020 FSC-klagomål.docx", "A 63299-2020")</f>
        <v/>
      </c>
      <c r="W168">
        <f>HYPERLINK("https://klasma.github.io/Logging_0980/klagomålsmail/A 63299-2020 FSC-klagomål mail.docx", "A 63299-2020")</f>
        <v/>
      </c>
      <c r="X168">
        <f>HYPERLINK("https://klasma.github.io/Logging_0980/tillsyn/A 63299-2020 tillsynsbegäran.docx", "A 63299-2020")</f>
        <v/>
      </c>
      <c r="Y168">
        <f>HYPERLINK("https://klasma.github.io/Logging_0980/tillsynsmail/A 63299-2020 tillsynsbegäran mail.docx", "A 63299-2020")</f>
        <v/>
      </c>
    </row>
    <row r="169" ht="15" customHeight="1">
      <c r="A169" t="inlineStr">
        <is>
          <t>A 12324-2025</t>
        </is>
      </c>
      <c r="B169" s="1" t="n">
        <v>45730</v>
      </c>
      <c r="C169" s="1" t="n">
        <v>45974</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17723-2021</t>
        </is>
      </c>
      <c r="B170" s="1" t="n">
        <v>44300</v>
      </c>
      <c r="C170" s="1" t="n">
        <v>45974</v>
      </c>
      <c r="D170" t="inlineStr">
        <is>
          <t>GOTLANDS LÄN</t>
        </is>
      </c>
      <c r="E170" t="inlineStr">
        <is>
          <t>GOTLAND</t>
        </is>
      </c>
      <c r="G170" t="n">
        <v>1.5</v>
      </c>
      <c r="H170" t="n">
        <v>1</v>
      </c>
      <c r="I170" t="n">
        <v>1</v>
      </c>
      <c r="J170" t="n">
        <v>0</v>
      </c>
      <c r="K170" t="n">
        <v>0</v>
      </c>
      <c r="L170" t="n">
        <v>0</v>
      </c>
      <c r="M170" t="n">
        <v>0</v>
      </c>
      <c r="N170" t="n">
        <v>0</v>
      </c>
      <c r="O170" t="n">
        <v>0</v>
      </c>
      <c r="P170" t="n">
        <v>0</v>
      </c>
      <c r="Q170" t="n">
        <v>1</v>
      </c>
      <c r="R170" s="2" t="inlineStr">
        <is>
          <t>Vit skogslilja</t>
        </is>
      </c>
      <c r="S170">
        <f>HYPERLINK("https://klasma.github.io/Logging_0980/artfynd/A 17723-2021 artfynd.xlsx", "A 17723-2021")</f>
        <v/>
      </c>
      <c r="T170">
        <f>HYPERLINK("https://klasma.github.io/Logging_0980/kartor/A 17723-2021 karta.png", "A 17723-2021")</f>
        <v/>
      </c>
      <c r="V170">
        <f>HYPERLINK("https://klasma.github.io/Logging_0980/klagomål/A 17723-2021 FSC-klagomål.docx", "A 17723-2021")</f>
        <v/>
      </c>
      <c r="W170">
        <f>HYPERLINK("https://klasma.github.io/Logging_0980/klagomålsmail/A 17723-2021 FSC-klagomål mail.docx", "A 17723-2021")</f>
        <v/>
      </c>
      <c r="X170">
        <f>HYPERLINK("https://klasma.github.io/Logging_0980/tillsyn/A 17723-2021 tillsynsbegäran.docx", "A 17723-2021")</f>
        <v/>
      </c>
      <c r="Y170">
        <f>HYPERLINK("https://klasma.github.io/Logging_0980/tillsynsmail/A 17723-2021 tillsynsbegäran mail.docx", "A 17723-2021")</f>
        <v/>
      </c>
    </row>
    <row r="171" ht="15" customHeight="1">
      <c r="A171" t="inlineStr">
        <is>
          <t>A 13939-2021</t>
        </is>
      </c>
      <c r="B171" s="1" t="n">
        <v>44277</v>
      </c>
      <c r="C171" s="1" t="n">
        <v>45974</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49847-2023</t>
        </is>
      </c>
      <c r="B172" s="1" t="n">
        <v>45212</v>
      </c>
      <c r="C172" s="1" t="n">
        <v>45974</v>
      </c>
      <c r="D172" t="inlineStr">
        <is>
          <t>GOTLANDS LÄN</t>
        </is>
      </c>
      <c r="E172" t="inlineStr">
        <is>
          <t>GOTLAND</t>
        </is>
      </c>
      <c r="G172" t="n">
        <v>35.2</v>
      </c>
      <c r="H172" t="n">
        <v>0</v>
      </c>
      <c r="I172" t="n">
        <v>0</v>
      </c>
      <c r="J172" t="n">
        <v>0</v>
      </c>
      <c r="K172" t="n">
        <v>1</v>
      </c>
      <c r="L172" t="n">
        <v>0</v>
      </c>
      <c r="M172" t="n">
        <v>0</v>
      </c>
      <c r="N172" t="n">
        <v>0</v>
      </c>
      <c r="O172" t="n">
        <v>1</v>
      </c>
      <c r="P172" t="n">
        <v>1</v>
      </c>
      <c r="Q172" t="n">
        <v>1</v>
      </c>
      <c r="R172" s="2" t="inlineStr">
        <is>
          <t>Strandviol</t>
        </is>
      </c>
      <c r="S172">
        <f>HYPERLINK("https://klasma.github.io/Logging_0980/artfynd/A 49847-2023 artfynd.xlsx", "A 49847-2023")</f>
        <v/>
      </c>
      <c r="T172">
        <f>HYPERLINK("https://klasma.github.io/Logging_0980/kartor/A 49847-2023 karta.png", "A 49847-2023")</f>
        <v/>
      </c>
      <c r="V172">
        <f>HYPERLINK("https://klasma.github.io/Logging_0980/klagomål/A 49847-2023 FSC-klagomål.docx", "A 49847-2023")</f>
        <v/>
      </c>
      <c r="W172">
        <f>HYPERLINK("https://klasma.github.io/Logging_0980/klagomålsmail/A 49847-2023 FSC-klagomål mail.docx", "A 49847-2023")</f>
        <v/>
      </c>
      <c r="X172">
        <f>HYPERLINK("https://klasma.github.io/Logging_0980/tillsyn/A 49847-2023 tillsynsbegäran.docx", "A 49847-2023")</f>
        <v/>
      </c>
      <c r="Y172">
        <f>HYPERLINK("https://klasma.github.io/Logging_0980/tillsynsmail/A 49847-2023 tillsynsbegäran mail.docx", "A 49847-2023")</f>
        <v/>
      </c>
    </row>
    <row r="173" ht="15" customHeight="1">
      <c r="A173" t="inlineStr">
        <is>
          <t>A 20429-2025</t>
        </is>
      </c>
      <c r="B173" s="1" t="n">
        <v>45775.47728009259</v>
      </c>
      <c r="C173" s="1" t="n">
        <v>45974</v>
      </c>
      <c r="D173" t="inlineStr">
        <is>
          <t>GOTLANDS LÄN</t>
        </is>
      </c>
      <c r="E173" t="inlineStr">
        <is>
          <t>GOTLAND</t>
        </is>
      </c>
      <c r="G173" t="n">
        <v>1.4</v>
      </c>
      <c r="H173" t="n">
        <v>1</v>
      </c>
      <c r="I173" t="n">
        <v>0</v>
      </c>
      <c r="J173" t="n">
        <v>0</v>
      </c>
      <c r="K173" t="n">
        <v>0</v>
      </c>
      <c r="L173" t="n">
        <v>0</v>
      </c>
      <c r="M173" t="n">
        <v>0</v>
      </c>
      <c r="N173" t="n">
        <v>0</v>
      </c>
      <c r="O173" t="n">
        <v>0</v>
      </c>
      <c r="P173" t="n">
        <v>0</v>
      </c>
      <c r="Q173" t="n">
        <v>1</v>
      </c>
      <c r="R173" s="2" t="inlineStr">
        <is>
          <t>Äkta lopplummer</t>
        </is>
      </c>
      <c r="S173">
        <f>HYPERLINK("https://klasma.github.io/Logging_0980/artfynd/A 20429-2025 artfynd.xlsx", "A 20429-2025")</f>
        <v/>
      </c>
      <c r="T173">
        <f>HYPERLINK("https://klasma.github.io/Logging_0980/kartor/A 20429-2025 karta.png", "A 20429-2025")</f>
        <v/>
      </c>
      <c r="V173">
        <f>HYPERLINK("https://klasma.github.io/Logging_0980/klagomål/A 20429-2025 FSC-klagomål.docx", "A 20429-2025")</f>
        <v/>
      </c>
      <c r="W173">
        <f>HYPERLINK("https://klasma.github.io/Logging_0980/klagomålsmail/A 20429-2025 FSC-klagomål mail.docx", "A 20429-2025")</f>
        <v/>
      </c>
      <c r="X173">
        <f>HYPERLINK("https://klasma.github.io/Logging_0980/tillsyn/A 20429-2025 tillsynsbegäran.docx", "A 20429-2025")</f>
        <v/>
      </c>
      <c r="Y173">
        <f>HYPERLINK("https://klasma.github.io/Logging_0980/tillsynsmail/A 20429-2025 tillsynsbegäran mail.docx", "A 20429-2025")</f>
        <v/>
      </c>
    </row>
    <row r="174" ht="15" customHeight="1">
      <c r="A174" t="inlineStr">
        <is>
          <t>A 2476-2025</t>
        </is>
      </c>
      <c r="B174" s="1" t="n">
        <v>45673</v>
      </c>
      <c r="C174" s="1" t="n">
        <v>45974</v>
      </c>
      <c r="D174" t="inlineStr">
        <is>
          <t>GOTLANDS LÄN</t>
        </is>
      </c>
      <c r="E174" t="inlineStr">
        <is>
          <t>GOTLAND</t>
        </is>
      </c>
      <c r="G174" t="n">
        <v>3.1</v>
      </c>
      <c r="H174" t="n">
        <v>0</v>
      </c>
      <c r="I174" t="n">
        <v>1</v>
      </c>
      <c r="J174" t="n">
        <v>0</v>
      </c>
      <c r="K174" t="n">
        <v>0</v>
      </c>
      <c r="L174" t="n">
        <v>0</v>
      </c>
      <c r="M174" t="n">
        <v>0</v>
      </c>
      <c r="N174" t="n">
        <v>0</v>
      </c>
      <c r="O174" t="n">
        <v>0</v>
      </c>
      <c r="P174" t="n">
        <v>0</v>
      </c>
      <c r="Q174" t="n">
        <v>1</v>
      </c>
      <c r="R174" s="2" t="inlineStr">
        <is>
          <t>Kryddspindling</t>
        </is>
      </c>
      <c r="S174">
        <f>HYPERLINK("https://klasma.github.io/Logging_0980/artfynd/A 2476-2025 artfynd.xlsx", "A 2476-2025")</f>
        <v/>
      </c>
      <c r="T174">
        <f>HYPERLINK("https://klasma.github.io/Logging_0980/kartor/A 2476-2025 karta.png", "A 2476-2025")</f>
        <v/>
      </c>
      <c r="V174">
        <f>HYPERLINK("https://klasma.github.io/Logging_0980/klagomål/A 2476-2025 FSC-klagomål.docx", "A 2476-2025")</f>
        <v/>
      </c>
      <c r="W174">
        <f>HYPERLINK("https://klasma.github.io/Logging_0980/klagomålsmail/A 2476-2025 FSC-klagomål mail.docx", "A 2476-2025")</f>
        <v/>
      </c>
      <c r="X174">
        <f>HYPERLINK("https://klasma.github.io/Logging_0980/tillsyn/A 2476-2025 tillsynsbegäran.docx", "A 2476-2025")</f>
        <v/>
      </c>
      <c r="Y174">
        <f>HYPERLINK("https://klasma.github.io/Logging_0980/tillsynsmail/A 2476-2025 tillsynsbegäran mail.docx", "A 2476-2025")</f>
        <v/>
      </c>
    </row>
    <row r="175" ht="15" customHeight="1">
      <c r="A175" t="inlineStr">
        <is>
          <t>A 9862-2024</t>
        </is>
      </c>
      <c r="B175" s="1" t="n">
        <v>45363</v>
      </c>
      <c r="C175" s="1" t="n">
        <v>45974</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39812-2025</t>
        </is>
      </c>
      <c r="B176" s="1" t="n">
        <v>45891</v>
      </c>
      <c r="C176" s="1" t="n">
        <v>45974</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34141-2024</t>
        </is>
      </c>
      <c r="B177" s="1" t="n">
        <v>45524.36229166666</v>
      </c>
      <c r="C177" s="1" t="n">
        <v>45974</v>
      </c>
      <c r="D177" t="inlineStr">
        <is>
          <t>GOTLANDS LÄN</t>
        </is>
      </c>
      <c r="E177" t="inlineStr">
        <is>
          <t>GOTLAND</t>
        </is>
      </c>
      <c r="G177" t="n">
        <v>0.9</v>
      </c>
      <c r="H177" t="n">
        <v>0</v>
      </c>
      <c r="I177" t="n">
        <v>1</v>
      </c>
      <c r="J177" t="n">
        <v>0</v>
      </c>
      <c r="K177" t="n">
        <v>0</v>
      </c>
      <c r="L177" t="n">
        <v>0</v>
      </c>
      <c r="M177" t="n">
        <v>0</v>
      </c>
      <c r="N177" t="n">
        <v>0</v>
      </c>
      <c r="O177" t="n">
        <v>0</v>
      </c>
      <c r="P177" t="n">
        <v>0</v>
      </c>
      <c r="Q177" t="n">
        <v>1</v>
      </c>
      <c r="R177" s="2" t="inlineStr">
        <is>
          <t>Strävlosta</t>
        </is>
      </c>
      <c r="S177">
        <f>HYPERLINK("https://klasma.github.io/Logging_0980/artfynd/A 34141-2024 artfynd.xlsx", "A 34141-2024")</f>
        <v/>
      </c>
      <c r="T177">
        <f>HYPERLINK("https://klasma.github.io/Logging_0980/kartor/A 34141-2024 karta.png", "A 34141-2024")</f>
        <v/>
      </c>
      <c r="V177">
        <f>HYPERLINK("https://klasma.github.io/Logging_0980/klagomål/A 34141-2024 FSC-klagomål.docx", "A 34141-2024")</f>
        <v/>
      </c>
      <c r="W177">
        <f>HYPERLINK("https://klasma.github.io/Logging_0980/klagomålsmail/A 34141-2024 FSC-klagomål mail.docx", "A 34141-2024")</f>
        <v/>
      </c>
      <c r="X177">
        <f>HYPERLINK("https://klasma.github.io/Logging_0980/tillsyn/A 34141-2024 tillsynsbegäran.docx", "A 34141-2024")</f>
        <v/>
      </c>
      <c r="Y177">
        <f>HYPERLINK("https://klasma.github.io/Logging_0980/tillsynsmail/A 34141-2024 tillsynsbegäran mail.docx", "A 34141-2024")</f>
        <v/>
      </c>
    </row>
    <row r="178" ht="15" customHeight="1">
      <c r="A178" t="inlineStr">
        <is>
          <t>A 447-2023</t>
        </is>
      </c>
      <c r="B178" s="1" t="n">
        <v>44929</v>
      </c>
      <c r="C178" s="1" t="n">
        <v>45974</v>
      </c>
      <c r="D178" t="inlineStr">
        <is>
          <t>GOTLANDS LÄN</t>
        </is>
      </c>
      <c r="E178" t="inlineStr">
        <is>
          <t>GOTLAND</t>
        </is>
      </c>
      <c r="G178" t="n">
        <v>5.1</v>
      </c>
      <c r="H178" t="n">
        <v>0</v>
      </c>
      <c r="I178" t="n">
        <v>0</v>
      </c>
      <c r="J178" t="n">
        <v>1</v>
      </c>
      <c r="K178" t="n">
        <v>0</v>
      </c>
      <c r="L178" t="n">
        <v>0</v>
      </c>
      <c r="M178" t="n">
        <v>0</v>
      </c>
      <c r="N178" t="n">
        <v>0</v>
      </c>
      <c r="O178" t="n">
        <v>1</v>
      </c>
      <c r="P178" t="n">
        <v>0</v>
      </c>
      <c r="Q178" t="n">
        <v>1</v>
      </c>
      <c r="R178" s="2" t="inlineStr">
        <is>
          <t>Äggspindling</t>
        </is>
      </c>
      <c r="S178">
        <f>HYPERLINK("https://klasma.github.io/Logging_0980/artfynd/A 447-2023 artfynd.xlsx", "A 447-2023")</f>
        <v/>
      </c>
      <c r="T178">
        <f>HYPERLINK("https://klasma.github.io/Logging_0980/kartor/A 447-2023 karta.png", "A 447-2023")</f>
        <v/>
      </c>
      <c r="V178">
        <f>HYPERLINK("https://klasma.github.io/Logging_0980/klagomål/A 447-2023 FSC-klagomål.docx", "A 447-2023")</f>
        <v/>
      </c>
      <c r="W178">
        <f>HYPERLINK("https://klasma.github.io/Logging_0980/klagomålsmail/A 447-2023 FSC-klagomål mail.docx", "A 447-2023")</f>
        <v/>
      </c>
      <c r="X178">
        <f>HYPERLINK("https://klasma.github.io/Logging_0980/tillsyn/A 447-2023 tillsynsbegäran.docx", "A 447-2023")</f>
        <v/>
      </c>
      <c r="Y178">
        <f>HYPERLINK("https://klasma.github.io/Logging_0980/tillsynsmail/A 447-2023 tillsynsbegäran mail.docx", "A 447-2023")</f>
        <v/>
      </c>
    </row>
    <row r="179" ht="15" customHeight="1">
      <c r="A179" t="inlineStr">
        <is>
          <t>A 49726-2025</t>
        </is>
      </c>
      <c r="B179" s="1" t="n">
        <v>45939.84466435185</v>
      </c>
      <c r="C179" s="1" t="n">
        <v>45974</v>
      </c>
      <c r="D179" t="inlineStr">
        <is>
          <t>GOTLANDS LÄN</t>
        </is>
      </c>
      <c r="E179" t="inlineStr">
        <is>
          <t>GOTLAND</t>
        </is>
      </c>
      <c r="F179" t="inlineStr">
        <is>
          <t>Kyrkan</t>
        </is>
      </c>
      <c r="G179" t="n">
        <v>5.4</v>
      </c>
      <c r="H179" t="n">
        <v>0</v>
      </c>
      <c r="I179" t="n">
        <v>0</v>
      </c>
      <c r="J179" t="n">
        <v>1</v>
      </c>
      <c r="K179" t="n">
        <v>0</v>
      </c>
      <c r="L179" t="n">
        <v>0</v>
      </c>
      <c r="M179" t="n">
        <v>0</v>
      </c>
      <c r="N179" t="n">
        <v>0</v>
      </c>
      <c r="O179" t="n">
        <v>1</v>
      </c>
      <c r="P179" t="n">
        <v>0</v>
      </c>
      <c r="Q179" t="n">
        <v>1</v>
      </c>
      <c r="R179" s="2" t="inlineStr">
        <is>
          <t>Odörspindling</t>
        </is>
      </c>
      <c r="S179">
        <f>HYPERLINK("https://klasma.github.io/Logging_0980/artfynd/A 49726-2025 artfynd.xlsx", "A 49726-2025")</f>
        <v/>
      </c>
      <c r="T179">
        <f>HYPERLINK("https://klasma.github.io/Logging_0980/kartor/A 49726-2025 karta.png", "A 49726-2025")</f>
        <v/>
      </c>
      <c r="V179">
        <f>HYPERLINK("https://klasma.github.io/Logging_0980/klagomål/A 49726-2025 FSC-klagomål.docx", "A 49726-2025")</f>
        <v/>
      </c>
      <c r="W179">
        <f>HYPERLINK("https://klasma.github.io/Logging_0980/klagomålsmail/A 49726-2025 FSC-klagomål mail.docx", "A 49726-2025")</f>
        <v/>
      </c>
      <c r="X179">
        <f>HYPERLINK("https://klasma.github.io/Logging_0980/tillsyn/A 49726-2025 tillsynsbegäran.docx", "A 49726-2025")</f>
        <v/>
      </c>
      <c r="Y179">
        <f>HYPERLINK("https://klasma.github.io/Logging_0980/tillsynsmail/A 49726-2025 tillsynsbegäran mail.docx", "A 49726-2025")</f>
        <v/>
      </c>
    </row>
    <row r="180" ht="15" customHeight="1">
      <c r="A180" t="inlineStr">
        <is>
          <t>A 34809-2024</t>
        </is>
      </c>
      <c r="B180" s="1" t="n">
        <v>45526</v>
      </c>
      <c r="C180" s="1" t="n">
        <v>45974</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12924-2025</t>
        </is>
      </c>
      <c r="B181" s="1" t="n">
        <v>45734</v>
      </c>
      <c r="C181" s="1" t="n">
        <v>45974</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49304-2024</t>
        </is>
      </c>
      <c r="B182" s="1" t="n">
        <v>45595.54996527778</v>
      </c>
      <c r="C182" s="1" t="n">
        <v>45974</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22782-2023</t>
        </is>
      </c>
      <c r="B183" s="1" t="n">
        <v>45072</v>
      </c>
      <c r="C183" s="1" t="n">
        <v>45974</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44088-2022</t>
        </is>
      </c>
      <c r="B184" s="1" t="n">
        <v>44839</v>
      </c>
      <c r="C184" s="1" t="n">
        <v>45974</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Strävlosta</t>
        </is>
      </c>
      <c r="S184">
        <f>HYPERLINK("https://klasma.github.io/Logging_0980/artfynd/A 44088-2022 artfynd.xlsx", "A 44088-2022")</f>
        <v/>
      </c>
      <c r="T184">
        <f>HYPERLINK("https://klasma.github.io/Logging_0980/kartor/A 44088-2022 karta.png", "A 44088-2022")</f>
        <v/>
      </c>
      <c r="V184">
        <f>HYPERLINK("https://klasma.github.io/Logging_0980/klagomål/A 44088-2022 FSC-klagomål.docx", "A 44088-2022")</f>
        <v/>
      </c>
      <c r="W184">
        <f>HYPERLINK("https://klasma.github.io/Logging_0980/klagomålsmail/A 44088-2022 FSC-klagomål mail.docx", "A 44088-2022")</f>
        <v/>
      </c>
      <c r="X184">
        <f>HYPERLINK("https://klasma.github.io/Logging_0980/tillsyn/A 44088-2022 tillsynsbegäran.docx", "A 44088-2022")</f>
        <v/>
      </c>
      <c r="Y184">
        <f>HYPERLINK("https://klasma.github.io/Logging_0980/tillsynsmail/A 44088-2022 tillsynsbegäran mail.docx", "A 44088-2022")</f>
        <v/>
      </c>
    </row>
    <row r="185" ht="15" customHeight="1">
      <c r="A185" t="inlineStr">
        <is>
          <t>A 35467-2021</t>
        </is>
      </c>
      <c r="B185" s="1" t="n">
        <v>44385</v>
      </c>
      <c r="C185" s="1" t="n">
        <v>45974</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44619-2025</t>
        </is>
      </c>
      <c r="B186" s="1" t="n">
        <v>45917</v>
      </c>
      <c r="C186" s="1" t="n">
        <v>45974</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Ögonpyrola</t>
        </is>
      </c>
      <c r="S186">
        <f>HYPERLINK("https://klasma.github.io/Logging_0980/artfynd/A 44619-2025 artfynd.xlsx", "A 44619-2025")</f>
        <v/>
      </c>
      <c r="T186">
        <f>HYPERLINK("https://klasma.github.io/Logging_0980/kartor/A 44619-2025 karta.png", "A 44619-2025")</f>
        <v/>
      </c>
      <c r="V186">
        <f>HYPERLINK("https://klasma.github.io/Logging_0980/klagomål/A 44619-2025 FSC-klagomål.docx", "A 44619-2025")</f>
        <v/>
      </c>
      <c r="W186">
        <f>HYPERLINK("https://klasma.github.io/Logging_0980/klagomålsmail/A 44619-2025 FSC-klagomål mail.docx", "A 44619-2025")</f>
        <v/>
      </c>
      <c r="X186">
        <f>HYPERLINK("https://klasma.github.io/Logging_0980/tillsyn/A 44619-2025 tillsynsbegäran.docx", "A 44619-2025")</f>
        <v/>
      </c>
      <c r="Y186">
        <f>HYPERLINK("https://klasma.github.io/Logging_0980/tillsynsmail/A 44619-2025 tillsynsbegäran mail.docx", "A 44619-2025")</f>
        <v/>
      </c>
    </row>
    <row r="187" ht="15" customHeight="1">
      <c r="A187" t="inlineStr">
        <is>
          <t>A 1477-2024</t>
        </is>
      </c>
      <c r="B187" s="1" t="n">
        <v>45305.37987268518</v>
      </c>
      <c r="C187" s="1" t="n">
        <v>45974</v>
      </c>
      <c r="D187" t="inlineStr">
        <is>
          <t>GOTLANDS LÄN</t>
        </is>
      </c>
      <c r="E187" t="inlineStr">
        <is>
          <t>GOTLAND</t>
        </is>
      </c>
      <c r="G187" t="n">
        <v>6.9</v>
      </c>
      <c r="H187" t="n">
        <v>0</v>
      </c>
      <c r="I187" t="n">
        <v>0</v>
      </c>
      <c r="J187" t="n">
        <v>1</v>
      </c>
      <c r="K187" t="n">
        <v>0</v>
      </c>
      <c r="L187" t="n">
        <v>0</v>
      </c>
      <c r="M187" t="n">
        <v>0</v>
      </c>
      <c r="N187" t="n">
        <v>0</v>
      </c>
      <c r="O187" t="n">
        <v>1</v>
      </c>
      <c r="P187" t="n">
        <v>0</v>
      </c>
      <c r="Q187" t="n">
        <v>1</v>
      </c>
      <c r="R187" s="2" t="inlineStr">
        <is>
          <t>Igelkott</t>
        </is>
      </c>
      <c r="S187">
        <f>HYPERLINK("https://klasma.github.io/Logging_0980/artfynd/A 1477-2024 artfynd.xlsx", "A 1477-2024")</f>
        <v/>
      </c>
      <c r="T187">
        <f>HYPERLINK("https://klasma.github.io/Logging_0980/kartor/A 1477-2024 karta.png", "A 1477-2024")</f>
        <v/>
      </c>
      <c r="V187">
        <f>HYPERLINK("https://klasma.github.io/Logging_0980/klagomål/A 1477-2024 FSC-klagomål.docx", "A 1477-2024")</f>
        <v/>
      </c>
      <c r="W187">
        <f>HYPERLINK("https://klasma.github.io/Logging_0980/klagomålsmail/A 1477-2024 FSC-klagomål mail.docx", "A 1477-2024")</f>
        <v/>
      </c>
      <c r="X187">
        <f>HYPERLINK("https://klasma.github.io/Logging_0980/tillsyn/A 1477-2024 tillsynsbegäran.docx", "A 1477-2024")</f>
        <v/>
      </c>
      <c r="Y187">
        <f>HYPERLINK("https://klasma.github.io/Logging_0980/tillsynsmail/A 1477-2024 tillsynsbegäran mail.docx", "A 1477-2024")</f>
        <v/>
      </c>
    </row>
    <row r="188" ht="15" customHeight="1">
      <c r="A188" t="inlineStr">
        <is>
          <t>A 19901-2021</t>
        </is>
      </c>
      <c r="B188" s="1" t="n">
        <v>44312</v>
      </c>
      <c r="C188" s="1" t="n">
        <v>45974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45974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45974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45974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45974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45974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45974</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45974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45974</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45974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45974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45974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45974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45974</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45974</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45974</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45974</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45974</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45974</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45974</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45974</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45974</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45974</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45974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45974</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45974</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45974</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44207-2022</t>
        </is>
      </c>
      <c r="B217" s="1" t="n">
        <v>44839</v>
      </c>
      <c r="C217" s="1" t="n">
        <v>45974</v>
      </c>
      <c r="D217" t="inlineStr">
        <is>
          <t>GOTLANDS LÄN</t>
        </is>
      </c>
      <c r="E217" t="inlineStr">
        <is>
          <t>GOTLAND</t>
        </is>
      </c>
      <c r="G217" t="n">
        <v>3.8</v>
      </c>
      <c r="H217" t="n">
        <v>0</v>
      </c>
      <c r="I217" t="n">
        <v>0</v>
      </c>
      <c r="J217" t="n">
        <v>0</v>
      </c>
      <c r="K217" t="n">
        <v>0</v>
      </c>
      <c r="L217" t="n">
        <v>0</v>
      </c>
      <c r="M217" t="n">
        <v>0</v>
      </c>
      <c r="N217" t="n">
        <v>0</v>
      </c>
      <c r="O217" t="n">
        <v>0</v>
      </c>
      <c r="P217" t="n">
        <v>0</v>
      </c>
      <c r="Q217" t="n">
        <v>0</v>
      </c>
      <c r="R217" s="2" t="inlineStr"/>
    </row>
    <row r="218" ht="15" customHeight="1">
      <c r="A218" t="inlineStr">
        <is>
          <t>A 19447-2021</t>
        </is>
      </c>
      <c r="B218" s="1" t="n">
        <v>44310.72780092592</v>
      </c>
      <c r="C218" s="1" t="n">
        <v>45974</v>
      </c>
      <c r="D218" t="inlineStr">
        <is>
          <t>GOTLANDS LÄN</t>
        </is>
      </c>
      <c r="E218" t="inlineStr">
        <is>
          <t>GOTLAND</t>
        </is>
      </c>
      <c r="G218" t="n">
        <v>0.4</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45974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32691-2021</t>
        </is>
      </c>
      <c r="B220" s="1" t="n">
        <v>44375</v>
      </c>
      <c r="C220" s="1" t="n">
        <v>45974</v>
      </c>
      <c r="D220" t="inlineStr">
        <is>
          <t>GOTLANDS LÄN</t>
        </is>
      </c>
      <c r="E220" t="inlineStr">
        <is>
          <t>GOTLAND</t>
        </is>
      </c>
      <c r="G220" t="n">
        <v>0.8</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45974</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45974</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45974</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11029-2022</t>
        </is>
      </c>
      <c r="B224" s="1" t="n">
        <v>44628</v>
      </c>
      <c r="C224" s="1" t="n">
        <v>45974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45974</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45974</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58224-2021</t>
        </is>
      </c>
      <c r="B227" s="1" t="n">
        <v>44487</v>
      </c>
      <c r="C227" s="1" t="n">
        <v>45974</v>
      </c>
      <c r="D227" t="inlineStr">
        <is>
          <t>GOTLANDS LÄN</t>
        </is>
      </c>
      <c r="E227" t="inlineStr">
        <is>
          <t>GOTLAND</t>
        </is>
      </c>
      <c r="G227" t="n">
        <v>1.4</v>
      </c>
      <c r="H227" t="n">
        <v>0</v>
      </c>
      <c r="I227" t="n">
        <v>0</v>
      </c>
      <c r="J227" t="n">
        <v>0</v>
      </c>
      <c r="K227" t="n">
        <v>0</v>
      </c>
      <c r="L227" t="n">
        <v>0</v>
      </c>
      <c r="M227" t="n">
        <v>0</v>
      </c>
      <c r="N227" t="n">
        <v>0</v>
      </c>
      <c r="O227" t="n">
        <v>0</v>
      </c>
      <c r="P227" t="n">
        <v>0</v>
      </c>
      <c r="Q227" t="n">
        <v>0</v>
      </c>
      <c r="R227" s="2" t="inlineStr"/>
    </row>
    <row r="228" ht="15" customHeight="1">
      <c r="A228" t="inlineStr">
        <is>
          <t>A 44942-2022</t>
        </is>
      </c>
      <c r="B228" s="1" t="n">
        <v>44841</v>
      </c>
      <c r="C228" s="1" t="n">
        <v>45974</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58815-2021</t>
        </is>
      </c>
      <c r="B229" s="1" t="n">
        <v>44489</v>
      </c>
      <c r="C229" s="1" t="n">
        <v>45974</v>
      </c>
      <c r="D229" t="inlineStr">
        <is>
          <t>GOTLANDS LÄN</t>
        </is>
      </c>
      <c r="E229" t="inlineStr">
        <is>
          <t>GOTLAND</t>
        </is>
      </c>
      <c r="G229" t="n">
        <v>4.1</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45974</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22155-2021</t>
        </is>
      </c>
      <c r="B231" s="1" t="n">
        <v>44325.49369212963</v>
      </c>
      <c r="C231" s="1" t="n">
        <v>45974</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45974</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45974</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45974</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45974</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45974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45974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27694-2024</t>
        </is>
      </c>
      <c r="B238" s="1" t="n">
        <v>45475</v>
      </c>
      <c r="C238" s="1" t="n">
        <v>45974</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39764-2022</t>
        </is>
      </c>
      <c r="B239" s="1" t="n">
        <v>44819</v>
      </c>
      <c r="C239" s="1" t="n">
        <v>45974</v>
      </c>
      <c r="D239" t="inlineStr">
        <is>
          <t>GOTLANDS LÄN</t>
        </is>
      </c>
      <c r="E239" t="inlineStr">
        <is>
          <t>GOTLAND</t>
        </is>
      </c>
      <c r="F239" t="inlineStr">
        <is>
          <t>Kyrkan</t>
        </is>
      </c>
      <c r="G239" t="n">
        <v>3.7</v>
      </c>
      <c r="H239" t="n">
        <v>0</v>
      </c>
      <c r="I239" t="n">
        <v>0</v>
      </c>
      <c r="J239" t="n">
        <v>0</v>
      </c>
      <c r="K239" t="n">
        <v>0</v>
      </c>
      <c r="L239" t="n">
        <v>0</v>
      </c>
      <c r="M239" t="n">
        <v>0</v>
      </c>
      <c r="N239" t="n">
        <v>0</v>
      </c>
      <c r="O239" t="n">
        <v>0</v>
      </c>
      <c r="P239" t="n">
        <v>0</v>
      </c>
      <c r="Q239" t="n">
        <v>0</v>
      </c>
      <c r="R239" s="2" t="inlineStr"/>
    </row>
    <row r="240" ht="15" customHeight="1">
      <c r="A240" t="inlineStr">
        <is>
          <t>A 6099-2024</t>
        </is>
      </c>
      <c r="B240" s="1" t="n">
        <v>45337</v>
      </c>
      <c r="C240" s="1" t="n">
        <v>45974</v>
      </c>
      <c r="D240" t="inlineStr">
        <is>
          <t>GOTLANDS LÄN</t>
        </is>
      </c>
      <c r="E240" t="inlineStr">
        <is>
          <t>GOTLAND</t>
        </is>
      </c>
      <c r="G240" t="n">
        <v>12.6</v>
      </c>
      <c r="H240" t="n">
        <v>0</v>
      </c>
      <c r="I240" t="n">
        <v>0</v>
      </c>
      <c r="J240" t="n">
        <v>0</v>
      </c>
      <c r="K240" t="n">
        <v>0</v>
      </c>
      <c r="L240" t="n">
        <v>0</v>
      </c>
      <c r="M240" t="n">
        <v>0</v>
      </c>
      <c r="N240" t="n">
        <v>0</v>
      </c>
      <c r="O240" t="n">
        <v>0</v>
      </c>
      <c r="P240" t="n">
        <v>0</v>
      </c>
      <c r="Q240" t="n">
        <v>0</v>
      </c>
      <c r="R240" s="2" t="inlineStr"/>
    </row>
    <row r="241" ht="15" customHeight="1">
      <c r="A241" t="inlineStr">
        <is>
          <t>A 8260-2023</t>
        </is>
      </c>
      <c r="B241" s="1" t="n">
        <v>44974.61608796296</v>
      </c>
      <c r="C241" s="1" t="n">
        <v>45974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1229-2021</t>
        </is>
      </c>
      <c r="B242" s="1" t="n">
        <v>44208</v>
      </c>
      <c r="C242" s="1" t="n">
        <v>45974</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45974</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45974</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21507-2021</t>
        </is>
      </c>
      <c r="B245" s="1" t="n">
        <v>44321</v>
      </c>
      <c r="C245" s="1" t="n">
        <v>45974</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22287-2022</t>
        </is>
      </c>
      <c r="B246" s="1" t="n">
        <v>44712</v>
      </c>
      <c r="C246" s="1" t="n">
        <v>45974</v>
      </c>
      <c r="D246" t="inlineStr">
        <is>
          <t>GOTLANDS LÄN</t>
        </is>
      </c>
      <c r="E246" t="inlineStr">
        <is>
          <t>GOTLAND</t>
        </is>
      </c>
      <c r="G246" t="n">
        <v>6.1</v>
      </c>
      <c r="H246" t="n">
        <v>0</v>
      </c>
      <c r="I246" t="n">
        <v>0</v>
      </c>
      <c r="J246" t="n">
        <v>0</v>
      </c>
      <c r="K246" t="n">
        <v>0</v>
      </c>
      <c r="L246" t="n">
        <v>0</v>
      </c>
      <c r="M246" t="n">
        <v>0</v>
      </c>
      <c r="N246" t="n">
        <v>0</v>
      </c>
      <c r="O246" t="n">
        <v>0</v>
      </c>
      <c r="P246" t="n">
        <v>0</v>
      </c>
      <c r="Q246" t="n">
        <v>0</v>
      </c>
      <c r="R246" s="2" t="inlineStr"/>
    </row>
    <row r="247" ht="15" customHeight="1">
      <c r="A247" t="inlineStr">
        <is>
          <t>A 8036-2022</t>
        </is>
      </c>
      <c r="B247" s="1" t="n">
        <v>44609.44362268518</v>
      </c>
      <c r="C247" s="1" t="n">
        <v>45974</v>
      </c>
      <c r="D247" t="inlineStr">
        <is>
          <t>GOTLANDS LÄN</t>
        </is>
      </c>
      <c r="E247" t="inlineStr">
        <is>
          <t>GOTLAND</t>
        </is>
      </c>
      <c r="G247" t="n">
        <v>6.1</v>
      </c>
      <c r="H247" t="n">
        <v>0</v>
      </c>
      <c r="I247" t="n">
        <v>0</v>
      </c>
      <c r="J247" t="n">
        <v>0</v>
      </c>
      <c r="K247" t="n">
        <v>0</v>
      </c>
      <c r="L247" t="n">
        <v>0</v>
      </c>
      <c r="M247" t="n">
        <v>0</v>
      </c>
      <c r="N247" t="n">
        <v>0</v>
      </c>
      <c r="O247" t="n">
        <v>0</v>
      </c>
      <c r="P247" t="n">
        <v>0</v>
      </c>
      <c r="Q247" t="n">
        <v>0</v>
      </c>
      <c r="R247" s="2" t="inlineStr"/>
    </row>
    <row r="248" ht="15" customHeight="1">
      <c r="A248" t="inlineStr">
        <is>
          <t>A 46375-2024</t>
        </is>
      </c>
      <c r="B248" s="1" t="n">
        <v>45582</v>
      </c>
      <c r="C248" s="1" t="n">
        <v>45974</v>
      </c>
      <c r="D248" t="inlineStr">
        <is>
          <t>GOTLANDS LÄN</t>
        </is>
      </c>
      <c r="E248" t="inlineStr">
        <is>
          <t>GOTLAND</t>
        </is>
      </c>
      <c r="G248" t="n">
        <v>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45974</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57534-2022</t>
        </is>
      </c>
      <c r="B250" s="1" t="n">
        <v>44896</v>
      </c>
      <c r="C250" s="1" t="n">
        <v>45974</v>
      </c>
      <c r="D250" t="inlineStr">
        <is>
          <t>GOTLANDS LÄN</t>
        </is>
      </c>
      <c r="E250" t="inlineStr">
        <is>
          <t>GOTLAND</t>
        </is>
      </c>
      <c r="G250" t="n">
        <v>0.6</v>
      </c>
      <c r="H250" t="n">
        <v>0</v>
      </c>
      <c r="I250" t="n">
        <v>0</v>
      </c>
      <c r="J250" t="n">
        <v>0</v>
      </c>
      <c r="K250" t="n">
        <v>0</v>
      </c>
      <c r="L250" t="n">
        <v>0</v>
      </c>
      <c r="M250" t="n">
        <v>0</v>
      </c>
      <c r="N250" t="n">
        <v>0</v>
      </c>
      <c r="O250" t="n">
        <v>0</v>
      </c>
      <c r="P250" t="n">
        <v>0</v>
      </c>
      <c r="Q250" t="n">
        <v>0</v>
      </c>
      <c r="R250" s="2" t="inlineStr"/>
    </row>
    <row r="251" ht="15" customHeight="1">
      <c r="A251" t="inlineStr">
        <is>
          <t>A 7638-2025</t>
        </is>
      </c>
      <c r="B251" s="1" t="n">
        <v>45705.77306712963</v>
      </c>
      <c r="C251" s="1" t="n">
        <v>45974</v>
      </c>
      <c r="D251" t="inlineStr">
        <is>
          <t>GOTLANDS LÄN</t>
        </is>
      </c>
      <c r="E251" t="inlineStr">
        <is>
          <t>GOTLAND</t>
        </is>
      </c>
      <c r="G251" t="n">
        <v>2.2</v>
      </c>
      <c r="H251" t="n">
        <v>0</v>
      </c>
      <c r="I251" t="n">
        <v>0</v>
      </c>
      <c r="J251" t="n">
        <v>0</v>
      </c>
      <c r="K251" t="n">
        <v>0</v>
      </c>
      <c r="L251" t="n">
        <v>0</v>
      </c>
      <c r="M251" t="n">
        <v>0</v>
      </c>
      <c r="N251" t="n">
        <v>0</v>
      </c>
      <c r="O251" t="n">
        <v>0</v>
      </c>
      <c r="P251" t="n">
        <v>0</v>
      </c>
      <c r="Q251" t="n">
        <v>0</v>
      </c>
      <c r="R251" s="2" t="inlineStr"/>
    </row>
    <row r="252" ht="15" customHeight="1">
      <c r="A252" t="inlineStr">
        <is>
          <t>A 4377-2023</t>
        </is>
      </c>
      <c r="B252" s="1" t="n">
        <v>44955.5502662037</v>
      </c>
      <c r="C252" s="1" t="n">
        <v>45974</v>
      </c>
      <c r="D252" t="inlineStr">
        <is>
          <t>GOTLANDS LÄN</t>
        </is>
      </c>
      <c r="E252" t="inlineStr">
        <is>
          <t>GOTLAND</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57219-2021</t>
        </is>
      </c>
      <c r="B253" s="1" t="n">
        <v>44483</v>
      </c>
      <c r="C253" s="1" t="n">
        <v>45974</v>
      </c>
      <c r="D253" t="inlineStr">
        <is>
          <t>GOTLANDS LÄN</t>
        </is>
      </c>
      <c r="E253" t="inlineStr">
        <is>
          <t>GOTLAND</t>
        </is>
      </c>
      <c r="F253" t="inlineStr">
        <is>
          <t>Kyrkan</t>
        </is>
      </c>
      <c r="G253" t="n">
        <v>4</v>
      </c>
      <c r="H253" t="n">
        <v>0</v>
      </c>
      <c r="I253" t="n">
        <v>0</v>
      </c>
      <c r="J253" t="n">
        <v>0</v>
      </c>
      <c r="K253" t="n">
        <v>0</v>
      </c>
      <c r="L253" t="n">
        <v>0</v>
      </c>
      <c r="M253" t="n">
        <v>0</v>
      </c>
      <c r="N253" t="n">
        <v>0</v>
      </c>
      <c r="O253" t="n">
        <v>0</v>
      </c>
      <c r="P253" t="n">
        <v>0</v>
      </c>
      <c r="Q253" t="n">
        <v>0</v>
      </c>
      <c r="R253" s="2" t="inlineStr"/>
    </row>
    <row r="254" ht="15" customHeight="1">
      <c r="A254" t="inlineStr">
        <is>
          <t>A 43901-2023</t>
        </is>
      </c>
      <c r="B254" s="1" t="n">
        <v>45187</v>
      </c>
      <c r="C254" s="1" t="n">
        <v>45974</v>
      </c>
      <c r="D254" t="inlineStr">
        <is>
          <t>GOTLANDS LÄN</t>
        </is>
      </c>
      <c r="E254" t="inlineStr">
        <is>
          <t>GOTLAND</t>
        </is>
      </c>
      <c r="G254" t="n">
        <v>5.4</v>
      </c>
      <c r="H254" t="n">
        <v>0</v>
      </c>
      <c r="I254" t="n">
        <v>0</v>
      </c>
      <c r="J254" t="n">
        <v>0</v>
      </c>
      <c r="K254" t="n">
        <v>0</v>
      </c>
      <c r="L254" t="n">
        <v>0</v>
      </c>
      <c r="M254" t="n">
        <v>0</v>
      </c>
      <c r="N254" t="n">
        <v>0</v>
      </c>
      <c r="O254" t="n">
        <v>0</v>
      </c>
      <c r="P254" t="n">
        <v>0</v>
      </c>
      <c r="Q254" t="n">
        <v>0</v>
      </c>
      <c r="R254" s="2" t="inlineStr"/>
    </row>
    <row r="255" ht="15" customHeight="1">
      <c r="A255" t="inlineStr">
        <is>
          <t>A 17532-2024</t>
        </is>
      </c>
      <c r="B255" s="1" t="n">
        <v>45415</v>
      </c>
      <c r="C255" s="1" t="n">
        <v>45974</v>
      </c>
      <c r="D255" t="inlineStr">
        <is>
          <t>GOTLANDS LÄN</t>
        </is>
      </c>
      <c r="E255" t="inlineStr">
        <is>
          <t>GOTLAND</t>
        </is>
      </c>
      <c r="G255" t="n">
        <v>4.3</v>
      </c>
      <c r="H255" t="n">
        <v>0</v>
      </c>
      <c r="I255" t="n">
        <v>0</v>
      </c>
      <c r="J255" t="n">
        <v>0</v>
      </c>
      <c r="K255" t="n">
        <v>0</v>
      </c>
      <c r="L255" t="n">
        <v>0</v>
      </c>
      <c r="M255" t="n">
        <v>0</v>
      </c>
      <c r="N255" t="n">
        <v>0</v>
      </c>
      <c r="O255" t="n">
        <v>0</v>
      </c>
      <c r="P255" t="n">
        <v>0</v>
      </c>
      <c r="Q255" t="n">
        <v>0</v>
      </c>
      <c r="R255" s="2" t="inlineStr"/>
    </row>
    <row r="256" ht="15" customHeight="1">
      <c r="A256" t="inlineStr">
        <is>
          <t>A 45692-2023</t>
        </is>
      </c>
      <c r="B256" s="1" t="n">
        <v>45195</v>
      </c>
      <c r="C256" s="1" t="n">
        <v>45974</v>
      </c>
      <c r="D256" t="inlineStr">
        <is>
          <t>GOTLANDS LÄN</t>
        </is>
      </c>
      <c r="E256" t="inlineStr">
        <is>
          <t>GOTLAND</t>
        </is>
      </c>
      <c r="G256" t="n">
        <v>5.3</v>
      </c>
      <c r="H256" t="n">
        <v>0</v>
      </c>
      <c r="I256" t="n">
        <v>0</v>
      </c>
      <c r="J256" t="n">
        <v>0</v>
      </c>
      <c r="K256" t="n">
        <v>0</v>
      </c>
      <c r="L256" t="n">
        <v>0</v>
      </c>
      <c r="M256" t="n">
        <v>0</v>
      </c>
      <c r="N256" t="n">
        <v>0</v>
      </c>
      <c r="O256" t="n">
        <v>0</v>
      </c>
      <c r="P256" t="n">
        <v>0</v>
      </c>
      <c r="Q256" t="n">
        <v>0</v>
      </c>
      <c r="R256" s="2" t="inlineStr"/>
    </row>
    <row r="257" ht="15" customHeight="1">
      <c r="A257" t="inlineStr">
        <is>
          <t>A 37222-2021</t>
        </is>
      </c>
      <c r="B257" s="1" t="n">
        <v>44396</v>
      </c>
      <c r="C257" s="1" t="n">
        <v>45974</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17901-2023</t>
        </is>
      </c>
      <c r="B258" s="1" t="n">
        <v>45039</v>
      </c>
      <c r="C258" s="1" t="n">
        <v>45974</v>
      </c>
      <c r="D258" t="inlineStr">
        <is>
          <t>GOTLANDS LÄN</t>
        </is>
      </c>
      <c r="E258" t="inlineStr">
        <is>
          <t>GOTLAND</t>
        </is>
      </c>
      <c r="F258" t="inlineStr">
        <is>
          <t>Kyrkan</t>
        </is>
      </c>
      <c r="G258" t="n">
        <v>0.6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45974</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58388-2022</t>
        </is>
      </c>
      <c r="B260" s="1" t="n">
        <v>44894</v>
      </c>
      <c r="C260" s="1" t="n">
        <v>45974</v>
      </c>
      <c r="D260" t="inlineStr">
        <is>
          <t>GOTLANDS LÄN</t>
        </is>
      </c>
      <c r="E260" t="inlineStr">
        <is>
          <t>GOTLAND</t>
        </is>
      </c>
      <c r="F260" t="inlineStr">
        <is>
          <t>Övriga statliga verk och myndigheter</t>
        </is>
      </c>
      <c r="G260" t="n">
        <v>3.1</v>
      </c>
      <c r="H260" t="n">
        <v>0</v>
      </c>
      <c r="I260" t="n">
        <v>0</v>
      </c>
      <c r="J260" t="n">
        <v>0</v>
      </c>
      <c r="K260" t="n">
        <v>0</v>
      </c>
      <c r="L260" t="n">
        <v>0</v>
      </c>
      <c r="M260" t="n">
        <v>0</v>
      </c>
      <c r="N260" t="n">
        <v>0</v>
      </c>
      <c r="O260" t="n">
        <v>0</v>
      </c>
      <c r="P260" t="n">
        <v>0</v>
      </c>
      <c r="Q260" t="n">
        <v>0</v>
      </c>
      <c r="R260" s="2" t="inlineStr"/>
    </row>
    <row r="261" ht="15" customHeight="1">
      <c r="A261" t="inlineStr">
        <is>
          <t>A 64660-2023</t>
        </is>
      </c>
      <c r="B261" s="1" t="n">
        <v>45281.60122685185</v>
      </c>
      <c r="C261" s="1" t="n">
        <v>45974</v>
      </c>
      <c r="D261" t="inlineStr">
        <is>
          <t>GOTLANDS LÄN</t>
        </is>
      </c>
      <c r="E261" t="inlineStr">
        <is>
          <t>GOTLAND</t>
        </is>
      </c>
      <c r="G261" t="n">
        <v>6.3</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45974</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456-2023</t>
        </is>
      </c>
      <c r="B263" s="1" t="n">
        <v>44929.87122685185</v>
      </c>
      <c r="C263" s="1" t="n">
        <v>45974</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39479-2022</t>
        </is>
      </c>
      <c r="B264" s="1" t="n">
        <v>44818</v>
      </c>
      <c r="C264" s="1" t="n">
        <v>45974</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39496-2022</t>
        </is>
      </c>
      <c r="B265" s="1" t="n">
        <v>44818</v>
      </c>
      <c r="C265" s="1" t="n">
        <v>45974</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45974</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58132-2023</t>
        </is>
      </c>
      <c r="B267" s="1" t="n">
        <v>45250</v>
      </c>
      <c r="C267" s="1" t="n">
        <v>45974</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22899-2023</t>
        </is>
      </c>
      <c r="B268" s="1" t="n">
        <v>45072</v>
      </c>
      <c r="C268" s="1" t="n">
        <v>45974</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46389-2021</t>
        </is>
      </c>
      <c r="B269" s="1" t="n">
        <v>44443</v>
      </c>
      <c r="C269" s="1" t="n">
        <v>45974</v>
      </c>
      <c r="D269" t="inlineStr">
        <is>
          <t>GOTLANDS LÄN</t>
        </is>
      </c>
      <c r="E269" t="inlineStr">
        <is>
          <t>GOTLAND</t>
        </is>
      </c>
      <c r="F269" t="inlineStr">
        <is>
          <t>Kyrkan</t>
        </is>
      </c>
      <c r="G269" t="n">
        <v>2.1</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45974</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51963-2024</t>
        </is>
      </c>
      <c r="B271" s="1" t="n">
        <v>45607.64833333333</v>
      </c>
      <c r="C271" s="1" t="n">
        <v>45974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1734-2025</t>
        </is>
      </c>
      <c r="B272" s="1" t="n">
        <v>45671.3840625</v>
      </c>
      <c r="C272" s="1" t="n">
        <v>45974</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30365-2024</t>
        </is>
      </c>
      <c r="B273" s="1" t="n">
        <v>45491.3716087963</v>
      </c>
      <c r="C273" s="1" t="n">
        <v>45974</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2674-2023</t>
        </is>
      </c>
      <c r="B274" s="1" t="n">
        <v>44944</v>
      </c>
      <c r="C274" s="1" t="n">
        <v>45974</v>
      </c>
      <c r="D274" t="inlineStr">
        <is>
          <t>GOTLANDS LÄN</t>
        </is>
      </c>
      <c r="E274" t="inlineStr">
        <is>
          <t>GOTLAND</t>
        </is>
      </c>
      <c r="G274" t="n">
        <v>2.5</v>
      </c>
      <c r="H274" t="n">
        <v>0</v>
      </c>
      <c r="I274" t="n">
        <v>0</v>
      </c>
      <c r="J274" t="n">
        <v>0</v>
      </c>
      <c r="K274" t="n">
        <v>0</v>
      </c>
      <c r="L274" t="n">
        <v>0</v>
      </c>
      <c r="M274" t="n">
        <v>0</v>
      </c>
      <c r="N274" t="n">
        <v>0</v>
      </c>
      <c r="O274" t="n">
        <v>0</v>
      </c>
      <c r="P274" t="n">
        <v>0</v>
      </c>
      <c r="Q274" t="n">
        <v>0</v>
      </c>
      <c r="R274" s="2" t="inlineStr"/>
    </row>
    <row r="275" ht="15" customHeight="1">
      <c r="A275" t="inlineStr">
        <is>
          <t>A 20855-2023</t>
        </is>
      </c>
      <c r="B275" s="1" t="n">
        <v>45058.82172453704</v>
      </c>
      <c r="C275" s="1" t="n">
        <v>45974</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44949-2023</t>
        </is>
      </c>
      <c r="B276" s="1" t="n">
        <v>45190.69520833333</v>
      </c>
      <c r="C276" s="1" t="n">
        <v>45974</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61100-2022</t>
        </is>
      </c>
      <c r="B277" s="1" t="n">
        <v>44915</v>
      </c>
      <c r="C277" s="1" t="n">
        <v>45974</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581-2023</t>
        </is>
      </c>
      <c r="B278" s="1" t="n">
        <v>44930</v>
      </c>
      <c r="C278" s="1" t="n">
        <v>45974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10655-2023</t>
        </is>
      </c>
      <c r="B279" s="1" t="n">
        <v>44988.49543981482</v>
      </c>
      <c r="C279" s="1" t="n">
        <v>45974</v>
      </c>
      <c r="D279" t="inlineStr">
        <is>
          <t>GOTLANDS LÄN</t>
        </is>
      </c>
      <c r="E279" t="inlineStr">
        <is>
          <t>GOTLAND</t>
        </is>
      </c>
      <c r="F279" t="inlineStr">
        <is>
          <t>Kyrkan</t>
        </is>
      </c>
      <c r="G279" t="n">
        <v>2</v>
      </c>
      <c r="H279" t="n">
        <v>0</v>
      </c>
      <c r="I279" t="n">
        <v>0</v>
      </c>
      <c r="J279" t="n">
        <v>0</v>
      </c>
      <c r="K279" t="n">
        <v>0</v>
      </c>
      <c r="L279" t="n">
        <v>0</v>
      </c>
      <c r="M279" t="n">
        <v>0</v>
      </c>
      <c r="N279" t="n">
        <v>0</v>
      </c>
      <c r="O279" t="n">
        <v>0</v>
      </c>
      <c r="P279" t="n">
        <v>0</v>
      </c>
      <c r="Q279" t="n">
        <v>0</v>
      </c>
      <c r="R279" s="2" t="inlineStr"/>
    </row>
    <row r="280" ht="15" customHeight="1">
      <c r="A280" t="inlineStr">
        <is>
          <t>A 58476-2022</t>
        </is>
      </c>
      <c r="B280" s="1" t="n">
        <v>44902</v>
      </c>
      <c r="C280" s="1" t="n">
        <v>45974</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60709-2023</t>
        </is>
      </c>
      <c r="B281" s="1" t="n">
        <v>45260</v>
      </c>
      <c r="C281" s="1" t="n">
        <v>45974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17682-2024</t>
        </is>
      </c>
      <c r="B282" s="1" t="n">
        <v>45418.42966435185</v>
      </c>
      <c r="C282" s="1" t="n">
        <v>45974</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1000-2024</t>
        </is>
      </c>
      <c r="B283" s="1" t="n">
        <v>45301.63371527778</v>
      </c>
      <c r="C283" s="1" t="n">
        <v>45974</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1010-2024</t>
        </is>
      </c>
      <c r="B284" s="1" t="n">
        <v>45301</v>
      </c>
      <c r="C284" s="1" t="n">
        <v>45974</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65249-2023</t>
        </is>
      </c>
      <c r="B285" s="1" t="n">
        <v>45290</v>
      </c>
      <c r="C285" s="1" t="n">
        <v>45974</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45974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61897-2024</t>
        </is>
      </c>
      <c r="B287" s="1" t="n">
        <v>45652.75685185185</v>
      </c>
      <c r="C287" s="1" t="n">
        <v>45974</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12596-2023</t>
        </is>
      </c>
      <c r="B288" s="1" t="n">
        <v>45000.43310185185</v>
      </c>
      <c r="C288" s="1" t="n">
        <v>45974</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44649-2021</t>
        </is>
      </c>
      <c r="B289" s="1" t="n">
        <v>44437</v>
      </c>
      <c r="C289" s="1" t="n">
        <v>45974</v>
      </c>
      <c r="D289" t="inlineStr">
        <is>
          <t>GOTLANDS LÄN</t>
        </is>
      </c>
      <c r="E289" t="inlineStr">
        <is>
          <t>GOTLAND</t>
        </is>
      </c>
      <c r="G289" t="n">
        <v>8.1</v>
      </c>
      <c r="H289" t="n">
        <v>0</v>
      </c>
      <c r="I289" t="n">
        <v>0</v>
      </c>
      <c r="J289" t="n">
        <v>0</v>
      </c>
      <c r="K289" t="n">
        <v>0</v>
      </c>
      <c r="L289" t="n">
        <v>0</v>
      </c>
      <c r="M289" t="n">
        <v>0</v>
      </c>
      <c r="N289" t="n">
        <v>0</v>
      </c>
      <c r="O289" t="n">
        <v>0</v>
      </c>
      <c r="P289" t="n">
        <v>0</v>
      </c>
      <c r="Q289" t="n">
        <v>0</v>
      </c>
      <c r="R289" s="2" t="inlineStr"/>
    </row>
    <row r="290" ht="15" customHeight="1">
      <c r="A290" t="inlineStr">
        <is>
          <t>A 8045-2022</t>
        </is>
      </c>
      <c r="B290" s="1" t="n">
        <v>44609</v>
      </c>
      <c r="C290" s="1" t="n">
        <v>45974</v>
      </c>
      <c r="D290" t="inlineStr">
        <is>
          <t>GOTLANDS LÄN</t>
        </is>
      </c>
      <c r="E290" t="inlineStr">
        <is>
          <t>GOTLAND</t>
        </is>
      </c>
      <c r="G290" t="n">
        <v>7</v>
      </c>
      <c r="H290" t="n">
        <v>0</v>
      </c>
      <c r="I290" t="n">
        <v>0</v>
      </c>
      <c r="J290" t="n">
        <v>0</v>
      </c>
      <c r="K290" t="n">
        <v>0</v>
      </c>
      <c r="L290" t="n">
        <v>0</v>
      </c>
      <c r="M290" t="n">
        <v>0</v>
      </c>
      <c r="N290" t="n">
        <v>0</v>
      </c>
      <c r="O290" t="n">
        <v>0</v>
      </c>
      <c r="P290" t="n">
        <v>0</v>
      </c>
      <c r="Q290" t="n">
        <v>0</v>
      </c>
      <c r="R290" s="2" t="inlineStr"/>
    </row>
    <row r="291" ht="15" customHeight="1">
      <c r="A291" t="inlineStr">
        <is>
          <t>A 63229-2021</t>
        </is>
      </c>
      <c r="B291" s="1" t="n">
        <v>44508.34518518519</v>
      </c>
      <c r="C291" s="1" t="n">
        <v>45974</v>
      </c>
      <c r="D291" t="inlineStr">
        <is>
          <t>GOTLANDS LÄN</t>
        </is>
      </c>
      <c r="E291" t="inlineStr">
        <is>
          <t>GOTLAND</t>
        </is>
      </c>
      <c r="F291" t="inlineStr">
        <is>
          <t>Kyrkan</t>
        </is>
      </c>
      <c r="G291" t="n">
        <v>3.8</v>
      </c>
      <c r="H291" t="n">
        <v>0</v>
      </c>
      <c r="I291" t="n">
        <v>0</v>
      </c>
      <c r="J291" t="n">
        <v>0</v>
      </c>
      <c r="K291" t="n">
        <v>0</v>
      </c>
      <c r="L291" t="n">
        <v>0</v>
      </c>
      <c r="M291" t="n">
        <v>0</v>
      </c>
      <c r="N291" t="n">
        <v>0</v>
      </c>
      <c r="O291" t="n">
        <v>0</v>
      </c>
      <c r="P291" t="n">
        <v>0</v>
      </c>
      <c r="Q291" t="n">
        <v>0</v>
      </c>
      <c r="R291" s="2" t="inlineStr"/>
    </row>
    <row r="292" ht="15" customHeight="1">
      <c r="A292" t="inlineStr">
        <is>
          <t>A 12032-2025</t>
        </is>
      </c>
      <c r="B292" s="1" t="n">
        <v>45728.64472222222</v>
      </c>
      <c r="C292" s="1" t="n">
        <v>45974</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8484-2025</t>
        </is>
      </c>
      <c r="B293" s="1" t="n">
        <v>45709</v>
      </c>
      <c r="C293" s="1" t="n">
        <v>45974</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61596-2023</t>
        </is>
      </c>
      <c r="B294" s="1" t="n">
        <v>45265</v>
      </c>
      <c r="C294" s="1" t="n">
        <v>45974</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873-2024</t>
        </is>
      </c>
      <c r="B295" s="1" t="n">
        <v>45301</v>
      </c>
      <c r="C295" s="1" t="n">
        <v>45974</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45974</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44228-2022</t>
        </is>
      </c>
      <c r="B297" s="1" t="n">
        <v>44839.51599537037</v>
      </c>
      <c r="C297" s="1" t="n">
        <v>45974</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61386-2023</t>
        </is>
      </c>
      <c r="B298" s="1" t="n">
        <v>45264</v>
      </c>
      <c r="C298" s="1" t="n">
        <v>45974</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999-2024</t>
        </is>
      </c>
      <c r="B299" s="1" t="n">
        <v>45301</v>
      </c>
      <c r="C299" s="1" t="n">
        <v>45974</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45974</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47762-2023</t>
        </is>
      </c>
      <c r="B301" s="1" t="n">
        <v>45203.86256944444</v>
      </c>
      <c r="C301" s="1" t="n">
        <v>45974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27593-2023</t>
        </is>
      </c>
      <c r="B302" s="1" t="n">
        <v>45097</v>
      </c>
      <c r="C302" s="1" t="n">
        <v>45974</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25129-2023</t>
        </is>
      </c>
      <c r="B303" s="1" t="n">
        <v>45086.44261574074</v>
      </c>
      <c r="C303" s="1" t="n">
        <v>45974</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40294-2022</t>
        </is>
      </c>
      <c r="B304" s="1" t="n">
        <v>44821</v>
      </c>
      <c r="C304" s="1" t="n">
        <v>45974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27602-2023</t>
        </is>
      </c>
      <c r="B305" s="1" t="n">
        <v>45097</v>
      </c>
      <c r="C305" s="1" t="n">
        <v>45974</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58780-2024</t>
        </is>
      </c>
      <c r="B306" s="1" t="n">
        <v>45635.84113425926</v>
      </c>
      <c r="C306" s="1" t="n">
        <v>45974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12322-2025</t>
        </is>
      </c>
      <c r="B307" s="1" t="n">
        <v>45730</v>
      </c>
      <c r="C307" s="1" t="n">
        <v>45974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21164-2024</t>
        </is>
      </c>
      <c r="B308" s="1" t="n">
        <v>45440</v>
      </c>
      <c r="C308" s="1" t="n">
        <v>45974</v>
      </c>
      <c r="D308" t="inlineStr">
        <is>
          <t>GOTLANDS LÄN</t>
        </is>
      </c>
      <c r="E308" t="inlineStr">
        <is>
          <t>GOTLAND</t>
        </is>
      </c>
      <c r="G308" t="n">
        <v>6.3</v>
      </c>
      <c r="H308" t="n">
        <v>0</v>
      </c>
      <c r="I308" t="n">
        <v>0</v>
      </c>
      <c r="J308" t="n">
        <v>0</v>
      </c>
      <c r="K308" t="n">
        <v>0</v>
      </c>
      <c r="L308" t="n">
        <v>0</v>
      </c>
      <c r="M308" t="n">
        <v>0</v>
      </c>
      <c r="N308" t="n">
        <v>0</v>
      </c>
      <c r="O308" t="n">
        <v>0</v>
      </c>
      <c r="P308" t="n">
        <v>0</v>
      </c>
      <c r="Q308" t="n">
        <v>0</v>
      </c>
      <c r="R308" s="2" t="inlineStr"/>
    </row>
    <row r="309" ht="15" customHeight="1">
      <c r="A309" t="inlineStr">
        <is>
          <t>A 17541-2024</t>
        </is>
      </c>
      <c r="B309" s="1" t="n">
        <v>45415</v>
      </c>
      <c r="C309" s="1" t="n">
        <v>45974</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883-2025</t>
        </is>
      </c>
      <c r="B310" s="1" t="n">
        <v>45665</v>
      </c>
      <c r="C310" s="1" t="n">
        <v>45974</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13910-2025</t>
        </is>
      </c>
      <c r="B311" s="1" t="n">
        <v>45737</v>
      </c>
      <c r="C311" s="1" t="n">
        <v>45974</v>
      </c>
      <c r="D311" t="inlineStr">
        <is>
          <t>GOTLANDS LÄN</t>
        </is>
      </c>
      <c r="E311" t="inlineStr">
        <is>
          <t>GOTLAND</t>
        </is>
      </c>
      <c r="F311" t="inlineStr">
        <is>
          <t>Kommuner</t>
        </is>
      </c>
      <c r="G311" t="n">
        <v>3.2</v>
      </c>
      <c r="H311" t="n">
        <v>0</v>
      </c>
      <c r="I311" t="n">
        <v>0</v>
      </c>
      <c r="J311" t="n">
        <v>0</v>
      </c>
      <c r="K311" t="n">
        <v>0</v>
      </c>
      <c r="L311" t="n">
        <v>0</v>
      </c>
      <c r="M311" t="n">
        <v>0</v>
      </c>
      <c r="N311" t="n">
        <v>0</v>
      </c>
      <c r="O311" t="n">
        <v>0</v>
      </c>
      <c r="P311" t="n">
        <v>0</v>
      </c>
      <c r="Q311" t="n">
        <v>0</v>
      </c>
      <c r="R311" s="2" t="inlineStr"/>
    </row>
    <row r="312" ht="15" customHeight="1">
      <c r="A312" t="inlineStr">
        <is>
          <t>A 24192-2023</t>
        </is>
      </c>
      <c r="B312" s="1" t="n">
        <v>45079</v>
      </c>
      <c r="C312" s="1" t="n">
        <v>45974</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30282-2022</t>
        </is>
      </c>
      <c r="B313" s="1" t="n">
        <v>44760</v>
      </c>
      <c r="C313" s="1" t="n">
        <v>45974</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20794-2025</t>
        </is>
      </c>
      <c r="B314" s="1" t="n">
        <v>45776</v>
      </c>
      <c r="C314" s="1" t="n">
        <v>45974</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7835-2024</t>
        </is>
      </c>
      <c r="B315" s="1" t="n">
        <v>45349.83138888889</v>
      </c>
      <c r="C315" s="1" t="n">
        <v>45974</v>
      </c>
      <c r="D315" t="inlineStr">
        <is>
          <t>GOTLANDS LÄN</t>
        </is>
      </c>
      <c r="E315" t="inlineStr">
        <is>
          <t>GOTLAND</t>
        </is>
      </c>
      <c r="G315" t="n">
        <v>3.8</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45974</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20805-2025</t>
        </is>
      </c>
      <c r="B317" s="1" t="n">
        <v>45776</v>
      </c>
      <c r="C317" s="1" t="n">
        <v>45974</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21389-2025</t>
        </is>
      </c>
      <c r="B318" s="1" t="n">
        <v>45782</v>
      </c>
      <c r="C318" s="1" t="n">
        <v>45974</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26810-2021</t>
        </is>
      </c>
      <c r="B319" s="1" t="n">
        <v>44349.55087962963</v>
      </c>
      <c r="C319" s="1" t="n">
        <v>45974</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56009-2024</t>
        </is>
      </c>
      <c r="B320" s="1" t="n">
        <v>45623.80864583333</v>
      </c>
      <c r="C320" s="1" t="n">
        <v>45974</v>
      </c>
      <c r="D320" t="inlineStr">
        <is>
          <t>GOTLANDS LÄN</t>
        </is>
      </c>
      <c r="E320" t="inlineStr">
        <is>
          <t>GOTLAND</t>
        </is>
      </c>
      <c r="G320" t="n">
        <v>2.8</v>
      </c>
      <c r="H320" t="n">
        <v>0</v>
      </c>
      <c r="I320" t="n">
        <v>0</v>
      </c>
      <c r="J320" t="n">
        <v>0</v>
      </c>
      <c r="K320" t="n">
        <v>0</v>
      </c>
      <c r="L320" t="n">
        <v>0</v>
      </c>
      <c r="M320" t="n">
        <v>0</v>
      </c>
      <c r="N320" t="n">
        <v>0</v>
      </c>
      <c r="O320" t="n">
        <v>0</v>
      </c>
      <c r="P320" t="n">
        <v>0</v>
      </c>
      <c r="Q320" t="n">
        <v>0</v>
      </c>
      <c r="R320" s="2" t="inlineStr"/>
    </row>
    <row r="321" ht="15" customHeight="1">
      <c r="A321" t="inlineStr">
        <is>
          <t>A 54073-2022</t>
        </is>
      </c>
      <c r="B321" s="1" t="n">
        <v>44881.50380787037</v>
      </c>
      <c r="C321" s="1" t="n">
        <v>45974</v>
      </c>
      <c r="D321" t="inlineStr">
        <is>
          <t>GOTLANDS LÄN</t>
        </is>
      </c>
      <c r="E321" t="inlineStr">
        <is>
          <t>GOTLAND</t>
        </is>
      </c>
      <c r="G321" t="n">
        <v>3.8</v>
      </c>
      <c r="H321" t="n">
        <v>0</v>
      </c>
      <c r="I321" t="n">
        <v>0</v>
      </c>
      <c r="J321" t="n">
        <v>0</v>
      </c>
      <c r="K321" t="n">
        <v>0</v>
      </c>
      <c r="L321" t="n">
        <v>0</v>
      </c>
      <c r="M321" t="n">
        <v>0</v>
      </c>
      <c r="N321" t="n">
        <v>0</v>
      </c>
      <c r="O321" t="n">
        <v>0</v>
      </c>
      <c r="P321" t="n">
        <v>0</v>
      </c>
      <c r="Q321" t="n">
        <v>0</v>
      </c>
      <c r="R321" s="2" t="inlineStr"/>
    </row>
    <row r="322" ht="15" customHeight="1">
      <c r="A322" t="inlineStr">
        <is>
          <t>A 28425-2023</t>
        </is>
      </c>
      <c r="B322" s="1" t="n">
        <v>45102</v>
      </c>
      <c r="C322" s="1" t="n">
        <v>45974</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21651-2025</t>
        </is>
      </c>
      <c r="B323" s="1" t="n">
        <v>45783</v>
      </c>
      <c r="C323" s="1" t="n">
        <v>45974</v>
      </c>
      <c r="D323" t="inlineStr">
        <is>
          <t>GOTLANDS LÄN</t>
        </is>
      </c>
      <c r="E323" t="inlineStr">
        <is>
          <t>GOTLAND</t>
        </is>
      </c>
      <c r="G323" t="n">
        <v>4.2</v>
      </c>
      <c r="H323" t="n">
        <v>0</v>
      </c>
      <c r="I323" t="n">
        <v>0</v>
      </c>
      <c r="J323" t="n">
        <v>0</v>
      </c>
      <c r="K323" t="n">
        <v>0</v>
      </c>
      <c r="L323" t="n">
        <v>0</v>
      </c>
      <c r="M323" t="n">
        <v>0</v>
      </c>
      <c r="N323" t="n">
        <v>0</v>
      </c>
      <c r="O323" t="n">
        <v>0</v>
      </c>
      <c r="P323" t="n">
        <v>0</v>
      </c>
      <c r="Q323" t="n">
        <v>0</v>
      </c>
      <c r="R323" s="2" t="inlineStr"/>
    </row>
    <row r="324" ht="15" customHeight="1">
      <c r="A324" t="inlineStr">
        <is>
          <t>A 3964-2024</t>
        </is>
      </c>
      <c r="B324" s="1" t="n">
        <v>45322</v>
      </c>
      <c r="C324" s="1" t="n">
        <v>45974</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13037-2025</t>
        </is>
      </c>
      <c r="B325" s="1" t="n">
        <v>45734</v>
      </c>
      <c r="C325" s="1" t="n">
        <v>45974</v>
      </c>
      <c r="D325" t="inlineStr">
        <is>
          <t>GOTLANDS LÄN</t>
        </is>
      </c>
      <c r="E325" t="inlineStr">
        <is>
          <t>GOTLAND</t>
        </is>
      </c>
      <c r="G325" t="n">
        <v>9.5</v>
      </c>
      <c r="H325" t="n">
        <v>0</v>
      </c>
      <c r="I325" t="n">
        <v>0</v>
      </c>
      <c r="J325" t="n">
        <v>0</v>
      </c>
      <c r="K325" t="n">
        <v>0</v>
      </c>
      <c r="L325" t="n">
        <v>0</v>
      </c>
      <c r="M325" t="n">
        <v>0</v>
      </c>
      <c r="N325" t="n">
        <v>0</v>
      </c>
      <c r="O325" t="n">
        <v>0</v>
      </c>
      <c r="P325" t="n">
        <v>0</v>
      </c>
      <c r="Q325" t="n">
        <v>0</v>
      </c>
      <c r="R325" s="2" t="inlineStr"/>
    </row>
    <row r="326" ht="15" customHeight="1">
      <c r="A326" t="inlineStr">
        <is>
          <t>A 45106-2024</t>
        </is>
      </c>
      <c r="B326" s="1" t="n">
        <v>45575</v>
      </c>
      <c r="C326" s="1" t="n">
        <v>45974</v>
      </c>
      <c r="D326" t="inlineStr">
        <is>
          <t>GOTLANDS LÄN</t>
        </is>
      </c>
      <c r="E326" t="inlineStr">
        <is>
          <t>GOTLAND</t>
        </is>
      </c>
      <c r="G326" t="n">
        <v>10</v>
      </c>
      <c r="H326" t="n">
        <v>0</v>
      </c>
      <c r="I326" t="n">
        <v>0</v>
      </c>
      <c r="J326" t="n">
        <v>0</v>
      </c>
      <c r="K326" t="n">
        <v>0</v>
      </c>
      <c r="L326" t="n">
        <v>0</v>
      </c>
      <c r="M326" t="n">
        <v>0</v>
      </c>
      <c r="N326" t="n">
        <v>0</v>
      </c>
      <c r="O326" t="n">
        <v>0</v>
      </c>
      <c r="P326" t="n">
        <v>0</v>
      </c>
      <c r="Q326" t="n">
        <v>0</v>
      </c>
      <c r="R326" s="2" t="inlineStr"/>
    </row>
    <row r="327" ht="15" customHeight="1">
      <c r="A327" t="inlineStr">
        <is>
          <t>A 45112-2024</t>
        </is>
      </c>
      <c r="B327" s="1" t="n">
        <v>45575</v>
      </c>
      <c r="C327" s="1" t="n">
        <v>45974</v>
      </c>
      <c r="D327" t="inlineStr">
        <is>
          <t>GOTLANDS LÄN</t>
        </is>
      </c>
      <c r="E327" t="inlineStr">
        <is>
          <t>GOTLAND</t>
        </is>
      </c>
      <c r="G327" t="n">
        <v>5.1</v>
      </c>
      <c r="H327" t="n">
        <v>0</v>
      </c>
      <c r="I327" t="n">
        <v>0</v>
      </c>
      <c r="J327" t="n">
        <v>0</v>
      </c>
      <c r="K327" t="n">
        <v>0</v>
      </c>
      <c r="L327" t="n">
        <v>0</v>
      </c>
      <c r="M327" t="n">
        <v>0</v>
      </c>
      <c r="N327" t="n">
        <v>0</v>
      </c>
      <c r="O327" t="n">
        <v>0</v>
      </c>
      <c r="P327" t="n">
        <v>0</v>
      </c>
      <c r="Q327" t="n">
        <v>0</v>
      </c>
      <c r="R327" s="2" t="inlineStr"/>
    </row>
    <row r="328" ht="15" customHeight="1">
      <c r="A328" t="inlineStr">
        <is>
          <t>A 7026-2023</t>
        </is>
      </c>
      <c r="B328" s="1" t="n">
        <v>44968.30340277778</v>
      </c>
      <c r="C328" s="1" t="n">
        <v>45974</v>
      </c>
      <c r="D328" t="inlineStr">
        <is>
          <t>GOTLANDS LÄN</t>
        </is>
      </c>
      <c r="E328" t="inlineStr">
        <is>
          <t>GOTLAND</t>
        </is>
      </c>
      <c r="G328" t="n">
        <v>2.9</v>
      </c>
      <c r="H328" t="n">
        <v>0</v>
      </c>
      <c r="I328" t="n">
        <v>0</v>
      </c>
      <c r="J328" t="n">
        <v>0</v>
      </c>
      <c r="K328" t="n">
        <v>0</v>
      </c>
      <c r="L328" t="n">
        <v>0</v>
      </c>
      <c r="M328" t="n">
        <v>0</v>
      </c>
      <c r="N328" t="n">
        <v>0</v>
      </c>
      <c r="O328" t="n">
        <v>0</v>
      </c>
      <c r="P328" t="n">
        <v>0</v>
      </c>
      <c r="Q328" t="n">
        <v>0</v>
      </c>
      <c r="R328" s="2" t="inlineStr"/>
    </row>
    <row r="329" ht="15" customHeight="1">
      <c r="A329" t="inlineStr">
        <is>
          <t>A 52892-2021</t>
        </is>
      </c>
      <c r="B329" s="1" t="n">
        <v>44467.49048611111</v>
      </c>
      <c r="C329" s="1" t="n">
        <v>45974</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1351-2025</t>
        </is>
      </c>
      <c r="B330" s="1" t="n">
        <v>45667.62246527777</v>
      </c>
      <c r="C330" s="1" t="n">
        <v>45974</v>
      </c>
      <c r="D330" t="inlineStr">
        <is>
          <t>GOTLANDS LÄN</t>
        </is>
      </c>
      <c r="E330" t="inlineStr">
        <is>
          <t>GOTLAND</t>
        </is>
      </c>
      <c r="G330" t="n">
        <v>1.3</v>
      </c>
      <c r="H330" t="n">
        <v>0</v>
      </c>
      <c r="I330" t="n">
        <v>0</v>
      </c>
      <c r="J330" t="n">
        <v>0</v>
      </c>
      <c r="K330" t="n">
        <v>0</v>
      </c>
      <c r="L330" t="n">
        <v>0</v>
      </c>
      <c r="M330" t="n">
        <v>0</v>
      </c>
      <c r="N330" t="n">
        <v>0</v>
      </c>
      <c r="O330" t="n">
        <v>0</v>
      </c>
      <c r="P330" t="n">
        <v>0</v>
      </c>
      <c r="Q330" t="n">
        <v>0</v>
      </c>
      <c r="R330" s="2" t="inlineStr"/>
    </row>
    <row r="331" ht="15" customHeight="1">
      <c r="A331" t="inlineStr">
        <is>
          <t>A 49874-2024</t>
        </is>
      </c>
      <c r="B331" s="1" t="n">
        <v>45597.49274305555</v>
      </c>
      <c r="C331" s="1" t="n">
        <v>45974</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10746-2025</t>
        </is>
      </c>
      <c r="B332" s="1" t="n">
        <v>45722.42766203704</v>
      </c>
      <c r="C332" s="1" t="n">
        <v>45974</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21420-2024</t>
        </is>
      </c>
      <c r="B333" s="1" t="n">
        <v>45441.38293981482</v>
      </c>
      <c r="C333" s="1" t="n">
        <v>45974</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10656-2024</t>
        </is>
      </c>
      <c r="B334" s="1" t="n">
        <v>45368</v>
      </c>
      <c r="C334" s="1" t="n">
        <v>45974</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57356-2023</t>
        </is>
      </c>
      <c r="B335" s="1" t="n">
        <v>45240</v>
      </c>
      <c r="C335" s="1" t="n">
        <v>45974</v>
      </c>
      <c r="D335" t="inlineStr">
        <is>
          <t>GOTLANDS LÄN</t>
        </is>
      </c>
      <c r="E335" t="inlineStr">
        <is>
          <t>GOTLAND</t>
        </is>
      </c>
      <c r="G335" t="n">
        <v>6.4</v>
      </c>
      <c r="H335" t="n">
        <v>0</v>
      </c>
      <c r="I335" t="n">
        <v>0</v>
      </c>
      <c r="J335" t="n">
        <v>0</v>
      </c>
      <c r="K335" t="n">
        <v>0</v>
      </c>
      <c r="L335" t="n">
        <v>0</v>
      </c>
      <c r="M335" t="n">
        <v>0</v>
      </c>
      <c r="N335" t="n">
        <v>0</v>
      </c>
      <c r="O335" t="n">
        <v>0</v>
      </c>
      <c r="P335" t="n">
        <v>0</v>
      </c>
      <c r="Q335" t="n">
        <v>0</v>
      </c>
      <c r="R335" s="2" t="inlineStr"/>
    </row>
    <row r="336" ht="15" customHeight="1">
      <c r="A336" t="inlineStr">
        <is>
          <t>A 28506-2023</t>
        </is>
      </c>
      <c r="B336" s="1" t="n">
        <v>45103</v>
      </c>
      <c r="C336" s="1" t="n">
        <v>45974</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23188-2025</t>
        </is>
      </c>
      <c r="B337" s="1" t="n">
        <v>45791</v>
      </c>
      <c r="C337" s="1" t="n">
        <v>45974</v>
      </c>
      <c r="D337" t="inlineStr">
        <is>
          <t>GOTLANDS LÄN</t>
        </is>
      </c>
      <c r="E337" t="inlineStr">
        <is>
          <t>GOTLAND</t>
        </is>
      </c>
      <c r="G337" t="n">
        <v>6.2</v>
      </c>
      <c r="H337" t="n">
        <v>0</v>
      </c>
      <c r="I337" t="n">
        <v>0</v>
      </c>
      <c r="J337" t="n">
        <v>0</v>
      </c>
      <c r="K337" t="n">
        <v>0</v>
      </c>
      <c r="L337" t="n">
        <v>0</v>
      </c>
      <c r="M337" t="n">
        <v>0</v>
      </c>
      <c r="N337" t="n">
        <v>0</v>
      </c>
      <c r="O337" t="n">
        <v>0</v>
      </c>
      <c r="P337" t="n">
        <v>0</v>
      </c>
      <c r="Q337" t="n">
        <v>0</v>
      </c>
      <c r="R337" s="2" t="inlineStr"/>
    </row>
    <row r="338" ht="15" customHeight="1">
      <c r="A338" t="inlineStr">
        <is>
          <t>A 51782-2023</t>
        </is>
      </c>
      <c r="B338" s="1" t="n">
        <v>45222.80952546297</v>
      </c>
      <c r="C338" s="1" t="n">
        <v>45974</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60675-2021</t>
        </is>
      </c>
      <c r="B339" s="1" t="n">
        <v>44496.64855324074</v>
      </c>
      <c r="C339" s="1" t="n">
        <v>45974</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43229-2023</t>
        </is>
      </c>
      <c r="B340" s="1" t="n">
        <v>45183.46704861111</v>
      </c>
      <c r="C340" s="1" t="n">
        <v>45974</v>
      </c>
      <c r="D340" t="inlineStr">
        <is>
          <t>GOTLANDS LÄN</t>
        </is>
      </c>
      <c r="E340" t="inlineStr">
        <is>
          <t>GOTLAND</t>
        </is>
      </c>
      <c r="G340" t="n">
        <v>7.1</v>
      </c>
      <c r="H340" t="n">
        <v>0</v>
      </c>
      <c r="I340" t="n">
        <v>0</v>
      </c>
      <c r="J340" t="n">
        <v>0</v>
      </c>
      <c r="K340" t="n">
        <v>0</v>
      </c>
      <c r="L340" t="n">
        <v>0</v>
      </c>
      <c r="M340" t="n">
        <v>0</v>
      </c>
      <c r="N340" t="n">
        <v>0</v>
      </c>
      <c r="O340" t="n">
        <v>0</v>
      </c>
      <c r="P340" t="n">
        <v>0</v>
      </c>
      <c r="Q340" t="n">
        <v>0</v>
      </c>
      <c r="R340" s="2" t="inlineStr"/>
    </row>
    <row r="341" ht="15" customHeight="1">
      <c r="A341" t="inlineStr">
        <is>
          <t>A 5217-2023</t>
        </is>
      </c>
      <c r="B341" s="1" t="n">
        <v>44959.39582175926</v>
      </c>
      <c r="C341" s="1" t="n">
        <v>45974</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14638-2025</t>
        </is>
      </c>
      <c r="B342" s="1" t="n">
        <v>45742</v>
      </c>
      <c r="C342" s="1" t="n">
        <v>45974</v>
      </c>
      <c r="D342" t="inlineStr">
        <is>
          <t>GOTLANDS LÄN</t>
        </is>
      </c>
      <c r="E342" t="inlineStr">
        <is>
          <t>GOTLAND</t>
        </is>
      </c>
      <c r="G342" t="n">
        <v>13.4</v>
      </c>
      <c r="H342" t="n">
        <v>0</v>
      </c>
      <c r="I342" t="n">
        <v>0</v>
      </c>
      <c r="J342" t="n">
        <v>0</v>
      </c>
      <c r="K342" t="n">
        <v>0</v>
      </c>
      <c r="L342" t="n">
        <v>0</v>
      </c>
      <c r="M342" t="n">
        <v>0</v>
      </c>
      <c r="N342" t="n">
        <v>0</v>
      </c>
      <c r="O342" t="n">
        <v>0</v>
      </c>
      <c r="P342" t="n">
        <v>0</v>
      </c>
      <c r="Q342" t="n">
        <v>0</v>
      </c>
      <c r="R342" s="2" t="inlineStr"/>
    </row>
    <row r="343" ht="15" customHeight="1">
      <c r="A343" t="inlineStr">
        <is>
          <t>A 41038-2023</t>
        </is>
      </c>
      <c r="B343" s="1" t="n">
        <v>45173.60959490741</v>
      </c>
      <c r="C343" s="1" t="n">
        <v>45974</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23856-2025</t>
        </is>
      </c>
      <c r="B344" s="1" t="n">
        <v>45793</v>
      </c>
      <c r="C344" s="1" t="n">
        <v>45974</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49962-2023</t>
        </is>
      </c>
      <c r="B345" s="1" t="n">
        <v>45215.38775462963</v>
      </c>
      <c r="C345" s="1" t="n">
        <v>45974</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4421-2024</t>
        </is>
      </c>
      <c r="B346" s="1" t="n">
        <v>45327.45173611111</v>
      </c>
      <c r="C346" s="1" t="n">
        <v>45974</v>
      </c>
      <c r="D346" t="inlineStr">
        <is>
          <t>GOTLANDS LÄN</t>
        </is>
      </c>
      <c r="E346" t="inlineStr">
        <is>
          <t>GOTLAND</t>
        </is>
      </c>
      <c r="G346" t="n">
        <v>5.1</v>
      </c>
      <c r="H346" t="n">
        <v>0</v>
      </c>
      <c r="I346" t="n">
        <v>0</v>
      </c>
      <c r="J346" t="n">
        <v>0</v>
      </c>
      <c r="K346" t="n">
        <v>0</v>
      </c>
      <c r="L346" t="n">
        <v>0</v>
      </c>
      <c r="M346" t="n">
        <v>0</v>
      </c>
      <c r="N346" t="n">
        <v>0</v>
      </c>
      <c r="O346" t="n">
        <v>0</v>
      </c>
      <c r="P346" t="n">
        <v>0</v>
      </c>
      <c r="Q346" t="n">
        <v>0</v>
      </c>
      <c r="R346" s="2" t="inlineStr"/>
    </row>
    <row r="347" ht="15" customHeight="1">
      <c r="A347" t="inlineStr">
        <is>
          <t>A 23473-2025</t>
        </is>
      </c>
      <c r="B347" s="1" t="n">
        <v>45792</v>
      </c>
      <c r="C347" s="1" t="n">
        <v>45974</v>
      </c>
      <c r="D347" t="inlineStr">
        <is>
          <t>GOTLANDS LÄN</t>
        </is>
      </c>
      <c r="E347" t="inlineStr">
        <is>
          <t>GOTLAND</t>
        </is>
      </c>
      <c r="G347" t="n">
        <v>3.6</v>
      </c>
      <c r="H347" t="n">
        <v>0</v>
      </c>
      <c r="I347" t="n">
        <v>0</v>
      </c>
      <c r="J347" t="n">
        <v>0</v>
      </c>
      <c r="K347" t="n">
        <v>0</v>
      </c>
      <c r="L347" t="n">
        <v>0</v>
      </c>
      <c r="M347" t="n">
        <v>0</v>
      </c>
      <c r="N347" t="n">
        <v>0</v>
      </c>
      <c r="O347" t="n">
        <v>0</v>
      </c>
      <c r="P347" t="n">
        <v>0</v>
      </c>
      <c r="Q347" t="n">
        <v>0</v>
      </c>
      <c r="R347" s="2" t="inlineStr"/>
    </row>
    <row r="348" ht="15" customHeight="1">
      <c r="A348" t="inlineStr">
        <is>
          <t>A 23698-2025</t>
        </is>
      </c>
      <c r="B348" s="1" t="n">
        <v>45793</v>
      </c>
      <c r="C348" s="1" t="n">
        <v>45974</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15073-2025</t>
        </is>
      </c>
      <c r="B349" s="1" t="n">
        <v>45743</v>
      </c>
      <c r="C349" s="1" t="n">
        <v>45974</v>
      </c>
      <c r="D349" t="inlineStr">
        <is>
          <t>GOTLANDS LÄN</t>
        </is>
      </c>
      <c r="E349" t="inlineStr">
        <is>
          <t>GOTLAND</t>
        </is>
      </c>
      <c r="G349" t="n">
        <v>12.1</v>
      </c>
      <c r="H349" t="n">
        <v>0</v>
      </c>
      <c r="I349" t="n">
        <v>0</v>
      </c>
      <c r="J349" t="n">
        <v>0</v>
      </c>
      <c r="K349" t="n">
        <v>0</v>
      </c>
      <c r="L349" t="n">
        <v>0</v>
      </c>
      <c r="M349" t="n">
        <v>0</v>
      </c>
      <c r="N349" t="n">
        <v>0</v>
      </c>
      <c r="O349" t="n">
        <v>0</v>
      </c>
      <c r="P349" t="n">
        <v>0</v>
      </c>
      <c r="Q349" t="n">
        <v>0</v>
      </c>
      <c r="R349" s="2" t="inlineStr"/>
    </row>
    <row r="350" ht="15" customHeight="1">
      <c r="A350" t="inlineStr">
        <is>
          <t>A 50744-2024</t>
        </is>
      </c>
      <c r="B350" s="1" t="n">
        <v>45602.4187037037</v>
      </c>
      <c r="C350" s="1" t="n">
        <v>45974</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45974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45244-2024</t>
        </is>
      </c>
      <c r="B352" s="1" t="n">
        <v>45576</v>
      </c>
      <c r="C352" s="1" t="n">
        <v>45974</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38787-2023</t>
        </is>
      </c>
      <c r="B353" s="1" t="n">
        <v>45163</v>
      </c>
      <c r="C353" s="1" t="n">
        <v>45974</v>
      </c>
      <c r="D353" t="inlineStr">
        <is>
          <t>GOTLANDS LÄN</t>
        </is>
      </c>
      <c r="E353" t="inlineStr">
        <is>
          <t>GOTLAND</t>
        </is>
      </c>
      <c r="G353" t="n">
        <v>0.4</v>
      </c>
      <c r="H353" t="n">
        <v>0</v>
      </c>
      <c r="I353" t="n">
        <v>0</v>
      </c>
      <c r="J353" t="n">
        <v>0</v>
      </c>
      <c r="K353" t="n">
        <v>0</v>
      </c>
      <c r="L353" t="n">
        <v>0</v>
      </c>
      <c r="M353" t="n">
        <v>0</v>
      </c>
      <c r="N353" t="n">
        <v>0</v>
      </c>
      <c r="O353" t="n">
        <v>0</v>
      </c>
      <c r="P353" t="n">
        <v>0</v>
      </c>
      <c r="Q353" t="n">
        <v>0</v>
      </c>
      <c r="R353" s="2" t="inlineStr"/>
    </row>
    <row r="354" ht="15" customHeight="1">
      <c r="A354" t="inlineStr">
        <is>
          <t>A 31264-2021</t>
        </is>
      </c>
      <c r="B354" s="1" t="n">
        <v>44368</v>
      </c>
      <c r="C354" s="1" t="n">
        <v>45974</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2714-2023</t>
        </is>
      </c>
      <c r="B355" s="1" t="n">
        <v>44944.54896990741</v>
      </c>
      <c r="C355" s="1" t="n">
        <v>45974</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22897-2023</t>
        </is>
      </c>
      <c r="B356" s="1" t="n">
        <v>45072.55239583334</v>
      </c>
      <c r="C356" s="1" t="n">
        <v>45974</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4568-2025</t>
        </is>
      </c>
      <c r="B357" s="1" t="n">
        <v>45687</v>
      </c>
      <c r="C357" s="1" t="n">
        <v>45974</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33876-2024</t>
        </is>
      </c>
      <c r="B358" s="1" t="n">
        <v>45521.87988425926</v>
      </c>
      <c r="C358" s="1" t="n">
        <v>45974</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1681-2023</t>
        </is>
      </c>
      <c r="B359" s="1" t="n">
        <v>44938.39715277778</v>
      </c>
      <c r="C359" s="1" t="n">
        <v>45974</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42338-2023</t>
        </is>
      </c>
      <c r="B360" s="1" t="n">
        <v>45180</v>
      </c>
      <c r="C360" s="1" t="n">
        <v>45974</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18918-2025</t>
        </is>
      </c>
      <c r="B361" s="1" t="n">
        <v>45764</v>
      </c>
      <c r="C361" s="1" t="n">
        <v>45974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6749-2025</t>
        </is>
      </c>
      <c r="B362" s="1" t="n">
        <v>45700</v>
      </c>
      <c r="C362" s="1" t="n">
        <v>45974</v>
      </c>
      <c r="D362" t="inlineStr">
        <is>
          <t>GOTLANDS LÄN</t>
        </is>
      </c>
      <c r="E362" t="inlineStr">
        <is>
          <t>GOTLAND</t>
        </is>
      </c>
      <c r="G362" t="n">
        <v>4.5</v>
      </c>
      <c r="H362" t="n">
        <v>0</v>
      </c>
      <c r="I362" t="n">
        <v>0</v>
      </c>
      <c r="J362" t="n">
        <v>0</v>
      </c>
      <c r="K362" t="n">
        <v>0</v>
      </c>
      <c r="L362" t="n">
        <v>0</v>
      </c>
      <c r="M362" t="n">
        <v>0</v>
      </c>
      <c r="N362" t="n">
        <v>0</v>
      </c>
      <c r="O362" t="n">
        <v>0</v>
      </c>
      <c r="P362" t="n">
        <v>0</v>
      </c>
      <c r="Q362" t="n">
        <v>0</v>
      </c>
      <c r="R362" s="2" t="inlineStr"/>
    </row>
    <row r="363" ht="15" customHeight="1">
      <c r="A363" t="inlineStr">
        <is>
          <t>A 11013-2024</t>
        </is>
      </c>
      <c r="B363" s="1" t="n">
        <v>45370</v>
      </c>
      <c r="C363" s="1" t="n">
        <v>45974</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43223-2023</t>
        </is>
      </c>
      <c r="B364" s="1" t="n">
        <v>45183.45642361111</v>
      </c>
      <c r="C364" s="1" t="n">
        <v>45974</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45084-2024</t>
        </is>
      </c>
      <c r="B365" s="1" t="n">
        <v>45575</v>
      </c>
      <c r="C365" s="1" t="n">
        <v>45974</v>
      </c>
      <c r="D365" t="inlineStr">
        <is>
          <t>GOTLANDS LÄN</t>
        </is>
      </c>
      <c r="E365" t="inlineStr">
        <is>
          <t>GOTLAND</t>
        </is>
      </c>
      <c r="G365" t="n">
        <v>6.8</v>
      </c>
      <c r="H365" t="n">
        <v>0</v>
      </c>
      <c r="I365" t="n">
        <v>0</v>
      </c>
      <c r="J365" t="n">
        <v>0</v>
      </c>
      <c r="K365" t="n">
        <v>0</v>
      </c>
      <c r="L365" t="n">
        <v>0</v>
      </c>
      <c r="M365" t="n">
        <v>0</v>
      </c>
      <c r="N365" t="n">
        <v>0</v>
      </c>
      <c r="O365" t="n">
        <v>0</v>
      </c>
      <c r="P365" t="n">
        <v>0</v>
      </c>
      <c r="Q365" t="n">
        <v>0</v>
      </c>
      <c r="R365" s="2" t="inlineStr"/>
    </row>
    <row r="366" ht="15" customHeight="1">
      <c r="A366" t="inlineStr">
        <is>
          <t>A 61962-2024</t>
        </is>
      </c>
      <c r="B366" s="1" t="n">
        <v>45653.54340277778</v>
      </c>
      <c r="C366" s="1" t="n">
        <v>45974</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20356-2022</t>
        </is>
      </c>
      <c r="B367" s="1" t="n">
        <v>44699</v>
      </c>
      <c r="C367" s="1" t="n">
        <v>45974</v>
      </c>
      <c r="D367" t="inlineStr">
        <is>
          <t>GOTLANDS LÄN</t>
        </is>
      </c>
      <c r="E367" t="inlineStr">
        <is>
          <t>GOTLAND</t>
        </is>
      </c>
      <c r="F367" t="inlineStr">
        <is>
          <t>Övriga Aktiebolag</t>
        </is>
      </c>
      <c r="G367" t="n">
        <v>4.4</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45974</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59469-2024</t>
        </is>
      </c>
      <c r="B369" s="1" t="n">
        <v>45638</v>
      </c>
      <c r="C369" s="1" t="n">
        <v>45974</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4868-2024</t>
        </is>
      </c>
      <c r="B370" s="1" t="n">
        <v>45329</v>
      </c>
      <c r="C370" s="1" t="n">
        <v>45974</v>
      </c>
      <c r="D370" t="inlineStr">
        <is>
          <t>GOTLANDS LÄN</t>
        </is>
      </c>
      <c r="E370" t="inlineStr">
        <is>
          <t>GOTLAND</t>
        </is>
      </c>
      <c r="G370" t="n">
        <v>7.1</v>
      </c>
      <c r="H370" t="n">
        <v>0</v>
      </c>
      <c r="I370" t="n">
        <v>0</v>
      </c>
      <c r="J370" t="n">
        <v>0</v>
      </c>
      <c r="K370" t="n">
        <v>0</v>
      </c>
      <c r="L370" t="n">
        <v>0</v>
      </c>
      <c r="M370" t="n">
        <v>0</v>
      </c>
      <c r="N370" t="n">
        <v>0</v>
      </c>
      <c r="O370" t="n">
        <v>0</v>
      </c>
      <c r="P370" t="n">
        <v>0</v>
      </c>
      <c r="Q370" t="n">
        <v>0</v>
      </c>
      <c r="R370" s="2" t="inlineStr"/>
    </row>
    <row r="371" ht="15" customHeight="1">
      <c r="A371" t="inlineStr">
        <is>
          <t>A 9613-2025</t>
        </is>
      </c>
      <c r="B371" s="1" t="n">
        <v>45715</v>
      </c>
      <c r="C371" s="1" t="n">
        <v>45974</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5462-2025</t>
        </is>
      </c>
      <c r="B372" s="1" t="n">
        <v>45693.29331018519</v>
      </c>
      <c r="C372" s="1" t="n">
        <v>45974</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5386-2023</t>
        </is>
      </c>
      <c r="B373" s="1" t="n">
        <v>44959</v>
      </c>
      <c r="C373" s="1" t="n">
        <v>45974</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24966-2023</t>
        </is>
      </c>
      <c r="B374" s="1" t="n">
        <v>45085</v>
      </c>
      <c r="C374" s="1" t="n">
        <v>45974</v>
      </c>
      <c r="D374" t="inlineStr">
        <is>
          <t>GOTLANDS LÄN</t>
        </is>
      </c>
      <c r="E374" t="inlineStr">
        <is>
          <t>GOTLAND</t>
        </is>
      </c>
      <c r="G374" t="n">
        <v>7</v>
      </c>
      <c r="H374" t="n">
        <v>0</v>
      </c>
      <c r="I374" t="n">
        <v>0</v>
      </c>
      <c r="J374" t="n">
        <v>0</v>
      </c>
      <c r="K374" t="n">
        <v>0</v>
      </c>
      <c r="L374" t="n">
        <v>0</v>
      </c>
      <c r="M374" t="n">
        <v>0</v>
      </c>
      <c r="N374" t="n">
        <v>0</v>
      </c>
      <c r="O374" t="n">
        <v>0</v>
      </c>
      <c r="P374" t="n">
        <v>0</v>
      </c>
      <c r="Q374" t="n">
        <v>0</v>
      </c>
      <c r="R374" s="2" t="inlineStr"/>
    </row>
    <row r="375" ht="15" customHeight="1">
      <c r="A375" t="inlineStr">
        <is>
          <t>A 57652-2023</t>
        </is>
      </c>
      <c r="B375" s="1" t="n">
        <v>45246</v>
      </c>
      <c r="C375" s="1" t="n">
        <v>45974</v>
      </c>
      <c r="D375" t="inlineStr">
        <is>
          <t>GOTLANDS LÄN</t>
        </is>
      </c>
      <c r="E375" t="inlineStr">
        <is>
          <t>GOTLAND</t>
        </is>
      </c>
      <c r="G375" t="n">
        <v>7.2</v>
      </c>
      <c r="H375" t="n">
        <v>0</v>
      </c>
      <c r="I375" t="n">
        <v>0</v>
      </c>
      <c r="J375" t="n">
        <v>0</v>
      </c>
      <c r="K375" t="n">
        <v>0</v>
      </c>
      <c r="L375" t="n">
        <v>0</v>
      </c>
      <c r="M375" t="n">
        <v>0</v>
      </c>
      <c r="N375" t="n">
        <v>0</v>
      </c>
      <c r="O375" t="n">
        <v>0</v>
      </c>
      <c r="P375" t="n">
        <v>0</v>
      </c>
      <c r="Q375" t="n">
        <v>0</v>
      </c>
      <c r="R375" s="2" t="inlineStr"/>
    </row>
    <row r="376" ht="15" customHeight="1">
      <c r="A376" t="inlineStr">
        <is>
          <t>A 46189-2022</t>
        </is>
      </c>
      <c r="B376" s="1" t="n">
        <v>44847</v>
      </c>
      <c r="C376" s="1" t="n">
        <v>45974</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5751-2024</t>
        </is>
      </c>
      <c r="B377" s="1" t="n">
        <v>45335.32702546296</v>
      </c>
      <c r="C377" s="1" t="n">
        <v>45974</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58211-2024</t>
        </is>
      </c>
      <c r="B378" s="1" t="n">
        <v>45632.49292824074</v>
      </c>
      <c r="C378" s="1" t="n">
        <v>45974</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6696-2023</t>
        </is>
      </c>
      <c r="B379" s="1" t="n">
        <v>44966.66425925926</v>
      </c>
      <c r="C379" s="1" t="n">
        <v>45974</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28480-2023</t>
        </is>
      </c>
      <c r="B380" s="1" t="n">
        <v>45103</v>
      </c>
      <c r="C380" s="1" t="n">
        <v>45974</v>
      </c>
      <c r="D380" t="inlineStr">
        <is>
          <t>GOTLANDS LÄN</t>
        </is>
      </c>
      <c r="E380" t="inlineStr">
        <is>
          <t>GOTLAND</t>
        </is>
      </c>
      <c r="G380" t="n">
        <v>5.7</v>
      </c>
      <c r="H380" t="n">
        <v>0</v>
      </c>
      <c r="I380" t="n">
        <v>0</v>
      </c>
      <c r="J380" t="n">
        <v>0</v>
      </c>
      <c r="K380" t="n">
        <v>0</v>
      </c>
      <c r="L380" t="n">
        <v>0</v>
      </c>
      <c r="M380" t="n">
        <v>0</v>
      </c>
      <c r="N380" t="n">
        <v>0</v>
      </c>
      <c r="O380" t="n">
        <v>0</v>
      </c>
      <c r="P380" t="n">
        <v>0</v>
      </c>
      <c r="Q380" t="n">
        <v>0</v>
      </c>
      <c r="R380" s="2" t="inlineStr"/>
    </row>
    <row r="381" ht="15" customHeight="1">
      <c r="A381" t="inlineStr">
        <is>
          <t>A 28485-2023</t>
        </is>
      </c>
      <c r="B381" s="1" t="n">
        <v>45103.43731481482</v>
      </c>
      <c r="C381" s="1" t="n">
        <v>45974</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4990-2025</t>
        </is>
      </c>
      <c r="B382" s="1" t="n">
        <v>45691</v>
      </c>
      <c r="C382" s="1" t="n">
        <v>45974</v>
      </c>
      <c r="D382" t="inlineStr">
        <is>
          <t>GOTLANDS LÄN</t>
        </is>
      </c>
      <c r="E382" t="inlineStr">
        <is>
          <t>GOTLAND</t>
        </is>
      </c>
      <c r="G382" t="n">
        <v>7.7</v>
      </c>
      <c r="H382" t="n">
        <v>0</v>
      </c>
      <c r="I382" t="n">
        <v>0</v>
      </c>
      <c r="J382" t="n">
        <v>0</v>
      </c>
      <c r="K382" t="n">
        <v>0</v>
      </c>
      <c r="L382" t="n">
        <v>0</v>
      </c>
      <c r="M382" t="n">
        <v>0</v>
      </c>
      <c r="N382" t="n">
        <v>0</v>
      </c>
      <c r="O382" t="n">
        <v>0</v>
      </c>
      <c r="P382" t="n">
        <v>0</v>
      </c>
      <c r="Q382" t="n">
        <v>0</v>
      </c>
      <c r="R382" s="2" t="inlineStr"/>
    </row>
    <row r="383" ht="15" customHeight="1">
      <c r="A383" t="inlineStr">
        <is>
          <t>A 57522-2022</t>
        </is>
      </c>
      <c r="B383" s="1" t="n">
        <v>44896</v>
      </c>
      <c r="C383" s="1" t="n">
        <v>45974</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14797-2024</t>
        </is>
      </c>
      <c r="B384" s="1" t="n">
        <v>45397.87030092593</v>
      </c>
      <c r="C384" s="1" t="n">
        <v>45974</v>
      </c>
      <c r="D384" t="inlineStr">
        <is>
          <t>GOTLANDS LÄN</t>
        </is>
      </c>
      <c r="E384" t="inlineStr">
        <is>
          <t>GOTLAND</t>
        </is>
      </c>
      <c r="G384" t="n">
        <v>8.1</v>
      </c>
      <c r="H384" t="n">
        <v>0</v>
      </c>
      <c r="I384" t="n">
        <v>0</v>
      </c>
      <c r="J384" t="n">
        <v>0</v>
      </c>
      <c r="K384" t="n">
        <v>0</v>
      </c>
      <c r="L384" t="n">
        <v>0</v>
      </c>
      <c r="M384" t="n">
        <v>0</v>
      </c>
      <c r="N384" t="n">
        <v>0</v>
      </c>
      <c r="O384" t="n">
        <v>0</v>
      </c>
      <c r="P384" t="n">
        <v>0</v>
      </c>
      <c r="Q384" t="n">
        <v>0</v>
      </c>
      <c r="R384" s="2" t="inlineStr"/>
    </row>
    <row r="385" ht="15" customHeight="1">
      <c r="A385" t="inlineStr">
        <is>
          <t>A 11634-2024</t>
        </is>
      </c>
      <c r="B385" s="1" t="n">
        <v>45373</v>
      </c>
      <c r="C385" s="1" t="n">
        <v>45974</v>
      </c>
      <c r="D385" t="inlineStr">
        <is>
          <t>GOTLANDS LÄN</t>
        </is>
      </c>
      <c r="E385" t="inlineStr">
        <is>
          <t>GOTLAND</t>
        </is>
      </c>
      <c r="G385" t="n">
        <v>3</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45974</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38165-2023</t>
        </is>
      </c>
      <c r="B387" s="1" t="n">
        <v>45161</v>
      </c>
      <c r="C387" s="1" t="n">
        <v>45974</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25796-2025</t>
        </is>
      </c>
      <c r="B388" s="1" t="n">
        <v>45804.39543981481</v>
      </c>
      <c r="C388" s="1" t="n">
        <v>45974</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1394-2023</t>
        </is>
      </c>
      <c r="B389" s="1" t="n">
        <v>44936.72997685185</v>
      </c>
      <c r="C389" s="1" t="n">
        <v>45974</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2676-2023</t>
        </is>
      </c>
      <c r="B390" s="1" t="n">
        <v>44944</v>
      </c>
      <c r="C390" s="1" t="n">
        <v>45974</v>
      </c>
      <c r="D390" t="inlineStr">
        <is>
          <t>GOTLANDS LÄN</t>
        </is>
      </c>
      <c r="E390" t="inlineStr">
        <is>
          <t>GOTLAND</t>
        </is>
      </c>
      <c r="G390" t="n">
        <v>0.7</v>
      </c>
      <c r="H390" t="n">
        <v>0</v>
      </c>
      <c r="I390" t="n">
        <v>0</v>
      </c>
      <c r="J390" t="n">
        <v>0</v>
      </c>
      <c r="K390" t="n">
        <v>0</v>
      </c>
      <c r="L390" t="n">
        <v>0</v>
      </c>
      <c r="M390" t="n">
        <v>0</v>
      </c>
      <c r="N390" t="n">
        <v>0</v>
      </c>
      <c r="O390" t="n">
        <v>0</v>
      </c>
      <c r="P390" t="n">
        <v>0</v>
      </c>
      <c r="Q390" t="n">
        <v>0</v>
      </c>
      <c r="R390" s="2" t="inlineStr"/>
    </row>
    <row r="391" ht="15" customHeight="1">
      <c r="A391" t="inlineStr">
        <is>
          <t>A 4387-2023</t>
        </is>
      </c>
      <c r="B391" s="1" t="n">
        <v>44955.73359953704</v>
      </c>
      <c r="C391" s="1" t="n">
        <v>45974</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49411-2023</t>
        </is>
      </c>
      <c r="B392" s="1" t="n">
        <v>45205</v>
      </c>
      <c r="C392" s="1" t="n">
        <v>45974</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37728-2024</t>
        </is>
      </c>
      <c r="B393" s="1" t="n">
        <v>45541</v>
      </c>
      <c r="C393" s="1" t="n">
        <v>45974</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5884-2025</t>
        </is>
      </c>
      <c r="B394" s="1" t="n">
        <v>45695.37482638889</v>
      </c>
      <c r="C394" s="1" t="n">
        <v>45974</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5897-2025</t>
        </is>
      </c>
      <c r="B395" s="1" t="n">
        <v>45695.39273148148</v>
      </c>
      <c r="C395" s="1" t="n">
        <v>45974</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5909-2025</t>
        </is>
      </c>
      <c r="B396" s="1" t="n">
        <v>45695.40634259259</v>
      </c>
      <c r="C396" s="1" t="n">
        <v>45974</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26465-2025</t>
        </is>
      </c>
      <c r="B397" s="1" t="n">
        <v>45807.44377314814</v>
      </c>
      <c r="C397" s="1" t="n">
        <v>45974</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2241-2025</t>
        </is>
      </c>
      <c r="B398" s="1" t="n">
        <v>45673.48710648148</v>
      </c>
      <c r="C398" s="1" t="n">
        <v>45974</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26457-2025</t>
        </is>
      </c>
      <c r="B399" s="1" t="n">
        <v>45807.42773148148</v>
      </c>
      <c r="C399" s="1" t="n">
        <v>45974</v>
      </c>
      <c r="D399" t="inlineStr">
        <is>
          <t>GOTLANDS LÄN</t>
        </is>
      </c>
      <c r="E399" t="inlineStr">
        <is>
          <t>GOTLAND</t>
        </is>
      </c>
      <c r="G399" t="n">
        <v>5.7</v>
      </c>
      <c r="H399" t="n">
        <v>0</v>
      </c>
      <c r="I399" t="n">
        <v>0</v>
      </c>
      <c r="J399" t="n">
        <v>0</v>
      </c>
      <c r="K399" t="n">
        <v>0</v>
      </c>
      <c r="L399" t="n">
        <v>0</v>
      </c>
      <c r="M399" t="n">
        <v>0</v>
      </c>
      <c r="N399" t="n">
        <v>0</v>
      </c>
      <c r="O399" t="n">
        <v>0</v>
      </c>
      <c r="P399" t="n">
        <v>0</v>
      </c>
      <c r="Q399" t="n">
        <v>0</v>
      </c>
      <c r="R399" s="2" t="inlineStr"/>
    </row>
    <row r="400" ht="15" customHeight="1">
      <c r="A400" t="inlineStr">
        <is>
          <t>A 49693-2023</t>
        </is>
      </c>
      <c r="B400" s="1" t="n">
        <v>45212.38138888889</v>
      </c>
      <c r="C400" s="1" t="n">
        <v>45974</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49697-2023</t>
        </is>
      </c>
      <c r="B401" s="1" t="n">
        <v>45212.38909722222</v>
      </c>
      <c r="C401" s="1" t="n">
        <v>45974</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26467-2025</t>
        </is>
      </c>
      <c r="B402" s="1" t="n">
        <v>45807.44640046296</v>
      </c>
      <c r="C402" s="1" t="n">
        <v>45974</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34312-2024</t>
        </is>
      </c>
      <c r="B403" s="1" t="n">
        <v>45524.69703703704</v>
      </c>
      <c r="C403" s="1" t="n">
        <v>45974</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60086-2022</t>
        </is>
      </c>
      <c r="B404" s="1" t="n">
        <v>44909</v>
      </c>
      <c r="C404" s="1" t="n">
        <v>45974</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22704-2023</t>
        </is>
      </c>
      <c r="B405" s="1" t="n">
        <v>45071</v>
      </c>
      <c r="C405" s="1" t="n">
        <v>45974</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26660-2025</t>
        </is>
      </c>
      <c r="B406" s="1" t="n">
        <v>45810.39737268518</v>
      </c>
      <c r="C406" s="1" t="n">
        <v>45974</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48503-2023</t>
        </is>
      </c>
      <c r="B407" s="1" t="n">
        <v>45207</v>
      </c>
      <c r="C407" s="1" t="n">
        <v>45974</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25866-2022</t>
        </is>
      </c>
      <c r="B408" s="1" t="n">
        <v>44733</v>
      </c>
      <c r="C408" s="1" t="n">
        <v>45974</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27355-2025</t>
        </is>
      </c>
      <c r="B409" s="1" t="n">
        <v>45812</v>
      </c>
      <c r="C409" s="1" t="n">
        <v>45974</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27371-2025</t>
        </is>
      </c>
      <c r="B410" s="1" t="n">
        <v>45812</v>
      </c>
      <c r="C410" s="1" t="n">
        <v>45974</v>
      </c>
      <c r="D410" t="inlineStr">
        <is>
          <t>GOTLANDS LÄN</t>
        </is>
      </c>
      <c r="E410" t="inlineStr">
        <is>
          <t>GOTLAND</t>
        </is>
      </c>
      <c r="G410" t="n">
        <v>8</v>
      </c>
      <c r="H410" t="n">
        <v>0</v>
      </c>
      <c r="I410" t="n">
        <v>0</v>
      </c>
      <c r="J410" t="n">
        <v>0</v>
      </c>
      <c r="K410" t="n">
        <v>0</v>
      </c>
      <c r="L410" t="n">
        <v>0</v>
      </c>
      <c r="M410" t="n">
        <v>0</v>
      </c>
      <c r="N410" t="n">
        <v>0</v>
      </c>
      <c r="O410" t="n">
        <v>0</v>
      </c>
      <c r="P410" t="n">
        <v>0</v>
      </c>
      <c r="Q410" t="n">
        <v>0</v>
      </c>
      <c r="R410" s="2" t="inlineStr"/>
    </row>
    <row r="411" ht="15" customHeight="1">
      <c r="A411" t="inlineStr">
        <is>
          <t>A 9887-2025</t>
        </is>
      </c>
      <c r="B411" s="1" t="n">
        <v>45716</v>
      </c>
      <c r="C411" s="1" t="n">
        <v>45974</v>
      </c>
      <c r="D411" t="inlineStr">
        <is>
          <t>GOTLANDS LÄN</t>
        </is>
      </c>
      <c r="E411" t="inlineStr">
        <is>
          <t>GOTLAND</t>
        </is>
      </c>
      <c r="G411" t="n">
        <v>7.5</v>
      </c>
      <c r="H411" t="n">
        <v>0</v>
      </c>
      <c r="I411" t="n">
        <v>0</v>
      </c>
      <c r="J411" t="n">
        <v>0</v>
      </c>
      <c r="K411" t="n">
        <v>0</v>
      </c>
      <c r="L411" t="n">
        <v>0</v>
      </c>
      <c r="M411" t="n">
        <v>0</v>
      </c>
      <c r="N411" t="n">
        <v>0</v>
      </c>
      <c r="O411" t="n">
        <v>0</v>
      </c>
      <c r="P411" t="n">
        <v>0</v>
      </c>
      <c r="Q411" t="n">
        <v>0</v>
      </c>
      <c r="R411" s="2" t="inlineStr"/>
    </row>
    <row r="412" ht="15" customHeight="1">
      <c r="A412" t="inlineStr">
        <is>
          <t>A 22275-2023</t>
        </is>
      </c>
      <c r="B412" s="1" t="n">
        <v>45070.39875</v>
      </c>
      <c r="C412" s="1" t="n">
        <v>45974</v>
      </c>
      <c r="D412" t="inlineStr">
        <is>
          <t>GOTLANDS LÄN</t>
        </is>
      </c>
      <c r="E412" t="inlineStr">
        <is>
          <t>GOTLAND</t>
        </is>
      </c>
      <c r="G412" t="n">
        <v>7.2</v>
      </c>
      <c r="H412" t="n">
        <v>0</v>
      </c>
      <c r="I412" t="n">
        <v>0</v>
      </c>
      <c r="J412" t="n">
        <v>0</v>
      </c>
      <c r="K412" t="n">
        <v>0</v>
      </c>
      <c r="L412" t="n">
        <v>0</v>
      </c>
      <c r="M412" t="n">
        <v>0</v>
      </c>
      <c r="N412" t="n">
        <v>0</v>
      </c>
      <c r="O412" t="n">
        <v>0</v>
      </c>
      <c r="P412" t="n">
        <v>0</v>
      </c>
      <c r="Q412" t="n">
        <v>0</v>
      </c>
      <c r="R412" s="2" t="inlineStr"/>
    </row>
    <row r="413" ht="15" customHeight="1">
      <c r="A413" t="inlineStr">
        <is>
          <t>A 24825-2024</t>
        </is>
      </c>
      <c r="B413" s="1" t="n">
        <v>45461</v>
      </c>
      <c r="C413" s="1" t="n">
        <v>45974</v>
      </c>
      <c r="D413" t="inlineStr">
        <is>
          <t>GOTLANDS LÄN</t>
        </is>
      </c>
      <c r="E413" t="inlineStr">
        <is>
          <t>GOTLAND</t>
        </is>
      </c>
      <c r="G413" t="n">
        <v>1.3</v>
      </c>
      <c r="H413" t="n">
        <v>0</v>
      </c>
      <c r="I413" t="n">
        <v>0</v>
      </c>
      <c r="J413" t="n">
        <v>0</v>
      </c>
      <c r="K413" t="n">
        <v>0</v>
      </c>
      <c r="L413" t="n">
        <v>0</v>
      </c>
      <c r="M413" t="n">
        <v>0</v>
      </c>
      <c r="N413" t="n">
        <v>0</v>
      </c>
      <c r="O413" t="n">
        <v>0</v>
      </c>
      <c r="P413" t="n">
        <v>0</v>
      </c>
      <c r="Q413" t="n">
        <v>0</v>
      </c>
      <c r="R413" s="2" t="inlineStr"/>
    </row>
    <row r="414" ht="15" customHeight="1">
      <c r="A414" t="inlineStr">
        <is>
          <t>A 12209-2024</t>
        </is>
      </c>
      <c r="B414" s="1" t="n">
        <v>45378</v>
      </c>
      <c r="C414" s="1" t="n">
        <v>45974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12210-2024</t>
        </is>
      </c>
      <c r="B415" s="1" t="n">
        <v>45378</v>
      </c>
      <c r="C415" s="1" t="n">
        <v>45974</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59986-2022</t>
        </is>
      </c>
      <c r="B416" s="1" t="n">
        <v>44909</v>
      </c>
      <c r="C416" s="1" t="n">
        <v>45974</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45013.69365740741</v>
      </c>
      <c r="C417" s="1" t="n">
        <v>45974</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45278.33944444444</v>
      </c>
      <c r="C418" s="1" t="n">
        <v>45974</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7635-2025</t>
        </is>
      </c>
      <c r="B419" s="1" t="n">
        <v>45705</v>
      </c>
      <c r="C419" s="1" t="n">
        <v>45974</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7636-2025</t>
        </is>
      </c>
      <c r="B420" s="1" t="n">
        <v>45705.7687962963</v>
      </c>
      <c r="C420" s="1" t="n">
        <v>45974</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7639-2025</t>
        </is>
      </c>
      <c r="B421" s="1" t="n">
        <v>45705.77465277778</v>
      </c>
      <c r="C421" s="1" t="n">
        <v>45974</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61682-2024</t>
        </is>
      </c>
      <c r="B422" s="1" t="n">
        <v>45647.48824074074</v>
      </c>
      <c r="C422" s="1" t="n">
        <v>45974</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15434-2024</t>
        </is>
      </c>
      <c r="B423" s="1" t="n">
        <v>45401.38836805556</v>
      </c>
      <c r="C423" s="1" t="n">
        <v>45974</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22031-2024</t>
        </is>
      </c>
      <c r="B424" s="1" t="n">
        <v>45443.60075231481</v>
      </c>
      <c r="C424" s="1" t="n">
        <v>45974</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17688-2024</t>
        </is>
      </c>
      <c r="B425" s="1" t="n">
        <v>45418.43575231481</v>
      </c>
      <c r="C425" s="1" t="n">
        <v>45974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7850-2025</t>
        </is>
      </c>
      <c r="B426" s="1" t="n">
        <v>45706</v>
      </c>
      <c r="C426" s="1" t="n">
        <v>45974</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6739-2025</t>
        </is>
      </c>
      <c r="B427" s="1" t="n">
        <v>45700</v>
      </c>
      <c r="C427" s="1" t="n">
        <v>45974</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7034-2023</t>
        </is>
      </c>
      <c r="B428" s="1" t="n">
        <v>44968.32108796296</v>
      </c>
      <c r="C428" s="1" t="n">
        <v>45974</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7042-2023</t>
        </is>
      </c>
      <c r="B429" s="1" t="n">
        <v>44968</v>
      </c>
      <c r="C429" s="1" t="n">
        <v>45974</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2180-2025</t>
        </is>
      </c>
      <c r="B430" s="1" t="n">
        <v>45673</v>
      </c>
      <c r="C430" s="1" t="n">
        <v>45974</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8444-2025</t>
        </is>
      </c>
      <c r="B431" s="1" t="n">
        <v>45709</v>
      </c>
      <c r="C431" s="1" t="n">
        <v>45974</v>
      </c>
      <c r="D431" t="inlineStr">
        <is>
          <t>GOTLANDS LÄN</t>
        </is>
      </c>
      <c r="E431" t="inlineStr">
        <is>
          <t>GOTLAND</t>
        </is>
      </c>
      <c r="G431" t="n">
        <v>5.2</v>
      </c>
      <c r="H431" t="n">
        <v>0</v>
      </c>
      <c r="I431" t="n">
        <v>0</v>
      </c>
      <c r="J431" t="n">
        <v>0</v>
      </c>
      <c r="K431" t="n">
        <v>0</v>
      </c>
      <c r="L431" t="n">
        <v>0</v>
      </c>
      <c r="M431" t="n">
        <v>0</v>
      </c>
      <c r="N431" t="n">
        <v>0</v>
      </c>
      <c r="O431" t="n">
        <v>0</v>
      </c>
      <c r="P431" t="n">
        <v>0</v>
      </c>
      <c r="Q431" t="n">
        <v>0</v>
      </c>
      <c r="R431" s="2" t="inlineStr"/>
    </row>
    <row r="432" ht="15" customHeight="1">
      <c r="A432" t="inlineStr">
        <is>
          <t>A 19905-2025</t>
        </is>
      </c>
      <c r="B432" s="1" t="n">
        <v>45771</v>
      </c>
      <c r="C432" s="1" t="n">
        <v>45974</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54074-2022</t>
        </is>
      </c>
      <c r="B433" s="1" t="n">
        <v>44881</v>
      </c>
      <c r="C433" s="1" t="n">
        <v>45974</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61694-2023</t>
        </is>
      </c>
      <c r="B434" s="1" t="n">
        <v>45264</v>
      </c>
      <c r="C434" s="1" t="n">
        <v>45974</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64208-2021</t>
        </is>
      </c>
      <c r="B435" s="1" t="n">
        <v>44510</v>
      </c>
      <c r="C435" s="1" t="n">
        <v>45974</v>
      </c>
      <c r="D435" t="inlineStr">
        <is>
          <t>GOTLANDS LÄN</t>
        </is>
      </c>
      <c r="E435" t="inlineStr">
        <is>
          <t>GOTLAND</t>
        </is>
      </c>
      <c r="G435" t="n">
        <v>4.7</v>
      </c>
      <c r="H435" t="n">
        <v>0</v>
      </c>
      <c r="I435" t="n">
        <v>0</v>
      </c>
      <c r="J435" t="n">
        <v>0</v>
      </c>
      <c r="K435" t="n">
        <v>0</v>
      </c>
      <c r="L435" t="n">
        <v>0</v>
      </c>
      <c r="M435" t="n">
        <v>0</v>
      </c>
      <c r="N435" t="n">
        <v>0</v>
      </c>
      <c r="O435" t="n">
        <v>0</v>
      </c>
      <c r="P435" t="n">
        <v>0</v>
      </c>
      <c r="Q435" t="n">
        <v>0</v>
      </c>
      <c r="R435" s="2" t="inlineStr"/>
    </row>
    <row r="436" ht="15" customHeight="1">
      <c r="A436" t="inlineStr">
        <is>
          <t>A 31802-2024</t>
        </is>
      </c>
      <c r="B436" s="1" t="n">
        <v>45509</v>
      </c>
      <c r="C436" s="1" t="n">
        <v>45974</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29207-2025</t>
        </is>
      </c>
      <c r="B437" s="1" t="n">
        <v>45823</v>
      </c>
      <c r="C437" s="1" t="n">
        <v>45974</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20993-2023</t>
        </is>
      </c>
      <c r="B438" s="1" t="n">
        <v>45056</v>
      </c>
      <c r="C438" s="1" t="n">
        <v>45974</v>
      </c>
      <c r="D438" t="inlineStr">
        <is>
          <t>GOTLANDS LÄN</t>
        </is>
      </c>
      <c r="E438" t="inlineStr">
        <is>
          <t>GOTLAND</t>
        </is>
      </c>
      <c r="G438" t="n">
        <v>7.1</v>
      </c>
      <c r="H438" t="n">
        <v>0</v>
      </c>
      <c r="I438" t="n">
        <v>0</v>
      </c>
      <c r="J438" t="n">
        <v>0</v>
      </c>
      <c r="K438" t="n">
        <v>0</v>
      </c>
      <c r="L438" t="n">
        <v>0</v>
      </c>
      <c r="M438" t="n">
        <v>0</v>
      </c>
      <c r="N438" t="n">
        <v>0</v>
      </c>
      <c r="O438" t="n">
        <v>0</v>
      </c>
      <c r="P438" t="n">
        <v>0</v>
      </c>
      <c r="Q438" t="n">
        <v>0</v>
      </c>
      <c r="R438" s="2" t="inlineStr"/>
    </row>
    <row r="439" ht="15" customHeight="1">
      <c r="A439" t="inlineStr">
        <is>
          <t>A 29196-2025</t>
        </is>
      </c>
      <c r="B439" s="1" t="n">
        <v>45822</v>
      </c>
      <c r="C439" s="1" t="n">
        <v>45974</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54268-2022</t>
        </is>
      </c>
      <c r="B440" s="1" t="n">
        <v>44882</v>
      </c>
      <c r="C440" s="1" t="n">
        <v>45974</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12599-2025</t>
        </is>
      </c>
      <c r="B441" s="1" t="n">
        <v>45733.29546296296</v>
      </c>
      <c r="C441" s="1" t="n">
        <v>45974</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1446-2025</t>
        </is>
      </c>
      <c r="B442" s="1" t="n">
        <v>45669.86035879629</v>
      </c>
      <c r="C442" s="1" t="n">
        <v>45974</v>
      </c>
      <c r="D442" t="inlineStr">
        <is>
          <t>GOTLANDS LÄN</t>
        </is>
      </c>
      <c r="E442" t="inlineStr">
        <is>
          <t>GOTLAND</t>
        </is>
      </c>
      <c r="G442" t="n">
        <v>3.1</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45974</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57685-2022</t>
        </is>
      </c>
      <c r="B444" s="1" t="n">
        <v>44897.4777662037</v>
      </c>
      <c r="C444" s="1" t="n">
        <v>45974</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15042-2025</t>
        </is>
      </c>
      <c r="B445" s="1" t="n">
        <v>45743</v>
      </c>
      <c r="C445" s="1" t="n">
        <v>45974</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811-2023</t>
        </is>
      </c>
      <c r="B446" s="1" t="n">
        <v>44931</v>
      </c>
      <c r="C446" s="1" t="n">
        <v>45974</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30061-2025</t>
        </is>
      </c>
      <c r="B447" s="1" t="n">
        <v>45826.61488425926</v>
      </c>
      <c r="C447" s="1" t="n">
        <v>45974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12327-2025</t>
        </is>
      </c>
      <c r="B448" s="1" t="n">
        <v>45730</v>
      </c>
      <c r="C448" s="1" t="n">
        <v>45974</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4420-2025</t>
        </is>
      </c>
      <c r="B449" s="1" t="n">
        <v>45686.47157407407</v>
      </c>
      <c r="C449" s="1" t="n">
        <v>45974</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5905-2024</t>
        </is>
      </c>
      <c r="B450" s="1" t="n">
        <v>45335.88993055555</v>
      </c>
      <c r="C450" s="1" t="n">
        <v>45974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3431-2025</t>
        </is>
      </c>
      <c r="B451" s="1" t="n">
        <v>45680.42935185185</v>
      </c>
      <c r="C451" s="1" t="n">
        <v>45974</v>
      </c>
      <c r="D451" t="inlineStr">
        <is>
          <t>GOTLANDS LÄN</t>
        </is>
      </c>
      <c r="E451" t="inlineStr">
        <is>
          <t>GOTLAND</t>
        </is>
      </c>
      <c r="G451" t="n">
        <v>4.8</v>
      </c>
      <c r="H451" t="n">
        <v>0</v>
      </c>
      <c r="I451" t="n">
        <v>0</v>
      </c>
      <c r="J451" t="n">
        <v>0</v>
      </c>
      <c r="K451" t="n">
        <v>0</v>
      </c>
      <c r="L451" t="n">
        <v>0</v>
      </c>
      <c r="M451" t="n">
        <v>0</v>
      </c>
      <c r="N451" t="n">
        <v>0</v>
      </c>
      <c r="O451" t="n">
        <v>0</v>
      </c>
      <c r="P451" t="n">
        <v>0</v>
      </c>
      <c r="Q451" t="n">
        <v>0</v>
      </c>
      <c r="R451" s="2" t="inlineStr"/>
    </row>
    <row r="452" ht="15" customHeight="1">
      <c r="A452" t="inlineStr">
        <is>
          <t>A 34407-2023</t>
        </is>
      </c>
      <c r="B452" s="1" t="n">
        <v>45132</v>
      </c>
      <c r="C452" s="1" t="n">
        <v>45974</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30892-2024</t>
        </is>
      </c>
      <c r="B453" s="1" t="n">
        <v>45491</v>
      </c>
      <c r="C453" s="1" t="n">
        <v>45974</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32958-2021</t>
        </is>
      </c>
      <c r="B454" s="1" t="n">
        <v>44376</v>
      </c>
      <c r="C454" s="1" t="n">
        <v>45974</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14427-2024</t>
        </is>
      </c>
      <c r="B455" s="1" t="n">
        <v>45394</v>
      </c>
      <c r="C455" s="1" t="n">
        <v>45974</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45974</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58160-2024</t>
        </is>
      </c>
      <c r="B457" s="1" t="n">
        <v>45632.44927083333</v>
      </c>
      <c r="C457" s="1" t="n">
        <v>45974</v>
      </c>
      <c r="D457" t="inlineStr">
        <is>
          <t>GOTLANDS LÄN</t>
        </is>
      </c>
      <c r="E457" t="inlineStr">
        <is>
          <t>GOTLAND</t>
        </is>
      </c>
      <c r="G457" t="n">
        <v>5.6</v>
      </c>
      <c r="H457" t="n">
        <v>0</v>
      </c>
      <c r="I457" t="n">
        <v>0</v>
      </c>
      <c r="J457" t="n">
        <v>0</v>
      </c>
      <c r="K457" t="n">
        <v>0</v>
      </c>
      <c r="L457" t="n">
        <v>0</v>
      </c>
      <c r="M457" t="n">
        <v>0</v>
      </c>
      <c r="N457" t="n">
        <v>0</v>
      </c>
      <c r="O457" t="n">
        <v>0</v>
      </c>
      <c r="P457" t="n">
        <v>0</v>
      </c>
      <c r="Q457" t="n">
        <v>0</v>
      </c>
      <c r="R457" s="2" t="inlineStr"/>
    </row>
    <row r="458" ht="15" customHeight="1">
      <c r="A458" t="inlineStr">
        <is>
          <t>A 2292-2021</t>
        </is>
      </c>
      <c r="B458" s="1" t="n">
        <v>44212</v>
      </c>
      <c r="C458" s="1" t="n">
        <v>45974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45974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49257-2024</t>
        </is>
      </c>
      <c r="B460" s="1" t="n">
        <v>45595.47627314815</v>
      </c>
      <c r="C460" s="1" t="n">
        <v>45974</v>
      </c>
      <c r="D460" t="inlineStr">
        <is>
          <t>GOTLANDS LÄN</t>
        </is>
      </c>
      <c r="E460" t="inlineStr">
        <is>
          <t>GOTLAND</t>
        </is>
      </c>
      <c r="G460" t="n">
        <v>6.3</v>
      </c>
      <c r="H460" t="n">
        <v>0</v>
      </c>
      <c r="I460" t="n">
        <v>0</v>
      </c>
      <c r="J460" t="n">
        <v>0</v>
      </c>
      <c r="K460" t="n">
        <v>0</v>
      </c>
      <c r="L460" t="n">
        <v>0</v>
      </c>
      <c r="M460" t="n">
        <v>0</v>
      </c>
      <c r="N460" t="n">
        <v>0</v>
      </c>
      <c r="O460" t="n">
        <v>0</v>
      </c>
      <c r="P460" t="n">
        <v>0</v>
      </c>
      <c r="Q460" t="n">
        <v>0</v>
      </c>
      <c r="R460" s="2" t="inlineStr"/>
    </row>
    <row r="461" ht="15" customHeight="1">
      <c r="A461" t="inlineStr">
        <is>
          <t>A 49315-2024</t>
        </is>
      </c>
      <c r="B461" s="1" t="n">
        <v>45595</v>
      </c>
      <c r="C461" s="1" t="n">
        <v>45974</v>
      </c>
      <c r="D461" t="inlineStr">
        <is>
          <t>GOTLANDS LÄN</t>
        </is>
      </c>
      <c r="E461" t="inlineStr">
        <is>
          <t>GOTLAND</t>
        </is>
      </c>
      <c r="G461" t="n">
        <v>1.5</v>
      </c>
      <c r="H461" t="n">
        <v>0</v>
      </c>
      <c r="I461" t="n">
        <v>0</v>
      </c>
      <c r="J461" t="n">
        <v>0</v>
      </c>
      <c r="K461" t="n">
        <v>0</v>
      </c>
      <c r="L461" t="n">
        <v>0</v>
      </c>
      <c r="M461" t="n">
        <v>0</v>
      </c>
      <c r="N461" t="n">
        <v>0</v>
      </c>
      <c r="O461" t="n">
        <v>0</v>
      </c>
      <c r="P461" t="n">
        <v>0</v>
      </c>
      <c r="Q461" t="n">
        <v>0</v>
      </c>
      <c r="R461" s="2" t="inlineStr"/>
    </row>
    <row r="462" ht="15" customHeight="1">
      <c r="A462" t="inlineStr">
        <is>
          <t>A 35141-2025</t>
        </is>
      </c>
      <c r="B462" s="1" t="n">
        <v>45852.65206018519</v>
      </c>
      <c r="C462" s="1" t="n">
        <v>45974</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7858-2025</t>
        </is>
      </c>
      <c r="B463" s="1" t="n">
        <v>45706.68633101852</v>
      </c>
      <c r="C463" s="1" t="n">
        <v>45974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46545-2024</t>
        </is>
      </c>
      <c r="B464" s="1" t="n">
        <v>45582.65831018519</v>
      </c>
      <c r="C464" s="1" t="n">
        <v>45974</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999-2023</t>
        </is>
      </c>
      <c r="B465" s="1" t="n">
        <v>44935</v>
      </c>
      <c r="C465" s="1" t="n">
        <v>45974</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1364-2025</t>
        </is>
      </c>
      <c r="B466" s="1" t="n">
        <v>45667.63929398148</v>
      </c>
      <c r="C466" s="1" t="n">
        <v>45974</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2125-2025</t>
        </is>
      </c>
      <c r="B467" s="1" t="n">
        <v>45672.64940972222</v>
      </c>
      <c r="C467" s="1" t="n">
        <v>45974</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16109-2025</t>
        </is>
      </c>
      <c r="B468" s="1" t="n">
        <v>45750</v>
      </c>
      <c r="C468" s="1" t="n">
        <v>45974</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32467-2025</t>
        </is>
      </c>
      <c r="B469" s="1" t="n">
        <v>45838.42111111111</v>
      </c>
      <c r="C469" s="1" t="n">
        <v>45974</v>
      </c>
      <c r="D469" t="inlineStr">
        <is>
          <t>GOTLANDS LÄN</t>
        </is>
      </c>
      <c r="E469" t="inlineStr">
        <is>
          <t>GOTLAND</t>
        </is>
      </c>
      <c r="G469" t="n">
        <v>4.3</v>
      </c>
      <c r="H469" t="n">
        <v>0</v>
      </c>
      <c r="I469" t="n">
        <v>0</v>
      </c>
      <c r="J469" t="n">
        <v>0</v>
      </c>
      <c r="K469" t="n">
        <v>0</v>
      </c>
      <c r="L469" t="n">
        <v>0</v>
      </c>
      <c r="M469" t="n">
        <v>0</v>
      </c>
      <c r="N469" t="n">
        <v>0</v>
      </c>
      <c r="O469" t="n">
        <v>0</v>
      </c>
      <c r="P469" t="n">
        <v>0</v>
      </c>
      <c r="Q469" t="n">
        <v>0</v>
      </c>
      <c r="R469" s="2" t="inlineStr"/>
    </row>
    <row r="470" ht="15" customHeight="1">
      <c r="A470" t="inlineStr">
        <is>
          <t>A 32378-2025</t>
        </is>
      </c>
      <c r="B470" s="1" t="n">
        <v>45837</v>
      </c>
      <c r="C470" s="1" t="n">
        <v>45974</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14141-2024</t>
        </is>
      </c>
      <c r="B471" s="1" t="n">
        <v>45392.85193287037</v>
      </c>
      <c r="C471" s="1" t="n">
        <v>45974</v>
      </c>
      <c r="D471" t="inlineStr">
        <is>
          <t>GOTLANDS LÄN</t>
        </is>
      </c>
      <c r="E471" t="inlineStr">
        <is>
          <t>GOTLAND</t>
        </is>
      </c>
      <c r="G471" t="n">
        <v>5.3</v>
      </c>
      <c r="H471" t="n">
        <v>0</v>
      </c>
      <c r="I471" t="n">
        <v>0</v>
      </c>
      <c r="J471" t="n">
        <v>0</v>
      </c>
      <c r="K471" t="n">
        <v>0</v>
      </c>
      <c r="L471" t="n">
        <v>0</v>
      </c>
      <c r="M471" t="n">
        <v>0</v>
      </c>
      <c r="N471" t="n">
        <v>0</v>
      </c>
      <c r="O471" t="n">
        <v>0</v>
      </c>
      <c r="P471" t="n">
        <v>0</v>
      </c>
      <c r="Q471" t="n">
        <v>0</v>
      </c>
      <c r="R471" s="2" t="inlineStr"/>
    </row>
    <row r="472" ht="15" customHeight="1">
      <c r="A472" t="inlineStr">
        <is>
          <t>A 39849-2025</t>
        </is>
      </c>
      <c r="B472" s="1" t="n">
        <v>45891.58502314815</v>
      </c>
      <c r="C472" s="1" t="n">
        <v>45974</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45974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32379-2025</t>
        </is>
      </c>
      <c r="B474" s="1" t="n">
        <v>45837</v>
      </c>
      <c r="C474" s="1" t="n">
        <v>45974</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27596-2023</t>
        </is>
      </c>
      <c r="B475" s="1" t="n">
        <v>45097</v>
      </c>
      <c r="C475" s="1" t="n">
        <v>45974</v>
      </c>
      <c r="D475" t="inlineStr">
        <is>
          <t>GOTLANDS LÄN</t>
        </is>
      </c>
      <c r="E475" t="inlineStr">
        <is>
          <t>GOTLAND</t>
        </is>
      </c>
      <c r="G475" t="n">
        <v>3.6</v>
      </c>
      <c r="H475" t="n">
        <v>0</v>
      </c>
      <c r="I475" t="n">
        <v>0</v>
      </c>
      <c r="J475" t="n">
        <v>0</v>
      </c>
      <c r="K475" t="n">
        <v>0</v>
      </c>
      <c r="L475" t="n">
        <v>0</v>
      </c>
      <c r="M475" t="n">
        <v>0</v>
      </c>
      <c r="N475" t="n">
        <v>0</v>
      </c>
      <c r="O475" t="n">
        <v>0</v>
      </c>
      <c r="P475" t="n">
        <v>0</v>
      </c>
      <c r="Q475" t="n">
        <v>0</v>
      </c>
      <c r="R475" s="2" t="inlineStr"/>
    </row>
    <row r="476" ht="15" customHeight="1">
      <c r="A476" t="inlineStr">
        <is>
          <t>A 56115-2023</t>
        </is>
      </c>
      <c r="B476" s="1" t="n">
        <v>45236</v>
      </c>
      <c r="C476" s="1" t="n">
        <v>45974</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64969-2023</t>
        </is>
      </c>
      <c r="B477" s="1" t="n">
        <v>45284.54009259259</v>
      </c>
      <c r="C477" s="1" t="n">
        <v>45974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39814-2025</t>
        </is>
      </c>
      <c r="B478" s="1" t="n">
        <v>45891.52694444444</v>
      </c>
      <c r="C478" s="1" t="n">
        <v>45974</v>
      </c>
      <c r="D478" t="inlineStr">
        <is>
          <t>GOTLANDS LÄN</t>
        </is>
      </c>
      <c r="E478" t="inlineStr">
        <is>
          <t>GOTLAND</t>
        </is>
      </c>
      <c r="G478" t="n">
        <v>4.5</v>
      </c>
      <c r="H478" t="n">
        <v>0</v>
      </c>
      <c r="I478" t="n">
        <v>0</v>
      </c>
      <c r="J478" t="n">
        <v>0</v>
      </c>
      <c r="K478" t="n">
        <v>0</v>
      </c>
      <c r="L478" t="n">
        <v>0</v>
      </c>
      <c r="M478" t="n">
        <v>0</v>
      </c>
      <c r="N478" t="n">
        <v>0</v>
      </c>
      <c r="O478" t="n">
        <v>0</v>
      </c>
      <c r="P478" t="n">
        <v>0</v>
      </c>
      <c r="Q478" t="n">
        <v>0</v>
      </c>
      <c r="R478" s="2" t="inlineStr"/>
    </row>
    <row r="479" ht="15" customHeight="1">
      <c r="A479" t="inlineStr">
        <is>
          <t>A 39819-2025</t>
        </is>
      </c>
      <c r="B479" s="1" t="n">
        <v>45891.53418981482</v>
      </c>
      <c r="C479" s="1" t="n">
        <v>45974</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33007-2025</t>
        </is>
      </c>
      <c r="B480" s="1" t="n">
        <v>45840</v>
      </c>
      <c r="C480" s="1" t="n">
        <v>45974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2774-2024</t>
        </is>
      </c>
      <c r="B481" s="1" t="n">
        <v>45314.62375</v>
      </c>
      <c r="C481" s="1" t="n">
        <v>45974</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33853-2024</t>
        </is>
      </c>
      <c r="B482" s="1" t="n">
        <v>45520.64298611111</v>
      </c>
      <c r="C482" s="1" t="n">
        <v>45974</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18223-2025</t>
        </is>
      </c>
      <c r="B483" s="1" t="n">
        <v>45761</v>
      </c>
      <c r="C483" s="1" t="n">
        <v>45974</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46949-2024</t>
        </is>
      </c>
      <c r="B484" s="1" t="n">
        <v>45585</v>
      </c>
      <c r="C484" s="1" t="n">
        <v>45974</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9947-2024</t>
        </is>
      </c>
      <c r="B485" s="1" t="n">
        <v>45363</v>
      </c>
      <c r="C485" s="1" t="n">
        <v>45974</v>
      </c>
      <c r="D485" t="inlineStr">
        <is>
          <t>GOTLANDS LÄN</t>
        </is>
      </c>
      <c r="E485" t="inlineStr">
        <is>
          <t>GOTLAND</t>
        </is>
      </c>
      <c r="G485" t="n">
        <v>2</v>
      </c>
      <c r="H485" t="n">
        <v>0</v>
      </c>
      <c r="I485" t="n">
        <v>0</v>
      </c>
      <c r="J485" t="n">
        <v>0</v>
      </c>
      <c r="K485" t="n">
        <v>0</v>
      </c>
      <c r="L485" t="n">
        <v>0</v>
      </c>
      <c r="M485" t="n">
        <v>0</v>
      </c>
      <c r="N485" t="n">
        <v>0</v>
      </c>
      <c r="O485" t="n">
        <v>0</v>
      </c>
      <c r="P485" t="n">
        <v>0</v>
      </c>
      <c r="Q485" t="n">
        <v>0</v>
      </c>
      <c r="R485" s="2" t="inlineStr"/>
    </row>
    <row r="486" ht="15" customHeight="1">
      <c r="A486" t="inlineStr">
        <is>
          <t>A 42007-2023</t>
        </is>
      </c>
      <c r="B486" s="1" t="n">
        <v>45177</v>
      </c>
      <c r="C486" s="1" t="n">
        <v>45974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39752-2025</t>
        </is>
      </c>
      <c r="B487" s="1" t="n">
        <v>45891</v>
      </c>
      <c r="C487" s="1" t="n">
        <v>45974</v>
      </c>
      <c r="D487" t="inlineStr">
        <is>
          <t>GOTLANDS LÄN</t>
        </is>
      </c>
      <c r="E487" t="inlineStr">
        <is>
          <t>GOTLAND</t>
        </is>
      </c>
      <c r="G487" t="n">
        <v>5.3</v>
      </c>
      <c r="H487" t="n">
        <v>0</v>
      </c>
      <c r="I487" t="n">
        <v>0</v>
      </c>
      <c r="J487" t="n">
        <v>0</v>
      </c>
      <c r="K487" t="n">
        <v>0</v>
      </c>
      <c r="L487" t="n">
        <v>0</v>
      </c>
      <c r="M487" t="n">
        <v>0</v>
      </c>
      <c r="N487" t="n">
        <v>0</v>
      </c>
      <c r="O487" t="n">
        <v>0</v>
      </c>
      <c r="P487" t="n">
        <v>0</v>
      </c>
      <c r="Q487" t="n">
        <v>0</v>
      </c>
      <c r="R487" s="2" t="inlineStr"/>
    </row>
    <row r="488" ht="15" customHeight="1">
      <c r="A488" t="inlineStr">
        <is>
          <t>A 39816-2025</t>
        </is>
      </c>
      <c r="B488" s="1" t="n">
        <v>45891</v>
      </c>
      <c r="C488" s="1" t="n">
        <v>45974</v>
      </c>
      <c r="D488" t="inlineStr">
        <is>
          <t>GOTLANDS LÄN</t>
        </is>
      </c>
      <c r="E488" t="inlineStr">
        <is>
          <t>GOTLAND</t>
        </is>
      </c>
      <c r="G488" t="n">
        <v>0.9</v>
      </c>
      <c r="H488" t="n">
        <v>0</v>
      </c>
      <c r="I488" t="n">
        <v>0</v>
      </c>
      <c r="J488" t="n">
        <v>0</v>
      </c>
      <c r="K488" t="n">
        <v>0</v>
      </c>
      <c r="L488" t="n">
        <v>0</v>
      </c>
      <c r="M488" t="n">
        <v>0</v>
      </c>
      <c r="N488" t="n">
        <v>0</v>
      </c>
      <c r="O488" t="n">
        <v>0</v>
      </c>
      <c r="P488" t="n">
        <v>0</v>
      </c>
      <c r="Q488" t="n">
        <v>0</v>
      </c>
      <c r="R488" s="2" t="inlineStr"/>
    </row>
    <row r="489" ht="15" customHeight="1">
      <c r="A489" t="inlineStr">
        <is>
          <t>A 40372-2025</t>
        </is>
      </c>
      <c r="B489" s="1" t="n">
        <v>45895.5162037037</v>
      </c>
      <c r="C489" s="1" t="n">
        <v>45974</v>
      </c>
      <c r="D489" t="inlineStr">
        <is>
          <t>GOTLANDS LÄN</t>
        </is>
      </c>
      <c r="E489" t="inlineStr">
        <is>
          <t>GOTLAND</t>
        </is>
      </c>
      <c r="G489" t="n">
        <v>3.3</v>
      </c>
      <c r="H489" t="n">
        <v>0</v>
      </c>
      <c r="I489" t="n">
        <v>0</v>
      </c>
      <c r="J489" t="n">
        <v>0</v>
      </c>
      <c r="K489" t="n">
        <v>0</v>
      </c>
      <c r="L489" t="n">
        <v>0</v>
      </c>
      <c r="M489" t="n">
        <v>0</v>
      </c>
      <c r="N489" t="n">
        <v>0</v>
      </c>
      <c r="O489" t="n">
        <v>0</v>
      </c>
      <c r="P489" t="n">
        <v>0</v>
      </c>
      <c r="Q489" t="n">
        <v>0</v>
      </c>
      <c r="R489" s="2" t="inlineStr"/>
    </row>
    <row r="490" ht="15" customHeight="1">
      <c r="A490" t="inlineStr">
        <is>
          <t>A 40373-2025</t>
        </is>
      </c>
      <c r="B490" s="1" t="n">
        <v>45895.51821759259</v>
      </c>
      <c r="C490" s="1" t="n">
        <v>45974</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44304-2021</t>
        </is>
      </c>
      <c r="B491" s="1" t="n">
        <v>44434</v>
      </c>
      <c r="C491" s="1" t="n">
        <v>45974</v>
      </c>
      <c r="D491" t="inlineStr">
        <is>
          <t>GOTLANDS LÄN</t>
        </is>
      </c>
      <c r="E491" t="inlineStr">
        <is>
          <t>GOTLAND</t>
        </is>
      </c>
      <c r="G491" t="n">
        <v>5.8</v>
      </c>
      <c r="H491" t="n">
        <v>0</v>
      </c>
      <c r="I491" t="n">
        <v>0</v>
      </c>
      <c r="J491" t="n">
        <v>0</v>
      </c>
      <c r="K491" t="n">
        <v>0</v>
      </c>
      <c r="L491" t="n">
        <v>0</v>
      </c>
      <c r="M491" t="n">
        <v>0</v>
      </c>
      <c r="N491" t="n">
        <v>0</v>
      </c>
      <c r="O491" t="n">
        <v>0</v>
      </c>
      <c r="P491" t="n">
        <v>0</v>
      </c>
      <c r="Q491" t="n">
        <v>0</v>
      </c>
      <c r="R491" s="2" t="inlineStr"/>
    </row>
    <row r="492" ht="15" customHeight="1">
      <c r="A492" t="inlineStr">
        <is>
          <t>A 15413-2025</t>
        </is>
      </c>
      <c r="B492" s="1" t="n">
        <v>45747.451875</v>
      </c>
      <c r="C492" s="1" t="n">
        <v>45974</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40103-2025</t>
        </is>
      </c>
      <c r="B493" s="1" t="n">
        <v>45894.4880324074</v>
      </c>
      <c r="C493" s="1" t="n">
        <v>45974</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15083-2025</t>
        </is>
      </c>
      <c r="B494" s="1" t="n">
        <v>45743</v>
      </c>
      <c r="C494" s="1" t="n">
        <v>45974</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35096-2025</t>
        </is>
      </c>
      <c r="B495" s="1" t="n">
        <v>45852.54356481481</v>
      </c>
      <c r="C495" s="1" t="n">
        <v>45974</v>
      </c>
      <c r="D495" t="inlineStr">
        <is>
          <t>GOTLANDS LÄN</t>
        </is>
      </c>
      <c r="E495" t="inlineStr">
        <is>
          <t>GOTLAND</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38649-2025</t>
        </is>
      </c>
      <c r="B496" s="1" t="n">
        <v>45884</v>
      </c>
      <c r="C496" s="1" t="n">
        <v>45974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35123-2025</t>
        </is>
      </c>
      <c r="B497" s="1" t="n">
        <v>45852.614375</v>
      </c>
      <c r="C497" s="1" t="n">
        <v>45974</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35290-2025</t>
        </is>
      </c>
      <c r="B498" s="1" t="n">
        <v>45854.38502314815</v>
      </c>
      <c r="C498" s="1" t="n">
        <v>45974</v>
      </c>
      <c r="D498" t="inlineStr">
        <is>
          <t>GOTLANDS LÄN</t>
        </is>
      </c>
      <c r="E498" t="inlineStr">
        <is>
          <t>GOTLAND</t>
        </is>
      </c>
      <c r="G498" t="n">
        <v>5.4</v>
      </c>
      <c r="H498" t="n">
        <v>0</v>
      </c>
      <c r="I498" t="n">
        <v>0</v>
      </c>
      <c r="J498" t="n">
        <v>0</v>
      </c>
      <c r="K498" t="n">
        <v>0</v>
      </c>
      <c r="L498" t="n">
        <v>0</v>
      </c>
      <c r="M498" t="n">
        <v>0</v>
      </c>
      <c r="N498" t="n">
        <v>0</v>
      </c>
      <c r="O498" t="n">
        <v>0</v>
      </c>
      <c r="P498" t="n">
        <v>0</v>
      </c>
      <c r="Q498" t="n">
        <v>0</v>
      </c>
      <c r="R498" s="2" t="inlineStr"/>
    </row>
    <row r="499" ht="15" customHeight="1">
      <c r="A499" t="inlineStr">
        <is>
          <t>A 30104-2025</t>
        </is>
      </c>
      <c r="B499" s="1" t="n">
        <v>45826.68806712963</v>
      </c>
      <c r="C499" s="1" t="n">
        <v>45974</v>
      </c>
      <c r="D499" t="inlineStr">
        <is>
          <t>GOTLANDS LÄN</t>
        </is>
      </c>
      <c r="E499" t="inlineStr">
        <is>
          <t>GOTLAND</t>
        </is>
      </c>
      <c r="G499" t="n">
        <v>15.4</v>
      </c>
      <c r="H499" t="n">
        <v>0</v>
      </c>
      <c r="I499" t="n">
        <v>0</v>
      </c>
      <c r="J499" t="n">
        <v>0</v>
      </c>
      <c r="K499" t="n">
        <v>0</v>
      </c>
      <c r="L499" t="n">
        <v>0</v>
      </c>
      <c r="M499" t="n">
        <v>0</v>
      </c>
      <c r="N499" t="n">
        <v>0</v>
      </c>
      <c r="O499" t="n">
        <v>0</v>
      </c>
      <c r="P499" t="n">
        <v>0</v>
      </c>
      <c r="Q499" t="n">
        <v>0</v>
      </c>
      <c r="R499" s="2" t="inlineStr"/>
    </row>
    <row r="500" ht="15" customHeight="1">
      <c r="A500" t="inlineStr">
        <is>
          <t>A 32669-2024</t>
        </is>
      </c>
      <c r="B500" s="1" t="n">
        <v>45514</v>
      </c>
      <c r="C500" s="1" t="n">
        <v>45974</v>
      </c>
      <c r="D500" t="inlineStr">
        <is>
          <t>GOTLANDS LÄN</t>
        </is>
      </c>
      <c r="E500" t="inlineStr">
        <is>
          <t>GOTLAND</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35550-2025</t>
        </is>
      </c>
      <c r="B501" s="1" t="n">
        <v>45856.49324074074</v>
      </c>
      <c r="C501" s="1" t="n">
        <v>45974</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40499-2025</t>
        </is>
      </c>
      <c r="B502" s="1" t="n">
        <v>45896.32517361111</v>
      </c>
      <c r="C502" s="1" t="n">
        <v>45974</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49690-2025</t>
        </is>
      </c>
      <c r="B503" s="1" t="n">
        <v>45939.66730324074</v>
      </c>
      <c r="C503" s="1" t="n">
        <v>45974</v>
      </c>
      <c r="D503" t="inlineStr">
        <is>
          <t>GOTLANDS LÄN</t>
        </is>
      </c>
      <c r="E503" t="inlineStr">
        <is>
          <t>GOTLAND</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35537-2025</t>
        </is>
      </c>
      <c r="B504" s="1" t="n">
        <v>45856</v>
      </c>
      <c r="C504" s="1" t="n">
        <v>45974</v>
      </c>
      <c r="D504" t="inlineStr">
        <is>
          <t>GOTLANDS LÄN</t>
        </is>
      </c>
      <c r="E504" t="inlineStr">
        <is>
          <t>GOTLAND</t>
        </is>
      </c>
      <c r="G504" t="n">
        <v>16.8</v>
      </c>
      <c r="H504" t="n">
        <v>0</v>
      </c>
      <c r="I504" t="n">
        <v>0</v>
      </c>
      <c r="J504" t="n">
        <v>0</v>
      </c>
      <c r="K504" t="n">
        <v>0</v>
      </c>
      <c r="L504" t="n">
        <v>0</v>
      </c>
      <c r="M504" t="n">
        <v>0</v>
      </c>
      <c r="N504" t="n">
        <v>0</v>
      </c>
      <c r="O504" t="n">
        <v>0</v>
      </c>
      <c r="P504" t="n">
        <v>0</v>
      </c>
      <c r="Q504" t="n">
        <v>0</v>
      </c>
      <c r="R504" s="2" t="inlineStr"/>
    </row>
    <row r="505" ht="15" customHeight="1">
      <c r="A505" t="inlineStr">
        <is>
          <t>A 49724-2025</t>
        </is>
      </c>
      <c r="B505" s="1" t="n">
        <v>45939.83730324074</v>
      </c>
      <c r="C505" s="1" t="n">
        <v>45974</v>
      </c>
      <c r="D505" t="inlineStr">
        <is>
          <t>GOTLANDS LÄN</t>
        </is>
      </c>
      <c r="E505" t="inlineStr">
        <is>
          <t>GOTLAND</t>
        </is>
      </c>
      <c r="F505" t="inlineStr">
        <is>
          <t>Kyrkan</t>
        </is>
      </c>
      <c r="G505" t="n">
        <v>3.1</v>
      </c>
      <c r="H505" t="n">
        <v>0</v>
      </c>
      <c r="I505" t="n">
        <v>0</v>
      </c>
      <c r="J505" t="n">
        <v>0</v>
      </c>
      <c r="K505" t="n">
        <v>0</v>
      </c>
      <c r="L505" t="n">
        <v>0</v>
      </c>
      <c r="M505" t="n">
        <v>0</v>
      </c>
      <c r="N505" t="n">
        <v>0</v>
      </c>
      <c r="O505" t="n">
        <v>0</v>
      </c>
      <c r="P505" t="n">
        <v>0</v>
      </c>
      <c r="Q505" t="n">
        <v>0</v>
      </c>
      <c r="R505" s="2" t="inlineStr"/>
    </row>
    <row r="506" ht="15" customHeight="1">
      <c r="A506" t="inlineStr">
        <is>
          <t>A 49730-2025</t>
        </is>
      </c>
      <c r="B506" s="1" t="n">
        <v>45939.87613425926</v>
      </c>
      <c r="C506" s="1" t="n">
        <v>45974</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45974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41551-2025</t>
        </is>
      </c>
      <c r="B508" s="1" t="n">
        <v>45901.58854166666</v>
      </c>
      <c r="C508" s="1" t="n">
        <v>45974</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45974</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30488-2025</t>
        </is>
      </c>
      <c r="B510" s="1" t="n">
        <v>45830</v>
      </c>
      <c r="C510" s="1" t="n">
        <v>45974</v>
      </c>
      <c r="D510" t="inlineStr">
        <is>
          <t>GOTLANDS LÄN</t>
        </is>
      </c>
      <c r="E510" t="inlineStr">
        <is>
          <t>GOTLAND</t>
        </is>
      </c>
      <c r="F510" t="inlineStr">
        <is>
          <t>Kyrkan</t>
        </is>
      </c>
      <c r="G510" t="n">
        <v>3.9</v>
      </c>
      <c r="H510" t="n">
        <v>0</v>
      </c>
      <c r="I510" t="n">
        <v>0</v>
      </c>
      <c r="J510" t="n">
        <v>0</v>
      </c>
      <c r="K510" t="n">
        <v>0</v>
      </c>
      <c r="L510" t="n">
        <v>0</v>
      </c>
      <c r="M510" t="n">
        <v>0</v>
      </c>
      <c r="N510" t="n">
        <v>0</v>
      </c>
      <c r="O510" t="n">
        <v>0</v>
      </c>
      <c r="P510" t="n">
        <v>0</v>
      </c>
      <c r="Q510" t="n">
        <v>0</v>
      </c>
      <c r="R510" s="2" t="inlineStr"/>
    </row>
    <row r="511" ht="15" customHeight="1">
      <c r="A511" t="inlineStr">
        <is>
          <t>A 15216-2025</t>
        </is>
      </c>
      <c r="B511" s="1" t="n">
        <v>45744</v>
      </c>
      <c r="C511" s="1" t="n">
        <v>45974</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15001-2025</t>
        </is>
      </c>
      <c r="B512" s="1" t="n">
        <v>45743</v>
      </c>
      <c r="C512" s="1" t="n">
        <v>45974</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43790-2024</t>
        </is>
      </c>
      <c r="B513" s="1" t="n">
        <v>45571</v>
      </c>
      <c r="C513" s="1" t="n">
        <v>45974</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17847-2025</t>
        </is>
      </c>
      <c r="B514" s="1" t="n">
        <v>45758</v>
      </c>
      <c r="C514" s="1" t="n">
        <v>45974</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36319-2025</t>
        </is>
      </c>
      <c r="B515" s="1" t="n">
        <v>45868</v>
      </c>
      <c r="C515" s="1" t="n">
        <v>45974</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18742-2025</t>
        </is>
      </c>
      <c r="B516" s="1" t="n">
        <v>45763</v>
      </c>
      <c r="C516" s="1" t="n">
        <v>45974</v>
      </c>
      <c r="D516" t="inlineStr">
        <is>
          <t>GOTLANDS LÄN</t>
        </is>
      </c>
      <c r="E516" t="inlineStr">
        <is>
          <t>GOTLAND</t>
        </is>
      </c>
      <c r="G516" t="n">
        <v>3.4</v>
      </c>
      <c r="H516" t="n">
        <v>0</v>
      </c>
      <c r="I516" t="n">
        <v>0</v>
      </c>
      <c r="J516" t="n">
        <v>0</v>
      </c>
      <c r="K516" t="n">
        <v>0</v>
      </c>
      <c r="L516" t="n">
        <v>0</v>
      </c>
      <c r="M516" t="n">
        <v>0</v>
      </c>
      <c r="N516" t="n">
        <v>0</v>
      </c>
      <c r="O516" t="n">
        <v>0</v>
      </c>
      <c r="P516" t="n">
        <v>0</v>
      </c>
      <c r="Q516" t="n">
        <v>0</v>
      </c>
      <c r="R516" s="2" t="inlineStr"/>
    </row>
    <row r="517" ht="15" customHeight="1">
      <c r="A517" t="inlineStr">
        <is>
          <t>A 39278-2025</t>
        </is>
      </c>
      <c r="B517" s="1" t="n">
        <v>45889</v>
      </c>
      <c r="C517" s="1" t="n">
        <v>45974</v>
      </c>
      <c r="D517" t="inlineStr">
        <is>
          <t>GOTLANDS LÄN</t>
        </is>
      </c>
      <c r="E517" t="inlineStr">
        <is>
          <t>GOTLAND</t>
        </is>
      </c>
      <c r="G517" t="n">
        <v>3.7</v>
      </c>
      <c r="H517" t="n">
        <v>0</v>
      </c>
      <c r="I517" t="n">
        <v>0</v>
      </c>
      <c r="J517" t="n">
        <v>0</v>
      </c>
      <c r="K517" t="n">
        <v>0</v>
      </c>
      <c r="L517" t="n">
        <v>0</v>
      </c>
      <c r="M517" t="n">
        <v>0</v>
      </c>
      <c r="N517" t="n">
        <v>0</v>
      </c>
      <c r="O517" t="n">
        <v>0</v>
      </c>
      <c r="P517" t="n">
        <v>0</v>
      </c>
      <c r="Q517" t="n">
        <v>0</v>
      </c>
      <c r="R517" s="2" t="inlineStr"/>
    </row>
    <row r="518" ht="15" customHeight="1">
      <c r="A518" t="inlineStr">
        <is>
          <t>A 35129-2025</t>
        </is>
      </c>
      <c r="B518" s="1" t="n">
        <v>45852.63224537037</v>
      </c>
      <c r="C518" s="1" t="n">
        <v>45974</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30815-2023</t>
        </is>
      </c>
      <c r="B519" s="1" t="n">
        <v>45112</v>
      </c>
      <c r="C519" s="1" t="n">
        <v>45974</v>
      </c>
      <c r="D519" t="inlineStr">
        <is>
          <t>GOTLANDS LÄN</t>
        </is>
      </c>
      <c r="E519" t="inlineStr">
        <is>
          <t>GOTLAND</t>
        </is>
      </c>
      <c r="G519" t="n">
        <v>6</v>
      </c>
      <c r="H519" t="n">
        <v>0</v>
      </c>
      <c r="I519" t="n">
        <v>0</v>
      </c>
      <c r="J519" t="n">
        <v>0</v>
      </c>
      <c r="K519" t="n">
        <v>0</v>
      </c>
      <c r="L519" t="n">
        <v>0</v>
      </c>
      <c r="M519" t="n">
        <v>0</v>
      </c>
      <c r="N519" t="n">
        <v>0</v>
      </c>
      <c r="O519" t="n">
        <v>0</v>
      </c>
      <c r="P519" t="n">
        <v>0</v>
      </c>
      <c r="Q519" t="n">
        <v>0</v>
      </c>
      <c r="R519" s="2" t="inlineStr"/>
    </row>
    <row r="520" ht="15" customHeight="1">
      <c r="A520" t="inlineStr">
        <is>
          <t>A 33011-2025</t>
        </is>
      </c>
      <c r="B520" s="1" t="n">
        <v>45840</v>
      </c>
      <c r="C520" s="1" t="n">
        <v>45974</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46400-2023</t>
        </is>
      </c>
      <c r="B521" s="1" t="n">
        <v>45197.49290509259</v>
      </c>
      <c r="C521" s="1" t="n">
        <v>45974</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10492-2023</t>
        </is>
      </c>
      <c r="B522" s="1" t="n">
        <v>44987</v>
      </c>
      <c r="C522" s="1" t="n">
        <v>45974</v>
      </c>
      <c r="D522" t="inlineStr">
        <is>
          <t>GOTLANDS LÄN</t>
        </is>
      </c>
      <c r="E522" t="inlineStr">
        <is>
          <t>GOTLAND</t>
        </is>
      </c>
      <c r="G522" t="n">
        <v>1</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45974</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50421-2025</t>
        </is>
      </c>
      <c r="B524" s="1" t="n">
        <v>45944.66049768519</v>
      </c>
      <c r="C524" s="1" t="n">
        <v>45974</v>
      </c>
      <c r="D524" t="inlineStr">
        <is>
          <t>GOTLANDS LÄN</t>
        </is>
      </c>
      <c r="E524" t="inlineStr">
        <is>
          <t>GOTLAND</t>
        </is>
      </c>
      <c r="G524" t="n">
        <v>3.9</v>
      </c>
      <c r="H524" t="n">
        <v>0</v>
      </c>
      <c r="I524" t="n">
        <v>0</v>
      </c>
      <c r="J524" t="n">
        <v>0</v>
      </c>
      <c r="K524" t="n">
        <v>0</v>
      </c>
      <c r="L524" t="n">
        <v>0</v>
      </c>
      <c r="M524" t="n">
        <v>0</v>
      </c>
      <c r="N524" t="n">
        <v>0</v>
      </c>
      <c r="O524" t="n">
        <v>0</v>
      </c>
      <c r="P524" t="n">
        <v>0</v>
      </c>
      <c r="Q524" t="n">
        <v>0</v>
      </c>
      <c r="R524" s="2" t="inlineStr"/>
    </row>
    <row r="525" ht="15" customHeight="1">
      <c r="A525" t="inlineStr">
        <is>
          <t>A 50431-2025</t>
        </is>
      </c>
      <c r="B525" s="1" t="n">
        <v>45944.68453703704</v>
      </c>
      <c r="C525" s="1" t="n">
        <v>45974</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44919-2022</t>
        </is>
      </c>
      <c r="B526" s="1" t="n">
        <v>44841</v>
      </c>
      <c r="C526" s="1" t="n">
        <v>45974</v>
      </c>
      <c r="D526" t="inlineStr">
        <is>
          <t>GOTLANDS LÄN</t>
        </is>
      </c>
      <c r="E526" t="inlineStr">
        <is>
          <t>GOTLAND</t>
        </is>
      </c>
      <c r="G526" t="n">
        <v>2.2</v>
      </c>
      <c r="H526" t="n">
        <v>0</v>
      </c>
      <c r="I526" t="n">
        <v>0</v>
      </c>
      <c r="J526" t="n">
        <v>0</v>
      </c>
      <c r="K526" t="n">
        <v>0</v>
      </c>
      <c r="L526" t="n">
        <v>0</v>
      </c>
      <c r="M526" t="n">
        <v>0</v>
      </c>
      <c r="N526" t="n">
        <v>0</v>
      </c>
      <c r="O526" t="n">
        <v>0</v>
      </c>
      <c r="P526" t="n">
        <v>0</v>
      </c>
      <c r="Q526" t="n">
        <v>0</v>
      </c>
      <c r="R526" s="2" t="inlineStr"/>
    </row>
    <row r="527" ht="15" customHeight="1">
      <c r="A527" t="inlineStr">
        <is>
          <t>A 30489-2025</t>
        </is>
      </c>
      <c r="B527" s="1" t="n">
        <v>45830</v>
      </c>
      <c r="C527" s="1" t="n">
        <v>45974</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21142-2025</t>
        </is>
      </c>
      <c r="B528" s="1" t="n">
        <v>45779</v>
      </c>
      <c r="C528" s="1" t="n">
        <v>45974</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6108-2025</t>
        </is>
      </c>
      <c r="B529" s="1" t="n">
        <v>45698.29880787037</v>
      </c>
      <c r="C529" s="1" t="n">
        <v>45974</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16501-2023</t>
        </is>
      </c>
      <c r="B530" s="1" t="n">
        <v>45029</v>
      </c>
      <c r="C530" s="1" t="n">
        <v>45974</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17343-2025</t>
        </is>
      </c>
      <c r="B531" s="1" t="n">
        <v>45756.6687037037</v>
      </c>
      <c r="C531" s="1" t="n">
        <v>45974</v>
      </c>
      <c r="D531" t="inlineStr">
        <is>
          <t>GOTLANDS LÄN</t>
        </is>
      </c>
      <c r="E531" t="inlineStr">
        <is>
          <t>GOTLAND</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18938-2025</t>
        </is>
      </c>
      <c r="B532" s="1" t="n">
        <v>45764.49172453704</v>
      </c>
      <c r="C532" s="1" t="n">
        <v>45974</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27095-2022</t>
        </is>
      </c>
      <c r="B533" s="1" t="n">
        <v>44741</v>
      </c>
      <c r="C533" s="1" t="n">
        <v>45974</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45974</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20307-2025</t>
        </is>
      </c>
      <c r="B535" s="1" t="n">
        <v>45774.95546296296</v>
      </c>
      <c r="C535" s="1" t="n">
        <v>45974</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1291-2023</t>
        </is>
      </c>
      <c r="B536" s="1" t="n">
        <v>44936.47561342592</v>
      </c>
      <c r="C536" s="1" t="n">
        <v>45974</v>
      </c>
      <c r="D536" t="inlineStr">
        <is>
          <t>GOTLANDS LÄN</t>
        </is>
      </c>
      <c r="E536" t="inlineStr">
        <is>
          <t>GOTLAND</t>
        </is>
      </c>
      <c r="G536" t="n">
        <v>7.4</v>
      </c>
      <c r="H536" t="n">
        <v>0</v>
      </c>
      <c r="I536" t="n">
        <v>0</v>
      </c>
      <c r="J536" t="n">
        <v>0</v>
      </c>
      <c r="K536" t="n">
        <v>0</v>
      </c>
      <c r="L536" t="n">
        <v>0</v>
      </c>
      <c r="M536" t="n">
        <v>0</v>
      </c>
      <c r="N536" t="n">
        <v>0</v>
      </c>
      <c r="O536" t="n">
        <v>0</v>
      </c>
      <c r="P536" t="n">
        <v>0</v>
      </c>
      <c r="Q536" t="n">
        <v>0</v>
      </c>
      <c r="R536" s="2" t="inlineStr"/>
    </row>
    <row r="537" ht="15" customHeight="1">
      <c r="A537" t="inlineStr">
        <is>
          <t>A 50928-2025</t>
        </is>
      </c>
      <c r="B537" s="1" t="n">
        <v>45946.67896990741</v>
      </c>
      <c r="C537" s="1" t="n">
        <v>45974</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32330-2024</t>
        </is>
      </c>
      <c r="B538" s="1" t="n">
        <v>45512</v>
      </c>
      <c r="C538" s="1" t="n">
        <v>45974</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5891-2025</t>
        </is>
      </c>
      <c r="B539" s="1" t="n">
        <v>45695.38327546296</v>
      </c>
      <c r="C539" s="1" t="n">
        <v>45974</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42608-2025</t>
        </is>
      </c>
      <c r="B540" s="1" t="n">
        <v>45905</v>
      </c>
      <c r="C540" s="1" t="n">
        <v>45974</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14804-2021</t>
        </is>
      </c>
      <c r="B541" s="1" t="n">
        <v>44280</v>
      </c>
      <c r="C541" s="1" t="n">
        <v>45974</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18993-2025</t>
        </is>
      </c>
      <c r="B542" s="1" t="n">
        <v>45764</v>
      </c>
      <c r="C542" s="1" t="n">
        <v>45974</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30135-2025</t>
        </is>
      </c>
      <c r="B543" s="1" t="n">
        <v>45826</v>
      </c>
      <c r="C543" s="1" t="n">
        <v>45974</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2719-2023</t>
        </is>
      </c>
      <c r="B544" s="1" t="n">
        <v>44944.55361111111</v>
      </c>
      <c r="C544" s="1" t="n">
        <v>45974</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17144-2025</t>
        </is>
      </c>
      <c r="B545" s="1" t="n">
        <v>45755.9499537037</v>
      </c>
      <c r="C545" s="1" t="n">
        <v>45974</v>
      </c>
      <c r="D545" t="inlineStr">
        <is>
          <t>GOTLANDS LÄN</t>
        </is>
      </c>
      <c r="E545" t="inlineStr">
        <is>
          <t>GOTLAND</t>
        </is>
      </c>
      <c r="G545" t="n">
        <v>1.2</v>
      </c>
      <c r="H545" t="n">
        <v>0</v>
      </c>
      <c r="I545" t="n">
        <v>0</v>
      </c>
      <c r="J545" t="n">
        <v>0</v>
      </c>
      <c r="K545" t="n">
        <v>0</v>
      </c>
      <c r="L545" t="n">
        <v>0</v>
      </c>
      <c r="M545" t="n">
        <v>0</v>
      </c>
      <c r="N545" t="n">
        <v>0</v>
      </c>
      <c r="O545" t="n">
        <v>0</v>
      </c>
      <c r="P545" t="n">
        <v>0</v>
      </c>
      <c r="Q545" t="n">
        <v>0</v>
      </c>
      <c r="R545" s="2" t="inlineStr"/>
    </row>
    <row r="546" ht="15" customHeight="1">
      <c r="A546" t="inlineStr">
        <is>
          <t>A 49314-2024</t>
        </is>
      </c>
      <c r="B546" s="1" t="n">
        <v>45595.55893518519</v>
      </c>
      <c r="C546" s="1" t="n">
        <v>45974</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45974</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9875-2025</t>
        </is>
      </c>
      <c r="B548" s="1" t="n">
        <v>45716</v>
      </c>
      <c r="C548" s="1" t="n">
        <v>45974</v>
      </c>
      <c r="D548" t="inlineStr">
        <is>
          <t>GOTLANDS LÄN</t>
        </is>
      </c>
      <c r="E548" t="inlineStr">
        <is>
          <t>GOTLAND</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51262-2025</t>
        </is>
      </c>
      <c r="B549" s="1" t="n">
        <v>45949.49872685185</v>
      </c>
      <c r="C549" s="1" t="n">
        <v>45974</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29809-2022</t>
        </is>
      </c>
      <c r="B550" s="1" t="n">
        <v>44755.8713425926</v>
      </c>
      <c r="C550" s="1" t="n">
        <v>45974</v>
      </c>
      <c r="D550" t="inlineStr">
        <is>
          <t>GOTLANDS LÄN</t>
        </is>
      </c>
      <c r="E550" t="inlineStr">
        <is>
          <t>GOTLAND</t>
        </is>
      </c>
      <c r="G550" t="n">
        <v>11.5</v>
      </c>
      <c r="H550" t="n">
        <v>0</v>
      </c>
      <c r="I550" t="n">
        <v>0</v>
      </c>
      <c r="J550" t="n">
        <v>0</v>
      </c>
      <c r="K550" t="n">
        <v>0</v>
      </c>
      <c r="L550" t="n">
        <v>0</v>
      </c>
      <c r="M550" t="n">
        <v>0</v>
      </c>
      <c r="N550" t="n">
        <v>0</v>
      </c>
      <c r="O550" t="n">
        <v>0</v>
      </c>
      <c r="P550" t="n">
        <v>0</v>
      </c>
      <c r="Q550" t="n">
        <v>0</v>
      </c>
      <c r="R550" s="2" t="inlineStr"/>
    </row>
    <row r="551" ht="15" customHeight="1">
      <c r="A551" t="inlineStr">
        <is>
          <t>A 16361-2024</t>
        </is>
      </c>
      <c r="B551" s="1" t="n">
        <v>45407</v>
      </c>
      <c r="C551" s="1" t="n">
        <v>45974</v>
      </c>
      <c r="D551" t="inlineStr">
        <is>
          <t>GOTLANDS LÄN</t>
        </is>
      </c>
      <c r="E551" t="inlineStr">
        <is>
          <t>GOTLAND</t>
        </is>
      </c>
      <c r="G551" t="n">
        <v>6</v>
      </c>
      <c r="H551" t="n">
        <v>0</v>
      </c>
      <c r="I551" t="n">
        <v>0</v>
      </c>
      <c r="J551" t="n">
        <v>0</v>
      </c>
      <c r="K551" t="n">
        <v>0</v>
      </c>
      <c r="L551" t="n">
        <v>0</v>
      </c>
      <c r="M551" t="n">
        <v>0</v>
      </c>
      <c r="N551" t="n">
        <v>0</v>
      </c>
      <c r="O551" t="n">
        <v>0</v>
      </c>
      <c r="P551" t="n">
        <v>0</v>
      </c>
      <c r="Q551" t="n">
        <v>0</v>
      </c>
      <c r="R551" s="2" t="inlineStr"/>
    </row>
    <row r="552" ht="15" customHeight="1">
      <c r="A552" t="inlineStr">
        <is>
          <t>A 43081-2022</t>
        </is>
      </c>
      <c r="B552" s="1" t="n">
        <v>44833</v>
      </c>
      <c r="C552" s="1" t="n">
        <v>45974</v>
      </c>
      <c r="D552" t="inlineStr">
        <is>
          <t>GOTLANDS LÄN</t>
        </is>
      </c>
      <c r="E552" t="inlineStr">
        <is>
          <t>GOTLAND</t>
        </is>
      </c>
      <c r="G552" t="n">
        <v>6.8</v>
      </c>
      <c r="H552" t="n">
        <v>0</v>
      </c>
      <c r="I552" t="n">
        <v>0</v>
      </c>
      <c r="J552" t="n">
        <v>0</v>
      </c>
      <c r="K552" t="n">
        <v>0</v>
      </c>
      <c r="L552" t="n">
        <v>0</v>
      </c>
      <c r="M552" t="n">
        <v>0</v>
      </c>
      <c r="N552" t="n">
        <v>0</v>
      </c>
      <c r="O552" t="n">
        <v>0</v>
      </c>
      <c r="P552" t="n">
        <v>0</v>
      </c>
      <c r="Q552" t="n">
        <v>0</v>
      </c>
      <c r="R552" s="2" t="inlineStr"/>
    </row>
    <row r="553" ht="15" customHeight="1">
      <c r="A553" t="inlineStr">
        <is>
          <t>A 1175-2025</t>
        </is>
      </c>
      <c r="B553" s="1" t="n">
        <v>45667.34449074074</v>
      </c>
      <c r="C553" s="1" t="n">
        <v>45974</v>
      </c>
      <c r="D553" t="inlineStr">
        <is>
          <t>GOTLANDS LÄN</t>
        </is>
      </c>
      <c r="E553" t="inlineStr">
        <is>
          <t>GOTLAND</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42201-2023</t>
        </is>
      </c>
      <c r="B554" s="1" t="n">
        <v>45179</v>
      </c>
      <c r="C554" s="1" t="n">
        <v>45974</v>
      </c>
      <c r="D554" t="inlineStr">
        <is>
          <t>GOTLANDS LÄN</t>
        </is>
      </c>
      <c r="E554" t="inlineStr">
        <is>
          <t>GOTLAND</t>
        </is>
      </c>
      <c r="G554" t="n">
        <v>11.9</v>
      </c>
      <c r="H554" t="n">
        <v>0</v>
      </c>
      <c r="I554" t="n">
        <v>0</v>
      </c>
      <c r="J554" t="n">
        <v>0</v>
      </c>
      <c r="K554" t="n">
        <v>0</v>
      </c>
      <c r="L554" t="n">
        <v>0</v>
      </c>
      <c r="M554" t="n">
        <v>0</v>
      </c>
      <c r="N554" t="n">
        <v>0</v>
      </c>
      <c r="O554" t="n">
        <v>0</v>
      </c>
      <c r="P554" t="n">
        <v>0</v>
      </c>
      <c r="Q554" t="n">
        <v>0</v>
      </c>
      <c r="R554" s="2" t="inlineStr"/>
    </row>
    <row r="555" ht="15" customHeight="1">
      <c r="A555" t="inlineStr">
        <is>
          <t>A 3150-2025</t>
        </is>
      </c>
      <c r="B555" s="1" t="n">
        <v>45679.28974537037</v>
      </c>
      <c r="C555" s="1" t="n">
        <v>45974</v>
      </c>
      <c r="D555" t="inlineStr">
        <is>
          <t>GOTLANDS LÄN</t>
        </is>
      </c>
      <c r="E555" t="inlineStr">
        <is>
          <t>GOTLAND</t>
        </is>
      </c>
      <c r="G555" t="n">
        <v>2.5</v>
      </c>
      <c r="H555" t="n">
        <v>0</v>
      </c>
      <c r="I555" t="n">
        <v>0</v>
      </c>
      <c r="J555" t="n">
        <v>0</v>
      </c>
      <c r="K555" t="n">
        <v>0</v>
      </c>
      <c r="L555" t="n">
        <v>0</v>
      </c>
      <c r="M555" t="n">
        <v>0</v>
      </c>
      <c r="N555" t="n">
        <v>0</v>
      </c>
      <c r="O555" t="n">
        <v>0</v>
      </c>
      <c r="P555" t="n">
        <v>0</v>
      </c>
      <c r="Q555" t="n">
        <v>0</v>
      </c>
      <c r="R555" s="2" t="inlineStr"/>
    </row>
    <row r="556" ht="15" customHeight="1">
      <c r="A556" t="inlineStr">
        <is>
          <t>A 42041-2024</t>
        </is>
      </c>
      <c r="B556" s="1" t="n">
        <v>45561</v>
      </c>
      <c r="C556" s="1" t="n">
        <v>45974</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10158-2025</t>
        </is>
      </c>
      <c r="B557" s="1" t="n">
        <v>45719</v>
      </c>
      <c r="C557" s="1" t="n">
        <v>45974</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52249-2025</t>
        </is>
      </c>
      <c r="B558" s="1" t="n">
        <v>45953.48637731482</v>
      </c>
      <c r="C558" s="1" t="n">
        <v>45974</v>
      </c>
      <c r="D558" t="inlineStr">
        <is>
          <t>GOTLANDS LÄN</t>
        </is>
      </c>
      <c r="E558" t="inlineStr">
        <is>
          <t>GOTLAND</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43911-2025</t>
        </is>
      </c>
      <c r="B559" s="1" t="n">
        <v>45914.3881712963</v>
      </c>
      <c r="C559" s="1" t="n">
        <v>45974</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15436-2025</t>
        </is>
      </c>
      <c r="B560" s="1" t="n">
        <v>45747.47462962963</v>
      </c>
      <c r="C560" s="1" t="n">
        <v>45974</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21247-2022</t>
        </is>
      </c>
      <c r="B561" s="1" t="n">
        <v>44705.38832175926</v>
      </c>
      <c r="C561" s="1" t="n">
        <v>45974</v>
      </c>
      <c r="D561" t="inlineStr">
        <is>
          <t>GOTLANDS LÄN</t>
        </is>
      </c>
      <c r="E561" t="inlineStr">
        <is>
          <t>GOTLAND</t>
        </is>
      </c>
      <c r="G561" t="n">
        <v>16.2</v>
      </c>
      <c r="H561" t="n">
        <v>0</v>
      </c>
      <c r="I561" t="n">
        <v>0</v>
      </c>
      <c r="J561" t="n">
        <v>0</v>
      </c>
      <c r="K561" t="n">
        <v>0</v>
      </c>
      <c r="L561" t="n">
        <v>0</v>
      </c>
      <c r="M561" t="n">
        <v>0</v>
      </c>
      <c r="N561" t="n">
        <v>0</v>
      </c>
      <c r="O561" t="n">
        <v>0</v>
      </c>
      <c r="P561" t="n">
        <v>0</v>
      </c>
      <c r="Q561" t="n">
        <v>0</v>
      </c>
      <c r="R561" s="2" t="inlineStr"/>
    </row>
    <row r="562" ht="15" customHeight="1">
      <c r="A562" t="inlineStr">
        <is>
          <t>A 17780-2022</t>
        </is>
      </c>
      <c r="B562" s="1" t="n">
        <v>44682.82622685185</v>
      </c>
      <c r="C562" s="1" t="n">
        <v>45974</v>
      </c>
      <c r="D562" t="inlineStr">
        <is>
          <t>GOTLANDS LÄN</t>
        </is>
      </c>
      <c r="E562" t="inlineStr">
        <is>
          <t>GOTLAND</t>
        </is>
      </c>
      <c r="G562" t="n">
        <v>2.2</v>
      </c>
      <c r="H562" t="n">
        <v>0</v>
      </c>
      <c r="I562" t="n">
        <v>0</v>
      </c>
      <c r="J562" t="n">
        <v>0</v>
      </c>
      <c r="K562" t="n">
        <v>0</v>
      </c>
      <c r="L562" t="n">
        <v>0</v>
      </c>
      <c r="M562" t="n">
        <v>0</v>
      </c>
      <c r="N562" t="n">
        <v>0</v>
      </c>
      <c r="O562" t="n">
        <v>0</v>
      </c>
      <c r="P562" t="n">
        <v>0</v>
      </c>
      <c r="Q562" t="n">
        <v>0</v>
      </c>
      <c r="R562" s="2" t="inlineStr"/>
    </row>
    <row r="563" ht="15" customHeight="1">
      <c r="A563" t="inlineStr">
        <is>
          <t>A 63516-2023</t>
        </is>
      </c>
      <c r="B563" s="1" t="n">
        <v>45274</v>
      </c>
      <c r="C563" s="1" t="n">
        <v>45974</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43951-2025</t>
        </is>
      </c>
      <c r="B564" s="1" t="n">
        <v>45915.38119212963</v>
      </c>
      <c r="C564" s="1" t="n">
        <v>45974</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52637-2025</t>
        </is>
      </c>
      <c r="B565" s="1" t="n">
        <v>45954.75099537037</v>
      </c>
      <c r="C565" s="1" t="n">
        <v>45974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44410-2025</t>
        </is>
      </c>
      <c r="B566" s="1" t="n">
        <v>45916.53699074074</v>
      </c>
      <c r="C566" s="1" t="n">
        <v>45974</v>
      </c>
      <c r="D566" t="inlineStr">
        <is>
          <t>GOTLANDS LÄN</t>
        </is>
      </c>
      <c r="E566" t="inlineStr">
        <is>
          <t>GOTLAND</t>
        </is>
      </c>
      <c r="G566" t="n">
        <v>2.3</v>
      </c>
      <c r="H566" t="n">
        <v>0</v>
      </c>
      <c r="I566" t="n">
        <v>0</v>
      </c>
      <c r="J566" t="n">
        <v>0</v>
      </c>
      <c r="K566" t="n">
        <v>0</v>
      </c>
      <c r="L566" t="n">
        <v>0</v>
      </c>
      <c r="M566" t="n">
        <v>0</v>
      </c>
      <c r="N566" t="n">
        <v>0</v>
      </c>
      <c r="O566" t="n">
        <v>0</v>
      </c>
      <c r="P566" t="n">
        <v>0</v>
      </c>
      <c r="Q566" t="n">
        <v>0</v>
      </c>
      <c r="R566" s="2" t="inlineStr"/>
    </row>
    <row r="567" ht="15" customHeight="1">
      <c r="A567" t="inlineStr">
        <is>
          <t>A 53935-2024</t>
        </is>
      </c>
      <c r="B567" s="1" t="n">
        <v>45615</v>
      </c>
      <c r="C567" s="1" t="n">
        <v>45974</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69112-2021</t>
        </is>
      </c>
      <c r="B568" s="1" t="n">
        <v>44530</v>
      </c>
      <c r="C568" s="1" t="n">
        <v>45974</v>
      </c>
      <c r="D568" t="inlineStr">
        <is>
          <t>GOTLANDS LÄN</t>
        </is>
      </c>
      <c r="E568" t="inlineStr">
        <is>
          <t>GOTLAND</t>
        </is>
      </c>
      <c r="G568" t="n">
        <v>4.2</v>
      </c>
      <c r="H568" t="n">
        <v>0</v>
      </c>
      <c r="I568" t="n">
        <v>0</v>
      </c>
      <c r="J568" t="n">
        <v>0</v>
      </c>
      <c r="K568" t="n">
        <v>0</v>
      </c>
      <c r="L568" t="n">
        <v>0</v>
      </c>
      <c r="M568" t="n">
        <v>0</v>
      </c>
      <c r="N568" t="n">
        <v>0</v>
      </c>
      <c r="O568" t="n">
        <v>0</v>
      </c>
      <c r="P568" t="n">
        <v>0</v>
      </c>
      <c r="Q568" t="n">
        <v>0</v>
      </c>
      <c r="R568" s="2" t="inlineStr"/>
    </row>
    <row r="569" ht="15" customHeight="1">
      <c r="A569" t="inlineStr">
        <is>
          <t>A 48734-2022</t>
        </is>
      </c>
      <c r="B569" s="1" t="n">
        <v>44855</v>
      </c>
      <c r="C569" s="1" t="n">
        <v>45974</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23516-2023</t>
        </is>
      </c>
      <c r="B570" s="1" t="n">
        <v>45076.93391203704</v>
      </c>
      <c r="C570" s="1" t="n">
        <v>45974</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43231-2023</t>
        </is>
      </c>
      <c r="B571" s="1" t="n">
        <v>45183.47025462963</v>
      </c>
      <c r="C571" s="1" t="n">
        <v>45974</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44405-2025</t>
        </is>
      </c>
      <c r="B572" s="1" t="n">
        <v>45916.52405092592</v>
      </c>
      <c r="C572" s="1" t="n">
        <v>45974</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58230-2024</t>
        </is>
      </c>
      <c r="B573" s="1" t="n">
        <v>45632.51625</v>
      </c>
      <c r="C573" s="1" t="n">
        <v>45974</v>
      </c>
      <c r="D573" t="inlineStr">
        <is>
          <t>GOTLANDS LÄN</t>
        </is>
      </c>
      <c r="E573" t="inlineStr">
        <is>
          <t>GOTLAND</t>
        </is>
      </c>
      <c r="G573" t="n">
        <v>7.3</v>
      </c>
      <c r="H573" t="n">
        <v>0</v>
      </c>
      <c r="I573" t="n">
        <v>0</v>
      </c>
      <c r="J573" t="n">
        <v>0</v>
      </c>
      <c r="K573" t="n">
        <v>0</v>
      </c>
      <c r="L573" t="n">
        <v>0</v>
      </c>
      <c r="M573" t="n">
        <v>0</v>
      </c>
      <c r="N573" t="n">
        <v>0</v>
      </c>
      <c r="O573" t="n">
        <v>0</v>
      </c>
      <c r="P573" t="n">
        <v>0</v>
      </c>
      <c r="Q573" t="n">
        <v>0</v>
      </c>
      <c r="R573" s="2" t="inlineStr"/>
    </row>
    <row r="574" ht="15" customHeight="1">
      <c r="A574" t="inlineStr">
        <is>
          <t>A 64555-2023</t>
        </is>
      </c>
      <c r="B574" s="1" t="n">
        <v>45281</v>
      </c>
      <c r="C574" s="1" t="n">
        <v>45974</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44929.87238425926</v>
      </c>
      <c r="C575" s="1" t="n">
        <v>45974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44929.87423611111</v>
      </c>
      <c r="C576" s="1" t="n">
        <v>45974</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53587-2025</t>
        </is>
      </c>
      <c r="B577" s="1" t="n">
        <v>45960.43681712963</v>
      </c>
      <c r="C577" s="1" t="n">
        <v>45974</v>
      </c>
      <c r="D577" t="inlineStr">
        <is>
          <t>GOTLANDS LÄN</t>
        </is>
      </c>
      <c r="E577" t="inlineStr">
        <is>
          <t>GOTLAND</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45974</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26891-2024</t>
        </is>
      </c>
      <c r="B579" s="1" t="n">
        <v>45470.65540509259</v>
      </c>
      <c r="C579" s="1" t="n">
        <v>45974</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14536-2021</t>
        </is>
      </c>
      <c r="B580" s="1" t="n">
        <v>44279.66168981481</v>
      </c>
      <c r="C580" s="1" t="n">
        <v>45974</v>
      </c>
      <c r="D580" t="inlineStr">
        <is>
          <t>GOTLANDS LÄN</t>
        </is>
      </c>
      <c r="E580" t="inlineStr">
        <is>
          <t>GOTLAND</t>
        </is>
      </c>
      <c r="G580" t="n">
        <v>8.5</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44963.69503472222</v>
      </c>
      <c r="C581" s="1" t="n">
        <v>45974</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50482-2024</t>
        </is>
      </c>
      <c r="B582" s="1" t="n">
        <v>45601.48114583334</v>
      </c>
      <c r="C582" s="1" t="n">
        <v>45974</v>
      </c>
      <c r="D582" t="inlineStr">
        <is>
          <t>GOTLANDS LÄN</t>
        </is>
      </c>
      <c r="E582" t="inlineStr">
        <is>
          <t>GOTLAND</t>
        </is>
      </c>
      <c r="G582" t="n">
        <v>2.3</v>
      </c>
      <c r="H582" t="n">
        <v>0</v>
      </c>
      <c r="I582" t="n">
        <v>0</v>
      </c>
      <c r="J582" t="n">
        <v>0</v>
      </c>
      <c r="K582" t="n">
        <v>0</v>
      </c>
      <c r="L582" t="n">
        <v>0</v>
      </c>
      <c r="M582" t="n">
        <v>0</v>
      </c>
      <c r="N582" t="n">
        <v>0</v>
      </c>
      <c r="O582" t="n">
        <v>0</v>
      </c>
      <c r="P582" t="n">
        <v>0</v>
      </c>
      <c r="Q582" t="n">
        <v>0</v>
      </c>
      <c r="R582" s="2" t="inlineStr"/>
    </row>
    <row r="583" ht="15" customHeight="1">
      <c r="A583" t="inlineStr">
        <is>
          <t>A 53561-2025</t>
        </is>
      </c>
      <c r="B583" s="1" t="n">
        <v>45960.4059375</v>
      </c>
      <c r="C583" s="1" t="n">
        <v>45974</v>
      </c>
      <c r="D583" t="inlineStr">
        <is>
          <t>GOTLANDS LÄN</t>
        </is>
      </c>
      <c r="E583" t="inlineStr">
        <is>
          <t>GOTLAND</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53569-2025</t>
        </is>
      </c>
      <c r="B584" s="1" t="n">
        <v>45960.41155092593</v>
      </c>
      <c r="C584" s="1" t="n">
        <v>45974</v>
      </c>
      <c r="D584" t="inlineStr">
        <is>
          <t>GOTLANDS LÄN</t>
        </is>
      </c>
      <c r="E584" t="inlineStr">
        <is>
          <t>GOTLAND</t>
        </is>
      </c>
      <c r="F584" t="inlineStr">
        <is>
          <t>Övriga Aktiebolag</t>
        </is>
      </c>
      <c r="G584" t="n">
        <v>11.3</v>
      </c>
      <c r="H584" t="n">
        <v>0</v>
      </c>
      <c r="I584" t="n">
        <v>0</v>
      </c>
      <c r="J584" t="n">
        <v>0</v>
      </c>
      <c r="K584" t="n">
        <v>0</v>
      </c>
      <c r="L584" t="n">
        <v>0</v>
      </c>
      <c r="M584" t="n">
        <v>0</v>
      </c>
      <c r="N584" t="n">
        <v>0</v>
      </c>
      <c r="O584" t="n">
        <v>0</v>
      </c>
      <c r="P584" t="n">
        <v>0</v>
      </c>
      <c r="Q584" t="n">
        <v>0</v>
      </c>
      <c r="R584" s="2" t="inlineStr"/>
    </row>
    <row r="585" ht="15" customHeight="1">
      <c r="A585" t="inlineStr">
        <is>
          <t>A 53577-2025</t>
        </is>
      </c>
      <c r="B585" s="1" t="n">
        <v>45960.42224537037</v>
      </c>
      <c r="C585" s="1" t="n">
        <v>45974</v>
      </c>
      <c r="D585" t="inlineStr">
        <is>
          <t>GOTLANDS LÄN</t>
        </is>
      </c>
      <c r="E585" t="inlineStr">
        <is>
          <t>GOTLAND</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5943-2024</t>
        </is>
      </c>
      <c r="B586" s="1" t="n">
        <v>45336</v>
      </c>
      <c r="C586" s="1" t="n">
        <v>45974</v>
      </c>
      <c r="D586" t="inlineStr">
        <is>
          <t>GOTLANDS LÄN</t>
        </is>
      </c>
      <c r="E586" t="inlineStr">
        <is>
          <t>GOTLAND</t>
        </is>
      </c>
      <c r="G586" t="n">
        <v>4.3</v>
      </c>
      <c r="H586" t="n">
        <v>0</v>
      </c>
      <c r="I586" t="n">
        <v>0</v>
      </c>
      <c r="J586" t="n">
        <v>0</v>
      </c>
      <c r="K586" t="n">
        <v>0</v>
      </c>
      <c r="L586" t="n">
        <v>0</v>
      </c>
      <c r="M586" t="n">
        <v>0</v>
      </c>
      <c r="N586" t="n">
        <v>0</v>
      </c>
      <c r="O586" t="n">
        <v>0</v>
      </c>
      <c r="P586" t="n">
        <v>0</v>
      </c>
      <c r="Q586" t="n">
        <v>0</v>
      </c>
      <c r="R586" s="2" t="inlineStr"/>
    </row>
    <row r="587" ht="15" customHeight="1">
      <c r="A587" t="inlineStr">
        <is>
          <t>A 38234-2023</t>
        </is>
      </c>
      <c r="B587" s="1" t="n">
        <v>45161.56663194444</v>
      </c>
      <c r="C587" s="1" t="n">
        <v>45974</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1273-2023</t>
        </is>
      </c>
      <c r="B588" s="1" t="n">
        <v>44936</v>
      </c>
      <c r="C588" s="1" t="n">
        <v>45974</v>
      </c>
      <c r="D588" t="inlineStr">
        <is>
          <t>GOTLANDS LÄN</t>
        </is>
      </c>
      <c r="E588" t="inlineStr">
        <is>
          <t>GOTLAND</t>
        </is>
      </c>
      <c r="G588" t="n">
        <v>4.5</v>
      </c>
      <c r="H588" t="n">
        <v>0</v>
      </c>
      <c r="I588" t="n">
        <v>0</v>
      </c>
      <c r="J588" t="n">
        <v>0</v>
      </c>
      <c r="K588" t="n">
        <v>0</v>
      </c>
      <c r="L588" t="n">
        <v>0</v>
      </c>
      <c r="M588" t="n">
        <v>0</v>
      </c>
      <c r="N588" t="n">
        <v>0</v>
      </c>
      <c r="O588" t="n">
        <v>0</v>
      </c>
      <c r="P588" t="n">
        <v>0</v>
      </c>
      <c r="Q588" t="n">
        <v>0</v>
      </c>
      <c r="R588" s="2" t="inlineStr"/>
    </row>
    <row r="589" ht="15" customHeight="1">
      <c r="A589" t="inlineStr">
        <is>
          <t>A 54584-2025</t>
        </is>
      </c>
      <c r="B589" s="1" t="n">
        <v>45965.71788194445</v>
      </c>
      <c r="C589" s="1" t="n">
        <v>45974</v>
      </c>
      <c r="D589" t="inlineStr">
        <is>
          <t>GOTLANDS LÄN</t>
        </is>
      </c>
      <c r="E589" t="inlineStr">
        <is>
          <t>GOTLAND</t>
        </is>
      </c>
      <c r="G589" t="n">
        <v>3.5</v>
      </c>
      <c r="H589" t="n">
        <v>0</v>
      </c>
      <c r="I589" t="n">
        <v>0</v>
      </c>
      <c r="J589" t="n">
        <v>0</v>
      </c>
      <c r="K589" t="n">
        <v>0</v>
      </c>
      <c r="L589" t="n">
        <v>0</v>
      </c>
      <c r="M589" t="n">
        <v>0</v>
      </c>
      <c r="N589" t="n">
        <v>0</v>
      </c>
      <c r="O589" t="n">
        <v>0</v>
      </c>
      <c r="P589" t="n">
        <v>0</v>
      </c>
      <c r="Q589" t="n">
        <v>0</v>
      </c>
      <c r="R589" s="2" t="inlineStr"/>
    </row>
    <row r="590" ht="15" customHeight="1">
      <c r="A590" t="inlineStr">
        <is>
          <t>A 17724-2024</t>
        </is>
      </c>
      <c r="B590" s="1" t="n">
        <v>45418.55096064815</v>
      </c>
      <c r="C590" s="1" t="n">
        <v>45974</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45974</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49884-2023</t>
        </is>
      </c>
      <c r="B592" s="1" t="n">
        <v>45213</v>
      </c>
      <c r="C592" s="1" t="n">
        <v>45974</v>
      </c>
      <c r="D592" t="inlineStr">
        <is>
          <t>GOTLANDS LÄN</t>
        </is>
      </c>
      <c r="E592" t="inlineStr">
        <is>
          <t>GOTLAND</t>
        </is>
      </c>
      <c r="G592" t="n">
        <v>8.9</v>
      </c>
      <c r="H592" t="n">
        <v>0</v>
      </c>
      <c r="I592" t="n">
        <v>0</v>
      </c>
      <c r="J592" t="n">
        <v>0</v>
      </c>
      <c r="K592" t="n">
        <v>0</v>
      </c>
      <c r="L592" t="n">
        <v>0</v>
      </c>
      <c r="M592" t="n">
        <v>0</v>
      </c>
      <c r="N592" t="n">
        <v>0</v>
      </c>
      <c r="O592" t="n">
        <v>0</v>
      </c>
      <c r="P592" t="n">
        <v>0</v>
      </c>
      <c r="Q592" t="n">
        <v>0</v>
      </c>
      <c r="R592" s="2" t="inlineStr"/>
    </row>
    <row r="593" ht="15" customHeight="1">
      <c r="A593" t="inlineStr">
        <is>
          <t>A 12846-2025</t>
        </is>
      </c>
      <c r="B593" s="1" t="n">
        <v>45733.65049768519</v>
      </c>
      <c r="C593" s="1" t="n">
        <v>45974</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43200-2023</t>
        </is>
      </c>
      <c r="B594" s="1" t="n">
        <v>45183</v>
      </c>
      <c r="C594" s="1" t="n">
        <v>45974</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3935-2025</t>
        </is>
      </c>
      <c r="B595" s="1" t="n">
        <v>45684.46070601852</v>
      </c>
      <c r="C595" s="1" t="n">
        <v>45974</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21792-2024</t>
        </is>
      </c>
      <c r="B596" s="1" t="n">
        <v>45442.64326388889</v>
      </c>
      <c r="C596" s="1" t="n">
        <v>45974</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48843-2024</t>
        </is>
      </c>
      <c r="B597" s="1" t="n">
        <v>45593</v>
      </c>
      <c r="C597" s="1" t="n">
        <v>45974</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10653-2023</t>
        </is>
      </c>
      <c r="B598" s="1" t="n">
        <v>44988.48859953704</v>
      </c>
      <c r="C598" s="1" t="n">
        <v>45974</v>
      </c>
      <c r="D598" t="inlineStr">
        <is>
          <t>GOTLANDS LÄN</t>
        </is>
      </c>
      <c r="E598" t="inlineStr">
        <is>
          <t>GOTLAND</t>
        </is>
      </c>
      <c r="F598" t="inlineStr">
        <is>
          <t>Kyrkan</t>
        </is>
      </c>
      <c r="G598" t="n">
        <v>3</v>
      </c>
      <c r="H598" t="n">
        <v>0</v>
      </c>
      <c r="I598" t="n">
        <v>0</v>
      </c>
      <c r="J598" t="n">
        <v>0</v>
      </c>
      <c r="K598" t="n">
        <v>0</v>
      </c>
      <c r="L598" t="n">
        <v>0</v>
      </c>
      <c r="M598" t="n">
        <v>0</v>
      </c>
      <c r="N598" t="n">
        <v>0</v>
      </c>
      <c r="O598" t="n">
        <v>0</v>
      </c>
      <c r="P598" t="n">
        <v>0</v>
      </c>
      <c r="Q598" t="n">
        <v>0</v>
      </c>
      <c r="R598" s="2" t="inlineStr"/>
    </row>
    <row r="599" ht="15" customHeight="1">
      <c r="A599" t="inlineStr">
        <is>
          <t>A 26391-2025</t>
        </is>
      </c>
      <c r="B599" s="1" t="n">
        <v>45806</v>
      </c>
      <c r="C599" s="1" t="n">
        <v>45974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47147-2025</t>
        </is>
      </c>
      <c r="B600" s="1" t="n">
        <v>45929</v>
      </c>
      <c r="C600" s="1" t="n">
        <v>45974</v>
      </c>
      <c r="D600" t="inlineStr">
        <is>
          <t>GOTLANDS LÄN</t>
        </is>
      </c>
      <c r="E600" t="inlineStr">
        <is>
          <t>GOTLAND</t>
        </is>
      </c>
      <c r="G600" t="n">
        <v>2.3</v>
      </c>
      <c r="H600" t="n">
        <v>0</v>
      </c>
      <c r="I600" t="n">
        <v>0</v>
      </c>
      <c r="J600" t="n">
        <v>0</v>
      </c>
      <c r="K600" t="n">
        <v>0</v>
      </c>
      <c r="L600" t="n">
        <v>0</v>
      </c>
      <c r="M600" t="n">
        <v>0</v>
      </c>
      <c r="N600" t="n">
        <v>0</v>
      </c>
      <c r="O600" t="n">
        <v>0</v>
      </c>
      <c r="P600" t="n">
        <v>0</v>
      </c>
      <c r="Q600" t="n">
        <v>0</v>
      </c>
      <c r="R600" s="2" t="inlineStr"/>
    </row>
    <row r="601" ht="15" customHeight="1">
      <c r="A601" t="inlineStr">
        <is>
          <t>A 35512-2023</t>
        </is>
      </c>
      <c r="B601" s="1" t="n">
        <v>45147.25623842593</v>
      </c>
      <c r="C601" s="1" t="n">
        <v>45974</v>
      </c>
      <c r="D601" t="inlineStr">
        <is>
          <t>GOTLANDS LÄN</t>
        </is>
      </c>
      <c r="E601" t="inlineStr">
        <is>
          <t>GOTLAND</t>
        </is>
      </c>
      <c r="G601" t="n">
        <v>1.2</v>
      </c>
      <c r="H601" t="n">
        <v>0</v>
      </c>
      <c r="I601" t="n">
        <v>0</v>
      </c>
      <c r="J601" t="n">
        <v>0</v>
      </c>
      <c r="K601" t="n">
        <v>0</v>
      </c>
      <c r="L601" t="n">
        <v>0</v>
      </c>
      <c r="M601" t="n">
        <v>0</v>
      </c>
      <c r="N601" t="n">
        <v>0</v>
      </c>
      <c r="O601" t="n">
        <v>0</v>
      </c>
      <c r="P601" t="n">
        <v>0</v>
      </c>
      <c r="Q601" t="n">
        <v>0</v>
      </c>
      <c r="R601" s="2" t="inlineStr"/>
    </row>
    <row r="602" ht="15" customHeight="1">
      <c r="A602" t="inlineStr">
        <is>
          <t>A 11874-2024</t>
        </is>
      </c>
      <c r="B602" s="1" t="n">
        <v>45376.46956018519</v>
      </c>
      <c r="C602" s="1" t="n">
        <v>45974</v>
      </c>
      <c r="D602" t="inlineStr">
        <is>
          <t>GOTLANDS LÄN</t>
        </is>
      </c>
      <c r="E602" t="inlineStr">
        <is>
          <t>GOTLAND</t>
        </is>
      </c>
      <c r="G602" t="n">
        <v>0.8</v>
      </c>
      <c r="H602" t="n">
        <v>0</v>
      </c>
      <c r="I602" t="n">
        <v>0</v>
      </c>
      <c r="J602" t="n">
        <v>0</v>
      </c>
      <c r="K602" t="n">
        <v>0</v>
      </c>
      <c r="L602" t="n">
        <v>0</v>
      </c>
      <c r="M602" t="n">
        <v>0</v>
      </c>
      <c r="N602" t="n">
        <v>0</v>
      </c>
      <c r="O602" t="n">
        <v>0</v>
      </c>
      <c r="P602" t="n">
        <v>0</v>
      </c>
      <c r="Q602" t="n">
        <v>0</v>
      </c>
      <c r="R602" s="2" t="inlineStr"/>
    </row>
    <row r="603" ht="15" customHeight="1">
      <c r="A603" t="inlineStr">
        <is>
          <t>A 20225-2025</t>
        </is>
      </c>
      <c r="B603" s="1" t="n">
        <v>45772.65802083333</v>
      </c>
      <c r="C603" s="1" t="n">
        <v>45974</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1677-2023</t>
        </is>
      </c>
      <c r="B604" s="1" t="n">
        <v>44938</v>
      </c>
      <c r="C604" s="1" t="n">
        <v>45974</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46836-2025</t>
        </is>
      </c>
      <c r="B605" s="1" t="n">
        <v>45928.31511574074</v>
      </c>
      <c r="C605" s="1" t="n">
        <v>45974</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64831-2023</t>
        </is>
      </c>
      <c r="B606" s="1" t="n">
        <v>45282.44924768519</v>
      </c>
      <c r="C606" s="1" t="n">
        <v>45974</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47578-2025</t>
        </is>
      </c>
      <c r="B607" s="1" t="n">
        <v>45931</v>
      </c>
      <c r="C607" s="1" t="n">
        <v>45974</v>
      </c>
      <c r="D607" t="inlineStr">
        <is>
          <t>GOTLANDS LÄN</t>
        </is>
      </c>
      <c r="E607" t="inlineStr">
        <is>
          <t>GOTLAND</t>
        </is>
      </c>
      <c r="G607" t="n">
        <v>9.199999999999999</v>
      </c>
      <c r="H607" t="n">
        <v>0</v>
      </c>
      <c r="I607" t="n">
        <v>0</v>
      </c>
      <c r="J607" t="n">
        <v>0</v>
      </c>
      <c r="K607" t="n">
        <v>0</v>
      </c>
      <c r="L607" t="n">
        <v>0</v>
      </c>
      <c r="M607" t="n">
        <v>0</v>
      </c>
      <c r="N607" t="n">
        <v>0</v>
      </c>
      <c r="O607" t="n">
        <v>0</v>
      </c>
      <c r="P607" t="n">
        <v>0</v>
      </c>
      <c r="Q607" t="n">
        <v>0</v>
      </c>
      <c r="R607" s="2" t="inlineStr"/>
    </row>
    <row r="608">
      <c r="A608" t="inlineStr">
        <is>
          <t>A 47637-2025</t>
        </is>
      </c>
      <c r="B608" s="1" t="n">
        <v>45931.49753472222</v>
      </c>
      <c r="C608" s="1" t="n">
        <v>45974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2025-11-13T10:12:26Z</dcterms:created>
  <dcterms:modified xmlns:dcterms="http://purl.org/dc/terms/" xmlns:xsi="http://www.w3.org/2001/XMLSchema-instance" xsi:type="dcterms:W3CDTF">2025-11-13T10:12:26Z</dcterms:modified>
</cp:coreProperties>
</file>