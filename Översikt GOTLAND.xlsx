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45930</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45930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45930</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25218-2021</t>
        </is>
      </c>
      <c r="B7" s="1" t="n">
        <v>44342</v>
      </c>
      <c r="C7" s="1" t="n">
        <v>45930</v>
      </c>
      <c r="D7" t="inlineStr">
        <is>
          <t>GOTLANDS LÄN</t>
        </is>
      </c>
      <c r="E7" t="inlineStr">
        <is>
          <t>GOTLAND</t>
        </is>
      </c>
      <c r="G7" t="n">
        <v>7.6</v>
      </c>
      <c r="H7" t="n">
        <v>12</v>
      </c>
      <c r="I7" t="n">
        <v>11</v>
      </c>
      <c r="J7" t="n">
        <v>9</v>
      </c>
      <c r="K7" t="n">
        <v>4</v>
      </c>
      <c r="L7" t="n">
        <v>2</v>
      </c>
      <c r="M7" t="n">
        <v>1</v>
      </c>
      <c r="N7" t="n">
        <v>0</v>
      </c>
      <c r="O7" t="n">
        <v>16</v>
      </c>
      <c r="P7" t="n">
        <v>7</v>
      </c>
      <c r="Q7" t="n">
        <v>32</v>
      </c>
      <c r="R7"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7">
        <f>HYPERLINK("https://klasma.github.io/Logging_0980/artfynd/A 25218-2021 artfynd.xlsx", "A 25218-2021")</f>
        <v/>
      </c>
      <c r="T7">
        <f>HYPERLINK("https://klasma.github.io/Logging_0980/kartor/A 25218-2021 karta.png", "A 25218-2021")</f>
        <v/>
      </c>
      <c r="V7">
        <f>HYPERLINK("https://klasma.github.io/Logging_0980/klagomål/A 25218-2021 FSC-klagomål.docx", "A 25218-2021")</f>
        <v/>
      </c>
      <c r="W7">
        <f>HYPERLINK("https://klasma.github.io/Logging_0980/klagomålsmail/A 25218-2021 FSC-klagomål mail.docx", "A 25218-2021")</f>
        <v/>
      </c>
      <c r="X7">
        <f>HYPERLINK("https://klasma.github.io/Logging_0980/tillsyn/A 25218-2021 tillsynsbegäran.docx", "A 25218-2021")</f>
        <v/>
      </c>
      <c r="Y7">
        <f>HYPERLINK("https://klasma.github.io/Logging_0980/tillsynsmail/A 25218-2021 tillsynsbegäran mail.docx", "A 25218-2021")</f>
        <v/>
      </c>
      <c r="Z7">
        <f>HYPERLINK("https://klasma.github.io/Logging_0980/fåglar/A 25218-2021 prioriterade fågelarter.docx", "A 25218-2021")</f>
        <v/>
      </c>
    </row>
    <row r="8" ht="15" customHeight="1">
      <c r="A8" t="inlineStr">
        <is>
          <t>A 61664-2023</t>
        </is>
      </c>
      <c r="B8" s="1" t="n">
        <v>45265</v>
      </c>
      <c r="C8" s="1" t="n">
        <v>45930</v>
      </c>
      <c r="D8" t="inlineStr">
        <is>
          <t>GOTLANDS LÄN</t>
        </is>
      </c>
      <c r="E8" t="inlineStr">
        <is>
          <t>GOTLAND</t>
        </is>
      </c>
      <c r="G8" t="n">
        <v>13.3</v>
      </c>
      <c r="H8" t="n">
        <v>9</v>
      </c>
      <c r="I8" t="n">
        <v>11</v>
      </c>
      <c r="J8" t="n">
        <v>7</v>
      </c>
      <c r="K8" t="n">
        <v>7</v>
      </c>
      <c r="L8" t="n">
        <v>0</v>
      </c>
      <c r="M8" t="n">
        <v>0</v>
      </c>
      <c r="N8" t="n">
        <v>0</v>
      </c>
      <c r="O8" t="n">
        <v>14</v>
      </c>
      <c r="P8" t="n">
        <v>7</v>
      </c>
      <c r="Q8" t="n">
        <v>30</v>
      </c>
      <c r="R8"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8">
        <f>HYPERLINK("https://klasma.github.io/Logging_0980/artfynd/A 61664-2023 artfynd.xlsx", "A 61664-2023")</f>
        <v/>
      </c>
      <c r="T8">
        <f>HYPERLINK("https://klasma.github.io/Logging_0980/kartor/A 61664-2023 karta.png", "A 61664-2023")</f>
        <v/>
      </c>
      <c r="V8">
        <f>HYPERLINK("https://klasma.github.io/Logging_0980/klagomål/A 61664-2023 FSC-klagomål.docx", "A 61664-2023")</f>
        <v/>
      </c>
      <c r="W8">
        <f>HYPERLINK("https://klasma.github.io/Logging_0980/klagomålsmail/A 61664-2023 FSC-klagomål mail.docx", "A 61664-2023")</f>
        <v/>
      </c>
      <c r="X8">
        <f>HYPERLINK("https://klasma.github.io/Logging_0980/tillsyn/A 61664-2023 tillsynsbegäran.docx", "A 61664-2023")</f>
        <v/>
      </c>
      <c r="Y8">
        <f>HYPERLINK("https://klasma.github.io/Logging_0980/tillsynsmail/A 61664-2023 tillsynsbegäran mail.docx", "A 61664-2023")</f>
        <v/>
      </c>
      <c r="Z8">
        <f>HYPERLINK("https://klasma.github.io/Logging_0980/fåglar/A 61664-2023 prioriterade fågelarter.docx", "A 61664-2023")</f>
        <v/>
      </c>
    </row>
    <row r="9" ht="15" customHeight="1">
      <c r="A9" t="inlineStr">
        <is>
          <t>A 15075-2025</t>
        </is>
      </c>
      <c r="B9" s="1" t="n">
        <v>45743</v>
      </c>
      <c r="C9" s="1" t="n">
        <v>45930</v>
      </c>
      <c r="D9" t="inlineStr">
        <is>
          <t>GOTLANDS LÄN</t>
        </is>
      </c>
      <c r="E9" t="inlineStr">
        <is>
          <t>GOTLAND</t>
        </is>
      </c>
      <c r="G9" t="n">
        <v>20.9</v>
      </c>
      <c r="H9" t="n">
        <v>4</v>
      </c>
      <c r="I9" t="n">
        <v>14</v>
      </c>
      <c r="J9" t="n">
        <v>4</v>
      </c>
      <c r="K9" t="n">
        <v>9</v>
      </c>
      <c r="L9" t="n">
        <v>0</v>
      </c>
      <c r="M9" t="n">
        <v>0</v>
      </c>
      <c r="N9" t="n">
        <v>0</v>
      </c>
      <c r="O9" t="n">
        <v>14</v>
      </c>
      <c r="P9" t="n">
        <v>9</v>
      </c>
      <c r="Q9" t="n">
        <v>30</v>
      </c>
      <c r="R9"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9">
        <f>HYPERLINK("https://klasma.github.io/Logging_0980/artfynd/A 15075-2025 artfynd.xlsx", "A 15075-2025")</f>
        <v/>
      </c>
      <c r="T9">
        <f>HYPERLINK("https://klasma.github.io/Logging_0980/kartor/A 15075-2025 karta.png", "A 15075-2025")</f>
        <v/>
      </c>
      <c r="V9">
        <f>HYPERLINK("https://klasma.github.io/Logging_0980/klagomål/A 15075-2025 FSC-klagomål.docx", "A 15075-2025")</f>
        <v/>
      </c>
      <c r="W9">
        <f>HYPERLINK("https://klasma.github.io/Logging_0980/klagomålsmail/A 15075-2025 FSC-klagomål mail.docx", "A 15075-2025")</f>
        <v/>
      </c>
      <c r="X9">
        <f>HYPERLINK("https://klasma.github.io/Logging_0980/tillsyn/A 15075-2025 tillsynsbegäran.docx", "A 15075-2025")</f>
        <v/>
      </c>
      <c r="Y9">
        <f>HYPERLINK("https://klasma.github.io/Logging_0980/tillsynsmail/A 15075-2025 tillsynsbegäran mail.docx", "A 15075-2025")</f>
        <v/>
      </c>
      <c r="Z9">
        <f>HYPERLINK("https://klasma.github.io/Logging_0980/fåglar/A 15075-2025 prioriterade fågelarter.docx", "A 15075-2025")</f>
        <v/>
      </c>
    </row>
    <row r="10" ht="15" customHeight="1">
      <c r="A10" t="inlineStr">
        <is>
          <t>A 30236-2025</t>
        </is>
      </c>
      <c r="B10" s="1" t="n">
        <v>45827</v>
      </c>
      <c r="C10" s="1" t="n">
        <v>45930</v>
      </c>
      <c r="D10" t="inlineStr">
        <is>
          <t>GOTLANDS LÄN</t>
        </is>
      </c>
      <c r="E10" t="inlineStr">
        <is>
          <t>GOTLAND</t>
        </is>
      </c>
      <c r="G10" t="n">
        <v>13.6</v>
      </c>
      <c r="H10" t="n">
        <v>8</v>
      </c>
      <c r="I10" t="n">
        <v>13</v>
      </c>
      <c r="J10" t="n">
        <v>5</v>
      </c>
      <c r="K10" t="n">
        <v>8</v>
      </c>
      <c r="L10" t="n">
        <v>0</v>
      </c>
      <c r="M10" t="n">
        <v>0</v>
      </c>
      <c r="N10" t="n">
        <v>0</v>
      </c>
      <c r="O10" t="n">
        <v>13</v>
      </c>
      <c r="P10" t="n">
        <v>8</v>
      </c>
      <c r="Q10" t="n">
        <v>29</v>
      </c>
      <c r="R10" s="2" t="inlineStr">
        <is>
          <t>Bullspindling
Duvspindling
Granrotsspindling
Gulsträngad fagerspindling
Läderdoftande fingersvamp
Sotbandad spindling
Svartgrön spindling
Vit taggsvamp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0">
        <f>HYPERLINK("https://klasma.github.io/Logging_0980/artfynd/A 30236-2025 artfynd.xlsx", "A 30236-2025")</f>
        <v/>
      </c>
      <c r="T10">
        <f>HYPERLINK("https://klasma.github.io/Logging_0980/kartor/A 30236-2025 karta.png", "A 30236-2025")</f>
        <v/>
      </c>
      <c r="V10">
        <f>HYPERLINK("https://klasma.github.io/Logging_0980/klagomål/A 30236-2025 FSC-klagomål.docx", "A 30236-2025")</f>
        <v/>
      </c>
      <c r="W10">
        <f>HYPERLINK("https://klasma.github.io/Logging_0980/klagomålsmail/A 30236-2025 FSC-klagomål mail.docx", "A 30236-2025")</f>
        <v/>
      </c>
      <c r="X10">
        <f>HYPERLINK("https://klasma.github.io/Logging_0980/tillsyn/A 30236-2025 tillsynsbegäran.docx", "A 30236-2025")</f>
        <v/>
      </c>
      <c r="Y10">
        <f>HYPERLINK("https://klasma.github.io/Logging_0980/tillsynsmail/A 30236-2025 tillsynsbegäran mail.docx", "A 30236-2025")</f>
        <v/>
      </c>
      <c r="Z10">
        <f>HYPERLINK("https://klasma.github.io/Logging_0980/fåglar/A 30236-2025 prioriterade fågelarter.docx", "A 30236-2025")</f>
        <v/>
      </c>
    </row>
    <row r="11" ht="15" customHeight="1">
      <c r="A11" t="inlineStr">
        <is>
          <t>A 45536-2025</t>
        </is>
      </c>
      <c r="B11" s="1" t="n">
        <v>45922</v>
      </c>
      <c r="C11" s="1" t="n">
        <v>45930</v>
      </c>
      <c r="D11" t="inlineStr">
        <is>
          <t>GOTLANDS LÄN</t>
        </is>
      </c>
      <c r="E11" t="inlineStr">
        <is>
          <t>GOTLAND</t>
        </is>
      </c>
      <c r="G11" t="n">
        <v>10.4</v>
      </c>
      <c r="H11" t="n">
        <v>3</v>
      </c>
      <c r="I11" t="n">
        <v>12</v>
      </c>
      <c r="J11" t="n">
        <v>3</v>
      </c>
      <c r="K11" t="n">
        <v>7</v>
      </c>
      <c r="L11" t="n">
        <v>1</v>
      </c>
      <c r="M11" t="n">
        <v>0</v>
      </c>
      <c r="N11" t="n">
        <v>0</v>
      </c>
      <c r="O11" t="n">
        <v>12</v>
      </c>
      <c r="P11" t="n">
        <v>8</v>
      </c>
      <c r="Q11" t="n">
        <v>25</v>
      </c>
      <c r="R11" s="2" t="inlineStr">
        <is>
          <t>Slät taggsvamp
Granrotsspindling
Gulsträngad fagerspindling
Läderdoftande fingersvamp
Narrspindling
Sotbandad spindling
Svartgrön spindling
Violettfläckig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1">
        <f>HYPERLINK("https://klasma.github.io/Logging_0980/artfynd/A 45536-2025 artfynd.xlsx", "A 45536-2025")</f>
        <v/>
      </c>
      <c r="T11">
        <f>HYPERLINK("https://klasma.github.io/Logging_0980/kartor/A 45536-2025 karta.png", "A 45536-2025")</f>
        <v/>
      </c>
      <c r="V11">
        <f>HYPERLINK("https://klasma.github.io/Logging_0980/klagomål/A 45536-2025 FSC-klagomål.docx", "A 45536-2025")</f>
        <v/>
      </c>
      <c r="W11">
        <f>HYPERLINK("https://klasma.github.io/Logging_0980/klagomålsmail/A 45536-2025 FSC-klagomål mail.docx", "A 45536-2025")</f>
        <v/>
      </c>
      <c r="X11">
        <f>HYPERLINK("https://klasma.github.io/Logging_0980/tillsyn/A 45536-2025 tillsynsbegäran.docx", "A 45536-2025")</f>
        <v/>
      </c>
      <c r="Y11">
        <f>HYPERLINK("https://klasma.github.io/Logging_0980/tillsynsmail/A 45536-2025 tillsynsbegäran mail.docx", "A 45536-2025")</f>
        <v/>
      </c>
      <c r="Z11">
        <f>HYPERLINK("https://klasma.github.io/Logging_0980/fåglar/A 45536-2025 prioriterade fågelarter.docx", "A 45536-2025")</f>
        <v/>
      </c>
    </row>
    <row r="12" ht="15" customHeight="1">
      <c r="A12" t="inlineStr">
        <is>
          <t>A 40235-2025</t>
        </is>
      </c>
      <c r="B12" s="1" t="n">
        <v>45894.74005787037</v>
      </c>
      <c r="C12" s="1" t="n">
        <v>45930</v>
      </c>
      <c r="D12" t="inlineStr">
        <is>
          <t>GOTLANDS LÄN</t>
        </is>
      </c>
      <c r="E12" t="inlineStr">
        <is>
          <t>GOTLAND</t>
        </is>
      </c>
      <c r="G12" t="n">
        <v>10.6</v>
      </c>
      <c r="H12" t="n">
        <v>1</v>
      </c>
      <c r="I12" t="n">
        <v>8</v>
      </c>
      <c r="J12" t="n">
        <v>5</v>
      </c>
      <c r="K12" t="n">
        <v>7</v>
      </c>
      <c r="L12" t="n">
        <v>0</v>
      </c>
      <c r="M12" t="n">
        <v>0</v>
      </c>
      <c r="N12" t="n">
        <v>0</v>
      </c>
      <c r="O12" t="n">
        <v>12</v>
      </c>
      <c r="P12" t="n">
        <v>7</v>
      </c>
      <c r="Q12" t="n">
        <v>21</v>
      </c>
      <c r="R12" s="2" t="inlineStr">
        <is>
          <t>Bullspindling
Duvspindling
Gulsträngad fagerspindling
Läderdoftande fingersvamp
Stor granspindling
Svartgrön spindling
Tallpraktspindling
Backtimjan
Flattoppad klubbsvamp
Jordtistel
Loppstarr
Odörspindling
Besk kastanjemusseron
Blå slemspindling
Dropptaggsvamp
Kalktallört
Mindre märgborre
Olivspindling
Rödfläckig zontaggsvamp
Toppvaxing
Brudsporre</t>
        </is>
      </c>
      <c r="S12">
        <f>HYPERLINK("https://klasma.github.io/Logging_0980/artfynd/A 40235-2025 artfynd.xlsx", "A 40235-2025")</f>
        <v/>
      </c>
      <c r="T12">
        <f>HYPERLINK("https://klasma.github.io/Logging_0980/kartor/A 40235-2025 karta.png", "A 40235-2025")</f>
        <v/>
      </c>
      <c r="V12">
        <f>HYPERLINK("https://klasma.github.io/Logging_0980/klagomål/A 40235-2025 FSC-klagomål.docx", "A 40235-2025")</f>
        <v/>
      </c>
      <c r="W12">
        <f>HYPERLINK("https://klasma.github.io/Logging_0980/klagomålsmail/A 40235-2025 FSC-klagomål mail.docx", "A 40235-2025")</f>
        <v/>
      </c>
      <c r="X12">
        <f>HYPERLINK("https://klasma.github.io/Logging_0980/tillsyn/A 40235-2025 tillsynsbegäran.docx", "A 40235-2025")</f>
        <v/>
      </c>
      <c r="Y12">
        <f>HYPERLINK("https://klasma.github.io/Logging_0980/tillsynsmail/A 40235-2025 tillsynsbegäran mail.docx", "A 40235-2025")</f>
        <v/>
      </c>
    </row>
    <row r="13" ht="15" customHeight="1">
      <c r="A13" t="inlineStr">
        <is>
          <t>A 922-2023</t>
        </is>
      </c>
      <c r="B13" s="1" t="n">
        <v>44932</v>
      </c>
      <c r="C13" s="1" t="n">
        <v>45930</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42607-2025</t>
        </is>
      </c>
      <c r="B14" s="1" t="n">
        <v>45905</v>
      </c>
      <c r="C14" s="1" t="n">
        <v>45930</v>
      </c>
      <c r="D14" t="inlineStr">
        <is>
          <t>GOTLANDS LÄN</t>
        </is>
      </c>
      <c r="E14" t="inlineStr">
        <is>
          <t>GOTLAND</t>
        </is>
      </c>
      <c r="G14" t="n">
        <v>15.8</v>
      </c>
      <c r="H14" t="n">
        <v>3</v>
      </c>
      <c r="I14" t="n">
        <v>7</v>
      </c>
      <c r="J14" t="n">
        <v>4</v>
      </c>
      <c r="K14" t="n">
        <v>9</v>
      </c>
      <c r="L14" t="n">
        <v>0</v>
      </c>
      <c r="M14" t="n">
        <v>0</v>
      </c>
      <c r="N14" t="n">
        <v>0</v>
      </c>
      <c r="O14" t="n">
        <v>13</v>
      </c>
      <c r="P14" t="n">
        <v>9</v>
      </c>
      <c r="Q14" t="n">
        <v>21</v>
      </c>
      <c r="R14" s="2" t="inlineStr">
        <is>
          <t>Blåbandad spindling
Duvspindling
Granrotsspindling
Gulsträngad fagerspindling
Läderdoftande fingersvamp
Stor granspindling
Stor odörspindling
Svartgrön spindling
Violettfläckig spindling
Bittermusseron
Denisespindling
Odörspindling
Spillkråka
Anisspindling
Blomkålssvamp
Blå slemspindling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10780-2025</t>
        </is>
      </c>
      <c r="B15" s="1" t="n">
        <v>45722.48222222222</v>
      </c>
      <c r="C15" s="1" t="n">
        <v>45930</v>
      </c>
      <c r="D15" t="inlineStr">
        <is>
          <t>GOTLANDS LÄN</t>
        </is>
      </c>
      <c r="E15" t="inlineStr">
        <is>
          <t>GOTLAND</t>
        </is>
      </c>
      <c r="G15" t="n">
        <v>6.1</v>
      </c>
      <c r="H15" t="n">
        <v>11</v>
      </c>
      <c r="I15" t="n">
        <v>8</v>
      </c>
      <c r="J15" t="n">
        <v>6</v>
      </c>
      <c r="K15" t="n">
        <v>1</v>
      </c>
      <c r="L15" t="n">
        <v>1</v>
      </c>
      <c r="M15" t="n">
        <v>0</v>
      </c>
      <c r="N15" t="n">
        <v>0</v>
      </c>
      <c r="O15" t="n">
        <v>8</v>
      </c>
      <c r="P15" t="n">
        <v>2</v>
      </c>
      <c r="Q15" t="n">
        <v>21</v>
      </c>
      <c r="R15"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5">
        <f>HYPERLINK("https://klasma.github.io/Logging_0980/artfynd/A 10780-2025 artfynd.xlsx", "A 10780-2025")</f>
        <v/>
      </c>
      <c r="T15">
        <f>HYPERLINK("https://klasma.github.io/Logging_0980/kartor/A 10780-2025 karta.png", "A 10780-2025")</f>
        <v/>
      </c>
      <c r="U15">
        <f>HYPERLINK("https://klasma.github.io/Logging_0980/knärot/A 10780-2025 karta knärot.png", "A 10780-2025")</f>
        <v/>
      </c>
      <c r="V15">
        <f>HYPERLINK("https://klasma.github.io/Logging_0980/klagomål/A 10780-2025 FSC-klagomål.docx", "A 10780-2025")</f>
        <v/>
      </c>
      <c r="W15">
        <f>HYPERLINK("https://klasma.github.io/Logging_0980/klagomålsmail/A 10780-2025 FSC-klagomål mail.docx", "A 10780-2025")</f>
        <v/>
      </c>
      <c r="X15">
        <f>HYPERLINK("https://klasma.github.io/Logging_0980/tillsyn/A 10780-2025 tillsynsbegäran.docx", "A 10780-2025")</f>
        <v/>
      </c>
      <c r="Y15">
        <f>HYPERLINK("https://klasma.github.io/Logging_0980/tillsynsmail/A 10780-2025 tillsynsbegäran mail.docx", "A 10780-2025")</f>
        <v/>
      </c>
    </row>
    <row r="16" ht="15" customHeight="1">
      <c r="A16" t="inlineStr">
        <is>
          <t>A 569-2023</t>
        </is>
      </c>
      <c r="B16" s="1" t="n">
        <v>44930</v>
      </c>
      <c r="C16" s="1" t="n">
        <v>45930</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45930</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45930</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45930</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45930</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45930</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34100-2024</t>
        </is>
      </c>
      <c r="B22" s="1" t="n">
        <v>45523</v>
      </c>
      <c r="C22" s="1" t="n">
        <v>45930</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15629-2024</t>
        </is>
      </c>
      <c r="B23" s="1" t="n">
        <v>45402.78372685185</v>
      </c>
      <c r="C23" s="1" t="n">
        <v>45930</v>
      </c>
      <c r="D23" t="inlineStr">
        <is>
          <t>GOTLANDS LÄN</t>
        </is>
      </c>
      <c r="E23" t="inlineStr">
        <is>
          <t>GOTLAND</t>
        </is>
      </c>
      <c r="G23" t="n">
        <v>6.3</v>
      </c>
      <c r="H23" t="n">
        <v>6</v>
      </c>
      <c r="I23" t="n">
        <v>3</v>
      </c>
      <c r="J23" t="n">
        <v>9</v>
      </c>
      <c r="K23" t="n">
        <v>0</v>
      </c>
      <c r="L23" t="n">
        <v>0</v>
      </c>
      <c r="M23" t="n">
        <v>0</v>
      </c>
      <c r="N23" t="n">
        <v>0</v>
      </c>
      <c r="O23" t="n">
        <v>9</v>
      </c>
      <c r="P23" t="n">
        <v>0</v>
      </c>
      <c r="Q23" t="n">
        <v>15</v>
      </c>
      <c r="R23" s="2" t="inlineStr">
        <is>
          <t>Apollofjäril
Axveronika
Backtimjan
Jordtistel
Kalkkoppmossa
Orellia scorzonerae
Solvända
Spillkråka
Svinrot
Blåmossa
Kattfotslav
Nästrot
Sankt pers nycklar
Blåsippa
Gullviva</t>
        </is>
      </c>
      <c r="S23">
        <f>HYPERLINK("https://klasma.github.io/Logging_0980/artfynd/A 15629-2024 artfynd.xlsx", "A 15629-2024")</f>
        <v/>
      </c>
      <c r="T23">
        <f>HYPERLINK("https://klasma.github.io/Logging_0980/kartor/A 15629-2024 karta.png", "A 15629-2024")</f>
        <v/>
      </c>
      <c r="V23">
        <f>HYPERLINK("https://klasma.github.io/Logging_0980/klagomål/A 15629-2024 FSC-klagomål.docx", "A 15629-2024")</f>
        <v/>
      </c>
      <c r="W23">
        <f>HYPERLINK("https://klasma.github.io/Logging_0980/klagomålsmail/A 15629-2024 FSC-klagomål mail.docx", "A 15629-2024")</f>
        <v/>
      </c>
      <c r="X23">
        <f>HYPERLINK("https://klasma.github.io/Logging_0980/tillsyn/A 15629-2024 tillsynsbegäran.docx", "A 15629-2024")</f>
        <v/>
      </c>
      <c r="Y23">
        <f>HYPERLINK("https://klasma.github.io/Logging_0980/tillsynsmail/A 15629-2024 tillsynsbegäran mail.docx", "A 15629-2024")</f>
        <v/>
      </c>
      <c r="Z23">
        <f>HYPERLINK("https://klasma.github.io/Logging_0980/fåglar/A 15629-2024 prioriterade fågelarter.docx", "A 15629-2024")</f>
        <v/>
      </c>
    </row>
    <row r="24" ht="15" customHeight="1">
      <c r="A24" t="inlineStr">
        <is>
          <t>A 61697-2023</t>
        </is>
      </c>
      <c r="B24" s="1" t="n">
        <v>45265</v>
      </c>
      <c r="C24" s="1" t="n">
        <v>45930</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17762-2024</t>
        </is>
      </c>
      <c r="B25" s="1" t="n">
        <v>45418</v>
      </c>
      <c r="C25" s="1" t="n">
        <v>45930</v>
      </c>
      <c r="D25" t="inlineStr">
        <is>
          <t>GOTLANDS LÄN</t>
        </is>
      </c>
      <c r="E25" t="inlineStr">
        <is>
          <t>GOTLAND</t>
        </is>
      </c>
      <c r="G25" t="n">
        <v>5.8</v>
      </c>
      <c r="H25" t="n">
        <v>2</v>
      </c>
      <c r="I25" t="n">
        <v>2</v>
      </c>
      <c r="J25" t="n">
        <v>8</v>
      </c>
      <c r="K25" t="n">
        <v>1</v>
      </c>
      <c r="L25" t="n">
        <v>1</v>
      </c>
      <c r="M25" t="n">
        <v>1</v>
      </c>
      <c r="N25" t="n">
        <v>0</v>
      </c>
      <c r="O25" t="n">
        <v>11</v>
      </c>
      <c r="P25" t="n">
        <v>3</v>
      </c>
      <c r="Q25" t="n">
        <v>15</v>
      </c>
      <c r="R25" s="2" t="inlineStr">
        <is>
          <t>Järnek
Naveljordstjärna
Gråfingerört
Axveronika
Backstarr
Backtimjan
Crepis tectorum subsp. tectorum
Kalkvaxing
Odörspindling
Solvända
Svinrot
Anisspindling
Mindre märgborre
Sankt pers nycklar
Blåsippa</t>
        </is>
      </c>
      <c r="S25">
        <f>HYPERLINK("https://klasma.github.io/Logging_0980/artfynd/A 17762-2024 artfynd.xlsx", "A 17762-2024")</f>
        <v/>
      </c>
      <c r="T25">
        <f>HYPERLINK("https://klasma.github.io/Logging_0980/kartor/A 17762-2024 karta.png", "A 17762-2024")</f>
        <v/>
      </c>
      <c r="V25">
        <f>HYPERLINK("https://klasma.github.io/Logging_0980/klagomål/A 17762-2024 FSC-klagomål.docx", "A 17762-2024")</f>
        <v/>
      </c>
      <c r="W25">
        <f>HYPERLINK("https://klasma.github.io/Logging_0980/klagomålsmail/A 17762-2024 FSC-klagomål mail.docx", "A 17762-2024")</f>
        <v/>
      </c>
      <c r="X25">
        <f>HYPERLINK("https://klasma.github.io/Logging_0980/tillsyn/A 17762-2024 tillsynsbegäran.docx", "A 17762-2024")</f>
        <v/>
      </c>
      <c r="Y25">
        <f>HYPERLINK("https://klasma.github.io/Logging_0980/tillsynsmail/A 17762-2024 tillsynsbegäran mail.docx", "A 17762-2024")</f>
        <v/>
      </c>
    </row>
    <row r="26" ht="15" customHeight="1">
      <c r="A26" t="inlineStr">
        <is>
          <t>A 62132-2023</t>
        </is>
      </c>
      <c r="B26" s="1" t="n">
        <v>45267</v>
      </c>
      <c r="C26" s="1" t="n">
        <v>45930</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6913-2025</t>
        </is>
      </c>
      <c r="B27" s="1" t="n">
        <v>45701.43809027778</v>
      </c>
      <c r="C27" s="1" t="n">
        <v>45930</v>
      </c>
      <c r="D27" t="inlineStr">
        <is>
          <t>GOTLANDS LÄN</t>
        </is>
      </c>
      <c r="E27" t="inlineStr">
        <is>
          <t>GOTLAND</t>
        </is>
      </c>
      <c r="G27" t="n">
        <v>7.2</v>
      </c>
      <c r="H27" t="n">
        <v>7</v>
      </c>
      <c r="I27" t="n">
        <v>5</v>
      </c>
      <c r="J27" t="n">
        <v>7</v>
      </c>
      <c r="K27" t="n">
        <v>0</v>
      </c>
      <c r="L27" t="n">
        <v>1</v>
      </c>
      <c r="M27" t="n">
        <v>0</v>
      </c>
      <c r="N27" t="n">
        <v>0</v>
      </c>
      <c r="O27" t="n">
        <v>8</v>
      </c>
      <c r="P27" t="n">
        <v>1</v>
      </c>
      <c r="Q27" t="n">
        <v>15</v>
      </c>
      <c r="R27" s="2" t="inlineStr">
        <is>
          <t>Ask
Grönsångare
Jordtistel
Loppstarr
Majviva
Spillkråka
Svinrot
Ängsstarr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33728-2025</t>
        </is>
      </c>
      <c r="B28" s="1" t="n">
        <v>45842.29344907407</v>
      </c>
      <c r="C28" s="1" t="n">
        <v>45930</v>
      </c>
      <c r="D28" t="inlineStr">
        <is>
          <t>GOTLANDS LÄN</t>
        </is>
      </c>
      <c r="E28" t="inlineStr">
        <is>
          <t>GOTLAND</t>
        </is>
      </c>
      <c r="G28" t="n">
        <v>9.5</v>
      </c>
      <c r="H28" t="n">
        <v>3</v>
      </c>
      <c r="I28" t="n">
        <v>3</v>
      </c>
      <c r="J28" t="n">
        <v>6</v>
      </c>
      <c r="K28" t="n">
        <v>3</v>
      </c>
      <c r="L28" t="n">
        <v>2</v>
      </c>
      <c r="M28" t="n">
        <v>0</v>
      </c>
      <c r="N28" t="n">
        <v>0</v>
      </c>
      <c r="O28" t="n">
        <v>11</v>
      </c>
      <c r="P28" t="n">
        <v>5</v>
      </c>
      <c r="Q28" t="n">
        <v>14</v>
      </c>
      <c r="R28" s="2" t="inlineStr">
        <is>
          <t>Ask
Sienamusseron
Gotlandsmåra
Läderdoftande fingersvamp
Mörkfjällig olivspindling
Axveronika
Backtimjan
Duvhök
Jordtistel
Svartfläckig blåvinge
Svinrot
Olivspindling
Skogsknipprot
Svavelriska</t>
        </is>
      </c>
      <c r="S28">
        <f>HYPERLINK("https://klasma.github.io/Logging_0980/artfynd/A 33728-2025 artfynd.xlsx", "A 33728-2025")</f>
        <v/>
      </c>
      <c r="T28">
        <f>HYPERLINK("https://klasma.github.io/Logging_0980/kartor/A 33728-2025 karta.png", "A 33728-2025")</f>
        <v/>
      </c>
      <c r="V28">
        <f>HYPERLINK("https://klasma.github.io/Logging_0980/klagomål/A 33728-2025 FSC-klagomål.docx", "A 33728-2025")</f>
        <v/>
      </c>
      <c r="W28">
        <f>HYPERLINK("https://klasma.github.io/Logging_0980/klagomålsmail/A 33728-2025 FSC-klagomål mail.docx", "A 33728-2025")</f>
        <v/>
      </c>
      <c r="X28">
        <f>HYPERLINK("https://klasma.github.io/Logging_0980/tillsyn/A 33728-2025 tillsynsbegäran.docx", "A 33728-2025")</f>
        <v/>
      </c>
      <c r="Y28">
        <f>HYPERLINK("https://klasma.github.io/Logging_0980/tillsynsmail/A 33728-2025 tillsynsbegäran mail.docx", "A 33728-2025")</f>
        <v/>
      </c>
      <c r="Z28">
        <f>HYPERLINK("https://klasma.github.io/Logging_0980/fåglar/A 33728-2025 prioriterade fågelarter.docx", "A 33728-2025")</f>
        <v/>
      </c>
    </row>
    <row r="29" ht="15" customHeight="1">
      <c r="A29" t="inlineStr">
        <is>
          <t>A 2222-2024</t>
        </is>
      </c>
      <c r="B29" s="1" t="n">
        <v>45309</v>
      </c>
      <c r="C29" s="1" t="n">
        <v>45930</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45930</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24309-2025</t>
        </is>
      </c>
      <c r="B31" s="1" t="n">
        <v>45797</v>
      </c>
      <c r="C31" s="1" t="n">
        <v>45930</v>
      </c>
      <c r="D31" t="inlineStr">
        <is>
          <t>GOTLANDS LÄN</t>
        </is>
      </c>
      <c r="E31" t="inlineStr">
        <is>
          <t>GOTLAND</t>
        </is>
      </c>
      <c r="F31" t="inlineStr">
        <is>
          <t>Kyrkan</t>
        </is>
      </c>
      <c r="G31" t="n">
        <v>7.8</v>
      </c>
      <c r="H31" t="n">
        <v>11</v>
      </c>
      <c r="I31" t="n">
        <v>6</v>
      </c>
      <c r="J31" t="n">
        <v>3</v>
      </c>
      <c r="K31" t="n">
        <v>1</v>
      </c>
      <c r="L31" t="n">
        <v>1</v>
      </c>
      <c r="M31" t="n">
        <v>0</v>
      </c>
      <c r="N31" t="n">
        <v>0</v>
      </c>
      <c r="O31" t="n">
        <v>5</v>
      </c>
      <c r="P31" t="n">
        <v>2</v>
      </c>
      <c r="Q31" t="n">
        <v>14</v>
      </c>
      <c r="R31" s="2" t="inlineStr">
        <is>
          <t>Grönfink
Garderönn
Dårgräsfjäril
Spillkråka
Svinrot
Grönpyrola
Purpurknipprot
Skogsknipprot
Strävlosta
Tvåblad
Vit skogslilja
Halsbandsflugsnappare
Nattviol
Blåsippa</t>
        </is>
      </c>
      <c r="S31">
        <f>HYPERLINK("https://klasma.github.io/Logging_0980/artfynd/A 24309-2025 artfynd.xlsx", "A 24309-2025")</f>
        <v/>
      </c>
      <c r="T31">
        <f>HYPERLINK("https://klasma.github.io/Logging_0980/kartor/A 24309-2025 karta.png", "A 24309-2025")</f>
        <v/>
      </c>
      <c r="V31">
        <f>HYPERLINK("https://klasma.github.io/Logging_0980/klagomål/A 24309-2025 FSC-klagomål.docx", "A 24309-2025")</f>
        <v/>
      </c>
      <c r="W31">
        <f>HYPERLINK("https://klasma.github.io/Logging_0980/klagomålsmail/A 24309-2025 FSC-klagomål mail.docx", "A 24309-2025")</f>
        <v/>
      </c>
      <c r="X31">
        <f>HYPERLINK("https://klasma.github.io/Logging_0980/tillsyn/A 24309-2025 tillsynsbegäran.docx", "A 24309-2025")</f>
        <v/>
      </c>
      <c r="Y31">
        <f>HYPERLINK("https://klasma.github.io/Logging_0980/tillsynsmail/A 24309-2025 tillsynsbegäran mail.docx", "A 24309-2025")</f>
        <v/>
      </c>
      <c r="Z31">
        <f>HYPERLINK("https://klasma.github.io/Logging_0980/fåglar/A 24309-2025 prioriterade fågelarter.docx", "A 24309-2025")</f>
        <v/>
      </c>
    </row>
    <row r="32" ht="15" customHeight="1">
      <c r="A32" t="inlineStr">
        <is>
          <t>A 44204-2022</t>
        </is>
      </c>
      <c r="B32" s="1" t="n">
        <v>44839</v>
      </c>
      <c r="C32" s="1" t="n">
        <v>45930</v>
      </c>
      <c r="D32" t="inlineStr">
        <is>
          <t>GOTLANDS LÄN</t>
        </is>
      </c>
      <c r="E32" t="inlineStr">
        <is>
          <t>GOTLAND</t>
        </is>
      </c>
      <c r="G32" t="n">
        <v>2.3</v>
      </c>
      <c r="H32" t="n">
        <v>2</v>
      </c>
      <c r="I32" t="n">
        <v>5</v>
      </c>
      <c r="J32" t="n">
        <v>3</v>
      </c>
      <c r="K32" t="n">
        <v>4</v>
      </c>
      <c r="L32" t="n">
        <v>1</v>
      </c>
      <c r="M32" t="n">
        <v>0</v>
      </c>
      <c r="N32" t="n">
        <v>0</v>
      </c>
      <c r="O32" t="n">
        <v>8</v>
      </c>
      <c r="P32" t="n">
        <v>5</v>
      </c>
      <c r="Q32" t="n">
        <v>13</v>
      </c>
      <c r="R32" s="2" t="inlineStr">
        <is>
          <t>Sienamusseron
Bitter taggsvamp
Fläckfingersvamp
Granrotsspindling
Violettfläckig spindling
Duvhök
Odörspindling
Spillkråka
Anisspindling
Blomkålssvamp
Blå slemspindling
Olivspindling
Tjockfotad fingersvamp</t>
        </is>
      </c>
      <c r="S32">
        <f>HYPERLINK("https://klasma.github.io/Logging_0980/artfynd/A 44204-2022 artfynd.xlsx", "A 44204-2022")</f>
        <v/>
      </c>
      <c r="T32">
        <f>HYPERLINK("https://klasma.github.io/Logging_0980/kartor/A 44204-2022 karta.png", "A 44204-2022")</f>
        <v/>
      </c>
      <c r="V32">
        <f>HYPERLINK("https://klasma.github.io/Logging_0980/klagomål/A 44204-2022 FSC-klagomål.docx", "A 44204-2022")</f>
        <v/>
      </c>
      <c r="W32">
        <f>HYPERLINK("https://klasma.github.io/Logging_0980/klagomålsmail/A 44204-2022 FSC-klagomål mail.docx", "A 44204-2022")</f>
        <v/>
      </c>
      <c r="X32">
        <f>HYPERLINK("https://klasma.github.io/Logging_0980/tillsyn/A 44204-2022 tillsynsbegäran.docx", "A 44204-2022")</f>
        <v/>
      </c>
      <c r="Y32">
        <f>HYPERLINK("https://klasma.github.io/Logging_0980/tillsynsmail/A 44204-2022 tillsynsbegäran mail.docx", "A 44204-2022")</f>
        <v/>
      </c>
      <c r="Z32">
        <f>HYPERLINK("https://klasma.github.io/Logging_0980/fåglar/A 44204-2022 prioriterade fågelarter.docx", "A 44204-2022")</f>
        <v/>
      </c>
    </row>
    <row r="33" ht="15" customHeight="1">
      <c r="A33" t="inlineStr">
        <is>
          <t>A 44928-2022</t>
        </is>
      </c>
      <c r="B33" s="1" t="n">
        <v>44841</v>
      </c>
      <c r="C33" s="1" t="n">
        <v>45930</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35141-2022</t>
        </is>
      </c>
      <c r="B34" s="1" t="n">
        <v>44797.53318287037</v>
      </c>
      <c r="C34" s="1" t="n">
        <v>45930</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445-2023</t>
        </is>
      </c>
      <c r="B35" s="1" t="n">
        <v>44929</v>
      </c>
      <c r="C35" s="1" t="n">
        <v>45930</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2804-2023</t>
        </is>
      </c>
      <c r="B36" s="1" t="n">
        <v>44944</v>
      </c>
      <c r="C36" s="1" t="n">
        <v>45930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3324-2023</t>
        </is>
      </c>
      <c r="B37" s="1" t="n">
        <v>44949</v>
      </c>
      <c r="C37" s="1" t="n">
        <v>45930</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45930</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45930</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45748</v>
      </c>
      <c r="C40" s="1" t="n">
        <v>45930</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30542-2025</t>
        </is>
      </c>
      <c r="B41" s="1" t="n">
        <v>45831</v>
      </c>
      <c r="C41" s="1" t="n">
        <v>45930</v>
      </c>
      <c r="D41" t="inlineStr">
        <is>
          <t>GOTLANDS LÄN</t>
        </is>
      </c>
      <c r="E41" t="inlineStr">
        <is>
          <t>GOTLAND</t>
        </is>
      </c>
      <c r="G41" t="n">
        <v>8.300000000000001</v>
      </c>
      <c r="H41" t="n">
        <v>5</v>
      </c>
      <c r="I41" t="n">
        <v>3</v>
      </c>
      <c r="J41" t="n">
        <v>6</v>
      </c>
      <c r="K41" t="n">
        <v>0</v>
      </c>
      <c r="L41" t="n">
        <v>1</v>
      </c>
      <c r="M41" t="n">
        <v>0</v>
      </c>
      <c r="N41" t="n">
        <v>0</v>
      </c>
      <c r="O41" t="n">
        <v>7</v>
      </c>
      <c r="P41" t="n">
        <v>1</v>
      </c>
      <c r="Q41" t="n">
        <v>12</v>
      </c>
      <c r="R41" s="2" t="inlineStr">
        <is>
          <t>Ask
Backtimjan
Dårgräsfjäril
Jordtistel
Solvända
Svinrot
Ängsstarr
Blåmossa
Skogsknipprot
Tvåblad
Brudsporre
Fläcknycklar</t>
        </is>
      </c>
      <c r="S41">
        <f>HYPERLINK("https://klasma.github.io/Logging_0980/artfynd/A 30542-2025 artfynd.xlsx", "A 30542-2025")</f>
        <v/>
      </c>
      <c r="T41">
        <f>HYPERLINK("https://klasma.github.io/Logging_0980/kartor/A 30542-2025 karta.png", "A 30542-2025")</f>
        <v/>
      </c>
      <c r="V41">
        <f>HYPERLINK("https://klasma.github.io/Logging_0980/klagomål/A 30542-2025 FSC-klagomål.docx", "A 30542-2025")</f>
        <v/>
      </c>
      <c r="W41">
        <f>HYPERLINK("https://klasma.github.io/Logging_0980/klagomålsmail/A 30542-2025 FSC-klagomål mail.docx", "A 30542-2025")</f>
        <v/>
      </c>
      <c r="X41">
        <f>HYPERLINK("https://klasma.github.io/Logging_0980/tillsyn/A 30542-2025 tillsynsbegäran.docx", "A 30542-2025")</f>
        <v/>
      </c>
      <c r="Y41">
        <f>HYPERLINK("https://klasma.github.io/Logging_0980/tillsynsmail/A 30542-2025 tillsynsbegäran mail.docx", "A 30542-2025")</f>
        <v/>
      </c>
    </row>
    <row r="42" ht="15" customHeight="1">
      <c r="A42" t="inlineStr">
        <is>
          <t>A 43201-2023</t>
        </is>
      </c>
      <c r="B42" s="1" t="n">
        <v>45183</v>
      </c>
      <c r="C42" s="1" t="n">
        <v>45930</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11176-2024</t>
        </is>
      </c>
      <c r="B43" s="1" t="n">
        <v>45371</v>
      </c>
      <c r="C43" s="1" t="n">
        <v>45930</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45930</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1719-2025</t>
        </is>
      </c>
      <c r="B45" s="1" t="n">
        <v>45671</v>
      </c>
      <c r="C45" s="1" t="n">
        <v>45930</v>
      </c>
      <c r="D45" t="inlineStr">
        <is>
          <t>GOTLANDS LÄN</t>
        </is>
      </c>
      <c r="E45" t="inlineStr">
        <is>
          <t>GOTLAND</t>
        </is>
      </c>
      <c r="G45" t="n">
        <v>6</v>
      </c>
      <c r="H45" t="n">
        <v>3</v>
      </c>
      <c r="I45" t="n">
        <v>2</v>
      </c>
      <c r="J45" t="n">
        <v>3</v>
      </c>
      <c r="K45" t="n">
        <v>3</v>
      </c>
      <c r="L45" t="n">
        <v>1</v>
      </c>
      <c r="M45" t="n">
        <v>0</v>
      </c>
      <c r="N45" t="n">
        <v>0</v>
      </c>
      <c r="O45" t="n">
        <v>7</v>
      </c>
      <c r="P45" t="n">
        <v>4</v>
      </c>
      <c r="Q45" t="n">
        <v>10</v>
      </c>
      <c r="R45" s="2" t="inlineStr">
        <is>
          <t>Ask
Gulsträngad fagerspindling
Skogskorn
Vit taggsvamp
Backtimjan
Doftskinn
Spillkråka
Besk kastanjemusseron
Skogsknipprot
Blåsippa</t>
        </is>
      </c>
      <c r="S45">
        <f>HYPERLINK("https://klasma.github.io/Logging_0980/artfynd/A 1719-2025 artfynd.xlsx", "A 1719-2025")</f>
        <v/>
      </c>
      <c r="T45">
        <f>HYPERLINK("https://klasma.github.io/Logging_0980/kartor/A 1719-2025 karta.png", "A 1719-2025")</f>
        <v/>
      </c>
      <c r="V45">
        <f>HYPERLINK("https://klasma.github.io/Logging_0980/klagomål/A 1719-2025 FSC-klagomål.docx", "A 1719-2025")</f>
        <v/>
      </c>
      <c r="W45">
        <f>HYPERLINK("https://klasma.github.io/Logging_0980/klagomålsmail/A 1719-2025 FSC-klagomål mail.docx", "A 1719-2025")</f>
        <v/>
      </c>
      <c r="X45">
        <f>HYPERLINK("https://klasma.github.io/Logging_0980/tillsyn/A 1719-2025 tillsynsbegäran.docx", "A 1719-2025")</f>
        <v/>
      </c>
      <c r="Y45">
        <f>HYPERLINK("https://klasma.github.io/Logging_0980/tillsynsmail/A 1719-2025 tillsynsbegäran mail.docx", "A 1719-2025")</f>
        <v/>
      </c>
      <c r="Z45">
        <f>HYPERLINK("https://klasma.github.io/Logging_0980/fåglar/A 1719-2025 prioriterade fågelarter.docx", "A 1719-2025")</f>
        <v/>
      </c>
    </row>
    <row r="46" ht="15" customHeight="1">
      <c r="A46" t="inlineStr">
        <is>
          <t>A 584-2023</t>
        </is>
      </c>
      <c r="B46" s="1" t="n">
        <v>44930</v>
      </c>
      <c r="C46" s="1" t="n">
        <v>45930</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33153-2024</t>
        </is>
      </c>
      <c r="B47" s="1" t="n">
        <v>45518</v>
      </c>
      <c r="C47" s="1" t="n">
        <v>45930</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17766-2024</t>
        </is>
      </c>
      <c r="B48" s="1" t="n">
        <v>45418</v>
      </c>
      <c r="C48" s="1" t="n">
        <v>45930</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45930</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14354-2024</t>
        </is>
      </c>
      <c r="B50" s="1" t="n">
        <v>45393</v>
      </c>
      <c r="C50" s="1" t="n">
        <v>45930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39376-2023</t>
        </is>
      </c>
      <c r="B51" s="1" t="n">
        <v>45166</v>
      </c>
      <c r="C51" s="1" t="n">
        <v>45930</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59132-2024</t>
        </is>
      </c>
      <c r="B52" s="1" t="n">
        <v>45637</v>
      </c>
      <c r="C52" s="1" t="n">
        <v>45930</v>
      </c>
      <c r="D52" t="inlineStr">
        <is>
          <t>GOTLANDS LÄN</t>
        </is>
      </c>
      <c r="E52" t="inlineStr">
        <is>
          <t>GOTLAND</t>
        </is>
      </c>
      <c r="G52" t="n">
        <v>3.5</v>
      </c>
      <c r="H52" t="n">
        <v>0</v>
      </c>
      <c r="I52" t="n">
        <v>1</v>
      </c>
      <c r="J52" t="n">
        <v>4</v>
      </c>
      <c r="K52" t="n">
        <v>3</v>
      </c>
      <c r="L52" t="n">
        <v>0</v>
      </c>
      <c r="M52" t="n">
        <v>0</v>
      </c>
      <c r="N52" t="n">
        <v>0</v>
      </c>
      <c r="O52" t="n">
        <v>8</v>
      </c>
      <c r="P52" t="n">
        <v>3</v>
      </c>
      <c r="Q52" t="n">
        <v>9</v>
      </c>
      <c r="R52" s="2" t="inlineStr">
        <is>
          <t>Almlav
Mörk kraterlav
Pälsticka
Korskovall
Slåtterfibbla
Solvända
Vippärt
Amphisphaeria umbrina
Underviol</t>
        </is>
      </c>
      <c r="S52">
        <f>HYPERLINK("https://klasma.github.io/Logging_0980/artfynd/A 59132-2024 artfynd.xlsx", "A 59132-2024")</f>
        <v/>
      </c>
      <c r="T52">
        <f>HYPERLINK("https://klasma.github.io/Logging_0980/kartor/A 59132-2024 karta.png", "A 59132-2024")</f>
        <v/>
      </c>
      <c r="V52">
        <f>HYPERLINK("https://klasma.github.io/Logging_0980/klagomål/A 59132-2024 FSC-klagomål.docx", "A 59132-2024")</f>
        <v/>
      </c>
      <c r="W52">
        <f>HYPERLINK("https://klasma.github.io/Logging_0980/klagomålsmail/A 59132-2024 FSC-klagomål mail.docx", "A 59132-2024")</f>
        <v/>
      </c>
      <c r="X52">
        <f>HYPERLINK("https://klasma.github.io/Logging_0980/tillsyn/A 59132-2024 tillsynsbegäran.docx", "A 59132-2024")</f>
        <v/>
      </c>
      <c r="Y52">
        <f>HYPERLINK("https://klasma.github.io/Logging_0980/tillsynsmail/A 59132-2024 tillsynsbegäran mail.docx", "A 59132-2024")</f>
        <v/>
      </c>
    </row>
    <row r="53" ht="15" customHeight="1">
      <c r="A53" t="inlineStr">
        <is>
          <t>A 7039-2023</t>
        </is>
      </c>
      <c r="B53" s="1" t="n">
        <v>44968</v>
      </c>
      <c r="C53" s="1" t="n">
        <v>45930</v>
      </c>
      <c r="D53" t="inlineStr">
        <is>
          <t>GOTLANDS LÄN</t>
        </is>
      </c>
      <c r="E53" t="inlineStr">
        <is>
          <t>GOTLAND</t>
        </is>
      </c>
      <c r="G53" t="n">
        <v>2.9</v>
      </c>
      <c r="H53" t="n">
        <v>1</v>
      </c>
      <c r="I53" t="n">
        <v>3</v>
      </c>
      <c r="J53" t="n">
        <v>1</v>
      </c>
      <c r="K53" t="n">
        <v>1</v>
      </c>
      <c r="L53" t="n">
        <v>1</v>
      </c>
      <c r="M53" t="n">
        <v>1</v>
      </c>
      <c r="N53" t="n">
        <v>0</v>
      </c>
      <c r="O53" t="n">
        <v>5</v>
      </c>
      <c r="P53" t="n">
        <v>3</v>
      </c>
      <c r="Q53" t="n">
        <v>8</v>
      </c>
      <c r="R53" s="2" t="inlineStr">
        <is>
          <t>Stor blanklav
Ädellav
Mörk kraterlav
Dårgräsfjäril
Frostig asplav
Havstulpanlav
Klippfrullania
Stubbspretmossa</t>
        </is>
      </c>
      <c r="S53">
        <f>HYPERLINK("https://klasma.github.io/Logging_0980/artfynd/A 7039-2023 artfynd.xlsx", "A 7039-2023")</f>
        <v/>
      </c>
      <c r="T53">
        <f>HYPERLINK("https://klasma.github.io/Logging_0980/kartor/A 7039-2023 karta.png", "A 7039-2023")</f>
        <v/>
      </c>
      <c r="V53">
        <f>HYPERLINK("https://klasma.github.io/Logging_0980/klagomål/A 7039-2023 FSC-klagomål.docx", "A 7039-2023")</f>
        <v/>
      </c>
      <c r="W53">
        <f>HYPERLINK("https://klasma.github.io/Logging_0980/klagomålsmail/A 7039-2023 FSC-klagomål mail.docx", "A 7039-2023")</f>
        <v/>
      </c>
      <c r="X53">
        <f>HYPERLINK("https://klasma.github.io/Logging_0980/tillsyn/A 7039-2023 tillsynsbegäran.docx", "A 7039-2023")</f>
        <v/>
      </c>
      <c r="Y53">
        <f>HYPERLINK("https://klasma.github.io/Logging_0980/tillsynsmail/A 7039-2023 tillsynsbegäran mail.docx", "A 7039-2023")</f>
        <v/>
      </c>
    </row>
    <row r="54" ht="15" customHeight="1">
      <c r="A54" t="inlineStr">
        <is>
          <t>A 21467-2024</t>
        </is>
      </c>
      <c r="B54" s="1" t="n">
        <v>45441</v>
      </c>
      <c r="C54" s="1" t="n">
        <v>45930</v>
      </c>
      <c r="D54" t="inlineStr">
        <is>
          <t>GOTLANDS LÄN</t>
        </is>
      </c>
      <c r="E54" t="inlineStr">
        <is>
          <t>GOTLAND</t>
        </is>
      </c>
      <c r="G54" t="n">
        <v>8.800000000000001</v>
      </c>
      <c r="H54" t="n">
        <v>5</v>
      </c>
      <c r="I54" t="n">
        <v>0</v>
      </c>
      <c r="J54" t="n">
        <v>6</v>
      </c>
      <c r="K54" t="n">
        <v>1</v>
      </c>
      <c r="L54" t="n">
        <v>0</v>
      </c>
      <c r="M54" t="n">
        <v>0</v>
      </c>
      <c r="N54" t="n">
        <v>0</v>
      </c>
      <c r="O54" t="n">
        <v>7</v>
      </c>
      <c r="P54" t="n">
        <v>1</v>
      </c>
      <c r="Q54" t="n">
        <v>8</v>
      </c>
      <c r="R54" s="2" t="inlineStr">
        <is>
          <t>Garderönn
Backtimjan
Dårgräsfjäril
Gulsparv
Jordtistel
Spillkråka
Svinrot
Blåsippa</t>
        </is>
      </c>
      <c r="S54">
        <f>HYPERLINK("https://klasma.github.io/Logging_0980/artfynd/A 21467-2024 artfynd.xlsx", "A 21467-2024")</f>
        <v/>
      </c>
      <c r="T54">
        <f>HYPERLINK("https://klasma.github.io/Logging_0980/kartor/A 21467-2024 karta.png", "A 21467-2024")</f>
        <v/>
      </c>
      <c r="V54">
        <f>HYPERLINK("https://klasma.github.io/Logging_0980/klagomål/A 21467-2024 FSC-klagomål.docx", "A 21467-2024")</f>
        <v/>
      </c>
      <c r="W54">
        <f>HYPERLINK("https://klasma.github.io/Logging_0980/klagomålsmail/A 21467-2024 FSC-klagomål mail.docx", "A 21467-2024")</f>
        <v/>
      </c>
      <c r="X54">
        <f>HYPERLINK("https://klasma.github.io/Logging_0980/tillsyn/A 21467-2024 tillsynsbegäran.docx", "A 21467-2024")</f>
        <v/>
      </c>
      <c r="Y54">
        <f>HYPERLINK("https://klasma.github.io/Logging_0980/tillsynsmail/A 21467-2024 tillsynsbegäran mail.docx", "A 21467-2024")</f>
        <v/>
      </c>
      <c r="Z54">
        <f>HYPERLINK("https://klasma.github.io/Logging_0980/fåglar/A 21467-2024 prioriterade fågelarter.docx", "A 21467-2024")</f>
        <v/>
      </c>
    </row>
    <row r="55" ht="15" customHeight="1">
      <c r="A55" t="inlineStr">
        <is>
          <t>A 1769-2022</t>
        </is>
      </c>
      <c r="B55" s="1" t="n">
        <v>44574</v>
      </c>
      <c r="C55" s="1" t="n">
        <v>45930</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45930</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45248-2024</t>
        </is>
      </c>
      <c r="B57" s="1" t="n">
        <v>45576</v>
      </c>
      <c r="C57" s="1" t="n">
        <v>45930</v>
      </c>
      <c r="D57" t="inlineStr">
        <is>
          <t>GOTLANDS LÄN</t>
        </is>
      </c>
      <c r="E57" t="inlineStr">
        <is>
          <t>GOTLAND</t>
        </is>
      </c>
      <c r="G57" t="n">
        <v>9.4</v>
      </c>
      <c r="H57" t="n">
        <v>0</v>
      </c>
      <c r="I57" t="n">
        <v>3</v>
      </c>
      <c r="J57" t="n">
        <v>1</v>
      </c>
      <c r="K57" t="n">
        <v>1</v>
      </c>
      <c r="L57" t="n">
        <v>1</v>
      </c>
      <c r="M57" t="n">
        <v>1</v>
      </c>
      <c r="N57" t="n">
        <v>0</v>
      </c>
      <c r="O57" t="n">
        <v>4</v>
      </c>
      <c r="P57" t="n">
        <v>3</v>
      </c>
      <c r="Q57" t="n">
        <v>7</v>
      </c>
      <c r="R57" s="2" t="inlineStr">
        <is>
          <t>Lundalm
Ask
Mjölspindling
Oxtungssvamp
Myskmadra
Stinkbrosking
Underviol</t>
        </is>
      </c>
      <c r="S57">
        <f>HYPERLINK("https://klasma.github.io/Logging_0980/artfynd/A 45248-2024 artfynd.xlsx", "A 45248-2024")</f>
        <v/>
      </c>
      <c r="T57">
        <f>HYPERLINK("https://klasma.github.io/Logging_0980/kartor/A 45248-2024 karta.png", "A 45248-2024")</f>
        <v/>
      </c>
      <c r="V57">
        <f>HYPERLINK("https://klasma.github.io/Logging_0980/klagomål/A 45248-2024 FSC-klagomål.docx", "A 45248-2024")</f>
        <v/>
      </c>
      <c r="W57">
        <f>HYPERLINK("https://klasma.github.io/Logging_0980/klagomålsmail/A 45248-2024 FSC-klagomål mail.docx", "A 45248-2024")</f>
        <v/>
      </c>
      <c r="X57">
        <f>HYPERLINK("https://klasma.github.io/Logging_0980/tillsyn/A 45248-2024 tillsynsbegäran.docx", "A 45248-2024")</f>
        <v/>
      </c>
      <c r="Y57">
        <f>HYPERLINK("https://klasma.github.io/Logging_0980/tillsynsmail/A 45248-2024 tillsynsbegäran mail.docx", "A 45248-2024")</f>
        <v/>
      </c>
    </row>
    <row r="58" ht="15" customHeight="1">
      <c r="A58" t="inlineStr">
        <is>
          <t>A 18541-2024</t>
        </is>
      </c>
      <c r="B58" s="1" t="n">
        <v>45425</v>
      </c>
      <c r="C58" s="1" t="n">
        <v>45930</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6960-2025</t>
        </is>
      </c>
      <c r="B59" s="1" t="n">
        <v>45701.49409722222</v>
      </c>
      <c r="C59" s="1" t="n">
        <v>45930</v>
      </c>
      <c r="D59" t="inlineStr">
        <is>
          <t>GOTLANDS LÄN</t>
        </is>
      </c>
      <c r="E59" t="inlineStr">
        <is>
          <t>GOTLAND</t>
        </is>
      </c>
      <c r="G59" t="n">
        <v>4</v>
      </c>
      <c r="H59" t="n">
        <v>4</v>
      </c>
      <c r="I59" t="n">
        <v>1</v>
      </c>
      <c r="J59" t="n">
        <v>4</v>
      </c>
      <c r="K59" t="n">
        <v>0</v>
      </c>
      <c r="L59" t="n">
        <v>0</v>
      </c>
      <c r="M59" t="n">
        <v>0</v>
      </c>
      <c r="N59" t="n">
        <v>0</v>
      </c>
      <c r="O59" t="n">
        <v>4</v>
      </c>
      <c r="P59" t="n">
        <v>0</v>
      </c>
      <c r="Q59" t="n">
        <v>7</v>
      </c>
      <c r="R59" s="2" t="inlineStr">
        <is>
          <t>Majviva
Spillkråka
Svinrot
Ängsstarr
Skogsknipprot
Dactylorhiza incarnata subsp. incarnata
Nattviol</t>
        </is>
      </c>
      <c r="S59">
        <f>HYPERLINK("https://klasma.github.io/Logging_0980/artfynd/A 6960-2025 artfynd.xlsx", "A 6960-2025")</f>
        <v/>
      </c>
      <c r="T59">
        <f>HYPERLINK("https://klasma.github.io/Logging_0980/kartor/A 6960-2025 karta.png", "A 6960-2025")</f>
        <v/>
      </c>
      <c r="U59">
        <f>HYPERLINK("https://klasma.github.io/Logging_0980/knärot/A 6960-2025 karta knärot.png", "A 6960-2025")</f>
        <v/>
      </c>
      <c r="V59">
        <f>HYPERLINK("https://klasma.github.io/Logging_0980/klagomål/A 6960-2025 FSC-klagomål.docx", "A 6960-2025")</f>
        <v/>
      </c>
      <c r="W59">
        <f>HYPERLINK("https://klasma.github.io/Logging_0980/klagomålsmail/A 6960-2025 FSC-klagomål mail.docx", "A 6960-2025")</f>
        <v/>
      </c>
      <c r="X59">
        <f>HYPERLINK("https://klasma.github.io/Logging_0980/tillsyn/A 6960-2025 tillsynsbegäran.docx", "A 6960-2025")</f>
        <v/>
      </c>
      <c r="Y59">
        <f>HYPERLINK("https://klasma.github.io/Logging_0980/tillsynsmail/A 6960-2025 tillsynsbegäran mail.docx", "A 6960-2025")</f>
        <v/>
      </c>
      <c r="Z59">
        <f>HYPERLINK("https://klasma.github.io/Logging_0980/fåglar/A 6960-2025 prioriterade fågelarter.docx", "A 6960-2025")</f>
        <v/>
      </c>
    </row>
    <row r="60" ht="15" customHeight="1">
      <c r="A60" t="inlineStr">
        <is>
          <t>A 4984-2025</t>
        </is>
      </c>
      <c r="B60" s="1" t="n">
        <v>45691.29891203704</v>
      </c>
      <c r="C60" s="1" t="n">
        <v>45930</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10419-2025</t>
        </is>
      </c>
      <c r="B61" s="1" t="n">
        <v>45720</v>
      </c>
      <c r="C61" s="1" t="n">
        <v>45930</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27280-2023</t>
        </is>
      </c>
      <c r="B62" s="1" t="n">
        <v>45096</v>
      </c>
      <c r="C62" s="1" t="n">
        <v>45930</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25205-2021</t>
        </is>
      </c>
      <c r="B63" s="1" t="n">
        <v>44342</v>
      </c>
      <c r="C63" s="1" t="n">
        <v>45930</v>
      </c>
      <c r="D63" t="inlineStr">
        <is>
          <t>GOTLANDS LÄN</t>
        </is>
      </c>
      <c r="E63" t="inlineStr">
        <is>
          <t>GOTLAND</t>
        </is>
      </c>
      <c r="G63" t="n">
        <v>2.8</v>
      </c>
      <c r="H63" t="n">
        <v>0</v>
      </c>
      <c r="I63" t="n">
        <v>4</v>
      </c>
      <c r="J63" t="n">
        <v>0</v>
      </c>
      <c r="K63" t="n">
        <v>1</v>
      </c>
      <c r="L63" t="n">
        <v>1</v>
      </c>
      <c r="M63" t="n">
        <v>0</v>
      </c>
      <c r="N63" t="n">
        <v>0</v>
      </c>
      <c r="O63" t="n">
        <v>2</v>
      </c>
      <c r="P63" t="n">
        <v>2</v>
      </c>
      <c r="Q63" t="n">
        <v>6</v>
      </c>
      <c r="R63" s="2" t="inlineStr">
        <is>
          <t>Ädellav
Mörk kraterlav
Hasselticka
Lönnlav
Rikfruktig blemlav
Slät lönnlav</t>
        </is>
      </c>
      <c r="S63">
        <f>HYPERLINK("https://klasma.github.io/Logging_0980/artfynd/A 25205-2021 artfynd.xlsx", "A 25205-2021")</f>
        <v/>
      </c>
      <c r="T63">
        <f>HYPERLINK("https://klasma.github.io/Logging_0980/kartor/A 25205-2021 karta.png", "A 25205-2021")</f>
        <v/>
      </c>
      <c r="V63">
        <f>HYPERLINK("https://klasma.github.io/Logging_0980/klagomål/A 25205-2021 FSC-klagomål.docx", "A 25205-2021")</f>
        <v/>
      </c>
      <c r="W63">
        <f>HYPERLINK("https://klasma.github.io/Logging_0980/klagomålsmail/A 25205-2021 FSC-klagomål mail.docx", "A 25205-2021")</f>
        <v/>
      </c>
      <c r="X63">
        <f>HYPERLINK("https://klasma.github.io/Logging_0980/tillsyn/A 25205-2021 tillsynsbegäran.docx", "A 25205-2021")</f>
        <v/>
      </c>
      <c r="Y63">
        <f>HYPERLINK("https://klasma.github.io/Logging_0980/tillsynsmail/A 25205-2021 tillsynsbegäran mail.docx", "A 25205-2021")</f>
        <v/>
      </c>
    </row>
    <row r="64" ht="15" customHeight="1">
      <c r="A64" t="inlineStr">
        <is>
          <t>A 7038-2023</t>
        </is>
      </c>
      <c r="B64" s="1" t="n">
        <v>44968</v>
      </c>
      <c r="C64" s="1" t="n">
        <v>45930</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45930</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2085-2023</t>
        </is>
      </c>
      <c r="B66" s="1" t="n">
        <v>44939</v>
      </c>
      <c r="C66" s="1" t="n">
        <v>45930</v>
      </c>
      <c r="D66" t="inlineStr">
        <is>
          <t>GOTLANDS LÄN</t>
        </is>
      </c>
      <c r="E66" t="inlineStr">
        <is>
          <t>GOTLAND</t>
        </is>
      </c>
      <c r="G66" t="n">
        <v>0.9</v>
      </c>
      <c r="H66" t="n">
        <v>2</v>
      </c>
      <c r="I66" t="n">
        <v>5</v>
      </c>
      <c r="J66" t="n">
        <v>0</v>
      </c>
      <c r="K66" t="n">
        <v>0</v>
      </c>
      <c r="L66" t="n">
        <v>0</v>
      </c>
      <c r="M66" t="n">
        <v>0</v>
      </c>
      <c r="N66" t="n">
        <v>0</v>
      </c>
      <c r="O66" t="n">
        <v>0</v>
      </c>
      <c r="P66" t="n">
        <v>0</v>
      </c>
      <c r="Q66" t="n">
        <v>6</v>
      </c>
      <c r="R66" s="2" t="inlineStr">
        <is>
          <t>Blå slemspindling
Blåmossa
Kattfotslav
Skogsknipprot
Vågbandad barkbock
Skogsduva</t>
        </is>
      </c>
      <c r="S66">
        <f>HYPERLINK("https://klasma.github.io/Logging_0980/artfynd/A 2085-2023 artfynd.xlsx", "A 2085-2023")</f>
        <v/>
      </c>
      <c r="T66">
        <f>HYPERLINK("https://klasma.github.io/Logging_0980/kartor/A 2085-2023 karta.png", "A 2085-2023")</f>
        <v/>
      </c>
      <c r="V66">
        <f>HYPERLINK("https://klasma.github.io/Logging_0980/klagomål/A 2085-2023 FSC-klagomål.docx", "A 2085-2023")</f>
        <v/>
      </c>
      <c r="W66">
        <f>HYPERLINK("https://klasma.github.io/Logging_0980/klagomålsmail/A 2085-2023 FSC-klagomål mail.docx", "A 2085-2023")</f>
        <v/>
      </c>
      <c r="X66">
        <f>HYPERLINK("https://klasma.github.io/Logging_0980/tillsyn/A 2085-2023 tillsynsbegäran.docx", "A 2085-2023")</f>
        <v/>
      </c>
      <c r="Y66">
        <f>HYPERLINK("https://klasma.github.io/Logging_0980/tillsynsmail/A 2085-2023 tillsynsbegäran mail.docx", "A 2085-2023")</f>
        <v/>
      </c>
      <c r="Z66">
        <f>HYPERLINK("https://klasma.github.io/Logging_0980/fåglar/A 2085-2023 prioriterade fågelarter.docx", "A 2085-2023")</f>
        <v/>
      </c>
    </row>
    <row r="67" ht="15" customHeight="1">
      <c r="A67" t="inlineStr">
        <is>
          <t>A 54527-2023</t>
        </is>
      </c>
      <c r="B67" s="1" t="n">
        <v>45233</v>
      </c>
      <c r="C67" s="1" t="n">
        <v>45930</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54527-2023</t>
        </is>
      </c>
      <c r="B68" s="1" t="n">
        <v>45233</v>
      </c>
      <c r="C68" s="1" t="n">
        <v>45930</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16823-2024</t>
        </is>
      </c>
      <c r="B69" s="1" t="n">
        <v>45411</v>
      </c>
      <c r="C69" s="1" t="n">
        <v>45930</v>
      </c>
      <c r="D69" t="inlineStr">
        <is>
          <t>GOTLANDS LÄN</t>
        </is>
      </c>
      <c r="E69" t="inlineStr">
        <is>
          <t>GOTLAND</t>
        </is>
      </c>
      <c r="G69" t="n">
        <v>25.4</v>
      </c>
      <c r="H69" t="n">
        <v>5</v>
      </c>
      <c r="I69" t="n">
        <v>1</v>
      </c>
      <c r="J69" t="n">
        <v>2</v>
      </c>
      <c r="K69" t="n">
        <v>0</v>
      </c>
      <c r="L69" t="n">
        <v>0</v>
      </c>
      <c r="M69" t="n">
        <v>0</v>
      </c>
      <c r="N69" t="n">
        <v>0</v>
      </c>
      <c r="O69" t="n">
        <v>2</v>
      </c>
      <c r="P69" t="n">
        <v>0</v>
      </c>
      <c r="Q69" t="n">
        <v>6</v>
      </c>
      <c r="R69" s="2" t="inlineStr">
        <is>
          <t>Gulsparv
Jordtistel
Flugblomster
Brudsporre
Johannesnycklar
Sankt pers nycklar</t>
        </is>
      </c>
      <c r="S69">
        <f>HYPERLINK("https://klasma.github.io/Logging_0980/artfynd/A 16823-2024 artfynd.xlsx", "A 16823-2024")</f>
        <v/>
      </c>
      <c r="T69">
        <f>HYPERLINK("https://klasma.github.io/Logging_0980/kartor/A 16823-2024 karta.png", "A 16823-2024")</f>
        <v/>
      </c>
      <c r="V69">
        <f>HYPERLINK("https://klasma.github.io/Logging_0980/klagomål/A 16823-2024 FSC-klagomål.docx", "A 16823-2024")</f>
        <v/>
      </c>
      <c r="W69">
        <f>HYPERLINK("https://klasma.github.io/Logging_0980/klagomålsmail/A 16823-2024 FSC-klagomål mail.docx", "A 16823-2024")</f>
        <v/>
      </c>
      <c r="X69">
        <f>HYPERLINK("https://klasma.github.io/Logging_0980/tillsyn/A 16823-2024 tillsynsbegäran.docx", "A 16823-2024")</f>
        <v/>
      </c>
      <c r="Y69">
        <f>HYPERLINK("https://klasma.github.io/Logging_0980/tillsynsmail/A 16823-2024 tillsynsbegäran mail.docx", "A 16823-2024")</f>
        <v/>
      </c>
      <c r="Z69">
        <f>HYPERLINK("https://klasma.github.io/Logging_0980/fåglar/A 16823-2024 prioriterade fågelarter.docx", "A 16823-2024")</f>
        <v/>
      </c>
    </row>
    <row r="70" ht="15" customHeight="1">
      <c r="A70" t="inlineStr">
        <is>
          <t>A 65819-2020</t>
        </is>
      </c>
      <c r="B70" s="1" t="n">
        <v>44174</v>
      </c>
      <c r="C70" s="1" t="n">
        <v>45930</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66091-2021</t>
        </is>
      </c>
      <c r="B71" s="1" t="n">
        <v>44517</v>
      </c>
      <c r="C71" s="1" t="n">
        <v>45930</v>
      </c>
      <c r="D71" t="inlineStr">
        <is>
          <t>GOTLANDS LÄN</t>
        </is>
      </c>
      <c r="E71" t="inlineStr">
        <is>
          <t>GOTLAND</t>
        </is>
      </c>
      <c r="G71" t="n">
        <v>11.7</v>
      </c>
      <c r="H71" t="n">
        <v>2</v>
      </c>
      <c r="I71" t="n">
        <v>0</v>
      </c>
      <c r="J71" t="n">
        <v>3</v>
      </c>
      <c r="K71" t="n">
        <v>0</v>
      </c>
      <c r="L71" t="n">
        <v>0</v>
      </c>
      <c r="M71" t="n">
        <v>0</v>
      </c>
      <c r="N71" t="n">
        <v>0</v>
      </c>
      <c r="O71" t="n">
        <v>3</v>
      </c>
      <c r="P71" t="n">
        <v>0</v>
      </c>
      <c r="Q71" t="n">
        <v>5</v>
      </c>
      <c r="R71" s="2" t="inlineStr">
        <is>
          <t>Axveronika
Solvända
Säfferot
Pärluggla
Salepsrot</t>
        </is>
      </c>
      <c r="S71">
        <f>HYPERLINK("https://klasma.github.io/Logging_0980/artfynd/A 66091-2021 artfynd.xlsx", "A 66091-2021")</f>
        <v/>
      </c>
      <c r="T71">
        <f>HYPERLINK("https://klasma.github.io/Logging_0980/kartor/A 66091-2021 karta.png", "A 66091-2021")</f>
        <v/>
      </c>
      <c r="V71">
        <f>HYPERLINK("https://klasma.github.io/Logging_0980/klagomål/A 66091-2021 FSC-klagomål.docx", "A 66091-2021")</f>
        <v/>
      </c>
      <c r="W71">
        <f>HYPERLINK("https://klasma.github.io/Logging_0980/klagomålsmail/A 66091-2021 FSC-klagomål mail.docx", "A 66091-2021")</f>
        <v/>
      </c>
      <c r="X71">
        <f>HYPERLINK("https://klasma.github.io/Logging_0980/tillsyn/A 66091-2021 tillsynsbegäran.docx", "A 66091-2021")</f>
        <v/>
      </c>
      <c r="Y71">
        <f>HYPERLINK("https://klasma.github.io/Logging_0980/tillsynsmail/A 66091-2021 tillsynsbegäran mail.docx", "A 66091-2021")</f>
        <v/>
      </c>
      <c r="Z71">
        <f>HYPERLINK("https://klasma.github.io/Logging_0980/fåglar/A 66091-2021 prioriterade fågelarter.docx", "A 66091-2021")</f>
        <v/>
      </c>
    </row>
    <row r="72" ht="15" customHeight="1">
      <c r="A72" t="inlineStr">
        <is>
          <t>A 35293-2025</t>
        </is>
      </c>
      <c r="B72" s="1" t="n">
        <v>45854.39438657407</v>
      </c>
      <c r="C72" s="1" t="n">
        <v>45930</v>
      </c>
      <c r="D72" t="inlineStr">
        <is>
          <t>GOTLANDS LÄN</t>
        </is>
      </c>
      <c r="E72" t="inlineStr">
        <is>
          <t>GOTLAND</t>
        </is>
      </c>
      <c r="G72" t="n">
        <v>9.199999999999999</v>
      </c>
      <c r="H72" t="n">
        <v>1</v>
      </c>
      <c r="I72" t="n">
        <v>1</v>
      </c>
      <c r="J72" t="n">
        <v>4</v>
      </c>
      <c r="K72" t="n">
        <v>0</v>
      </c>
      <c r="L72" t="n">
        <v>0</v>
      </c>
      <c r="M72" t="n">
        <v>0</v>
      </c>
      <c r="N72" t="n">
        <v>0</v>
      </c>
      <c r="O72" t="n">
        <v>4</v>
      </c>
      <c r="P72" t="n">
        <v>0</v>
      </c>
      <c r="Q72" t="n">
        <v>5</v>
      </c>
      <c r="R72" s="2" t="inlineStr">
        <is>
          <t>Krusfrö
Loppstarr
Svinrot
Ängsstarr
Skogsknipprot</t>
        </is>
      </c>
      <c r="S72">
        <f>HYPERLINK("https://klasma.github.io/Logging_0980/artfynd/A 35293-2025 artfynd.xlsx", "A 35293-2025")</f>
        <v/>
      </c>
      <c r="T72">
        <f>HYPERLINK("https://klasma.github.io/Logging_0980/kartor/A 35293-2025 karta.png", "A 35293-2025")</f>
        <v/>
      </c>
      <c r="V72">
        <f>HYPERLINK("https://klasma.github.io/Logging_0980/klagomål/A 35293-2025 FSC-klagomål.docx", "A 35293-2025")</f>
        <v/>
      </c>
      <c r="W72">
        <f>HYPERLINK("https://klasma.github.io/Logging_0980/klagomålsmail/A 35293-2025 FSC-klagomål mail.docx", "A 35293-2025")</f>
        <v/>
      </c>
      <c r="X72">
        <f>HYPERLINK("https://klasma.github.io/Logging_0980/tillsyn/A 35293-2025 tillsynsbegäran.docx", "A 35293-2025")</f>
        <v/>
      </c>
      <c r="Y72">
        <f>HYPERLINK("https://klasma.github.io/Logging_0980/tillsynsmail/A 35293-2025 tillsynsbegäran mail.docx", "A 35293-2025")</f>
        <v/>
      </c>
    </row>
    <row r="73" ht="15" customHeight="1">
      <c r="A73" t="inlineStr">
        <is>
          <t>A 54055-2022</t>
        </is>
      </c>
      <c r="B73" s="1" t="n">
        <v>44881</v>
      </c>
      <c r="C73" s="1" t="n">
        <v>45930</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Diskvaxskivling
Kryddspindling
Olivspindling</t>
        </is>
      </c>
      <c r="S73">
        <f>HYPERLINK("https://klasma.github.io/Logging_0980/artfynd/A 54055-2022 artfynd.xlsx", "A 54055-2022")</f>
        <v/>
      </c>
      <c r="T73">
        <f>HYPERLINK("https://klasma.github.io/Logging_0980/kartor/A 54055-2022 karta.png", "A 54055-2022")</f>
        <v/>
      </c>
      <c r="V73">
        <f>HYPERLINK("https://klasma.github.io/Logging_0980/klagomål/A 54055-2022 FSC-klagomål.docx", "A 54055-2022")</f>
        <v/>
      </c>
      <c r="W73">
        <f>HYPERLINK("https://klasma.github.io/Logging_0980/klagomålsmail/A 54055-2022 FSC-klagomål mail.docx", "A 54055-2022")</f>
        <v/>
      </c>
      <c r="X73">
        <f>HYPERLINK("https://klasma.github.io/Logging_0980/tillsyn/A 54055-2022 tillsynsbegäran.docx", "A 54055-2022")</f>
        <v/>
      </c>
      <c r="Y73">
        <f>HYPERLINK("https://klasma.github.io/Logging_0980/tillsynsmail/A 54055-2022 tillsynsbegäran mail.docx", "A 54055-2022")</f>
        <v/>
      </c>
    </row>
    <row r="74" ht="15" customHeight="1">
      <c r="A74" t="inlineStr">
        <is>
          <t>A 42936-2024</t>
        </is>
      </c>
      <c r="B74" s="1" t="n">
        <v>45567</v>
      </c>
      <c r="C74" s="1" t="n">
        <v>45930</v>
      </c>
      <c r="D74" t="inlineStr">
        <is>
          <t>GOTLANDS LÄN</t>
        </is>
      </c>
      <c r="E74" t="inlineStr">
        <is>
          <t>GOTLAND</t>
        </is>
      </c>
      <c r="G74" t="n">
        <v>3.4</v>
      </c>
      <c r="H74" t="n">
        <v>0</v>
      </c>
      <c r="I74" t="n">
        <v>3</v>
      </c>
      <c r="J74" t="n">
        <v>1</v>
      </c>
      <c r="K74" t="n">
        <v>1</v>
      </c>
      <c r="L74" t="n">
        <v>0</v>
      </c>
      <c r="M74" t="n">
        <v>0</v>
      </c>
      <c r="N74" t="n">
        <v>0</v>
      </c>
      <c r="O74" t="n">
        <v>2</v>
      </c>
      <c r="P74" t="n">
        <v>1</v>
      </c>
      <c r="Q74" t="n">
        <v>5</v>
      </c>
      <c r="R74" s="2" t="inlineStr">
        <is>
          <t>Vit taggsvamp
Äggspindling
Barrfagerspindling
Blå slemspindling
Svavelriska</t>
        </is>
      </c>
      <c r="S74">
        <f>HYPERLINK("https://klasma.github.io/Logging_0980/artfynd/A 42936-2024 artfynd.xlsx", "A 42936-2024")</f>
        <v/>
      </c>
      <c r="T74">
        <f>HYPERLINK("https://klasma.github.io/Logging_0980/kartor/A 42936-2024 karta.png", "A 42936-2024")</f>
        <v/>
      </c>
      <c r="V74">
        <f>HYPERLINK("https://klasma.github.io/Logging_0980/klagomål/A 42936-2024 FSC-klagomål.docx", "A 42936-2024")</f>
        <v/>
      </c>
      <c r="W74">
        <f>HYPERLINK("https://klasma.github.io/Logging_0980/klagomålsmail/A 42936-2024 FSC-klagomål mail.docx", "A 42936-2024")</f>
        <v/>
      </c>
      <c r="X74">
        <f>HYPERLINK("https://klasma.github.io/Logging_0980/tillsyn/A 42936-2024 tillsynsbegäran.docx", "A 42936-2024")</f>
        <v/>
      </c>
      <c r="Y74">
        <f>HYPERLINK("https://klasma.github.io/Logging_0980/tillsynsmail/A 42936-2024 tillsynsbegäran mail.docx", "A 42936-2024")</f>
        <v/>
      </c>
    </row>
    <row r="75" ht="15" customHeight="1">
      <c r="A75" t="inlineStr">
        <is>
          <t>A 44944-2022</t>
        </is>
      </c>
      <c r="B75" s="1" t="n">
        <v>44841</v>
      </c>
      <c r="C75" s="1" t="n">
        <v>45930</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2213-2023</t>
        </is>
      </c>
      <c r="B76" s="1" t="n">
        <v>44942</v>
      </c>
      <c r="C76" s="1" t="n">
        <v>45930</v>
      </c>
      <c r="D76" t="inlineStr">
        <is>
          <t>GOTLANDS LÄN</t>
        </is>
      </c>
      <c r="E76" t="inlineStr">
        <is>
          <t>GOTLAND</t>
        </is>
      </c>
      <c r="G76" t="n">
        <v>2.7</v>
      </c>
      <c r="H76" t="n">
        <v>1</v>
      </c>
      <c r="I76" t="n">
        <v>0</v>
      </c>
      <c r="J76" t="n">
        <v>4</v>
      </c>
      <c r="K76" t="n">
        <v>1</v>
      </c>
      <c r="L76" t="n">
        <v>0</v>
      </c>
      <c r="M76" t="n">
        <v>0</v>
      </c>
      <c r="N76" t="n">
        <v>0</v>
      </c>
      <c r="O76" t="n">
        <v>5</v>
      </c>
      <c r="P76" t="n">
        <v>1</v>
      </c>
      <c r="Q76" t="n">
        <v>5</v>
      </c>
      <c r="R76" s="2" t="inlineStr">
        <is>
          <t>Garderönn
Backtimjan
Odörspindling
Smedbock
Svinrot</t>
        </is>
      </c>
      <c r="S76">
        <f>HYPERLINK("https://klasma.github.io/Logging_0980/artfynd/A 2213-2023 artfynd.xlsx", "A 2213-2023")</f>
        <v/>
      </c>
      <c r="T76">
        <f>HYPERLINK("https://klasma.github.io/Logging_0980/kartor/A 2213-2023 karta.png", "A 2213-2023")</f>
        <v/>
      </c>
      <c r="V76">
        <f>HYPERLINK("https://klasma.github.io/Logging_0980/klagomål/A 2213-2023 FSC-klagomål.docx", "A 2213-2023")</f>
        <v/>
      </c>
      <c r="W76">
        <f>HYPERLINK("https://klasma.github.io/Logging_0980/klagomålsmail/A 2213-2023 FSC-klagomål mail.docx", "A 2213-2023")</f>
        <v/>
      </c>
      <c r="X76">
        <f>HYPERLINK("https://klasma.github.io/Logging_0980/tillsyn/A 2213-2023 tillsynsbegäran.docx", "A 2213-2023")</f>
        <v/>
      </c>
      <c r="Y76">
        <f>HYPERLINK("https://klasma.github.io/Logging_0980/tillsynsmail/A 2213-2023 tillsynsbegäran mail.docx", "A 2213-2023")</f>
        <v/>
      </c>
    </row>
    <row r="77" ht="15" customHeight="1">
      <c r="A77" t="inlineStr">
        <is>
          <t>A 32326-2024</t>
        </is>
      </c>
      <c r="B77" s="1" t="n">
        <v>45512</v>
      </c>
      <c r="C77" s="1" t="n">
        <v>45930</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39425-2023</t>
        </is>
      </c>
      <c r="B78" s="1" t="n">
        <v>45166</v>
      </c>
      <c r="C78" s="1" t="n">
        <v>45930</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16375-2025</t>
        </is>
      </c>
      <c r="B79" s="1" t="n">
        <v>45751.41064814815</v>
      </c>
      <c r="C79" s="1" t="n">
        <v>45930</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29331-2021</t>
        </is>
      </c>
      <c r="B80" s="1" t="n">
        <v>44361</v>
      </c>
      <c r="C80" s="1" t="n">
        <v>45930</v>
      </c>
      <c r="D80" t="inlineStr">
        <is>
          <t>GOTLANDS LÄN</t>
        </is>
      </c>
      <c r="E80" t="inlineStr">
        <is>
          <t>GOTLAND</t>
        </is>
      </c>
      <c r="G80" t="n">
        <v>3.7</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29331-2021 artfynd.xlsx", "A 29331-2021")</f>
        <v/>
      </c>
      <c r="T80">
        <f>HYPERLINK("https://klasma.github.io/Logging_0980/kartor/A 29331-2021 karta.png", "A 29331-2021")</f>
        <v/>
      </c>
      <c r="V80">
        <f>HYPERLINK("https://klasma.github.io/Logging_0980/klagomål/A 29331-2021 FSC-klagomål.docx", "A 29331-2021")</f>
        <v/>
      </c>
      <c r="W80">
        <f>HYPERLINK("https://klasma.github.io/Logging_0980/klagomålsmail/A 29331-2021 FSC-klagomål mail.docx", "A 29331-2021")</f>
        <v/>
      </c>
      <c r="X80">
        <f>HYPERLINK("https://klasma.github.io/Logging_0980/tillsyn/A 29331-2021 tillsynsbegäran.docx", "A 29331-2021")</f>
        <v/>
      </c>
      <c r="Y80">
        <f>HYPERLINK("https://klasma.github.io/Logging_0980/tillsynsmail/A 29331-2021 tillsynsbegäran mail.docx", "A 29331-2021")</f>
        <v/>
      </c>
    </row>
    <row r="81" ht="15" customHeight="1">
      <c r="A81" t="inlineStr">
        <is>
          <t>A 54523-2023</t>
        </is>
      </c>
      <c r="B81" s="1" t="n">
        <v>45233</v>
      </c>
      <c r="C81" s="1" t="n">
        <v>45930</v>
      </c>
      <c r="D81" t="inlineStr">
        <is>
          <t>GOTLANDS LÄN</t>
        </is>
      </c>
      <c r="E81" t="inlineStr">
        <is>
          <t>GOTLAND</t>
        </is>
      </c>
      <c r="G81" t="n">
        <v>3.7</v>
      </c>
      <c r="H81" t="n">
        <v>2</v>
      </c>
      <c r="I81" t="n">
        <v>0</v>
      </c>
      <c r="J81" t="n">
        <v>1</v>
      </c>
      <c r="K81" t="n">
        <v>1</v>
      </c>
      <c r="L81" t="n">
        <v>0</v>
      </c>
      <c r="M81" t="n">
        <v>0</v>
      </c>
      <c r="N81" t="n">
        <v>0</v>
      </c>
      <c r="O81" t="n">
        <v>2</v>
      </c>
      <c r="P81" t="n">
        <v>1</v>
      </c>
      <c r="Q81" t="n">
        <v>4</v>
      </c>
      <c r="R81" s="2" t="inlineStr">
        <is>
          <t>Sommarklynne
Åkerkulla
Brudsporre
Kärrknipprot</t>
        </is>
      </c>
      <c r="S81">
        <f>HYPERLINK("https://klasma.github.io/Logging_0980/artfynd/A 54523-2023 artfynd.xlsx", "A 54523-2023")</f>
        <v/>
      </c>
      <c r="T81">
        <f>HYPERLINK("https://klasma.github.io/Logging_0980/kartor/A 54523-2023 karta.png", "A 54523-2023")</f>
        <v/>
      </c>
      <c r="V81">
        <f>HYPERLINK("https://klasma.github.io/Logging_0980/klagomål/A 54523-2023 FSC-klagomål.docx", "A 54523-2023")</f>
        <v/>
      </c>
      <c r="W81">
        <f>HYPERLINK("https://klasma.github.io/Logging_0980/klagomålsmail/A 54523-2023 FSC-klagomål mail.docx", "A 54523-2023")</f>
        <v/>
      </c>
      <c r="X81">
        <f>HYPERLINK("https://klasma.github.io/Logging_0980/tillsyn/A 54523-2023 tillsynsbegäran.docx", "A 54523-2023")</f>
        <v/>
      </c>
      <c r="Y81">
        <f>HYPERLINK("https://klasma.github.io/Logging_0980/tillsynsmail/A 54523-2023 tillsynsbegäran mail.docx", "A 54523-2023")</f>
        <v/>
      </c>
    </row>
    <row r="82" ht="15" customHeight="1">
      <c r="A82" t="inlineStr">
        <is>
          <t>A 6159-2023</t>
        </is>
      </c>
      <c r="B82" s="1" t="n">
        <v>44964</v>
      </c>
      <c r="C82" s="1" t="n">
        <v>45930</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20833-2024</t>
        </is>
      </c>
      <c r="B83" s="1" t="n">
        <v>45439</v>
      </c>
      <c r="C83" s="1" t="n">
        <v>45930</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43197-2023</t>
        </is>
      </c>
      <c r="B84" s="1" t="n">
        <v>45183</v>
      </c>
      <c r="C84" s="1" t="n">
        <v>45930</v>
      </c>
      <c r="D84" t="inlineStr">
        <is>
          <t>GOTLANDS LÄN</t>
        </is>
      </c>
      <c r="E84" t="inlineStr">
        <is>
          <t>GOTLAND</t>
        </is>
      </c>
      <c r="G84" t="n">
        <v>3.7</v>
      </c>
      <c r="H84" t="n">
        <v>2</v>
      </c>
      <c r="I84" t="n">
        <v>1</v>
      </c>
      <c r="J84" t="n">
        <v>1</v>
      </c>
      <c r="K84" t="n">
        <v>1</v>
      </c>
      <c r="L84" t="n">
        <v>0</v>
      </c>
      <c r="M84" t="n">
        <v>0</v>
      </c>
      <c r="N84" t="n">
        <v>0</v>
      </c>
      <c r="O84" t="n">
        <v>2</v>
      </c>
      <c r="P84" t="n">
        <v>1</v>
      </c>
      <c r="Q84" t="n">
        <v>4</v>
      </c>
      <c r="R84" s="2" t="inlineStr">
        <is>
          <t>Allékantlav
Svinrot
Skogsknipprot
Revlummer</t>
        </is>
      </c>
      <c r="S84">
        <f>HYPERLINK("https://klasma.github.io/Logging_0980/artfynd/A 43197-2023 artfynd.xlsx", "A 43197-2023")</f>
        <v/>
      </c>
      <c r="T84">
        <f>HYPERLINK("https://klasma.github.io/Logging_0980/kartor/A 43197-2023 karta.png", "A 43197-2023")</f>
        <v/>
      </c>
      <c r="V84">
        <f>HYPERLINK("https://klasma.github.io/Logging_0980/klagomål/A 43197-2023 FSC-klagomål.docx", "A 43197-2023")</f>
        <v/>
      </c>
      <c r="W84">
        <f>HYPERLINK("https://klasma.github.io/Logging_0980/klagomålsmail/A 43197-2023 FSC-klagomål mail.docx", "A 43197-2023")</f>
        <v/>
      </c>
      <c r="X84">
        <f>HYPERLINK("https://klasma.github.io/Logging_0980/tillsyn/A 43197-2023 tillsynsbegäran.docx", "A 43197-2023")</f>
        <v/>
      </c>
      <c r="Y84">
        <f>HYPERLINK("https://klasma.github.io/Logging_0980/tillsynsmail/A 43197-2023 tillsynsbegäran mail.docx", "A 43197-2023")</f>
        <v/>
      </c>
    </row>
    <row r="85" ht="15" customHeight="1">
      <c r="A85" t="inlineStr">
        <is>
          <t>A 1971-2023</t>
        </is>
      </c>
      <c r="B85" s="1" t="n">
        <v>44939</v>
      </c>
      <c r="C85" s="1" t="n">
        <v>45930</v>
      </c>
      <c r="D85" t="inlineStr">
        <is>
          <t>GOTLANDS LÄN</t>
        </is>
      </c>
      <c r="E85" t="inlineStr">
        <is>
          <t>GOTLAND</t>
        </is>
      </c>
      <c r="G85" t="n">
        <v>5.5</v>
      </c>
      <c r="H85" t="n">
        <v>0</v>
      </c>
      <c r="I85" t="n">
        <v>2</v>
      </c>
      <c r="J85" t="n">
        <v>1</v>
      </c>
      <c r="K85" t="n">
        <v>1</v>
      </c>
      <c r="L85" t="n">
        <v>0</v>
      </c>
      <c r="M85" t="n">
        <v>0</v>
      </c>
      <c r="N85" t="n">
        <v>0</v>
      </c>
      <c r="O85" t="n">
        <v>2</v>
      </c>
      <c r="P85" t="n">
        <v>1</v>
      </c>
      <c r="Q85" t="n">
        <v>4</v>
      </c>
      <c r="R85" s="2" t="inlineStr">
        <is>
          <t>Gulsträngad fagerspindling
Svinrot
Fjällig taggsvamp s.str.
Olivspindling</t>
        </is>
      </c>
      <c r="S85">
        <f>HYPERLINK("https://klasma.github.io/Logging_0980/artfynd/A 1971-2023 artfynd.xlsx", "A 1971-2023")</f>
        <v/>
      </c>
      <c r="T85">
        <f>HYPERLINK("https://klasma.github.io/Logging_0980/kartor/A 1971-2023 karta.png", "A 1971-2023")</f>
        <v/>
      </c>
      <c r="V85">
        <f>HYPERLINK("https://klasma.github.io/Logging_0980/klagomål/A 1971-2023 FSC-klagomål.docx", "A 1971-2023")</f>
        <v/>
      </c>
      <c r="W85">
        <f>HYPERLINK("https://klasma.github.io/Logging_0980/klagomålsmail/A 1971-2023 FSC-klagomål mail.docx", "A 1971-2023")</f>
        <v/>
      </c>
      <c r="X85">
        <f>HYPERLINK("https://klasma.github.io/Logging_0980/tillsyn/A 1971-2023 tillsynsbegäran.docx", "A 1971-2023")</f>
        <v/>
      </c>
      <c r="Y85">
        <f>HYPERLINK("https://klasma.github.io/Logging_0980/tillsynsmail/A 1971-2023 tillsynsbegäran mail.docx", "A 1971-2023")</f>
        <v/>
      </c>
    </row>
    <row r="86" ht="15" customHeight="1">
      <c r="A86" t="inlineStr">
        <is>
          <t>A 64378-2020</t>
        </is>
      </c>
      <c r="B86" s="1" t="n">
        <v>44168</v>
      </c>
      <c r="C86" s="1" t="n">
        <v>45930</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5904-2024</t>
        </is>
      </c>
      <c r="B87" s="1" t="n">
        <v>45335</v>
      </c>
      <c r="C87" s="1" t="n">
        <v>45930</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8265-2023</t>
        </is>
      </c>
      <c r="B88" s="1" t="n">
        <v>44974</v>
      </c>
      <c r="C88" s="1" t="n">
        <v>45930</v>
      </c>
      <c r="D88" t="inlineStr">
        <is>
          <t>GOTLANDS LÄN</t>
        </is>
      </c>
      <c r="E88" t="inlineStr">
        <is>
          <t>GOTLAND</t>
        </is>
      </c>
      <c r="G88" t="n">
        <v>3.3</v>
      </c>
      <c r="H88" t="n">
        <v>4</v>
      </c>
      <c r="I88" t="n">
        <v>3</v>
      </c>
      <c r="J88" t="n">
        <v>0</v>
      </c>
      <c r="K88" t="n">
        <v>0</v>
      </c>
      <c r="L88" t="n">
        <v>0</v>
      </c>
      <c r="M88" t="n">
        <v>0</v>
      </c>
      <c r="N88" t="n">
        <v>0</v>
      </c>
      <c r="O88" t="n">
        <v>0</v>
      </c>
      <c r="P88" t="n">
        <v>0</v>
      </c>
      <c r="Q88" t="n">
        <v>4</v>
      </c>
      <c r="R88" s="2" t="inlineStr">
        <is>
          <t>Flugblomster
Purpurknipprot
Tvåblad
Salepsrot</t>
        </is>
      </c>
      <c r="S88">
        <f>HYPERLINK("https://klasma.github.io/Logging_0980/artfynd/A 8265-2023 artfynd.xlsx", "A 8265-2023")</f>
        <v/>
      </c>
      <c r="T88">
        <f>HYPERLINK("https://klasma.github.io/Logging_0980/kartor/A 8265-2023 karta.png", "A 8265-2023")</f>
        <v/>
      </c>
      <c r="V88">
        <f>HYPERLINK("https://klasma.github.io/Logging_0980/klagomål/A 8265-2023 FSC-klagomål.docx", "A 8265-2023")</f>
        <v/>
      </c>
      <c r="W88">
        <f>HYPERLINK("https://klasma.github.io/Logging_0980/klagomålsmail/A 8265-2023 FSC-klagomål mail.docx", "A 8265-2023")</f>
        <v/>
      </c>
      <c r="X88">
        <f>HYPERLINK("https://klasma.github.io/Logging_0980/tillsyn/A 8265-2023 tillsynsbegäran.docx", "A 8265-2023")</f>
        <v/>
      </c>
      <c r="Y88">
        <f>HYPERLINK("https://klasma.github.io/Logging_0980/tillsynsmail/A 8265-2023 tillsynsbegäran mail.docx", "A 8265-2023")</f>
        <v/>
      </c>
    </row>
    <row r="89" ht="15" customHeight="1">
      <c r="A89" t="inlineStr">
        <is>
          <t>A 186-2023</t>
        </is>
      </c>
      <c r="B89" s="1" t="n">
        <v>44928</v>
      </c>
      <c r="C89" s="1" t="n">
        <v>45930</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56717-2024</t>
        </is>
      </c>
      <c r="B90" s="1" t="n">
        <v>45628.3166550926</v>
      </c>
      <c r="C90" s="1" t="n">
        <v>45930</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44933-2022</t>
        </is>
      </c>
      <c r="B91" s="1" t="n">
        <v>44841</v>
      </c>
      <c r="C91" s="1" t="n">
        <v>45930</v>
      </c>
      <c r="D91" t="inlineStr">
        <is>
          <t>GOTLANDS LÄN</t>
        </is>
      </c>
      <c r="E91" t="inlineStr">
        <is>
          <t>GOTLAND</t>
        </is>
      </c>
      <c r="G91" t="n">
        <v>4.5</v>
      </c>
      <c r="H91" t="n">
        <v>1</v>
      </c>
      <c r="I91" t="n">
        <v>2</v>
      </c>
      <c r="J91" t="n">
        <v>2</v>
      </c>
      <c r="K91" t="n">
        <v>0</v>
      </c>
      <c r="L91" t="n">
        <v>0</v>
      </c>
      <c r="M91" t="n">
        <v>0</v>
      </c>
      <c r="N91" t="n">
        <v>0</v>
      </c>
      <c r="O91" t="n">
        <v>2</v>
      </c>
      <c r="P91" t="n">
        <v>0</v>
      </c>
      <c r="Q91" t="n">
        <v>4</v>
      </c>
      <c r="R91" s="2" t="inlineStr">
        <is>
          <t>Ekvaxskivling
Odörspindling
Skarp dropptaggsvamp
Skogsknipprot</t>
        </is>
      </c>
      <c r="S91">
        <f>HYPERLINK("https://klasma.github.io/Logging_0980/artfynd/A 44933-2022 artfynd.xlsx", "A 44933-2022")</f>
        <v/>
      </c>
      <c r="T91">
        <f>HYPERLINK("https://klasma.github.io/Logging_0980/kartor/A 44933-2022 karta.png", "A 44933-2022")</f>
        <v/>
      </c>
      <c r="V91">
        <f>HYPERLINK("https://klasma.github.io/Logging_0980/klagomål/A 44933-2022 FSC-klagomål.docx", "A 44933-2022")</f>
        <v/>
      </c>
      <c r="W91">
        <f>HYPERLINK("https://klasma.github.io/Logging_0980/klagomålsmail/A 44933-2022 FSC-klagomål mail.docx", "A 44933-2022")</f>
        <v/>
      </c>
      <c r="X91">
        <f>HYPERLINK("https://klasma.github.io/Logging_0980/tillsyn/A 44933-2022 tillsynsbegäran.docx", "A 44933-2022")</f>
        <v/>
      </c>
      <c r="Y91">
        <f>HYPERLINK("https://klasma.github.io/Logging_0980/tillsynsmail/A 44933-2022 tillsynsbegäran mail.docx", "A 44933-2022")</f>
        <v/>
      </c>
    </row>
    <row r="92" ht="15" customHeight="1">
      <c r="A92" t="inlineStr">
        <is>
          <t>A 2485-2025</t>
        </is>
      </c>
      <c r="B92" s="1" t="n">
        <v>45673</v>
      </c>
      <c r="C92" s="1" t="n">
        <v>45930</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40099-2025</t>
        </is>
      </c>
      <c r="B93" s="1" t="n">
        <v>45894.48462962963</v>
      </c>
      <c r="C93" s="1" t="n">
        <v>45930</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55029-2020</t>
        </is>
      </c>
      <c r="B94" s="1" t="n">
        <v>44130</v>
      </c>
      <c r="C94" s="1" t="n">
        <v>45930</v>
      </c>
      <c r="D94" t="inlineStr">
        <is>
          <t>GOTLANDS LÄN</t>
        </is>
      </c>
      <c r="E94" t="inlineStr">
        <is>
          <t>GOTLAND</t>
        </is>
      </c>
      <c r="G94" t="n">
        <v>6.9</v>
      </c>
      <c r="H94" t="n">
        <v>1</v>
      </c>
      <c r="I94" t="n">
        <v>2</v>
      </c>
      <c r="J94" t="n">
        <v>1</v>
      </c>
      <c r="K94" t="n">
        <v>0</v>
      </c>
      <c r="L94" t="n">
        <v>0</v>
      </c>
      <c r="M94" t="n">
        <v>0</v>
      </c>
      <c r="N94" t="n">
        <v>0</v>
      </c>
      <c r="O94" t="n">
        <v>1</v>
      </c>
      <c r="P94" t="n">
        <v>0</v>
      </c>
      <c r="Q94" t="n">
        <v>3</v>
      </c>
      <c r="R94" s="2" t="inlineStr">
        <is>
          <t>Dårgräsfjäril
Anisspindling
Granbarkgnagare</t>
        </is>
      </c>
      <c r="S94">
        <f>HYPERLINK("https://klasma.github.io/Logging_0980/artfynd/A 55029-2020 artfynd.xlsx", "A 55029-2020")</f>
        <v/>
      </c>
      <c r="T94">
        <f>HYPERLINK("https://klasma.github.io/Logging_0980/kartor/A 55029-2020 karta.png", "A 55029-2020")</f>
        <v/>
      </c>
      <c r="V94">
        <f>HYPERLINK("https://klasma.github.io/Logging_0980/klagomål/A 55029-2020 FSC-klagomål.docx", "A 55029-2020")</f>
        <v/>
      </c>
      <c r="W94">
        <f>HYPERLINK("https://klasma.github.io/Logging_0980/klagomålsmail/A 55029-2020 FSC-klagomål mail.docx", "A 55029-2020")</f>
        <v/>
      </c>
      <c r="X94">
        <f>HYPERLINK("https://klasma.github.io/Logging_0980/tillsyn/A 55029-2020 tillsynsbegäran.docx", "A 55029-2020")</f>
        <v/>
      </c>
      <c r="Y94">
        <f>HYPERLINK("https://klasma.github.io/Logging_0980/tillsynsmail/A 55029-2020 tillsynsbegäran mail.docx", "A 55029-2020")</f>
        <v/>
      </c>
    </row>
    <row r="95" ht="15" customHeight="1">
      <c r="A95" t="inlineStr">
        <is>
          <t>A 65537-2020</t>
        </is>
      </c>
      <c r="B95" s="1" t="n">
        <v>44173</v>
      </c>
      <c r="C95" s="1" t="n">
        <v>45930</v>
      </c>
      <c r="D95" t="inlineStr">
        <is>
          <t>GOTLANDS LÄN</t>
        </is>
      </c>
      <c r="E95" t="inlineStr">
        <is>
          <t>GOTLAND</t>
        </is>
      </c>
      <c r="G95" t="n">
        <v>1.6</v>
      </c>
      <c r="H95" t="n">
        <v>0</v>
      </c>
      <c r="I95" t="n">
        <v>0</v>
      </c>
      <c r="J95" t="n">
        <v>3</v>
      </c>
      <c r="K95" t="n">
        <v>0</v>
      </c>
      <c r="L95" t="n">
        <v>0</v>
      </c>
      <c r="M95" t="n">
        <v>0</v>
      </c>
      <c r="N95" t="n">
        <v>0</v>
      </c>
      <c r="O95" t="n">
        <v>3</v>
      </c>
      <c r="P95" t="n">
        <v>0</v>
      </c>
      <c r="Q95" t="n">
        <v>3</v>
      </c>
      <c r="R95" s="2" t="inlineStr">
        <is>
          <t>Axveronika
Backtimjan
Solvända</t>
        </is>
      </c>
      <c r="S95">
        <f>HYPERLINK("https://klasma.github.io/Logging_0980/artfynd/A 65537-2020 artfynd.xlsx", "A 65537-2020")</f>
        <v/>
      </c>
      <c r="T95">
        <f>HYPERLINK("https://klasma.github.io/Logging_0980/kartor/A 65537-2020 karta.png", "A 65537-2020")</f>
        <v/>
      </c>
      <c r="V95">
        <f>HYPERLINK("https://klasma.github.io/Logging_0980/klagomål/A 65537-2020 FSC-klagomål.docx", "A 65537-2020")</f>
        <v/>
      </c>
      <c r="W95">
        <f>HYPERLINK("https://klasma.github.io/Logging_0980/klagomålsmail/A 65537-2020 FSC-klagomål mail.docx", "A 65537-2020")</f>
        <v/>
      </c>
      <c r="X95">
        <f>HYPERLINK("https://klasma.github.io/Logging_0980/tillsyn/A 65537-2020 tillsynsbegäran.docx", "A 65537-2020")</f>
        <v/>
      </c>
      <c r="Y95">
        <f>HYPERLINK("https://klasma.github.io/Logging_0980/tillsynsmail/A 65537-2020 tillsynsbegäran mail.docx", "A 65537-2020")</f>
        <v/>
      </c>
    </row>
    <row r="96" ht="15" customHeight="1">
      <c r="A96" t="inlineStr">
        <is>
          <t>A 44323-2021</t>
        </is>
      </c>
      <c r="B96" s="1" t="n">
        <v>44434</v>
      </c>
      <c r="C96" s="1" t="n">
        <v>45930</v>
      </c>
      <c r="D96" t="inlineStr">
        <is>
          <t>GOTLANDS LÄN</t>
        </is>
      </c>
      <c r="E96" t="inlineStr">
        <is>
          <t>GOTLAND</t>
        </is>
      </c>
      <c r="G96" t="n">
        <v>7.5</v>
      </c>
      <c r="H96" t="n">
        <v>1</v>
      </c>
      <c r="I96" t="n">
        <v>3</v>
      </c>
      <c r="J96" t="n">
        <v>0</v>
      </c>
      <c r="K96" t="n">
        <v>0</v>
      </c>
      <c r="L96" t="n">
        <v>0</v>
      </c>
      <c r="M96" t="n">
        <v>0</v>
      </c>
      <c r="N96" t="n">
        <v>0</v>
      </c>
      <c r="O96" t="n">
        <v>0</v>
      </c>
      <c r="P96" t="n">
        <v>0</v>
      </c>
      <c r="Q96" t="n">
        <v>3</v>
      </c>
      <c r="R96" s="2" t="inlineStr">
        <is>
          <t>Anisspindling
Barrfagerspindling
Skogsknipprot</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row>
    <row r="97" ht="15" customHeight="1">
      <c r="A97" t="inlineStr">
        <is>
          <t>A 32666-2021</t>
        </is>
      </c>
      <c r="B97" s="1" t="n">
        <v>44375</v>
      </c>
      <c r="C97" s="1" t="n">
        <v>45930</v>
      </c>
      <c r="D97" t="inlineStr">
        <is>
          <t>GOTLANDS LÄN</t>
        </is>
      </c>
      <c r="E97" t="inlineStr">
        <is>
          <t>GOTLAND</t>
        </is>
      </c>
      <c r="G97" t="n">
        <v>0.9</v>
      </c>
      <c r="H97" t="n">
        <v>1</v>
      </c>
      <c r="I97" t="n">
        <v>2</v>
      </c>
      <c r="J97" t="n">
        <v>0</v>
      </c>
      <c r="K97" t="n">
        <v>1</v>
      </c>
      <c r="L97" t="n">
        <v>0</v>
      </c>
      <c r="M97" t="n">
        <v>0</v>
      </c>
      <c r="N97" t="n">
        <v>0</v>
      </c>
      <c r="O97" t="n">
        <v>1</v>
      </c>
      <c r="P97" t="n">
        <v>1</v>
      </c>
      <c r="Q97" t="n">
        <v>3</v>
      </c>
      <c r="R97" s="2" t="inlineStr">
        <is>
          <t>Skogskorn
Myskmadra
Vit skogslilja</t>
        </is>
      </c>
      <c r="S97">
        <f>HYPERLINK("https://klasma.github.io/Logging_0980/artfynd/A 32666-2021 artfynd.xlsx", "A 32666-2021")</f>
        <v/>
      </c>
      <c r="T97">
        <f>HYPERLINK("https://klasma.github.io/Logging_0980/kartor/A 32666-2021 karta.png", "A 32666-2021")</f>
        <v/>
      </c>
      <c r="V97">
        <f>HYPERLINK("https://klasma.github.io/Logging_0980/klagomål/A 32666-2021 FSC-klagomål.docx", "A 32666-2021")</f>
        <v/>
      </c>
      <c r="W97">
        <f>HYPERLINK("https://klasma.github.io/Logging_0980/klagomålsmail/A 32666-2021 FSC-klagomål mail.docx", "A 32666-2021")</f>
        <v/>
      </c>
      <c r="X97">
        <f>HYPERLINK("https://klasma.github.io/Logging_0980/tillsyn/A 32666-2021 tillsynsbegäran.docx", "A 32666-2021")</f>
        <v/>
      </c>
      <c r="Y97">
        <f>HYPERLINK("https://klasma.github.io/Logging_0980/tillsynsmail/A 32666-2021 tillsynsbegäran mail.docx", "A 32666-2021")</f>
        <v/>
      </c>
    </row>
    <row r="98" ht="15" customHeight="1">
      <c r="A98" t="inlineStr">
        <is>
          <t>A 12519-2021</t>
        </is>
      </c>
      <c r="B98" s="1" t="n">
        <v>44269</v>
      </c>
      <c r="C98" s="1" t="n">
        <v>45930</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2332-2021</t>
        </is>
      </c>
      <c r="B99" s="1" t="n">
        <v>44214</v>
      </c>
      <c r="C99" s="1" t="n">
        <v>45930</v>
      </c>
      <c r="D99" t="inlineStr">
        <is>
          <t>GOTLANDS LÄN</t>
        </is>
      </c>
      <c r="E99" t="inlineStr">
        <is>
          <t>GOTLAND</t>
        </is>
      </c>
      <c r="G99" t="n">
        <v>2.3</v>
      </c>
      <c r="H99" t="n">
        <v>2</v>
      </c>
      <c r="I99" t="n">
        <v>0</v>
      </c>
      <c r="J99" t="n">
        <v>1</v>
      </c>
      <c r="K99" t="n">
        <v>0</v>
      </c>
      <c r="L99" t="n">
        <v>0</v>
      </c>
      <c r="M99" t="n">
        <v>0</v>
      </c>
      <c r="N99" t="n">
        <v>0</v>
      </c>
      <c r="O99" t="n">
        <v>1</v>
      </c>
      <c r="P99" t="n">
        <v>0</v>
      </c>
      <c r="Q99" t="n">
        <v>3</v>
      </c>
      <c r="R99" s="2" t="inlineStr">
        <is>
          <t>Korpnopping
Sankt pers nycklar
Blåsippa</t>
        </is>
      </c>
      <c r="S99">
        <f>HYPERLINK("https://klasma.github.io/Logging_0980/artfynd/A 2332-2021 artfynd.xlsx", "A 2332-2021")</f>
        <v/>
      </c>
      <c r="T99">
        <f>HYPERLINK("https://klasma.github.io/Logging_0980/kartor/A 2332-2021 karta.png", "A 2332-2021")</f>
        <v/>
      </c>
      <c r="V99">
        <f>HYPERLINK("https://klasma.github.io/Logging_0980/klagomål/A 2332-2021 FSC-klagomål.docx", "A 2332-2021")</f>
        <v/>
      </c>
      <c r="W99">
        <f>HYPERLINK("https://klasma.github.io/Logging_0980/klagomålsmail/A 2332-2021 FSC-klagomål mail.docx", "A 2332-2021")</f>
        <v/>
      </c>
      <c r="X99">
        <f>HYPERLINK("https://klasma.github.io/Logging_0980/tillsyn/A 2332-2021 tillsynsbegäran.docx", "A 2332-2021")</f>
        <v/>
      </c>
      <c r="Y99">
        <f>HYPERLINK("https://klasma.github.io/Logging_0980/tillsynsmail/A 2332-2021 tillsynsbegäran mail.docx", "A 2332-2021")</f>
        <v/>
      </c>
    </row>
    <row r="100" ht="15" customHeight="1">
      <c r="A100" t="inlineStr">
        <is>
          <t>A 48126-2022</t>
        </is>
      </c>
      <c r="B100" s="1" t="n">
        <v>44857</v>
      </c>
      <c r="C100" s="1" t="n">
        <v>45930</v>
      </c>
      <c r="D100" t="inlineStr">
        <is>
          <t>GOTLANDS LÄN</t>
        </is>
      </c>
      <c r="E100" t="inlineStr">
        <is>
          <t>GOTLAND</t>
        </is>
      </c>
      <c r="G100" t="n">
        <v>9.800000000000001</v>
      </c>
      <c r="H100" t="n">
        <v>1</v>
      </c>
      <c r="I100" t="n">
        <v>0</v>
      </c>
      <c r="J100" t="n">
        <v>3</v>
      </c>
      <c r="K100" t="n">
        <v>0</v>
      </c>
      <c r="L100" t="n">
        <v>0</v>
      </c>
      <c r="M100" t="n">
        <v>0</v>
      </c>
      <c r="N100" t="n">
        <v>0</v>
      </c>
      <c r="O100" t="n">
        <v>3</v>
      </c>
      <c r="P100" t="n">
        <v>0</v>
      </c>
      <c r="Q100" t="n">
        <v>3</v>
      </c>
      <c r="R100" s="2" t="inlineStr">
        <is>
          <t>Jordtistel
Spillkråka
Svinrot</t>
        </is>
      </c>
      <c r="S100">
        <f>HYPERLINK("https://klasma.github.io/Logging_0980/artfynd/A 48126-2022 artfynd.xlsx", "A 48126-2022")</f>
        <v/>
      </c>
      <c r="T100">
        <f>HYPERLINK("https://klasma.github.io/Logging_0980/kartor/A 48126-2022 karta.png", "A 48126-2022")</f>
        <v/>
      </c>
      <c r="V100">
        <f>HYPERLINK("https://klasma.github.io/Logging_0980/klagomål/A 48126-2022 FSC-klagomål.docx", "A 48126-2022")</f>
        <v/>
      </c>
      <c r="W100">
        <f>HYPERLINK("https://klasma.github.io/Logging_0980/klagomålsmail/A 48126-2022 FSC-klagomål mail.docx", "A 48126-2022")</f>
        <v/>
      </c>
      <c r="X100">
        <f>HYPERLINK("https://klasma.github.io/Logging_0980/tillsyn/A 48126-2022 tillsynsbegäran.docx", "A 48126-2022")</f>
        <v/>
      </c>
      <c r="Y100">
        <f>HYPERLINK("https://klasma.github.io/Logging_0980/tillsynsmail/A 48126-2022 tillsynsbegäran mail.docx", "A 48126-2022")</f>
        <v/>
      </c>
      <c r="Z100">
        <f>HYPERLINK("https://klasma.github.io/Logging_0980/fåglar/A 48126-2022 prioriterade fågelarter.docx", "A 48126-2022")</f>
        <v/>
      </c>
    </row>
    <row r="101" ht="15" customHeight="1">
      <c r="A101" t="inlineStr">
        <is>
          <t>A 32718-2021</t>
        </is>
      </c>
      <c r="B101" s="1" t="n">
        <v>44375</v>
      </c>
      <c r="C101" s="1" t="n">
        <v>45930</v>
      </c>
      <c r="D101" t="inlineStr">
        <is>
          <t>GOTLANDS LÄN</t>
        </is>
      </c>
      <c r="E101" t="inlineStr">
        <is>
          <t>GOTLAND</t>
        </is>
      </c>
      <c r="G101" t="n">
        <v>2.1</v>
      </c>
      <c r="H101" t="n">
        <v>0</v>
      </c>
      <c r="I101" t="n">
        <v>1</v>
      </c>
      <c r="J101" t="n">
        <v>1</v>
      </c>
      <c r="K101" t="n">
        <v>1</v>
      </c>
      <c r="L101" t="n">
        <v>0</v>
      </c>
      <c r="M101" t="n">
        <v>0</v>
      </c>
      <c r="N101" t="n">
        <v>0</v>
      </c>
      <c r="O101" t="n">
        <v>2</v>
      </c>
      <c r="P101" t="n">
        <v>1</v>
      </c>
      <c r="Q101" t="n">
        <v>3</v>
      </c>
      <c r="R101" s="2" t="inlineStr">
        <is>
          <t>Skogskorn
Skugglosta
Strävlosta</t>
        </is>
      </c>
      <c r="S101">
        <f>HYPERLINK("https://klasma.github.io/Logging_0980/artfynd/A 32718-2021 artfynd.xlsx", "A 32718-2021")</f>
        <v/>
      </c>
      <c r="T101">
        <f>HYPERLINK("https://klasma.github.io/Logging_0980/kartor/A 32718-2021 karta.png", "A 32718-2021")</f>
        <v/>
      </c>
      <c r="V101">
        <f>HYPERLINK("https://klasma.github.io/Logging_0980/klagomål/A 32718-2021 FSC-klagomål.docx", "A 32718-2021")</f>
        <v/>
      </c>
      <c r="W101">
        <f>HYPERLINK("https://klasma.github.io/Logging_0980/klagomålsmail/A 32718-2021 FSC-klagomål mail.docx", "A 32718-2021")</f>
        <v/>
      </c>
      <c r="X101">
        <f>HYPERLINK("https://klasma.github.io/Logging_0980/tillsyn/A 32718-2021 tillsynsbegäran.docx", "A 32718-2021")</f>
        <v/>
      </c>
      <c r="Y101">
        <f>HYPERLINK("https://klasma.github.io/Logging_0980/tillsynsmail/A 32718-2021 tillsynsbegäran mail.docx", "A 32718-2021")</f>
        <v/>
      </c>
    </row>
    <row r="102" ht="15" customHeight="1">
      <c r="A102" t="inlineStr">
        <is>
          <t>A 62326-2020</t>
        </is>
      </c>
      <c r="B102" s="1" t="n">
        <v>44160</v>
      </c>
      <c r="C102" s="1" t="n">
        <v>45930</v>
      </c>
      <c r="D102" t="inlineStr">
        <is>
          <t>GOTLANDS LÄN</t>
        </is>
      </c>
      <c r="E102" t="inlineStr">
        <is>
          <t>GOTLAND</t>
        </is>
      </c>
      <c r="G102" t="n">
        <v>7.4</v>
      </c>
      <c r="H102" t="n">
        <v>1</v>
      </c>
      <c r="I102" t="n">
        <v>3</v>
      </c>
      <c r="J102" t="n">
        <v>0</v>
      </c>
      <c r="K102" t="n">
        <v>0</v>
      </c>
      <c r="L102" t="n">
        <v>0</v>
      </c>
      <c r="M102" t="n">
        <v>0</v>
      </c>
      <c r="N102" t="n">
        <v>0</v>
      </c>
      <c r="O102" t="n">
        <v>0</v>
      </c>
      <c r="P102" t="n">
        <v>0</v>
      </c>
      <c r="Q102" t="n">
        <v>3</v>
      </c>
      <c r="R102" s="2" t="inlineStr">
        <is>
          <t>Anisspindling
Blåmossa
Skogsknipprot</t>
        </is>
      </c>
      <c r="S102">
        <f>HYPERLINK("https://klasma.github.io/Logging_0980/artfynd/A 62326-2020 artfynd.xlsx", "A 62326-2020")</f>
        <v/>
      </c>
      <c r="T102">
        <f>HYPERLINK("https://klasma.github.io/Logging_0980/kartor/A 62326-2020 karta.png", "A 62326-2020")</f>
        <v/>
      </c>
      <c r="V102">
        <f>HYPERLINK("https://klasma.github.io/Logging_0980/klagomål/A 62326-2020 FSC-klagomål.docx", "A 62326-2020")</f>
        <v/>
      </c>
      <c r="W102">
        <f>HYPERLINK("https://klasma.github.io/Logging_0980/klagomålsmail/A 62326-2020 FSC-klagomål mail.docx", "A 62326-2020")</f>
        <v/>
      </c>
      <c r="X102">
        <f>HYPERLINK("https://klasma.github.io/Logging_0980/tillsyn/A 62326-2020 tillsynsbegäran.docx", "A 62326-2020")</f>
        <v/>
      </c>
      <c r="Y102">
        <f>HYPERLINK("https://klasma.github.io/Logging_0980/tillsynsmail/A 62326-2020 tillsynsbegäran mail.docx", "A 62326-2020")</f>
        <v/>
      </c>
    </row>
    <row r="103" ht="15" customHeight="1">
      <c r="A103" t="inlineStr">
        <is>
          <t>A 55334-2024</t>
        </is>
      </c>
      <c r="B103" s="1" t="n">
        <v>45621</v>
      </c>
      <c r="C103" s="1" t="n">
        <v>45930</v>
      </c>
      <c r="D103" t="inlineStr">
        <is>
          <t>GOTLANDS LÄN</t>
        </is>
      </c>
      <c r="E103" t="inlineStr">
        <is>
          <t>GOTLAND</t>
        </is>
      </c>
      <c r="G103" t="n">
        <v>21.7</v>
      </c>
      <c r="H103" t="n">
        <v>0</v>
      </c>
      <c r="I103" t="n">
        <v>3</v>
      </c>
      <c r="J103" t="n">
        <v>0</v>
      </c>
      <c r="K103" t="n">
        <v>0</v>
      </c>
      <c r="L103" t="n">
        <v>0</v>
      </c>
      <c r="M103" t="n">
        <v>0</v>
      </c>
      <c r="N103" t="n">
        <v>0</v>
      </c>
      <c r="O103" t="n">
        <v>0</v>
      </c>
      <c r="P103" t="n">
        <v>0</v>
      </c>
      <c r="Q103" t="n">
        <v>3</v>
      </c>
      <c r="R103" s="2" t="inlineStr">
        <is>
          <t>Anisspindling
Besk kastanjemusseron
Svavelriska</t>
        </is>
      </c>
      <c r="S103">
        <f>HYPERLINK("https://klasma.github.io/Logging_0980/artfynd/A 55334-2024 artfynd.xlsx", "A 55334-2024")</f>
        <v/>
      </c>
      <c r="T103">
        <f>HYPERLINK("https://klasma.github.io/Logging_0980/kartor/A 55334-2024 karta.png", "A 55334-2024")</f>
        <v/>
      </c>
      <c r="V103">
        <f>HYPERLINK("https://klasma.github.io/Logging_0980/klagomål/A 55334-2024 FSC-klagomål.docx", "A 55334-2024")</f>
        <v/>
      </c>
      <c r="W103">
        <f>HYPERLINK("https://klasma.github.io/Logging_0980/klagomålsmail/A 55334-2024 FSC-klagomål mail.docx", "A 55334-2024")</f>
        <v/>
      </c>
      <c r="X103">
        <f>HYPERLINK("https://klasma.github.io/Logging_0980/tillsyn/A 55334-2024 tillsynsbegäran.docx", "A 55334-2024")</f>
        <v/>
      </c>
      <c r="Y103">
        <f>HYPERLINK("https://klasma.github.io/Logging_0980/tillsynsmail/A 55334-2024 tillsynsbegäran mail.docx", "A 55334-2024")</f>
        <v/>
      </c>
    </row>
    <row r="104" ht="15" customHeight="1">
      <c r="A104" t="inlineStr">
        <is>
          <t>A 20831-2024</t>
        </is>
      </c>
      <c r="B104" s="1" t="n">
        <v>45439</v>
      </c>
      <c r="C104" s="1" t="n">
        <v>45930</v>
      </c>
      <c r="D104" t="inlineStr">
        <is>
          <t>GOTLANDS LÄN</t>
        </is>
      </c>
      <c r="E104" t="inlineStr">
        <is>
          <t>GOTLAND</t>
        </is>
      </c>
      <c r="G104" t="n">
        <v>2.9</v>
      </c>
      <c r="H104" t="n">
        <v>2</v>
      </c>
      <c r="I104" t="n">
        <v>1</v>
      </c>
      <c r="J104" t="n">
        <v>2</v>
      </c>
      <c r="K104" t="n">
        <v>0</v>
      </c>
      <c r="L104" t="n">
        <v>0</v>
      </c>
      <c r="M104" t="n">
        <v>0</v>
      </c>
      <c r="N104" t="n">
        <v>0</v>
      </c>
      <c r="O104" t="n">
        <v>2</v>
      </c>
      <c r="P104" t="n">
        <v>0</v>
      </c>
      <c r="Q104" t="n">
        <v>3</v>
      </c>
      <c r="R104" s="2" t="inlineStr">
        <is>
          <t>Dårgräsfjäril
Svinrot
Skogsknipprot</t>
        </is>
      </c>
      <c r="S104">
        <f>HYPERLINK("https://klasma.github.io/Logging_0980/artfynd/A 20831-2024 artfynd.xlsx", "A 20831-2024")</f>
        <v/>
      </c>
      <c r="T104">
        <f>HYPERLINK("https://klasma.github.io/Logging_0980/kartor/A 20831-2024 karta.png", "A 20831-2024")</f>
        <v/>
      </c>
      <c r="V104">
        <f>HYPERLINK("https://klasma.github.io/Logging_0980/klagomål/A 20831-2024 FSC-klagomål.docx", "A 20831-2024")</f>
        <v/>
      </c>
      <c r="W104">
        <f>HYPERLINK("https://klasma.github.io/Logging_0980/klagomålsmail/A 20831-2024 FSC-klagomål mail.docx", "A 20831-2024")</f>
        <v/>
      </c>
      <c r="X104">
        <f>HYPERLINK("https://klasma.github.io/Logging_0980/tillsyn/A 20831-2024 tillsynsbegäran.docx", "A 20831-2024")</f>
        <v/>
      </c>
      <c r="Y104">
        <f>HYPERLINK("https://klasma.github.io/Logging_0980/tillsynsmail/A 20831-2024 tillsynsbegäran mail.docx", "A 20831-2024")</f>
        <v/>
      </c>
    </row>
    <row r="105" ht="15" customHeight="1">
      <c r="A105" t="inlineStr">
        <is>
          <t>A 43013-2022</t>
        </is>
      </c>
      <c r="B105" s="1" t="n">
        <v>44833</v>
      </c>
      <c r="C105" s="1" t="n">
        <v>45930</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73144-2021</t>
        </is>
      </c>
      <c r="B106" s="1" t="n">
        <v>44550</v>
      </c>
      <c r="C106" s="1" t="n">
        <v>45930</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5235-2025</t>
        </is>
      </c>
      <c r="B107" s="1" t="n">
        <v>45692.26797453704</v>
      </c>
      <c r="C107" s="1" t="n">
        <v>45930</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53552-2021</t>
        </is>
      </c>
      <c r="B108" s="1" t="n">
        <v>44468</v>
      </c>
      <c r="C108" s="1" t="n">
        <v>45930</v>
      </c>
      <c r="D108" t="inlineStr">
        <is>
          <t>GOTLANDS LÄN</t>
        </is>
      </c>
      <c r="E108" t="inlineStr">
        <is>
          <t>GOTLAND</t>
        </is>
      </c>
      <c r="G108" t="n">
        <v>6.2</v>
      </c>
      <c r="H108" t="n">
        <v>2</v>
      </c>
      <c r="I108" t="n">
        <v>0</v>
      </c>
      <c r="J108" t="n">
        <v>1</v>
      </c>
      <c r="K108" t="n">
        <v>0</v>
      </c>
      <c r="L108" t="n">
        <v>0</v>
      </c>
      <c r="M108" t="n">
        <v>0</v>
      </c>
      <c r="N108" t="n">
        <v>0</v>
      </c>
      <c r="O108" t="n">
        <v>1</v>
      </c>
      <c r="P108" t="n">
        <v>0</v>
      </c>
      <c r="Q108" t="n">
        <v>3</v>
      </c>
      <c r="R108" s="2" t="inlineStr">
        <is>
          <t>Bredbrämad bastardsvärmare
Grönvit nattviol
Gullviva</t>
        </is>
      </c>
      <c r="S108">
        <f>HYPERLINK("https://klasma.github.io/Logging_0980/artfynd/A 53552-2021 artfynd.xlsx", "A 53552-2021")</f>
        <v/>
      </c>
      <c r="T108">
        <f>HYPERLINK("https://klasma.github.io/Logging_0980/kartor/A 53552-2021 karta.png", "A 53552-2021")</f>
        <v/>
      </c>
      <c r="V108">
        <f>HYPERLINK("https://klasma.github.io/Logging_0980/klagomål/A 53552-2021 FSC-klagomål.docx", "A 53552-2021")</f>
        <v/>
      </c>
      <c r="W108">
        <f>HYPERLINK("https://klasma.github.io/Logging_0980/klagomålsmail/A 53552-2021 FSC-klagomål mail.docx", "A 53552-2021")</f>
        <v/>
      </c>
      <c r="X108">
        <f>HYPERLINK("https://klasma.github.io/Logging_0980/tillsyn/A 53552-2021 tillsynsbegäran.docx", "A 53552-2021")</f>
        <v/>
      </c>
      <c r="Y108">
        <f>HYPERLINK("https://klasma.github.io/Logging_0980/tillsynsmail/A 53552-2021 tillsynsbegäran mail.docx", "A 53552-2021")</f>
        <v/>
      </c>
    </row>
    <row r="109" ht="15" customHeight="1">
      <c r="A109" t="inlineStr">
        <is>
          <t>A 17982-2023</t>
        </is>
      </c>
      <c r="B109" s="1" t="n">
        <v>45040</v>
      </c>
      <c r="C109" s="1" t="n">
        <v>45930</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17975-2024</t>
        </is>
      </c>
      <c r="B110" s="1" t="n">
        <v>45419.85546296297</v>
      </c>
      <c r="C110" s="1" t="n">
        <v>45930</v>
      </c>
      <c r="D110" t="inlineStr">
        <is>
          <t>GOTLANDS LÄN</t>
        </is>
      </c>
      <c r="E110" t="inlineStr">
        <is>
          <t>GOTLAND</t>
        </is>
      </c>
      <c r="G110" t="n">
        <v>7.9</v>
      </c>
      <c r="H110" t="n">
        <v>0</v>
      </c>
      <c r="I110" t="n">
        <v>1</v>
      </c>
      <c r="J110" t="n">
        <v>1</v>
      </c>
      <c r="K110" t="n">
        <v>0</v>
      </c>
      <c r="L110" t="n">
        <v>1</v>
      </c>
      <c r="M110" t="n">
        <v>0</v>
      </c>
      <c r="N110" t="n">
        <v>0</v>
      </c>
      <c r="O110" t="n">
        <v>2</v>
      </c>
      <c r="P110" t="n">
        <v>1</v>
      </c>
      <c r="Q110" t="n">
        <v>3</v>
      </c>
      <c r="R110" s="2" t="inlineStr">
        <is>
          <t>Ask
Skugglosta
Strävlosta</t>
        </is>
      </c>
      <c r="S110">
        <f>HYPERLINK("https://klasma.github.io/Logging_0980/artfynd/A 17975-2024 artfynd.xlsx", "A 17975-2024")</f>
        <v/>
      </c>
      <c r="T110">
        <f>HYPERLINK("https://klasma.github.io/Logging_0980/kartor/A 17975-2024 karta.png", "A 17975-2024")</f>
        <v/>
      </c>
      <c r="V110">
        <f>HYPERLINK("https://klasma.github.io/Logging_0980/klagomål/A 17975-2024 FSC-klagomål.docx", "A 17975-2024")</f>
        <v/>
      </c>
      <c r="W110">
        <f>HYPERLINK("https://klasma.github.io/Logging_0980/klagomålsmail/A 17975-2024 FSC-klagomål mail.docx", "A 17975-2024")</f>
        <v/>
      </c>
      <c r="X110">
        <f>HYPERLINK("https://klasma.github.io/Logging_0980/tillsyn/A 17975-2024 tillsynsbegäran.docx", "A 17975-2024")</f>
        <v/>
      </c>
      <c r="Y110">
        <f>HYPERLINK("https://klasma.github.io/Logging_0980/tillsynsmail/A 17975-2024 tillsynsbegäran mail.docx", "A 17975-2024")</f>
        <v/>
      </c>
    </row>
    <row r="111" ht="15" customHeight="1">
      <c r="A111" t="inlineStr">
        <is>
          <t>A 30490-2025</t>
        </is>
      </c>
      <c r="B111" s="1" t="n">
        <v>45830</v>
      </c>
      <c r="C111" s="1" t="n">
        <v>45930</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13499-2022</t>
        </is>
      </c>
      <c r="B112" s="1" t="n">
        <v>44647.79203703703</v>
      </c>
      <c r="C112" s="1" t="n">
        <v>45930</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12315-2024</t>
        </is>
      </c>
      <c r="B113" s="1" t="n">
        <v>45378.6434837963</v>
      </c>
      <c r="C113" s="1" t="n">
        <v>45930</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29870-2021</t>
        </is>
      </c>
      <c r="B114" s="1" t="n">
        <v>44362</v>
      </c>
      <c r="C114" s="1" t="n">
        <v>45930</v>
      </c>
      <c r="D114" t="inlineStr">
        <is>
          <t>GOTLANDS LÄN</t>
        </is>
      </c>
      <c r="E114" t="inlineStr">
        <is>
          <t>GOTLAND</t>
        </is>
      </c>
      <c r="G114" t="n">
        <v>2.4</v>
      </c>
      <c r="H114" t="n">
        <v>0</v>
      </c>
      <c r="I114" t="n">
        <v>1</v>
      </c>
      <c r="J114" t="n">
        <v>0</v>
      </c>
      <c r="K114" t="n">
        <v>1</v>
      </c>
      <c r="L114" t="n">
        <v>0</v>
      </c>
      <c r="M114" t="n">
        <v>0</v>
      </c>
      <c r="N114" t="n">
        <v>0</v>
      </c>
      <c r="O114" t="n">
        <v>1</v>
      </c>
      <c r="P114" t="n">
        <v>1</v>
      </c>
      <c r="Q114" t="n">
        <v>2</v>
      </c>
      <c r="R114" s="2" t="inlineStr">
        <is>
          <t>Blåfotad fagerspindling
Olivspindling</t>
        </is>
      </c>
      <c r="S114">
        <f>HYPERLINK("https://klasma.github.io/Logging_0980/artfynd/A 29870-2021 artfynd.xlsx", "A 29870-2021")</f>
        <v/>
      </c>
      <c r="T114">
        <f>HYPERLINK("https://klasma.github.io/Logging_0980/kartor/A 29870-2021 karta.png", "A 29870-2021")</f>
        <v/>
      </c>
      <c r="V114">
        <f>HYPERLINK("https://klasma.github.io/Logging_0980/klagomål/A 29870-2021 FSC-klagomål.docx", "A 29870-2021")</f>
        <v/>
      </c>
      <c r="W114">
        <f>HYPERLINK("https://klasma.github.io/Logging_0980/klagomålsmail/A 29870-2021 FSC-klagomål mail.docx", "A 29870-2021")</f>
        <v/>
      </c>
      <c r="X114">
        <f>HYPERLINK("https://klasma.github.io/Logging_0980/tillsyn/A 29870-2021 tillsynsbegäran.docx", "A 29870-2021")</f>
        <v/>
      </c>
      <c r="Y114">
        <f>HYPERLINK("https://klasma.github.io/Logging_0980/tillsynsmail/A 29870-2021 tillsynsbegäran mail.docx", "A 29870-2021")</f>
        <v/>
      </c>
    </row>
    <row r="115" ht="15" customHeight="1">
      <c r="A115" t="inlineStr">
        <is>
          <t>A 26857-2021</t>
        </is>
      </c>
      <c r="B115" s="1" t="n">
        <v>44349.60091435185</v>
      </c>
      <c r="C115" s="1" t="n">
        <v>45930</v>
      </c>
      <c r="D115" t="inlineStr">
        <is>
          <t>GOTLANDS LÄN</t>
        </is>
      </c>
      <c r="E115" t="inlineStr">
        <is>
          <t>GOTLAND</t>
        </is>
      </c>
      <c r="G115" t="n">
        <v>1.9</v>
      </c>
      <c r="H115" t="n">
        <v>0</v>
      </c>
      <c r="I115" t="n">
        <v>0</v>
      </c>
      <c r="J115" t="n">
        <v>2</v>
      </c>
      <c r="K115" t="n">
        <v>0</v>
      </c>
      <c r="L115" t="n">
        <v>0</v>
      </c>
      <c r="M115" t="n">
        <v>0</v>
      </c>
      <c r="N115" t="n">
        <v>0</v>
      </c>
      <c r="O115" t="n">
        <v>2</v>
      </c>
      <c r="P115" t="n">
        <v>0</v>
      </c>
      <c r="Q115" t="n">
        <v>2</v>
      </c>
      <c r="R115" s="2" t="inlineStr">
        <is>
          <t>Jordtistel
Solvända</t>
        </is>
      </c>
      <c r="S115">
        <f>HYPERLINK("https://klasma.github.io/Logging_0980/artfynd/A 26857-2021 artfynd.xlsx", "A 26857-2021")</f>
        <v/>
      </c>
      <c r="T115">
        <f>HYPERLINK("https://klasma.github.io/Logging_0980/kartor/A 26857-2021 karta.png", "A 26857-2021")</f>
        <v/>
      </c>
      <c r="V115">
        <f>HYPERLINK("https://klasma.github.io/Logging_0980/klagomål/A 26857-2021 FSC-klagomål.docx", "A 26857-2021")</f>
        <v/>
      </c>
      <c r="W115">
        <f>HYPERLINK("https://klasma.github.io/Logging_0980/klagomålsmail/A 26857-2021 FSC-klagomål mail.docx", "A 26857-2021")</f>
        <v/>
      </c>
      <c r="X115">
        <f>HYPERLINK("https://klasma.github.io/Logging_0980/tillsyn/A 26857-2021 tillsynsbegäran.docx", "A 26857-2021")</f>
        <v/>
      </c>
      <c r="Y115">
        <f>HYPERLINK("https://klasma.github.io/Logging_0980/tillsynsmail/A 26857-2021 tillsynsbegäran mail.docx", "A 26857-2021")</f>
        <v/>
      </c>
    </row>
    <row r="116" ht="15" customHeight="1">
      <c r="A116" t="inlineStr">
        <is>
          <t>A 51737-2021</t>
        </is>
      </c>
      <c r="B116" s="1" t="n">
        <v>44462.57368055556</v>
      </c>
      <c r="C116" s="1" t="n">
        <v>45930</v>
      </c>
      <c r="D116" t="inlineStr">
        <is>
          <t>GOTLANDS LÄN</t>
        </is>
      </c>
      <c r="E116" t="inlineStr">
        <is>
          <t>GOTLAND</t>
        </is>
      </c>
      <c r="G116" t="n">
        <v>8.6</v>
      </c>
      <c r="H116" t="n">
        <v>0</v>
      </c>
      <c r="I116" t="n">
        <v>1</v>
      </c>
      <c r="J116" t="n">
        <v>1</v>
      </c>
      <c r="K116" t="n">
        <v>0</v>
      </c>
      <c r="L116" t="n">
        <v>0</v>
      </c>
      <c r="M116" t="n">
        <v>0</v>
      </c>
      <c r="N116" t="n">
        <v>0</v>
      </c>
      <c r="O116" t="n">
        <v>1</v>
      </c>
      <c r="P116" t="n">
        <v>0</v>
      </c>
      <c r="Q116" t="n">
        <v>2</v>
      </c>
      <c r="R116" s="2" t="inlineStr">
        <is>
          <t>Igelkott
Kambräken</t>
        </is>
      </c>
      <c r="S116">
        <f>HYPERLINK("https://klasma.github.io/Logging_0980/artfynd/A 51737-2021 artfynd.xlsx", "A 51737-2021")</f>
        <v/>
      </c>
      <c r="T116">
        <f>HYPERLINK("https://klasma.github.io/Logging_0980/kartor/A 51737-2021 karta.png", "A 51737-2021")</f>
        <v/>
      </c>
      <c r="V116">
        <f>HYPERLINK("https://klasma.github.io/Logging_0980/klagomål/A 51737-2021 FSC-klagomål.docx", "A 51737-2021")</f>
        <v/>
      </c>
      <c r="W116">
        <f>HYPERLINK("https://klasma.github.io/Logging_0980/klagomålsmail/A 51737-2021 FSC-klagomål mail.docx", "A 51737-2021")</f>
        <v/>
      </c>
      <c r="X116">
        <f>HYPERLINK("https://klasma.github.io/Logging_0980/tillsyn/A 51737-2021 tillsynsbegäran.docx", "A 51737-2021")</f>
        <v/>
      </c>
      <c r="Y116">
        <f>HYPERLINK("https://klasma.github.io/Logging_0980/tillsynsmail/A 51737-2021 tillsynsbegäran mail.docx", "A 51737-2021")</f>
        <v/>
      </c>
    </row>
    <row r="117" ht="15" customHeight="1">
      <c r="A117" t="inlineStr">
        <is>
          <t>A 16429-2021</t>
        </is>
      </c>
      <c r="B117" s="1" t="n">
        <v>44293</v>
      </c>
      <c r="C117" s="1" t="n">
        <v>45930</v>
      </c>
      <c r="D117" t="inlineStr">
        <is>
          <t>GOTLANDS LÄN</t>
        </is>
      </c>
      <c r="E117" t="inlineStr">
        <is>
          <t>GOTLAND</t>
        </is>
      </c>
      <c r="G117" t="n">
        <v>3.4</v>
      </c>
      <c r="H117" t="n">
        <v>0</v>
      </c>
      <c r="I117" t="n">
        <v>0</v>
      </c>
      <c r="J117" t="n">
        <v>1</v>
      </c>
      <c r="K117" t="n">
        <v>1</v>
      </c>
      <c r="L117" t="n">
        <v>0</v>
      </c>
      <c r="M117" t="n">
        <v>0</v>
      </c>
      <c r="N117" t="n">
        <v>0</v>
      </c>
      <c r="O117" t="n">
        <v>2</v>
      </c>
      <c r="P117" t="n">
        <v>1</v>
      </c>
      <c r="Q117" t="n">
        <v>2</v>
      </c>
      <c r="R117" s="2" t="inlineStr">
        <is>
          <t>Gotlandsmåra
Barrviolspindling</t>
        </is>
      </c>
      <c r="S117">
        <f>HYPERLINK("https://klasma.github.io/Logging_0980/artfynd/A 16429-2021 artfynd.xlsx", "A 16429-2021")</f>
        <v/>
      </c>
      <c r="T117">
        <f>HYPERLINK("https://klasma.github.io/Logging_0980/kartor/A 16429-2021 karta.png", "A 16429-2021")</f>
        <v/>
      </c>
      <c r="V117">
        <f>HYPERLINK("https://klasma.github.io/Logging_0980/klagomål/A 16429-2021 FSC-klagomål.docx", "A 16429-2021")</f>
        <v/>
      </c>
      <c r="W117">
        <f>HYPERLINK("https://klasma.github.io/Logging_0980/klagomålsmail/A 16429-2021 FSC-klagomål mail.docx", "A 16429-2021")</f>
        <v/>
      </c>
      <c r="X117">
        <f>HYPERLINK("https://klasma.github.io/Logging_0980/tillsyn/A 16429-2021 tillsynsbegäran.docx", "A 16429-2021")</f>
        <v/>
      </c>
      <c r="Y117">
        <f>HYPERLINK("https://klasma.github.io/Logging_0980/tillsynsmail/A 16429-2021 tillsynsbegäran mail.docx", "A 16429-2021")</f>
        <v/>
      </c>
    </row>
    <row r="118" ht="15" customHeight="1">
      <c r="A118" t="inlineStr">
        <is>
          <t>A 9930-2021</t>
        </is>
      </c>
      <c r="B118" s="1" t="n">
        <v>44252</v>
      </c>
      <c r="C118" s="1" t="n">
        <v>45930</v>
      </c>
      <c r="D118" t="inlineStr">
        <is>
          <t>GOTLANDS LÄN</t>
        </is>
      </c>
      <c r="E118" t="inlineStr">
        <is>
          <t>GOTLAND</t>
        </is>
      </c>
      <c r="G118" t="n">
        <v>1.9</v>
      </c>
      <c r="H118" t="n">
        <v>0</v>
      </c>
      <c r="I118" t="n">
        <v>0</v>
      </c>
      <c r="J118" t="n">
        <v>0</v>
      </c>
      <c r="K118" t="n">
        <v>0</v>
      </c>
      <c r="L118" t="n">
        <v>1</v>
      </c>
      <c r="M118" t="n">
        <v>1</v>
      </c>
      <c r="N118" t="n">
        <v>0</v>
      </c>
      <c r="O118" t="n">
        <v>2</v>
      </c>
      <c r="P118" t="n">
        <v>2</v>
      </c>
      <c r="Q118" t="n">
        <v>2</v>
      </c>
      <c r="R118" s="2" t="inlineStr">
        <is>
          <t>Lundalm
Ask</t>
        </is>
      </c>
      <c r="S118">
        <f>HYPERLINK("https://klasma.github.io/Logging_0980/artfynd/A 9930-2021 artfynd.xlsx", "A 9930-2021")</f>
        <v/>
      </c>
      <c r="T118">
        <f>HYPERLINK("https://klasma.github.io/Logging_0980/kartor/A 9930-2021 karta.png", "A 9930-2021")</f>
        <v/>
      </c>
      <c r="V118">
        <f>HYPERLINK("https://klasma.github.io/Logging_0980/klagomål/A 9930-2021 FSC-klagomål.docx", "A 9930-2021")</f>
        <v/>
      </c>
      <c r="W118">
        <f>HYPERLINK("https://klasma.github.io/Logging_0980/klagomålsmail/A 9930-2021 FSC-klagomål mail.docx", "A 9930-2021")</f>
        <v/>
      </c>
      <c r="X118">
        <f>HYPERLINK("https://klasma.github.io/Logging_0980/tillsyn/A 9930-2021 tillsynsbegäran.docx", "A 9930-2021")</f>
        <v/>
      </c>
      <c r="Y118">
        <f>HYPERLINK("https://klasma.github.io/Logging_0980/tillsynsmail/A 9930-2021 tillsynsbegäran mail.docx", "A 9930-2021")</f>
        <v/>
      </c>
    </row>
    <row r="119" ht="15" customHeight="1">
      <c r="A119" t="inlineStr">
        <is>
          <t>A 20218-2022</t>
        </is>
      </c>
      <c r="B119" s="1" t="n">
        <v>44698</v>
      </c>
      <c r="C119" s="1" t="n">
        <v>45930</v>
      </c>
      <c r="D119" t="inlineStr">
        <is>
          <t>GOTLANDS LÄN</t>
        </is>
      </c>
      <c r="E119" t="inlineStr">
        <is>
          <t>GOTLAND</t>
        </is>
      </c>
      <c r="G119" t="n">
        <v>4.3</v>
      </c>
      <c r="H119" t="n">
        <v>0</v>
      </c>
      <c r="I119" t="n">
        <v>1</v>
      </c>
      <c r="J119" t="n">
        <v>1</v>
      </c>
      <c r="K119" t="n">
        <v>0</v>
      </c>
      <c r="L119" t="n">
        <v>0</v>
      </c>
      <c r="M119" t="n">
        <v>0</v>
      </c>
      <c r="N119" t="n">
        <v>0</v>
      </c>
      <c r="O119" t="n">
        <v>1</v>
      </c>
      <c r="P119" t="n">
        <v>0</v>
      </c>
      <c r="Q119" t="n">
        <v>2</v>
      </c>
      <c r="R119" s="2" t="inlineStr">
        <is>
          <t>Flattoppad klubbsvamp
Rödgul trumpetsvamp</t>
        </is>
      </c>
      <c r="S119">
        <f>HYPERLINK("https://klasma.github.io/Logging_0980/artfynd/A 20218-2022 artfynd.xlsx", "A 20218-2022")</f>
        <v/>
      </c>
      <c r="T119">
        <f>HYPERLINK("https://klasma.github.io/Logging_0980/kartor/A 20218-2022 karta.png", "A 20218-2022")</f>
        <v/>
      </c>
      <c r="V119">
        <f>HYPERLINK("https://klasma.github.io/Logging_0980/klagomål/A 20218-2022 FSC-klagomål.docx", "A 20218-2022")</f>
        <v/>
      </c>
      <c r="W119">
        <f>HYPERLINK("https://klasma.github.io/Logging_0980/klagomålsmail/A 20218-2022 FSC-klagomål mail.docx", "A 20218-2022")</f>
        <v/>
      </c>
      <c r="X119">
        <f>HYPERLINK("https://klasma.github.io/Logging_0980/tillsyn/A 20218-2022 tillsynsbegäran.docx", "A 20218-2022")</f>
        <v/>
      </c>
      <c r="Y119">
        <f>HYPERLINK("https://klasma.github.io/Logging_0980/tillsynsmail/A 20218-2022 tillsynsbegäran mail.docx", "A 20218-2022")</f>
        <v/>
      </c>
    </row>
    <row r="120" ht="15" customHeight="1">
      <c r="A120" t="inlineStr">
        <is>
          <t>A 60665-2021</t>
        </is>
      </c>
      <c r="B120" s="1" t="n">
        <v>44496</v>
      </c>
      <c r="C120" s="1" t="n">
        <v>45930</v>
      </c>
      <c r="D120" t="inlineStr">
        <is>
          <t>GOTLANDS LÄN</t>
        </is>
      </c>
      <c r="E120" t="inlineStr">
        <is>
          <t>GOTLAND</t>
        </is>
      </c>
      <c r="G120" t="n">
        <v>1.6</v>
      </c>
      <c r="H120" t="n">
        <v>0</v>
      </c>
      <c r="I120" t="n">
        <v>0</v>
      </c>
      <c r="J120" t="n">
        <v>0</v>
      </c>
      <c r="K120" t="n">
        <v>1</v>
      </c>
      <c r="L120" t="n">
        <v>1</v>
      </c>
      <c r="M120" t="n">
        <v>0</v>
      </c>
      <c r="N120" t="n">
        <v>0</v>
      </c>
      <c r="O120" t="n">
        <v>2</v>
      </c>
      <c r="P120" t="n">
        <v>2</v>
      </c>
      <c r="Q120" t="n">
        <v>2</v>
      </c>
      <c r="R120" s="2" t="inlineStr">
        <is>
          <t>Ädellav
Skogskorn</t>
        </is>
      </c>
      <c r="S120">
        <f>HYPERLINK("https://klasma.github.io/Logging_0980/artfynd/A 60665-2021 artfynd.xlsx", "A 60665-2021")</f>
        <v/>
      </c>
      <c r="T120">
        <f>HYPERLINK("https://klasma.github.io/Logging_0980/kartor/A 60665-2021 karta.png", "A 60665-2021")</f>
        <v/>
      </c>
      <c r="V120">
        <f>HYPERLINK("https://klasma.github.io/Logging_0980/klagomål/A 60665-2021 FSC-klagomål.docx", "A 60665-2021")</f>
        <v/>
      </c>
      <c r="W120">
        <f>HYPERLINK("https://klasma.github.io/Logging_0980/klagomålsmail/A 60665-2021 FSC-klagomål mail.docx", "A 60665-2021")</f>
        <v/>
      </c>
      <c r="X120">
        <f>HYPERLINK("https://klasma.github.io/Logging_0980/tillsyn/A 60665-2021 tillsynsbegäran.docx", "A 60665-2021")</f>
        <v/>
      </c>
      <c r="Y120">
        <f>HYPERLINK("https://klasma.github.io/Logging_0980/tillsynsmail/A 60665-2021 tillsynsbegäran mail.docx", "A 60665-2021")</f>
        <v/>
      </c>
    </row>
    <row r="121" ht="15" customHeight="1">
      <c r="A121" t="inlineStr">
        <is>
          <t>A 55649-2024</t>
        </is>
      </c>
      <c r="B121" s="1" t="n">
        <v>45622.63053240741</v>
      </c>
      <c r="C121" s="1" t="n">
        <v>45930</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41238-2025</t>
        </is>
      </c>
      <c r="B122" s="1" t="n">
        <v>45898</v>
      </c>
      <c r="C122" s="1" t="n">
        <v>45930</v>
      </c>
      <c r="D122" t="inlineStr">
        <is>
          <t>GOTLANDS LÄN</t>
        </is>
      </c>
      <c r="E122" t="inlineStr">
        <is>
          <t>GOTLAND</t>
        </is>
      </c>
      <c r="G122" t="n">
        <v>7.1</v>
      </c>
      <c r="H122" t="n">
        <v>1</v>
      </c>
      <c r="I122" t="n">
        <v>2</v>
      </c>
      <c r="J122" t="n">
        <v>0</v>
      </c>
      <c r="K122" t="n">
        <v>0</v>
      </c>
      <c r="L122" t="n">
        <v>0</v>
      </c>
      <c r="M122" t="n">
        <v>0</v>
      </c>
      <c r="N122" t="n">
        <v>0</v>
      </c>
      <c r="O122" t="n">
        <v>0</v>
      </c>
      <c r="P122" t="n">
        <v>0</v>
      </c>
      <c r="Q122" t="n">
        <v>2</v>
      </c>
      <c r="R122" s="2" t="inlineStr">
        <is>
          <t>Granbarkgnagare
Skogsknipprot</t>
        </is>
      </c>
      <c r="S122">
        <f>HYPERLINK("https://klasma.github.io/Logging_0980/artfynd/A 41238-2025 artfynd.xlsx", "A 41238-2025")</f>
        <v/>
      </c>
      <c r="T122">
        <f>HYPERLINK("https://klasma.github.io/Logging_0980/kartor/A 41238-2025 karta.png", "A 41238-2025")</f>
        <v/>
      </c>
      <c r="V122">
        <f>HYPERLINK("https://klasma.github.io/Logging_0980/klagomål/A 41238-2025 FSC-klagomål.docx", "A 41238-2025")</f>
        <v/>
      </c>
      <c r="W122">
        <f>HYPERLINK("https://klasma.github.io/Logging_0980/klagomålsmail/A 41238-2025 FSC-klagomål mail.docx", "A 41238-2025")</f>
        <v/>
      </c>
      <c r="X122">
        <f>HYPERLINK("https://klasma.github.io/Logging_0980/tillsyn/A 41238-2025 tillsynsbegäran.docx", "A 41238-2025")</f>
        <v/>
      </c>
      <c r="Y122">
        <f>HYPERLINK("https://klasma.github.io/Logging_0980/tillsynsmail/A 41238-2025 tillsynsbegäran mail.docx", "A 41238-2025")</f>
        <v/>
      </c>
    </row>
    <row r="123" ht="15" customHeight="1">
      <c r="A123" t="inlineStr">
        <is>
          <t>A 26077-2024</t>
        </is>
      </c>
      <c r="B123" s="1" t="n">
        <v>45467</v>
      </c>
      <c r="C123" s="1" t="n">
        <v>45930</v>
      </c>
      <c r="D123" t="inlineStr">
        <is>
          <t>GOTLANDS LÄN</t>
        </is>
      </c>
      <c r="E123" t="inlineStr">
        <is>
          <t>GOTLAND</t>
        </is>
      </c>
      <c r="G123" t="n">
        <v>4.6</v>
      </c>
      <c r="H123" t="n">
        <v>0</v>
      </c>
      <c r="I123" t="n">
        <v>0</v>
      </c>
      <c r="J123" t="n">
        <v>1</v>
      </c>
      <c r="K123" t="n">
        <v>0</v>
      </c>
      <c r="L123" t="n">
        <v>1</v>
      </c>
      <c r="M123" t="n">
        <v>0</v>
      </c>
      <c r="N123" t="n">
        <v>0</v>
      </c>
      <c r="O123" t="n">
        <v>2</v>
      </c>
      <c r="P123" t="n">
        <v>1</v>
      </c>
      <c r="Q123" t="n">
        <v>2</v>
      </c>
      <c r="R123" s="2" t="inlineStr">
        <is>
          <t>Ask
Tallticka</t>
        </is>
      </c>
      <c r="S123">
        <f>HYPERLINK("https://klasma.github.io/Logging_0980/artfynd/A 26077-2024 artfynd.xlsx", "A 26077-2024")</f>
        <v/>
      </c>
      <c r="T123">
        <f>HYPERLINK("https://klasma.github.io/Logging_0980/kartor/A 26077-2024 karta.png", "A 26077-2024")</f>
        <v/>
      </c>
      <c r="V123">
        <f>HYPERLINK("https://klasma.github.io/Logging_0980/klagomål/A 26077-2024 FSC-klagomål.docx", "A 26077-2024")</f>
        <v/>
      </c>
      <c r="W123">
        <f>HYPERLINK("https://klasma.github.io/Logging_0980/klagomålsmail/A 26077-2024 FSC-klagomål mail.docx", "A 26077-2024")</f>
        <v/>
      </c>
      <c r="X123">
        <f>HYPERLINK("https://klasma.github.io/Logging_0980/tillsyn/A 26077-2024 tillsynsbegäran.docx", "A 26077-2024")</f>
        <v/>
      </c>
      <c r="Y123">
        <f>HYPERLINK("https://klasma.github.io/Logging_0980/tillsynsmail/A 26077-2024 tillsynsbegäran mail.docx", "A 26077-2024")</f>
        <v/>
      </c>
    </row>
    <row r="124" ht="15" customHeight="1">
      <c r="A124" t="inlineStr">
        <is>
          <t>A 58701-2020</t>
        </is>
      </c>
      <c r="B124" s="1" t="n">
        <v>44146</v>
      </c>
      <c r="C124" s="1" t="n">
        <v>45930</v>
      </c>
      <c r="D124" t="inlineStr">
        <is>
          <t>GOTLANDS LÄN</t>
        </is>
      </c>
      <c r="E124" t="inlineStr">
        <is>
          <t>GOTLAND</t>
        </is>
      </c>
      <c r="G124" t="n">
        <v>5.5</v>
      </c>
      <c r="H124" t="n">
        <v>0</v>
      </c>
      <c r="I124" t="n">
        <v>0</v>
      </c>
      <c r="J124" t="n">
        <v>1</v>
      </c>
      <c r="K124" t="n">
        <v>1</v>
      </c>
      <c r="L124" t="n">
        <v>0</v>
      </c>
      <c r="M124" t="n">
        <v>0</v>
      </c>
      <c r="N124" t="n">
        <v>0</v>
      </c>
      <c r="O124" t="n">
        <v>2</v>
      </c>
      <c r="P124" t="n">
        <v>1</v>
      </c>
      <c r="Q124" t="n">
        <v>2</v>
      </c>
      <c r="R124" s="2" t="inlineStr">
        <is>
          <t>Vit taggsvamp
Odörspindling</t>
        </is>
      </c>
      <c r="S124">
        <f>HYPERLINK("https://klasma.github.io/Logging_0980/artfynd/A 58701-2020 artfynd.xlsx", "A 58701-2020")</f>
        <v/>
      </c>
      <c r="T124">
        <f>HYPERLINK("https://klasma.github.io/Logging_0980/kartor/A 58701-2020 karta.png", "A 58701-2020")</f>
        <v/>
      </c>
      <c r="V124">
        <f>HYPERLINK("https://klasma.github.io/Logging_0980/klagomål/A 58701-2020 FSC-klagomål.docx", "A 58701-2020")</f>
        <v/>
      </c>
      <c r="W124">
        <f>HYPERLINK("https://klasma.github.io/Logging_0980/klagomålsmail/A 58701-2020 FSC-klagomål mail.docx", "A 58701-2020")</f>
        <v/>
      </c>
      <c r="X124">
        <f>HYPERLINK("https://klasma.github.io/Logging_0980/tillsyn/A 58701-2020 tillsynsbegäran.docx", "A 58701-2020")</f>
        <v/>
      </c>
      <c r="Y124">
        <f>HYPERLINK("https://klasma.github.io/Logging_0980/tillsynsmail/A 58701-2020 tillsynsbegäran mail.docx", "A 58701-2020")</f>
        <v/>
      </c>
    </row>
    <row r="125" ht="15" customHeight="1">
      <c r="A125" t="inlineStr">
        <is>
          <t>A 28276-2024</t>
        </is>
      </c>
      <c r="B125" s="1" t="n">
        <v>45477</v>
      </c>
      <c r="C125" s="1" t="n">
        <v>45930</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20838-2024</t>
        </is>
      </c>
      <c r="B126" s="1" t="n">
        <v>45439</v>
      </c>
      <c r="C126" s="1" t="n">
        <v>45930</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21879-2025</t>
        </is>
      </c>
      <c r="B127" s="1" t="n">
        <v>45784.40533564815</v>
      </c>
      <c r="C127" s="1" t="n">
        <v>45930</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64263-2020</t>
        </is>
      </c>
      <c r="B128" s="1" t="n">
        <v>44168</v>
      </c>
      <c r="C128" s="1" t="n">
        <v>45930</v>
      </c>
      <c r="D128" t="inlineStr">
        <is>
          <t>GOTLANDS LÄN</t>
        </is>
      </c>
      <c r="E128" t="inlineStr">
        <is>
          <t>GOTLAND</t>
        </is>
      </c>
      <c r="G128" t="n">
        <v>10.9</v>
      </c>
      <c r="H128" t="n">
        <v>1</v>
      </c>
      <c r="I128" t="n">
        <v>0</v>
      </c>
      <c r="J128" t="n">
        <v>2</v>
      </c>
      <c r="K128" t="n">
        <v>0</v>
      </c>
      <c r="L128" t="n">
        <v>0</v>
      </c>
      <c r="M128" t="n">
        <v>0</v>
      </c>
      <c r="N128" t="n">
        <v>0</v>
      </c>
      <c r="O128" t="n">
        <v>2</v>
      </c>
      <c r="P128" t="n">
        <v>0</v>
      </c>
      <c r="Q128" t="n">
        <v>2</v>
      </c>
      <c r="R128" s="2" t="inlineStr">
        <is>
          <t>Mindre hackspett
Ullticka</t>
        </is>
      </c>
      <c r="S128">
        <f>HYPERLINK("https://klasma.github.io/Logging_0980/artfynd/A 64263-2020 artfynd.xlsx", "A 64263-2020")</f>
        <v/>
      </c>
      <c r="T128">
        <f>HYPERLINK("https://klasma.github.io/Logging_0980/kartor/A 64263-2020 karta.png", "A 64263-2020")</f>
        <v/>
      </c>
      <c r="V128">
        <f>HYPERLINK("https://klasma.github.io/Logging_0980/klagomål/A 64263-2020 FSC-klagomål.docx", "A 64263-2020")</f>
        <v/>
      </c>
      <c r="W128">
        <f>HYPERLINK("https://klasma.github.io/Logging_0980/klagomålsmail/A 64263-2020 FSC-klagomål mail.docx", "A 64263-2020")</f>
        <v/>
      </c>
      <c r="X128">
        <f>HYPERLINK("https://klasma.github.io/Logging_0980/tillsyn/A 64263-2020 tillsynsbegäran.docx", "A 64263-2020")</f>
        <v/>
      </c>
      <c r="Y128">
        <f>HYPERLINK("https://klasma.github.io/Logging_0980/tillsynsmail/A 64263-2020 tillsynsbegäran mail.docx", "A 64263-2020")</f>
        <v/>
      </c>
      <c r="Z128">
        <f>HYPERLINK("https://klasma.github.io/Logging_0980/fåglar/A 64263-2020 prioriterade fågelarter.docx", "A 64263-2020")</f>
        <v/>
      </c>
    </row>
    <row r="129" ht="15" customHeight="1">
      <c r="A129" t="inlineStr">
        <is>
          <t>A 13627-2023</t>
        </is>
      </c>
      <c r="B129" s="1" t="n">
        <v>45006</v>
      </c>
      <c r="C129" s="1" t="n">
        <v>45930</v>
      </c>
      <c r="D129" t="inlineStr">
        <is>
          <t>GOTLANDS LÄN</t>
        </is>
      </c>
      <c r="E129" t="inlineStr">
        <is>
          <t>GOTLAND</t>
        </is>
      </c>
      <c r="G129" t="n">
        <v>10.7</v>
      </c>
      <c r="H129" t="n">
        <v>0</v>
      </c>
      <c r="I129" t="n">
        <v>0</v>
      </c>
      <c r="J129" t="n">
        <v>1</v>
      </c>
      <c r="K129" t="n">
        <v>1</v>
      </c>
      <c r="L129" t="n">
        <v>0</v>
      </c>
      <c r="M129" t="n">
        <v>0</v>
      </c>
      <c r="N129" t="n">
        <v>0</v>
      </c>
      <c r="O129" t="n">
        <v>2</v>
      </c>
      <c r="P129" t="n">
        <v>1</v>
      </c>
      <c r="Q129" t="n">
        <v>2</v>
      </c>
      <c r="R129" s="2" t="inlineStr">
        <is>
          <t>Sammetsbockrot
Igelkott</t>
        </is>
      </c>
      <c r="S129">
        <f>HYPERLINK("https://klasma.github.io/Logging_0980/artfynd/A 13627-2023 artfynd.xlsx", "A 13627-2023")</f>
        <v/>
      </c>
      <c r="T129">
        <f>HYPERLINK("https://klasma.github.io/Logging_0980/kartor/A 13627-2023 karta.png", "A 13627-2023")</f>
        <v/>
      </c>
      <c r="V129">
        <f>HYPERLINK("https://klasma.github.io/Logging_0980/klagomål/A 13627-2023 FSC-klagomål.docx", "A 13627-2023")</f>
        <v/>
      </c>
      <c r="W129">
        <f>HYPERLINK("https://klasma.github.io/Logging_0980/klagomålsmail/A 13627-2023 FSC-klagomål mail.docx", "A 13627-2023")</f>
        <v/>
      </c>
      <c r="X129">
        <f>HYPERLINK("https://klasma.github.io/Logging_0980/tillsyn/A 13627-2023 tillsynsbegäran.docx", "A 13627-2023")</f>
        <v/>
      </c>
      <c r="Y129">
        <f>HYPERLINK("https://klasma.github.io/Logging_0980/tillsynsmail/A 13627-2023 tillsynsbegäran mail.docx", "A 13627-2023")</f>
        <v/>
      </c>
    </row>
    <row r="130" ht="15" customHeight="1">
      <c r="A130" t="inlineStr">
        <is>
          <t>A 54357-2024</t>
        </is>
      </c>
      <c r="B130" s="1" t="n">
        <v>45617.40662037037</v>
      </c>
      <c r="C130" s="1" t="n">
        <v>45930</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45930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45930</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12914-2025</t>
        </is>
      </c>
      <c r="B133" s="1" t="n">
        <v>45733</v>
      </c>
      <c r="C133" s="1" t="n">
        <v>45930</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28261-2024</t>
        </is>
      </c>
      <c r="B134" s="1" t="n">
        <v>45477</v>
      </c>
      <c r="C134" s="1" t="n">
        <v>45930</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28261-2024 artfynd.xlsx", "A 28261-2024")</f>
        <v/>
      </c>
      <c r="T134">
        <f>HYPERLINK("https://klasma.github.io/Logging_0980/kartor/A 28261-2024 karta.png", "A 28261-2024")</f>
        <v/>
      </c>
      <c r="V134">
        <f>HYPERLINK("https://klasma.github.io/Logging_0980/klagomål/A 28261-2024 FSC-klagomål.docx", "A 28261-2024")</f>
        <v/>
      </c>
      <c r="W134">
        <f>HYPERLINK("https://klasma.github.io/Logging_0980/klagomålsmail/A 28261-2024 FSC-klagomål mail.docx", "A 28261-2024")</f>
        <v/>
      </c>
      <c r="X134">
        <f>HYPERLINK("https://klasma.github.io/Logging_0980/tillsyn/A 28261-2024 tillsynsbegäran.docx", "A 28261-2024")</f>
        <v/>
      </c>
      <c r="Y134">
        <f>HYPERLINK("https://klasma.github.io/Logging_0980/tillsynsmail/A 28261-2024 tillsynsbegäran mail.docx", "A 28261-2024")</f>
        <v/>
      </c>
    </row>
    <row r="135" ht="15" customHeight="1">
      <c r="A135" t="inlineStr">
        <is>
          <t>A 24-2021</t>
        </is>
      </c>
      <c r="B135" s="1" t="n">
        <v>44197</v>
      </c>
      <c r="C135" s="1" t="n">
        <v>45930</v>
      </c>
      <c r="D135" t="inlineStr">
        <is>
          <t>GOTLANDS LÄN</t>
        </is>
      </c>
      <c r="E135" t="inlineStr">
        <is>
          <t>GOTLAND</t>
        </is>
      </c>
      <c r="F135" t="inlineStr">
        <is>
          <t>Kyrkan</t>
        </is>
      </c>
      <c r="G135" t="n">
        <v>1.7</v>
      </c>
      <c r="H135" t="n">
        <v>0</v>
      </c>
      <c r="I135" t="n">
        <v>1</v>
      </c>
      <c r="J135" t="n">
        <v>0</v>
      </c>
      <c r="K135" t="n">
        <v>0</v>
      </c>
      <c r="L135" t="n">
        <v>0</v>
      </c>
      <c r="M135" t="n">
        <v>0</v>
      </c>
      <c r="N135" t="n">
        <v>0</v>
      </c>
      <c r="O135" t="n">
        <v>0</v>
      </c>
      <c r="P135" t="n">
        <v>0</v>
      </c>
      <c r="Q135" t="n">
        <v>1</v>
      </c>
      <c r="R135" s="2" t="inlineStr">
        <is>
          <t>Svavelriska</t>
        </is>
      </c>
      <c r="S135">
        <f>HYPERLINK("https://klasma.github.io/Logging_0980/artfynd/A 24-2021 artfynd.xlsx", "A 24-2021")</f>
        <v/>
      </c>
      <c r="T135">
        <f>HYPERLINK("https://klasma.github.io/Logging_0980/kartor/A 24-2021 karta.png", "A 24-2021")</f>
        <v/>
      </c>
      <c r="V135">
        <f>HYPERLINK("https://klasma.github.io/Logging_0980/klagomål/A 24-2021 FSC-klagomål.docx", "A 24-2021")</f>
        <v/>
      </c>
      <c r="W135">
        <f>HYPERLINK("https://klasma.github.io/Logging_0980/klagomålsmail/A 24-2021 FSC-klagomål mail.docx", "A 24-2021")</f>
        <v/>
      </c>
      <c r="X135">
        <f>HYPERLINK("https://klasma.github.io/Logging_0980/tillsyn/A 24-2021 tillsynsbegäran.docx", "A 24-2021")</f>
        <v/>
      </c>
      <c r="Y135">
        <f>HYPERLINK("https://klasma.github.io/Logging_0980/tillsynsmail/A 24-2021 tillsynsbegäran mail.docx", "A 24-2021")</f>
        <v/>
      </c>
    </row>
    <row r="136" ht="15" customHeight="1">
      <c r="A136" t="inlineStr">
        <is>
          <t>A 46362-2021</t>
        </is>
      </c>
      <c r="B136" s="1" t="n">
        <v>44442</v>
      </c>
      <c r="C136" s="1" t="n">
        <v>45930</v>
      </c>
      <c r="D136" t="inlineStr">
        <is>
          <t>GOTLANDS LÄN</t>
        </is>
      </c>
      <c r="E136" t="inlineStr">
        <is>
          <t>GOTLAND</t>
        </is>
      </c>
      <c r="G136" t="n">
        <v>2.1</v>
      </c>
      <c r="H136" t="n">
        <v>0</v>
      </c>
      <c r="I136" t="n">
        <v>0</v>
      </c>
      <c r="J136" t="n">
        <v>1</v>
      </c>
      <c r="K136" t="n">
        <v>0</v>
      </c>
      <c r="L136" t="n">
        <v>0</v>
      </c>
      <c r="M136" t="n">
        <v>0</v>
      </c>
      <c r="N136" t="n">
        <v>0</v>
      </c>
      <c r="O136" t="n">
        <v>1</v>
      </c>
      <c r="P136" t="n">
        <v>0</v>
      </c>
      <c r="Q136" t="n">
        <v>1</v>
      </c>
      <c r="R136" s="2" t="inlineStr">
        <is>
          <t>Igelkott</t>
        </is>
      </c>
      <c r="S136">
        <f>HYPERLINK("https://klasma.github.io/Logging_0980/artfynd/A 46362-2021 artfynd.xlsx", "A 46362-2021")</f>
        <v/>
      </c>
      <c r="T136">
        <f>HYPERLINK("https://klasma.github.io/Logging_0980/kartor/A 46362-2021 karta.png", "A 46362-2021")</f>
        <v/>
      </c>
      <c r="V136">
        <f>HYPERLINK("https://klasma.github.io/Logging_0980/klagomål/A 46362-2021 FSC-klagomål.docx", "A 46362-2021")</f>
        <v/>
      </c>
      <c r="W136">
        <f>HYPERLINK("https://klasma.github.io/Logging_0980/klagomålsmail/A 46362-2021 FSC-klagomål mail.docx", "A 46362-2021")</f>
        <v/>
      </c>
      <c r="X136">
        <f>HYPERLINK("https://klasma.github.io/Logging_0980/tillsyn/A 46362-2021 tillsynsbegäran.docx", "A 46362-2021")</f>
        <v/>
      </c>
      <c r="Y136">
        <f>HYPERLINK("https://klasma.github.io/Logging_0980/tillsynsmail/A 46362-2021 tillsynsbegäran mail.docx", "A 46362-2021")</f>
        <v/>
      </c>
    </row>
    <row r="137" ht="15" customHeight="1">
      <c r="A137" t="inlineStr">
        <is>
          <t>A 35467-2021</t>
        </is>
      </c>
      <c r="B137" s="1" t="n">
        <v>44385</v>
      </c>
      <c r="C137" s="1" t="n">
        <v>45930</v>
      </c>
      <c r="D137" t="inlineStr">
        <is>
          <t>GOTLANDS LÄN</t>
        </is>
      </c>
      <c r="E137" t="inlineStr">
        <is>
          <t>GOTLAND</t>
        </is>
      </c>
      <c r="G137" t="n">
        <v>12.7</v>
      </c>
      <c r="H137" t="n">
        <v>0</v>
      </c>
      <c r="I137" t="n">
        <v>0</v>
      </c>
      <c r="J137" t="n">
        <v>1</v>
      </c>
      <c r="K137" t="n">
        <v>0</v>
      </c>
      <c r="L137" t="n">
        <v>0</v>
      </c>
      <c r="M137" t="n">
        <v>0</v>
      </c>
      <c r="N137" t="n">
        <v>0</v>
      </c>
      <c r="O137" t="n">
        <v>1</v>
      </c>
      <c r="P137" t="n">
        <v>0</v>
      </c>
      <c r="Q137" t="n">
        <v>1</v>
      </c>
      <c r="R137" s="2" t="inlineStr">
        <is>
          <t>Loppstarr</t>
        </is>
      </c>
      <c r="S137">
        <f>HYPERLINK("https://klasma.github.io/Logging_0980/artfynd/A 35467-2021 artfynd.xlsx", "A 35467-2021")</f>
        <v/>
      </c>
      <c r="T137">
        <f>HYPERLINK("https://klasma.github.io/Logging_0980/kartor/A 35467-2021 karta.png", "A 35467-2021")</f>
        <v/>
      </c>
      <c r="V137">
        <f>HYPERLINK("https://klasma.github.io/Logging_0980/klagomål/A 35467-2021 FSC-klagomål.docx", "A 35467-2021")</f>
        <v/>
      </c>
      <c r="W137">
        <f>HYPERLINK("https://klasma.github.io/Logging_0980/klagomålsmail/A 35467-2021 FSC-klagomål mail.docx", "A 35467-2021")</f>
        <v/>
      </c>
      <c r="X137">
        <f>HYPERLINK("https://klasma.github.io/Logging_0980/tillsyn/A 35467-2021 tillsynsbegäran.docx", "A 35467-2021")</f>
        <v/>
      </c>
      <c r="Y137">
        <f>HYPERLINK("https://klasma.github.io/Logging_0980/tillsynsmail/A 35467-2021 tillsynsbegäran mail.docx", "A 35467-2021")</f>
        <v/>
      </c>
    </row>
    <row r="138" ht="15" customHeight="1">
      <c r="A138" t="inlineStr">
        <is>
          <t>A 7485-2021</t>
        </is>
      </c>
      <c r="B138" s="1" t="n">
        <v>44238</v>
      </c>
      <c r="C138" s="1" t="n">
        <v>45930</v>
      </c>
      <c r="D138" t="inlineStr">
        <is>
          <t>GOTLANDS LÄN</t>
        </is>
      </c>
      <c r="E138" t="inlineStr">
        <is>
          <t>GOTLAND</t>
        </is>
      </c>
      <c r="G138" t="n">
        <v>2.9</v>
      </c>
      <c r="H138" t="n">
        <v>1</v>
      </c>
      <c r="I138" t="n">
        <v>0</v>
      </c>
      <c r="J138" t="n">
        <v>1</v>
      </c>
      <c r="K138" t="n">
        <v>0</v>
      </c>
      <c r="L138" t="n">
        <v>0</v>
      </c>
      <c r="M138" t="n">
        <v>0</v>
      </c>
      <c r="N138" t="n">
        <v>0</v>
      </c>
      <c r="O138" t="n">
        <v>1</v>
      </c>
      <c r="P138" t="n">
        <v>0</v>
      </c>
      <c r="Q138" t="n">
        <v>1</v>
      </c>
      <c r="R138" s="2" t="inlineStr">
        <is>
          <t>Spillkråka</t>
        </is>
      </c>
      <c r="S138">
        <f>HYPERLINK("https://klasma.github.io/Logging_0980/artfynd/A 7485-2021 artfynd.xlsx", "A 7485-2021")</f>
        <v/>
      </c>
      <c r="T138">
        <f>HYPERLINK("https://klasma.github.io/Logging_0980/kartor/A 7485-2021 karta.png", "A 7485-2021")</f>
        <v/>
      </c>
      <c r="V138">
        <f>HYPERLINK("https://klasma.github.io/Logging_0980/klagomål/A 7485-2021 FSC-klagomål.docx", "A 7485-2021")</f>
        <v/>
      </c>
      <c r="W138">
        <f>HYPERLINK("https://klasma.github.io/Logging_0980/klagomålsmail/A 7485-2021 FSC-klagomål mail.docx", "A 7485-2021")</f>
        <v/>
      </c>
      <c r="X138">
        <f>HYPERLINK("https://klasma.github.io/Logging_0980/tillsyn/A 7485-2021 tillsynsbegäran.docx", "A 7485-2021")</f>
        <v/>
      </c>
      <c r="Y138">
        <f>HYPERLINK("https://klasma.github.io/Logging_0980/tillsynsmail/A 7485-2021 tillsynsbegäran mail.docx", "A 7485-2021")</f>
        <v/>
      </c>
      <c r="Z138">
        <f>HYPERLINK("https://klasma.github.io/Logging_0980/fåglar/A 7485-2021 prioriterade fågelarter.docx", "A 7485-2021")</f>
        <v/>
      </c>
    </row>
    <row r="139" ht="15" customHeight="1">
      <c r="A139" t="inlineStr">
        <is>
          <t>A 13939-2021</t>
        </is>
      </c>
      <c r="B139" s="1" t="n">
        <v>44277</v>
      </c>
      <c r="C139" s="1" t="n">
        <v>45930</v>
      </c>
      <c r="D139" t="inlineStr">
        <is>
          <t>GOTLANDS LÄN</t>
        </is>
      </c>
      <c r="E139" t="inlineStr">
        <is>
          <t>GOTLAND</t>
        </is>
      </c>
      <c r="G139" t="n">
        <v>1</v>
      </c>
      <c r="H139" t="n">
        <v>0</v>
      </c>
      <c r="I139" t="n">
        <v>0</v>
      </c>
      <c r="J139" t="n">
        <v>1</v>
      </c>
      <c r="K139" t="n">
        <v>0</v>
      </c>
      <c r="L139" t="n">
        <v>0</v>
      </c>
      <c r="M139" t="n">
        <v>0</v>
      </c>
      <c r="N139" t="n">
        <v>0</v>
      </c>
      <c r="O139" t="n">
        <v>1</v>
      </c>
      <c r="P139" t="n">
        <v>0</v>
      </c>
      <c r="Q139" t="n">
        <v>1</v>
      </c>
      <c r="R139" s="2" t="inlineStr">
        <is>
          <t>Axveronika</t>
        </is>
      </c>
      <c r="S139">
        <f>HYPERLINK("https://klasma.github.io/Logging_0980/artfynd/A 13939-2021 artfynd.xlsx", "A 13939-2021")</f>
        <v/>
      </c>
      <c r="T139">
        <f>HYPERLINK("https://klasma.github.io/Logging_0980/kartor/A 13939-2021 karta.png", "A 13939-2021")</f>
        <v/>
      </c>
      <c r="V139">
        <f>HYPERLINK("https://klasma.github.io/Logging_0980/klagomål/A 13939-2021 FSC-klagomål.docx", "A 13939-2021")</f>
        <v/>
      </c>
      <c r="W139">
        <f>HYPERLINK("https://klasma.github.io/Logging_0980/klagomålsmail/A 13939-2021 FSC-klagomål mail.docx", "A 13939-2021")</f>
        <v/>
      </c>
      <c r="X139">
        <f>HYPERLINK("https://klasma.github.io/Logging_0980/tillsyn/A 13939-2021 tillsynsbegäran.docx", "A 13939-2021")</f>
        <v/>
      </c>
      <c r="Y139">
        <f>HYPERLINK("https://klasma.github.io/Logging_0980/tillsynsmail/A 13939-2021 tillsynsbegäran mail.docx", "A 13939-2021")</f>
        <v/>
      </c>
    </row>
    <row r="140" ht="15" customHeight="1">
      <c r="A140" t="inlineStr">
        <is>
          <t>A 10218-2025</t>
        </is>
      </c>
      <c r="B140" s="1" t="n">
        <v>45720</v>
      </c>
      <c r="C140" s="1" t="n">
        <v>45930</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20429-2025</t>
        </is>
      </c>
      <c r="B141" s="1" t="n">
        <v>45775.47728009259</v>
      </c>
      <c r="C141" s="1" t="n">
        <v>45930</v>
      </c>
      <c r="D141" t="inlineStr">
        <is>
          <t>GOTLANDS LÄN</t>
        </is>
      </c>
      <c r="E141" t="inlineStr">
        <is>
          <t>GOTLAND</t>
        </is>
      </c>
      <c r="G141" t="n">
        <v>1.4</v>
      </c>
      <c r="H141" t="n">
        <v>1</v>
      </c>
      <c r="I141" t="n">
        <v>0</v>
      </c>
      <c r="J141" t="n">
        <v>0</v>
      </c>
      <c r="K141" t="n">
        <v>0</v>
      </c>
      <c r="L141" t="n">
        <v>0</v>
      </c>
      <c r="M141" t="n">
        <v>0</v>
      </c>
      <c r="N141" t="n">
        <v>0</v>
      </c>
      <c r="O141" t="n">
        <v>0</v>
      </c>
      <c r="P141" t="n">
        <v>0</v>
      </c>
      <c r="Q141" t="n">
        <v>1</v>
      </c>
      <c r="R141" s="2" t="inlineStr">
        <is>
          <t>Äkta lopplummer</t>
        </is>
      </c>
      <c r="S141">
        <f>HYPERLINK("https://klasma.github.io/Logging_0980/artfynd/A 20429-2025 artfynd.xlsx", "A 20429-2025")</f>
        <v/>
      </c>
      <c r="T141">
        <f>HYPERLINK("https://klasma.github.io/Logging_0980/kartor/A 20429-2025 karta.png", "A 20429-2025")</f>
        <v/>
      </c>
      <c r="V141">
        <f>HYPERLINK("https://klasma.github.io/Logging_0980/klagomål/A 20429-2025 FSC-klagomål.docx", "A 20429-2025")</f>
        <v/>
      </c>
      <c r="W141">
        <f>HYPERLINK("https://klasma.github.io/Logging_0980/klagomålsmail/A 20429-2025 FSC-klagomål mail.docx", "A 20429-2025")</f>
        <v/>
      </c>
      <c r="X141">
        <f>HYPERLINK("https://klasma.github.io/Logging_0980/tillsyn/A 20429-2025 tillsynsbegäran.docx", "A 20429-2025")</f>
        <v/>
      </c>
      <c r="Y141">
        <f>HYPERLINK("https://klasma.github.io/Logging_0980/tillsynsmail/A 20429-2025 tillsynsbegäran mail.docx", "A 20429-2025")</f>
        <v/>
      </c>
    </row>
    <row r="142" ht="15" customHeight="1">
      <c r="A142" t="inlineStr">
        <is>
          <t>A 12379-2024</t>
        </is>
      </c>
      <c r="B142" s="1" t="n">
        <v>45379.28155092592</v>
      </c>
      <c r="C142" s="1" t="n">
        <v>45930</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17723-2021</t>
        </is>
      </c>
      <c r="B143" s="1" t="n">
        <v>44300</v>
      </c>
      <c r="C143" s="1" t="n">
        <v>45930</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39812-2025</t>
        </is>
      </c>
      <c r="B144" s="1" t="n">
        <v>45891</v>
      </c>
      <c r="C144" s="1" t="n">
        <v>45930</v>
      </c>
      <c r="D144" t="inlineStr">
        <is>
          <t>GOTLANDS LÄN</t>
        </is>
      </c>
      <c r="E144" t="inlineStr">
        <is>
          <t>GOTLAND</t>
        </is>
      </c>
      <c r="G144" t="n">
        <v>6</v>
      </c>
      <c r="H144" t="n">
        <v>1</v>
      </c>
      <c r="I144" t="n">
        <v>0</v>
      </c>
      <c r="J144" t="n">
        <v>0</v>
      </c>
      <c r="K144" t="n">
        <v>0</v>
      </c>
      <c r="L144" t="n">
        <v>1</v>
      </c>
      <c r="M144" t="n">
        <v>0</v>
      </c>
      <c r="N144" t="n">
        <v>0</v>
      </c>
      <c r="O144" t="n">
        <v>1</v>
      </c>
      <c r="P144" t="n">
        <v>1</v>
      </c>
      <c r="Q144" t="n">
        <v>1</v>
      </c>
      <c r="R144" s="2" t="inlineStr">
        <is>
          <t>Nålkörvel</t>
        </is>
      </c>
      <c r="S144">
        <f>HYPERLINK("https://klasma.github.io/Logging_0980/artfynd/A 39812-2025 artfynd.xlsx", "A 39812-2025")</f>
        <v/>
      </c>
      <c r="T144">
        <f>HYPERLINK("https://klasma.github.io/Logging_0980/kartor/A 39812-2025 karta.png", "A 39812-2025")</f>
        <v/>
      </c>
      <c r="V144">
        <f>HYPERLINK("https://klasma.github.io/Logging_0980/klagomål/A 39812-2025 FSC-klagomål.docx", "A 39812-2025")</f>
        <v/>
      </c>
      <c r="W144">
        <f>HYPERLINK("https://klasma.github.io/Logging_0980/klagomålsmail/A 39812-2025 FSC-klagomål mail.docx", "A 39812-2025")</f>
        <v/>
      </c>
      <c r="X144">
        <f>HYPERLINK("https://klasma.github.io/Logging_0980/tillsyn/A 39812-2025 tillsynsbegäran.docx", "A 39812-2025")</f>
        <v/>
      </c>
      <c r="Y144">
        <f>HYPERLINK("https://klasma.github.io/Logging_0980/tillsynsmail/A 39812-2025 tillsynsbegäran mail.docx", "A 39812-2025")</f>
        <v/>
      </c>
    </row>
    <row r="145" ht="15" customHeight="1">
      <c r="A145" t="inlineStr">
        <is>
          <t>A 63299-2020</t>
        </is>
      </c>
      <c r="B145" s="1" t="n">
        <v>44165</v>
      </c>
      <c r="C145" s="1" t="n">
        <v>45930</v>
      </c>
      <c r="D145" t="inlineStr">
        <is>
          <t>GOTLANDS LÄN</t>
        </is>
      </c>
      <c r="E145" t="inlineStr">
        <is>
          <t>GOTLAND</t>
        </is>
      </c>
      <c r="G145" t="n">
        <v>12.9</v>
      </c>
      <c r="H145" t="n">
        <v>1</v>
      </c>
      <c r="I145" t="n">
        <v>0</v>
      </c>
      <c r="J145" t="n">
        <v>1</v>
      </c>
      <c r="K145" t="n">
        <v>0</v>
      </c>
      <c r="L145" t="n">
        <v>0</v>
      </c>
      <c r="M145" t="n">
        <v>0</v>
      </c>
      <c r="N145" t="n">
        <v>0</v>
      </c>
      <c r="O145" t="n">
        <v>1</v>
      </c>
      <c r="P145" t="n">
        <v>0</v>
      </c>
      <c r="Q145" t="n">
        <v>1</v>
      </c>
      <c r="R145" s="2" t="inlineStr">
        <is>
          <t>Svartfläckig blåvinge</t>
        </is>
      </c>
      <c r="S145">
        <f>HYPERLINK("https://klasma.github.io/Logging_0980/artfynd/A 63299-2020 artfynd.xlsx", "A 63299-2020")</f>
        <v/>
      </c>
      <c r="T145">
        <f>HYPERLINK("https://klasma.github.io/Logging_0980/kartor/A 63299-2020 karta.png", "A 63299-2020")</f>
        <v/>
      </c>
      <c r="V145">
        <f>HYPERLINK("https://klasma.github.io/Logging_0980/klagomål/A 63299-2020 FSC-klagomål.docx", "A 63299-2020")</f>
        <v/>
      </c>
      <c r="W145">
        <f>HYPERLINK("https://klasma.github.io/Logging_0980/klagomålsmail/A 63299-2020 FSC-klagomål mail.docx", "A 63299-2020")</f>
        <v/>
      </c>
      <c r="X145">
        <f>HYPERLINK("https://klasma.github.io/Logging_0980/tillsyn/A 63299-2020 tillsynsbegäran.docx", "A 63299-2020")</f>
        <v/>
      </c>
      <c r="Y145">
        <f>HYPERLINK("https://klasma.github.io/Logging_0980/tillsynsmail/A 63299-2020 tillsynsbegäran mail.docx", "A 63299-2020")</f>
        <v/>
      </c>
    </row>
    <row r="146" ht="15" customHeight="1">
      <c r="A146" t="inlineStr">
        <is>
          <t>A 15637-2024</t>
        </is>
      </c>
      <c r="B146" s="1" t="n">
        <v>45403.6684837963</v>
      </c>
      <c r="C146" s="1" t="n">
        <v>45930</v>
      </c>
      <c r="D146" t="inlineStr">
        <is>
          <t>GOTLANDS LÄN</t>
        </is>
      </c>
      <c r="E146" t="inlineStr">
        <is>
          <t>GOTLAND</t>
        </is>
      </c>
      <c r="G146" t="n">
        <v>4.1</v>
      </c>
      <c r="H146" t="n">
        <v>1</v>
      </c>
      <c r="I146" t="n">
        <v>0</v>
      </c>
      <c r="J146" t="n">
        <v>0</v>
      </c>
      <c r="K146" t="n">
        <v>0</v>
      </c>
      <c r="L146" t="n">
        <v>0</v>
      </c>
      <c r="M146" t="n">
        <v>0</v>
      </c>
      <c r="N146" t="n">
        <v>0</v>
      </c>
      <c r="O146" t="n">
        <v>0</v>
      </c>
      <c r="P146" t="n">
        <v>0</v>
      </c>
      <c r="Q146" t="n">
        <v>1</v>
      </c>
      <c r="R146" s="2" t="inlineStr">
        <is>
          <t>Blåsippa</t>
        </is>
      </c>
      <c r="S146">
        <f>HYPERLINK("https://klasma.github.io/Logging_0980/artfynd/A 15637-2024 artfynd.xlsx", "A 15637-2024")</f>
        <v/>
      </c>
      <c r="T146">
        <f>HYPERLINK("https://klasma.github.io/Logging_0980/kartor/A 15637-2024 karta.png", "A 15637-2024")</f>
        <v/>
      </c>
      <c r="V146">
        <f>HYPERLINK("https://klasma.github.io/Logging_0980/klagomål/A 15637-2024 FSC-klagomål.docx", "A 15637-2024")</f>
        <v/>
      </c>
      <c r="W146">
        <f>HYPERLINK("https://klasma.github.io/Logging_0980/klagomålsmail/A 15637-2024 FSC-klagomål mail.docx", "A 15637-2024")</f>
        <v/>
      </c>
      <c r="X146">
        <f>HYPERLINK("https://klasma.github.io/Logging_0980/tillsyn/A 15637-2024 tillsynsbegäran.docx", "A 15637-2024")</f>
        <v/>
      </c>
      <c r="Y146">
        <f>HYPERLINK("https://klasma.github.io/Logging_0980/tillsynsmail/A 15637-2024 tillsynsbegäran mail.docx", "A 15637-2024")</f>
        <v/>
      </c>
    </row>
    <row r="147" ht="15" customHeight="1">
      <c r="A147" t="inlineStr">
        <is>
          <t>A 27168-2022</t>
        </is>
      </c>
      <c r="B147" s="1" t="n">
        <v>44741</v>
      </c>
      <c r="C147" s="1" t="n">
        <v>45930</v>
      </c>
      <c r="D147" t="inlineStr">
        <is>
          <t>GOTLANDS LÄN</t>
        </is>
      </c>
      <c r="E147" t="inlineStr">
        <is>
          <t>GOTLAND</t>
        </is>
      </c>
      <c r="G147" t="n">
        <v>2.2</v>
      </c>
      <c r="H147" t="n">
        <v>1</v>
      </c>
      <c r="I147" t="n">
        <v>1</v>
      </c>
      <c r="J147" t="n">
        <v>0</v>
      </c>
      <c r="K147" t="n">
        <v>0</v>
      </c>
      <c r="L147" t="n">
        <v>0</v>
      </c>
      <c r="M147" t="n">
        <v>0</v>
      </c>
      <c r="N147" t="n">
        <v>0</v>
      </c>
      <c r="O147" t="n">
        <v>0</v>
      </c>
      <c r="P147" t="n">
        <v>0</v>
      </c>
      <c r="Q147" t="n">
        <v>1</v>
      </c>
      <c r="R147" s="2" t="inlineStr">
        <is>
          <t>Purpurknipprot</t>
        </is>
      </c>
      <c r="S147">
        <f>HYPERLINK("https://klasma.github.io/Logging_0980/artfynd/A 27168-2022 artfynd.xlsx", "A 27168-2022")</f>
        <v/>
      </c>
      <c r="T147">
        <f>HYPERLINK("https://klasma.github.io/Logging_0980/kartor/A 27168-2022 karta.png", "A 27168-2022")</f>
        <v/>
      </c>
      <c r="V147">
        <f>HYPERLINK("https://klasma.github.io/Logging_0980/klagomål/A 27168-2022 FSC-klagomål.docx", "A 27168-2022")</f>
        <v/>
      </c>
      <c r="W147">
        <f>HYPERLINK("https://klasma.github.io/Logging_0980/klagomålsmail/A 27168-2022 FSC-klagomål mail.docx", "A 27168-2022")</f>
        <v/>
      </c>
      <c r="X147">
        <f>HYPERLINK("https://klasma.github.io/Logging_0980/tillsyn/A 27168-2022 tillsynsbegäran.docx", "A 27168-2022")</f>
        <v/>
      </c>
      <c r="Y147">
        <f>HYPERLINK("https://klasma.github.io/Logging_0980/tillsynsmail/A 27168-2022 tillsynsbegäran mail.docx", "A 27168-2022")</f>
        <v/>
      </c>
    </row>
    <row r="148" ht="15" customHeight="1">
      <c r="A148" t="inlineStr">
        <is>
          <t>A 22782-2023</t>
        </is>
      </c>
      <c r="B148" s="1" t="n">
        <v>45072</v>
      </c>
      <c r="C148" s="1" t="n">
        <v>45930</v>
      </c>
      <c r="D148" t="inlineStr">
        <is>
          <t>GOTLANDS LÄN</t>
        </is>
      </c>
      <c r="E148" t="inlineStr">
        <is>
          <t>GOTLAND</t>
        </is>
      </c>
      <c r="F148" t="inlineStr">
        <is>
          <t>Kyrkan</t>
        </is>
      </c>
      <c r="G148" t="n">
        <v>3.1</v>
      </c>
      <c r="H148" t="n">
        <v>1</v>
      </c>
      <c r="I148" t="n">
        <v>0</v>
      </c>
      <c r="J148" t="n">
        <v>0</v>
      </c>
      <c r="K148" t="n">
        <v>0</v>
      </c>
      <c r="L148" t="n">
        <v>0</v>
      </c>
      <c r="M148" t="n">
        <v>0</v>
      </c>
      <c r="N148" t="n">
        <v>0</v>
      </c>
      <c r="O148" t="n">
        <v>0</v>
      </c>
      <c r="P148" t="n">
        <v>0</v>
      </c>
      <c r="Q148" t="n">
        <v>1</v>
      </c>
      <c r="R148" s="2" t="inlineStr">
        <is>
          <t>Ängsnycklar × skogsnycklar</t>
        </is>
      </c>
      <c r="S148">
        <f>HYPERLINK("https://klasma.github.io/Logging_0980/artfynd/A 22782-2023 artfynd.xlsx", "A 22782-2023")</f>
        <v/>
      </c>
      <c r="T148">
        <f>HYPERLINK("https://klasma.github.io/Logging_0980/kartor/A 22782-2023 karta.png", "A 22782-2023")</f>
        <v/>
      </c>
      <c r="V148">
        <f>HYPERLINK("https://klasma.github.io/Logging_0980/klagomål/A 22782-2023 FSC-klagomål.docx", "A 22782-2023")</f>
        <v/>
      </c>
      <c r="W148">
        <f>HYPERLINK("https://klasma.github.io/Logging_0980/klagomålsmail/A 22782-2023 FSC-klagomål mail.docx", "A 22782-2023")</f>
        <v/>
      </c>
      <c r="X148">
        <f>HYPERLINK("https://klasma.github.io/Logging_0980/tillsyn/A 22782-2023 tillsynsbegäran.docx", "A 22782-2023")</f>
        <v/>
      </c>
      <c r="Y148">
        <f>HYPERLINK("https://klasma.github.io/Logging_0980/tillsynsmail/A 22782-2023 tillsynsbegäran mail.docx", "A 22782-2023")</f>
        <v/>
      </c>
    </row>
    <row r="149" ht="15" customHeight="1">
      <c r="A149" t="inlineStr">
        <is>
          <t>A 25977-2024</t>
        </is>
      </c>
      <c r="B149" s="1" t="n">
        <v>45467.69356481481</v>
      </c>
      <c r="C149" s="1" t="n">
        <v>45930</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22883-2024</t>
        </is>
      </c>
      <c r="B150" s="1" t="n">
        <v>45448.66368055555</v>
      </c>
      <c r="C150" s="1" t="n">
        <v>45930</v>
      </c>
      <c r="D150" t="inlineStr">
        <is>
          <t>GOTLANDS LÄN</t>
        </is>
      </c>
      <c r="E150" t="inlineStr">
        <is>
          <t>GOTLAND</t>
        </is>
      </c>
      <c r="G150" t="n">
        <v>0.5</v>
      </c>
      <c r="H150" t="n">
        <v>0</v>
      </c>
      <c r="I150" t="n">
        <v>0</v>
      </c>
      <c r="J150" t="n">
        <v>0</v>
      </c>
      <c r="K150" t="n">
        <v>1</v>
      </c>
      <c r="L150" t="n">
        <v>0</v>
      </c>
      <c r="M150" t="n">
        <v>0</v>
      </c>
      <c r="N150" t="n">
        <v>0</v>
      </c>
      <c r="O150" t="n">
        <v>1</v>
      </c>
      <c r="P150" t="n">
        <v>1</v>
      </c>
      <c r="Q150" t="n">
        <v>1</v>
      </c>
      <c r="R150" s="2" t="inlineStr">
        <is>
          <t>Gotlandsmåra</t>
        </is>
      </c>
      <c r="S150">
        <f>HYPERLINK("https://klasma.github.io/Logging_0980/artfynd/A 22883-2024 artfynd.xlsx", "A 22883-2024")</f>
        <v/>
      </c>
      <c r="T150">
        <f>HYPERLINK("https://klasma.github.io/Logging_0980/kartor/A 22883-2024 karta.png", "A 22883-2024")</f>
        <v/>
      </c>
      <c r="V150">
        <f>HYPERLINK("https://klasma.github.io/Logging_0980/klagomål/A 22883-2024 FSC-klagomål.docx", "A 22883-2024")</f>
        <v/>
      </c>
      <c r="W150">
        <f>HYPERLINK("https://klasma.github.io/Logging_0980/klagomålsmail/A 22883-2024 FSC-klagomål mail.docx", "A 22883-2024")</f>
        <v/>
      </c>
      <c r="X150">
        <f>HYPERLINK("https://klasma.github.io/Logging_0980/tillsyn/A 22883-2024 tillsynsbegäran.docx", "A 22883-2024")</f>
        <v/>
      </c>
      <c r="Y150">
        <f>HYPERLINK("https://klasma.github.io/Logging_0980/tillsynsmail/A 22883-2024 tillsynsbegäran mail.docx", "A 22883-2024")</f>
        <v/>
      </c>
    </row>
    <row r="151" ht="15" customHeight="1">
      <c r="A151" t="inlineStr">
        <is>
          <t>A 44619-2025</t>
        </is>
      </c>
      <c r="B151" s="1" t="n">
        <v>45917</v>
      </c>
      <c r="C151" s="1" t="n">
        <v>45930</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2476-2025</t>
        </is>
      </c>
      <c r="B152" s="1" t="n">
        <v>45673</v>
      </c>
      <c r="C152" s="1" t="n">
        <v>45930</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65927-2021</t>
        </is>
      </c>
      <c r="B153" s="1" t="n">
        <v>44516</v>
      </c>
      <c r="C153" s="1" t="n">
        <v>45930</v>
      </c>
      <c r="D153" t="inlineStr">
        <is>
          <t>GOTLANDS LÄN</t>
        </is>
      </c>
      <c r="E153" t="inlineStr">
        <is>
          <t>GOTLAND</t>
        </is>
      </c>
      <c r="G153" t="n">
        <v>3.1</v>
      </c>
      <c r="H153" t="n">
        <v>1</v>
      </c>
      <c r="I153" t="n">
        <v>0</v>
      </c>
      <c r="J153" t="n">
        <v>0</v>
      </c>
      <c r="K153" t="n">
        <v>1</v>
      </c>
      <c r="L153" t="n">
        <v>0</v>
      </c>
      <c r="M153" t="n">
        <v>0</v>
      </c>
      <c r="N153" t="n">
        <v>0</v>
      </c>
      <c r="O153" t="n">
        <v>1</v>
      </c>
      <c r="P153" t="n">
        <v>1</v>
      </c>
      <c r="Q153" t="n">
        <v>1</v>
      </c>
      <c r="R153" s="2" t="inlineStr">
        <is>
          <t>Grenigt kungsljus</t>
        </is>
      </c>
      <c r="S153">
        <f>HYPERLINK("https://klasma.github.io/Logging_0980/artfynd/A 65927-2021 artfynd.xlsx", "A 65927-2021")</f>
        <v/>
      </c>
      <c r="T153">
        <f>HYPERLINK("https://klasma.github.io/Logging_0980/kartor/A 65927-2021 karta.png", "A 65927-2021")</f>
        <v/>
      </c>
      <c r="V153">
        <f>HYPERLINK("https://klasma.github.io/Logging_0980/klagomål/A 65927-2021 FSC-klagomål.docx", "A 65927-2021")</f>
        <v/>
      </c>
      <c r="W153">
        <f>HYPERLINK("https://klasma.github.io/Logging_0980/klagomålsmail/A 65927-2021 FSC-klagomål mail.docx", "A 65927-2021")</f>
        <v/>
      </c>
      <c r="X153">
        <f>HYPERLINK("https://klasma.github.io/Logging_0980/tillsyn/A 65927-2021 tillsynsbegäran.docx", "A 65927-2021")</f>
        <v/>
      </c>
      <c r="Y153">
        <f>HYPERLINK("https://klasma.github.io/Logging_0980/tillsynsmail/A 65927-2021 tillsynsbegäran mail.docx", "A 65927-2021")</f>
        <v/>
      </c>
    </row>
    <row r="154" ht="15" customHeight="1">
      <c r="A154" t="inlineStr">
        <is>
          <t>A 12924-2025</t>
        </is>
      </c>
      <c r="B154" s="1" t="n">
        <v>45734</v>
      </c>
      <c r="C154" s="1" t="n">
        <v>45930</v>
      </c>
      <c r="D154" t="inlineStr">
        <is>
          <t>GOTLANDS LÄN</t>
        </is>
      </c>
      <c r="E154" t="inlineStr">
        <is>
          <t>GOTLAND</t>
        </is>
      </c>
      <c r="G154" t="n">
        <v>11.7</v>
      </c>
      <c r="H154" t="n">
        <v>0</v>
      </c>
      <c r="I154" t="n">
        <v>0</v>
      </c>
      <c r="J154" t="n">
        <v>0</v>
      </c>
      <c r="K154" t="n">
        <v>1</v>
      </c>
      <c r="L154" t="n">
        <v>0</v>
      </c>
      <c r="M154" t="n">
        <v>0</v>
      </c>
      <c r="N154" t="n">
        <v>0</v>
      </c>
      <c r="O154" t="n">
        <v>1</v>
      </c>
      <c r="P154" t="n">
        <v>1</v>
      </c>
      <c r="Q154" t="n">
        <v>1</v>
      </c>
      <c r="R154" s="2" t="inlineStr">
        <is>
          <t>Gotlandsmåra</t>
        </is>
      </c>
      <c r="S154">
        <f>HYPERLINK("https://klasma.github.io/Logging_0980/artfynd/A 12924-2025 artfynd.xlsx", "A 12924-2025")</f>
        <v/>
      </c>
      <c r="T154">
        <f>HYPERLINK("https://klasma.github.io/Logging_0980/kartor/A 12924-2025 karta.png", "A 12924-2025")</f>
        <v/>
      </c>
      <c r="V154">
        <f>HYPERLINK("https://klasma.github.io/Logging_0980/klagomål/A 12924-2025 FSC-klagomål.docx", "A 12924-2025")</f>
        <v/>
      </c>
      <c r="W154">
        <f>HYPERLINK("https://klasma.github.io/Logging_0980/klagomålsmail/A 12924-2025 FSC-klagomål mail.docx", "A 12924-2025")</f>
        <v/>
      </c>
      <c r="X154">
        <f>HYPERLINK("https://klasma.github.io/Logging_0980/tillsyn/A 12924-2025 tillsynsbegäran.docx", "A 12924-2025")</f>
        <v/>
      </c>
      <c r="Y154">
        <f>HYPERLINK("https://klasma.github.io/Logging_0980/tillsynsmail/A 12924-2025 tillsynsbegäran mail.docx", "A 12924-2025")</f>
        <v/>
      </c>
    </row>
    <row r="155" ht="15" customHeight="1">
      <c r="A155" t="inlineStr">
        <is>
          <t>A 10995-2023</t>
        </is>
      </c>
      <c r="B155" s="1" t="n">
        <v>44986</v>
      </c>
      <c r="C155" s="1" t="n">
        <v>45930</v>
      </c>
      <c r="D155" t="inlineStr">
        <is>
          <t>GOTLANDS LÄN</t>
        </is>
      </c>
      <c r="E155" t="inlineStr">
        <is>
          <t>GOTLAND</t>
        </is>
      </c>
      <c r="G155" t="n">
        <v>2.8</v>
      </c>
      <c r="H155" t="n">
        <v>0</v>
      </c>
      <c r="I155" t="n">
        <v>0</v>
      </c>
      <c r="J155" t="n">
        <v>0</v>
      </c>
      <c r="K155" t="n">
        <v>1</v>
      </c>
      <c r="L155" t="n">
        <v>0</v>
      </c>
      <c r="M155" t="n">
        <v>0</v>
      </c>
      <c r="N155" t="n">
        <v>0</v>
      </c>
      <c r="O155" t="n">
        <v>1</v>
      </c>
      <c r="P155" t="n">
        <v>1</v>
      </c>
      <c r="Q155" t="n">
        <v>1</v>
      </c>
      <c r="R155" s="2" t="inlineStr">
        <is>
          <t>Violettfläckig spindling</t>
        </is>
      </c>
      <c r="S155">
        <f>HYPERLINK("https://klasma.github.io/Logging_0980/artfynd/A 10995-2023 artfynd.xlsx", "A 10995-2023")</f>
        <v/>
      </c>
      <c r="T155">
        <f>HYPERLINK("https://klasma.github.io/Logging_0980/kartor/A 10995-2023 karta.png", "A 10995-2023")</f>
        <v/>
      </c>
      <c r="V155">
        <f>HYPERLINK("https://klasma.github.io/Logging_0980/klagomål/A 10995-2023 FSC-klagomål.docx", "A 10995-2023")</f>
        <v/>
      </c>
      <c r="W155">
        <f>HYPERLINK("https://klasma.github.io/Logging_0980/klagomålsmail/A 10995-2023 FSC-klagomål mail.docx", "A 10995-2023")</f>
        <v/>
      </c>
      <c r="X155">
        <f>HYPERLINK("https://klasma.github.io/Logging_0980/tillsyn/A 10995-2023 tillsynsbegäran.docx", "A 10995-2023")</f>
        <v/>
      </c>
      <c r="Y155">
        <f>HYPERLINK("https://klasma.github.io/Logging_0980/tillsynsmail/A 10995-2023 tillsynsbegäran mail.docx", "A 10995-2023")</f>
        <v/>
      </c>
    </row>
    <row r="156" ht="15" customHeight="1">
      <c r="A156" t="inlineStr">
        <is>
          <t>A 61796-2022</t>
        </is>
      </c>
      <c r="B156" s="1" t="n">
        <v>44917</v>
      </c>
      <c r="C156" s="1" t="n">
        <v>45930</v>
      </c>
      <c r="D156" t="inlineStr">
        <is>
          <t>GOTLANDS LÄN</t>
        </is>
      </c>
      <c r="E156" t="inlineStr">
        <is>
          <t>GOTLAND</t>
        </is>
      </c>
      <c r="G156" t="n">
        <v>1.5</v>
      </c>
      <c r="H156" t="n">
        <v>1</v>
      </c>
      <c r="I156" t="n">
        <v>0</v>
      </c>
      <c r="J156" t="n">
        <v>0</v>
      </c>
      <c r="K156" t="n">
        <v>0</v>
      </c>
      <c r="L156" t="n">
        <v>0</v>
      </c>
      <c r="M156" t="n">
        <v>0</v>
      </c>
      <c r="N156" t="n">
        <v>0</v>
      </c>
      <c r="O156" t="n">
        <v>0</v>
      </c>
      <c r="P156" t="n">
        <v>0</v>
      </c>
      <c r="Q156" t="n">
        <v>1</v>
      </c>
      <c r="R156" s="2" t="inlineStr">
        <is>
          <t>Skogsduva</t>
        </is>
      </c>
      <c r="S156">
        <f>HYPERLINK("https://klasma.github.io/Logging_0980/artfynd/A 61796-2022 artfynd.xlsx", "A 61796-2022")</f>
        <v/>
      </c>
      <c r="T156">
        <f>HYPERLINK("https://klasma.github.io/Logging_0980/kartor/A 61796-2022 karta.png", "A 61796-2022")</f>
        <v/>
      </c>
      <c r="V156">
        <f>HYPERLINK("https://klasma.github.io/Logging_0980/klagomål/A 61796-2022 FSC-klagomål.docx", "A 61796-2022")</f>
        <v/>
      </c>
      <c r="W156">
        <f>HYPERLINK("https://klasma.github.io/Logging_0980/klagomålsmail/A 61796-2022 FSC-klagomål mail.docx", "A 61796-2022")</f>
        <v/>
      </c>
      <c r="X156">
        <f>HYPERLINK("https://klasma.github.io/Logging_0980/tillsyn/A 61796-2022 tillsynsbegäran.docx", "A 61796-2022")</f>
        <v/>
      </c>
      <c r="Y156">
        <f>HYPERLINK("https://klasma.github.io/Logging_0980/tillsynsmail/A 61796-2022 tillsynsbegäran mail.docx", "A 61796-2022")</f>
        <v/>
      </c>
      <c r="Z156">
        <f>HYPERLINK("https://klasma.github.io/Logging_0980/fåglar/A 61796-2022 prioriterade fågelarter.docx", "A 61796-2022")</f>
        <v/>
      </c>
    </row>
    <row r="157" ht="15" customHeight="1">
      <c r="A157" t="inlineStr">
        <is>
          <t>A 24245-2022</t>
        </is>
      </c>
      <c r="B157" s="1" t="n">
        <v>44725</v>
      </c>
      <c r="C157" s="1" t="n">
        <v>45930</v>
      </c>
      <c r="D157" t="inlineStr">
        <is>
          <t>GOTLANDS LÄN</t>
        </is>
      </c>
      <c r="E157" t="inlineStr">
        <is>
          <t>GOTLAND</t>
        </is>
      </c>
      <c r="G157" t="n">
        <v>4.9</v>
      </c>
      <c r="H157" t="n">
        <v>0</v>
      </c>
      <c r="I157" t="n">
        <v>0</v>
      </c>
      <c r="J157" t="n">
        <v>0</v>
      </c>
      <c r="K157" t="n">
        <v>0</v>
      </c>
      <c r="L157" t="n">
        <v>1</v>
      </c>
      <c r="M157" t="n">
        <v>0</v>
      </c>
      <c r="N157" t="n">
        <v>0</v>
      </c>
      <c r="O157" t="n">
        <v>1</v>
      </c>
      <c r="P157" t="n">
        <v>1</v>
      </c>
      <c r="Q157" t="n">
        <v>1</v>
      </c>
      <c r="R157" s="2" t="inlineStr">
        <is>
          <t>Slät taggsvamp</t>
        </is>
      </c>
      <c r="S157">
        <f>HYPERLINK("https://klasma.github.io/Logging_0980/artfynd/A 24245-2022 artfynd.xlsx", "A 24245-2022")</f>
        <v/>
      </c>
      <c r="T157">
        <f>HYPERLINK("https://klasma.github.io/Logging_0980/kartor/A 24245-2022 karta.png", "A 24245-2022")</f>
        <v/>
      </c>
      <c r="V157">
        <f>HYPERLINK("https://klasma.github.io/Logging_0980/klagomål/A 24245-2022 FSC-klagomål.docx", "A 24245-2022")</f>
        <v/>
      </c>
      <c r="W157">
        <f>HYPERLINK("https://klasma.github.io/Logging_0980/klagomålsmail/A 24245-2022 FSC-klagomål mail.docx", "A 24245-2022")</f>
        <v/>
      </c>
      <c r="X157">
        <f>HYPERLINK("https://klasma.github.io/Logging_0980/tillsyn/A 24245-2022 tillsynsbegäran.docx", "A 24245-2022")</f>
        <v/>
      </c>
      <c r="Y157">
        <f>HYPERLINK("https://klasma.github.io/Logging_0980/tillsynsmail/A 24245-2022 tillsynsbegäran mail.docx", "A 24245-2022")</f>
        <v/>
      </c>
    </row>
    <row r="158" ht="15" customHeight="1">
      <c r="A158" t="inlineStr">
        <is>
          <t>A 62552-2022</t>
        </is>
      </c>
      <c r="B158" s="1" t="n">
        <v>44924</v>
      </c>
      <c r="C158" s="1" t="n">
        <v>45930</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13939-2021</t>
        </is>
      </c>
      <c r="B159" s="1" t="n">
        <v>44277</v>
      </c>
      <c r="C159" s="1" t="n">
        <v>45930</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44088-2022</t>
        </is>
      </c>
      <c r="B160" s="1" t="n">
        <v>44839</v>
      </c>
      <c r="C160" s="1" t="n">
        <v>45930</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Strävlosta</t>
        </is>
      </c>
      <c r="S160">
        <f>HYPERLINK("https://klasma.github.io/Logging_0980/artfynd/A 44088-2022 artfynd.xlsx", "A 44088-2022")</f>
        <v/>
      </c>
      <c r="T160">
        <f>HYPERLINK("https://klasma.github.io/Logging_0980/kartor/A 44088-2022 karta.png", "A 44088-2022")</f>
        <v/>
      </c>
      <c r="V160">
        <f>HYPERLINK("https://klasma.github.io/Logging_0980/klagomål/A 44088-2022 FSC-klagomål.docx", "A 44088-2022")</f>
        <v/>
      </c>
      <c r="W160">
        <f>HYPERLINK("https://klasma.github.io/Logging_0980/klagomålsmail/A 44088-2022 FSC-klagomål mail.docx", "A 44088-2022")</f>
        <v/>
      </c>
      <c r="X160">
        <f>HYPERLINK("https://klasma.github.io/Logging_0980/tillsyn/A 44088-2022 tillsynsbegäran.docx", "A 44088-2022")</f>
        <v/>
      </c>
      <c r="Y160">
        <f>HYPERLINK("https://klasma.github.io/Logging_0980/tillsynsmail/A 44088-2022 tillsynsbegäran mail.docx", "A 44088-2022")</f>
        <v/>
      </c>
    </row>
    <row r="161" ht="15" customHeight="1">
      <c r="A161" t="inlineStr">
        <is>
          <t>A 49847-2023</t>
        </is>
      </c>
      <c r="B161" s="1" t="n">
        <v>45212</v>
      </c>
      <c r="C161" s="1" t="n">
        <v>45930</v>
      </c>
      <c r="D161" t="inlineStr">
        <is>
          <t>GOTLANDS LÄN</t>
        </is>
      </c>
      <c r="E161" t="inlineStr">
        <is>
          <t>GOTLAND</t>
        </is>
      </c>
      <c r="G161" t="n">
        <v>35.2</v>
      </c>
      <c r="H161" t="n">
        <v>0</v>
      </c>
      <c r="I161" t="n">
        <v>0</v>
      </c>
      <c r="J161" t="n">
        <v>0</v>
      </c>
      <c r="K161" t="n">
        <v>1</v>
      </c>
      <c r="L161" t="n">
        <v>0</v>
      </c>
      <c r="M161" t="n">
        <v>0</v>
      </c>
      <c r="N161" t="n">
        <v>0</v>
      </c>
      <c r="O161" t="n">
        <v>1</v>
      </c>
      <c r="P161" t="n">
        <v>1</v>
      </c>
      <c r="Q161" t="n">
        <v>1</v>
      </c>
      <c r="R161" s="2" t="inlineStr">
        <is>
          <t>Strandviol</t>
        </is>
      </c>
      <c r="S161">
        <f>HYPERLINK("https://klasma.github.io/Logging_0980/artfynd/A 49847-2023 artfynd.xlsx", "A 49847-2023")</f>
        <v/>
      </c>
      <c r="T161">
        <f>HYPERLINK("https://klasma.github.io/Logging_0980/kartor/A 49847-2023 karta.png", "A 49847-2023")</f>
        <v/>
      </c>
      <c r="V161">
        <f>HYPERLINK("https://klasma.github.io/Logging_0980/klagomål/A 49847-2023 FSC-klagomål.docx", "A 49847-2023")</f>
        <v/>
      </c>
      <c r="W161">
        <f>HYPERLINK("https://klasma.github.io/Logging_0980/klagomålsmail/A 49847-2023 FSC-klagomål mail.docx", "A 49847-2023")</f>
        <v/>
      </c>
      <c r="X161">
        <f>HYPERLINK("https://klasma.github.io/Logging_0980/tillsyn/A 49847-2023 tillsynsbegäran.docx", "A 49847-2023")</f>
        <v/>
      </c>
      <c r="Y161">
        <f>HYPERLINK("https://klasma.github.io/Logging_0980/tillsynsmail/A 49847-2023 tillsynsbegäran mail.docx", "A 49847-2023")</f>
        <v/>
      </c>
    </row>
    <row r="162" ht="15" customHeight="1">
      <c r="A162" t="inlineStr">
        <is>
          <t>A 46527-2023</t>
        </is>
      </c>
      <c r="B162" s="1" t="n">
        <v>45197</v>
      </c>
      <c r="C162" s="1" t="n">
        <v>45930</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44308-2021</t>
        </is>
      </c>
      <c r="B163" s="1" t="n">
        <v>44434</v>
      </c>
      <c r="C163" s="1" t="n">
        <v>45930</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12324-2025</t>
        </is>
      </c>
      <c r="B164" s="1" t="n">
        <v>45730</v>
      </c>
      <c r="C164" s="1" t="n">
        <v>45930</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447-2023</t>
        </is>
      </c>
      <c r="B165" s="1" t="n">
        <v>44929</v>
      </c>
      <c r="C165" s="1" t="n">
        <v>45930</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37591-2023</t>
        </is>
      </c>
      <c r="B166" s="1" t="n">
        <v>45159</v>
      </c>
      <c r="C166" s="1" t="n">
        <v>45930</v>
      </c>
      <c r="D166" t="inlineStr">
        <is>
          <t>GOTLANDS LÄN</t>
        </is>
      </c>
      <c r="E166" t="inlineStr">
        <is>
          <t>GOTLAND</t>
        </is>
      </c>
      <c r="G166" t="n">
        <v>8.300000000000001</v>
      </c>
      <c r="H166" t="n">
        <v>0</v>
      </c>
      <c r="I166" t="n">
        <v>0</v>
      </c>
      <c r="J166" t="n">
        <v>1</v>
      </c>
      <c r="K166" t="n">
        <v>0</v>
      </c>
      <c r="L166" t="n">
        <v>0</v>
      </c>
      <c r="M166" t="n">
        <v>0</v>
      </c>
      <c r="N166" t="n">
        <v>0</v>
      </c>
      <c r="O166" t="n">
        <v>1</v>
      </c>
      <c r="P166" t="n">
        <v>0</v>
      </c>
      <c r="Q166" t="n">
        <v>1</v>
      </c>
      <c r="R166" s="2" t="inlineStr">
        <is>
          <t>Ängsstarr</t>
        </is>
      </c>
      <c r="S166">
        <f>HYPERLINK("https://klasma.github.io/Logging_0980/artfynd/A 37591-2023 artfynd.xlsx", "A 37591-2023")</f>
        <v/>
      </c>
      <c r="T166">
        <f>HYPERLINK("https://klasma.github.io/Logging_0980/kartor/A 37591-2023 karta.png", "A 37591-2023")</f>
        <v/>
      </c>
      <c r="V166">
        <f>HYPERLINK("https://klasma.github.io/Logging_0980/klagomål/A 37591-2023 FSC-klagomål.docx", "A 37591-2023")</f>
        <v/>
      </c>
      <c r="W166">
        <f>HYPERLINK("https://klasma.github.io/Logging_0980/klagomålsmail/A 37591-2023 FSC-klagomål mail.docx", "A 37591-2023")</f>
        <v/>
      </c>
      <c r="X166">
        <f>HYPERLINK("https://klasma.github.io/Logging_0980/tillsyn/A 37591-2023 tillsynsbegäran.docx", "A 37591-2023")</f>
        <v/>
      </c>
      <c r="Y166">
        <f>HYPERLINK("https://klasma.github.io/Logging_0980/tillsynsmail/A 37591-2023 tillsynsbegäran mail.docx", "A 37591-2023")</f>
        <v/>
      </c>
    </row>
    <row r="167" ht="15" customHeight="1">
      <c r="A167" t="inlineStr">
        <is>
          <t>A 21466-2025</t>
        </is>
      </c>
      <c r="B167" s="1" t="n">
        <v>45782</v>
      </c>
      <c r="C167" s="1" t="n">
        <v>45930</v>
      </c>
      <c r="D167" t="inlineStr">
        <is>
          <t>GOTLANDS LÄN</t>
        </is>
      </c>
      <c r="E167" t="inlineStr">
        <is>
          <t>GOTLAND</t>
        </is>
      </c>
      <c r="F167" t="inlineStr">
        <is>
          <t>Övriga statliga verk och myndigheter</t>
        </is>
      </c>
      <c r="G167" t="n">
        <v>1.7</v>
      </c>
      <c r="H167" t="n">
        <v>1</v>
      </c>
      <c r="I167" t="n">
        <v>0</v>
      </c>
      <c r="J167" t="n">
        <v>0</v>
      </c>
      <c r="K167" t="n">
        <v>0</v>
      </c>
      <c r="L167" t="n">
        <v>0</v>
      </c>
      <c r="M167" t="n">
        <v>0</v>
      </c>
      <c r="N167" t="n">
        <v>0</v>
      </c>
      <c r="O167" t="n">
        <v>0</v>
      </c>
      <c r="P167" t="n">
        <v>0</v>
      </c>
      <c r="Q167" t="n">
        <v>1</v>
      </c>
      <c r="R167" s="2" t="inlineStr">
        <is>
          <t>Blåsippa</t>
        </is>
      </c>
      <c r="S167">
        <f>HYPERLINK("https://klasma.github.io/Logging_0980/artfynd/A 21466-2025 artfynd.xlsx", "A 21466-2025")</f>
        <v/>
      </c>
      <c r="T167">
        <f>HYPERLINK("https://klasma.github.io/Logging_0980/kartor/A 21466-2025 karta.png", "A 21466-2025")</f>
        <v/>
      </c>
      <c r="V167">
        <f>HYPERLINK("https://klasma.github.io/Logging_0980/klagomål/A 21466-2025 FSC-klagomål.docx", "A 21466-2025")</f>
        <v/>
      </c>
      <c r="W167">
        <f>HYPERLINK("https://klasma.github.io/Logging_0980/klagomålsmail/A 21466-2025 FSC-klagomål mail.docx", "A 21466-2025")</f>
        <v/>
      </c>
      <c r="X167">
        <f>HYPERLINK("https://klasma.github.io/Logging_0980/tillsyn/A 21466-2025 tillsynsbegäran.docx", "A 21466-2025")</f>
        <v/>
      </c>
      <c r="Y167">
        <f>HYPERLINK("https://klasma.github.io/Logging_0980/tillsynsmail/A 21466-2025 tillsynsbegäran mail.docx", "A 21466-2025")</f>
        <v/>
      </c>
    </row>
    <row r="168" ht="15" customHeight="1">
      <c r="A168" t="inlineStr">
        <is>
          <t>A 947-2023</t>
        </is>
      </c>
      <c r="B168" s="1" t="n">
        <v>44934</v>
      </c>
      <c r="C168" s="1" t="n">
        <v>45930</v>
      </c>
      <c r="D168" t="inlineStr">
        <is>
          <t>GOTLANDS LÄN</t>
        </is>
      </c>
      <c r="E168" t="inlineStr">
        <is>
          <t>GOTLAND</t>
        </is>
      </c>
      <c r="G168" t="n">
        <v>0.7</v>
      </c>
      <c r="H168" t="n">
        <v>1</v>
      </c>
      <c r="I168" t="n">
        <v>0</v>
      </c>
      <c r="J168" t="n">
        <v>0</v>
      </c>
      <c r="K168" t="n">
        <v>1</v>
      </c>
      <c r="L168" t="n">
        <v>0</v>
      </c>
      <c r="M168" t="n">
        <v>0</v>
      </c>
      <c r="N168" t="n">
        <v>0</v>
      </c>
      <c r="O168" t="n">
        <v>1</v>
      </c>
      <c r="P168" t="n">
        <v>1</v>
      </c>
      <c r="Q168" t="n">
        <v>1</v>
      </c>
      <c r="R168" s="2" t="inlineStr">
        <is>
          <t>Garderönn</t>
        </is>
      </c>
      <c r="S168">
        <f>HYPERLINK("https://klasma.github.io/Logging_0980/artfynd/A 947-2023 artfynd.xlsx", "A 947-2023")</f>
        <v/>
      </c>
      <c r="T168">
        <f>HYPERLINK("https://klasma.github.io/Logging_0980/kartor/A 947-2023 karta.png", "A 947-2023")</f>
        <v/>
      </c>
      <c r="V168">
        <f>HYPERLINK("https://klasma.github.io/Logging_0980/klagomål/A 947-2023 FSC-klagomål.docx", "A 947-2023")</f>
        <v/>
      </c>
      <c r="W168">
        <f>HYPERLINK("https://klasma.github.io/Logging_0980/klagomålsmail/A 947-2023 FSC-klagomål mail.docx", "A 947-2023")</f>
        <v/>
      </c>
      <c r="X168">
        <f>HYPERLINK("https://klasma.github.io/Logging_0980/tillsyn/A 947-2023 tillsynsbegäran.docx", "A 947-2023")</f>
        <v/>
      </c>
      <c r="Y168">
        <f>HYPERLINK("https://klasma.github.io/Logging_0980/tillsynsmail/A 947-2023 tillsynsbegäran mail.docx", "A 947-2023")</f>
        <v/>
      </c>
    </row>
    <row r="169" ht="15" customHeight="1">
      <c r="A169" t="inlineStr">
        <is>
          <t>A 49304-2024</t>
        </is>
      </c>
      <c r="B169" s="1" t="n">
        <v>45595.54996527778</v>
      </c>
      <c r="C169" s="1" t="n">
        <v>45930</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45930</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10440-2024</t>
        </is>
      </c>
      <c r="B171" s="1" t="n">
        <v>45366.32818287037</v>
      </c>
      <c r="C171" s="1" t="n">
        <v>45930</v>
      </c>
      <c r="D171" t="inlineStr">
        <is>
          <t>GOTLANDS LÄN</t>
        </is>
      </c>
      <c r="E171" t="inlineStr">
        <is>
          <t>GOTLAND</t>
        </is>
      </c>
      <c r="G171" t="n">
        <v>2.5</v>
      </c>
      <c r="H171" t="n">
        <v>1</v>
      </c>
      <c r="I171" t="n">
        <v>0</v>
      </c>
      <c r="J171" t="n">
        <v>1</v>
      </c>
      <c r="K171" t="n">
        <v>0</v>
      </c>
      <c r="L171" t="n">
        <v>0</v>
      </c>
      <c r="M171" t="n">
        <v>0</v>
      </c>
      <c r="N171" t="n">
        <v>0</v>
      </c>
      <c r="O171" t="n">
        <v>1</v>
      </c>
      <c r="P171" t="n">
        <v>0</v>
      </c>
      <c r="Q171" t="n">
        <v>1</v>
      </c>
      <c r="R171" s="2" t="inlineStr">
        <is>
          <t>Mindre hackspett</t>
        </is>
      </c>
      <c r="S171">
        <f>HYPERLINK("https://klasma.github.io/Logging_0980/artfynd/A 10440-2024 artfynd.xlsx", "A 10440-2024")</f>
        <v/>
      </c>
      <c r="T171">
        <f>HYPERLINK("https://klasma.github.io/Logging_0980/kartor/A 10440-2024 karta.png", "A 10440-2024")</f>
        <v/>
      </c>
      <c r="V171">
        <f>HYPERLINK("https://klasma.github.io/Logging_0980/klagomål/A 10440-2024 FSC-klagomål.docx", "A 10440-2024")</f>
        <v/>
      </c>
      <c r="W171">
        <f>HYPERLINK("https://klasma.github.io/Logging_0980/klagomålsmail/A 10440-2024 FSC-klagomål mail.docx", "A 10440-2024")</f>
        <v/>
      </c>
      <c r="X171">
        <f>HYPERLINK("https://klasma.github.io/Logging_0980/tillsyn/A 10440-2024 tillsynsbegäran.docx", "A 10440-2024")</f>
        <v/>
      </c>
      <c r="Y171">
        <f>HYPERLINK("https://klasma.github.io/Logging_0980/tillsynsmail/A 10440-2024 tillsynsbegäran mail.docx", "A 10440-2024")</f>
        <v/>
      </c>
      <c r="Z171">
        <f>HYPERLINK("https://klasma.github.io/Logging_0980/fåglar/A 10440-2024 prioriterade fågelarter.docx", "A 10440-2024")</f>
        <v/>
      </c>
    </row>
    <row r="172" ht="15" customHeight="1">
      <c r="A172" t="inlineStr">
        <is>
          <t>A 64700-2021</t>
        </is>
      </c>
      <c r="B172" s="1" t="n">
        <v>44511</v>
      </c>
      <c r="C172" s="1" t="n">
        <v>45930</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14915-2025</t>
        </is>
      </c>
      <c r="B173" s="1" t="n">
        <v>45743.53121527778</v>
      </c>
      <c r="C173" s="1" t="n">
        <v>45930</v>
      </c>
      <c r="D173" t="inlineStr">
        <is>
          <t>GOTLANDS LÄN</t>
        </is>
      </c>
      <c r="E173" t="inlineStr">
        <is>
          <t>GOTLAND</t>
        </is>
      </c>
      <c r="G173" t="n">
        <v>5.9</v>
      </c>
      <c r="H173" t="n">
        <v>0</v>
      </c>
      <c r="I173" t="n">
        <v>0</v>
      </c>
      <c r="J173" t="n">
        <v>1</v>
      </c>
      <c r="K173" t="n">
        <v>0</v>
      </c>
      <c r="L173" t="n">
        <v>0</v>
      </c>
      <c r="M173" t="n">
        <v>0</v>
      </c>
      <c r="N173" t="n">
        <v>0</v>
      </c>
      <c r="O173" t="n">
        <v>1</v>
      </c>
      <c r="P173" t="n">
        <v>0</v>
      </c>
      <c r="Q173" t="n">
        <v>1</v>
      </c>
      <c r="R173" s="2" t="inlineStr">
        <is>
          <t>Igelkott</t>
        </is>
      </c>
      <c r="S173">
        <f>HYPERLINK("https://klasma.github.io/Logging_0980/artfynd/A 14915-2025 artfynd.xlsx", "A 14915-2025")</f>
        <v/>
      </c>
      <c r="T173">
        <f>HYPERLINK("https://klasma.github.io/Logging_0980/kartor/A 14915-2025 karta.png", "A 14915-2025")</f>
        <v/>
      </c>
      <c r="V173">
        <f>HYPERLINK("https://klasma.github.io/Logging_0980/klagomål/A 14915-2025 FSC-klagomål.docx", "A 14915-2025")</f>
        <v/>
      </c>
      <c r="W173">
        <f>HYPERLINK("https://klasma.github.io/Logging_0980/klagomålsmail/A 14915-2025 FSC-klagomål mail.docx", "A 14915-2025")</f>
        <v/>
      </c>
      <c r="X173">
        <f>HYPERLINK("https://klasma.github.io/Logging_0980/tillsyn/A 14915-2025 tillsynsbegäran.docx", "A 14915-2025")</f>
        <v/>
      </c>
      <c r="Y173">
        <f>HYPERLINK("https://klasma.github.io/Logging_0980/tillsynsmail/A 14915-2025 tillsynsbegäran mail.docx", "A 14915-2025")</f>
        <v/>
      </c>
    </row>
    <row r="174" ht="15" customHeight="1">
      <c r="A174" t="inlineStr">
        <is>
          <t>A 27589-2023</t>
        </is>
      </c>
      <c r="B174" s="1" t="n">
        <v>45097</v>
      </c>
      <c r="C174" s="1" t="n">
        <v>45930</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45930</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45930</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45930</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26461-2025</t>
        </is>
      </c>
      <c r="B178" s="1" t="n">
        <v>45807.43337962963</v>
      </c>
      <c r="C178" s="1" t="n">
        <v>45930</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34142-2024</t>
        </is>
      </c>
      <c r="B179" s="1" t="n">
        <v>45524.36521990741</v>
      </c>
      <c r="C179" s="1" t="n">
        <v>45930</v>
      </c>
      <c r="D179" t="inlineStr">
        <is>
          <t>GOTLANDS LÄN</t>
        </is>
      </c>
      <c r="E179" t="inlineStr">
        <is>
          <t>GOTLAND</t>
        </is>
      </c>
      <c r="G179" t="n">
        <v>6</v>
      </c>
      <c r="H179" t="n">
        <v>0</v>
      </c>
      <c r="I179" t="n">
        <v>0</v>
      </c>
      <c r="J179" t="n">
        <v>1</v>
      </c>
      <c r="K179" t="n">
        <v>0</v>
      </c>
      <c r="L179" t="n">
        <v>0</v>
      </c>
      <c r="M179" t="n">
        <v>0</v>
      </c>
      <c r="N179" t="n">
        <v>0</v>
      </c>
      <c r="O179" t="n">
        <v>1</v>
      </c>
      <c r="P179" t="n">
        <v>0</v>
      </c>
      <c r="Q179" t="n">
        <v>1</v>
      </c>
      <c r="R179" s="2" t="inlineStr">
        <is>
          <t>Igelkott</t>
        </is>
      </c>
      <c r="S179">
        <f>HYPERLINK("https://klasma.github.io/Logging_0980/artfynd/A 34142-2024 artfynd.xlsx", "A 34142-2024")</f>
        <v/>
      </c>
      <c r="T179">
        <f>HYPERLINK("https://klasma.github.io/Logging_0980/kartor/A 34142-2024 karta.png", "A 34142-2024")</f>
        <v/>
      </c>
      <c r="V179">
        <f>HYPERLINK("https://klasma.github.io/Logging_0980/klagomål/A 34142-2024 FSC-klagomål.docx", "A 34142-2024")</f>
        <v/>
      </c>
      <c r="W179">
        <f>HYPERLINK("https://klasma.github.io/Logging_0980/klagomålsmail/A 34142-2024 FSC-klagomål mail.docx", "A 34142-2024")</f>
        <v/>
      </c>
      <c r="X179">
        <f>HYPERLINK("https://klasma.github.io/Logging_0980/tillsyn/A 34142-2024 tillsynsbegäran.docx", "A 34142-2024")</f>
        <v/>
      </c>
      <c r="Y179">
        <f>HYPERLINK("https://klasma.github.io/Logging_0980/tillsynsmail/A 34142-2024 tillsynsbegäran mail.docx", "A 34142-2024")</f>
        <v/>
      </c>
    </row>
    <row r="180" ht="15" customHeight="1">
      <c r="A180" t="inlineStr">
        <is>
          <t>A 6303-2024</t>
        </is>
      </c>
      <c r="B180" s="1" t="n">
        <v>45338.35376157407</v>
      </c>
      <c r="C180" s="1" t="n">
        <v>45930</v>
      </c>
      <c r="D180" t="inlineStr">
        <is>
          <t>GOTLANDS LÄN</t>
        </is>
      </c>
      <c r="E180" t="inlineStr">
        <is>
          <t>GOTLAND</t>
        </is>
      </c>
      <c r="G180" t="n">
        <v>0.6</v>
      </c>
      <c r="H180" t="n">
        <v>0</v>
      </c>
      <c r="I180" t="n">
        <v>1</v>
      </c>
      <c r="J180" t="n">
        <v>0</v>
      </c>
      <c r="K180" t="n">
        <v>0</v>
      </c>
      <c r="L180" t="n">
        <v>0</v>
      </c>
      <c r="M180" t="n">
        <v>0</v>
      </c>
      <c r="N180" t="n">
        <v>0</v>
      </c>
      <c r="O180" t="n">
        <v>0</v>
      </c>
      <c r="P180" t="n">
        <v>0</v>
      </c>
      <c r="Q180" t="n">
        <v>1</v>
      </c>
      <c r="R180" s="2" t="inlineStr">
        <is>
          <t>Strävlosta</t>
        </is>
      </c>
      <c r="S180">
        <f>HYPERLINK("https://klasma.github.io/Logging_0980/artfynd/A 6303-2024 artfynd.xlsx", "A 6303-2024")</f>
        <v/>
      </c>
      <c r="T180">
        <f>HYPERLINK("https://klasma.github.io/Logging_0980/kartor/A 6303-2024 karta.png", "A 6303-2024")</f>
        <v/>
      </c>
      <c r="V180">
        <f>HYPERLINK("https://klasma.github.io/Logging_0980/klagomål/A 6303-2024 FSC-klagomål.docx", "A 6303-2024")</f>
        <v/>
      </c>
      <c r="W180">
        <f>HYPERLINK("https://klasma.github.io/Logging_0980/klagomålsmail/A 6303-2024 FSC-klagomål mail.docx", "A 6303-2024")</f>
        <v/>
      </c>
      <c r="X180">
        <f>HYPERLINK("https://klasma.github.io/Logging_0980/tillsyn/A 6303-2024 tillsynsbegäran.docx", "A 6303-2024")</f>
        <v/>
      </c>
      <c r="Y180">
        <f>HYPERLINK("https://klasma.github.io/Logging_0980/tillsynsmail/A 6303-2024 tillsynsbegäran mail.docx", "A 6303-2024")</f>
        <v/>
      </c>
    </row>
    <row r="181" ht="15" customHeight="1">
      <c r="A181" t="inlineStr">
        <is>
          <t>A 34141-2024</t>
        </is>
      </c>
      <c r="B181" s="1" t="n">
        <v>45524.36229166666</v>
      </c>
      <c r="C181" s="1" t="n">
        <v>45930</v>
      </c>
      <c r="D181" t="inlineStr">
        <is>
          <t>GOTLANDS LÄN</t>
        </is>
      </c>
      <c r="E181" t="inlineStr">
        <is>
          <t>GOTLAND</t>
        </is>
      </c>
      <c r="G181" t="n">
        <v>0.9</v>
      </c>
      <c r="H181" t="n">
        <v>0</v>
      </c>
      <c r="I181" t="n">
        <v>1</v>
      </c>
      <c r="J181" t="n">
        <v>0</v>
      </c>
      <c r="K181" t="n">
        <v>0</v>
      </c>
      <c r="L181" t="n">
        <v>0</v>
      </c>
      <c r="M181" t="n">
        <v>0</v>
      </c>
      <c r="N181" t="n">
        <v>0</v>
      </c>
      <c r="O181" t="n">
        <v>0</v>
      </c>
      <c r="P181" t="n">
        <v>0</v>
      </c>
      <c r="Q181" t="n">
        <v>1</v>
      </c>
      <c r="R181" s="2" t="inlineStr">
        <is>
          <t>Strävlosta</t>
        </is>
      </c>
      <c r="S181">
        <f>HYPERLINK("https://klasma.github.io/Logging_0980/artfynd/A 34141-2024 artfynd.xlsx", "A 34141-2024")</f>
        <v/>
      </c>
      <c r="T181">
        <f>HYPERLINK("https://klasma.github.io/Logging_0980/kartor/A 34141-2024 karta.png", "A 34141-2024")</f>
        <v/>
      </c>
      <c r="V181">
        <f>HYPERLINK("https://klasma.github.io/Logging_0980/klagomål/A 34141-2024 FSC-klagomål.docx", "A 34141-2024")</f>
        <v/>
      </c>
      <c r="W181">
        <f>HYPERLINK("https://klasma.github.io/Logging_0980/klagomålsmail/A 34141-2024 FSC-klagomål mail.docx", "A 34141-2024")</f>
        <v/>
      </c>
      <c r="X181">
        <f>HYPERLINK("https://klasma.github.io/Logging_0980/tillsyn/A 34141-2024 tillsynsbegäran.docx", "A 34141-2024")</f>
        <v/>
      </c>
      <c r="Y181">
        <f>HYPERLINK("https://klasma.github.io/Logging_0980/tillsynsmail/A 34141-2024 tillsynsbegäran mail.docx", "A 34141-2024")</f>
        <v/>
      </c>
    </row>
    <row r="182" ht="15" customHeight="1">
      <c r="A182" t="inlineStr">
        <is>
          <t>A 9862-2024</t>
        </is>
      </c>
      <c r="B182" s="1" t="n">
        <v>45363</v>
      </c>
      <c r="C182" s="1" t="n">
        <v>45930</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34809-2024</t>
        </is>
      </c>
      <c r="B183" s="1" t="n">
        <v>45526</v>
      </c>
      <c r="C183" s="1" t="n">
        <v>45930</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61561-2023</t>
        </is>
      </c>
      <c r="B184" s="1" t="n">
        <v>45265</v>
      </c>
      <c r="C184" s="1" t="n">
        <v>45930</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8725-2025</t>
        </is>
      </c>
      <c r="B185" s="1" t="n">
        <v>45712</v>
      </c>
      <c r="C185" s="1" t="n">
        <v>45930</v>
      </c>
      <c r="D185" t="inlineStr">
        <is>
          <t>GOTLANDS LÄN</t>
        </is>
      </c>
      <c r="E185" t="inlineStr">
        <is>
          <t>GOTLAND</t>
        </is>
      </c>
      <c r="G185" t="n">
        <v>4.4</v>
      </c>
      <c r="H185" t="n">
        <v>1</v>
      </c>
      <c r="I185" t="n">
        <v>0</v>
      </c>
      <c r="J185" t="n">
        <v>1</v>
      </c>
      <c r="K185" t="n">
        <v>0</v>
      </c>
      <c r="L185" t="n">
        <v>0</v>
      </c>
      <c r="M185" t="n">
        <v>0</v>
      </c>
      <c r="N185" t="n">
        <v>0</v>
      </c>
      <c r="O185" t="n">
        <v>1</v>
      </c>
      <c r="P185" t="n">
        <v>0</v>
      </c>
      <c r="Q185" t="n">
        <v>1</v>
      </c>
      <c r="R185" s="2" t="inlineStr">
        <is>
          <t>Spillkråka</t>
        </is>
      </c>
      <c r="S185">
        <f>HYPERLINK("https://klasma.github.io/Logging_0980/artfynd/A 8725-2025 artfynd.xlsx", "A 8725-2025")</f>
        <v/>
      </c>
      <c r="T185">
        <f>HYPERLINK("https://klasma.github.io/Logging_0980/kartor/A 8725-2025 karta.png", "A 8725-2025")</f>
        <v/>
      </c>
      <c r="V185">
        <f>HYPERLINK("https://klasma.github.io/Logging_0980/klagomål/A 8725-2025 FSC-klagomål.docx", "A 8725-2025")</f>
        <v/>
      </c>
      <c r="W185">
        <f>HYPERLINK("https://klasma.github.io/Logging_0980/klagomålsmail/A 8725-2025 FSC-klagomål mail.docx", "A 8725-2025")</f>
        <v/>
      </c>
      <c r="X185">
        <f>HYPERLINK("https://klasma.github.io/Logging_0980/tillsyn/A 8725-2025 tillsynsbegäran.docx", "A 8725-2025")</f>
        <v/>
      </c>
      <c r="Y185">
        <f>HYPERLINK("https://klasma.github.io/Logging_0980/tillsynsmail/A 8725-2025 tillsynsbegäran mail.docx", "A 8725-2025")</f>
        <v/>
      </c>
      <c r="Z185">
        <f>HYPERLINK("https://klasma.github.io/Logging_0980/fåglar/A 8725-2025 prioriterade fågelarter.docx", "A 8725-2025")</f>
        <v/>
      </c>
    </row>
    <row r="186" ht="15" customHeight="1">
      <c r="A186" t="inlineStr">
        <is>
          <t>A 19901-2021</t>
        </is>
      </c>
      <c r="B186" s="1" t="n">
        <v>44312</v>
      </c>
      <c r="C186" s="1" t="n">
        <v>45930</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18038-2021</t>
        </is>
      </c>
      <c r="B187" s="1" t="n">
        <v>44302</v>
      </c>
      <c r="C187" s="1" t="n">
        <v>45930</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45930</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45930</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45930</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59052-2020</t>
        </is>
      </c>
      <c r="B191" s="1" t="n">
        <v>44147</v>
      </c>
      <c r="C191" s="1" t="n">
        <v>45930</v>
      </c>
      <c r="D191" t="inlineStr">
        <is>
          <t>GOTLANDS LÄN</t>
        </is>
      </c>
      <c r="E191" t="inlineStr">
        <is>
          <t>GOTLAND</t>
        </is>
      </c>
      <c r="G191" t="n">
        <v>3.4</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45930</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45930</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45930</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45930</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53665-2020</t>
        </is>
      </c>
      <c r="B196" s="1" t="n">
        <v>44124.55001157407</v>
      </c>
      <c r="C196" s="1" t="n">
        <v>45930</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45930</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45930</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45930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45930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45930</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45930</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45930</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45930</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45930</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45930</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45930</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45930</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45930</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45930</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45930</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45930</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45930</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45930</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45930</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45930</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45930</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45930</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45930</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45930</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45930</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45930</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45930</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45930</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45930</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45930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45930</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71010-2021</t>
        </is>
      </c>
      <c r="B228" s="1" t="n">
        <v>44538.63775462963</v>
      </c>
      <c r="C228" s="1" t="n">
        <v>45930</v>
      </c>
      <c r="D228" t="inlineStr">
        <is>
          <t>GOTLANDS LÄN</t>
        </is>
      </c>
      <c r="E228" t="inlineStr">
        <is>
          <t>GOTLAND</t>
        </is>
      </c>
      <c r="G228" t="n">
        <v>0.5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45930</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64380-2020</t>
        </is>
      </c>
      <c r="B230" s="1" t="n">
        <v>44168.60128472222</v>
      </c>
      <c r="C230" s="1" t="n">
        <v>45930</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45930</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45930</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45930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45930</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22495-2022</t>
        </is>
      </c>
      <c r="B235" s="1" t="n">
        <v>44713.6452199074</v>
      </c>
      <c r="C235" s="1" t="n">
        <v>45930</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45930</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45930</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45930</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37037-2021</t>
        </is>
      </c>
      <c r="B239" s="1" t="n">
        <v>44393.84688657407</v>
      </c>
      <c r="C239" s="1" t="n">
        <v>45930</v>
      </c>
      <c r="D239" t="inlineStr">
        <is>
          <t>GOTLANDS LÄN</t>
        </is>
      </c>
      <c r="E239" t="inlineStr">
        <is>
          <t>GOTLAND</t>
        </is>
      </c>
      <c r="G239" t="n">
        <v>10.2</v>
      </c>
      <c r="H239" t="n">
        <v>0</v>
      </c>
      <c r="I239" t="n">
        <v>0</v>
      </c>
      <c r="J239" t="n">
        <v>0</v>
      </c>
      <c r="K239" t="n">
        <v>0</v>
      </c>
      <c r="L239" t="n">
        <v>0</v>
      </c>
      <c r="M239" t="n">
        <v>0</v>
      </c>
      <c r="N239" t="n">
        <v>0</v>
      </c>
      <c r="O239" t="n">
        <v>0</v>
      </c>
      <c r="P239" t="n">
        <v>0</v>
      </c>
      <c r="Q239" t="n">
        <v>0</v>
      </c>
      <c r="R239" s="2" t="inlineStr"/>
    </row>
    <row r="240" ht="15" customHeight="1">
      <c r="A240" t="inlineStr">
        <is>
          <t>A 32330-2024</t>
        </is>
      </c>
      <c r="B240" s="1" t="n">
        <v>45512</v>
      </c>
      <c r="C240" s="1" t="n">
        <v>45930</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9613-2025</t>
        </is>
      </c>
      <c r="B241" s="1" t="n">
        <v>45715</v>
      </c>
      <c r="C241" s="1" t="n">
        <v>45930</v>
      </c>
      <c r="D241" t="inlineStr">
        <is>
          <t>GOTLANDS LÄN</t>
        </is>
      </c>
      <c r="E241" t="inlineStr">
        <is>
          <t>GOTLAND</t>
        </is>
      </c>
      <c r="G241" t="n">
        <v>3.5</v>
      </c>
      <c r="H241" t="n">
        <v>0</v>
      </c>
      <c r="I241" t="n">
        <v>0</v>
      </c>
      <c r="J241" t="n">
        <v>0</v>
      </c>
      <c r="K241" t="n">
        <v>0</v>
      </c>
      <c r="L241" t="n">
        <v>0</v>
      </c>
      <c r="M241" t="n">
        <v>0</v>
      </c>
      <c r="N241" t="n">
        <v>0</v>
      </c>
      <c r="O241" t="n">
        <v>0</v>
      </c>
      <c r="P241" t="n">
        <v>0</v>
      </c>
      <c r="Q241" t="n">
        <v>0</v>
      </c>
      <c r="R241" s="2" t="inlineStr"/>
    </row>
    <row r="242" ht="15" customHeight="1">
      <c r="A242" t="inlineStr">
        <is>
          <t>A 14413-2022</t>
        </is>
      </c>
      <c r="B242" s="1" t="n">
        <v>44652</v>
      </c>
      <c r="C242" s="1" t="n">
        <v>45930</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15595-2024</t>
        </is>
      </c>
      <c r="B243" s="1" t="n">
        <v>45401.81480324074</v>
      </c>
      <c r="C243" s="1" t="n">
        <v>45930</v>
      </c>
      <c r="D243" t="inlineStr">
        <is>
          <t>GOTLANDS LÄN</t>
        </is>
      </c>
      <c r="E243" t="inlineStr">
        <is>
          <t>GOTLAND</t>
        </is>
      </c>
      <c r="G243" t="n">
        <v>6.4</v>
      </c>
      <c r="H243" t="n">
        <v>0</v>
      </c>
      <c r="I243" t="n">
        <v>0</v>
      </c>
      <c r="J243" t="n">
        <v>0</v>
      </c>
      <c r="K243" t="n">
        <v>0</v>
      </c>
      <c r="L243" t="n">
        <v>0</v>
      </c>
      <c r="M243" t="n">
        <v>0</v>
      </c>
      <c r="N243" t="n">
        <v>0</v>
      </c>
      <c r="O243" t="n">
        <v>0</v>
      </c>
      <c r="P243" t="n">
        <v>0</v>
      </c>
      <c r="Q243" t="n">
        <v>0</v>
      </c>
      <c r="R243" s="2" t="inlineStr"/>
    </row>
    <row r="244" ht="15" customHeight="1">
      <c r="A244" t="inlineStr">
        <is>
          <t>A 5751-2024</t>
        </is>
      </c>
      <c r="B244" s="1" t="n">
        <v>45335.32702546296</v>
      </c>
      <c r="C244" s="1" t="n">
        <v>45930</v>
      </c>
      <c r="D244" t="inlineStr">
        <is>
          <t>GOTLANDS LÄN</t>
        </is>
      </c>
      <c r="E244" t="inlineStr">
        <is>
          <t>GOTLAND</t>
        </is>
      </c>
      <c r="G244" t="n">
        <v>4.2</v>
      </c>
      <c r="H244" t="n">
        <v>0</v>
      </c>
      <c r="I244" t="n">
        <v>0</v>
      </c>
      <c r="J244" t="n">
        <v>0</v>
      </c>
      <c r="K244" t="n">
        <v>0</v>
      </c>
      <c r="L244" t="n">
        <v>0</v>
      </c>
      <c r="M244" t="n">
        <v>0</v>
      </c>
      <c r="N244" t="n">
        <v>0</v>
      </c>
      <c r="O244" t="n">
        <v>0</v>
      </c>
      <c r="P244" t="n">
        <v>0</v>
      </c>
      <c r="Q244" t="n">
        <v>0</v>
      </c>
      <c r="R244" s="2" t="inlineStr"/>
    </row>
    <row r="245" ht="15" customHeight="1">
      <c r="A245" t="inlineStr">
        <is>
          <t>A 44942-2022</t>
        </is>
      </c>
      <c r="B245" s="1" t="n">
        <v>44841</v>
      </c>
      <c r="C245" s="1" t="n">
        <v>45930</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24966-2023</t>
        </is>
      </c>
      <c r="B246" s="1" t="n">
        <v>45085</v>
      </c>
      <c r="C246" s="1" t="n">
        <v>45930</v>
      </c>
      <c r="D246" t="inlineStr">
        <is>
          <t>GOTLANDS LÄN</t>
        </is>
      </c>
      <c r="E246" t="inlineStr">
        <is>
          <t>GOTLAND</t>
        </is>
      </c>
      <c r="G246" t="n">
        <v>7</v>
      </c>
      <c r="H246" t="n">
        <v>0</v>
      </c>
      <c r="I246" t="n">
        <v>0</v>
      </c>
      <c r="J246" t="n">
        <v>0</v>
      </c>
      <c r="K246" t="n">
        <v>0</v>
      </c>
      <c r="L246" t="n">
        <v>0</v>
      </c>
      <c r="M246" t="n">
        <v>0</v>
      </c>
      <c r="N246" t="n">
        <v>0</v>
      </c>
      <c r="O246" t="n">
        <v>0</v>
      </c>
      <c r="P246" t="n">
        <v>0</v>
      </c>
      <c r="Q246" t="n">
        <v>0</v>
      </c>
      <c r="R246" s="2" t="inlineStr"/>
    </row>
    <row r="247" ht="15" customHeight="1">
      <c r="A247" t="inlineStr">
        <is>
          <t>A 46189-2022</t>
        </is>
      </c>
      <c r="B247" s="1" t="n">
        <v>44847</v>
      </c>
      <c r="C247" s="1" t="n">
        <v>45930</v>
      </c>
      <c r="D247" t="inlineStr">
        <is>
          <t>GOTLANDS LÄN</t>
        </is>
      </c>
      <c r="E247" t="inlineStr">
        <is>
          <t>GOTLAND</t>
        </is>
      </c>
      <c r="G247" t="n">
        <v>0.4</v>
      </c>
      <c r="H247" t="n">
        <v>0</v>
      </c>
      <c r="I247" t="n">
        <v>0</v>
      </c>
      <c r="J247" t="n">
        <v>0</v>
      </c>
      <c r="K247" t="n">
        <v>0</v>
      </c>
      <c r="L247" t="n">
        <v>0</v>
      </c>
      <c r="M247" t="n">
        <v>0</v>
      </c>
      <c r="N247" t="n">
        <v>0</v>
      </c>
      <c r="O247" t="n">
        <v>0</v>
      </c>
      <c r="P247" t="n">
        <v>0</v>
      </c>
      <c r="Q247" t="n">
        <v>0</v>
      </c>
      <c r="R247" s="2" t="inlineStr"/>
    </row>
    <row r="248" ht="15" customHeight="1">
      <c r="A248" t="inlineStr">
        <is>
          <t>A 53225-2022</t>
        </is>
      </c>
      <c r="B248" s="1" t="n">
        <v>44876</v>
      </c>
      <c r="C248" s="1" t="n">
        <v>45930</v>
      </c>
      <c r="D248" t="inlineStr">
        <is>
          <t>GOTLANDS LÄN</t>
        </is>
      </c>
      <c r="E248" t="inlineStr">
        <is>
          <t>GOTLAND</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30055-2021</t>
        </is>
      </c>
      <c r="B249" s="1" t="n">
        <v>44363</v>
      </c>
      <c r="C249" s="1" t="n">
        <v>45930</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65393-2021</t>
        </is>
      </c>
      <c r="B250" s="1" t="n">
        <v>44515</v>
      </c>
      <c r="C250" s="1" t="n">
        <v>45930</v>
      </c>
      <c r="D250" t="inlineStr">
        <is>
          <t>GOTLANDS LÄN</t>
        </is>
      </c>
      <c r="E250" t="inlineStr">
        <is>
          <t>GOTLAND</t>
        </is>
      </c>
      <c r="G250" t="n">
        <v>1.1</v>
      </c>
      <c r="H250" t="n">
        <v>0</v>
      </c>
      <c r="I250" t="n">
        <v>0</v>
      </c>
      <c r="J250" t="n">
        <v>0</v>
      </c>
      <c r="K250" t="n">
        <v>0</v>
      </c>
      <c r="L250" t="n">
        <v>0</v>
      </c>
      <c r="M250" t="n">
        <v>0</v>
      </c>
      <c r="N250" t="n">
        <v>0</v>
      </c>
      <c r="O250" t="n">
        <v>0</v>
      </c>
      <c r="P250" t="n">
        <v>0</v>
      </c>
      <c r="Q250" t="n">
        <v>0</v>
      </c>
      <c r="R250" s="2" t="inlineStr"/>
    </row>
    <row r="251" ht="15" customHeight="1">
      <c r="A251" t="inlineStr">
        <is>
          <t>A 1229-2021</t>
        </is>
      </c>
      <c r="B251" s="1" t="n">
        <v>44208</v>
      </c>
      <c r="C251" s="1" t="n">
        <v>45930</v>
      </c>
      <c r="D251" t="inlineStr">
        <is>
          <t>GOTLANDS LÄN</t>
        </is>
      </c>
      <c r="E251" t="inlineStr">
        <is>
          <t>GOTLAND</t>
        </is>
      </c>
      <c r="G251" t="n">
        <v>5.3</v>
      </c>
      <c r="H251" t="n">
        <v>0</v>
      </c>
      <c r="I251" t="n">
        <v>0</v>
      </c>
      <c r="J251" t="n">
        <v>0</v>
      </c>
      <c r="K251" t="n">
        <v>0</v>
      </c>
      <c r="L251" t="n">
        <v>0</v>
      </c>
      <c r="M251" t="n">
        <v>0</v>
      </c>
      <c r="N251" t="n">
        <v>0</v>
      </c>
      <c r="O251" t="n">
        <v>0</v>
      </c>
      <c r="P251" t="n">
        <v>0</v>
      </c>
      <c r="Q251" t="n">
        <v>0</v>
      </c>
      <c r="R251" s="2" t="inlineStr"/>
    </row>
    <row r="252" ht="15" customHeight="1">
      <c r="A252" t="inlineStr">
        <is>
          <t>A 22031-2024</t>
        </is>
      </c>
      <c r="B252" s="1" t="n">
        <v>45443.60075231481</v>
      </c>
      <c r="C252" s="1" t="n">
        <v>45930</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49314-2024</t>
        </is>
      </c>
      <c r="B253" s="1" t="n">
        <v>45595.55893518519</v>
      </c>
      <c r="C253" s="1" t="n">
        <v>45930</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54074-2022</t>
        </is>
      </c>
      <c r="B254" s="1" t="n">
        <v>44881</v>
      </c>
      <c r="C254" s="1" t="n">
        <v>45930</v>
      </c>
      <c r="D254" t="inlineStr">
        <is>
          <t>GOTLANDS LÄN</t>
        </is>
      </c>
      <c r="E254" t="inlineStr">
        <is>
          <t>GOTLAND</t>
        </is>
      </c>
      <c r="G254" t="n">
        <v>0.9</v>
      </c>
      <c r="H254" t="n">
        <v>0</v>
      </c>
      <c r="I254" t="n">
        <v>0</v>
      </c>
      <c r="J254" t="n">
        <v>0</v>
      </c>
      <c r="K254" t="n">
        <v>0</v>
      </c>
      <c r="L254" t="n">
        <v>0</v>
      </c>
      <c r="M254" t="n">
        <v>0</v>
      </c>
      <c r="N254" t="n">
        <v>0</v>
      </c>
      <c r="O254" t="n">
        <v>0</v>
      </c>
      <c r="P254" t="n">
        <v>0</v>
      </c>
      <c r="Q254" t="n">
        <v>0</v>
      </c>
      <c r="R254" s="2" t="inlineStr"/>
    </row>
    <row r="255" ht="15" customHeight="1">
      <c r="A255" t="inlineStr">
        <is>
          <t>A 62120-2020</t>
        </is>
      </c>
      <c r="B255" s="1" t="n">
        <v>44158</v>
      </c>
      <c r="C255" s="1" t="n">
        <v>45930</v>
      </c>
      <c r="D255" t="inlineStr">
        <is>
          <t>GOTLANDS LÄN</t>
        </is>
      </c>
      <c r="E255" t="inlineStr">
        <is>
          <t>GOTLAND</t>
        </is>
      </c>
      <c r="G255" t="n">
        <v>2.3</v>
      </c>
      <c r="H255" t="n">
        <v>0</v>
      </c>
      <c r="I255" t="n">
        <v>0</v>
      </c>
      <c r="J255" t="n">
        <v>0</v>
      </c>
      <c r="K255" t="n">
        <v>0</v>
      </c>
      <c r="L255" t="n">
        <v>0</v>
      </c>
      <c r="M255" t="n">
        <v>0</v>
      </c>
      <c r="N255" t="n">
        <v>0</v>
      </c>
      <c r="O255" t="n">
        <v>0</v>
      </c>
      <c r="P255" t="n">
        <v>0</v>
      </c>
      <c r="Q255" t="n">
        <v>0</v>
      </c>
      <c r="R255" s="2" t="inlineStr"/>
    </row>
    <row r="256" ht="15" customHeight="1">
      <c r="A256" t="inlineStr">
        <is>
          <t>A 35142-2025</t>
        </is>
      </c>
      <c r="B256" s="1" t="n">
        <v>45852.65532407408</v>
      </c>
      <c r="C256" s="1" t="n">
        <v>45930</v>
      </c>
      <c r="D256" t="inlineStr">
        <is>
          <t>GOTLANDS LÄN</t>
        </is>
      </c>
      <c r="E256" t="inlineStr">
        <is>
          <t>GOTLAND</t>
        </is>
      </c>
      <c r="G256" t="n">
        <v>2.4</v>
      </c>
      <c r="H256" t="n">
        <v>0</v>
      </c>
      <c r="I256" t="n">
        <v>0</v>
      </c>
      <c r="J256" t="n">
        <v>0</v>
      </c>
      <c r="K256" t="n">
        <v>0</v>
      </c>
      <c r="L256" t="n">
        <v>0</v>
      </c>
      <c r="M256" t="n">
        <v>0</v>
      </c>
      <c r="N256" t="n">
        <v>0</v>
      </c>
      <c r="O256" t="n">
        <v>0</v>
      </c>
      <c r="P256" t="n">
        <v>0</v>
      </c>
      <c r="Q256" t="n">
        <v>0</v>
      </c>
      <c r="R256" s="2" t="inlineStr"/>
    </row>
    <row r="257" ht="15" customHeight="1">
      <c r="A257" t="inlineStr">
        <is>
          <t>A 39849-2025</t>
        </is>
      </c>
      <c r="B257" s="1" t="n">
        <v>45891.58502314815</v>
      </c>
      <c r="C257" s="1" t="n">
        <v>45930</v>
      </c>
      <c r="D257" t="inlineStr">
        <is>
          <t>GOTLANDS LÄN</t>
        </is>
      </c>
      <c r="E257" t="inlineStr">
        <is>
          <t>GOTLAND</t>
        </is>
      </c>
      <c r="G257" t="n">
        <v>6.1</v>
      </c>
      <c r="H257" t="n">
        <v>0</v>
      </c>
      <c r="I257" t="n">
        <v>0</v>
      </c>
      <c r="J257" t="n">
        <v>0</v>
      </c>
      <c r="K257" t="n">
        <v>0</v>
      </c>
      <c r="L257" t="n">
        <v>0</v>
      </c>
      <c r="M257" t="n">
        <v>0</v>
      </c>
      <c r="N257" t="n">
        <v>0</v>
      </c>
      <c r="O257" t="n">
        <v>0</v>
      </c>
      <c r="P257" t="n">
        <v>0</v>
      </c>
      <c r="Q257" t="n">
        <v>0</v>
      </c>
      <c r="R257" s="2" t="inlineStr"/>
    </row>
    <row r="258" ht="15" customHeight="1">
      <c r="A258" t="inlineStr">
        <is>
          <t>A 40103-2025</t>
        </is>
      </c>
      <c r="B258" s="1" t="n">
        <v>45894.4880324074</v>
      </c>
      <c r="C258" s="1" t="n">
        <v>45930</v>
      </c>
      <c r="D258" t="inlineStr">
        <is>
          <t>GOTLANDS LÄN</t>
        </is>
      </c>
      <c r="E258" t="inlineStr">
        <is>
          <t>GOTLAND</t>
        </is>
      </c>
      <c r="G258" t="n">
        <v>0.9</v>
      </c>
      <c r="H258" t="n">
        <v>0</v>
      </c>
      <c r="I258" t="n">
        <v>0</v>
      </c>
      <c r="J258" t="n">
        <v>0</v>
      </c>
      <c r="K258" t="n">
        <v>0</v>
      </c>
      <c r="L258" t="n">
        <v>0</v>
      </c>
      <c r="M258" t="n">
        <v>0</v>
      </c>
      <c r="N258" t="n">
        <v>0</v>
      </c>
      <c r="O258" t="n">
        <v>0</v>
      </c>
      <c r="P258" t="n">
        <v>0</v>
      </c>
      <c r="Q258" t="n">
        <v>0</v>
      </c>
      <c r="R258" s="2" t="inlineStr"/>
    </row>
    <row r="259" ht="15" customHeight="1">
      <c r="A259" t="inlineStr">
        <is>
          <t>A 44919-2022</t>
        </is>
      </c>
      <c r="B259" s="1" t="n">
        <v>44841</v>
      </c>
      <c r="C259" s="1" t="n">
        <v>45930</v>
      </c>
      <c r="D259" t="inlineStr">
        <is>
          <t>GOTLANDS LÄN</t>
        </is>
      </c>
      <c r="E259" t="inlineStr">
        <is>
          <t>GOTLAND</t>
        </is>
      </c>
      <c r="G259" t="n">
        <v>2.2</v>
      </c>
      <c r="H259" t="n">
        <v>0</v>
      </c>
      <c r="I259" t="n">
        <v>0</v>
      </c>
      <c r="J259" t="n">
        <v>0</v>
      </c>
      <c r="K259" t="n">
        <v>0</v>
      </c>
      <c r="L259" t="n">
        <v>0</v>
      </c>
      <c r="M259" t="n">
        <v>0</v>
      </c>
      <c r="N259" t="n">
        <v>0</v>
      </c>
      <c r="O259" t="n">
        <v>0</v>
      </c>
      <c r="P259" t="n">
        <v>0</v>
      </c>
      <c r="Q259" t="n">
        <v>0</v>
      </c>
      <c r="R259" s="2" t="inlineStr"/>
    </row>
    <row r="260" ht="15" customHeight="1">
      <c r="A260" t="inlineStr">
        <is>
          <t>A 39819-2025</t>
        </is>
      </c>
      <c r="B260" s="1" t="n">
        <v>45891.53418981482</v>
      </c>
      <c r="C260" s="1" t="n">
        <v>45930</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57652-2023</t>
        </is>
      </c>
      <c r="B261" s="1" t="n">
        <v>45246</v>
      </c>
      <c r="C261" s="1" t="n">
        <v>45930</v>
      </c>
      <c r="D261" t="inlineStr">
        <is>
          <t>GOTLANDS LÄN</t>
        </is>
      </c>
      <c r="E261" t="inlineStr">
        <is>
          <t>GOTLAND</t>
        </is>
      </c>
      <c r="G261" t="n">
        <v>7.2</v>
      </c>
      <c r="H261" t="n">
        <v>0</v>
      </c>
      <c r="I261" t="n">
        <v>0</v>
      </c>
      <c r="J261" t="n">
        <v>0</v>
      </c>
      <c r="K261" t="n">
        <v>0</v>
      </c>
      <c r="L261" t="n">
        <v>0</v>
      </c>
      <c r="M261" t="n">
        <v>0</v>
      </c>
      <c r="N261" t="n">
        <v>0</v>
      </c>
      <c r="O261" t="n">
        <v>0</v>
      </c>
      <c r="P261" t="n">
        <v>0</v>
      </c>
      <c r="Q261" t="n">
        <v>0</v>
      </c>
      <c r="R261" s="2" t="inlineStr"/>
    </row>
    <row r="262" ht="15" customHeight="1">
      <c r="A262" t="inlineStr">
        <is>
          <t>A 65249-2023</t>
        </is>
      </c>
      <c r="B262" s="1" t="n">
        <v>45290</v>
      </c>
      <c r="C262" s="1" t="n">
        <v>45930</v>
      </c>
      <c r="D262" t="inlineStr">
        <is>
          <t>GOTLANDS LÄN</t>
        </is>
      </c>
      <c r="E262" t="inlineStr">
        <is>
          <t>GOTLAND</t>
        </is>
      </c>
      <c r="G262" t="n">
        <v>2.4</v>
      </c>
      <c r="H262" t="n">
        <v>0</v>
      </c>
      <c r="I262" t="n">
        <v>0</v>
      </c>
      <c r="J262" t="n">
        <v>0</v>
      </c>
      <c r="K262" t="n">
        <v>0</v>
      </c>
      <c r="L262" t="n">
        <v>0</v>
      </c>
      <c r="M262" t="n">
        <v>0</v>
      </c>
      <c r="N262" t="n">
        <v>0</v>
      </c>
      <c r="O262" t="n">
        <v>0</v>
      </c>
      <c r="P262" t="n">
        <v>0</v>
      </c>
      <c r="Q262" t="n">
        <v>0</v>
      </c>
      <c r="R262" s="2" t="inlineStr"/>
    </row>
    <row r="263" ht="15" customHeight="1">
      <c r="A263" t="inlineStr">
        <is>
          <t>A 40372-2025</t>
        </is>
      </c>
      <c r="B263" s="1" t="n">
        <v>45895.5162037037</v>
      </c>
      <c r="C263" s="1" t="n">
        <v>45930</v>
      </c>
      <c r="D263" t="inlineStr">
        <is>
          <t>GOTLANDS LÄN</t>
        </is>
      </c>
      <c r="E263" t="inlineStr">
        <is>
          <t>GOTLAND</t>
        </is>
      </c>
      <c r="G263" t="n">
        <v>3.3</v>
      </c>
      <c r="H263" t="n">
        <v>0</v>
      </c>
      <c r="I263" t="n">
        <v>0</v>
      </c>
      <c r="J263" t="n">
        <v>0</v>
      </c>
      <c r="K263" t="n">
        <v>0</v>
      </c>
      <c r="L263" t="n">
        <v>0</v>
      </c>
      <c r="M263" t="n">
        <v>0</v>
      </c>
      <c r="N263" t="n">
        <v>0</v>
      </c>
      <c r="O263" t="n">
        <v>0</v>
      </c>
      <c r="P263" t="n">
        <v>0</v>
      </c>
      <c r="Q263" t="n">
        <v>0</v>
      </c>
      <c r="R263" s="2" t="inlineStr"/>
    </row>
    <row r="264" ht="15" customHeight="1">
      <c r="A264" t="inlineStr">
        <is>
          <t>A 40373-2025</t>
        </is>
      </c>
      <c r="B264" s="1" t="n">
        <v>45895.51821759259</v>
      </c>
      <c r="C264" s="1" t="n">
        <v>45930</v>
      </c>
      <c r="D264" t="inlineStr">
        <is>
          <t>GOTLANDS LÄN</t>
        </is>
      </c>
      <c r="E264" t="inlineStr">
        <is>
          <t>GOTLAND</t>
        </is>
      </c>
      <c r="G264" t="n">
        <v>0.6</v>
      </c>
      <c r="H264" t="n">
        <v>0</v>
      </c>
      <c r="I264" t="n">
        <v>0</v>
      </c>
      <c r="J264" t="n">
        <v>0</v>
      </c>
      <c r="K264" t="n">
        <v>0</v>
      </c>
      <c r="L264" t="n">
        <v>0</v>
      </c>
      <c r="M264" t="n">
        <v>0</v>
      </c>
      <c r="N264" t="n">
        <v>0</v>
      </c>
      <c r="O264" t="n">
        <v>0</v>
      </c>
      <c r="P264" t="n">
        <v>0</v>
      </c>
      <c r="Q264" t="n">
        <v>0</v>
      </c>
      <c r="R264" s="2" t="inlineStr"/>
    </row>
    <row r="265" ht="15" customHeight="1">
      <c r="A265" t="inlineStr">
        <is>
          <t>A 30104-2025</t>
        </is>
      </c>
      <c r="B265" s="1" t="n">
        <v>45826.68806712963</v>
      </c>
      <c r="C265" s="1" t="n">
        <v>45930</v>
      </c>
      <c r="D265" t="inlineStr">
        <is>
          <t>GOTLANDS LÄN</t>
        </is>
      </c>
      <c r="E265" t="inlineStr">
        <is>
          <t>GOTLAND</t>
        </is>
      </c>
      <c r="G265" t="n">
        <v>15.4</v>
      </c>
      <c r="H265" t="n">
        <v>0</v>
      </c>
      <c r="I265" t="n">
        <v>0</v>
      </c>
      <c r="J265" t="n">
        <v>0</v>
      </c>
      <c r="K265" t="n">
        <v>0</v>
      </c>
      <c r="L265" t="n">
        <v>0</v>
      </c>
      <c r="M265" t="n">
        <v>0</v>
      </c>
      <c r="N265" t="n">
        <v>0</v>
      </c>
      <c r="O265" t="n">
        <v>0</v>
      </c>
      <c r="P265" t="n">
        <v>0</v>
      </c>
      <c r="Q265" t="n">
        <v>0</v>
      </c>
      <c r="R265" s="2" t="inlineStr"/>
    </row>
    <row r="266" ht="15" customHeight="1">
      <c r="A266" t="inlineStr">
        <is>
          <t>A 2035-2025</t>
        </is>
      </c>
      <c r="B266" s="1" t="n">
        <v>45672</v>
      </c>
      <c r="C266" s="1" t="n">
        <v>45930</v>
      </c>
      <c r="D266" t="inlineStr">
        <is>
          <t>GOTLANDS LÄN</t>
        </is>
      </c>
      <c r="E266" t="inlineStr">
        <is>
          <t>GOTLAND</t>
        </is>
      </c>
      <c r="G266" t="n">
        <v>7.5</v>
      </c>
      <c r="H266" t="n">
        <v>0</v>
      </c>
      <c r="I266" t="n">
        <v>0</v>
      </c>
      <c r="J266" t="n">
        <v>0</v>
      </c>
      <c r="K266" t="n">
        <v>0</v>
      </c>
      <c r="L266" t="n">
        <v>0</v>
      </c>
      <c r="M266" t="n">
        <v>0</v>
      </c>
      <c r="N266" t="n">
        <v>0</v>
      </c>
      <c r="O266" t="n">
        <v>0</v>
      </c>
      <c r="P266" t="n">
        <v>0</v>
      </c>
      <c r="Q266" t="n">
        <v>0</v>
      </c>
      <c r="R266" s="2" t="inlineStr"/>
    </row>
    <row r="267" ht="15" customHeight="1">
      <c r="A267" t="inlineStr">
        <is>
          <t>A 40499-2025</t>
        </is>
      </c>
      <c r="B267" s="1" t="n">
        <v>45896.32517361111</v>
      </c>
      <c r="C267" s="1" t="n">
        <v>45930</v>
      </c>
      <c r="D267" t="inlineStr">
        <is>
          <t>GOTLANDS LÄN</t>
        </is>
      </c>
      <c r="E267" t="inlineStr">
        <is>
          <t>GOTLAND</t>
        </is>
      </c>
      <c r="G267" t="n">
        <v>2.6</v>
      </c>
      <c r="H267" t="n">
        <v>0</v>
      </c>
      <c r="I267" t="n">
        <v>0</v>
      </c>
      <c r="J267" t="n">
        <v>0</v>
      </c>
      <c r="K267" t="n">
        <v>0</v>
      </c>
      <c r="L267" t="n">
        <v>0</v>
      </c>
      <c r="M267" t="n">
        <v>0</v>
      </c>
      <c r="N267" t="n">
        <v>0</v>
      </c>
      <c r="O267" t="n">
        <v>0</v>
      </c>
      <c r="P267" t="n">
        <v>0</v>
      </c>
      <c r="Q267" t="n">
        <v>0</v>
      </c>
      <c r="R267" s="2" t="inlineStr"/>
    </row>
    <row r="268" ht="15" customHeight="1">
      <c r="A268" t="inlineStr">
        <is>
          <t>A 35290-2025</t>
        </is>
      </c>
      <c r="B268" s="1" t="n">
        <v>45854.38502314815</v>
      </c>
      <c r="C268" s="1" t="n">
        <v>45930</v>
      </c>
      <c r="D268" t="inlineStr">
        <is>
          <t>GOTLANDS LÄN</t>
        </is>
      </c>
      <c r="E268" t="inlineStr">
        <is>
          <t>GOTLAND</t>
        </is>
      </c>
      <c r="G268" t="n">
        <v>5.4</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45930</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45930</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32669-2024</t>
        </is>
      </c>
      <c r="B271" s="1" t="n">
        <v>45514</v>
      </c>
      <c r="C271" s="1" t="n">
        <v>45930</v>
      </c>
      <c r="D271" t="inlineStr">
        <is>
          <t>GOTLANDS LÄN</t>
        </is>
      </c>
      <c r="E271" t="inlineStr">
        <is>
          <t>GOTLAND</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49315-2024</t>
        </is>
      </c>
      <c r="B272" s="1" t="n">
        <v>45595</v>
      </c>
      <c r="C272" s="1" t="n">
        <v>45930</v>
      </c>
      <c r="D272" t="inlineStr">
        <is>
          <t>GOTLANDS LÄN</t>
        </is>
      </c>
      <c r="E272" t="inlineStr">
        <is>
          <t>GOTLAND</t>
        </is>
      </c>
      <c r="G272" t="n">
        <v>1.5</v>
      </c>
      <c r="H272" t="n">
        <v>0</v>
      </c>
      <c r="I272" t="n">
        <v>0</v>
      </c>
      <c r="J272" t="n">
        <v>0</v>
      </c>
      <c r="K272" t="n">
        <v>0</v>
      </c>
      <c r="L272" t="n">
        <v>0</v>
      </c>
      <c r="M272" t="n">
        <v>0</v>
      </c>
      <c r="N272" t="n">
        <v>0</v>
      </c>
      <c r="O272" t="n">
        <v>0</v>
      </c>
      <c r="P272" t="n">
        <v>0</v>
      </c>
      <c r="Q272" t="n">
        <v>0</v>
      </c>
      <c r="R272" s="2" t="inlineStr"/>
    </row>
    <row r="273" ht="15" customHeight="1">
      <c r="A273" t="inlineStr">
        <is>
          <t>A 45106-2024</t>
        </is>
      </c>
      <c r="B273" s="1" t="n">
        <v>45575</v>
      </c>
      <c r="C273" s="1" t="n">
        <v>45930</v>
      </c>
      <c r="D273" t="inlineStr">
        <is>
          <t>GOTLANDS LÄN</t>
        </is>
      </c>
      <c r="E273" t="inlineStr">
        <is>
          <t>GOTLAND</t>
        </is>
      </c>
      <c r="G273" t="n">
        <v>10</v>
      </c>
      <c r="H273" t="n">
        <v>0</v>
      </c>
      <c r="I273" t="n">
        <v>0</v>
      </c>
      <c r="J273" t="n">
        <v>0</v>
      </c>
      <c r="K273" t="n">
        <v>0</v>
      </c>
      <c r="L273" t="n">
        <v>0</v>
      </c>
      <c r="M273" t="n">
        <v>0</v>
      </c>
      <c r="N273" t="n">
        <v>0</v>
      </c>
      <c r="O273" t="n">
        <v>0</v>
      </c>
      <c r="P273" t="n">
        <v>0</v>
      </c>
      <c r="Q273" t="n">
        <v>0</v>
      </c>
      <c r="R273" s="2" t="inlineStr"/>
    </row>
    <row r="274" ht="15" customHeight="1">
      <c r="A274" t="inlineStr">
        <is>
          <t>A 45112-2024</t>
        </is>
      </c>
      <c r="B274" s="1" t="n">
        <v>45575</v>
      </c>
      <c r="C274" s="1" t="n">
        <v>45930</v>
      </c>
      <c r="D274" t="inlineStr">
        <is>
          <t>GOTLANDS LÄN</t>
        </is>
      </c>
      <c r="E274" t="inlineStr">
        <is>
          <t>GOTLAND</t>
        </is>
      </c>
      <c r="G274" t="n">
        <v>5.1</v>
      </c>
      <c r="H274" t="n">
        <v>0</v>
      </c>
      <c r="I274" t="n">
        <v>0</v>
      </c>
      <c r="J274" t="n">
        <v>0</v>
      </c>
      <c r="K274" t="n">
        <v>0</v>
      </c>
      <c r="L274" t="n">
        <v>0</v>
      </c>
      <c r="M274" t="n">
        <v>0</v>
      </c>
      <c r="N274" t="n">
        <v>0</v>
      </c>
      <c r="O274" t="n">
        <v>0</v>
      </c>
      <c r="P274" t="n">
        <v>0</v>
      </c>
      <c r="Q274" t="n">
        <v>0</v>
      </c>
      <c r="R274" s="2" t="inlineStr"/>
    </row>
    <row r="275" ht="15" customHeight="1">
      <c r="A275" t="inlineStr">
        <is>
          <t>A 48503-2023</t>
        </is>
      </c>
      <c r="B275" s="1" t="n">
        <v>45207</v>
      </c>
      <c r="C275" s="1" t="n">
        <v>45930</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35537-2025</t>
        </is>
      </c>
      <c r="B276" s="1" t="n">
        <v>45856</v>
      </c>
      <c r="C276" s="1" t="n">
        <v>45930</v>
      </c>
      <c r="D276" t="inlineStr">
        <is>
          <t>GOTLANDS LÄN</t>
        </is>
      </c>
      <c r="E276" t="inlineStr">
        <is>
          <t>GOTLAND</t>
        </is>
      </c>
      <c r="G276" t="n">
        <v>16.8</v>
      </c>
      <c r="H276" t="n">
        <v>0</v>
      </c>
      <c r="I276" t="n">
        <v>0</v>
      </c>
      <c r="J276" t="n">
        <v>0</v>
      </c>
      <c r="K276" t="n">
        <v>0</v>
      </c>
      <c r="L276" t="n">
        <v>0</v>
      </c>
      <c r="M276" t="n">
        <v>0</v>
      </c>
      <c r="N276" t="n">
        <v>0</v>
      </c>
      <c r="O276" t="n">
        <v>0</v>
      </c>
      <c r="P276" t="n">
        <v>0</v>
      </c>
      <c r="Q276" t="n">
        <v>0</v>
      </c>
      <c r="R276" s="2" t="inlineStr"/>
    </row>
    <row r="277" ht="15" customHeight="1">
      <c r="A277" t="inlineStr">
        <is>
          <t>A 2676-2023</t>
        </is>
      </c>
      <c r="B277" s="1" t="n">
        <v>44944</v>
      </c>
      <c r="C277" s="1" t="n">
        <v>45930</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65901-2021</t>
        </is>
      </c>
      <c r="B278" s="1" t="n">
        <v>44516</v>
      </c>
      <c r="C278" s="1" t="n">
        <v>45930</v>
      </c>
      <c r="D278" t="inlineStr">
        <is>
          <t>GOTLANDS LÄN</t>
        </is>
      </c>
      <c r="E278" t="inlineStr">
        <is>
          <t>GOTLAND</t>
        </is>
      </c>
      <c r="G278" t="n">
        <v>4.9</v>
      </c>
      <c r="H278" t="n">
        <v>0</v>
      </c>
      <c r="I278" t="n">
        <v>0</v>
      </c>
      <c r="J278" t="n">
        <v>0</v>
      </c>
      <c r="K278" t="n">
        <v>0</v>
      </c>
      <c r="L278" t="n">
        <v>0</v>
      </c>
      <c r="M278" t="n">
        <v>0</v>
      </c>
      <c r="N278" t="n">
        <v>0</v>
      </c>
      <c r="O278" t="n">
        <v>0</v>
      </c>
      <c r="P278" t="n">
        <v>0</v>
      </c>
      <c r="Q278" t="n">
        <v>0</v>
      </c>
      <c r="R278" s="2" t="inlineStr"/>
    </row>
    <row r="279" ht="15" customHeight="1">
      <c r="A279" t="inlineStr">
        <is>
          <t>A 35550-2025</t>
        </is>
      </c>
      <c r="B279" s="1" t="n">
        <v>45856.49324074074</v>
      </c>
      <c r="C279" s="1" t="n">
        <v>45930</v>
      </c>
      <c r="D279" t="inlineStr">
        <is>
          <t>GOTLANDS LÄN</t>
        </is>
      </c>
      <c r="E279" t="inlineStr">
        <is>
          <t>GOTLAND</t>
        </is>
      </c>
      <c r="G279" t="n">
        <v>3.2</v>
      </c>
      <c r="H279" t="n">
        <v>0</v>
      </c>
      <c r="I279" t="n">
        <v>0</v>
      </c>
      <c r="J279" t="n">
        <v>0</v>
      </c>
      <c r="K279" t="n">
        <v>0</v>
      </c>
      <c r="L279" t="n">
        <v>0</v>
      </c>
      <c r="M279" t="n">
        <v>0</v>
      </c>
      <c r="N279" t="n">
        <v>0</v>
      </c>
      <c r="O279" t="n">
        <v>0</v>
      </c>
      <c r="P279" t="n">
        <v>0</v>
      </c>
      <c r="Q279" t="n">
        <v>0</v>
      </c>
      <c r="R279" s="2" t="inlineStr"/>
    </row>
    <row r="280" ht="15" customHeight="1">
      <c r="A280" t="inlineStr">
        <is>
          <t>A 13910-2025</t>
        </is>
      </c>
      <c r="B280" s="1" t="n">
        <v>45737</v>
      </c>
      <c r="C280" s="1" t="n">
        <v>45930</v>
      </c>
      <c r="D280" t="inlineStr">
        <is>
          <t>GOTLANDS LÄN</t>
        </is>
      </c>
      <c r="E280" t="inlineStr">
        <is>
          <t>GOTLAND</t>
        </is>
      </c>
      <c r="F280" t="inlineStr">
        <is>
          <t>Kommuner</t>
        </is>
      </c>
      <c r="G280" t="n">
        <v>3.2</v>
      </c>
      <c r="H280" t="n">
        <v>0</v>
      </c>
      <c r="I280" t="n">
        <v>0</v>
      </c>
      <c r="J280" t="n">
        <v>0</v>
      </c>
      <c r="K280" t="n">
        <v>0</v>
      </c>
      <c r="L280" t="n">
        <v>0</v>
      </c>
      <c r="M280" t="n">
        <v>0</v>
      </c>
      <c r="N280" t="n">
        <v>0</v>
      </c>
      <c r="O280" t="n">
        <v>0</v>
      </c>
      <c r="P280" t="n">
        <v>0</v>
      </c>
      <c r="Q280" t="n">
        <v>0</v>
      </c>
      <c r="R280" s="2" t="inlineStr"/>
    </row>
    <row r="281" ht="15" customHeight="1">
      <c r="A281" t="inlineStr">
        <is>
          <t>A 44649-2021</t>
        </is>
      </c>
      <c r="B281" s="1" t="n">
        <v>44437</v>
      </c>
      <c r="C281" s="1" t="n">
        <v>45930</v>
      </c>
      <c r="D281" t="inlineStr">
        <is>
          <t>GOTLANDS LÄN</t>
        </is>
      </c>
      <c r="E281" t="inlineStr">
        <is>
          <t>GOTLAND</t>
        </is>
      </c>
      <c r="G281" t="n">
        <v>8.1</v>
      </c>
      <c r="H281" t="n">
        <v>0</v>
      </c>
      <c r="I281" t="n">
        <v>0</v>
      </c>
      <c r="J281" t="n">
        <v>0</v>
      </c>
      <c r="K281" t="n">
        <v>0</v>
      </c>
      <c r="L281" t="n">
        <v>0</v>
      </c>
      <c r="M281" t="n">
        <v>0</v>
      </c>
      <c r="N281" t="n">
        <v>0</v>
      </c>
      <c r="O281" t="n">
        <v>0</v>
      </c>
      <c r="P281" t="n">
        <v>0</v>
      </c>
      <c r="Q281" t="n">
        <v>0</v>
      </c>
      <c r="R281" s="2" t="inlineStr"/>
    </row>
    <row r="282" ht="15" customHeight="1">
      <c r="A282" t="inlineStr">
        <is>
          <t>A 3150-2025</t>
        </is>
      </c>
      <c r="B282" s="1" t="n">
        <v>45679.28974537037</v>
      </c>
      <c r="C282" s="1" t="n">
        <v>45930</v>
      </c>
      <c r="D282" t="inlineStr">
        <is>
          <t>GOTLANDS LÄN</t>
        </is>
      </c>
      <c r="E282" t="inlineStr">
        <is>
          <t>GOTLAND</t>
        </is>
      </c>
      <c r="G282" t="n">
        <v>2.5</v>
      </c>
      <c r="H282" t="n">
        <v>0</v>
      </c>
      <c r="I282" t="n">
        <v>0</v>
      </c>
      <c r="J282" t="n">
        <v>0</v>
      </c>
      <c r="K282" t="n">
        <v>0</v>
      </c>
      <c r="L282" t="n">
        <v>0</v>
      </c>
      <c r="M282" t="n">
        <v>0</v>
      </c>
      <c r="N282" t="n">
        <v>0</v>
      </c>
      <c r="O282" t="n">
        <v>0</v>
      </c>
      <c r="P282" t="n">
        <v>0</v>
      </c>
      <c r="Q282" t="n">
        <v>0</v>
      </c>
      <c r="R282" s="2" t="inlineStr"/>
    </row>
    <row r="283" ht="15" customHeight="1">
      <c r="A283" t="inlineStr">
        <is>
          <t>A 8484-2025</t>
        </is>
      </c>
      <c r="B283" s="1" t="n">
        <v>45709</v>
      </c>
      <c r="C283" s="1" t="n">
        <v>45930</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7635-2025</t>
        </is>
      </c>
      <c r="B284" s="1" t="n">
        <v>45705</v>
      </c>
      <c r="C284" s="1" t="n">
        <v>45930</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7636-2025</t>
        </is>
      </c>
      <c r="B285" s="1" t="n">
        <v>45705.7687962963</v>
      </c>
      <c r="C285" s="1" t="n">
        <v>45930</v>
      </c>
      <c r="D285" t="inlineStr">
        <is>
          <t>GOTLANDS LÄN</t>
        </is>
      </c>
      <c r="E285" t="inlineStr">
        <is>
          <t>GOTLAND</t>
        </is>
      </c>
      <c r="G285" t="n">
        <v>0.6</v>
      </c>
      <c r="H285" t="n">
        <v>0</v>
      </c>
      <c r="I285" t="n">
        <v>0</v>
      </c>
      <c r="J285" t="n">
        <v>0</v>
      </c>
      <c r="K285" t="n">
        <v>0</v>
      </c>
      <c r="L285" t="n">
        <v>0</v>
      </c>
      <c r="M285" t="n">
        <v>0</v>
      </c>
      <c r="N285" t="n">
        <v>0</v>
      </c>
      <c r="O285" t="n">
        <v>0</v>
      </c>
      <c r="P285" t="n">
        <v>0</v>
      </c>
      <c r="Q285" t="n">
        <v>0</v>
      </c>
      <c r="R285" s="2" t="inlineStr"/>
    </row>
    <row r="286" ht="15" customHeight="1">
      <c r="A286" t="inlineStr">
        <is>
          <t>A 7639-2025</t>
        </is>
      </c>
      <c r="B286" s="1" t="n">
        <v>45705.77465277778</v>
      </c>
      <c r="C286" s="1" t="n">
        <v>45930</v>
      </c>
      <c r="D286" t="inlineStr">
        <is>
          <t>GOTLANDS LÄN</t>
        </is>
      </c>
      <c r="E286" t="inlineStr">
        <is>
          <t>GOTLAND</t>
        </is>
      </c>
      <c r="G286" t="n">
        <v>1</v>
      </c>
      <c r="H286" t="n">
        <v>0</v>
      </c>
      <c r="I286" t="n">
        <v>0</v>
      </c>
      <c r="J286" t="n">
        <v>0</v>
      </c>
      <c r="K286" t="n">
        <v>0</v>
      </c>
      <c r="L286" t="n">
        <v>0</v>
      </c>
      <c r="M286" t="n">
        <v>0</v>
      </c>
      <c r="N286" t="n">
        <v>0</v>
      </c>
      <c r="O286" t="n">
        <v>0</v>
      </c>
      <c r="P286" t="n">
        <v>0</v>
      </c>
      <c r="Q286" t="n">
        <v>0</v>
      </c>
      <c r="R286" s="2" t="inlineStr"/>
    </row>
    <row r="287" ht="15" customHeight="1">
      <c r="A287" t="inlineStr">
        <is>
          <t>A 17780-2022</t>
        </is>
      </c>
      <c r="B287" s="1" t="n">
        <v>44682.82622685185</v>
      </c>
      <c r="C287" s="1" t="n">
        <v>45930</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41551-2025</t>
        </is>
      </c>
      <c r="B288" s="1" t="n">
        <v>45901.58854166666</v>
      </c>
      <c r="C288" s="1" t="n">
        <v>45930</v>
      </c>
      <c r="D288" t="inlineStr">
        <is>
          <t>GOTLANDS LÄN</t>
        </is>
      </c>
      <c r="E288" t="inlineStr">
        <is>
          <t>GOTLAND</t>
        </is>
      </c>
      <c r="G288" t="n">
        <v>5.6</v>
      </c>
      <c r="H288" t="n">
        <v>0</v>
      </c>
      <c r="I288" t="n">
        <v>0</v>
      </c>
      <c r="J288" t="n">
        <v>0</v>
      </c>
      <c r="K288" t="n">
        <v>0</v>
      </c>
      <c r="L288" t="n">
        <v>0</v>
      </c>
      <c r="M288" t="n">
        <v>0</v>
      </c>
      <c r="N288" t="n">
        <v>0</v>
      </c>
      <c r="O288" t="n">
        <v>0</v>
      </c>
      <c r="P288" t="n">
        <v>0</v>
      </c>
      <c r="Q288" t="n">
        <v>0</v>
      </c>
      <c r="R288" s="2" t="inlineStr"/>
    </row>
    <row r="289" ht="15" customHeight="1">
      <c r="A289" t="inlineStr">
        <is>
          <t>A 9947-2024</t>
        </is>
      </c>
      <c r="B289" s="1" t="n">
        <v>45363</v>
      </c>
      <c r="C289" s="1" t="n">
        <v>45930</v>
      </c>
      <c r="D289" t="inlineStr">
        <is>
          <t>GOTLANDS LÄN</t>
        </is>
      </c>
      <c r="E289" t="inlineStr">
        <is>
          <t>GOTLAND</t>
        </is>
      </c>
      <c r="G289" t="n">
        <v>2</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45930</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44304-2021</t>
        </is>
      </c>
      <c r="B291" s="1" t="n">
        <v>44434</v>
      </c>
      <c r="C291" s="1" t="n">
        <v>45930</v>
      </c>
      <c r="D291" t="inlineStr">
        <is>
          <t>GOTLANDS LÄN</t>
        </is>
      </c>
      <c r="E291" t="inlineStr">
        <is>
          <t>GOTLAND</t>
        </is>
      </c>
      <c r="G291" t="n">
        <v>5.8</v>
      </c>
      <c r="H291" t="n">
        <v>0</v>
      </c>
      <c r="I291" t="n">
        <v>0</v>
      </c>
      <c r="J291" t="n">
        <v>0</v>
      </c>
      <c r="K291" t="n">
        <v>0</v>
      </c>
      <c r="L291" t="n">
        <v>0</v>
      </c>
      <c r="M291" t="n">
        <v>0</v>
      </c>
      <c r="N291" t="n">
        <v>0</v>
      </c>
      <c r="O291" t="n">
        <v>0</v>
      </c>
      <c r="P291" t="n">
        <v>0</v>
      </c>
      <c r="Q291" t="n">
        <v>0</v>
      </c>
      <c r="R291" s="2" t="inlineStr"/>
    </row>
    <row r="292" ht="15" customHeight="1">
      <c r="A292" t="inlineStr">
        <is>
          <t>A 59986-2022</t>
        </is>
      </c>
      <c r="B292" s="1" t="n">
        <v>44909</v>
      </c>
      <c r="C292" s="1" t="n">
        <v>45930</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14536-2021</t>
        </is>
      </c>
      <c r="B293" s="1" t="n">
        <v>44279.66168981481</v>
      </c>
      <c r="C293" s="1" t="n">
        <v>45930</v>
      </c>
      <c r="D293" t="inlineStr">
        <is>
          <t>GOTLANDS LÄN</t>
        </is>
      </c>
      <c r="E293" t="inlineStr">
        <is>
          <t>GOTLAND</t>
        </is>
      </c>
      <c r="G293" t="n">
        <v>8.5</v>
      </c>
      <c r="H293" t="n">
        <v>0</v>
      </c>
      <c r="I293" t="n">
        <v>0</v>
      </c>
      <c r="J293" t="n">
        <v>0</v>
      </c>
      <c r="K293" t="n">
        <v>0</v>
      </c>
      <c r="L293" t="n">
        <v>0</v>
      </c>
      <c r="M293" t="n">
        <v>0</v>
      </c>
      <c r="N293" t="n">
        <v>0</v>
      </c>
      <c r="O293" t="n">
        <v>0</v>
      </c>
      <c r="P293" t="n">
        <v>0</v>
      </c>
      <c r="Q293" t="n">
        <v>0</v>
      </c>
      <c r="R293" s="2" t="inlineStr"/>
    </row>
    <row r="294" ht="15" customHeight="1">
      <c r="A294" t="inlineStr">
        <is>
          <t>A 20356-2022</t>
        </is>
      </c>
      <c r="B294" s="1" t="n">
        <v>44699</v>
      </c>
      <c r="C294" s="1" t="n">
        <v>45930</v>
      </c>
      <c r="D294" t="inlineStr">
        <is>
          <t>GOTLANDS LÄN</t>
        </is>
      </c>
      <c r="E294" t="inlineStr">
        <is>
          <t>GOTLAND</t>
        </is>
      </c>
      <c r="F294" t="inlineStr">
        <is>
          <t>Övriga Aktiebolag</t>
        </is>
      </c>
      <c r="G294" t="n">
        <v>4.4</v>
      </c>
      <c r="H294" t="n">
        <v>0</v>
      </c>
      <c r="I294" t="n">
        <v>0</v>
      </c>
      <c r="J294" t="n">
        <v>0</v>
      </c>
      <c r="K294" t="n">
        <v>0</v>
      </c>
      <c r="L294" t="n">
        <v>0</v>
      </c>
      <c r="M294" t="n">
        <v>0</v>
      </c>
      <c r="N294" t="n">
        <v>0</v>
      </c>
      <c r="O294" t="n">
        <v>0</v>
      </c>
      <c r="P294" t="n">
        <v>0</v>
      </c>
      <c r="Q294" t="n">
        <v>0</v>
      </c>
      <c r="R294" s="2" t="inlineStr"/>
    </row>
    <row r="295" ht="15" customHeight="1">
      <c r="A295" t="inlineStr">
        <is>
          <t>A 48734-2022</t>
        </is>
      </c>
      <c r="B295" s="1" t="n">
        <v>44855</v>
      </c>
      <c r="C295" s="1" t="n">
        <v>45930</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14141-2024</t>
        </is>
      </c>
      <c r="B296" s="1" t="n">
        <v>45392.85193287037</v>
      </c>
      <c r="C296" s="1" t="n">
        <v>45930</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29809-2022</t>
        </is>
      </c>
      <c r="B297" s="1" t="n">
        <v>44755.8713425926</v>
      </c>
      <c r="C297" s="1" t="n">
        <v>45930</v>
      </c>
      <c r="D297" t="inlineStr">
        <is>
          <t>GOTLANDS LÄN</t>
        </is>
      </c>
      <c r="E297" t="inlineStr">
        <is>
          <t>GOTLAND</t>
        </is>
      </c>
      <c r="G297" t="n">
        <v>11.5</v>
      </c>
      <c r="H297" t="n">
        <v>0</v>
      </c>
      <c r="I297" t="n">
        <v>0</v>
      </c>
      <c r="J297" t="n">
        <v>0</v>
      </c>
      <c r="K297" t="n">
        <v>0</v>
      </c>
      <c r="L297" t="n">
        <v>0</v>
      </c>
      <c r="M297" t="n">
        <v>0</v>
      </c>
      <c r="N297" t="n">
        <v>0</v>
      </c>
      <c r="O297" t="n">
        <v>0</v>
      </c>
      <c r="P297" t="n">
        <v>0</v>
      </c>
      <c r="Q297" t="n">
        <v>0</v>
      </c>
      <c r="R297" s="2" t="inlineStr"/>
    </row>
    <row r="298" ht="15" customHeight="1">
      <c r="A298" t="inlineStr">
        <is>
          <t>A 17682-2024</t>
        </is>
      </c>
      <c r="B298" s="1" t="n">
        <v>45418.42966435185</v>
      </c>
      <c r="C298" s="1" t="n">
        <v>45930</v>
      </c>
      <c r="D298" t="inlineStr">
        <is>
          <t>GOTLANDS LÄN</t>
        </is>
      </c>
      <c r="E298" t="inlineStr">
        <is>
          <t>GOTLAND</t>
        </is>
      </c>
      <c r="G298" t="n">
        <v>2.9</v>
      </c>
      <c r="H298" t="n">
        <v>0</v>
      </c>
      <c r="I298" t="n">
        <v>0</v>
      </c>
      <c r="J298" t="n">
        <v>0</v>
      </c>
      <c r="K298" t="n">
        <v>0</v>
      </c>
      <c r="L298" t="n">
        <v>0</v>
      </c>
      <c r="M298" t="n">
        <v>0</v>
      </c>
      <c r="N298" t="n">
        <v>0</v>
      </c>
      <c r="O298" t="n">
        <v>0</v>
      </c>
      <c r="P298" t="n">
        <v>0</v>
      </c>
      <c r="Q298" t="n">
        <v>0</v>
      </c>
      <c r="R298" s="2" t="inlineStr"/>
    </row>
    <row r="299" ht="15" customHeight="1">
      <c r="A299" t="inlineStr">
        <is>
          <t>A 57522-2022</t>
        </is>
      </c>
      <c r="B299" s="1" t="n">
        <v>44896</v>
      </c>
      <c r="C299" s="1" t="n">
        <v>45930</v>
      </c>
      <c r="D299" t="inlineStr">
        <is>
          <t>GOTLANDS LÄN</t>
        </is>
      </c>
      <c r="E299" t="inlineStr">
        <is>
          <t>GOTLAND</t>
        </is>
      </c>
      <c r="G299" t="n">
        <v>2</v>
      </c>
      <c r="H299" t="n">
        <v>0</v>
      </c>
      <c r="I299" t="n">
        <v>0</v>
      </c>
      <c r="J299" t="n">
        <v>0</v>
      </c>
      <c r="K299" t="n">
        <v>0</v>
      </c>
      <c r="L299" t="n">
        <v>0</v>
      </c>
      <c r="M299" t="n">
        <v>0</v>
      </c>
      <c r="N299" t="n">
        <v>0</v>
      </c>
      <c r="O299" t="n">
        <v>0</v>
      </c>
      <c r="P299" t="n">
        <v>0</v>
      </c>
      <c r="Q299" t="n">
        <v>0</v>
      </c>
      <c r="R299" s="2" t="inlineStr"/>
    </row>
    <row r="300" ht="15" customHeight="1">
      <c r="A300" t="inlineStr">
        <is>
          <t>A 15216-2025</t>
        </is>
      </c>
      <c r="B300" s="1" t="n">
        <v>45744</v>
      </c>
      <c r="C300" s="1" t="n">
        <v>45930</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27593-2023</t>
        </is>
      </c>
      <c r="B301" s="1" t="n">
        <v>45097</v>
      </c>
      <c r="C301" s="1" t="n">
        <v>45930</v>
      </c>
      <c r="D301" t="inlineStr">
        <is>
          <t>GOTLANDS LÄN</t>
        </is>
      </c>
      <c r="E301" t="inlineStr">
        <is>
          <t>GOTLAND</t>
        </is>
      </c>
      <c r="G301" t="n">
        <v>3.1</v>
      </c>
      <c r="H301" t="n">
        <v>0</v>
      </c>
      <c r="I301" t="n">
        <v>0</v>
      </c>
      <c r="J301" t="n">
        <v>0</v>
      </c>
      <c r="K301" t="n">
        <v>0</v>
      </c>
      <c r="L301" t="n">
        <v>0</v>
      </c>
      <c r="M301" t="n">
        <v>0</v>
      </c>
      <c r="N301" t="n">
        <v>0</v>
      </c>
      <c r="O301" t="n">
        <v>0</v>
      </c>
      <c r="P301" t="n">
        <v>0</v>
      </c>
      <c r="Q301" t="n">
        <v>0</v>
      </c>
      <c r="R301" s="2" t="inlineStr"/>
    </row>
    <row r="302" ht="15" customHeight="1">
      <c r="A302" t="inlineStr">
        <is>
          <t>A 11874-2024</t>
        </is>
      </c>
      <c r="B302" s="1" t="n">
        <v>45376.46956018519</v>
      </c>
      <c r="C302" s="1" t="n">
        <v>45930</v>
      </c>
      <c r="D302" t="inlineStr">
        <is>
          <t>GOTLANDS LÄN</t>
        </is>
      </c>
      <c r="E302" t="inlineStr">
        <is>
          <t>GOTLAND</t>
        </is>
      </c>
      <c r="G302" t="n">
        <v>0.8</v>
      </c>
      <c r="H302" t="n">
        <v>0</v>
      </c>
      <c r="I302" t="n">
        <v>0</v>
      </c>
      <c r="J302" t="n">
        <v>0</v>
      </c>
      <c r="K302" t="n">
        <v>0</v>
      </c>
      <c r="L302" t="n">
        <v>0</v>
      </c>
      <c r="M302" t="n">
        <v>0</v>
      </c>
      <c r="N302" t="n">
        <v>0</v>
      </c>
      <c r="O302" t="n">
        <v>0</v>
      </c>
      <c r="P302" t="n">
        <v>0</v>
      </c>
      <c r="Q302" t="n">
        <v>0</v>
      </c>
      <c r="R302" s="2" t="inlineStr"/>
    </row>
    <row r="303" ht="15" customHeight="1">
      <c r="A303" t="inlineStr">
        <is>
          <t>A 57685-2022</t>
        </is>
      </c>
      <c r="B303" s="1" t="n">
        <v>44897.4777662037</v>
      </c>
      <c r="C303" s="1" t="n">
        <v>45930</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43790-2024</t>
        </is>
      </c>
      <c r="B304" s="1" t="n">
        <v>45571</v>
      </c>
      <c r="C304" s="1" t="n">
        <v>45930</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42041-2024</t>
        </is>
      </c>
      <c r="B305" s="1" t="n">
        <v>45561</v>
      </c>
      <c r="C305" s="1" t="n">
        <v>45930</v>
      </c>
      <c r="D305" t="inlineStr">
        <is>
          <t>GOTLANDS LÄN</t>
        </is>
      </c>
      <c r="E305" t="inlineStr">
        <is>
          <t>GOTLAND</t>
        </is>
      </c>
      <c r="G305" t="n">
        <v>3.2</v>
      </c>
      <c r="H305" t="n">
        <v>0</v>
      </c>
      <c r="I305" t="n">
        <v>0</v>
      </c>
      <c r="J305" t="n">
        <v>0</v>
      </c>
      <c r="K305" t="n">
        <v>0</v>
      </c>
      <c r="L305" t="n">
        <v>0</v>
      </c>
      <c r="M305" t="n">
        <v>0</v>
      </c>
      <c r="N305" t="n">
        <v>0</v>
      </c>
      <c r="O305" t="n">
        <v>0</v>
      </c>
      <c r="P305" t="n">
        <v>0</v>
      </c>
      <c r="Q305" t="n">
        <v>0</v>
      </c>
      <c r="R305" s="2" t="inlineStr"/>
    </row>
    <row r="306" ht="15" customHeight="1">
      <c r="A306" t="inlineStr">
        <is>
          <t>A 61694-2023</t>
        </is>
      </c>
      <c r="B306" s="1" t="n">
        <v>45264</v>
      </c>
      <c r="C306" s="1" t="n">
        <v>45930</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12599-2025</t>
        </is>
      </c>
      <c r="B307" s="1" t="n">
        <v>45733.29546296296</v>
      </c>
      <c r="C307" s="1" t="n">
        <v>45930</v>
      </c>
      <c r="D307" t="inlineStr">
        <is>
          <t>GOTLANDS LÄN</t>
        </is>
      </c>
      <c r="E307" t="inlineStr">
        <is>
          <t>GOTLAND</t>
        </is>
      </c>
      <c r="G307" t="n">
        <v>4.7</v>
      </c>
      <c r="H307" t="n">
        <v>0</v>
      </c>
      <c r="I307" t="n">
        <v>0</v>
      </c>
      <c r="J307" t="n">
        <v>0</v>
      </c>
      <c r="K307" t="n">
        <v>0</v>
      </c>
      <c r="L307" t="n">
        <v>0</v>
      </c>
      <c r="M307" t="n">
        <v>0</v>
      </c>
      <c r="N307" t="n">
        <v>0</v>
      </c>
      <c r="O307" t="n">
        <v>0</v>
      </c>
      <c r="P307" t="n">
        <v>0</v>
      </c>
      <c r="Q307" t="n">
        <v>0</v>
      </c>
      <c r="R307" s="2" t="inlineStr"/>
    </row>
    <row r="308" ht="15" customHeight="1">
      <c r="A308" t="inlineStr">
        <is>
          <t>A 15001-2025</t>
        </is>
      </c>
      <c r="B308" s="1" t="n">
        <v>45743</v>
      </c>
      <c r="C308" s="1" t="n">
        <v>45930</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30815-2023</t>
        </is>
      </c>
      <c r="B309" s="1" t="n">
        <v>45112</v>
      </c>
      <c r="C309" s="1" t="n">
        <v>45930</v>
      </c>
      <c r="D309" t="inlineStr">
        <is>
          <t>GOTLANDS LÄN</t>
        </is>
      </c>
      <c r="E309" t="inlineStr">
        <is>
          <t>GOTLAND</t>
        </is>
      </c>
      <c r="G309" t="n">
        <v>6</v>
      </c>
      <c r="H309" t="n">
        <v>0</v>
      </c>
      <c r="I309" t="n">
        <v>0</v>
      </c>
      <c r="J309" t="n">
        <v>0</v>
      </c>
      <c r="K309" t="n">
        <v>0</v>
      </c>
      <c r="L309" t="n">
        <v>0</v>
      </c>
      <c r="M309" t="n">
        <v>0</v>
      </c>
      <c r="N309" t="n">
        <v>0</v>
      </c>
      <c r="O309" t="n">
        <v>0</v>
      </c>
      <c r="P309" t="n">
        <v>0</v>
      </c>
      <c r="Q309" t="n">
        <v>0</v>
      </c>
      <c r="R309" s="2" t="inlineStr"/>
    </row>
    <row r="310" ht="15" customHeight="1">
      <c r="A310" t="inlineStr">
        <is>
          <t>A 30488-2025</t>
        </is>
      </c>
      <c r="B310" s="1" t="n">
        <v>45830</v>
      </c>
      <c r="C310" s="1" t="n">
        <v>45930</v>
      </c>
      <c r="D310" t="inlineStr">
        <is>
          <t>GOTLANDS LÄN</t>
        </is>
      </c>
      <c r="E310" t="inlineStr">
        <is>
          <t>GOTLAND</t>
        </is>
      </c>
      <c r="F310" t="inlineStr">
        <is>
          <t>Kyrkan</t>
        </is>
      </c>
      <c r="G310" t="n">
        <v>3.9</v>
      </c>
      <c r="H310" t="n">
        <v>0</v>
      </c>
      <c r="I310" t="n">
        <v>0</v>
      </c>
      <c r="J310" t="n">
        <v>0</v>
      </c>
      <c r="K310" t="n">
        <v>0</v>
      </c>
      <c r="L310" t="n">
        <v>0</v>
      </c>
      <c r="M310" t="n">
        <v>0</v>
      </c>
      <c r="N310" t="n">
        <v>0</v>
      </c>
      <c r="O310" t="n">
        <v>0</v>
      </c>
      <c r="P310" t="n">
        <v>0</v>
      </c>
      <c r="Q310" t="n">
        <v>0</v>
      </c>
      <c r="R310" s="2" t="inlineStr"/>
    </row>
    <row r="311" ht="15" customHeight="1">
      <c r="A311" t="inlineStr">
        <is>
          <t>A 63516-2023</t>
        </is>
      </c>
      <c r="B311" s="1" t="n">
        <v>45274</v>
      </c>
      <c r="C311" s="1" t="n">
        <v>45930</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42608-2025</t>
        </is>
      </c>
      <c r="B312" s="1" t="n">
        <v>45905</v>
      </c>
      <c r="C312" s="1" t="n">
        <v>45930</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17847-2025</t>
        </is>
      </c>
      <c r="B313" s="1" t="n">
        <v>45758</v>
      </c>
      <c r="C313" s="1" t="n">
        <v>45930</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18742-2025</t>
        </is>
      </c>
      <c r="B314" s="1" t="n">
        <v>45763</v>
      </c>
      <c r="C314" s="1" t="n">
        <v>45930</v>
      </c>
      <c r="D314" t="inlineStr">
        <is>
          <t>GOTLANDS LÄN</t>
        </is>
      </c>
      <c r="E314" t="inlineStr">
        <is>
          <t>GOTLAND</t>
        </is>
      </c>
      <c r="G314" t="n">
        <v>3.4</v>
      </c>
      <c r="H314" t="n">
        <v>0</v>
      </c>
      <c r="I314" t="n">
        <v>0</v>
      </c>
      <c r="J314" t="n">
        <v>0</v>
      </c>
      <c r="K314" t="n">
        <v>0</v>
      </c>
      <c r="L314" t="n">
        <v>0</v>
      </c>
      <c r="M314" t="n">
        <v>0</v>
      </c>
      <c r="N314" t="n">
        <v>0</v>
      </c>
      <c r="O314" t="n">
        <v>0</v>
      </c>
      <c r="P314" t="n">
        <v>0</v>
      </c>
      <c r="Q314" t="n">
        <v>0</v>
      </c>
      <c r="R314" s="2" t="inlineStr"/>
    </row>
    <row r="315" ht="15" customHeight="1">
      <c r="A315" t="inlineStr">
        <is>
          <t>A 36319-2025</t>
        </is>
      </c>
      <c r="B315" s="1" t="n">
        <v>45868</v>
      </c>
      <c r="C315" s="1" t="n">
        <v>45930</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35129-2025</t>
        </is>
      </c>
      <c r="B316" s="1" t="n">
        <v>45852.63224537037</v>
      </c>
      <c r="C316" s="1" t="n">
        <v>45930</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7034-2023</t>
        </is>
      </c>
      <c r="B317" s="1" t="n">
        <v>44968.32108796296</v>
      </c>
      <c r="C317" s="1" t="n">
        <v>45930</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7042-2023</t>
        </is>
      </c>
      <c r="B318" s="1" t="n">
        <v>44968</v>
      </c>
      <c r="C318" s="1" t="n">
        <v>45930</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64555-2023</t>
        </is>
      </c>
      <c r="B319" s="1" t="n">
        <v>45281</v>
      </c>
      <c r="C319" s="1" t="n">
        <v>45930</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64831-2023</t>
        </is>
      </c>
      <c r="B320" s="1" t="n">
        <v>45282.44924768519</v>
      </c>
      <c r="C320" s="1" t="n">
        <v>45930</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23516-2023</t>
        </is>
      </c>
      <c r="B321" s="1" t="n">
        <v>45076.93391203704</v>
      </c>
      <c r="C321" s="1" t="n">
        <v>45930</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14804-2021</t>
        </is>
      </c>
      <c r="B322" s="1" t="n">
        <v>44280</v>
      </c>
      <c r="C322" s="1" t="n">
        <v>45930</v>
      </c>
      <c r="D322" t="inlineStr">
        <is>
          <t>GOTLANDS LÄN</t>
        </is>
      </c>
      <c r="E322" t="inlineStr">
        <is>
          <t>GOTLAND</t>
        </is>
      </c>
      <c r="G322" t="n">
        <v>2.2</v>
      </c>
      <c r="H322" t="n">
        <v>0</v>
      </c>
      <c r="I322" t="n">
        <v>0</v>
      </c>
      <c r="J322" t="n">
        <v>0</v>
      </c>
      <c r="K322" t="n">
        <v>0</v>
      </c>
      <c r="L322" t="n">
        <v>0</v>
      </c>
      <c r="M322" t="n">
        <v>0</v>
      </c>
      <c r="N322" t="n">
        <v>0</v>
      </c>
      <c r="O322" t="n">
        <v>0</v>
      </c>
      <c r="P322" t="n">
        <v>0</v>
      </c>
      <c r="Q322" t="n">
        <v>0</v>
      </c>
      <c r="R322" s="2" t="inlineStr"/>
    </row>
    <row r="323" ht="15" customHeight="1">
      <c r="A323" t="inlineStr">
        <is>
          <t>A 24001-2021</t>
        </is>
      </c>
      <c r="B323" s="1" t="n">
        <v>44335</v>
      </c>
      <c r="C323" s="1" t="n">
        <v>45930</v>
      </c>
      <c r="D323" t="inlineStr">
        <is>
          <t>GOTLANDS LÄN</t>
        </is>
      </c>
      <c r="E323" t="inlineStr">
        <is>
          <t>GOTLAND</t>
        </is>
      </c>
      <c r="G323" t="n">
        <v>3.4</v>
      </c>
      <c r="H323" t="n">
        <v>0</v>
      </c>
      <c r="I323" t="n">
        <v>0</v>
      </c>
      <c r="J323" t="n">
        <v>0</v>
      </c>
      <c r="K323" t="n">
        <v>0</v>
      </c>
      <c r="L323" t="n">
        <v>0</v>
      </c>
      <c r="M323" t="n">
        <v>0</v>
      </c>
      <c r="N323" t="n">
        <v>0</v>
      </c>
      <c r="O323" t="n">
        <v>0</v>
      </c>
      <c r="P323" t="n">
        <v>0</v>
      </c>
      <c r="Q323" t="n">
        <v>0</v>
      </c>
      <c r="R323" s="2" t="inlineStr"/>
    </row>
    <row r="324" ht="15" customHeight="1">
      <c r="A324" t="inlineStr">
        <is>
          <t>A 999-2023</t>
        </is>
      </c>
      <c r="B324" s="1" t="n">
        <v>44935</v>
      </c>
      <c r="C324" s="1" t="n">
        <v>45930</v>
      </c>
      <c r="D324" t="inlineStr">
        <is>
          <t>GOTLANDS LÄN</t>
        </is>
      </c>
      <c r="E324" t="inlineStr">
        <is>
          <t>GOTLAND</t>
        </is>
      </c>
      <c r="G324" t="n">
        <v>4.7</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45930</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27602-2023</t>
        </is>
      </c>
      <c r="B326" s="1" t="n">
        <v>45097</v>
      </c>
      <c r="C326" s="1" t="n">
        <v>45930</v>
      </c>
      <c r="D326" t="inlineStr">
        <is>
          <t>GOTLANDS LÄN</t>
        </is>
      </c>
      <c r="E326" t="inlineStr">
        <is>
          <t>GOTLAND</t>
        </is>
      </c>
      <c r="G326" t="n">
        <v>2.7</v>
      </c>
      <c r="H326" t="n">
        <v>0</v>
      </c>
      <c r="I326" t="n">
        <v>0</v>
      </c>
      <c r="J326" t="n">
        <v>0</v>
      </c>
      <c r="K326" t="n">
        <v>0</v>
      </c>
      <c r="L326" t="n">
        <v>0</v>
      </c>
      <c r="M326" t="n">
        <v>0</v>
      </c>
      <c r="N326" t="n">
        <v>0</v>
      </c>
      <c r="O326" t="n">
        <v>0</v>
      </c>
      <c r="P326" t="n">
        <v>0</v>
      </c>
      <c r="Q326" t="n">
        <v>0</v>
      </c>
      <c r="R326" s="2" t="inlineStr"/>
    </row>
    <row r="327" ht="15" customHeight="1">
      <c r="A327" t="inlineStr">
        <is>
          <t>A 63763-2023</t>
        </is>
      </c>
      <c r="B327" s="1" t="n">
        <v>45278.33944444444</v>
      </c>
      <c r="C327" s="1" t="n">
        <v>45930</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30365-2024</t>
        </is>
      </c>
      <c r="B328" s="1" t="n">
        <v>45491.3716087963</v>
      </c>
      <c r="C328" s="1" t="n">
        <v>45930</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1681-2023</t>
        </is>
      </c>
      <c r="B329" s="1" t="n">
        <v>44938.39715277778</v>
      </c>
      <c r="C329" s="1" t="n">
        <v>45930</v>
      </c>
      <c r="D329" t="inlineStr">
        <is>
          <t>GOTLANDS LÄN</t>
        </is>
      </c>
      <c r="E329" t="inlineStr">
        <is>
          <t>GOTLAND</t>
        </is>
      </c>
      <c r="G329" t="n">
        <v>2.4</v>
      </c>
      <c r="H329" t="n">
        <v>0</v>
      </c>
      <c r="I329" t="n">
        <v>0</v>
      </c>
      <c r="J329" t="n">
        <v>0</v>
      </c>
      <c r="K329" t="n">
        <v>0</v>
      </c>
      <c r="L329" t="n">
        <v>0</v>
      </c>
      <c r="M329" t="n">
        <v>0</v>
      </c>
      <c r="N329" t="n">
        <v>0</v>
      </c>
      <c r="O329" t="n">
        <v>0</v>
      </c>
      <c r="P329" t="n">
        <v>0</v>
      </c>
      <c r="Q329" t="n">
        <v>0</v>
      </c>
      <c r="R329" s="2" t="inlineStr"/>
    </row>
    <row r="330" ht="15" customHeight="1">
      <c r="A330" t="inlineStr">
        <is>
          <t>A 6099-2024</t>
        </is>
      </c>
      <c r="B330" s="1" t="n">
        <v>45337</v>
      </c>
      <c r="C330" s="1" t="n">
        <v>45930</v>
      </c>
      <c r="D330" t="inlineStr">
        <is>
          <t>GOTLANDS LÄN</t>
        </is>
      </c>
      <c r="E330" t="inlineStr">
        <is>
          <t>GOTLAND</t>
        </is>
      </c>
      <c r="G330" t="n">
        <v>12.6</v>
      </c>
      <c r="H330" t="n">
        <v>0</v>
      </c>
      <c r="I330" t="n">
        <v>0</v>
      </c>
      <c r="J330" t="n">
        <v>0</v>
      </c>
      <c r="K330" t="n">
        <v>0</v>
      </c>
      <c r="L330" t="n">
        <v>0</v>
      </c>
      <c r="M330" t="n">
        <v>0</v>
      </c>
      <c r="N330" t="n">
        <v>0</v>
      </c>
      <c r="O330" t="n">
        <v>0</v>
      </c>
      <c r="P330" t="n">
        <v>0</v>
      </c>
      <c r="Q330" t="n">
        <v>0</v>
      </c>
      <c r="R330" s="2" t="inlineStr"/>
    </row>
    <row r="331" ht="15" customHeight="1">
      <c r="A331" t="inlineStr">
        <is>
          <t>A 4377-2023</t>
        </is>
      </c>
      <c r="B331" s="1" t="n">
        <v>44955.5502662037</v>
      </c>
      <c r="C331" s="1" t="n">
        <v>45930</v>
      </c>
      <c r="D331" t="inlineStr">
        <is>
          <t>GOTLANDS LÄN</t>
        </is>
      </c>
      <c r="E331" t="inlineStr">
        <is>
          <t>GOTLAND</t>
        </is>
      </c>
      <c r="F331" t="inlineStr">
        <is>
          <t>Kyrkan</t>
        </is>
      </c>
      <c r="G331" t="n">
        <v>0.6</v>
      </c>
      <c r="H331" t="n">
        <v>0</v>
      </c>
      <c r="I331" t="n">
        <v>0</v>
      </c>
      <c r="J331" t="n">
        <v>0</v>
      </c>
      <c r="K331" t="n">
        <v>0</v>
      </c>
      <c r="L331" t="n">
        <v>0</v>
      </c>
      <c r="M331" t="n">
        <v>0</v>
      </c>
      <c r="N331" t="n">
        <v>0</v>
      </c>
      <c r="O331" t="n">
        <v>0</v>
      </c>
      <c r="P331" t="n">
        <v>0</v>
      </c>
      <c r="Q331" t="n">
        <v>0</v>
      </c>
      <c r="R331" s="2" t="inlineStr"/>
    </row>
    <row r="332" ht="15" customHeight="1">
      <c r="A332" t="inlineStr">
        <is>
          <t>A 4387-2023</t>
        </is>
      </c>
      <c r="B332" s="1" t="n">
        <v>44955.73359953704</v>
      </c>
      <c r="C332" s="1" t="n">
        <v>45930</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63229-2021</t>
        </is>
      </c>
      <c r="B333" s="1" t="n">
        <v>44508.34518518519</v>
      </c>
      <c r="C333" s="1" t="n">
        <v>45930</v>
      </c>
      <c r="D333" t="inlineStr">
        <is>
          <t>GOTLANDS LÄN</t>
        </is>
      </c>
      <c r="E333" t="inlineStr">
        <is>
          <t>GOTLAND</t>
        </is>
      </c>
      <c r="F333" t="inlineStr">
        <is>
          <t>Kyrkan</t>
        </is>
      </c>
      <c r="G333" t="n">
        <v>3.8</v>
      </c>
      <c r="H333" t="n">
        <v>0</v>
      </c>
      <c r="I333" t="n">
        <v>0</v>
      </c>
      <c r="J333" t="n">
        <v>0</v>
      </c>
      <c r="K333" t="n">
        <v>0</v>
      </c>
      <c r="L333" t="n">
        <v>0</v>
      </c>
      <c r="M333" t="n">
        <v>0</v>
      </c>
      <c r="N333" t="n">
        <v>0</v>
      </c>
      <c r="O333" t="n">
        <v>0</v>
      </c>
      <c r="P333" t="n">
        <v>0</v>
      </c>
      <c r="Q333" t="n">
        <v>0</v>
      </c>
      <c r="R333" s="2" t="inlineStr"/>
    </row>
    <row r="334" ht="15" customHeight="1">
      <c r="A334" t="inlineStr">
        <is>
          <t>A 1273-2023</t>
        </is>
      </c>
      <c r="B334" s="1" t="n">
        <v>44936</v>
      </c>
      <c r="C334" s="1" t="n">
        <v>45930</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46375-2024</t>
        </is>
      </c>
      <c r="B335" s="1" t="n">
        <v>45582</v>
      </c>
      <c r="C335" s="1" t="n">
        <v>45930</v>
      </c>
      <c r="D335" t="inlineStr">
        <is>
          <t>GOTLANDS LÄN</t>
        </is>
      </c>
      <c r="E335" t="inlineStr">
        <is>
          <t>GOTLAND</t>
        </is>
      </c>
      <c r="G335" t="n">
        <v>3</v>
      </c>
      <c r="H335" t="n">
        <v>0</v>
      </c>
      <c r="I335" t="n">
        <v>0</v>
      </c>
      <c r="J335" t="n">
        <v>0</v>
      </c>
      <c r="K335" t="n">
        <v>0</v>
      </c>
      <c r="L335" t="n">
        <v>0</v>
      </c>
      <c r="M335" t="n">
        <v>0</v>
      </c>
      <c r="N335" t="n">
        <v>0</v>
      </c>
      <c r="O335" t="n">
        <v>0</v>
      </c>
      <c r="P335" t="n">
        <v>0</v>
      </c>
      <c r="Q335" t="n">
        <v>0</v>
      </c>
      <c r="R335" s="2" t="inlineStr"/>
    </row>
    <row r="336" ht="15" customHeight="1">
      <c r="A336" t="inlineStr">
        <is>
          <t>A 58780-2024</t>
        </is>
      </c>
      <c r="B336" s="1" t="n">
        <v>45635.84113425926</v>
      </c>
      <c r="C336" s="1" t="n">
        <v>45930</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39479-2022</t>
        </is>
      </c>
      <c r="B337" s="1" t="n">
        <v>44818</v>
      </c>
      <c r="C337" s="1" t="n">
        <v>45930</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45692-2023</t>
        </is>
      </c>
      <c r="B338" s="1" t="n">
        <v>45195</v>
      </c>
      <c r="C338" s="1" t="n">
        <v>45930</v>
      </c>
      <c r="D338" t="inlineStr">
        <is>
          <t>GOTLANDS LÄN</t>
        </is>
      </c>
      <c r="E338" t="inlineStr">
        <is>
          <t>GOTLAND</t>
        </is>
      </c>
      <c r="G338" t="n">
        <v>5.3</v>
      </c>
      <c r="H338" t="n">
        <v>0</v>
      </c>
      <c r="I338" t="n">
        <v>0</v>
      </c>
      <c r="J338" t="n">
        <v>0</v>
      </c>
      <c r="K338" t="n">
        <v>0</v>
      </c>
      <c r="L338" t="n">
        <v>0</v>
      </c>
      <c r="M338" t="n">
        <v>0</v>
      </c>
      <c r="N338" t="n">
        <v>0</v>
      </c>
      <c r="O338" t="n">
        <v>0</v>
      </c>
      <c r="P338" t="n">
        <v>0</v>
      </c>
      <c r="Q338" t="n">
        <v>0</v>
      </c>
      <c r="R338" s="2" t="inlineStr"/>
    </row>
    <row r="339" ht="15" customHeight="1">
      <c r="A339" t="inlineStr">
        <is>
          <t>A 51963-2024</t>
        </is>
      </c>
      <c r="B339" s="1" t="n">
        <v>45607.64833333333</v>
      </c>
      <c r="C339" s="1" t="n">
        <v>45930</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45930</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33876-2024</t>
        </is>
      </c>
      <c r="B341" s="1" t="n">
        <v>45521.87988425926</v>
      </c>
      <c r="C341" s="1" t="n">
        <v>45930</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44405-2025</t>
        </is>
      </c>
      <c r="B342" s="1" t="n">
        <v>45916.52405092592</v>
      </c>
      <c r="C342" s="1" t="n">
        <v>45930</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811-2023</t>
        </is>
      </c>
      <c r="B343" s="1" t="n">
        <v>44931</v>
      </c>
      <c r="C343" s="1" t="n">
        <v>45930</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46389-2021</t>
        </is>
      </c>
      <c r="B344" s="1" t="n">
        <v>44443</v>
      </c>
      <c r="C344" s="1" t="n">
        <v>45930</v>
      </c>
      <c r="D344" t="inlineStr">
        <is>
          <t>GOTLANDS LÄN</t>
        </is>
      </c>
      <c r="E344" t="inlineStr">
        <is>
          <t>GOTLAND</t>
        </is>
      </c>
      <c r="F344" t="inlineStr">
        <is>
          <t>Kyrkan</t>
        </is>
      </c>
      <c r="G344" t="n">
        <v>2.1</v>
      </c>
      <c r="H344" t="n">
        <v>0</v>
      </c>
      <c r="I344" t="n">
        <v>0</v>
      </c>
      <c r="J344" t="n">
        <v>0</v>
      </c>
      <c r="K344" t="n">
        <v>0</v>
      </c>
      <c r="L344" t="n">
        <v>0</v>
      </c>
      <c r="M344" t="n">
        <v>0</v>
      </c>
      <c r="N344" t="n">
        <v>0</v>
      </c>
      <c r="O344" t="n">
        <v>0</v>
      </c>
      <c r="P344" t="n">
        <v>0</v>
      </c>
      <c r="Q344" t="n">
        <v>0</v>
      </c>
      <c r="R344" s="2" t="inlineStr"/>
    </row>
    <row r="345" ht="15" customHeight="1">
      <c r="A345" t="inlineStr">
        <is>
          <t>A 28285-2024</t>
        </is>
      </c>
      <c r="B345" s="1" t="n">
        <v>45477</v>
      </c>
      <c r="C345" s="1" t="n">
        <v>45930</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45930</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61100-2022</t>
        </is>
      </c>
      <c r="B347" s="1" t="n">
        <v>44915</v>
      </c>
      <c r="C347" s="1" t="n">
        <v>45930</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61682-2024</t>
        </is>
      </c>
      <c r="B348" s="1" t="n">
        <v>45647.48824074074</v>
      </c>
      <c r="C348" s="1" t="n">
        <v>45930</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43911-2025</t>
        </is>
      </c>
      <c r="B349" s="1" t="n">
        <v>45914.3881712963</v>
      </c>
      <c r="C349" s="1" t="n">
        <v>45930</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45930</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5923-2023</t>
        </is>
      </c>
      <c r="B351" s="1" t="n">
        <v>44963.69503472222</v>
      </c>
      <c r="C351" s="1" t="n">
        <v>45930</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33853-2024</t>
        </is>
      </c>
      <c r="B352" s="1" t="n">
        <v>45520.64298611111</v>
      </c>
      <c r="C352" s="1" t="n">
        <v>45930</v>
      </c>
      <c r="D352" t="inlineStr">
        <is>
          <t>GOTLANDS LÄN</t>
        </is>
      </c>
      <c r="E352" t="inlineStr">
        <is>
          <t>GOTLAND</t>
        </is>
      </c>
      <c r="G352" t="n">
        <v>3.9</v>
      </c>
      <c r="H352" t="n">
        <v>0</v>
      </c>
      <c r="I352" t="n">
        <v>0</v>
      </c>
      <c r="J352" t="n">
        <v>0</v>
      </c>
      <c r="K352" t="n">
        <v>0</v>
      </c>
      <c r="L352" t="n">
        <v>0</v>
      </c>
      <c r="M352" t="n">
        <v>0</v>
      </c>
      <c r="N352" t="n">
        <v>0</v>
      </c>
      <c r="O352" t="n">
        <v>0</v>
      </c>
      <c r="P352" t="n">
        <v>0</v>
      </c>
      <c r="Q352" t="n">
        <v>0</v>
      </c>
      <c r="R352" s="2" t="inlineStr"/>
    </row>
    <row r="353" ht="15" customHeight="1">
      <c r="A353" t="inlineStr">
        <is>
          <t>A 18918-2025</t>
        </is>
      </c>
      <c r="B353" s="1" t="n">
        <v>45764</v>
      </c>
      <c r="C353" s="1" t="n">
        <v>45930</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2674-2023</t>
        </is>
      </c>
      <c r="B354" s="1" t="n">
        <v>44944</v>
      </c>
      <c r="C354" s="1" t="n">
        <v>45930</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1734-2025</t>
        </is>
      </c>
      <c r="B355" s="1" t="n">
        <v>45671.3840625</v>
      </c>
      <c r="C355" s="1" t="n">
        <v>45930</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10655-2023</t>
        </is>
      </c>
      <c r="B356" s="1" t="n">
        <v>44988.49543981482</v>
      </c>
      <c r="C356" s="1" t="n">
        <v>45930</v>
      </c>
      <c r="D356" t="inlineStr">
        <is>
          <t>GOTLANDS LÄN</t>
        </is>
      </c>
      <c r="E356" t="inlineStr">
        <is>
          <t>GOTLAND</t>
        </is>
      </c>
      <c r="F356" t="inlineStr">
        <is>
          <t>Kyrkan</t>
        </is>
      </c>
      <c r="G356" t="n">
        <v>2</v>
      </c>
      <c r="H356" t="n">
        <v>0</v>
      </c>
      <c r="I356" t="n">
        <v>0</v>
      </c>
      <c r="J356" t="n">
        <v>0</v>
      </c>
      <c r="K356" t="n">
        <v>0</v>
      </c>
      <c r="L356" t="n">
        <v>0</v>
      </c>
      <c r="M356" t="n">
        <v>0</v>
      </c>
      <c r="N356" t="n">
        <v>0</v>
      </c>
      <c r="O356" t="n">
        <v>0</v>
      </c>
      <c r="P356" t="n">
        <v>0</v>
      </c>
      <c r="Q356" t="n">
        <v>0</v>
      </c>
      <c r="R356" s="2" t="inlineStr"/>
    </row>
    <row r="357" ht="15" customHeight="1">
      <c r="A357" t="inlineStr">
        <is>
          <t>A 20993-2023</t>
        </is>
      </c>
      <c r="B357" s="1" t="n">
        <v>45056</v>
      </c>
      <c r="C357" s="1" t="n">
        <v>45930</v>
      </c>
      <c r="D357" t="inlineStr">
        <is>
          <t>GOTLANDS LÄN</t>
        </is>
      </c>
      <c r="E357" t="inlineStr">
        <is>
          <t>GOTLAND</t>
        </is>
      </c>
      <c r="G357" t="n">
        <v>7.1</v>
      </c>
      <c r="H357" t="n">
        <v>0</v>
      </c>
      <c r="I357" t="n">
        <v>0</v>
      </c>
      <c r="J357" t="n">
        <v>0</v>
      </c>
      <c r="K357" t="n">
        <v>0</v>
      </c>
      <c r="L357" t="n">
        <v>0</v>
      </c>
      <c r="M357" t="n">
        <v>0</v>
      </c>
      <c r="N357" t="n">
        <v>0</v>
      </c>
      <c r="O357" t="n">
        <v>0</v>
      </c>
      <c r="P357" t="n">
        <v>0</v>
      </c>
      <c r="Q357" t="n">
        <v>0</v>
      </c>
      <c r="R357" s="2" t="inlineStr"/>
    </row>
    <row r="358" ht="15" customHeight="1">
      <c r="A358" t="inlineStr">
        <is>
          <t>A 43785-2024</t>
        </is>
      </c>
      <c r="B358" s="1" t="n">
        <v>45570</v>
      </c>
      <c r="C358" s="1" t="n">
        <v>45930</v>
      </c>
      <c r="D358" t="inlineStr">
        <is>
          <t>GOTLANDS LÄN</t>
        </is>
      </c>
      <c r="E358" t="inlineStr">
        <is>
          <t>GOTLAND</t>
        </is>
      </c>
      <c r="G358" t="n">
        <v>12.6</v>
      </c>
      <c r="H358" t="n">
        <v>0</v>
      </c>
      <c r="I358" t="n">
        <v>0</v>
      </c>
      <c r="J358" t="n">
        <v>0</v>
      </c>
      <c r="K358" t="n">
        <v>0</v>
      </c>
      <c r="L358" t="n">
        <v>0</v>
      </c>
      <c r="M358" t="n">
        <v>0</v>
      </c>
      <c r="N358" t="n">
        <v>0</v>
      </c>
      <c r="O358" t="n">
        <v>0</v>
      </c>
      <c r="P358" t="n">
        <v>0</v>
      </c>
      <c r="Q358" t="n">
        <v>0</v>
      </c>
      <c r="R358" s="2" t="inlineStr"/>
    </row>
    <row r="359" ht="15" customHeight="1">
      <c r="A359" t="inlineStr">
        <is>
          <t>A 2719-2023</t>
        </is>
      </c>
      <c r="B359" s="1" t="n">
        <v>44944.55361111111</v>
      </c>
      <c r="C359" s="1" t="n">
        <v>45930</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26891-2024</t>
        </is>
      </c>
      <c r="B360" s="1" t="n">
        <v>45470.65540509259</v>
      </c>
      <c r="C360" s="1" t="n">
        <v>45930</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42007-2023</t>
        </is>
      </c>
      <c r="B361" s="1" t="n">
        <v>45177</v>
      </c>
      <c r="C361" s="1" t="n">
        <v>45930</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12596-2023</t>
        </is>
      </c>
      <c r="B362" s="1" t="n">
        <v>45000.43310185185</v>
      </c>
      <c r="C362" s="1" t="n">
        <v>45930</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9887-2025</t>
        </is>
      </c>
      <c r="B363" s="1" t="n">
        <v>45716</v>
      </c>
      <c r="C363" s="1" t="n">
        <v>45930</v>
      </c>
      <c r="D363" t="inlineStr">
        <is>
          <t>GOTLANDS LÄN</t>
        </is>
      </c>
      <c r="E363" t="inlineStr">
        <is>
          <t>GOTLAND</t>
        </is>
      </c>
      <c r="G363" t="n">
        <v>7.5</v>
      </c>
      <c r="H363" t="n">
        <v>0</v>
      </c>
      <c r="I363" t="n">
        <v>0</v>
      </c>
      <c r="J363" t="n">
        <v>0</v>
      </c>
      <c r="K363" t="n">
        <v>0</v>
      </c>
      <c r="L363" t="n">
        <v>0</v>
      </c>
      <c r="M363" t="n">
        <v>0</v>
      </c>
      <c r="N363" t="n">
        <v>0</v>
      </c>
      <c r="O363" t="n">
        <v>0</v>
      </c>
      <c r="P363" t="n">
        <v>0</v>
      </c>
      <c r="Q363" t="n">
        <v>0</v>
      </c>
      <c r="R363" s="2" t="inlineStr"/>
    </row>
    <row r="364" ht="15" customHeight="1">
      <c r="A364" t="inlineStr">
        <is>
          <t>A 2125-2025</t>
        </is>
      </c>
      <c r="B364" s="1" t="n">
        <v>45672.64940972222</v>
      </c>
      <c r="C364" s="1" t="n">
        <v>45930</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12155-2023</t>
        </is>
      </c>
      <c r="B365" s="1" t="n">
        <v>44998.49106481481</v>
      </c>
      <c r="C365" s="1" t="n">
        <v>45930</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457-2023</t>
        </is>
      </c>
      <c r="B366" s="1" t="n">
        <v>44929.87238425926</v>
      </c>
      <c r="C366" s="1" t="n">
        <v>45930</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38165-2023</t>
        </is>
      </c>
      <c r="B367" s="1" t="n">
        <v>45161</v>
      </c>
      <c r="C367" s="1" t="n">
        <v>45930</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6108-2025</t>
        </is>
      </c>
      <c r="B368" s="1" t="n">
        <v>45698.29880787037</v>
      </c>
      <c r="C368" s="1" t="n">
        <v>45930</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21142-2025</t>
        </is>
      </c>
      <c r="B369" s="1" t="n">
        <v>45779</v>
      </c>
      <c r="C369" s="1" t="n">
        <v>45930</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459-2023</t>
        </is>
      </c>
      <c r="B370" s="1" t="n">
        <v>44929.87423611111</v>
      </c>
      <c r="C370" s="1" t="n">
        <v>45930</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10158-2025</t>
        </is>
      </c>
      <c r="B371" s="1" t="n">
        <v>45719</v>
      </c>
      <c r="C371" s="1" t="n">
        <v>45930</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38234-2023</t>
        </is>
      </c>
      <c r="B372" s="1" t="n">
        <v>45161.56663194444</v>
      </c>
      <c r="C372" s="1" t="n">
        <v>45930</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50744-2024</t>
        </is>
      </c>
      <c r="B373" s="1" t="n">
        <v>45602.4187037037</v>
      </c>
      <c r="C373" s="1" t="n">
        <v>45930</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58388-2022</t>
        </is>
      </c>
      <c r="B374" s="1" t="n">
        <v>44894</v>
      </c>
      <c r="C374" s="1" t="n">
        <v>45930</v>
      </c>
      <c r="D374" t="inlineStr">
        <is>
          <t>GOTLANDS LÄN</t>
        </is>
      </c>
      <c r="E374" t="inlineStr">
        <is>
          <t>GOTLAND</t>
        </is>
      </c>
      <c r="F374" t="inlineStr">
        <is>
          <t>Övriga statliga verk och myndigheter</t>
        </is>
      </c>
      <c r="G374" t="n">
        <v>3.1</v>
      </c>
      <c r="H374" t="n">
        <v>0</v>
      </c>
      <c r="I374" t="n">
        <v>0</v>
      </c>
      <c r="J374" t="n">
        <v>0</v>
      </c>
      <c r="K374" t="n">
        <v>0</v>
      </c>
      <c r="L374" t="n">
        <v>0</v>
      </c>
      <c r="M374" t="n">
        <v>0</v>
      </c>
      <c r="N374" t="n">
        <v>0</v>
      </c>
      <c r="O374" t="n">
        <v>0</v>
      </c>
      <c r="P374" t="n">
        <v>0</v>
      </c>
      <c r="Q374" t="n">
        <v>0</v>
      </c>
      <c r="R374" s="2" t="inlineStr"/>
    </row>
    <row r="375" ht="15" customHeight="1">
      <c r="A375" t="inlineStr">
        <is>
          <t>A 27596-2023</t>
        </is>
      </c>
      <c r="B375" s="1" t="n">
        <v>45097</v>
      </c>
      <c r="C375" s="1" t="n">
        <v>45930</v>
      </c>
      <c r="D375" t="inlineStr">
        <is>
          <t>GOTLANDS LÄN</t>
        </is>
      </c>
      <c r="E375" t="inlineStr">
        <is>
          <t>GOTLAND</t>
        </is>
      </c>
      <c r="G375" t="n">
        <v>3.6</v>
      </c>
      <c r="H375" t="n">
        <v>0</v>
      </c>
      <c r="I375" t="n">
        <v>0</v>
      </c>
      <c r="J375" t="n">
        <v>0</v>
      </c>
      <c r="K375" t="n">
        <v>0</v>
      </c>
      <c r="L375" t="n">
        <v>0</v>
      </c>
      <c r="M375" t="n">
        <v>0</v>
      </c>
      <c r="N375" t="n">
        <v>0</v>
      </c>
      <c r="O375" t="n">
        <v>0</v>
      </c>
      <c r="P375" t="n">
        <v>0</v>
      </c>
      <c r="Q375" t="n">
        <v>0</v>
      </c>
      <c r="R375" s="2" t="inlineStr"/>
    </row>
    <row r="376" ht="15" customHeight="1">
      <c r="A376" t="inlineStr">
        <is>
          <t>A 53934-2024</t>
        </is>
      </c>
      <c r="B376" s="1" t="n">
        <v>45615</v>
      </c>
      <c r="C376" s="1" t="n">
        <v>45930</v>
      </c>
      <c r="D376" t="inlineStr">
        <is>
          <t>GOTLANDS LÄN</t>
        </is>
      </c>
      <c r="E376" t="inlineStr">
        <is>
          <t>GOTLAND</t>
        </is>
      </c>
      <c r="G376" t="n">
        <v>5</v>
      </c>
      <c r="H376" t="n">
        <v>0</v>
      </c>
      <c r="I376" t="n">
        <v>0</v>
      </c>
      <c r="J376" t="n">
        <v>0</v>
      </c>
      <c r="K376" t="n">
        <v>0</v>
      </c>
      <c r="L376" t="n">
        <v>0</v>
      </c>
      <c r="M376" t="n">
        <v>0</v>
      </c>
      <c r="N376" t="n">
        <v>0</v>
      </c>
      <c r="O376" t="n">
        <v>0</v>
      </c>
      <c r="P376" t="n">
        <v>0</v>
      </c>
      <c r="Q376" t="n">
        <v>0</v>
      </c>
      <c r="R376" s="2" t="inlineStr"/>
    </row>
    <row r="377" ht="15" customHeight="1">
      <c r="A377" t="inlineStr">
        <is>
          <t>A 24825-2024</t>
        </is>
      </c>
      <c r="B377" s="1" t="n">
        <v>45461</v>
      </c>
      <c r="C377" s="1" t="n">
        <v>45930</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6696-2023</t>
        </is>
      </c>
      <c r="B378" s="1" t="n">
        <v>44966.66425925926</v>
      </c>
      <c r="C378" s="1" t="n">
        <v>45930</v>
      </c>
      <c r="D378" t="inlineStr">
        <is>
          <t>GOTLANDS LÄN</t>
        </is>
      </c>
      <c r="E378" t="inlineStr">
        <is>
          <t>GOTLAND</t>
        </is>
      </c>
      <c r="G378" t="n">
        <v>1.5</v>
      </c>
      <c r="H378" t="n">
        <v>0</v>
      </c>
      <c r="I378" t="n">
        <v>0</v>
      </c>
      <c r="J378" t="n">
        <v>0</v>
      </c>
      <c r="K378" t="n">
        <v>0</v>
      </c>
      <c r="L378" t="n">
        <v>0</v>
      </c>
      <c r="M378" t="n">
        <v>0</v>
      </c>
      <c r="N378" t="n">
        <v>0</v>
      </c>
      <c r="O378" t="n">
        <v>0</v>
      </c>
      <c r="P378" t="n">
        <v>0</v>
      </c>
      <c r="Q378" t="n">
        <v>0</v>
      </c>
      <c r="R378" s="2" t="inlineStr"/>
    </row>
    <row r="379" ht="15" customHeight="1">
      <c r="A379" t="inlineStr">
        <is>
          <t>A 17343-2025</t>
        </is>
      </c>
      <c r="B379" s="1" t="n">
        <v>45756.6687037037</v>
      </c>
      <c r="C379" s="1" t="n">
        <v>45930</v>
      </c>
      <c r="D379" t="inlineStr">
        <is>
          <t>GOTLANDS LÄN</t>
        </is>
      </c>
      <c r="E379" t="inlineStr">
        <is>
          <t>GOTLAND</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21792-2024</t>
        </is>
      </c>
      <c r="B380" s="1" t="n">
        <v>45442.64326388889</v>
      </c>
      <c r="C380" s="1" t="n">
        <v>45930</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21247-2022</t>
        </is>
      </c>
      <c r="B381" s="1" t="n">
        <v>44705.38832175926</v>
      </c>
      <c r="C381" s="1" t="n">
        <v>45930</v>
      </c>
      <c r="D381" t="inlineStr">
        <is>
          <t>GOTLANDS LÄN</t>
        </is>
      </c>
      <c r="E381" t="inlineStr">
        <is>
          <t>GOTLAND</t>
        </is>
      </c>
      <c r="G381" t="n">
        <v>16.2</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45930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456-2023</t>
        </is>
      </c>
      <c r="B383" s="1" t="n">
        <v>44929.87122685185</v>
      </c>
      <c r="C383" s="1" t="n">
        <v>45930</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2714-2023</t>
        </is>
      </c>
      <c r="B384" s="1" t="n">
        <v>44944.54896990741</v>
      </c>
      <c r="C384" s="1" t="n">
        <v>45930</v>
      </c>
      <c r="D384" t="inlineStr">
        <is>
          <t>GOTLANDS LÄN</t>
        </is>
      </c>
      <c r="E384" t="inlineStr">
        <is>
          <t>GOTLAND</t>
        </is>
      </c>
      <c r="G384" t="n">
        <v>0.7</v>
      </c>
      <c r="H384" t="n">
        <v>0</v>
      </c>
      <c r="I384" t="n">
        <v>0</v>
      </c>
      <c r="J384" t="n">
        <v>0</v>
      </c>
      <c r="K384" t="n">
        <v>0</v>
      </c>
      <c r="L384" t="n">
        <v>0</v>
      </c>
      <c r="M384" t="n">
        <v>0</v>
      </c>
      <c r="N384" t="n">
        <v>0</v>
      </c>
      <c r="O384" t="n">
        <v>0</v>
      </c>
      <c r="P384" t="n">
        <v>0</v>
      </c>
      <c r="Q384" t="n">
        <v>0</v>
      </c>
      <c r="R384" s="2" t="inlineStr"/>
    </row>
    <row r="385" ht="15" customHeight="1">
      <c r="A385" t="inlineStr">
        <is>
          <t>A 30489-2025</t>
        </is>
      </c>
      <c r="B385" s="1" t="n">
        <v>45830</v>
      </c>
      <c r="C385" s="1" t="n">
        <v>45930</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4421-2024</t>
        </is>
      </c>
      <c r="B386" s="1" t="n">
        <v>45327.45173611111</v>
      </c>
      <c r="C386" s="1" t="n">
        <v>45930</v>
      </c>
      <c r="D386" t="inlineStr">
        <is>
          <t>GOTLANDS LÄN</t>
        </is>
      </c>
      <c r="E386" t="inlineStr">
        <is>
          <t>GOTLAND</t>
        </is>
      </c>
      <c r="G386" t="n">
        <v>5.1</v>
      </c>
      <c r="H386" t="n">
        <v>0</v>
      </c>
      <c r="I386" t="n">
        <v>0</v>
      </c>
      <c r="J386" t="n">
        <v>0</v>
      </c>
      <c r="K386" t="n">
        <v>0</v>
      </c>
      <c r="L386" t="n">
        <v>0</v>
      </c>
      <c r="M386" t="n">
        <v>0</v>
      </c>
      <c r="N386" t="n">
        <v>0</v>
      </c>
      <c r="O386" t="n">
        <v>0</v>
      </c>
      <c r="P386" t="n">
        <v>0</v>
      </c>
      <c r="Q386" t="n">
        <v>0</v>
      </c>
      <c r="R386" s="2" t="inlineStr"/>
    </row>
    <row r="387" ht="15" customHeight="1">
      <c r="A387" t="inlineStr">
        <is>
          <t>A 18993-2025</t>
        </is>
      </c>
      <c r="B387" s="1" t="n">
        <v>45764</v>
      </c>
      <c r="C387" s="1" t="n">
        <v>45930</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51782-2023</t>
        </is>
      </c>
      <c r="B388" s="1" t="n">
        <v>45222.80952546297</v>
      </c>
      <c r="C388" s="1" t="n">
        <v>45930</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54268-2022</t>
        </is>
      </c>
      <c r="B389" s="1" t="n">
        <v>44882</v>
      </c>
      <c r="C389" s="1" t="n">
        <v>45930</v>
      </c>
      <c r="D389" t="inlineStr">
        <is>
          <t>GOTLANDS LÄN</t>
        </is>
      </c>
      <c r="E389" t="inlineStr">
        <is>
          <t>GOTLAND</t>
        </is>
      </c>
      <c r="G389" t="n">
        <v>2.7</v>
      </c>
      <c r="H389" t="n">
        <v>0</v>
      </c>
      <c r="I389" t="n">
        <v>0</v>
      </c>
      <c r="J389" t="n">
        <v>0</v>
      </c>
      <c r="K389" t="n">
        <v>0</v>
      </c>
      <c r="L389" t="n">
        <v>0</v>
      </c>
      <c r="M389" t="n">
        <v>0</v>
      </c>
      <c r="N389" t="n">
        <v>0</v>
      </c>
      <c r="O389" t="n">
        <v>0</v>
      </c>
      <c r="P389" t="n">
        <v>0</v>
      </c>
      <c r="Q389" t="n">
        <v>0</v>
      </c>
      <c r="R389" s="2" t="inlineStr"/>
    </row>
    <row r="390" ht="15" customHeight="1">
      <c r="A390" t="inlineStr">
        <is>
          <t>A 20307-2025</t>
        </is>
      </c>
      <c r="B390" s="1" t="n">
        <v>45774.95546296296</v>
      </c>
      <c r="C390" s="1" t="n">
        <v>45930</v>
      </c>
      <c r="D390" t="inlineStr">
        <is>
          <t>GOTLANDS LÄN</t>
        </is>
      </c>
      <c r="E390" t="inlineStr">
        <is>
          <t>GOTLAND</t>
        </is>
      </c>
      <c r="G390" t="n">
        <v>6.8</v>
      </c>
      <c r="H390" t="n">
        <v>0</v>
      </c>
      <c r="I390" t="n">
        <v>0</v>
      </c>
      <c r="J390" t="n">
        <v>0</v>
      </c>
      <c r="K390" t="n">
        <v>0</v>
      </c>
      <c r="L390" t="n">
        <v>0</v>
      </c>
      <c r="M390" t="n">
        <v>0</v>
      </c>
      <c r="N390" t="n">
        <v>0</v>
      </c>
      <c r="O390" t="n">
        <v>0</v>
      </c>
      <c r="P390" t="n">
        <v>0</v>
      </c>
      <c r="Q390" t="n">
        <v>0</v>
      </c>
      <c r="R390" s="2" t="inlineStr"/>
    </row>
    <row r="391" ht="15" customHeight="1">
      <c r="A391" t="inlineStr">
        <is>
          <t>A 17688-2024</t>
        </is>
      </c>
      <c r="B391" s="1" t="n">
        <v>45418.43575231481</v>
      </c>
      <c r="C391" s="1" t="n">
        <v>45930</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57534-2022</t>
        </is>
      </c>
      <c r="B392" s="1" t="n">
        <v>44896</v>
      </c>
      <c r="C392" s="1" t="n">
        <v>45930</v>
      </c>
      <c r="D392" t="inlineStr">
        <is>
          <t>GOTLANDS LÄN</t>
        </is>
      </c>
      <c r="E392" t="inlineStr">
        <is>
          <t>GOTLAND</t>
        </is>
      </c>
      <c r="G392" t="n">
        <v>0.6</v>
      </c>
      <c r="H392" t="n">
        <v>0</v>
      </c>
      <c r="I392" t="n">
        <v>0</v>
      </c>
      <c r="J392" t="n">
        <v>0</v>
      </c>
      <c r="K392" t="n">
        <v>0</v>
      </c>
      <c r="L392" t="n">
        <v>0</v>
      </c>
      <c r="M392" t="n">
        <v>0</v>
      </c>
      <c r="N392" t="n">
        <v>0</v>
      </c>
      <c r="O392" t="n">
        <v>0</v>
      </c>
      <c r="P392" t="n">
        <v>0</v>
      </c>
      <c r="Q392" t="n">
        <v>0</v>
      </c>
      <c r="R392" s="2" t="inlineStr"/>
    </row>
    <row r="393" ht="15" customHeight="1">
      <c r="A393" t="inlineStr">
        <is>
          <t>A 7837-2024</t>
        </is>
      </c>
      <c r="B393" s="1" t="n">
        <v>45349.83787037037</v>
      </c>
      <c r="C393" s="1" t="n">
        <v>45930</v>
      </c>
      <c r="D393" t="inlineStr">
        <is>
          <t>GOTLANDS LÄN</t>
        </is>
      </c>
      <c r="E393" t="inlineStr">
        <is>
          <t>GOTLAND</t>
        </is>
      </c>
      <c r="G393" t="n">
        <v>5</v>
      </c>
      <c r="H393" t="n">
        <v>0</v>
      </c>
      <c r="I393" t="n">
        <v>0</v>
      </c>
      <c r="J393" t="n">
        <v>0</v>
      </c>
      <c r="K393" t="n">
        <v>0</v>
      </c>
      <c r="L393" t="n">
        <v>0</v>
      </c>
      <c r="M393" t="n">
        <v>0</v>
      </c>
      <c r="N393" t="n">
        <v>0</v>
      </c>
      <c r="O393" t="n">
        <v>0</v>
      </c>
      <c r="P393" t="n">
        <v>0</v>
      </c>
      <c r="Q393" t="n">
        <v>0</v>
      </c>
      <c r="R393" s="2" t="inlineStr"/>
    </row>
    <row r="394" ht="15" customHeight="1">
      <c r="A394" t="inlineStr">
        <is>
          <t>A 25866-2022</t>
        </is>
      </c>
      <c r="B394" s="1" t="n">
        <v>44733</v>
      </c>
      <c r="C394" s="1" t="n">
        <v>45930</v>
      </c>
      <c r="D394" t="inlineStr">
        <is>
          <t>GOTLANDS LÄN</t>
        </is>
      </c>
      <c r="E394" t="inlineStr">
        <is>
          <t>GOTLAND</t>
        </is>
      </c>
      <c r="G394" t="n">
        <v>2.9</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45183.46704861111</v>
      </c>
      <c r="C395" s="1" t="n">
        <v>45930</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1175-2025</t>
        </is>
      </c>
      <c r="B396" s="1" t="n">
        <v>45667.34449074074</v>
      </c>
      <c r="C396" s="1" t="n">
        <v>45930</v>
      </c>
      <c r="D396" t="inlineStr">
        <is>
          <t>GOTLANDS LÄN</t>
        </is>
      </c>
      <c r="E396" t="inlineStr">
        <is>
          <t>GOTLAND</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27095-2022</t>
        </is>
      </c>
      <c r="B397" s="1" t="n">
        <v>44741</v>
      </c>
      <c r="C397" s="1" t="n">
        <v>45930</v>
      </c>
      <c r="D397" t="inlineStr">
        <is>
          <t>GOTLANDS LÄN</t>
        </is>
      </c>
      <c r="E397" t="inlineStr">
        <is>
          <t>GOTLAND</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22899-2023</t>
        </is>
      </c>
      <c r="B398" s="1" t="n">
        <v>45072</v>
      </c>
      <c r="C398" s="1" t="n">
        <v>45930</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23978-2023</t>
        </is>
      </c>
      <c r="B399" s="1" t="n">
        <v>45078</v>
      </c>
      <c r="C399" s="1" t="n">
        <v>45930</v>
      </c>
      <c r="D399" t="inlineStr">
        <is>
          <t>GOTLANDS LÄN</t>
        </is>
      </c>
      <c r="E399" t="inlineStr">
        <is>
          <t>GOTLAND</t>
        </is>
      </c>
      <c r="F399" t="inlineStr">
        <is>
          <t>Naturvårdsverket</t>
        </is>
      </c>
      <c r="G399" t="n">
        <v>1.7</v>
      </c>
      <c r="H399" t="n">
        <v>0</v>
      </c>
      <c r="I399" t="n">
        <v>0</v>
      </c>
      <c r="J399" t="n">
        <v>0</v>
      </c>
      <c r="K399" t="n">
        <v>0</v>
      </c>
      <c r="L399" t="n">
        <v>0</v>
      </c>
      <c r="M399" t="n">
        <v>0</v>
      </c>
      <c r="N399" t="n">
        <v>0</v>
      </c>
      <c r="O399" t="n">
        <v>0</v>
      </c>
      <c r="P399" t="n">
        <v>0</v>
      </c>
      <c r="Q399" t="n">
        <v>0</v>
      </c>
      <c r="R399" s="2" t="inlineStr"/>
    </row>
    <row r="400" ht="15" customHeight="1">
      <c r="A400" t="inlineStr">
        <is>
          <t>A 34407-2023</t>
        </is>
      </c>
      <c r="B400" s="1" t="n">
        <v>45132</v>
      </c>
      <c r="C400" s="1" t="n">
        <v>45930</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11013-2024</t>
        </is>
      </c>
      <c r="B401" s="1" t="n">
        <v>45370</v>
      </c>
      <c r="C401" s="1" t="n">
        <v>45930</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45930</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1446-2025</t>
        </is>
      </c>
      <c r="B403" s="1" t="n">
        <v>45669.86035879629</v>
      </c>
      <c r="C403" s="1" t="n">
        <v>45930</v>
      </c>
      <c r="D403" t="inlineStr">
        <is>
          <t>GOTLANDS LÄN</t>
        </is>
      </c>
      <c r="E403" t="inlineStr">
        <is>
          <t>GOTLAND</t>
        </is>
      </c>
      <c r="G403" t="n">
        <v>3.1</v>
      </c>
      <c r="H403" t="n">
        <v>0</v>
      </c>
      <c r="I403" t="n">
        <v>0</v>
      </c>
      <c r="J403" t="n">
        <v>0</v>
      </c>
      <c r="K403" t="n">
        <v>0</v>
      </c>
      <c r="L403" t="n">
        <v>0</v>
      </c>
      <c r="M403" t="n">
        <v>0</v>
      </c>
      <c r="N403" t="n">
        <v>0</v>
      </c>
      <c r="O403" t="n">
        <v>0</v>
      </c>
      <c r="P403" t="n">
        <v>0</v>
      </c>
      <c r="Q403" t="n">
        <v>0</v>
      </c>
      <c r="R403" s="2" t="inlineStr"/>
    </row>
    <row r="404" ht="15" customHeight="1">
      <c r="A404" t="inlineStr">
        <is>
          <t>A 10813-2025</t>
        </is>
      </c>
      <c r="B404" s="1" t="n">
        <v>45722.54163194444</v>
      </c>
      <c r="C404" s="1" t="n">
        <v>45930</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45930</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15083-2025</t>
        </is>
      </c>
      <c r="B406" s="1" t="n">
        <v>45743</v>
      </c>
      <c r="C406" s="1" t="n">
        <v>45930</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13037-2025</t>
        </is>
      </c>
      <c r="B407" s="1" t="n">
        <v>45734</v>
      </c>
      <c r="C407" s="1" t="n">
        <v>45930</v>
      </c>
      <c r="D407" t="inlineStr">
        <is>
          <t>GOTLANDS LÄN</t>
        </is>
      </c>
      <c r="E407" t="inlineStr">
        <is>
          <t>GOTLAND</t>
        </is>
      </c>
      <c r="G407" t="n">
        <v>9.5</v>
      </c>
      <c r="H407" t="n">
        <v>0</v>
      </c>
      <c r="I407" t="n">
        <v>0</v>
      </c>
      <c r="J407" t="n">
        <v>0</v>
      </c>
      <c r="K407" t="n">
        <v>0</v>
      </c>
      <c r="L407" t="n">
        <v>0</v>
      </c>
      <c r="M407" t="n">
        <v>0</v>
      </c>
      <c r="N407" t="n">
        <v>0</v>
      </c>
      <c r="O407" t="n">
        <v>0</v>
      </c>
      <c r="P407" t="n">
        <v>0</v>
      </c>
      <c r="Q407" t="n">
        <v>0</v>
      </c>
      <c r="R407" s="2" t="inlineStr"/>
    </row>
    <row r="408" ht="15" customHeight="1">
      <c r="A408" t="inlineStr">
        <is>
          <t>A 31264-2021</t>
        </is>
      </c>
      <c r="B408" s="1" t="n">
        <v>44368</v>
      </c>
      <c r="C408" s="1" t="n">
        <v>45930</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458-2023</t>
        </is>
      </c>
      <c r="B409" s="1" t="n">
        <v>44929</v>
      </c>
      <c r="C409" s="1" t="n">
        <v>45930</v>
      </c>
      <c r="D409" t="inlineStr">
        <is>
          <t>GOTLANDS LÄN</t>
        </is>
      </c>
      <c r="E409" t="inlineStr">
        <is>
          <t>GOTLAND</t>
        </is>
      </c>
      <c r="G409" t="n">
        <v>3.6</v>
      </c>
      <c r="H409" t="n">
        <v>0</v>
      </c>
      <c r="I409" t="n">
        <v>0</v>
      </c>
      <c r="J409" t="n">
        <v>0</v>
      </c>
      <c r="K409" t="n">
        <v>0</v>
      </c>
      <c r="L409" t="n">
        <v>0</v>
      </c>
      <c r="M409" t="n">
        <v>0</v>
      </c>
      <c r="N409" t="n">
        <v>0</v>
      </c>
      <c r="O409" t="n">
        <v>0</v>
      </c>
      <c r="P409" t="n">
        <v>0</v>
      </c>
      <c r="Q409" t="n">
        <v>0</v>
      </c>
      <c r="R409" s="2" t="inlineStr"/>
    </row>
    <row r="410" ht="15" customHeight="1">
      <c r="A410" t="inlineStr">
        <is>
          <t>A 43901-2023</t>
        </is>
      </c>
      <c r="B410" s="1" t="n">
        <v>45187</v>
      </c>
      <c r="C410" s="1" t="n">
        <v>45930</v>
      </c>
      <c r="D410" t="inlineStr">
        <is>
          <t>GOTLANDS LÄN</t>
        </is>
      </c>
      <c r="E410" t="inlineStr">
        <is>
          <t>GOTLAND</t>
        </is>
      </c>
      <c r="G410" t="n">
        <v>5.4</v>
      </c>
      <c r="H410" t="n">
        <v>0</v>
      </c>
      <c r="I410" t="n">
        <v>0</v>
      </c>
      <c r="J410" t="n">
        <v>0</v>
      </c>
      <c r="K410" t="n">
        <v>0</v>
      </c>
      <c r="L410" t="n">
        <v>0</v>
      </c>
      <c r="M410" t="n">
        <v>0</v>
      </c>
      <c r="N410" t="n">
        <v>0</v>
      </c>
      <c r="O410" t="n">
        <v>0</v>
      </c>
      <c r="P410" t="n">
        <v>0</v>
      </c>
      <c r="Q410" t="n">
        <v>0</v>
      </c>
      <c r="R410" s="2" t="inlineStr"/>
    </row>
    <row r="411" ht="15" customHeight="1">
      <c r="A411" t="inlineStr">
        <is>
          <t>A 10746-2025</t>
        </is>
      </c>
      <c r="B411" s="1" t="n">
        <v>45722.42766203704</v>
      </c>
      <c r="C411" s="1" t="n">
        <v>45930</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44228-2022</t>
        </is>
      </c>
      <c r="B412" s="1" t="n">
        <v>44839.51599537037</v>
      </c>
      <c r="C412" s="1" t="n">
        <v>45930</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16501-2023</t>
        </is>
      </c>
      <c r="B413" s="1" t="n">
        <v>45029</v>
      </c>
      <c r="C413" s="1" t="n">
        <v>45930</v>
      </c>
      <c r="D413" t="inlineStr">
        <is>
          <t>GOTLANDS LÄN</t>
        </is>
      </c>
      <c r="E413" t="inlineStr">
        <is>
          <t>GOTLAND</t>
        </is>
      </c>
      <c r="G413" t="n">
        <v>3.1</v>
      </c>
      <c r="H413" t="n">
        <v>0</v>
      </c>
      <c r="I413" t="n">
        <v>0</v>
      </c>
      <c r="J413" t="n">
        <v>0</v>
      </c>
      <c r="K413" t="n">
        <v>0</v>
      </c>
      <c r="L413" t="n">
        <v>0</v>
      </c>
      <c r="M413" t="n">
        <v>0</v>
      </c>
      <c r="N413" t="n">
        <v>0</v>
      </c>
      <c r="O413" t="n">
        <v>0</v>
      </c>
      <c r="P413" t="n">
        <v>0</v>
      </c>
      <c r="Q413" t="n">
        <v>0</v>
      </c>
      <c r="R413" s="2" t="inlineStr"/>
    </row>
    <row r="414" ht="15" customHeight="1">
      <c r="A414" t="inlineStr">
        <is>
          <t>A 58132-2023</t>
        </is>
      </c>
      <c r="B414" s="1" t="n">
        <v>45250</v>
      </c>
      <c r="C414" s="1" t="n">
        <v>45930</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35512-2023</t>
        </is>
      </c>
      <c r="B415" s="1" t="n">
        <v>45147.25623842593</v>
      </c>
      <c r="C415" s="1" t="n">
        <v>45930</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5905-2024</t>
        </is>
      </c>
      <c r="B416" s="1" t="n">
        <v>45335.88993055555</v>
      </c>
      <c r="C416" s="1" t="n">
        <v>45930</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27930-2021</t>
        </is>
      </c>
      <c r="B417" s="1" t="n">
        <v>44354</v>
      </c>
      <c r="C417" s="1" t="n">
        <v>45930</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49884-2023</t>
        </is>
      </c>
      <c r="B418" s="1" t="n">
        <v>45213</v>
      </c>
      <c r="C418" s="1" t="n">
        <v>45930</v>
      </c>
      <c r="D418" t="inlineStr">
        <is>
          <t>GOTLANDS LÄN</t>
        </is>
      </c>
      <c r="E418" t="inlineStr">
        <is>
          <t>GOTLAND</t>
        </is>
      </c>
      <c r="G418" t="n">
        <v>8.9</v>
      </c>
      <c r="H418" t="n">
        <v>0</v>
      </c>
      <c r="I418" t="n">
        <v>0</v>
      </c>
      <c r="J418" t="n">
        <v>0</v>
      </c>
      <c r="K418" t="n">
        <v>0</v>
      </c>
      <c r="L418" t="n">
        <v>0</v>
      </c>
      <c r="M418" t="n">
        <v>0</v>
      </c>
      <c r="N418" t="n">
        <v>0</v>
      </c>
      <c r="O418" t="n">
        <v>0</v>
      </c>
      <c r="P418" t="n">
        <v>0</v>
      </c>
      <c r="Q418" t="n">
        <v>0</v>
      </c>
      <c r="R418" s="2" t="inlineStr"/>
    </row>
    <row r="419" ht="15" customHeight="1">
      <c r="A419" t="inlineStr">
        <is>
          <t>A 61962-2024</t>
        </is>
      </c>
      <c r="B419" s="1" t="n">
        <v>45653.54340277778</v>
      </c>
      <c r="C419" s="1" t="n">
        <v>45930</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1291-2023</t>
        </is>
      </c>
      <c r="B420" s="1" t="n">
        <v>44936.47561342592</v>
      </c>
      <c r="C420" s="1" t="n">
        <v>45930</v>
      </c>
      <c r="D420" t="inlineStr">
        <is>
          <t>GOTLANDS LÄN</t>
        </is>
      </c>
      <c r="E420" t="inlineStr">
        <is>
          <t>GOTLAND</t>
        </is>
      </c>
      <c r="G420" t="n">
        <v>7.4</v>
      </c>
      <c r="H420" t="n">
        <v>0</v>
      </c>
      <c r="I420" t="n">
        <v>0</v>
      </c>
      <c r="J420" t="n">
        <v>0</v>
      </c>
      <c r="K420" t="n">
        <v>0</v>
      </c>
      <c r="L420" t="n">
        <v>0</v>
      </c>
      <c r="M420" t="n">
        <v>0</v>
      </c>
      <c r="N420" t="n">
        <v>0</v>
      </c>
      <c r="O420" t="n">
        <v>0</v>
      </c>
      <c r="P420" t="n">
        <v>0</v>
      </c>
      <c r="Q420" t="n">
        <v>0</v>
      </c>
      <c r="R420" s="2" t="inlineStr"/>
    </row>
    <row r="421" ht="15" customHeight="1">
      <c r="A421" t="inlineStr">
        <is>
          <t>A 10492-2023</t>
        </is>
      </c>
      <c r="B421" s="1" t="n">
        <v>44987</v>
      </c>
      <c r="C421" s="1" t="n">
        <v>45930</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876-2024</t>
        </is>
      </c>
      <c r="B422" s="1" t="n">
        <v>45301</v>
      </c>
      <c r="C422" s="1" t="n">
        <v>45930</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6796-2025</t>
        </is>
      </c>
      <c r="B423" s="1" t="n">
        <v>45700.66559027778</v>
      </c>
      <c r="C423" s="1" t="n">
        <v>45930</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45930</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20356-2022</t>
        </is>
      </c>
      <c r="B425" s="1" t="n">
        <v>44699</v>
      </c>
      <c r="C425" s="1" t="n">
        <v>45930</v>
      </c>
      <c r="D425" t="inlineStr">
        <is>
          <t>GOTLANDS LÄN</t>
        </is>
      </c>
      <c r="E425" t="inlineStr">
        <is>
          <t>GOTLAND</t>
        </is>
      </c>
      <c r="F425" t="inlineStr">
        <is>
          <t>Övriga Aktiebolag</t>
        </is>
      </c>
      <c r="G425" t="n">
        <v>4.4</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45930</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22704-2023</t>
        </is>
      </c>
      <c r="B427" s="1" t="n">
        <v>45071</v>
      </c>
      <c r="C427" s="1" t="n">
        <v>45930</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10653-2023</t>
        </is>
      </c>
      <c r="B428" s="1" t="n">
        <v>44988.48859953704</v>
      </c>
      <c r="C428" s="1" t="n">
        <v>45930</v>
      </c>
      <c r="D428" t="inlineStr">
        <is>
          <t>GOTLANDS LÄN</t>
        </is>
      </c>
      <c r="E428" t="inlineStr">
        <is>
          <t>GOTLAND</t>
        </is>
      </c>
      <c r="F428" t="inlineStr">
        <is>
          <t>Kyrkan</t>
        </is>
      </c>
      <c r="G428" t="n">
        <v>3</v>
      </c>
      <c r="H428" t="n">
        <v>0</v>
      </c>
      <c r="I428" t="n">
        <v>0</v>
      </c>
      <c r="J428" t="n">
        <v>0</v>
      </c>
      <c r="K428" t="n">
        <v>0</v>
      </c>
      <c r="L428" t="n">
        <v>0</v>
      </c>
      <c r="M428" t="n">
        <v>0</v>
      </c>
      <c r="N428" t="n">
        <v>0</v>
      </c>
      <c r="O428" t="n">
        <v>0</v>
      </c>
      <c r="P428" t="n">
        <v>0</v>
      </c>
      <c r="Q428" t="n">
        <v>0</v>
      </c>
      <c r="R428" s="2" t="inlineStr"/>
    </row>
    <row r="429" ht="15" customHeight="1">
      <c r="A429" t="inlineStr">
        <is>
          <t>A 28425-2023</t>
        </is>
      </c>
      <c r="B429" s="1" t="n">
        <v>45102</v>
      </c>
      <c r="C429" s="1" t="n">
        <v>45930</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58476-2022</t>
        </is>
      </c>
      <c r="B430" s="1" t="n">
        <v>44902</v>
      </c>
      <c r="C430" s="1" t="n">
        <v>45930</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4990-2025</t>
        </is>
      </c>
      <c r="B431" s="1" t="n">
        <v>45691</v>
      </c>
      <c r="C431" s="1" t="n">
        <v>45930</v>
      </c>
      <c r="D431" t="inlineStr">
        <is>
          <t>GOTLANDS LÄN</t>
        </is>
      </c>
      <c r="E431" t="inlineStr">
        <is>
          <t>GOTLAND</t>
        </is>
      </c>
      <c r="G431" t="n">
        <v>7.7</v>
      </c>
      <c r="H431" t="n">
        <v>0</v>
      </c>
      <c r="I431" t="n">
        <v>0</v>
      </c>
      <c r="J431" t="n">
        <v>0</v>
      </c>
      <c r="K431" t="n">
        <v>0</v>
      </c>
      <c r="L431" t="n">
        <v>0</v>
      </c>
      <c r="M431" t="n">
        <v>0</v>
      </c>
      <c r="N431" t="n">
        <v>0</v>
      </c>
      <c r="O431" t="n">
        <v>0</v>
      </c>
      <c r="P431" t="n">
        <v>0</v>
      </c>
      <c r="Q431" t="n">
        <v>0</v>
      </c>
      <c r="R431" s="2" t="inlineStr"/>
    </row>
    <row r="432" ht="15" customHeight="1">
      <c r="A432" t="inlineStr">
        <is>
          <t>A 38649-2025</t>
        </is>
      </c>
      <c r="B432" s="1" t="n">
        <v>45884</v>
      </c>
      <c r="C432" s="1" t="n">
        <v>45930</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43200-2023</t>
        </is>
      </c>
      <c r="B433" s="1" t="n">
        <v>45183</v>
      </c>
      <c r="C433" s="1" t="n">
        <v>45930</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43223-2023</t>
        </is>
      </c>
      <c r="B434" s="1" t="n">
        <v>45183.45642361111</v>
      </c>
      <c r="C434" s="1" t="n">
        <v>45930</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12327-2025</t>
        </is>
      </c>
      <c r="B435" s="1" t="n">
        <v>45730</v>
      </c>
      <c r="C435" s="1" t="n">
        <v>45930</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43081-2022</t>
        </is>
      </c>
      <c r="B436" s="1" t="n">
        <v>44833</v>
      </c>
      <c r="C436" s="1" t="n">
        <v>45930</v>
      </c>
      <c r="D436" t="inlineStr">
        <is>
          <t>GOTLANDS LÄN</t>
        </is>
      </c>
      <c r="E436" t="inlineStr">
        <is>
          <t>GOTLAND</t>
        </is>
      </c>
      <c r="G436" t="n">
        <v>6.8</v>
      </c>
      <c r="H436" t="n">
        <v>0</v>
      </c>
      <c r="I436" t="n">
        <v>0</v>
      </c>
      <c r="J436" t="n">
        <v>0</v>
      </c>
      <c r="K436" t="n">
        <v>0</v>
      </c>
      <c r="L436" t="n">
        <v>0</v>
      </c>
      <c r="M436" t="n">
        <v>0</v>
      </c>
      <c r="N436" t="n">
        <v>0</v>
      </c>
      <c r="O436" t="n">
        <v>0</v>
      </c>
      <c r="P436" t="n">
        <v>0</v>
      </c>
      <c r="Q436" t="n">
        <v>0</v>
      </c>
      <c r="R436" s="2" t="inlineStr"/>
    </row>
    <row r="437" ht="15" customHeight="1">
      <c r="A437" t="inlineStr">
        <is>
          <t>A 3431-2025</t>
        </is>
      </c>
      <c r="B437" s="1" t="n">
        <v>45680.42935185185</v>
      </c>
      <c r="C437" s="1" t="n">
        <v>45930</v>
      </c>
      <c r="D437" t="inlineStr">
        <is>
          <t>GOTLANDS LÄN</t>
        </is>
      </c>
      <c r="E437" t="inlineStr">
        <is>
          <t>GOTLAND</t>
        </is>
      </c>
      <c r="G437" t="n">
        <v>4.8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45930</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12209-2024</t>
        </is>
      </c>
      <c r="B439" s="1" t="n">
        <v>45378</v>
      </c>
      <c r="C439" s="1" t="n">
        <v>45930</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12210-2024</t>
        </is>
      </c>
      <c r="B440" s="1" t="n">
        <v>45378</v>
      </c>
      <c r="C440" s="1" t="n">
        <v>45930</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5884-2025</t>
        </is>
      </c>
      <c r="B441" s="1" t="n">
        <v>45695.37482638889</v>
      </c>
      <c r="C441" s="1" t="n">
        <v>45930</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5897-2025</t>
        </is>
      </c>
      <c r="B442" s="1" t="n">
        <v>45695.39273148148</v>
      </c>
      <c r="C442" s="1" t="n">
        <v>45930</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1364-2025</t>
        </is>
      </c>
      <c r="B443" s="1" t="n">
        <v>45667.63929398148</v>
      </c>
      <c r="C443" s="1" t="n">
        <v>45930</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15042-2025</t>
        </is>
      </c>
      <c r="B444" s="1" t="n">
        <v>45743</v>
      </c>
      <c r="C444" s="1" t="n">
        <v>45930</v>
      </c>
      <c r="D444" t="inlineStr">
        <is>
          <t>GOTLANDS LÄN</t>
        </is>
      </c>
      <c r="E444" t="inlineStr">
        <is>
          <t>GOTLAND</t>
        </is>
      </c>
      <c r="G444" t="n">
        <v>8.5</v>
      </c>
      <c r="H444" t="n">
        <v>0</v>
      </c>
      <c r="I444" t="n">
        <v>0</v>
      </c>
      <c r="J444" t="n">
        <v>0</v>
      </c>
      <c r="K444" t="n">
        <v>0</v>
      </c>
      <c r="L444" t="n">
        <v>0</v>
      </c>
      <c r="M444" t="n">
        <v>0</v>
      </c>
      <c r="N444" t="n">
        <v>0</v>
      </c>
      <c r="O444" t="n">
        <v>0</v>
      </c>
      <c r="P444" t="n">
        <v>0</v>
      </c>
      <c r="Q444" t="n">
        <v>0</v>
      </c>
      <c r="R444" s="2" t="inlineStr"/>
    </row>
    <row r="445" ht="15" customHeight="1">
      <c r="A445" t="inlineStr">
        <is>
          <t>A 49693-2023</t>
        </is>
      </c>
      <c r="B445" s="1" t="n">
        <v>45212.38138888889</v>
      </c>
      <c r="C445" s="1" t="n">
        <v>45930</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49697-2023</t>
        </is>
      </c>
      <c r="B446" s="1" t="n">
        <v>45212.38909722222</v>
      </c>
      <c r="C446" s="1" t="n">
        <v>45930</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2180-2025</t>
        </is>
      </c>
      <c r="B447" s="1" t="n">
        <v>45673</v>
      </c>
      <c r="C447" s="1" t="n">
        <v>45930</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15436-2025</t>
        </is>
      </c>
      <c r="B448" s="1" t="n">
        <v>45747.47462962963</v>
      </c>
      <c r="C448" s="1" t="n">
        <v>45930</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10652-2025</t>
        </is>
      </c>
      <c r="B449" s="1" t="n">
        <v>45721.68640046296</v>
      </c>
      <c r="C449" s="1" t="n">
        <v>45930</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17901-2023</t>
        </is>
      </c>
      <c r="B450" s="1" t="n">
        <v>45039</v>
      </c>
      <c r="C450" s="1" t="n">
        <v>45930</v>
      </c>
      <c r="D450" t="inlineStr">
        <is>
          <t>GOTLANDS LÄN</t>
        </is>
      </c>
      <c r="E450" t="inlineStr">
        <is>
          <t>GOTLAND</t>
        </is>
      </c>
      <c r="F450" t="inlineStr">
        <is>
          <t>Kyrkan</t>
        </is>
      </c>
      <c r="G450" t="n">
        <v>0.6</v>
      </c>
      <c r="H450" t="n">
        <v>0</v>
      </c>
      <c r="I450" t="n">
        <v>0</v>
      </c>
      <c r="J450" t="n">
        <v>0</v>
      </c>
      <c r="K450" t="n">
        <v>0</v>
      </c>
      <c r="L450" t="n">
        <v>0</v>
      </c>
      <c r="M450" t="n">
        <v>0</v>
      </c>
      <c r="N450" t="n">
        <v>0</v>
      </c>
      <c r="O450" t="n">
        <v>0</v>
      </c>
      <c r="P450" t="n">
        <v>0</v>
      </c>
      <c r="Q450" t="n">
        <v>0</v>
      </c>
      <c r="R450" s="2" t="inlineStr"/>
    </row>
    <row r="451" ht="15" customHeight="1">
      <c r="A451" t="inlineStr">
        <is>
          <t>A 49257-2024</t>
        </is>
      </c>
      <c r="B451" s="1" t="n">
        <v>45595.47627314815</v>
      </c>
      <c r="C451" s="1" t="n">
        <v>45930</v>
      </c>
      <c r="D451" t="inlineStr">
        <is>
          <t>GOTLANDS LÄN</t>
        </is>
      </c>
      <c r="E451" t="inlineStr">
        <is>
          <t>GOTLAND</t>
        </is>
      </c>
      <c r="G451" t="n">
        <v>6.3</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45930</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44467.49048611111</v>
      </c>
      <c r="C453" s="1" t="n">
        <v>45930</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56115-2023</t>
        </is>
      </c>
      <c r="B454" s="1" t="n">
        <v>45236</v>
      </c>
      <c r="C454" s="1" t="n">
        <v>45930</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46396-2023</t>
        </is>
      </c>
      <c r="B455" s="1" t="n">
        <v>45197</v>
      </c>
      <c r="C455" s="1" t="n">
        <v>45930</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17724-2024</t>
        </is>
      </c>
      <c r="B456" s="1" t="n">
        <v>45418.55096064815</v>
      </c>
      <c r="C456" s="1" t="n">
        <v>45930</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34312-2024</t>
        </is>
      </c>
      <c r="B457" s="1" t="n">
        <v>45524.69703703704</v>
      </c>
      <c r="C457" s="1" t="n">
        <v>45930</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2774-2024</t>
        </is>
      </c>
      <c r="B458" s="1" t="n">
        <v>45314.62375</v>
      </c>
      <c r="C458" s="1" t="n">
        <v>45930</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60709-2023</t>
        </is>
      </c>
      <c r="B459" s="1" t="n">
        <v>45260</v>
      </c>
      <c r="C459" s="1" t="n">
        <v>45930</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6153-2024</t>
        </is>
      </c>
      <c r="B460" s="1" t="n">
        <v>45337</v>
      </c>
      <c r="C460" s="1" t="n">
        <v>45930</v>
      </c>
      <c r="D460" t="inlineStr">
        <is>
          <t>GOTLANDS LÄN</t>
        </is>
      </c>
      <c r="E460" t="inlineStr">
        <is>
          <t>GOTLAND</t>
        </is>
      </c>
      <c r="G460" t="n">
        <v>14.2</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45930</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45930</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45930</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7638-2025</t>
        </is>
      </c>
      <c r="B464" s="1" t="n">
        <v>45705.77306712963</v>
      </c>
      <c r="C464" s="1" t="n">
        <v>45930</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50482-2024</t>
        </is>
      </c>
      <c r="B465" s="1" t="n">
        <v>45601.48114583334</v>
      </c>
      <c r="C465" s="1" t="n">
        <v>45930</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58211-2024</t>
        </is>
      </c>
      <c r="B466" s="1" t="n">
        <v>45632.49292824074</v>
      </c>
      <c r="C466" s="1" t="n">
        <v>45930</v>
      </c>
      <c r="D466" t="inlineStr">
        <is>
          <t>GOTLANDS LÄN</t>
        </is>
      </c>
      <c r="E466" t="inlineStr">
        <is>
          <t>GOTLAND</t>
        </is>
      </c>
      <c r="G466" t="n">
        <v>5.4</v>
      </c>
      <c r="H466" t="n">
        <v>0</v>
      </c>
      <c r="I466" t="n">
        <v>0</v>
      </c>
      <c r="J466" t="n">
        <v>0</v>
      </c>
      <c r="K466" t="n">
        <v>0</v>
      </c>
      <c r="L466" t="n">
        <v>0</v>
      </c>
      <c r="M466" t="n">
        <v>0</v>
      </c>
      <c r="N466" t="n">
        <v>0</v>
      </c>
      <c r="O466" t="n">
        <v>0</v>
      </c>
      <c r="P466" t="n">
        <v>0</v>
      </c>
      <c r="Q466" t="n">
        <v>0</v>
      </c>
      <c r="R466" s="2" t="inlineStr"/>
    </row>
    <row r="467" ht="15" customHeight="1">
      <c r="A467" t="inlineStr">
        <is>
          <t>A 30956-2024</t>
        </is>
      </c>
      <c r="B467" s="1" t="n">
        <v>45499.42527777778</v>
      </c>
      <c r="C467" s="1" t="n">
        <v>45930</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30892-2024</t>
        </is>
      </c>
      <c r="B468" s="1" t="n">
        <v>45491</v>
      </c>
      <c r="C468" s="1" t="n">
        <v>45930</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14635-2023</t>
        </is>
      </c>
      <c r="B469" s="1" t="n">
        <v>45013.69365740741</v>
      </c>
      <c r="C469" s="1" t="n">
        <v>45930</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1394-2023</t>
        </is>
      </c>
      <c r="B470" s="1" t="n">
        <v>44936.72997685185</v>
      </c>
      <c r="C470" s="1" t="n">
        <v>45930</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59469-2024</t>
        </is>
      </c>
      <c r="B471" s="1" t="n">
        <v>45638</v>
      </c>
      <c r="C471" s="1" t="n">
        <v>45930</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7858-2025</t>
        </is>
      </c>
      <c r="B472" s="1" t="n">
        <v>45706.68633101852</v>
      </c>
      <c r="C472" s="1" t="n">
        <v>45930</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45930</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45930</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53935-2024</t>
        </is>
      </c>
      <c r="B475" s="1" t="n">
        <v>45615</v>
      </c>
      <c r="C475" s="1" t="n">
        <v>45930</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18223-2025</t>
        </is>
      </c>
      <c r="B476" s="1" t="n">
        <v>45761</v>
      </c>
      <c r="C476" s="1" t="n">
        <v>45930</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4420-2025</t>
        </is>
      </c>
      <c r="B477" s="1" t="n">
        <v>45686.47157407407</v>
      </c>
      <c r="C477" s="1" t="n">
        <v>45930</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25129-2023</t>
        </is>
      </c>
      <c r="B478" s="1" t="n">
        <v>45086.44261574074</v>
      </c>
      <c r="C478" s="1" t="n">
        <v>45930</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24192-2023</t>
        </is>
      </c>
      <c r="B479" s="1" t="n">
        <v>45079</v>
      </c>
      <c r="C479" s="1" t="n">
        <v>45930</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45930</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7835-2024</t>
        </is>
      </c>
      <c r="B481" s="1" t="n">
        <v>45349.83138888889</v>
      </c>
      <c r="C481" s="1" t="n">
        <v>45930</v>
      </c>
      <c r="D481" t="inlineStr">
        <is>
          <t>GOTLANDS LÄN</t>
        </is>
      </c>
      <c r="E481" t="inlineStr">
        <is>
          <t>GOTLAND</t>
        </is>
      </c>
      <c r="G481" t="n">
        <v>3.8</v>
      </c>
      <c r="H481" t="n">
        <v>0</v>
      </c>
      <c r="I481" t="n">
        <v>0</v>
      </c>
      <c r="J481" t="n">
        <v>0</v>
      </c>
      <c r="K481" t="n">
        <v>0</v>
      </c>
      <c r="L481" t="n">
        <v>0</v>
      </c>
      <c r="M481" t="n">
        <v>0</v>
      </c>
      <c r="N481" t="n">
        <v>0</v>
      </c>
      <c r="O481" t="n">
        <v>0</v>
      </c>
      <c r="P481" t="n">
        <v>0</v>
      </c>
      <c r="Q481" t="n">
        <v>0</v>
      </c>
      <c r="R481" s="2" t="inlineStr"/>
    </row>
    <row r="482" ht="15" customHeight="1">
      <c r="A482" t="inlineStr">
        <is>
          <t>A 20794-2025</t>
        </is>
      </c>
      <c r="B482" s="1" t="n">
        <v>45776</v>
      </c>
      <c r="C482" s="1" t="n">
        <v>45930</v>
      </c>
      <c r="D482" t="inlineStr">
        <is>
          <t>GOTLANDS LÄN</t>
        </is>
      </c>
      <c r="E482" t="inlineStr">
        <is>
          <t>GOTLAND</t>
        </is>
      </c>
      <c r="G482" t="n">
        <v>6</v>
      </c>
      <c r="H482" t="n">
        <v>0</v>
      </c>
      <c r="I482" t="n">
        <v>0</v>
      </c>
      <c r="J482" t="n">
        <v>0</v>
      </c>
      <c r="K482" t="n">
        <v>0</v>
      </c>
      <c r="L482" t="n">
        <v>0</v>
      </c>
      <c r="M482" t="n">
        <v>0</v>
      </c>
      <c r="N482" t="n">
        <v>0</v>
      </c>
      <c r="O482" t="n">
        <v>0</v>
      </c>
      <c r="P482" t="n">
        <v>0</v>
      </c>
      <c r="Q482" t="n">
        <v>0</v>
      </c>
      <c r="R482" s="2" t="inlineStr"/>
    </row>
    <row r="483" ht="15" customHeight="1">
      <c r="A483" t="inlineStr">
        <is>
          <t>A 20805-2025</t>
        </is>
      </c>
      <c r="B483" s="1" t="n">
        <v>45776</v>
      </c>
      <c r="C483" s="1" t="n">
        <v>45930</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21389-2025</t>
        </is>
      </c>
      <c r="B484" s="1" t="n">
        <v>45782</v>
      </c>
      <c r="C484" s="1" t="n">
        <v>45930</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21651-2025</t>
        </is>
      </c>
      <c r="B485" s="1" t="n">
        <v>45783</v>
      </c>
      <c r="C485" s="1" t="n">
        <v>45930</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5386-2023</t>
        </is>
      </c>
      <c r="B486" s="1" t="n">
        <v>44959</v>
      </c>
      <c r="C486" s="1" t="n">
        <v>45930</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7026-2023</t>
        </is>
      </c>
      <c r="B487" s="1" t="n">
        <v>44968.30340277778</v>
      </c>
      <c r="C487" s="1" t="n">
        <v>45930</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20855-2023</t>
        </is>
      </c>
      <c r="B488" s="1" t="n">
        <v>45058.82172453704</v>
      </c>
      <c r="C488" s="1" t="n">
        <v>45930</v>
      </c>
      <c r="D488" t="inlineStr">
        <is>
          <t>GOTLANDS LÄN</t>
        </is>
      </c>
      <c r="E488" t="inlineStr">
        <is>
          <t>GOTLAND</t>
        </is>
      </c>
      <c r="G488" t="n">
        <v>1.7</v>
      </c>
      <c r="H488" t="n">
        <v>0</v>
      </c>
      <c r="I488" t="n">
        <v>0</v>
      </c>
      <c r="J488" t="n">
        <v>0</v>
      </c>
      <c r="K488" t="n">
        <v>0</v>
      </c>
      <c r="L488" t="n">
        <v>0</v>
      </c>
      <c r="M488" t="n">
        <v>0</v>
      </c>
      <c r="N488" t="n">
        <v>0</v>
      </c>
      <c r="O488" t="n">
        <v>0</v>
      </c>
      <c r="P488" t="n">
        <v>0</v>
      </c>
      <c r="Q488" t="n">
        <v>0</v>
      </c>
      <c r="R488" s="2" t="inlineStr"/>
    </row>
    <row r="489" ht="15" customHeight="1">
      <c r="A489" t="inlineStr">
        <is>
          <t>A 16373-2025</t>
        </is>
      </c>
      <c r="B489" s="1" t="n">
        <v>45751</v>
      </c>
      <c r="C489" s="1" t="n">
        <v>45930</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1000-2024</t>
        </is>
      </c>
      <c r="B490" s="1" t="n">
        <v>45301.63371527778</v>
      </c>
      <c r="C490" s="1" t="n">
        <v>45930</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1010-2024</t>
        </is>
      </c>
      <c r="B491" s="1" t="n">
        <v>45301</v>
      </c>
      <c r="C491" s="1" t="n">
        <v>45930</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45930</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46545-2024</t>
        </is>
      </c>
      <c r="B493" s="1" t="n">
        <v>45582.65831018519</v>
      </c>
      <c r="C493" s="1" t="n">
        <v>45930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60086-2022</t>
        </is>
      </c>
      <c r="B494" s="1" t="n">
        <v>44909</v>
      </c>
      <c r="C494" s="1" t="n">
        <v>45930</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57356-2023</t>
        </is>
      </c>
      <c r="B495" s="1" t="n">
        <v>45240</v>
      </c>
      <c r="C495" s="1" t="n">
        <v>45930</v>
      </c>
      <c r="D495" t="inlineStr">
        <is>
          <t>GOTLANDS LÄN</t>
        </is>
      </c>
      <c r="E495" t="inlineStr">
        <is>
          <t>GOTLAND</t>
        </is>
      </c>
      <c r="G495" t="n">
        <v>6.4</v>
      </c>
      <c r="H495" t="n">
        <v>0</v>
      </c>
      <c r="I495" t="n">
        <v>0</v>
      </c>
      <c r="J495" t="n">
        <v>0</v>
      </c>
      <c r="K495" t="n">
        <v>0</v>
      </c>
      <c r="L495" t="n">
        <v>0</v>
      </c>
      <c r="M495" t="n">
        <v>0</v>
      </c>
      <c r="N495" t="n">
        <v>0</v>
      </c>
      <c r="O495" t="n">
        <v>0</v>
      </c>
      <c r="P495" t="n">
        <v>0</v>
      </c>
      <c r="Q495" t="n">
        <v>0</v>
      </c>
      <c r="R495" s="2" t="inlineStr"/>
    </row>
    <row r="496" ht="15" customHeight="1">
      <c r="A496" t="inlineStr">
        <is>
          <t>A 28480-2023</t>
        </is>
      </c>
      <c r="B496" s="1" t="n">
        <v>45103</v>
      </c>
      <c r="C496" s="1" t="n">
        <v>45930</v>
      </c>
      <c r="D496" t="inlineStr">
        <is>
          <t>GOTLANDS LÄN</t>
        </is>
      </c>
      <c r="E496" t="inlineStr">
        <is>
          <t>GOTLAND</t>
        </is>
      </c>
      <c r="G496" t="n">
        <v>5.7</v>
      </c>
      <c r="H496" t="n">
        <v>0</v>
      </c>
      <c r="I496" t="n">
        <v>0</v>
      </c>
      <c r="J496" t="n">
        <v>0</v>
      </c>
      <c r="K496" t="n">
        <v>0</v>
      </c>
      <c r="L496" t="n">
        <v>0</v>
      </c>
      <c r="M496" t="n">
        <v>0</v>
      </c>
      <c r="N496" t="n">
        <v>0</v>
      </c>
      <c r="O496" t="n">
        <v>0</v>
      </c>
      <c r="P496" t="n">
        <v>0</v>
      </c>
      <c r="Q496" t="n">
        <v>0</v>
      </c>
      <c r="R496" s="2" t="inlineStr"/>
    </row>
    <row r="497" ht="15" customHeight="1">
      <c r="A497" t="inlineStr">
        <is>
          <t>A 28485-2023</t>
        </is>
      </c>
      <c r="B497" s="1" t="n">
        <v>45103.43731481482</v>
      </c>
      <c r="C497" s="1" t="n">
        <v>45930</v>
      </c>
      <c r="D497" t="inlineStr">
        <is>
          <t>GOTLANDS LÄN</t>
        </is>
      </c>
      <c r="E497" t="inlineStr">
        <is>
          <t>GOTLAND</t>
        </is>
      </c>
      <c r="G497" t="n">
        <v>2.3</v>
      </c>
      <c r="H497" t="n">
        <v>0</v>
      </c>
      <c r="I497" t="n">
        <v>0</v>
      </c>
      <c r="J497" t="n">
        <v>0</v>
      </c>
      <c r="K497" t="n">
        <v>0</v>
      </c>
      <c r="L497" t="n">
        <v>0</v>
      </c>
      <c r="M497" t="n">
        <v>0</v>
      </c>
      <c r="N497" t="n">
        <v>0</v>
      </c>
      <c r="O497" t="n">
        <v>0</v>
      </c>
      <c r="P497" t="n">
        <v>0</v>
      </c>
      <c r="Q497" t="n">
        <v>0</v>
      </c>
      <c r="R497" s="2" t="inlineStr"/>
    </row>
    <row r="498" ht="15" customHeight="1">
      <c r="A498" t="inlineStr">
        <is>
          <t>A 10656-2024</t>
        </is>
      </c>
      <c r="B498" s="1" t="n">
        <v>45368</v>
      </c>
      <c r="C498" s="1" t="n">
        <v>45930</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62915-2021</t>
        </is>
      </c>
      <c r="B499" s="1" t="n">
        <v>44504</v>
      </c>
      <c r="C499" s="1" t="n">
        <v>45930</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28506-2023</t>
        </is>
      </c>
      <c r="B500" s="1" t="n">
        <v>45103</v>
      </c>
      <c r="C500" s="1" t="n">
        <v>45930</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21420-2024</t>
        </is>
      </c>
      <c r="B501" s="1" t="n">
        <v>45441.38293981482</v>
      </c>
      <c r="C501" s="1" t="n">
        <v>45930</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44949-2023</t>
        </is>
      </c>
      <c r="B502" s="1" t="n">
        <v>45190.69520833333</v>
      </c>
      <c r="C502" s="1" t="n">
        <v>45930</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23188-2025</t>
        </is>
      </c>
      <c r="B503" s="1" t="n">
        <v>45791</v>
      </c>
      <c r="C503" s="1" t="n">
        <v>45930</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37222-2021</t>
        </is>
      </c>
      <c r="B504" s="1" t="n">
        <v>44396</v>
      </c>
      <c r="C504" s="1" t="n">
        <v>45930</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23473-2025</t>
        </is>
      </c>
      <c r="B505" s="1" t="n">
        <v>45792</v>
      </c>
      <c r="C505" s="1" t="n">
        <v>45930</v>
      </c>
      <c r="D505" t="inlineStr">
        <is>
          <t>GOTLANDS LÄN</t>
        </is>
      </c>
      <c r="E505" t="inlineStr">
        <is>
          <t>GOTLAND</t>
        </is>
      </c>
      <c r="G505" t="n">
        <v>3.6</v>
      </c>
      <c r="H505" t="n">
        <v>0</v>
      </c>
      <c r="I505" t="n">
        <v>0</v>
      </c>
      <c r="J505" t="n">
        <v>0</v>
      </c>
      <c r="K505" t="n">
        <v>0</v>
      </c>
      <c r="L505" t="n">
        <v>0</v>
      </c>
      <c r="M505" t="n">
        <v>0</v>
      </c>
      <c r="N505" t="n">
        <v>0</v>
      </c>
      <c r="O505" t="n">
        <v>0</v>
      </c>
      <c r="P505" t="n">
        <v>0</v>
      </c>
      <c r="Q505" t="n">
        <v>0</v>
      </c>
      <c r="R505" s="2" t="inlineStr"/>
    </row>
    <row r="506" ht="15" customHeight="1">
      <c r="A506" t="inlineStr">
        <is>
          <t>A 23856-2025</t>
        </is>
      </c>
      <c r="B506" s="1" t="n">
        <v>45793</v>
      </c>
      <c r="C506" s="1" t="n">
        <v>45930</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3964-2024</t>
        </is>
      </c>
      <c r="B507" s="1" t="n">
        <v>45322</v>
      </c>
      <c r="C507" s="1" t="n">
        <v>45930</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45084-2024</t>
        </is>
      </c>
      <c r="B508" s="1" t="n">
        <v>45575</v>
      </c>
      <c r="C508" s="1" t="n">
        <v>45930</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15073-2025</t>
        </is>
      </c>
      <c r="B509" s="1" t="n">
        <v>45743</v>
      </c>
      <c r="C509" s="1" t="n">
        <v>45930</v>
      </c>
      <c r="D509" t="inlineStr">
        <is>
          <t>GOTLANDS LÄN</t>
        </is>
      </c>
      <c r="E509" t="inlineStr">
        <is>
          <t>GOTLAND</t>
        </is>
      </c>
      <c r="G509" t="n">
        <v>12.1</v>
      </c>
      <c r="H509" t="n">
        <v>0</v>
      </c>
      <c r="I509" t="n">
        <v>0</v>
      </c>
      <c r="J509" t="n">
        <v>0</v>
      </c>
      <c r="K509" t="n">
        <v>0</v>
      </c>
      <c r="L509" t="n">
        <v>0</v>
      </c>
      <c r="M509" t="n">
        <v>0</v>
      </c>
      <c r="N509" t="n">
        <v>0</v>
      </c>
      <c r="O509" t="n">
        <v>0</v>
      </c>
      <c r="P509" t="n">
        <v>0</v>
      </c>
      <c r="Q509" t="n">
        <v>0</v>
      </c>
      <c r="R509" s="2" t="inlineStr"/>
    </row>
    <row r="510" ht="15" customHeight="1">
      <c r="A510" t="inlineStr">
        <is>
          <t>A 6749-2025</t>
        </is>
      </c>
      <c r="B510" s="1" t="n">
        <v>45700</v>
      </c>
      <c r="C510" s="1" t="n">
        <v>45930</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23698-2025</t>
        </is>
      </c>
      <c r="B511" s="1" t="n">
        <v>45793</v>
      </c>
      <c r="C511" s="1" t="n">
        <v>45930</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5217-2023</t>
        </is>
      </c>
      <c r="B512" s="1" t="n">
        <v>44959.39582175926</v>
      </c>
      <c r="C512" s="1" t="n">
        <v>45930</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1677-2023</t>
        </is>
      </c>
      <c r="B513" s="1" t="n">
        <v>44938</v>
      </c>
      <c r="C513" s="1" t="n">
        <v>45930</v>
      </c>
      <c r="D513" t="inlineStr">
        <is>
          <t>GOTLANDS LÄN</t>
        </is>
      </c>
      <c r="E513" t="inlineStr">
        <is>
          <t>GOTLAND</t>
        </is>
      </c>
      <c r="G513" t="n">
        <v>1.6</v>
      </c>
      <c r="H513" t="n">
        <v>0</v>
      </c>
      <c r="I513" t="n">
        <v>0</v>
      </c>
      <c r="J513" t="n">
        <v>0</v>
      </c>
      <c r="K513" t="n">
        <v>0</v>
      </c>
      <c r="L513" t="n">
        <v>0</v>
      </c>
      <c r="M513" t="n">
        <v>0</v>
      </c>
      <c r="N513" t="n">
        <v>0</v>
      </c>
      <c r="O513" t="n">
        <v>0</v>
      </c>
      <c r="P513" t="n">
        <v>0</v>
      </c>
      <c r="Q513" t="n">
        <v>0</v>
      </c>
      <c r="R513" s="2" t="inlineStr"/>
    </row>
    <row r="514" ht="15" customHeight="1">
      <c r="A514" t="inlineStr">
        <is>
          <t>A 45244-2024</t>
        </is>
      </c>
      <c r="B514" s="1" t="n">
        <v>45576</v>
      </c>
      <c r="C514" s="1" t="n">
        <v>45930</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5462-2025</t>
        </is>
      </c>
      <c r="B515" s="1" t="n">
        <v>45693.29331018519</v>
      </c>
      <c r="C515" s="1" t="n">
        <v>45930</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25796-2025</t>
        </is>
      </c>
      <c r="B516" s="1" t="n">
        <v>45804.39543981481</v>
      </c>
      <c r="C516" s="1" t="n">
        <v>45930</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26391-2025</t>
        </is>
      </c>
      <c r="B517" s="1" t="n">
        <v>45806</v>
      </c>
      <c r="C517" s="1" t="n">
        <v>45930</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8260-2023</t>
        </is>
      </c>
      <c r="B518" s="1" t="n">
        <v>44974.61608796296</v>
      </c>
      <c r="C518" s="1" t="n">
        <v>45930</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45930</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26457-2025</t>
        </is>
      </c>
      <c r="B520" s="1" t="n">
        <v>45807.42773148148</v>
      </c>
      <c r="C520" s="1" t="n">
        <v>45930</v>
      </c>
      <c r="D520" t="inlineStr">
        <is>
          <t>GOTLANDS LÄN</t>
        </is>
      </c>
      <c r="E520" t="inlineStr">
        <is>
          <t>GOTLAND</t>
        </is>
      </c>
      <c r="G520" t="n">
        <v>5.7</v>
      </c>
      <c r="H520" t="n">
        <v>0</v>
      </c>
      <c r="I520" t="n">
        <v>0</v>
      </c>
      <c r="J520" t="n">
        <v>0</v>
      </c>
      <c r="K520" t="n">
        <v>0</v>
      </c>
      <c r="L520" t="n">
        <v>0</v>
      </c>
      <c r="M520" t="n">
        <v>0</v>
      </c>
      <c r="N520" t="n">
        <v>0</v>
      </c>
      <c r="O520" t="n">
        <v>0</v>
      </c>
      <c r="P520" t="n">
        <v>0</v>
      </c>
      <c r="Q520" t="n">
        <v>0</v>
      </c>
      <c r="R520" s="2" t="inlineStr"/>
    </row>
    <row r="521" ht="15" customHeight="1">
      <c r="A521" t="inlineStr">
        <is>
          <t>A 26467-2025</t>
        </is>
      </c>
      <c r="B521" s="1" t="n">
        <v>45807.44640046296</v>
      </c>
      <c r="C521" s="1" t="n">
        <v>45930</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48843-2024</t>
        </is>
      </c>
      <c r="B522" s="1" t="n">
        <v>45593</v>
      </c>
      <c r="C522" s="1" t="n">
        <v>45930</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17541-2024</t>
        </is>
      </c>
      <c r="B523" s="1" t="n">
        <v>45415</v>
      </c>
      <c r="C523" s="1" t="n">
        <v>45930</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26465-2025</t>
        </is>
      </c>
      <c r="B524" s="1" t="n">
        <v>45807.44377314814</v>
      </c>
      <c r="C524" s="1" t="n">
        <v>45930</v>
      </c>
      <c r="D524" t="inlineStr">
        <is>
          <t>GOTLANDS LÄN</t>
        </is>
      </c>
      <c r="E524" t="inlineStr">
        <is>
          <t>GOTLAND</t>
        </is>
      </c>
      <c r="G524" t="n">
        <v>4.5</v>
      </c>
      <c r="H524" t="n">
        <v>0</v>
      </c>
      <c r="I524" t="n">
        <v>0</v>
      </c>
      <c r="J524" t="n">
        <v>0</v>
      </c>
      <c r="K524" t="n">
        <v>0</v>
      </c>
      <c r="L524" t="n">
        <v>0</v>
      </c>
      <c r="M524" t="n">
        <v>0</v>
      </c>
      <c r="N524" t="n">
        <v>0</v>
      </c>
      <c r="O524" t="n">
        <v>0</v>
      </c>
      <c r="P524" t="n">
        <v>0</v>
      </c>
      <c r="Q524" t="n">
        <v>0</v>
      </c>
      <c r="R524" s="2" t="inlineStr"/>
    </row>
    <row r="525" ht="15" customHeight="1">
      <c r="A525" t="inlineStr">
        <is>
          <t>A 26660-2025</t>
        </is>
      </c>
      <c r="B525" s="1" t="n">
        <v>45810.39737268518</v>
      </c>
      <c r="C525" s="1" t="n">
        <v>45930</v>
      </c>
      <c r="D525" t="inlineStr">
        <is>
          <t>GOTLANDS LÄN</t>
        </is>
      </c>
      <c r="E525" t="inlineStr">
        <is>
          <t>GOTLAND</t>
        </is>
      </c>
      <c r="G525" t="n">
        <v>1.8</v>
      </c>
      <c r="H525" t="n">
        <v>0</v>
      </c>
      <c r="I525" t="n">
        <v>0</v>
      </c>
      <c r="J525" t="n">
        <v>0</v>
      </c>
      <c r="K525" t="n">
        <v>0</v>
      </c>
      <c r="L525" t="n">
        <v>0</v>
      </c>
      <c r="M525" t="n">
        <v>0</v>
      </c>
      <c r="N525" t="n">
        <v>0</v>
      </c>
      <c r="O525" t="n">
        <v>0</v>
      </c>
      <c r="P525" t="n">
        <v>0</v>
      </c>
      <c r="Q525" t="n">
        <v>0</v>
      </c>
      <c r="R525" s="2" t="inlineStr"/>
    </row>
    <row r="526" ht="15" customHeight="1">
      <c r="A526" t="inlineStr">
        <is>
          <t>A 2241-2025</t>
        </is>
      </c>
      <c r="B526" s="1" t="n">
        <v>45673.48710648148</v>
      </c>
      <c r="C526" s="1" t="n">
        <v>45930</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27348-2025</t>
        </is>
      </c>
      <c r="B527" s="1" t="n">
        <v>45812.62451388889</v>
      </c>
      <c r="C527" s="1" t="n">
        <v>45930</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15434-2024</t>
        </is>
      </c>
      <c r="B528" s="1" t="n">
        <v>45401.38836805556</v>
      </c>
      <c r="C528" s="1" t="n">
        <v>45930</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27371-2025</t>
        </is>
      </c>
      <c r="B529" s="1" t="n">
        <v>45812</v>
      </c>
      <c r="C529" s="1" t="n">
        <v>45930</v>
      </c>
      <c r="D529" t="inlineStr">
        <is>
          <t>GOTLANDS LÄN</t>
        </is>
      </c>
      <c r="E529" t="inlineStr">
        <is>
          <t>GOTLAND</t>
        </is>
      </c>
      <c r="G529" t="n">
        <v>8</v>
      </c>
      <c r="H529" t="n">
        <v>0</v>
      </c>
      <c r="I529" t="n">
        <v>0</v>
      </c>
      <c r="J529" t="n">
        <v>0</v>
      </c>
      <c r="K529" t="n">
        <v>0</v>
      </c>
      <c r="L529" t="n">
        <v>0</v>
      </c>
      <c r="M529" t="n">
        <v>0</v>
      </c>
      <c r="N529" t="n">
        <v>0</v>
      </c>
      <c r="O529" t="n">
        <v>0</v>
      </c>
      <c r="P529" t="n">
        <v>0</v>
      </c>
      <c r="Q529" t="n">
        <v>0</v>
      </c>
      <c r="R529" s="2" t="inlineStr"/>
    </row>
    <row r="530" ht="15" customHeight="1">
      <c r="A530" t="inlineStr">
        <is>
          <t>A 5943-2024</t>
        </is>
      </c>
      <c r="B530" s="1" t="n">
        <v>45336</v>
      </c>
      <c r="C530" s="1" t="n">
        <v>45930</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27355-2025</t>
        </is>
      </c>
      <c r="B531" s="1" t="n">
        <v>45812</v>
      </c>
      <c r="C531" s="1" t="n">
        <v>45930</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6739-2025</t>
        </is>
      </c>
      <c r="B532" s="1" t="n">
        <v>45700</v>
      </c>
      <c r="C532" s="1" t="n">
        <v>45930</v>
      </c>
      <c r="D532" t="inlineStr">
        <is>
          <t>GOTLANDS LÄN</t>
        </is>
      </c>
      <c r="E532" t="inlineStr">
        <is>
          <t>GOTLAND</t>
        </is>
      </c>
      <c r="G532" t="n">
        <v>4.5</v>
      </c>
      <c r="H532" t="n">
        <v>0</v>
      </c>
      <c r="I532" t="n">
        <v>0</v>
      </c>
      <c r="J532" t="n">
        <v>0</v>
      </c>
      <c r="K532" t="n">
        <v>0</v>
      </c>
      <c r="L532" t="n">
        <v>0</v>
      </c>
      <c r="M532" t="n">
        <v>0</v>
      </c>
      <c r="N532" t="n">
        <v>0</v>
      </c>
      <c r="O532" t="n">
        <v>0</v>
      </c>
      <c r="P532" t="n">
        <v>0</v>
      </c>
      <c r="Q532" t="n">
        <v>0</v>
      </c>
      <c r="R532" s="2" t="inlineStr"/>
    </row>
    <row r="533" ht="15" customHeight="1">
      <c r="A533" t="inlineStr">
        <is>
          <t>A 7850-2025</t>
        </is>
      </c>
      <c r="B533" s="1" t="n">
        <v>45706</v>
      </c>
      <c r="C533" s="1" t="n">
        <v>45930</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44881.50380787037</v>
      </c>
      <c r="C534" s="1" t="n">
        <v>45930</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16361-2024</t>
        </is>
      </c>
      <c r="B535" s="1" t="n">
        <v>45407</v>
      </c>
      <c r="C535" s="1" t="n">
        <v>45930</v>
      </c>
      <c r="D535" t="inlineStr">
        <is>
          <t>GOTLANDS LÄN</t>
        </is>
      </c>
      <c r="E535" t="inlineStr">
        <is>
          <t>GOTLAND</t>
        </is>
      </c>
      <c r="G535" t="n">
        <v>6</v>
      </c>
      <c r="H535" t="n">
        <v>0</v>
      </c>
      <c r="I535" t="n">
        <v>0</v>
      </c>
      <c r="J535" t="n">
        <v>0</v>
      </c>
      <c r="K535" t="n">
        <v>0</v>
      </c>
      <c r="L535" t="n">
        <v>0</v>
      </c>
      <c r="M535" t="n">
        <v>0</v>
      </c>
      <c r="N535" t="n">
        <v>0</v>
      </c>
      <c r="O535" t="n">
        <v>0</v>
      </c>
      <c r="P535" t="n">
        <v>0</v>
      </c>
      <c r="Q535" t="n">
        <v>0</v>
      </c>
      <c r="R535" s="2" t="inlineStr"/>
    </row>
    <row r="536" ht="15" customHeight="1">
      <c r="A536" t="inlineStr">
        <is>
          <t>A 41038-2023</t>
        </is>
      </c>
      <c r="B536" s="1" t="n">
        <v>45173.60959490741</v>
      </c>
      <c r="C536" s="1" t="n">
        <v>45930</v>
      </c>
      <c r="D536" t="inlineStr">
        <is>
          <t>GOTLANDS LÄN</t>
        </is>
      </c>
      <c r="E536" t="inlineStr">
        <is>
          <t>GOTLAND</t>
        </is>
      </c>
      <c r="G536" t="n">
        <v>2.7</v>
      </c>
      <c r="H536" t="n">
        <v>0</v>
      </c>
      <c r="I536" t="n">
        <v>0</v>
      </c>
      <c r="J536" t="n">
        <v>0</v>
      </c>
      <c r="K536" t="n">
        <v>0</v>
      </c>
      <c r="L536" t="n">
        <v>0</v>
      </c>
      <c r="M536" t="n">
        <v>0</v>
      </c>
      <c r="N536" t="n">
        <v>0</v>
      </c>
      <c r="O536" t="n">
        <v>0</v>
      </c>
      <c r="P536" t="n">
        <v>0</v>
      </c>
      <c r="Q536" t="n">
        <v>0</v>
      </c>
      <c r="R536" s="2" t="inlineStr"/>
    </row>
    <row r="537" ht="15" customHeight="1">
      <c r="A537" t="inlineStr">
        <is>
          <t>A 8444-2025</t>
        </is>
      </c>
      <c r="B537" s="1" t="n">
        <v>45709</v>
      </c>
      <c r="C537" s="1" t="n">
        <v>45930</v>
      </c>
      <c r="D537" t="inlineStr">
        <is>
          <t>GOTLANDS LÄN</t>
        </is>
      </c>
      <c r="E537" t="inlineStr">
        <is>
          <t>GOTLAND</t>
        </is>
      </c>
      <c r="G537" t="n">
        <v>5.2</v>
      </c>
      <c r="H537" t="n">
        <v>0</v>
      </c>
      <c r="I537" t="n">
        <v>0</v>
      </c>
      <c r="J537" t="n">
        <v>0</v>
      </c>
      <c r="K537" t="n">
        <v>0</v>
      </c>
      <c r="L537" t="n">
        <v>0</v>
      </c>
      <c r="M537" t="n">
        <v>0</v>
      </c>
      <c r="N537" t="n">
        <v>0</v>
      </c>
      <c r="O537" t="n">
        <v>0</v>
      </c>
      <c r="P537" t="n">
        <v>0</v>
      </c>
      <c r="Q537" t="n">
        <v>0</v>
      </c>
      <c r="R537" s="2" t="inlineStr"/>
    </row>
    <row r="538" ht="15" customHeight="1">
      <c r="A538" t="inlineStr">
        <is>
          <t>A 19905-2025</t>
        </is>
      </c>
      <c r="B538" s="1" t="n">
        <v>45771</v>
      </c>
      <c r="C538" s="1" t="n">
        <v>45930</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29196-2025</t>
        </is>
      </c>
      <c r="B539" s="1" t="n">
        <v>45822</v>
      </c>
      <c r="C539" s="1" t="n">
        <v>45930</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14427-2024</t>
        </is>
      </c>
      <c r="B540" s="1" t="n">
        <v>45394</v>
      </c>
      <c r="C540" s="1" t="n">
        <v>45930</v>
      </c>
      <c r="D540" t="inlineStr">
        <is>
          <t>GOTLANDS LÄN</t>
        </is>
      </c>
      <c r="E540" t="inlineStr">
        <is>
          <t>GOTLAND</t>
        </is>
      </c>
      <c r="G540" t="n">
        <v>1.3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45930</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31802-2024</t>
        </is>
      </c>
      <c r="B542" s="1" t="n">
        <v>45509</v>
      </c>
      <c r="C542" s="1" t="n">
        <v>45930</v>
      </c>
      <c r="D542" t="inlineStr">
        <is>
          <t>GOTLANDS LÄN</t>
        </is>
      </c>
      <c r="E542" t="inlineStr">
        <is>
          <t>GOTLAND</t>
        </is>
      </c>
      <c r="G542" t="n">
        <v>2.8</v>
      </c>
      <c r="H542" t="n">
        <v>0</v>
      </c>
      <c r="I542" t="n">
        <v>0</v>
      </c>
      <c r="J542" t="n">
        <v>0</v>
      </c>
      <c r="K542" t="n">
        <v>0</v>
      </c>
      <c r="L542" t="n">
        <v>0</v>
      </c>
      <c r="M542" t="n">
        <v>0</v>
      </c>
      <c r="N542" t="n">
        <v>0</v>
      </c>
      <c r="O542" t="n">
        <v>0</v>
      </c>
      <c r="P542" t="n">
        <v>0</v>
      </c>
      <c r="Q542" t="n">
        <v>0</v>
      </c>
      <c r="R542" s="2" t="inlineStr"/>
    </row>
    <row r="543" ht="15" customHeight="1">
      <c r="A543" t="inlineStr">
        <is>
          <t>A 30157-2025</t>
        </is>
      </c>
      <c r="B543" s="1" t="n">
        <v>45826</v>
      </c>
      <c r="C543" s="1" t="n">
        <v>45930</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30061-2025</t>
        </is>
      </c>
      <c r="B544" s="1" t="n">
        <v>45826.61488425926</v>
      </c>
      <c r="C544" s="1" t="n">
        <v>45930</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45930</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58160-2024</t>
        </is>
      </c>
      <c r="B546" s="1" t="n">
        <v>45632.44927083333</v>
      </c>
      <c r="C546" s="1" t="n">
        <v>45930</v>
      </c>
      <c r="D546" t="inlineStr">
        <is>
          <t>GOTLANDS LÄN</t>
        </is>
      </c>
      <c r="E546" t="inlineStr">
        <is>
          <t>GOTLAND</t>
        </is>
      </c>
      <c r="G546" t="n">
        <v>5.6</v>
      </c>
      <c r="H546" t="n">
        <v>0</v>
      </c>
      <c r="I546" t="n">
        <v>0</v>
      </c>
      <c r="J546" t="n">
        <v>0</v>
      </c>
      <c r="K546" t="n">
        <v>0</v>
      </c>
      <c r="L546" t="n">
        <v>0</v>
      </c>
      <c r="M546" t="n">
        <v>0</v>
      </c>
      <c r="N546" t="n">
        <v>0</v>
      </c>
      <c r="O546" t="n">
        <v>0</v>
      </c>
      <c r="P546" t="n">
        <v>0</v>
      </c>
      <c r="Q546" t="n">
        <v>0</v>
      </c>
      <c r="R546" s="2" t="inlineStr"/>
    </row>
    <row r="547" ht="15" customHeight="1">
      <c r="A547" t="inlineStr">
        <is>
          <t>A 8036-2022</t>
        </is>
      </c>
      <c r="B547" s="1" t="n">
        <v>44609.44362268518</v>
      </c>
      <c r="C547" s="1" t="n">
        <v>45930</v>
      </c>
      <c r="D547" t="inlineStr">
        <is>
          <t>GOTLANDS LÄN</t>
        </is>
      </c>
      <c r="E547" t="inlineStr">
        <is>
          <t>GOTLAND</t>
        </is>
      </c>
      <c r="G547" t="n">
        <v>6.1</v>
      </c>
      <c r="H547" t="n">
        <v>0</v>
      </c>
      <c r="I547" t="n">
        <v>0</v>
      </c>
      <c r="J547" t="n">
        <v>0</v>
      </c>
      <c r="K547" t="n">
        <v>0</v>
      </c>
      <c r="L547" t="n">
        <v>0</v>
      </c>
      <c r="M547" t="n">
        <v>0</v>
      </c>
      <c r="N547" t="n">
        <v>0</v>
      </c>
      <c r="O547" t="n">
        <v>0</v>
      </c>
      <c r="P547" t="n">
        <v>0</v>
      </c>
      <c r="Q547" t="n">
        <v>0</v>
      </c>
      <c r="R547" s="2" t="inlineStr"/>
    </row>
    <row r="548" ht="15" customHeight="1">
      <c r="A548" t="inlineStr">
        <is>
          <t>A 12846-2025</t>
        </is>
      </c>
      <c r="B548" s="1" t="n">
        <v>45733.65049768519</v>
      </c>
      <c r="C548" s="1" t="n">
        <v>45930</v>
      </c>
      <c r="D548" t="inlineStr">
        <is>
          <t>GOTLANDS LÄN</t>
        </is>
      </c>
      <c r="E548" t="inlineStr">
        <is>
          <t>GOTLAND</t>
        </is>
      </c>
      <c r="G548" t="n">
        <v>1.7</v>
      </c>
      <c r="H548" t="n">
        <v>0</v>
      </c>
      <c r="I548" t="n">
        <v>0</v>
      </c>
      <c r="J548" t="n">
        <v>0</v>
      </c>
      <c r="K548" t="n">
        <v>0</v>
      </c>
      <c r="L548" t="n">
        <v>0</v>
      </c>
      <c r="M548" t="n">
        <v>0</v>
      </c>
      <c r="N548" t="n">
        <v>0</v>
      </c>
      <c r="O548" t="n">
        <v>0</v>
      </c>
      <c r="P548" t="n">
        <v>0</v>
      </c>
      <c r="Q548" t="n">
        <v>0</v>
      </c>
      <c r="R548" s="2" t="inlineStr"/>
    </row>
    <row r="549" ht="15" customHeight="1">
      <c r="A549" t="inlineStr">
        <is>
          <t>A 46949-2024</t>
        </is>
      </c>
      <c r="B549" s="1" t="n">
        <v>45585</v>
      </c>
      <c r="C549" s="1" t="n">
        <v>45930</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10650-2022</t>
        </is>
      </c>
      <c r="B550" s="1" t="n">
        <v>44624.57945601852</v>
      </c>
      <c r="C550" s="1" t="n">
        <v>45930</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30135-2025</t>
        </is>
      </c>
      <c r="B551" s="1" t="n">
        <v>45826</v>
      </c>
      <c r="C551" s="1" t="n">
        <v>45930</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32686-2025</t>
        </is>
      </c>
      <c r="B552" s="1" t="n">
        <v>45838</v>
      </c>
      <c r="C552" s="1" t="n">
        <v>45930</v>
      </c>
      <c r="D552" t="inlineStr">
        <is>
          <t>GOTLANDS LÄN</t>
        </is>
      </c>
      <c r="E552" t="inlineStr">
        <is>
          <t>GOTLAND</t>
        </is>
      </c>
      <c r="G552" t="n">
        <v>2.2</v>
      </c>
      <c r="H552" t="n">
        <v>0</v>
      </c>
      <c r="I552" t="n">
        <v>0</v>
      </c>
      <c r="J552" t="n">
        <v>0</v>
      </c>
      <c r="K552" t="n">
        <v>0</v>
      </c>
      <c r="L552" t="n">
        <v>0</v>
      </c>
      <c r="M552" t="n">
        <v>0</v>
      </c>
      <c r="N552" t="n">
        <v>0</v>
      </c>
      <c r="O552" t="n">
        <v>0</v>
      </c>
      <c r="P552" t="n">
        <v>0</v>
      </c>
      <c r="Q552" t="n">
        <v>0</v>
      </c>
      <c r="R552" s="2" t="inlineStr"/>
    </row>
    <row r="553" ht="15" customHeight="1">
      <c r="A553" t="inlineStr">
        <is>
          <t>A 32379-2025</t>
        </is>
      </c>
      <c r="B553" s="1" t="n">
        <v>45837</v>
      </c>
      <c r="C553" s="1" t="n">
        <v>45930</v>
      </c>
      <c r="D553" t="inlineStr">
        <is>
          <t>GOTLANDS LÄN</t>
        </is>
      </c>
      <c r="E553" t="inlineStr">
        <is>
          <t>GOTLAND</t>
        </is>
      </c>
      <c r="G553" t="n">
        <v>1</v>
      </c>
      <c r="H553" t="n">
        <v>0</v>
      </c>
      <c r="I553" t="n">
        <v>0</v>
      </c>
      <c r="J553" t="n">
        <v>0</v>
      </c>
      <c r="K553" t="n">
        <v>0</v>
      </c>
      <c r="L553" t="n">
        <v>0</v>
      </c>
      <c r="M553" t="n">
        <v>0</v>
      </c>
      <c r="N553" t="n">
        <v>0</v>
      </c>
      <c r="O553" t="n">
        <v>0</v>
      </c>
      <c r="P553" t="n">
        <v>0</v>
      </c>
      <c r="Q553" t="n">
        <v>0</v>
      </c>
      <c r="R553" s="2" t="inlineStr"/>
    </row>
    <row r="554" ht="15" customHeight="1">
      <c r="A554" t="inlineStr">
        <is>
          <t>A 32467-2025</t>
        </is>
      </c>
      <c r="B554" s="1" t="n">
        <v>45838.42111111111</v>
      </c>
      <c r="C554" s="1" t="n">
        <v>45930</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32378-2025</t>
        </is>
      </c>
      <c r="B555" s="1" t="n">
        <v>45837</v>
      </c>
      <c r="C555" s="1" t="n">
        <v>45930</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16109-2025</t>
        </is>
      </c>
      <c r="B556" s="1" t="n">
        <v>45750</v>
      </c>
      <c r="C556" s="1" t="n">
        <v>45930</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33078-2025</t>
        </is>
      </c>
      <c r="B557" s="1" t="n">
        <v>45840</v>
      </c>
      <c r="C557" s="1" t="n">
        <v>45930</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33007-2025</t>
        </is>
      </c>
      <c r="B558" s="1" t="n">
        <v>45840</v>
      </c>
      <c r="C558" s="1" t="n">
        <v>45930</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33011-2025</t>
        </is>
      </c>
      <c r="B559" s="1" t="n">
        <v>45840</v>
      </c>
      <c r="C559" s="1" t="n">
        <v>45930</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45930</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1351-2025</t>
        </is>
      </c>
      <c r="B561" s="1" t="n">
        <v>45667.62246527777</v>
      </c>
      <c r="C561" s="1" t="n">
        <v>45930</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39496-2022</t>
        </is>
      </c>
      <c r="B562" s="1" t="n">
        <v>44818</v>
      </c>
      <c r="C562" s="1" t="n">
        <v>45930</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49874-2024</t>
        </is>
      </c>
      <c r="B563" s="1" t="n">
        <v>45597.49274305555</v>
      </c>
      <c r="C563" s="1" t="n">
        <v>45930</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42201-2023</t>
        </is>
      </c>
      <c r="B564" s="1" t="n">
        <v>45179</v>
      </c>
      <c r="C564" s="1" t="n">
        <v>45930</v>
      </c>
      <c r="D564" t="inlineStr">
        <is>
          <t>GOTLANDS LÄN</t>
        </is>
      </c>
      <c r="E564" t="inlineStr">
        <is>
          <t>GOTLAND</t>
        </is>
      </c>
      <c r="G564" t="n">
        <v>11.9</v>
      </c>
      <c r="H564" t="n">
        <v>0</v>
      </c>
      <c r="I564" t="n">
        <v>0</v>
      </c>
      <c r="J564" t="n">
        <v>0</v>
      </c>
      <c r="K564" t="n">
        <v>0</v>
      </c>
      <c r="L564" t="n">
        <v>0</v>
      </c>
      <c r="M564" t="n">
        <v>0</v>
      </c>
      <c r="N564" t="n">
        <v>0</v>
      </c>
      <c r="O564" t="n">
        <v>0</v>
      </c>
      <c r="P564" t="n">
        <v>0</v>
      </c>
      <c r="Q564" t="n">
        <v>0</v>
      </c>
      <c r="R564" s="2" t="inlineStr"/>
    </row>
    <row r="565" ht="15" customHeight="1">
      <c r="A565" t="inlineStr">
        <is>
          <t>A 46400-2023</t>
        </is>
      </c>
      <c r="B565" s="1" t="n">
        <v>45197.49290509259</v>
      </c>
      <c r="C565" s="1" t="n">
        <v>45930</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9875-2025</t>
        </is>
      </c>
      <c r="B566" s="1" t="n">
        <v>45716</v>
      </c>
      <c r="C566" s="1" t="n">
        <v>45930</v>
      </c>
      <c r="D566" t="inlineStr">
        <is>
          <t>GOTLANDS LÄN</t>
        </is>
      </c>
      <c r="E566" t="inlineStr">
        <is>
          <t>GOTLAND</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19002-2025</t>
        </is>
      </c>
      <c r="B567" s="1" t="n">
        <v>45764</v>
      </c>
      <c r="C567" s="1" t="n">
        <v>45930</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21164-2024</t>
        </is>
      </c>
      <c r="B568" s="1" t="n">
        <v>45440</v>
      </c>
      <c r="C568" s="1" t="n">
        <v>45930</v>
      </c>
      <c r="D568" t="inlineStr">
        <is>
          <t>GOTLANDS LÄN</t>
        </is>
      </c>
      <c r="E568" t="inlineStr">
        <is>
          <t>GOTLAND</t>
        </is>
      </c>
      <c r="G568" t="n">
        <v>6.3</v>
      </c>
      <c r="H568" t="n">
        <v>0</v>
      </c>
      <c r="I568" t="n">
        <v>0</v>
      </c>
      <c r="J568" t="n">
        <v>0</v>
      </c>
      <c r="K568" t="n">
        <v>0</v>
      </c>
      <c r="L568" t="n">
        <v>0</v>
      </c>
      <c r="M568" t="n">
        <v>0</v>
      </c>
      <c r="N568" t="n">
        <v>0</v>
      </c>
      <c r="O568" t="n">
        <v>0</v>
      </c>
      <c r="P568" t="n">
        <v>0</v>
      </c>
      <c r="Q568" t="n">
        <v>0</v>
      </c>
      <c r="R568" s="2" t="inlineStr"/>
    </row>
    <row r="569" ht="15" customHeight="1">
      <c r="A569" t="inlineStr">
        <is>
          <t>A 8045-2022</t>
        </is>
      </c>
      <c r="B569" s="1" t="n">
        <v>44609</v>
      </c>
      <c r="C569" s="1" t="n">
        <v>45930</v>
      </c>
      <c r="D569" t="inlineStr">
        <is>
          <t>GOTLANDS LÄN</t>
        </is>
      </c>
      <c r="E569" t="inlineStr">
        <is>
          <t>GOTLAND</t>
        </is>
      </c>
      <c r="G569" t="n">
        <v>7</v>
      </c>
      <c r="H569" t="n">
        <v>0</v>
      </c>
      <c r="I569" t="n">
        <v>0</v>
      </c>
      <c r="J569" t="n">
        <v>0</v>
      </c>
      <c r="K569" t="n">
        <v>0</v>
      </c>
      <c r="L569" t="n">
        <v>0</v>
      </c>
      <c r="M569" t="n">
        <v>0</v>
      </c>
      <c r="N569" t="n">
        <v>0</v>
      </c>
      <c r="O569" t="n">
        <v>0</v>
      </c>
      <c r="P569" t="n">
        <v>0</v>
      </c>
      <c r="Q569" t="n">
        <v>0</v>
      </c>
      <c r="R569" s="2" t="inlineStr"/>
    </row>
    <row r="570" ht="15" customHeight="1">
      <c r="A570" t="inlineStr">
        <is>
          <t>A 39278-2025</t>
        </is>
      </c>
      <c r="B570" s="1" t="n">
        <v>45889</v>
      </c>
      <c r="C570" s="1" t="n">
        <v>45930</v>
      </c>
      <c r="D570" t="inlineStr">
        <is>
          <t>GOTLANDS LÄN</t>
        </is>
      </c>
      <c r="E570" t="inlineStr">
        <is>
          <t>GOTLAND</t>
        </is>
      </c>
      <c r="G570" t="n">
        <v>3.7</v>
      </c>
      <c r="H570" t="n">
        <v>0</v>
      </c>
      <c r="I570" t="n">
        <v>0</v>
      </c>
      <c r="J570" t="n">
        <v>0</v>
      </c>
      <c r="K570" t="n">
        <v>0</v>
      </c>
      <c r="L570" t="n">
        <v>0</v>
      </c>
      <c r="M570" t="n">
        <v>0</v>
      </c>
      <c r="N570" t="n">
        <v>0</v>
      </c>
      <c r="O570" t="n">
        <v>0</v>
      </c>
      <c r="P570" t="n">
        <v>0</v>
      </c>
      <c r="Q570" t="n">
        <v>0</v>
      </c>
      <c r="R570" s="2" t="inlineStr"/>
    </row>
    <row r="571" ht="15" customHeight="1">
      <c r="A571" t="inlineStr">
        <is>
          <t>A 15413-2025</t>
        </is>
      </c>
      <c r="B571" s="1" t="n">
        <v>45747.451875</v>
      </c>
      <c r="C571" s="1" t="n">
        <v>45930</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22897-2023</t>
        </is>
      </c>
      <c r="B572" s="1" t="n">
        <v>45072.55239583334</v>
      </c>
      <c r="C572" s="1" t="n">
        <v>45930</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35123-2025</t>
        </is>
      </c>
      <c r="B573" s="1" t="n">
        <v>45852.614375</v>
      </c>
      <c r="C573" s="1" t="n">
        <v>45930</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39814-2025</t>
        </is>
      </c>
      <c r="B574" s="1" t="n">
        <v>45891.52694444444</v>
      </c>
      <c r="C574" s="1" t="n">
        <v>45930</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35141-2025</t>
        </is>
      </c>
      <c r="B575" s="1" t="n">
        <v>45852.65206018519</v>
      </c>
      <c r="C575" s="1" t="n">
        <v>45930</v>
      </c>
      <c r="D575" t="inlineStr">
        <is>
          <t>GOTLANDS LÄN</t>
        </is>
      </c>
      <c r="E575" t="inlineStr">
        <is>
          <t>GOTLAND</t>
        </is>
      </c>
      <c r="G575" t="n">
        <v>1</v>
      </c>
      <c r="H575" t="n">
        <v>0</v>
      </c>
      <c r="I575" t="n">
        <v>0</v>
      </c>
      <c r="J575" t="n">
        <v>0</v>
      </c>
      <c r="K575" t="n">
        <v>0</v>
      </c>
      <c r="L575" t="n">
        <v>0</v>
      </c>
      <c r="M575" t="n">
        <v>0</v>
      </c>
      <c r="N575" t="n">
        <v>0</v>
      </c>
      <c r="O575" t="n">
        <v>0</v>
      </c>
      <c r="P575" t="n">
        <v>0</v>
      </c>
      <c r="Q575" t="n">
        <v>0</v>
      </c>
      <c r="R575" s="2" t="inlineStr"/>
    </row>
    <row r="576" ht="15" customHeight="1">
      <c r="A576" t="inlineStr">
        <is>
          <t>A 35096-2025</t>
        </is>
      </c>
      <c r="B576" s="1" t="n">
        <v>45852.54356481481</v>
      </c>
      <c r="C576" s="1" t="n">
        <v>45930</v>
      </c>
      <c r="D576" t="inlineStr">
        <is>
          <t>GOTLANDS LÄN</t>
        </is>
      </c>
      <c r="E576" t="inlineStr">
        <is>
          <t>GOTLAND</t>
        </is>
      </c>
      <c r="F576" t="inlineStr">
        <is>
          <t>Kyrkan</t>
        </is>
      </c>
      <c r="G576" t="n">
        <v>1</v>
      </c>
      <c r="H576" t="n">
        <v>0</v>
      </c>
      <c r="I576" t="n">
        <v>0</v>
      </c>
      <c r="J576" t="n">
        <v>0</v>
      </c>
      <c r="K576" t="n">
        <v>0</v>
      </c>
      <c r="L576" t="n">
        <v>0</v>
      </c>
      <c r="M576" t="n">
        <v>0</v>
      </c>
      <c r="N576" t="n">
        <v>0</v>
      </c>
      <c r="O576" t="n">
        <v>0</v>
      </c>
      <c r="P576" t="n">
        <v>0</v>
      </c>
      <c r="Q576" t="n">
        <v>0</v>
      </c>
      <c r="R576" s="2" t="inlineStr"/>
    </row>
    <row r="577" ht="15" customHeight="1">
      <c r="A577" t="inlineStr">
        <is>
          <t>A 61897-2024</t>
        </is>
      </c>
      <c r="B577" s="1" t="n">
        <v>45652.75685185185</v>
      </c>
      <c r="C577" s="1" t="n">
        <v>45930</v>
      </c>
      <c r="D577" t="inlineStr">
        <is>
          <t>GOTLANDS LÄN</t>
        </is>
      </c>
      <c r="E577" t="inlineStr">
        <is>
          <t>GOTLAND</t>
        </is>
      </c>
      <c r="G577" t="n">
        <v>6.4</v>
      </c>
      <c r="H577" t="n">
        <v>0</v>
      </c>
      <c r="I577" t="n">
        <v>0</v>
      </c>
      <c r="J577" t="n">
        <v>0</v>
      </c>
      <c r="K577" t="n">
        <v>0</v>
      </c>
      <c r="L577" t="n">
        <v>0</v>
      </c>
      <c r="M577" t="n">
        <v>0</v>
      </c>
      <c r="N577" t="n">
        <v>0</v>
      </c>
      <c r="O577" t="n">
        <v>0</v>
      </c>
      <c r="P577" t="n">
        <v>0</v>
      </c>
      <c r="Q577" t="n">
        <v>0</v>
      </c>
      <c r="R577" s="2" t="inlineStr"/>
    </row>
    <row r="578" ht="15" customHeight="1">
      <c r="A578" t="inlineStr">
        <is>
          <t>A 49962-2023</t>
        </is>
      </c>
      <c r="B578" s="1" t="n">
        <v>45215.38775462963</v>
      </c>
      <c r="C578" s="1" t="n">
        <v>45930</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20165-2022</t>
        </is>
      </c>
      <c r="B579" s="1" t="n">
        <v>44698.49854166667</v>
      </c>
      <c r="C579" s="1" t="n">
        <v>45930</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40294-2022</t>
        </is>
      </c>
      <c r="B580" s="1" t="n">
        <v>44821</v>
      </c>
      <c r="C580" s="1" t="n">
        <v>45930</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12032-2025</t>
        </is>
      </c>
      <c r="B581" s="1" t="n">
        <v>45728.64472222222</v>
      </c>
      <c r="C581" s="1" t="n">
        <v>45930</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38787-2023</t>
        </is>
      </c>
      <c r="B582" s="1" t="n">
        <v>45163</v>
      </c>
      <c r="C582" s="1" t="n">
        <v>45930</v>
      </c>
      <c r="D582" t="inlineStr">
        <is>
          <t>GOTLANDS LÄN</t>
        </is>
      </c>
      <c r="E582" t="inlineStr">
        <is>
          <t>GOTLAND</t>
        </is>
      </c>
      <c r="G582" t="n">
        <v>0.4</v>
      </c>
      <c r="H582" t="n">
        <v>0</v>
      </c>
      <c r="I582" t="n">
        <v>0</v>
      </c>
      <c r="J582" t="n">
        <v>0</v>
      </c>
      <c r="K582" t="n">
        <v>0</v>
      </c>
      <c r="L582" t="n">
        <v>0</v>
      </c>
      <c r="M582" t="n">
        <v>0</v>
      </c>
      <c r="N582" t="n">
        <v>0</v>
      </c>
      <c r="O582" t="n">
        <v>0</v>
      </c>
      <c r="P582" t="n">
        <v>0</v>
      </c>
      <c r="Q582" t="n">
        <v>0</v>
      </c>
      <c r="R582" s="2" t="inlineStr"/>
    </row>
    <row r="583" ht="15" customHeight="1">
      <c r="A583" t="inlineStr">
        <is>
          <t>A 43231-2023</t>
        </is>
      </c>
      <c r="B583" s="1" t="n">
        <v>45183.47025462963</v>
      </c>
      <c r="C583" s="1" t="n">
        <v>45930</v>
      </c>
      <c r="D583" t="inlineStr">
        <is>
          <t>GOTLANDS LÄN</t>
        </is>
      </c>
      <c r="E583" t="inlineStr">
        <is>
          <t>GOTLAND</t>
        </is>
      </c>
      <c r="G583" t="n">
        <v>3.6</v>
      </c>
      <c r="H583" t="n">
        <v>0</v>
      </c>
      <c r="I583" t="n">
        <v>0</v>
      </c>
      <c r="J583" t="n">
        <v>0</v>
      </c>
      <c r="K583" t="n">
        <v>0</v>
      </c>
      <c r="L583" t="n">
        <v>0</v>
      </c>
      <c r="M583" t="n">
        <v>0</v>
      </c>
      <c r="N583" t="n">
        <v>0</v>
      </c>
      <c r="O583" t="n">
        <v>0</v>
      </c>
      <c r="P583" t="n">
        <v>0</v>
      </c>
      <c r="Q583" t="n">
        <v>0</v>
      </c>
      <c r="R583" s="2" t="inlineStr"/>
    </row>
    <row r="584" ht="15" customHeight="1">
      <c r="A584" t="inlineStr">
        <is>
          <t>A 17532-2024</t>
        </is>
      </c>
      <c r="B584" s="1" t="n">
        <v>45415</v>
      </c>
      <c r="C584" s="1" t="n">
        <v>45930</v>
      </c>
      <c r="D584" t="inlineStr">
        <is>
          <t>GOTLANDS LÄN</t>
        </is>
      </c>
      <c r="E584" t="inlineStr">
        <is>
          <t>GOTLAND</t>
        </is>
      </c>
      <c r="G584" t="n">
        <v>4.3</v>
      </c>
      <c r="H584" t="n">
        <v>0</v>
      </c>
      <c r="I584" t="n">
        <v>0</v>
      </c>
      <c r="J584" t="n">
        <v>0</v>
      </c>
      <c r="K584" t="n">
        <v>0</v>
      </c>
      <c r="L584" t="n">
        <v>0</v>
      </c>
      <c r="M584" t="n">
        <v>0</v>
      </c>
      <c r="N584" t="n">
        <v>0</v>
      </c>
      <c r="O584" t="n">
        <v>0</v>
      </c>
      <c r="P584" t="n">
        <v>0</v>
      </c>
      <c r="Q584" t="n">
        <v>0</v>
      </c>
      <c r="R584" s="2" t="inlineStr"/>
    </row>
    <row r="585" ht="15" customHeight="1">
      <c r="A585" t="inlineStr">
        <is>
          <t>A 3935-2025</t>
        </is>
      </c>
      <c r="B585" s="1" t="n">
        <v>45684.46070601852</v>
      </c>
      <c r="C585" s="1" t="n">
        <v>45930</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20225-2025</t>
        </is>
      </c>
      <c r="B586" s="1" t="n">
        <v>45772.65802083333</v>
      </c>
      <c r="C586" s="1" t="n">
        <v>45930</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883-2025</t>
        </is>
      </c>
      <c r="B587" s="1" t="n">
        <v>45665</v>
      </c>
      <c r="C587" s="1" t="n">
        <v>45930</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1066-2024</t>
        </is>
      </c>
      <c r="B588" s="1" t="n">
        <v>45302.285</v>
      </c>
      <c r="C588" s="1" t="n">
        <v>45930</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17144-2025</t>
        </is>
      </c>
      <c r="B589" s="1" t="n">
        <v>45755.9499537037</v>
      </c>
      <c r="C589" s="1" t="n">
        <v>45930</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56009-2024</t>
        </is>
      </c>
      <c r="B590" s="1" t="n">
        <v>45623.80864583333</v>
      </c>
      <c r="C590" s="1" t="n">
        <v>45930</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42338-2023</t>
        </is>
      </c>
      <c r="B591" s="1" t="n">
        <v>45180</v>
      </c>
      <c r="C591" s="1" t="n">
        <v>45930</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581-2023</t>
        </is>
      </c>
      <c r="B592" s="1" t="n">
        <v>44930</v>
      </c>
      <c r="C592" s="1" t="n">
        <v>45930</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61386-2023</t>
        </is>
      </c>
      <c r="B593" s="1" t="n">
        <v>45264</v>
      </c>
      <c r="C593" s="1" t="n">
        <v>45930</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873-2024</t>
        </is>
      </c>
      <c r="B594" s="1" t="n">
        <v>45301</v>
      </c>
      <c r="C594" s="1" t="n">
        <v>45930</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49411-2023</t>
        </is>
      </c>
      <c r="B595" s="1" t="n">
        <v>45205</v>
      </c>
      <c r="C595" s="1" t="n">
        <v>45930</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45070.39875</v>
      </c>
      <c r="C596" s="1" t="n">
        <v>45930</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12322-2025</t>
        </is>
      </c>
      <c r="B597" s="1" t="n">
        <v>45730</v>
      </c>
      <c r="C597" s="1" t="n">
        <v>45930</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14797-2024</t>
        </is>
      </c>
      <c r="B598" s="1" t="n">
        <v>45397.87030092593</v>
      </c>
      <c r="C598" s="1" t="n">
        <v>45930</v>
      </c>
      <c r="D598" t="inlineStr">
        <is>
          <t>GOTLANDS LÄN</t>
        </is>
      </c>
      <c r="E598" t="inlineStr">
        <is>
          <t>GOTLAND</t>
        </is>
      </c>
      <c r="G598" t="n">
        <v>8.1</v>
      </c>
      <c r="H598" t="n">
        <v>0</v>
      </c>
      <c r="I598" t="n">
        <v>0</v>
      </c>
      <c r="J598" t="n">
        <v>0</v>
      </c>
      <c r="K598" t="n">
        <v>0</v>
      </c>
      <c r="L598" t="n">
        <v>0</v>
      </c>
      <c r="M598" t="n">
        <v>0</v>
      </c>
      <c r="N598" t="n">
        <v>0</v>
      </c>
      <c r="O598" t="n">
        <v>0</v>
      </c>
      <c r="P598" t="n">
        <v>0</v>
      </c>
      <c r="Q598" t="n">
        <v>0</v>
      </c>
      <c r="R598" s="2" t="inlineStr"/>
    </row>
    <row r="599" ht="15" customHeight="1">
      <c r="A599" t="inlineStr">
        <is>
          <t>A 999-2024</t>
        </is>
      </c>
      <c r="B599" s="1" t="n">
        <v>45301</v>
      </c>
      <c r="C599" s="1" t="n">
        <v>45930</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61596-2023</t>
        </is>
      </c>
      <c r="B600" s="1" t="n">
        <v>45265</v>
      </c>
      <c r="C600" s="1" t="n">
        <v>45930</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14638-2025</t>
        </is>
      </c>
      <c r="B601" s="1" t="n">
        <v>45742</v>
      </c>
      <c r="C601" s="1" t="n">
        <v>45930</v>
      </c>
      <c r="D601" t="inlineStr">
        <is>
          <t>GOTLANDS LÄN</t>
        </is>
      </c>
      <c r="E601" t="inlineStr">
        <is>
          <t>GOTLAND</t>
        </is>
      </c>
      <c r="G601" t="n">
        <v>13.4</v>
      </c>
      <c r="H601" t="n">
        <v>0</v>
      </c>
      <c r="I601" t="n">
        <v>0</v>
      </c>
      <c r="J601" t="n">
        <v>0</v>
      </c>
      <c r="K601" t="n">
        <v>0</v>
      </c>
      <c r="L601" t="n">
        <v>0</v>
      </c>
      <c r="M601" t="n">
        <v>0</v>
      </c>
      <c r="N601" t="n">
        <v>0</v>
      </c>
      <c r="O601" t="n">
        <v>0</v>
      </c>
      <c r="P601" t="n">
        <v>0</v>
      </c>
      <c r="Q601" t="n">
        <v>0</v>
      </c>
      <c r="R601" s="2" t="inlineStr"/>
    </row>
    <row r="602" ht="15" customHeight="1">
      <c r="A602" t="inlineStr">
        <is>
          <t>A 60675-2021</t>
        </is>
      </c>
      <c r="B602" s="1" t="n">
        <v>44496.64855324074</v>
      </c>
      <c r="C602" s="1" t="n">
        <v>45930</v>
      </c>
      <c r="D602" t="inlineStr">
        <is>
          <t>GOTLANDS LÄN</t>
        </is>
      </c>
      <c r="E602" t="inlineStr">
        <is>
          <t>GOTLAND</t>
        </is>
      </c>
      <c r="G602" t="n">
        <v>4.6</v>
      </c>
      <c r="H602" t="n">
        <v>0</v>
      </c>
      <c r="I602" t="n">
        <v>0</v>
      </c>
      <c r="J602" t="n">
        <v>0</v>
      </c>
      <c r="K602" t="n">
        <v>0</v>
      </c>
      <c r="L602" t="n">
        <v>0</v>
      </c>
      <c r="M602" t="n">
        <v>0</v>
      </c>
      <c r="N602" t="n">
        <v>0</v>
      </c>
      <c r="O602" t="n">
        <v>0</v>
      </c>
      <c r="P602" t="n">
        <v>0</v>
      </c>
      <c r="Q602" t="n">
        <v>0</v>
      </c>
      <c r="R602" s="2" t="inlineStr"/>
    </row>
    <row r="603" ht="15" customHeight="1">
      <c r="A603" t="inlineStr">
        <is>
          <t>A 37728-2024</t>
        </is>
      </c>
      <c r="B603" s="1" t="n">
        <v>45541</v>
      </c>
      <c r="C603" s="1" t="n">
        <v>45930</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c r="A604" t="inlineStr">
        <is>
          <t>A 22287-2022</t>
        </is>
      </c>
      <c r="B604" s="1" t="n">
        <v>44712</v>
      </c>
      <c r="C604" s="1" t="n">
        <v>45930</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2025-09-30T12:18:08Z</dcterms:created>
  <dcterms:modified xmlns:dcterms="http://purl.org/dc/terms/" xmlns:xsi="http://www.w3.org/2001/XMLSchema-instance" xsi:type="dcterms:W3CDTF">2025-09-30T12:18:09Z</dcterms:modified>
</cp:coreProperties>
</file>