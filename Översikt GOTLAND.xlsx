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45981</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45981</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9921-2023</t>
        </is>
      </c>
      <c r="B7" s="1" t="n">
        <v>44985</v>
      </c>
      <c r="C7" s="1" t="n">
        <v>45981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45981</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45981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45981</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45981</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45981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45981</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45981</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45981</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45981</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45981</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45981</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45981</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45981</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6153-2024</t>
        </is>
      </c>
      <c r="B25" s="1" t="n">
        <v>45337</v>
      </c>
      <c r="C25" s="1" t="n">
        <v>45981</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24575-2025</t>
        </is>
      </c>
      <c r="B26" s="1" t="n">
        <v>45798</v>
      </c>
      <c r="C26" s="1" t="n">
        <v>45981</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45981</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45981</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45981</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62132-2023</t>
        </is>
      </c>
      <c r="B30" s="1" t="n">
        <v>45267</v>
      </c>
      <c r="C30" s="1" t="n">
        <v>45981</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61697-2023</t>
        </is>
      </c>
      <c r="B31" s="1" t="n">
        <v>45265</v>
      </c>
      <c r="C31" s="1" t="n">
        <v>45981</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25779-2022</t>
        </is>
      </c>
      <c r="B32" s="1" t="n">
        <v>44733</v>
      </c>
      <c r="C32" s="1" t="n">
        <v>45981</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45981</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45981</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35141-2022</t>
        </is>
      </c>
      <c r="B35" s="1" t="n">
        <v>44797.53318287037</v>
      </c>
      <c r="C35" s="1" t="n">
        <v>45981</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44204-2022</t>
        </is>
      </c>
      <c r="B36" s="1" t="n">
        <v>44839</v>
      </c>
      <c r="C36" s="1" t="n">
        <v>45981</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45981</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2804-2023</t>
        </is>
      </c>
      <c r="B38" s="1" t="n">
        <v>44944</v>
      </c>
      <c r="C38" s="1" t="n">
        <v>45981</v>
      </c>
      <c r="D38" t="inlineStr">
        <is>
          <t>GOTLANDS LÄN</t>
        </is>
      </c>
      <c r="E38" t="inlineStr">
        <is>
          <t>GOTLAND</t>
        </is>
      </c>
      <c r="G38" t="n">
        <v>7.6</v>
      </c>
      <c r="H38" t="n">
        <v>2</v>
      </c>
      <c r="I38" t="n">
        <v>4</v>
      </c>
      <c r="J38" t="n">
        <v>4</v>
      </c>
      <c r="K38" t="n">
        <v>3</v>
      </c>
      <c r="L38" t="n">
        <v>0</v>
      </c>
      <c r="M38" t="n">
        <v>0</v>
      </c>
      <c r="N38" t="n">
        <v>0</v>
      </c>
      <c r="O38" t="n">
        <v>7</v>
      </c>
      <c r="P38" t="n">
        <v>3</v>
      </c>
      <c r="Q38" t="n">
        <v>13</v>
      </c>
      <c r="R38" s="2" t="inlineStr">
        <is>
          <t>Granrotsspindling
Narrspindling
Violettfläckig spindling
Ekticka
Granticka
Oxtungssvamp
Svinrot
Blå slemspindling
Fransig jordstjärna
Rödgul trumpetsvamp
Svavelriska
Sankt pers nycklar
Blåsippa</t>
        </is>
      </c>
      <c r="S38">
        <f>HYPERLINK("https://klasma.github.io/Logging_0980/artfynd/A 2804-2023 artfynd.xlsx", "A 2804-2023")</f>
        <v/>
      </c>
      <c r="T38">
        <f>HYPERLINK("https://klasma.github.io/Logging_0980/kartor/A 2804-2023 karta.png", "A 2804-2023")</f>
        <v/>
      </c>
      <c r="V38">
        <f>HYPERLINK("https://klasma.github.io/Logging_0980/klagomål/A 2804-2023 FSC-klagomål.docx", "A 2804-2023")</f>
        <v/>
      </c>
      <c r="W38">
        <f>HYPERLINK("https://klasma.github.io/Logging_0980/klagomålsmail/A 2804-2023 FSC-klagomål mail.docx", "A 2804-2023")</f>
        <v/>
      </c>
      <c r="X38">
        <f>HYPERLINK("https://klasma.github.io/Logging_0980/tillsyn/A 2804-2023 tillsynsbegäran.docx", "A 2804-2023")</f>
        <v/>
      </c>
      <c r="Y38">
        <f>HYPERLINK("https://klasma.github.io/Logging_0980/tillsynsmail/A 2804-2023 tillsynsbegäran mail.docx", "A 2804-2023")</f>
        <v/>
      </c>
    </row>
    <row r="39" ht="15" customHeight="1">
      <c r="A39" t="inlineStr">
        <is>
          <t>A 15850-2025</t>
        </is>
      </c>
      <c r="B39" s="1" t="n">
        <v>45748</v>
      </c>
      <c r="C39" s="1" t="n">
        <v>45981</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3324-2023</t>
        </is>
      </c>
      <c r="B40" s="1" t="n">
        <v>44949</v>
      </c>
      <c r="C40" s="1" t="n">
        <v>45981</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63872-2021</t>
        </is>
      </c>
      <c r="B41" s="1" t="n">
        <v>44509</v>
      </c>
      <c r="C41" s="1" t="n">
        <v>45981</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45981</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45981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45981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45981</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45981</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45981</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45981</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45981</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22404-2024</t>
        </is>
      </c>
      <c r="B50" s="1" t="n">
        <v>45446</v>
      </c>
      <c r="C50" s="1" t="n">
        <v>45981</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45981</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33153-2024</t>
        </is>
      </c>
      <c r="B52" s="1" t="n">
        <v>45518</v>
      </c>
      <c r="C52" s="1" t="n">
        <v>45981</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1719-2025</t>
        </is>
      </c>
      <c r="B53" s="1" t="n">
        <v>45671</v>
      </c>
      <c r="C53" s="1" t="n">
        <v>45981</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45981</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45981</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45981</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45981</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45981</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45981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45981</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45981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45981</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27280-2023</t>
        </is>
      </c>
      <c r="B63" s="1" t="n">
        <v>45096</v>
      </c>
      <c r="C63" s="1" t="n">
        <v>45981</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34142-2024</t>
        </is>
      </c>
      <c r="B64" s="1" t="n">
        <v>45524.36521990741</v>
      </c>
      <c r="C64" s="1" t="n">
        <v>45981</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45981</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45981</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25205-2021</t>
        </is>
      </c>
      <c r="B67" s="1" t="n">
        <v>44342</v>
      </c>
      <c r="C67" s="1" t="n">
        <v>45981</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45981</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54527-2023</t>
        </is>
      </c>
      <c r="B69" s="1" t="n">
        <v>45233</v>
      </c>
      <c r="C69" s="1" t="n">
        <v>45981</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53584-2025</t>
        </is>
      </c>
      <c r="B70" s="1" t="n">
        <v>45960.43130787037</v>
      </c>
      <c r="C70" s="1" t="n">
        <v>45981</v>
      </c>
      <c r="D70" t="inlineStr">
        <is>
          <t>GOTLANDS LÄN</t>
        </is>
      </c>
      <c r="E70" t="inlineStr">
        <is>
          <t>GOTLAND</t>
        </is>
      </c>
      <c r="F70" t="inlineStr">
        <is>
          <t>Övriga Aktiebolag</t>
        </is>
      </c>
      <c r="G70" t="n">
        <v>18.1</v>
      </c>
      <c r="H70" t="n">
        <v>3</v>
      </c>
      <c r="I70" t="n">
        <v>0</v>
      </c>
      <c r="J70" t="n">
        <v>4</v>
      </c>
      <c r="K70" t="n">
        <v>0</v>
      </c>
      <c r="L70" t="n">
        <v>0</v>
      </c>
      <c r="M70" t="n">
        <v>0</v>
      </c>
      <c r="N70" t="n">
        <v>0</v>
      </c>
      <c r="O70" t="n">
        <v>4</v>
      </c>
      <c r="P70" t="n">
        <v>0</v>
      </c>
      <c r="Q70" t="n">
        <v>6</v>
      </c>
      <c r="R70" s="2" t="inlineStr">
        <is>
          <t>Apollofjäril
Jordtistel
Klasefibbla
Majviva
Gråkråka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row>
    <row r="71" ht="15" customHeight="1">
      <c r="A71" t="inlineStr">
        <is>
          <t>A 54527-2023</t>
        </is>
      </c>
      <c r="B71" s="1" t="n">
        <v>45233</v>
      </c>
      <c r="C71" s="1" t="n">
        <v>45981</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65819-2020</t>
        </is>
      </c>
      <c r="B72" s="1" t="n">
        <v>44174</v>
      </c>
      <c r="C72" s="1" t="n">
        <v>45981</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7038-2023</t>
        </is>
      </c>
      <c r="B73" s="1" t="n">
        <v>44968</v>
      </c>
      <c r="C73" s="1" t="n">
        <v>45981</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446-2023</t>
        </is>
      </c>
      <c r="B74" s="1" t="n">
        <v>44929</v>
      </c>
      <c r="C74" s="1" t="n">
        <v>45981</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16823-2024</t>
        </is>
      </c>
      <c r="B75" s="1" t="n">
        <v>45411</v>
      </c>
      <c r="C75" s="1" t="n">
        <v>45981</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66091-2021</t>
        </is>
      </c>
      <c r="B76" s="1" t="n">
        <v>44517</v>
      </c>
      <c r="C76" s="1" t="n">
        <v>45981</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39425-2023</t>
        </is>
      </c>
      <c r="B77" s="1" t="n">
        <v>45166</v>
      </c>
      <c r="C77" s="1" t="n">
        <v>45981</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44944-2022</t>
        </is>
      </c>
      <c r="B78" s="1" t="n">
        <v>44841</v>
      </c>
      <c r="C78" s="1" t="n">
        <v>45981</v>
      </c>
      <c r="D78" t="inlineStr">
        <is>
          <t>GOTLANDS LÄN</t>
        </is>
      </c>
      <c r="E78" t="inlineStr">
        <is>
          <t>GOTLAND</t>
        </is>
      </c>
      <c r="G78" t="n">
        <v>2.8</v>
      </c>
      <c r="H78" t="n">
        <v>0</v>
      </c>
      <c r="I78" t="n">
        <v>3</v>
      </c>
      <c r="J78" t="n">
        <v>2</v>
      </c>
      <c r="K78" t="n">
        <v>0</v>
      </c>
      <c r="L78" t="n">
        <v>0</v>
      </c>
      <c r="M78" t="n">
        <v>0</v>
      </c>
      <c r="N78" t="n">
        <v>0</v>
      </c>
      <c r="O78" t="n">
        <v>2</v>
      </c>
      <c r="P78" t="n">
        <v>0</v>
      </c>
      <c r="Q78" t="n">
        <v>5</v>
      </c>
      <c r="R78" s="2" t="inlineStr">
        <is>
          <t>Denisespindling
Odörspindling
Anisspindling
Fjällig taggsvamp s.str.
Rödgul trumpetsvamp</t>
        </is>
      </c>
      <c r="S78">
        <f>HYPERLINK("https://klasma.github.io/Logging_0980/artfynd/A 44944-2022 artfynd.xlsx", "A 44944-2022")</f>
        <v/>
      </c>
      <c r="T78">
        <f>HYPERLINK("https://klasma.github.io/Logging_0980/kartor/A 44944-2022 karta.png", "A 44944-2022")</f>
        <v/>
      </c>
      <c r="V78">
        <f>HYPERLINK("https://klasma.github.io/Logging_0980/klagomål/A 44944-2022 FSC-klagomål.docx", "A 44944-2022")</f>
        <v/>
      </c>
      <c r="W78">
        <f>HYPERLINK("https://klasma.github.io/Logging_0980/klagomålsmail/A 44944-2022 FSC-klagomål mail.docx", "A 44944-2022")</f>
        <v/>
      </c>
      <c r="X78">
        <f>HYPERLINK("https://klasma.github.io/Logging_0980/tillsyn/A 44944-2022 tillsynsbegäran.docx", "A 44944-2022")</f>
        <v/>
      </c>
      <c r="Y78">
        <f>HYPERLINK("https://klasma.github.io/Logging_0980/tillsynsmail/A 44944-2022 tillsynsbegäran mail.docx", "A 44944-2022")</f>
        <v/>
      </c>
    </row>
    <row r="79" ht="15" customHeight="1">
      <c r="A79" t="inlineStr">
        <is>
          <t>A 2213-2023</t>
        </is>
      </c>
      <c r="B79" s="1" t="n">
        <v>44942</v>
      </c>
      <c r="C79" s="1" t="n">
        <v>45981</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16375-2025</t>
        </is>
      </c>
      <c r="B80" s="1" t="n">
        <v>45751.41064814815</v>
      </c>
      <c r="C80" s="1" t="n">
        <v>45981</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45981</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32326-2024</t>
        </is>
      </c>
      <c r="B82" s="1" t="n">
        <v>45512</v>
      </c>
      <c r="C82" s="1" t="n">
        <v>45981</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54055-2022</t>
        </is>
      </c>
      <c r="B83" s="1" t="n">
        <v>44881</v>
      </c>
      <c r="C83" s="1" t="n">
        <v>45981</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35293-2025</t>
        </is>
      </c>
      <c r="B84" s="1" t="n">
        <v>45854.39438657407</v>
      </c>
      <c r="C84" s="1" t="n">
        <v>45981</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29331-2021</t>
        </is>
      </c>
      <c r="B85" s="1" t="n">
        <v>44361</v>
      </c>
      <c r="C85" s="1" t="n">
        <v>45981</v>
      </c>
      <c r="D85" t="inlineStr">
        <is>
          <t>GOTLANDS LÄN</t>
        </is>
      </c>
      <c r="E85" t="inlineStr">
        <is>
          <t>GOTLAND</t>
        </is>
      </c>
      <c r="G85" t="n">
        <v>3.7</v>
      </c>
      <c r="H85" t="n">
        <v>1</v>
      </c>
      <c r="I85" t="n">
        <v>4</v>
      </c>
      <c r="J85" t="n">
        <v>0</v>
      </c>
      <c r="K85" t="n">
        <v>0</v>
      </c>
      <c r="L85" t="n">
        <v>0</v>
      </c>
      <c r="M85" t="n">
        <v>0</v>
      </c>
      <c r="N85" t="n">
        <v>0</v>
      </c>
      <c r="O85" t="n">
        <v>0</v>
      </c>
      <c r="P85" t="n">
        <v>0</v>
      </c>
      <c r="Q85" t="n">
        <v>4</v>
      </c>
      <c r="R85" s="2" t="inlineStr">
        <is>
          <t>Blåmossa
Granbarkgnagare
Kattfotslav
Tvåblad</t>
        </is>
      </c>
      <c r="S85">
        <f>HYPERLINK("https://klasma.github.io/Logging_0980/artfynd/A 29331-2021 artfynd.xlsx", "A 29331-2021")</f>
        <v/>
      </c>
      <c r="T85">
        <f>HYPERLINK("https://klasma.github.io/Logging_0980/kartor/A 29331-2021 karta.png", "A 29331-2021")</f>
        <v/>
      </c>
      <c r="V85">
        <f>HYPERLINK("https://klasma.github.io/Logging_0980/klagomål/A 29331-2021 FSC-klagomål.docx", "A 29331-2021")</f>
        <v/>
      </c>
      <c r="W85">
        <f>HYPERLINK("https://klasma.github.io/Logging_0980/klagomålsmail/A 29331-2021 FSC-klagomål mail.docx", "A 29331-2021")</f>
        <v/>
      </c>
      <c r="X85">
        <f>HYPERLINK("https://klasma.github.io/Logging_0980/tillsyn/A 29331-2021 tillsynsbegäran.docx", "A 29331-2021")</f>
        <v/>
      </c>
      <c r="Y85">
        <f>HYPERLINK("https://klasma.github.io/Logging_0980/tillsynsmail/A 29331-2021 tillsynsbegäran mail.docx", "A 29331-2021")</f>
        <v/>
      </c>
    </row>
    <row r="86" ht="15" customHeight="1">
      <c r="A86" t="inlineStr">
        <is>
          <t>A 5904-2024</t>
        </is>
      </c>
      <c r="B86" s="1" t="n">
        <v>45335</v>
      </c>
      <c r="C86" s="1" t="n">
        <v>45981</v>
      </c>
      <c r="D86" t="inlineStr">
        <is>
          <t>GOTLANDS LÄN</t>
        </is>
      </c>
      <c r="E86" t="inlineStr">
        <is>
          <t>GOTLAND</t>
        </is>
      </c>
      <c r="G86" t="n">
        <v>6.4</v>
      </c>
      <c r="H86" t="n">
        <v>1</v>
      </c>
      <c r="I86" t="n">
        <v>2</v>
      </c>
      <c r="J86" t="n">
        <v>1</v>
      </c>
      <c r="K86" t="n">
        <v>0</v>
      </c>
      <c r="L86" t="n">
        <v>0</v>
      </c>
      <c r="M86" t="n">
        <v>0</v>
      </c>
      <c r="N86" t="n">
        <v>0</v>
      </c>
      <c r="O86" t="n">
        <v>1</v>
      </c>
      <c r="P86" t="n">
        <v>0</v>
      </c>
      <c r="Q86" t="n">
        <v>4</v>
      </c>
      <c r="R86" s="2" t="inlineStr">
        <is>
          <t>Backstarr
Blåmossa
Kattfotslav
Sankt pers nycklar</t>
        </is>
      </c>
      <c r="S86">
        <f>HYPERLINK("https://klasma.github.io/Logging_0980/artfynd/A 5904-2024 artfynd.xlsx", "A 5904-2024")</f>
        <v/>
      </c>
      <c r="T86">
        <f>HYPERLINK("https://klasma.github.io/Logging_0980/kartor/A 5904-2024 karta.png", "A 5904-2024")</f>
        <v/>
      </c>
      <c r="V86">
        <f>HYPERLINK("https://klasma.github.io/Logging_0980/klagomål/A 5904-2024 FSC-klagomål.docx", "A 5904-2024")</f>
        <v/>
      </c>
      <c r="W86">
        <f>HYPERLINK("https://klasma.github.io/Logging_0980/klagomålsmail/A 5904-2024 FSC-klagomål mail.docx", "A 5904-2024")</f>
        <v/>
      </c>
      <c r="X86">
        <f>HYPERLINK("https://klasma.github.io/Logging_0980/tillsyn/A 5904-2024 tillsynsbegäran.docx", "A 5904-2024")</f>
        <v/>
      </c>
      <c r="Y86">
        <f>HYPERLINK("https://klasma.github.io/Logging_0980/tillsynsmail/A 5904-2024 tillsynsbegäran mail.docx", "A 5904-2024")</f>
        <v/>
      </c>
    </row>
    <row r="87" ht="15" customHeight="1">
      <c r="A87" t="inlineStr">
        <is>
          <t>A 1971-2023</t>
        </is>
      </c>
      <c r="B87" s="1" t="n">
        <v>44939</v>
      </c>
      <c r="C87" s="1" t="n">
        <v>45981</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40099-2025</t>
        </is>
      </c>
      <c r="B88" s="1" t="n">
        <v>45894.48462962963</v>
      </c>
      <c r="C88" s="1" t="n">
        <v>45981</v>
      </c>
      <c r="D88" t="inlineStr">
        <is>
          <t>GOTLANDS LÄN</t>
        </is>
      </c>
      <c r="E88" t="inlineStr">
        <is>
          <t>GOTLAND</t>
        </is>
      </c>
      <c r="G88" t="n">
        <v>6.5</v>
      </c>
      <c r="H88" t="n">
        <v>0</v>
      </c>
      <c r="I88" t="n">
        <v>3</v>
      </c>
      <c r="J88" t="n">
        <v>0</v>
      </c>
      <c r="K88" t="n">
        <v>1</v>
      </c>
      <c r="L88" t="n">
        <v>0</v>
      </c>
      <c r="M88" t="n">
        <v>0</v>
      </c>
      <c r="N88" t="n">
        <v>0</v>
      </c>
      <c r="O88" t="n">
        <v>1</v>
      </c>
      <c r="P88" t="n">
        <v>1</v>
      </c>
      <c r="Q88" t="n">
        <v>4</v>
      </c>
      <c r="R88" s="2" t="inlineStr">
        <is>
          <t>Mörkfjällig olivspindling
Fjällig taggsvamp s.str.
Olivspindling
Svavelriska</t>
        </is>
      </c>
      <c r="S88">
        <f>HYPERLINK("https://klasma.github.io/Logging_0980/artfynd/A 40099-2025 artfynd.xlsx", "A 40099-2025")</f>
        <v/>
      </c>
      <c r="T88">
        <f>HYPERLINK("https://klasma.github.io/Logging_0980/kartor/A 40099-2025 karta.png", "A 40099-2025")</f>
        <v/>
      </c>
      <c r="V88">
        <f>HYPERLINK("https://klasma.github.io/Logging_0980/klagomål/A 40099-2025 FSC-klagomål.docx", "A 40099-2025")</f>
        <v/>
      </c>
      <c r="W88">
        <f>HYPERLINK("https://klasma.github.io/Logging_0980/klagomålsmail/A 40099-2025 FSC-klagomål mail.docx", "A 40099-2025")</f>
        <v/>
      </c>
      <c r="X88">
        <f>HYPERLINK("https://klasma.github.io/Logging_0980/tillsyn/A 40099-2025 tillsynsbegäran.docx", "A 40099-2025")</f>
        <v/>
      </c>
      <c r="Y88">
        <f>HYPERLINK("https://klasma.github.io/Logging_0980/tillsynsmail/A 40099-2025 tillsynsbegäran mail.docx", "A 40099-2025")</f>
        <v/>
      </c>
    </row>
    <row r="89" ht="15" customHeight="1">
      <c r="A89" t="inlineStr">
        <is>
          <t>A 186-2023</t>
        </is>
      </c>
      <c r="B89" s="1" t="n">
        <v>44928</v>
      </c>
      <c r="C89" s="1" t="n">
        <v>45981</v>
      </c>
      <c r="D89" t="inlineStr">
        <is>
          <t>GOTLANDS LÄN</t>
        </is>
      </c>
      <c r="E89" t="inlineStr">
        <is>
          <t>GOTLAND</t>
        </is>
      </c>
      <c r="G89" t="n">
        <v>2.2</v>
      </c>
      <c r="H89" t="n">
        <v>2</v>
      </c>
      <c r="I89" t="n">
        <v>2</v>
      </c>
      <c r="J89" t="n">
        <v>0</v>
      </c>
      <c r="K89" t="n">
        <v>2</v>
      </c>
      <c r="L89" t="n">
        <v>0</v>
      </c>
      <c r="M89" t="n">
        <v>0</v>
      </c>
      <c r="N89" t="n">
        <v>0</v>
      </c>
      <c r="O89" t="n">
        <v>2</v>
      </c>
      <c r="P89" t="n">
        <v>2</v>
      </c>
      <c r="Q89" t="n">
        <v>4</v>
      </c>
      <c r="R89" s="2" t="inlineStr">
        <is>
          <t>Svartgrön spindling
Vit taggsvamp
Nästrot
Skogsknipprot</t>
        </is>
      </c>
      <c r="S89">
        <f>HYPERLINK("https://klasma.github.io/Logging_0980/artfynd/A 186-2023 artfynd.xlsx", "A 186-2023")</f>
        <v/>
      </c>
      <c r="T89">
        <f>HYPERLINK("https://klasma.github.io/Logging_0980/kartor/A 186-2023 karta.png", "A 186-2023")</f>
        <v/>
      </c>
      <c r="V89">
        <f>HYPERLINK("https://klasma.github.io/Logging_0980/klagomål/A 186-2023 FSC-klagomål.docx", "A 186-2023")</f>
        <v/>
      </c>
      <c r="W89">
        <f>HYPERLINK("https://klasma.github.io/Logging_0980/klagomålsmail/A 186-2023 FSC-klagomål mail.docx", "A 186-2023")</f>
        <v/>
      </c>
      <c r="X89">
        <f>HYPERLINK("https://klasma.github.io/Logging_0980/tillsyn/A 186-2023 tillsynsbegäran.docx", "A 186-2023")</f>
        <v/>
      </c>
      <c r="Y89">
        <f>HYPERLINK("https://klasma.github.io/Logging_0980/tillsynsmail/A 186-2023 tillsynsbegäran mail.docx", "A 186-2023")</f>
        <v/>
      </c>
    </row>
    <row r="90" ht="15" customHeight="1">
      <c r="A90" t="inlineStr">
        <is>
          <t>A 56717-2024</t>
        </is>
      </c>
      <c r="B90" s="1" t="n">
        <v>45628.3166550926</v>
      </c>
      <c r="C90" s="1" t="n">
        <v>45981</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52309-2025</t>
        </is>
      </c>
      <c r="B91" s="1" t="n">
        <v>45953.64381944444</v>
      </c>
      <c r="C91" s="1" t="n">
        <v>45981</v>
      </c>
      <c r="D91" t="inlineStr">
        <is>
          <t>GOTLANDS LÄN</t>
        </is>
      </c>
      <c r="E91" t="inlineStr">
        <is>
          <t>GOTLAND</t>
        </is>
      </c>
      <c r="G91" t="n">
        <v>3.8</v>
      </c>
      <c r="H91" t="n">
        <v>0</v>
      </c>
      <c r="I91" t="n">
        <v>1</v>
      </c>
      <c r="J91" t="n">
        <v>1</v>
      </c>
      <c r="K91" t="n">
        <v>2</v>
      </c>
      <c r="L91" t="n">
        <v>0</v>
      </c>
      <c r="M91" t="n">
        <v>0</v>
      </c>
      <c r="N91" t="n">
        <v>0</v>
      </c>
      <c r="O91" t="n">
        <v>3</v>
      </c>
      <c r="P91" t="n">
        <v>2</v>
      </c>
      <c r="Q91" t="n">
        <v>4</v>
      </c>
      <c r="R91" s="2" t="inlineStr">
        <is>
          <t>Gulsträngad fagerspindling
Tvillingspindling
Odörspindling
Blå slemspindling</t>
        </is>
      </c>
      <c r="S91">
        <f>HYPERLINK("https://klasma.github.io/Logging_0980/artfynd/A 52309-2025 artfynd.xlsx", "A 52309-2025")</f>
        <v/>
      </c>
      <c r="T91">
        <f>HYPERLINK("https://klasma.github.io/Logging_0980/kartor/A 52309-2025 karta.png", "A 52309-2025")</f>
        <v/>
      </c>
      <c r="V91">
        <f>HYPERLINK("https://klasma.github.io/Logging_0980/klagomål/A 52309-2025 FSC-klagomål.docx", "A 52309-2025")</f>
        <v/>
      </c>
      <c r="W91">
        <f>HYPERLINK("https://klasma.github.io/Logging_0980/klagomålsmail/A 52309-2025 FSC-klagomål mail.docx", "A 52309-2025")</f>
        <v/>
      </c>
      <c r="X91">
        <f>HYPERLINK("https://klasma.github.io/Logging_0980/tillsyn/A 52309-2025 tillsynsbegäran.docx", "A 52309-2025")</f>
        <v/>
      </c>
      <c r="Y91">
        <f>HYPERLINK("https://klasma.github.io/Logging_0980/tillsynsmail/A 52309-2025 tillsynsbegäran mail.docx", "A 52309-2025")</f>
        <v/>
      </c>
    </row>
    <row r="92" ht="15" customHeight="1">
      <c r="A92" t="inlineStr">
        <is>
          <t>A 52250-2025</t>
        </is>
      </c>
      <c r="B92" s="1" t="n">
        <v>45953.48998842593</v>
      </c>
      <c r="C92" s="1" t="n">
        <v>45981</v>
      </c>
      <c r="D92" t="inlineStr">
        <is>
          <t>GOTLANDS LÄN</t>
        </is>
      </c>
      <c r="E92" t="inlineStr">
        <is>
          <t>GOTLAND</t>
        </is>
      </c>
      <c r="F92" t="inlineStr">
        <is>
          <t>Övriga Aktiebolag</t>
        </is>
      </c>
      <c r="G92" t="n">
        <v>1.2</v>
      </c>
      <c r="H92" t="n">
        <v>2</v>
      </c>
      <c r="I92" t="n">
        <v>1</v>
      </c>
      <c r="J92" t="n">
        <v>2</v>
      </c>
      <c r="K92" t="n">
        <v>0</v>
      </c>
      <c r="L92" t="n">
        <v>0</v>
      </c>
      <c r="M92" t="n">
        <v>0</v>
      </c>
      <c r="N92" t="n">
        <v>0</v>
      </c>
      <c r="O92" t="n">
        <v>2</v>
      </c>
      <c r="P92" t="n">
        <v>0</v>
      </c>
      <c r="Q92" t="n">
        <v>4</v>
      </c>
      <c r="R92" s="2" t="inlineStr">
        <is>
          <t>Backtimjan
Spillkråka
Anisspindling
Nattviol</t>
        </is>
      </c>
      <c r="S92">
        <f>HYPERLINK("https://klasma.github.io/Logging_0980/artfynd/A 52250-2025 artfynd.xlsx", "A 52250-2025")</f>
        <v/>
      </c>
      <c r="T92">
        <f>HYPERLINK("https://klasma.github.io/Logging_0980/kartor/A 52250-2025 karta.png", "A 52250-2025")</f>
        <v/>
      </c>
      <c r="V92">
        <f>HYPERLINK("https://klasma.github.io/Logging_0980/klagomål/A 52250-2025 FSC-klagomål.docx", "A 52250-2025")</f>
        <v/>
      </c>
      <c r="W92">
        <f>HYPERLINK("https://klasma.github.io/Logging_0980/klagomålsmail/A 52250-2025 FSC-klagomål mail.docx", "A 52250-2025")</f>
        <v/>
      </c>
      <c r="X92">
        <f>HYPERLINK("https://klasma.github.io/Logging_0980/tillsyn/A 52250-2025 tillsynsbegäran.docx", "A 52250-2025")</f>
        <v/>
      </c>
      <c r="Y92">
        <f>HYPERLINK("https://klasma.github.io/Logging_0980/tillsynsmail/A 52250-2025 tillsynsbegäran mail.docx", "A 52250-2025")</f>
        <v/>
      </c>
      <c r="Z92">
        <f>HYPERLINK("https://klasma.github.io/Logging_0980/fåglar/A 52250-2025 prioriterade fågelarter.docx", "A 52250-2025")</f>
        <v/>
      </c>
    </row>
    <row r="93" ht="15" customHeight="1">
      <c r="A93" t="inlineStr">
        <is>
          <t>A 54523-2023</t>
        </is>
      </c>
      <c r="B93" s="1" t="n">
        <v>45233</v>
      </c>
      <c r="C93" s="1" t="n">
        <v>45981</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2485-2025</t>
        </is>
      </c>
      <c r="B94" s="1" t="n">
        <v>45673</v>
      </c>
      <c r="C94" s="1" t="n">
        <v>45981</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45981</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8265-2023</t>
        </is>
      </c>
      <c r="B96" s="1" t="n">
        <v>44974</v>
      </c>
      <c r="C96" s="1" t="n">
        <v>45981</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43197-2023</t>
        </is>
      </c>
      <c r="B97" s="1" t="n">
        <v>45183</v>
      </c>
      <c r="C97" s="1" t="n">
        <v>45981</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44933-2022</t>
        </is>
      </c>
      <c r="B98" s="1" t="n">
        <v>44841</v>
      </c>
      <c r="C98" s="1" t="n">
        <v>45981</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20833-2024</t>
        </is>
      </c>
      <c r="B99" s="1" t="n">
        <v>45439</v>
      </c>
      <c r="C99" s="1" t="n">
        <v>45981</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64378-2020</t>
        </is>
      </c>
      <c r="B100" s="1" t="n">
        <v>44168</v>
      </c>
      <c r="C100" s="1" t="n">
        <v>45981</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65537-2020</t>
        </is>
      </c>
      <c r="B101" s="1" t="n">
        <v>44173</v>
      </c>
      <c r="C101" s="1" t="n">
        <v>45981</v>
      </c>
      <c r="D101" t="inlineStr">
        <is>
          <t>GOTLANDS LÄN</t>
        </is>
      </c>
      <c r="E101" t="inlineStr">
        <is>
          <t>GOTLAND</t>
        </is>
      </c>
      <c r="G101" t="n">
        <v>1.6</v>
      </c>
      <c r="H101" t="n">
        <v>0</v>
      </c>
      <c r="I101" t="n">
        <v>0</v>
      </c>
      <c r="J101" t="n">
        <v>3</v>
      </c>
      <c r="K101" t="n">
        <v>0</v>
      </c>
      <c r="L101" t="n">
        <v>0</v>
      </c>
      <c r="M101" t="n">
        <v>0</v>
      </c>
      <c r="N101" t="n">
        <v>0</v>
      </c>
      <c r="O101" t="n">
        <v>3</v>
      </c>
      <c r="P101" t="n">
        <v>0</v>
      </c>
      <c r="Q101" t="n">
        <v>3</v>
      </c>
      <c r="R101" s="2" t="inlineStr">
        <is>
          <t>Axveronika
Backtimjan
Solvända</t>
        </is>
      </c>
      <c r="S101">
        <f>HYPERLINK("https://klasma.github.io/Logging_0980/artfynd/A 65537-2020 artfynd.xlsx", "A 65537-2020")</f>
        <v/>
      </c>
      <c r="T101">
        <f>HYPERLINK("https://klasma.github.io/Logging_0980/kartor/A 65537-2020 karta.png", "A 65537-2020")</f>
        <v/>
      </c>
      <c r="V101">
        <f>HYPERLINK("https://klasma.github.io/Logging_0980/klagomål/A 65537-2020 FSC-klagomål.docx", "A 65537-2020")</f>
        <v/>
      </c>
      <c r="W101">
        <f>HYPERLINK("https://klasma.github.io/Logging_0980/klagomålsmail/A 65537-2020 FSC-klagomål mail.docx", "A 65537-2020")</f>
        <v/>
      </c>
      <c r="X101">
        <f>HYPERLINK("https://klasma.github.io/Logging_0980/tillsyn/A 65537-2020 tillsynsbegäran.docx", "A 65537-2020")</f>
        <v/>
      </c>
      <c r="Y101">
        <f>HYPERLINK("https://klasma.github.io/Logging_0980/tillsynsmail/A 65537-2020 tillsynsbegäran mail.docx", "A 65537-2020")</f>
        <v/>
      </c>
    </row>
    <row r="102" ht="15" customHeight="1">
      <c r="A102" t="inlineStr">
        <is>
          <t>A 44323-2021</t>
        </is>
      </c>
      <c r="B102" s="1" t="n">
        <v>44434</v>
      </c>
      <c r="C102" s="1" t="n">
        <v>45981</v>
      </c>
      <c r="D102" t="inlineStr">
        <is>
          <t>GOTLANDS LÄN</t>
        </is>
      </c>
      <c r="E102" t="inlineStr">
        <is>
          <t>GOTLAND</t>
        </is>
      </c>
      <c r="G102" t="n">
        <v>7.5</v>
      </c>
      <c r="H102" t="n">
        <v>1</v>
      </c>
      <c r="I102" t="n">
        <v>3</v>
      </c>
      <c r="J102" t="n">
        <v>0</v>
      </c>
      <c r="K102" t="n">
        <v>0</v>
      </c>
      <c r="L102" t="n">
        <v>0</v>
      </c>
      <c r="M102" t="n">
        <v>0</v>
      </c>
      <c r="N102" t="n">
        <v>0</v>
      </c>
      <c r="O102" t="n">
        <v>0</v>
      </c>
      <c r="P102" t="n">
        <v>0</v>
      </c>
      <c r="Q102" t="n">
        <v>3</v>
      </c>
      <c r="R102" s="2" t="inlineStr">
        <is>
          <t>Anisspindling
Barrfagerspindling
Skogsknipprot</t>
        </is>
      </c>
      <c r="S102">
        <f>HYPERLINK("https://klasma.github.io/Logging_0980/artfynd/A 44323-2021 artfynd.xlsx", "A 44323-2021")</f>
        <v/>
      </c>
      <c r="T102">
        <f>HYPERLINK("https://klasma.github.io/Logging_0980/kartor/A 44323-2021 karta.png", "A 44323-2021")</f>
        <v/>
      </c>
      <c r="V102">
        <f>HYPERLINK("https://klasma.github.io/Logging_0980/klagomål/A 44323-2021 FSC-klagomål.docx", "A 44323-2021")</f>
        <v/>
      </c>
      <c r="W102">
        <f>HYPERLINK("https://klasma.github.io/Logging_0980/klagomålsmail/A 44323-2021 FSC-klagomål mail.docx", "A 44323-2021")</f>
        <v/>
      </c>
      <c r="X102">
        <f>HYPERLINK("https://klasma.github.io/Logging_0980/tillsyn/A 44323-2021 tillsynsbegäran.docx", "A 44323-2021")</f>
        <v/>
      </c>
      <c r="Y102">
        <f>HYPERLINK("https://klasma.github.io/Logging_0980/tillsynsmail/A 44323-2021 tillsynsbegäran mail.docx", "A 44323-2021")</f>
        <v/>
      </c>
    </row>
    <row r="103" ht="15" customHeight="1">
      <c r="A103" t="inlineStr">
        <is>
          <t>A 32666-2021</t>
        </is>
      </c>
      <c r="B103" s="1" t="n">
        <v>44375</v>
      </c>
      <c r="C103" s="1" t="n">
        <v>45981</v>
      </c>
      <c r="D103" t="inlineStr">
        <is>
          <t>GOTLANDS LÄN</t>
        </is>
      </c>
      <c r="E103" t="inlineStr">
        <is>
          <t>GOTLAND</t>
        </is>
      </c>
      <c r="G103" t="n">
        <v>0.9</v>
      </c>
      <c r="H103" t="n">
        <v>1</v>
      </c>
      <c r="I103" t="n">
        <v>2</v>
      </c>
      <c r="J103" t="n">
        <v>0</v>
      </c>
      <c r="K103" t="n">
        <v>1</v>
      </c>
      <c r="L103" t="n">
        <v>0</v>
      </c>
      <c r="M103" t="n">
        <v>0</v>
      </c>
      <c r="N103" t="n">
        <v>0</v>
      </c>
      <c r="O103" t="n">
        <v>1</v>
      </c>
      <c r="P103" t="n">
        <v>1</v>
      </c>
      <c r="Q103" t="n">
        <v>3</v>
      </c>
      <c r="R103" s="2" t="inlineStr">
        <is>
          <t>Skogskorn
Myskmadra
Vit skogslilja</t>
        </is>
      </c>
      <c r="S103">
        <f>HYPERLINK("https://klasma.github.io/Logging_0980/artfynd/A 32666-2021 artfynd.xlsx", "A 32666-2021")</f>
        <v/>
      </c>
      <c r="T103">
        <f>HYPERLINK("https://klasma.github.io/Logging_0980/kartor/A 32666-2021 karta.png", "A 32666-2021")</f>
        <v/>
      </c>
      <c r="V103">
        <f>HYPERLINK("https://klasma.github.io/Logging_0980/klagomål/A 32666-2021 FSC-klagomål.docx", "A 32666-2021")</f>
        <v/>
      </c>
      <c r="W103">
        <f>HYPERLINK("https://klasma.github.io/Logging_0980/klagomålsmail/A 32666-2021 FSC-klagomål mail.docx", "A 32666-2021")</f>
        <v/>
      </c>
      <c r="X103">
        <f>HYPERLINK("https://klasma.github.io/Logging_0980/tillsyn/A 32666-2021 tillsynsbegäran.docx", "A 32666-2021")</f>
        <v/>
      </c>
      <c r="Y103">
        <f>HYPERLINK("https://klasma.github.io/Logging_0980/tillsynsmail/A 32666-2021 tillsynsbegäran mail.docx", "A 32666-2021")</f>
        <v/>
      </c>
    </row>
    <row r="104" ht="15" customHeight="1">
      <c r="A104" t="inlineStr">
        <is>
          <t>A 12519-2021</t>
        </is>
      </c>
      <c r="B104" s="1" t="n">
        <v>44269</v>
      </c>
      <c r="C104" s="1" t="n">
        <v>45981</v>
      </c>
      <c r="D104" t="inlineStr">
        <is>
          <t>GOTLANDS LÄN</t>
        </is>
      </c>
      <c r="E104" t="inlineStr">
        <is>
          <t>GOTLAND</t>
        </is>
      </c>
      <c r="F104" t="inlineStr">
        <is>
          <t>Kyrkan</t>
        </is>
      </c>
      <c r="G104" t="n">
        <v>3.4</v>
      </c>
      <c r="H104" t="n">
        <v>0</v>
      </c>
      <c r="I104" t="n">
        <v>2</v>
      </c>
      <c r="J104" t="n">
        <v>1</v>
      </c>
      <c r="K104" t="n">
        <v>0</v>
      </c>
      <c r="L104" t="n">
        <v>0</v>
      </c>
      <c r="M104" t="n">
        <v>0</v>
      </c>
      <c r="N104" t="n">
        <v>0</v>
      </c>
      <c r="O104" t="n">
        <v>1</v>
      </c>
      <c r="P104" t="n">
        <v>0</v>
      </c>
      <c r="Q104" t="n">
        <v>3</v>
      </c>
      <c r="R104" s="2" t="inlineStr">
        <is>
          <t>Loppstarr
Rödgul trumpetsvamp
Vågbandad barkbock</t>
        </is>
      </c>
      <c r="S104">
        <f>HYPERLINK("https://klasma.github.io/Logging_0980/artfynd/A 12519-2021 artfynd.xlsx", "A 12519-2021")</f>
        <v/>
      </c>
      <c r="T104">
        <f>HYPERLINK("https://klasma.github.io/Logging_0980/kartor/A 12519-2021 karta.png", "A 12519-2021")</f>
        <v/>
      </c>
      <c r="V104">
        <f>HYPERLINK("https://klasma.github.io/Logging_0980/klagomål/A 12519-2021 FSC-klagomål.docx", "A 12519-2021")</f>
        <v/>
      </c>
      <c r="W104">
        <f>HYPERLINK("https://klasma.github.io/Logging_0980/klagomålsmail/A 12519-2021 FSC-klagomål mail.docx", "A 12519-2021")</f>
        <v/>
      </c>
      <c r="X104">
        <f>HYPERLINK("https://klasma.github.io/Logging_0980/tillsyn/A 12519-2021 tillsynsbegäran.docx", "A 12519-2021")</f>
        <v/>
      </c>
      <c r="Y104">
        <f>HYPERLINK("https://klasma.github.io/Logging_0980/tillsynsmail/A 12519-2021 tillsynsbegäran mail.docx", "A 12519-2021")</f>
        <v/>
      </c>
    </row>
    <row r="105" ht="15" customHeight="1">
      <c r="A105" t="inlineStr">
        <is>
          <t>A 43013-2022</t>
        </is>
      </c>
      <c r="B105" s="1" t="n">
        <v>44833</v>
      </c>
      <c r="C105" s="1" t="n">
        <v>45981</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32718-2021</t>
        </is>
      </c>
      <c r="B106" s="1" t="n">
        <v>44375</v>
      </c>
      <c r="C106" s="1" t="n">
        <v>45981</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73144-2021</t>
        </is>
      </c>
      <c r="B107" s="1" t="n">
        <v>44550</v>
      </c>
      <c r="C107" s="1" t="n">
        <v>45981</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2332-2021</t>
        </is>
      </c>
      <c r="B108" s="1" t="n">
        <v>44214</v>
      </c>
      <c r="C108" s="1" t="n">
        <v>45981</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17982-2023</t>
        </is>
      </c>
      <c r="B109" s="1" t="n">
        <v>45040</v>
      </c>
      <c r="C109" s="1" t="n">
        <v>45981</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13499-2022</t>
        </is>
      </c>
      <c r="B110" s="1" t="n">
        <v>44647.79203703703</v>
      </c>
      <c r="C110" s="1" t="n">
        <v>45981</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45981</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49709-2025</t>
        </is>
      </c>
      <c r="B112" s="1" t="n">
        <v>45939.68228009259</v>
      </c>
      <c r="C112" s="1" t="n">
        <v>45981</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48126-2022</t>
        </is>
      </c>
      <c r="B113" s="1" t="n">
        <v>44857</v>
      </c>
      <c r="C113" s="1" t="n">
        <v>45981</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53552-2021</t>
        </is>
      </c>
      <c r="B114" s="1" t="n">
        <v>44468</v>
      </c>
      <c r="C114" s="1" t="n">
        <v>45981</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12315-2024</t>
        </is>
      </c>
      <c r="B115" s="1" t="n">
        <v>45378.6434837963</v>
      </c>
      <c r="C115" s="1" t="n">
        <v>45981</v>
      </c>
      <c r="D115" t="inlineStr">
        <is>
          <t>GOTLANDS LÄN</t>
        </is>
      </c>
      <c r="E115" t="inlineStr">
        <is>
          <t>GOTLAND</t>
        </is>
      </c>
      <c r="G115" t="n">
        <v>6</v>
      </c>
      <c r="H115" t="n">
        <v>3</v>
      </c>
      <c r="I115" t="n">
        <v>1</v>
      </c>
      <c r="J115" t="n">
        <v>1</v>
      </c>
      <c r="K115" t="n">
        <v>0</v>
      </c>
      <c r="L115" t="n">
        <v>0</v>
      </c>
      <c r="M115" t="n">
        <v>0</v>
      </c>
      <c r="N115" t="n">
        <v>0</v>
      </c>
      <c r="O115" t="n">
        <v>1</v>
      </c>
      <c r="P115" t="n">
        <v>0</v>
      </c>
      <c r="Q115" t="n">
        <v>3</v>
      </c>
      <c r="R115" s="2" t="inlineStr">
        <is>
          <t>Buskskvätta
Tvåblad
Fläcknycklar</t>
        </is>
      </c>
      <c r="S115">
        <f>HYPERLINK("https://klasma.github.io/Logging_0980/artfynd/A 12315-2024 artfynd.xlsx", "A 12315-2024")</f>
        <v/>
      </c>
      <c r="T115">
        <f>HYPERLINK("https://klasma.github.io/Logging_0980/kartor/A 12315-2024 karta.png", "A 12315-2024")</f>
        <v/>
      </c>
      <c r="V115">
        <f>HYPERLINK("https://klasma.github.io/Logging_0980/klagomål/A 12315-2024 FSC-klagomål.docx", "A 12315-2024")</f>
        <v/>
      </c>
      <c r="W115">
        <f>HYPERLINK("https://klasma.github.io/Logging_0980/klagomålsmail/A 12315-2024 FSC-klagomål mail.docx", "A 12315-2024")</f>
        <v/>
      </c>
      <c r="X115">
        <f>HYPERLINK("https://klasma.github.io/Logging_0980/tillsyn/A 12315-2024 tillsynsbegäran.docx", "A 12315-2024")</f>
        <v/>
      </c>
      <c r="Y115">
        <f>HYPERLINK("https://klasma.github.io/Logging_0980/tillsynsmail/A 12315-2024 tillsynsbegäran mail.docx", "A 12315-2024")</f>
        <v/>
      </c>
      <c r="Z115">
        <f>HYPERLINK("https://klasma.github.io/Logging_0980/fåglar/A 12315-2024 prioriterade fågelarter.docx", "A 12315-2024")</f>
        <v/>
      </c>
    </row>
    <row r="116" ht="15" customHeight="1">
      <c r="A116" t="inlineStr">
        <is>
          <t>A 55334-2024</t>
        </is>
      </c>
      <c r="B116" s="1" t="n">
        <v>45621</v>
      </c>
      <c r="C116" s="1" t="n">
        <v>45981</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30490-2025</t>
        </is>
      </c>
      <c r="B117" s="1" t="n">
        <v>45830</v>
      </c>
      <c r="C117" s="1" t="n">
        <v>45981</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17975-2024</t>
        </is>
      </c>
      <c r="B118" s="1" t="n">
        <v>45419.85546296297</v>
      </c>
      <c r="C118" s="1" t="n">
        <v>45981</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62326-2020</t>
        </is>
      </c>
      <c r="B119" s="1" t="n">
        <v>44160</v>
      </c>
      <c r="C119" s="1" t="n">
        <v>45981</v>
      </c>
      <c r="D119" t="inlineStr">
        <is>
          <t>GOTLANDS LÄN</t>
        </is>
      </c>
      <c r="E119" t="inlineStr">
        <is>
          <t>GOTLAND</t>
        </is>
      </c>
      <c r="G119" t="n">
        <v>7.4</v>
      </c>
      <c r="H119" t="n">
        <v>1</v>
      </c>
      <c r="I119" t="n">
        <v>3</v>
      </c>
      <c r="J119" t="n">
        <v>0</v>
      </c>
      <c r="K119" t="n">
        <v>0</v>
      </c>
      <c r="L119" t="n">
        <v>0</v>
      </c>
      <c r="M119" t="n">
        <v>0</v>
      </c>
      <c r="N119" t="n">
        <v>0</v>
      </c>
      <c r="O119" t="n">
        <v>0</v>
      </c>
      <c r="P119" t="n">
        <v>0</v>
      </c>
      <c r="Q119" t="n">
        <v>3</v>
      </c>
      <c r="R119" s="2" t="inlineStr">
        <is>
          <t>Anisspindling
Blåmossa
Skogsknipprot</t>
        </is>
      </c>
      <c r="S119">
        <f>HYPERLINK("https://klasma.github.io/Logging_0980/artfynd/A 62326-2020 artfynd.xlsx", "A 62326-2020")</f>
        <v/>
      </c>
      <c r="T119">
        <f>HYPERLINK("https://klasma.github.io/Logging_0980/kartor/A 62326-2020 karta.png", "A 62326-2020")</f>
        <v/>
      </c>
      <c r="V119">
        <f>HYPERLINK("https://klasma.github.io/Logging_0980/klagomål/A 62326-2020 FSC-klagomål.docx", "A 62326-2020")</f>
        <v/>
      </c>
      <c r="W119">
        <f>HYPERLINK("https://klasma.github.io/Logging_0980/klagomålsmail/A 62326-2020 FSC-klagomål mail.docx", "A 62326-2020")</f>
        <v/>
      </c>
      <c r="X119">
        <f>HYPERLINK("https://klasma.github.io/Logging_0980/tillsyn/A 62326-2020 tillsynsbegäran.docx", "A 62326-2020")</f>
        <v/>
      </c>
      <c r="Y119">
        <f>HYPERLINK("https://klasma.github.io/Logging_0980/tillsynsmail/A 62326-2020 tillsynsbegäran mail.docx", "A 62326-2020")</f>
        <v/>
      </c>
    </row>
    <row r="120" ht="15" customHeight="1">
      <c r="A120" t="inlineStr">
        <is>
          <t>A 20831-2024</t>
        </is>
      </c>
      <c r="B120" s="1" t="n">
        <v>45439</v>
      </c>
      <c r="C120" s="1" t="n">
        <v>45981</v>
      </c>
      <c r="D120" t="inlineStr">
        <is>
          <t>GOTLANDS LÄN</t>
        </is>
      </c>
      <c r="E120" t="inlineStr">
        <is>
          <t>GOTLAND</t>
        </is>
      </c>
      <c r="G120" t="n">
        <v>2.9</v>
      </c>
      <c r="H120" t="n">
        <v>2</v>
      </c>
      <c r="I120" t="n">
        <v>1</v>
      </c>
      <c r="J120" t="n">
        <v>2</v>
      </c>
      <c r="K120" t="n">
        <v>0</v>
      </c>
      <c r="L120" t="n">
        <v>0</v>
      </c>
      <c r="M120" t="n">
        <v>0</v>
      </c>
      <c r="N120" t="n">
        <v>0</v>
      </c>
      <c r="O120" t="n">
        <v>2</v>
      </c>
      <c r="P120" t="n">
        <v>0</v>
      </c>
      <c r="Q120" t="n">
        <v>3</v>
      </c>
      <c r="R120" s="2" t="inlineStr">
        <is>
          <t>Dårgräsfjäril
Svinrot
Skogsknipprot</t>
        </is>
      </c>
      <c r="S120">
        <f>HYPERLINK("https://klasma.github.io/Logging_0980/artfynd/A 20831-2024 artfynd.xlsx", "A 20831-2024")</f>
        <v/>
      </c>
      <c r="T120">
        <f>HYPERLINK("https://klasma.github.io/Logging_0980/kartor/A 20831-2024 karta.png", "A 20831-2024")</f>
        <v/>
      </c>
      <c r="V120">
        <f>HYPERLINK("https://klasma.github.io/Logging_0980/klagomål/A 20831-2024 FSC-klagomål.docx", "A 20831-2024")</f>
        <v/>
      </c>
      <c r="W120">
        <f>HYPERLINK("https://klasma.github.io/Logging_0980/klagomålsmail/A 20831-2024 FSC-klagomål mail.docx", "A 20831-2024")</f>
        <v/>
      </c>
      <c r="X120">
        <f>HYPERLINK("https://klasma.github.io/Logging_0980/tillsyn/A 20831-2024 tillsynsbegäran.docx", "A 20831-2024")</f>
        <v/>
      </c>
      <c r="Y120">
        <f>HYPERLINK("https://klasma.github.io/Logging_0980/tillsynsmail/A 20831-2024 tillsynsbegäran mail.docx", "A 20831-2024")</f>
        <v/>
      </c>
    </row>
    <row r="121" ht="15" customHeight="1">
      <c r="A121" t="inlineStr">
        <is>
          <t>A 29870-2021</t>
        </is>
      </c>
      <c r="B121" s="1" t="n">
        <v>44362</v>
      </c>
      <c r="C121" s="1" t="n">
        <v>45981</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45981</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45981</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45981</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28261-2024</t>
        </is>
      </c>
      <c r="B125" s="1" t="n">
        <v>45477</v>
      </c>
      <c r="C125" s="1" t="n">
        <v>45981</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60665-2021</t>
        </is>
      </c>
      <c r="B126" s="1" t="n">
        <v>44496</v>
      </c>
      <c r="C126" s="1" t="n">
        <v>45981</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45981</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55649-2024</t>
        </is>
      </c>
      <c r="B128" s="1" t="n">
        <v>45622.63053240741</v>
      </c>
      <c r="C128" s="1" t="n">
        <v>45981</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21879-2025</t>
        </is>
      </c>
      <c r="B129" s="1" t="n">
        <v>45784.40533564815</v>
      </c>
      <c r="C129" s="1" t="n">
        <v>45981</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26077-2024</t>
        </is>
      </c>
      <c r="B130" s="1" t="n">
        <v>45467</v>
      </c>
      <c r="C130" s="1" t="n">
        <v>45981</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7070-2022</t>
        </is>
      </c>
      <c r="B131" s="1" t="n">
        <v>44603</v>
      </c>
      <c r="C131" s="1" t="n">
        <v>45981</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52245-2025</t>
        </is>
      </c>
      <c r="B132" s="1" t="n">
        <v>45953.47115740741</v>
      </c>
      <c r="C132" s="1" t="n">
        <v>45981</v>
      </c>
      <c r="D132" t="inlineStr">
        <is>
          <t>GOTLANDS LÄN</t>
        </is>
      </c>
      <c r="E132" t="inlineStr">
        <is>
          <t>GOTLAND</t>
        </is>
      </c>
      <c r="F132" t="inlineStr">
        <is>
          <t>Övriga Aktiebolag</t>
        </is>
      </c>
      <c r="G132" t="n">
        <v>10.1</v>
      </c>
      <c r="H132" t="n">
        <v>0</v>
      </c>
      <c r="I132" t="n">
        <v>1</v>
      </c>
      <c r="J132" t="n">
        <v>0</v>
      </c>
      <c r="K132" t="n">
        <v>1</v>
      </c>
      <c r="L132" t="n">
        <v>0</v>
      </c>
      <c r="M132" t="n">
        <v>0</v>
      </c>
      <c r="N132" t="n">
        <v>0</v>
      </c>
      <c r="O132" t="n">
        <v>1</v>
      </c>
      <c r="P132" t="n">
        <v>1</v>
      </c>
      <c r="Q132" t="n">
        <v>2</v>
      </c>
      <c r="R132" s="2" t="inlineStr">
        <is>
          <t>Källnate
Underviol</t>
        </is>
      </c>
      <c r="S132">
        <f>HYPERLINK("https://klasma.github.io/Logging_0980/artfynd/A 52245-2025 artfynd.xlsx", "A 52245-2025")</f>
        <v/>
      </c>
      <c r="T132">
        <f>HYPERLINK("https://klasma.github.io/Logging_0980/kartor/A 52245-2025 karta.png", "A 52245-2025")</f>
        <v/>
      </c>
      <c r="V132">
        <f>HYPERLINK("https://klasma.github.io/Logging_0980/klagomål/A 52245-2025 FSC-klagomål.docx", "A 52245-2025")</f>
        <v/>
      </c>
      <c r="W132">
        <f>HYPERLINK("https://klasma.github.io/Logging_0980/klagomålsmail/A 52245-2025 FSC-klagomål mail.docx", "A 52245-2025")</f>
        <v/>
      </c>
      <c r="X132">
        <f>HYPERLINK("https://klasma.github.io/Logging_0980/tillsyn/A 52245-2025 tillsynsbegäran.docx", "A 52245-2025")</f>
        <v/>
      </c>
      <c r="Y132">
        <f>HYPERLINK("https://klasma.github.io/Logging_0980/tillsynsmail/A 52245-2025 tillsynsbegäran mail.docx", "A 52245-2025")</f>
        <v/>
      </c>
    </row>
    <row r="133" ht="15" customHeight="1">
      <c r="A133" t="inlineStr">
        <is>
          <t>A 64263-2020</t>
        </is>
      </c>
      <c r="B133" s="1" t="n">
        <v>44168</v>
      </c>
      <c r="C133" s="1" t="n">
        <v>45981</v>
      </c>
      <c r="D133" t="inlineStr">
        <is>
          <t>GOTLANDS LÄN</t>
        </is>
      </c>
      <c r="E133" t="inlineStr">
        <is>
          <t>GOTLAND</t>
        </is>
      </c>
      <c r="G133" t="n">
        <v>10.9</v>
      </c>
      <c r="H133" t="n">
        <v>1</v>
      </c>
      <c r="I133" t="n">
        <v>0</v>
      </c>
      <c r="J133" t="n">
        <v>2</v>
      </c>
      <c r="K133" t="n">
        <v>0</v>
      </c>
      <c r="L133" t="n">
        <v>0</v>
      </c>
      <c r="M133" t="n">
        <v>0</v>
      </c>
      <c r="N133" t="n">
        <v>0</v>
      </c>
      <c r="O133" t="n">
        <v>2</v>
      </c>
      <c r="P133" t="n">
        <v>0</v>
      </c>
      <c r="Q133" t="n">
        <v>2</v>
      </c>
      <c r="R133" s="2" t="inlineStr">
        <is>
          <t>Mindre hackspett
Ullticka</t>
        </is>
      </c>
      <c r="S133">
        <f>HYPERLINK("https://klasma.github.io/Logging_0980/artfynd/A 64263-2020 artfynd.xlsx", "A 64263-2020")</f>
        <v/>
      </c>
      <c r="T133">
        <f>HYPERLINK("https://klasma.github.io/Logging_0980/kartor/A 64263-2020 karta.png", "A 64263-2020")</f>
        <v/>
      </c>
      <c r="V133">
        <f>HYPERLINK("https://klasma.github.io/Logging_0980/klagomål/A 64263-2020 FSC-klagomål.docx", "A 64263-2020")</f>
        <v/>
      </c>
      <c r="W133">
        <f>HYPERLINK("https://klasma.github.io/Logging_0980/klagomålsmail/A 64263-2020 FSC-klagomål mail.docx", "A 64263-2020")</f>
        <v/>
      </c>
      <c r="X133">
        <f>HYPERLINK("https://klasma.github.io/Logging_0980/tillsyn/A 64263-2020 tillsynsbegäran.docx", "A 64263-2020")</f>
        <v/>
      </c>
      <c r="Y133">
        <f>HYPERLINK("https://klasma.github.io/Logging_0980/tillsynsmail/A 64263-2020 tillsynsbegäran mail.docx", "A 64263-2020")</f>
        <v/>
      </c>
      <c r="Z133">
        <f>HYPERLINK("https://klasma.github.io/Logging_0980/fåglar/A 64263-2020 prioriterade fågelarter.docx", "A 64263-2020")</f>
        <v/>
      </c>
    </row>
    <row r="134" ht="15" customHeight="1">
      <c r="A134" t="inlineStr">
        <is>
          <t>A 12914-2025</t>
        </is>
      </c>
      <c r="B134" s="1" t="n">
        <v>45733</v>
      </c>
      <c r="C134" s="1" t="n">
        <v>45981</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54357-2024</t>
        </is>
      </c>
      <c r="B135" s="1" t="n">
        <v>45617.40662037037</v>
      </c>
      <c r="C135" s="1" t="n">
        <v>45981</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43219-2023</t>
        </is>
      </c>
      <c r="B136" s="1" t="n">
        <v>45183</v>
      </c>
      <c r="C136" s="1" t="n">
        <v>45981</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28276-2024</t>
        </is>
      </c>
      <c r="B137" s="1" t="n">
        <v>45477</v>
      </c>
      <c r="C137" s="1" t="n">
        <v>45981</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20838-2024</t>
        </is>
      </c>
      <c r="B138" s="1" t="n">
        <v>45439</v>
      </c>
      <c r="C138" s="1" t="n">
        <v>45981</v>
      </c>
      <c r="D138" t="inlineStr">
        <is>
          <t>GOTLANDS LÄN</t>
        </is>
      </c>
      <c r="E138" t="inlineStr">
        <is>
          <t>GOTLAND</t>
        </is>
      </c>
      <c r="G138" t="n">
        <v>0.7</v>
      </c>
      <c r="H138" t="n">
        <v>2</v>
      </c>
      <c r="I138" t="n">
        <v>1</v>
      </c>
      <c r="J138" t="n">
        <v>1</v>
      </c>
      <c r="K138" t="n">
        <v>0</v>
      </c>
      <c r="L138" t="n">
        <v>0</v>
      </c>
      <c r="M138" t="n">
        <v>0</v>
      </c>
      <c r="N138" t="n">
        <v>0</v>
      </c>
      <c r="O138" t="n">
        <v>1</v>
      </c>
      <c r="P138" t="n">
        <v>0</v>
      </c>
      <c r="Q138" t="n">
        <v>2</v>
      </c>
      <c r="R138" s="2" t="inlineStr">
        <is>
          <t>Spillkråka
Skogsknipprot</t>
        </is>
      </c>
      <c r="S138">
        <f>HYPERLINK("https://klasma.github.io/Logging_0980/artfynd/A 20838-2024 artfynd.xlsx", "A 20838-2024")</f>
        <v/>
      </c>
      <c r="T138">
        <f>HYPERLINK("https://klasma.github.io/Logging_0980/kartor/A 20838-2024 karta.png", "A 20838-2024")</f>
        <v/>
      </c>
      <c r="V138">
        <f>HYPERLINK("https://klasma.github.io/Logging_0980/klagomål/A 20838-2024 FSC-klagomål.docx", "A 20838-2024")</f>
        <v/>
      </c>
      <c r="W138">
        <f>HYPERLINK("https://klasma.github.io/Logging_0980/klagomålsmail/A 20838-2024 FSC-klagomål mail.docx", "A 20838-2024")</f>
        <v/>
      </c>
      <c r="X138">
        <f>HYPERLINK("https://klasma.github.io/Logging_0980/tillsyn/A 20838-2024 tillsynsbegäran.docx", "A 20838-2024")</f>
        <v/>
      </c>
      <c r="Y138">
        <f>HYPERLINK("https://klasma.github.io/Logging_0980/tillsynsmail/A 20838-2024 tillsynsbegäran mail.docx", "A 20838-2024")</f>
        <v/>
      </c>
      <c r="Z138">
        <f>HYPERLINK("https://klasma.github.io/Logging_0980/fåglar/A 20838-2024 prioriterade fågelarter.docx", "A 20838-2024")</f>
        <v/>
      </c>
    </row>
    <row r="139" ht="15" customHeight="1">
      <c r="A139" t="inlineStr">
        <is>
          <t>A 24-2021</t>
        </is>
      </c>
      <c r="B139" s="1" t="n">
        <v>44197</v>
      </c>
      <c r="C139" s="1" t="n">
        <v>45981</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45981</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45981</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45981</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447-2023</t>
        </is>
      </c>
      <c r="B143" s="1" t="n">
        <v>44929</v>
      </c>
      <c r="C143" s="1" t="n">
        <v>45981</v>
      </c>
      <c r="D143" t="inlineStr">
        <is>
          <t>GOTLANDS LÄN</t>
        </is>
      </c>
      <c r="E143" t="inlineStr">
        <is>
          <t>GOTLAND</t>
        </is>
      </c>
      <c r="G143" t="n">
        <v>5.1</v>
      </c>
      <c r="H143" t="n">
        <v>0</v>
      </c>
      <c r="I143" t="n">
        <v>0</v>
      </c>
      <c r="J143" t="n">
        <v>1</v>
      </c>
      <c r="K143" t="n">
        <v>0</v>
      </c>
      <c r="L143" t="n">
        <v>0</v>
      </c>
      <c r="M143" t="n">
        <v>0</v>
      </c>
      <c r="N143" t="n">
        <v>0</v>
      </c>
      <c r="O143" t="n">
        <v>1</v>
      </c>
      <c r="P143" t="n">
        <v>0</v>
      </c>
      <c r="Q143" t="n">
        <v>1</v>
      </c>
      <c r="R143" s="2" t="inlineStr">
        <is>
          <t>Äggspindling</t>
        </is>
      </c>
      <c r="S143">
        <f>HYPERLINK("https://klasma.github.io/Logging_0980/artfynd/A 447-2023 artfynd.xlsx", "A 447-2023")</f>
        <v/>
      </c>
      <c r="T143">
        <f>HYPERLINK("https://klasma.github.io/Logging_0980/kartor/A 447-2023 karta.png", "A 447-2023")</f>
        <v/>
      </c>
      <c r="V143">
        <f>HYPERLINK("https://klasma.github.io/Logging_0980/klagomål/A 447-2023 FSC-klagomål.docx", "A 447-2023")</f>
        <v/>
      </c>
      <c r="W143">
        <f>HYPERLINK("https://klasma.github.io/Logging_0980/klagomålsmail/A 447-2023 FSC-klagomål mail.docx", "A 447-2023")</f>
        <v/>
      </c>
      <c r="X143">
        <f>HYPERLINK("https://klasma.github.io/Logging_0980/tillsyn/A 447-2023 tillsynsbegäran.docx", "A 447-2023")</f>
        <v/>
      </c>
      <c r="Y143">
        <f>HYPERLINK("https://klasma.github.io/Logging_0980/tillsynsmail/A 447-2023 tillsynsbegäran mail.docx", "A 447-2023")</f>
        <v/>
      </c>
    </row>
    <row r="144" ht="15" customHeight="1">
      <c r="A144" t="inlineStr">
        <is>
          <t>A 63576-2021</t>
        </is>
      </c>
      <c r="B144" s="1" t="n">
        <v>44508</v>
      </c>
      <c r="C144" s="1" t="n">
        <v>45981</v>
      </c>
      <c r="D144" t="inlineStr">
        <is>
          <t>GOTLANDS LÄN</t>
        </is>
      </c>
      <c r="E144" t="inlineStr">
        <is>
          <t>GOTLAND</t>
        </is>
      </c>
      <c r="F144" t="inlineStr">
        <is>
          <t>Kyrkan</t>
        </is>
      </c>
      <c r="G144" t="n">
        <v>4.1</v>
      </c>
      <c r="H144" t="n">
        <v>1</v>
      </c>
      <c r="I144" t="n">
        <v>0</v>
      </c>
      <c r="J144" t="n">
        <v>1</v>
      </c>
      <c r="K144" t="n">
        <v>0</v>
      </c>
      <c r="L144" t="n">
        <v>0</v>
      </c>
      <c r="M144" t="n">
        <v>0</v>
      </c>
      <c r="N144" t="n">
        <v>0</v>
      </c>
      <c r="O144" t="n">
        <v>1</v>
      </c>
      <c r="P144" t="n">
        <v>0</v>
      </c>
      <c r="Q144" t="n">
        <v>1</v>
      </c>
      <c r="R144" s="2" t="inlineStr">
        <is>
          <t>Dårgräsfjäril</t>
        </is>
      </c>
      <c r="S144">
        <f>HYPERLINK("https://klasma.github.io/Logging_0980/artfynd/A 63576-2021 artfynd.xlsx", "A 63576-2021")</f>
        <v/>
      </c>
      <c r="T144">
        <f>HYPERLINK("https://klasma.github.io/Logging_0980/kartor/A 63576-2021 karta.png", "A 63576-2021")</f>
        <v/>
      </c>
      <c r="V144">
        <f>HYPERLINK("https://klasma.github.io/Logging_0980/klagomål/A 63576-2021 FSC-klagomål.docx", "A 63576-2021")</f>
        <v/>
      </c>
      <c r="W144">
        <f>HYPERLINK("https://klasma.github.io/Logging_0980/klagomålsmail/A 63576-2021 FSC-klagomål mail.docx", "A 63576-2021")</f>
        <v/>
      </c>
      <c r="X144">
        <f>HYPERLINK("https://klasma.github.io/Logging_0980/tillsyn/A 63576-2021 tillsynsbegäran.docx", "A 63576-2021")</f>
        <v/>
      </c>
      <c r="Y144">
        <f>HYPERLINK("https://klasma.github.io/Logging_0980/tillsynsmail/A 63576-2021 tillsynsbegäran mail.docx", "A 63576-2021")</f>
        <v/>
      </c>
    </row>
    <row r="145" ht="15" customHeight="1">
      <c r="A145" t="inlineStr">
        <is>
          <t>A 24245-2022</t>
        </is>
      </c>
      <c r="B145" s="1" t="n">
        <v>44725</v>
      </c>
      <c r="C145" s="1" t="n">
        <v>45981</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22883-2024</t>
        </is>
      </c>
      <c r="B146" s="1" t="n">
        <v>45448.66368055555</v>
      </c>
      <c r="C146" s="1" t="n">
        <v>45981</v>
      </c>
      <c r="D146" t="inlineStr">
        <is>
          <t>GOTLANDS LÄN</t>
        </is>
      </c>
      <c r="E146" t="inlineStr">
        <is>
          <t>GOTLAND</t>
        </is>
      </c>
      <c r="G146" t="n">
        <v>0.5</v>
      </c>
      <c r="H146" t="n">
        <v>0</v>
      </c>
      <c r="I146" t="n">
        <v>0</v>
      </c>
      <c r="J146" t="n">
        <v>0</v>
      </c>
      <c r="K146" t="n">
        <v>1</v>
      </c>
      <c r="L146" t="n">
        <v>0</v>
      </c>
      <c r="M146" t="n">
        <v>0</v>
      </c>
      <c r="N146" t="n">
        <v>0</v>
      </c>
      <c r="O146" t="n">
        <v>1</v>
      </c>
      <c r="P146" t="n">
        <v>1</v>
      </c>
      <c r="Q146" t="n">
        <v>1</v>
      </c>
      <c r="R146" s="2" t="inlineStr">
        <is>
          <t>Gotlandsmåra</t>
        </is>
      </c>
      <c r="S146">
        <f>HYPERLINK("https://klasma.github.io/Logging_0980/artfynd/A 22883-2024 artfynd.xlsx", "A 22883-2024")</f>
        <v/>
      </c>
      <c r="T146">
        <f>HYPERLINK("https://klasma.github.io/Logging_0980/kartor/A 22883-2024 karta.png", "A 22883-2024")</f>
        <v/>
      </c>
      <c r="V146">
        <f>HYPERLINK("https://klasma.github.io/Logging_0980/klagomål/A 22883-2024 FSC-klagomål.docx", "A 22883-2024")</f>
        <v/>
      </c>
      <c r="W146">
        <f>HYPERLINK("https://klasma.github.io/Logging_0980/klagomålsmail/A 22883-2024 FSC-klagomål mail.docx", "A 22883-2024")</f>
        <v/>
      </c>
      <c r="X146">
        <f>HYPERLINK("https://klasma.github.io/Logging_0980/tillsyn/A 22883-2024 tillsynsbegäran.docx", "A 22883-2024")</f>
        <v/>
      </c>
      <c r="Y146">
        <f>HYPERLINK("https://klasma.github.io/Logging_0980/tillsynsmail/A 22883-2024 tillsynsbegäran mail.docx", "A 22883-2024")</f>
        <v/>
      </c>
    </row>
    <row r="147" ht="15" customHeight="1">
      <c r="A147" t="inlineStr">
        <is>
          <t>A 13939-2021</t>
        </is>
      </c>
      <c r="B147" s="1" t="n">
        <v>44277</v>
      </c>
      <c r="C147" s="1" t="n">
        <v>45981</v>
      </c>
      <c r="D147" t="inlineStr">
        <is>
          <t>GOTLANDS LÄN</t>
        </is>
      </c>
      <c r="E147" t="inlineStr">
        <is>
          <t>GOTLAND</t>
        </is>
      </c>
      <c r="G147" t="n">
        <v>1</v>
      </c>
      <c r="H147" t="n">
        <v>0</v>
      </c>
      <c r="I147" t="n">
        <v>0</v>
      </c>
      <c r="J147" t="n">
        <v>1</v>
      </c>
      <c r="K147" t="n">
        <v>0</v>
      </c>
      <c r="L147" t="n">
        <v>0</v>
      </c>
      <c r="M147" t="n">
        <v>0</v>
      </c>
      <c r="N147" t="n">
        <v>0</v>
      </c>
      <c r="O147" t="n">
        <v>1</v>
      </c>
      <c r="P147" t="n">
        <v>0</v>
      </c>
      <c r="Q147" t="n">
        <v>1</v>
      </c>
      <c r="R147" s="2" t="inlineStr">
        <is>
          <t>Axveronika</t>
        </is>
      </c>
      <c r="S147">
        <f>HYPERLINK("https://klasma.github.io/Logging_0980/artfynd/A 13939-2021 artfynd.xlsx", "A 13939-2021")</f>
        <v/>
      </c>
      <c r="T147">
        <f>HYPERLINK("https://klasma.github.io/Logging_0980/kartor/A 13939-2021 karta.png", "A 13939-2021")</f>
        <v/>
      </c>
      <c r="V147">
        <f>HYPERLINK("https://klasma.github.io/Logging_0980/klagomål/A 13939-2021 FSC-klagomål.docx", "A 13939-2021")</f>
        <v/>
      </c>
      <c r="W147">
        <f>HYPERLINK("https://klasma.github.io/Logging_0980/klagomålsmail/A 13939-2021 FSC-klagomål mail.docx", "A 13939-2021")</f>
        <v/>
      </c>
      <c r="X147">
        <f>HYPERLINK("https://klasma.github.io/Logging_0980/tillsyn/A 13939-2021 tillsynsbegäran.docx", "A 13939-2021")</f>
        <v/>
      </c>
      <c r="Y147">
        <f>HYPERLINK("https://klasma.github.io/Logging_0980/tillsynsmail/A 13939-2021 tillsynsbegäran mail.docx", "A 13939-2021")</f>
        <v/>
      </c>
    </row>
    <row r="148" ht="15" customHeight="1">
      <c r="A148" t="inlineStr">
        <is>
          <t>A 34809-2024</t>
        </is>
      </c>
      <c r="B148" s="1" t="n">
        <v>45526</v>
      </c>
      <c r="C148" s="1" t="n">
        <v>45981</v>
      </c>
      <c r="D148" t="inlineStr">
        <is>
          <t>GOTLANDS LÄN</t>
        </is>
      </c>
      <c r="E148" t="inlineStr">
        <is>
          <t>GOTLAND</t>
        </is>
      </c>
      <c r="G148" t="n">
        <v>9.9</v>
      </c>
      <c r="H148" t="n">
        <v>1</v>
      </c>
      <c r="I148" t="n">
        <v>0</v>
      </c>
      <c r="J148" t="n">
        <v>1</v>
      </c>
      <c r="K148" t="n">
        <v>0</v>
      </c>
      <c r="L148" t="n">
        <v>0</v>
      </c>
      <c r="M148" t="n">
        <v>0</v>
      </c>
      <c r="N148" t="n">
        <v>0</v>
      </c>
      <c r="O148" t="n">
        <v>1</v>
      </c>
      <c r="P148" t="n">
        <v>0</v>
      </c>
      <c r="Q148" t="n">
        <v>1</v>
      </c>
      <c r="R148" s="2" t="inlineStr">
        <is>
          <t>Brun ögontröst</t>
        </is>
      </c>
      <c r="S148">
        <f>HYPERLINK("https://klasma.github.io/Logging_0980/artfynd/A 34809-2024 artfynd.xlsx", "A 34809-2024")</f>
        <v/>
      </c>
      <c r="T148">
        <f>HYPERLINK("https://klasma.github.io/Logging_0980/kartor/A 34809-2024 karta.png", "A 34809-2024")</f>
        <v/>
      </c>
      <c r="V148">
        <f>HYPERLINK("https://klasma.github.io/Logging_0980/klagomål/A 34809-2024 FSC-klagomål.docx", "A 34809-2024")</f>
        <v/>
      </c>
      <c r="W148">
        <f>HYPERLINK("https://klasma.github.io/Logging_0980/klagomålsmail/A 34809-2024 FSC-klagomål mail.docx", "A 34809-2024")</f>
        <v/>
      </c>
      <c r="X148">
        <f>HYPERLINK("https://klasma.github.io/Logging_0980/tillsyn/A 34809-2024 tillsynsbegäran.docx", "A 34809-2024")</f>
        <v/>
      </c>
      <c r="Y148">
        <f>HYPERLINK("https://klasma.github.io/Logging_0980/tillsynsmail/A 34809-2024 tillsynsbegäran mail.docx", "A 34809-2024")</f>
        <v/>
      </c>
    </row>
    <row r="149" ht="15" customHeight="1">
      <c r="A149" t="inlineStr">
        <is>
          <t>A 21466-2025</t>
        </is>
      </c>
      <c r="B149" s="1" t="n">
        <v>45782</v>
      </c>
      <c r="C149" s="1" t="n">
        <v>45981</v>
      </c>
      <c r="D149" t="inlineStr">
        <is>
          <t>GOTLANDS LÄN</t>
        </is>
      </c>
      <c r="E149" t="inlineStr">
        <is>
          <t>GOTLAND</t>
        </is>
      </c>
      <c r="F149" t="inlineStr">
        <is>
          <t>Övriga statliga verk och myndigheter</t>
        </is>
      </c>
      <c r="G149" t="n">
        <v>1.7</v>
      </c>
      <c r="H149" t="n">
        <v>1</v>
      </c>
      <c r="I149" t="n">
        <v>0</v>
      </c>
      <c r="J149" t="n">
        <v>0</v>
      </c>
      <c r="K149" t="n">
        <v>0</v>
      </c>
      <c r="L149" t="n">
        <v>0</v>
      </c>
      <c r="M149" t="n">
        <v>0</v>
      </c>
      <c r="N149" t="n">
        <v>0</v>
      </c>
      <c r="O149" t="n">
        <v>0</v>
      </c>
      <c r="P149" t="n">
        <v>0</v>
      </c>
      <c r="Q149" t="n">
        <v>1</v>
      </c>
      <c r="R149" s="2" t="inlineStr">
        <is>
          <t>Blåsippa</t>
        </is>
      </c>
      <c r="S149">
        <f>HYPERLINK("https://klasma.github.io/Logging_0980/artfynd/A 21466-2025 artfynd.xlsx", "A 21466-2025")</f>
        <v/>
      </c>
      <c r="T149">
        <f>HYPERLINK("https://klasma.github.io/Logging_0980/kartor/A 21466-2025 karta.png", "A 21466-2025")</f>
        <v/>
      </c>
      <c r="V149">
        <f>HYPERLINK("https://klasma.github.io/Logging_0980/klagomål/A 21466-2025 FSC-klagomål.docx", "A 21466-2025")</f>
        <v/>
      </c>
      <c r="W149">
        <f>HYPERLINK("https://klasma.github.io/Logging_0980/klagomålsmail/A 21466-2025 FSC-klagomål mail.docx", "A 21466-2025")</f>
        <v/>
      </c>
      <c r="X149">
        <f>HYPERLINK("https://klasma.github.io/Logging_0980/tillsyn/A 21466-2025 tillsynsbegäran.docx", "A 21466-2025")</f>
        <v/>
      </c>
      <c r="Y149">
        <f>HYPERLINK("https://klasma.github.io/Logging_0980/tillsynsmail/A 21466-2025 tillsynsbegäran mail.docx", "A 21466-2025")</f>
        <v/>
      </c>
    </row>
    <row r="150" ht="15" customHeight="1">
      <c r="A150" t="inlineStr">
        <is>
          <t>A 20429-2025</t>
        </is>
      </c>
      <c r="B150" s="1" t="n">
        <v>45775.47728009259</v>
      </c>
      <c r="C150" s="1" t="n">
        <v>45981</v>
      </c>
      <c r="D150" t="inlineStr">
        <is>
          <t>GOTLANDS LÄN</t>
        </is>
      </c>
      <c r="E150" t="inlineStr">
        <is>
          <t>GOTLAND</t>
        </is>
      </c>
      <c r="G150" t="n">
        <v>1.4</v>
      </c>
      <c r="H150" t="n">
        <v>1</v>
      </c>
      <c r="I150" t="n">
        <v>0</v>
      </c>
      <c r="J150" t="n">
        <v>0</v>
      </c>
      <c r="K150" t="n">
        <v>0</v>
      </c>
      <c r="L150" t="n">
        <v>0</v>
      </c>
      <c r="M150" t="n">
        <v>0</v>
      </c>
      <c r="N150" t="n">
        <v>0</v>
      </c>
      <c r="O150" t="n">
        <v>0</v>
      </c>
      <c r="P150" t="n">
        <v>0</v>
      </c>
      <c r="Q150" t="n">
        <v>1</v>
      </c>
      <c r="R150" s="2" t="inlineStr">
        <is>
          <t>Äkta lopplummer</t>
        </is>
      </c>
      <c r="S150">
        <f>HYPERLINK("https://klasma.github.io/Logging_0980/artfynd/A 20429-2025 artfynd.xlsx", "A 20429-2025")</f>
        <v/>
      </c>
      <c r="T150">
        <f>HYPERLINK("https://klasma.github.io/Logging_0980/kartor/A 20429-2025 karta.png", "A 20429-2025")</f>
        <v/>
      </c>
      <c r="V150">
        <f>HYPERLINK("https://klasma.github.io/Logging_0980/klagomål/A 20429-2025 FSC-klagomål.docx", "A 20429-2025")</f>
        <v/>
      </c>
      <c r="W150">
        <f>HYPERLINK("https://klasma.github.io/Logging_0980/klagomålsmail/A 20429-2025 FSC-klagomål mail.docx", "A 20429-2025")</f>
        <v/>
      </c>
      <c r="X150">
        <f>HYPERLINK("https://klasma.github.io/Logging_0980/tillsyn/A 20429-2025 tillsynsbegäran.docx", "A 20429-2025")</f>
        <v/>
      </c>
      <c r="Y150">
        <f>HYPERLINK("https://klasma.github.io/Logging_0980/tillsynsmail/A 20429-2025 tillsynsbegäran mail.docx", "A 20429-2025")</f>
        <v/>
      </c>
    </row>
    <row r="151" ht="15" customHeight="1">
      <c r="A151" t="inlineStr">
        <is>
          <t>A 49304-2024</t>
        </is>
      </c>
      <c r="B151" s="1" t="n">
        <v>45595.54996527778</v>
      </c>
      <c r="C151" s="1" t="n">
        <v>45981</v>
      </c>
      <c r="D151" t="inlineStr">
        <is>
          <t>GOTLANDS LÄN</t>
        </is>
      </c>
      <c r="E151" t="inlineStr">
        <is>
          <t>GOTLAND</t>
        </is>
      </c>
      <c r="G151" t="n">
        <v>10.8</v>
      </c>
      <c r="H151" t="n">
        <v>0</v>
      </c>
      <c r="I151" t="n">
        <v>0</v>
      </c>
      <c r="J151" t="n">
        <v>1</v>
      </c>
      <c r="K151" t="n">
        <v>0</v>
      </c>
      <c r="L151" t="n">
        <v>0</v>
      </c>
      <c r="M151" t="n">
        <v>0</v>
      </c>
      <c r="N151" t="n">
        <v>0</v>
      </c>
      <c r="O151" t="n">
        <v>1</v>
      </c>
      <c r="P151" t="n">
        <v>0</v>
      </c>
      <c r="Q151" t="n">
        <v>1</v>
      </c>
      <c r="R151" s="2" t="inlineStr">
        <is>
          <t>Åkerranunkel</t>
        </is>
      </c>
      <c r="S151">
        <f>HYPERLINK("https://klasma.github.io/Logging_0980/artfynd/A 49304-2024 artfynd.xlsx", "A 49304-2024")</f>
        <v/>
      </c>
      <c r="T151">
        <f>HYPERLINK("https://klasma.github.io/Logging_0980/kartor/A 49304-2024 karta.png", "A 49304-2024")</f>
        <v/>
      </c>
      <c r="V151">
        <f>HYPERLINK("https://klasma.github.io/Logging_0980/klagomål/A 49304-2024 FSC-klagomål.docx", "A 49304-2024")</f>
        <v/>
      </c>
      <c r="W151">
        <f>HYPERLINK("https://klasma.github.io/Logging_0980/klagomålsmail/A 49304-2024 FSC-klagomål mail.docx", "A 49304-2024")</f>
        <v/>
      </c>
      <c r="X151">
        <f>HYPERLINK("https://klasma.github.io/Logging_0980/tillsyn/A 49304-2024 tillsynsbegäran.docx", "A 49304-2024")</f>
        <v/>
      </c>
      <c r="Y151">
        <f>HYPERLINK("https://klasma.github.io/Logging_0980/tillsynsmail/A 49304-2024 tillsynsbegäran mail.docx", "A 49304-2024")</f>
        <v/>
      </c>
    </row>
    <row r="152" ht="15" customHeight="1">
      <c r="A152" t="inlineStr">
        <is>
          <t>A 39812-2025</t>
        </is>
      </c>
      <c r="B152" s="1" t="n">
        <v>45891</v>
      </c>
      <c r="C152" s="1" t="n">
        <v>45981</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22782-2023</t>
        </is>
      </c>
      <c r="B153" s="1" t="n">
        <v>45072</v>
      </c>
      <c r="C153" s="1" t="n">
        <v>45981</v>
      </c>
      <c r="D153" t="inlineStr">
        <is>
          <t>GOTLANDS LÄN</t>
        </is>
      </c>
      <c r="E153" t="inlineStr">
        <is>
          <t>GOTLAND</t>
        </is>
      </c>
      <c r="F153" t="inlineStr">
        <is>
          <t>Kyrkan</t>
        </is>
      </c>
      <c r="G153" t="n">
        <v>3.1</v>
      </c>
      <c r="H153" t="n">
        <v>1</v>
      </c>
      <c r="I153" t="n">
        <v>0</v>
      </c>
      <c r="J153" t="n">
        <v>0</v>
      </c>
      <c r="K153" t="n">
        <v>0</v>
      </c>
      <c r="L153" t="n">
        <v>0</v>
      </c>
      <c r="M153" t="n">
        <v>0</v>
      </c>
      <c r="N153" t="n">
        <v>0</v>
      </c>
      <c r="O153" t="n">
        <v>0</v>
      </c>
      <c r="P153" t="n">
        <v>0</v>
      </c>
      <c r="Q153" t="n">
        <v>1</v>
      </c>
      <c r="R153" s="2" t="inlineStr">
        <is>
          <t>Ängsnycklar × skogsnycklar</t>
        </is>
      </c>
      <c r="S153">
        <f>HYPERLINK("https://klasma.github.io/Logging_0980/artfynd/A 22782-2023 artfynd.xlsx", "A 22782-2023")</f>
        <v/>
      </c>
      <c r="T153">
        <f>HYPERLINK("https://klasma.github.io/Logging_0980/kartor/A 22782-2023 karta.png", "A 22782-2023")</f>
        <v/>
      </c>
      <c r="V153">
        <f>HYPERLINK("https://klasma.github.io/Logging_0980/klagomål/A 22782-2023 FSC-klagomål.docx", "A 22782-2023")</f>
        <v/>
      </c>
      <c r="W153">
        <f>HYPERLINK("https://klasma.github.io/Logging_0980/klagomålsmail/A 22782-2023 FSC-klagomål mail.docx", "A 22782-2023")</f>
        <v/>
      </c>
      <c r="X153">
        <f>HYPERLINK("https://klasma.github.io/Logging_0980/tillsyn/A 22782-2023 tillsynsbegäran.docx", "A 22782-2023")</f>
        <v/>
      </c>
      <c r="Y153">
        <f>HYPERLINK("https://klasma.github.io/Logging_0980/tillsynsmail/A 22782-2023 tillsynsbegäran mail.docx", "A 22782-2023")</f>
        <v/>
      </c>
    </row>
    <row r="154" ht="15" customHeight="1">
      <c r="A154" t="inlineStr">
        <is>
          <t>A 49726-2025</t>
        </is>
      </c>
      <c r="B154" s="1" t="n">
        <v>45939.84466435185</v>
      </c>
      <c r="C154" s="1" t="n">
        <v>45981</v>
      </c>
      <c r="D154" t="inlineStr">
        <is>
          <t>GOTLANDS LÄN</t>
        </is>
      </c>
      <c r="E154" t="inlineStr">
        <is>
          <t>GOTLAND</t>
        </is>
      </c>
      <c r="F154" t="inlineStr">
        <is>
          <t>Kyrkan</t>
        </is>
      </c>
      <c r="G154" t="n">
        <v>5.4</v>
      </c>
      <c r="H154" t="n">
        <v>0</v>
      </c>
      <c r="I154" t="n">
        <v>0</v>
      </c>
      <c r="J154" t="n">
        <v>1</v>
      </c>
      <c r="K154" t="n">
        <v>0</v>
      </c>
      <c r="L154" t="n">
        <v>0</v>
      </c>
      <c r="M154" t="n">
        <v>0</v>
      </c>
      <c r="N154" t="n">
        <v>0</v>
      </c>
      <c r="O154" t="n">
        <v>1</v>
      </c>
      <c r="P154" t="n">
        <v>0</v>
      </c>
      <c r="Q154" t="n">
        <v>1</v>
      </c>
      <c r="R154" s="2" t="inlineStr">
        <is>
          <t>Odörspindling</t>
        </is>
      </c>
      <c r="S154">
        <f>HYPERLINK("https://klasma.github.io/Logging_0980/artfynd/A 49726-2025 artfynd.xlsx", "A 49726-2025")</f>
        <v/>
      </c>
      <c r="T154">
        <f>HYPERLINK("https://klasma.github.io/Logging_0980/kartor/A 49726-2025 karta.png", "A 49726-2025")</f>
        <v/>
      </c>
      <c r="V154">
        <f>HYPERLINK("https://klasma.github.io/Logging_0980/klagomål/A 49726-2025 FSC-klagomål.docx", "A 49726-2025")</f>
        <v/>
      </c>
      <c r="W154">
        <f>HYPERLINK("https://klasma.github.io/Logging_0980/klagomålsmail/A 49726-2025 FSC-klagomål mail.docx", "A 49726-2025")</f>
        <v/>
      </c>
      <c r="X154">
        <f>HYPERLINK("https://klasma.github.io/Logging_0980/tillsyn/A 49726-2025 tillsynsbegäran.docx", "A 49726-2025")</f>
        <v/>
      </c>
      <c r="Y154">
        <f>HYPERLINK("https://klasma.github.io/Logging_0980/tillsynsmail/A 49726-2025 tillsynsbegäran mail.docx", "A 49726-2025")</f>
        <v/>
      </c>
    </row>
    <row r="155" ht="15" customHeight="1">
      <c r="A155" t="inlineStr">
        <is>
          <t>A 44308-2021</t>
        </is>
      </c>
      <c r="B155" s="1" t="n">
        <v>44434</v>
      </c>
      <c r="C155" s="1" t="n">
        <v>45981</v>
      </c>
      <c r="D155" t="inlineStr">
        <is>
          <t>GOTLANDS LÄN</t>
        </is>
      </c>
      <c r="E155" t="inlineStr">
        <is>
          <t>GOTLAND</t>
        </is>
      </c>
      <c r="G155" t="n">
        <v>5.9</v>
      </c>
      <c r="H155" t="n">
        <v>0</v>
      </c>
      <c r="I155" t="n">
        <v>1</v>
      </c>
      <c r="J155" t="n">
        <v>0</v>
      </c>
      <c r="K155" t="n">
        <v>0</v>
      </c>
      <c r="L155" t="n">
        <v>0</v>
      </c>
      <c r="M155" t="n">
        <v>0</v>
      </c>
      <c r="N155" t="n">
        <v>0</v>
      </c>
      <c r="O155" t="n">
        <v>0</v>
      </c>
      <c r="P155" t="n">
        <v>0</v>
      </c>
      <c r="Q155" t="n">
        <v>1</v>
      </c>
      <c r="R155" s="2" t="inlineStr">
        <is>
          <t>Svavelriska</t>
        </is>
      </c>
      <c r="S155">
        <f>HYPERLINK("https://klasma.github.io/Logging_0980/artfynd/A 44308-2021 artfynd.xlsx", "A 44308-2021")</f>
        <v/>
      </c>
      <c r="T155">
        <f>HYPERLINK("https://klasma.github.io/Logging_0980/kartor/A 44308-2021 karta.png", "A 44308-2021")</f>
        <v/>
      </c>
      <c r="V155">
        <f>HYPERLINK("https://klasma.github.io/Logging_0980/klagomål/A 44308-2021 FSC-klagomål.docx", "A 44308-2021")</f>
        <v/>
      </c>
      <c r="W155">
        <f>HYPERLINK("https://klasma.github.io/Logging_0980/klagomålsmail/A 44308-2021 FSC-klagomål mail.docx", "A 44308-2021")</f>
        <v/>
      </c>
      <c r="X155">
        <f>HYPERLINK("https://klasma.github.io/Logging_0980/tillsyn/A 44308-2021 tillsynsbegäran.docx", "A 44308-2021")</f>
        <v/>
      </c>
      <c r="Y155">
        <f>HYPERLINK("https://klasma.github.io/Logging_0980/tillsynsmail/A 44308-2021 tillsynsbegäran mail.docx", "A 44308-2021")</f>
        <v/>
      </c>
    </row>
    <row r="156" ht="15" customHeight="1">
      <c r="A156" t="inlineStr">
        <is>
          <t>A 44088-2022</t>
        </is>
      </c>
      <c r="B156" s="1" t="n">
        <v>44839</v>
      </c>
      <c r="C156" s="1" t="n">
        <v>45981</v>
      </c>
      <c r="D156" t="inlineStr">
        <is>
          <t>GOTLANDS LÄN</t>
        </is>
      </c>
      <c r="E156" t="inlineStr">
        <is>
          <t>GOTLAND</t>
        </is>
      </c>
      <c r="G156" t="n">
        <v>1.5</v>
      </c>
      <c r="H156" t="n">
        <v>0</v>
      </c>
      <c r="I156" t="n">
        <v>1</v>
      </c>
      <c r="J156" t="n">
        <v>0</v>
      </c>
      <c r="K156" t="n">
        <v>0</v>
      </c>
      <c r="L156" t="n">
        <v>0</v>
      </c>
      <c r="M156" t="n">
        <v>0</v>
      </c>
      <c r="N156" t="n">
        <v>0</v>
      </c>
      <c r="O156" t="n">
        <v>0</v>
      </c>
      <c r="P156" t="n">
        <v>0</v>
      </c>
      <c r="Q156" t="n">
        <v>1</v>
      </c>
      <c r="R156" s="2" t="inlineStr">
        <is>
          <t>Strävlosta</t>
        </is>
      </c>
      <c r="S156">
        <f>HYPERLINK("https://klasma.github.io/Logging_0980/artfynd/A 44088-2022 artfynd.xlsx", "A 44088-2022")</f>
        <v/>
      </c>
      <c r="T156">
        <f>HYPERLINK("https://klasma.github.io/Logging_0980/kartor/A 44088-2022 karta.png", "A 44088-2022")</f>
        <v/>
      </c>
      <c r="V156">
        <f>HYPERLINK("https://klasma.github.io/Logging_0980/klagomål/A 44088-2022 FSC-klagomål.docx", "A 44088-2022")</f>
        <v/>
      </c>
      <c r="W156">
        <f>HYPERLINK("https://klasma.github.io/Logging_0980/klagomålsmail/A 44088-2022 FSC-klagomål mail.docx", "A 44088-2022")</f>
        <v/>
      </c>
      <c r="X156">
        <f>HYPERLINK("https://klasma.github.io/Logging_0980/tillsyn/A 44088-2022 tillsynsbegäran.docx", "A 44088-2022")</f>
        <v/>
      </c>
      <c r="Y156">
        <f>HYPERLINK("https://klasma.github.io/Logging_0980/tillsynsmail/A 44088-2022 tillsynsbegäran mail.docx", "A 44088-2022")</f>
        <v/>
      </c>
    </row>
    <row r="157" ht="15" customHeight="1">
      <c r="A157" t="inlineStr">
        <is>
          <t>A 10440-2024</t>
        </is>
      </c>
      <c r="B157" s="1" t="n">
        <v>45366.32818287037</v>
      </c>
      <c r="C157" s="1" t="n">
        <v>45981</v>
      </c>
      <c r="D157" t="inlineStr">
        <is>
          <t>GOTLANDS LÄN</t>
        </is>
      </c>
      <c r="E157" t="inlineStr">
        <is>
          <t>GOTLAND</t>
        </is>
      </c>
      <c r="G157" t="n">
        <v>2.5</v>
      </c>
      <c r="H157" t="n">
        <v>1</v>
      </c>
      <c r="I157" t="n">
        <v>0</v>
      </c>
      <c r="J157" t="n">
        <v>1</v>
      </c>
      <c r="K157" t="n">
        <v>0</v>
      </c>
      <c r="L157" t="n">
        <v>0</v>
      </c>
      <c r="M157" t="n">
        <v>0</v>
      </c>
      <c r="N157" t="n">
        <v>0</v>
      </c>
      <c r="O157" t="n">
        <v>1</v>
      </c>
      <c r="P157" t="n">
        <v>0</v>
      </c>
      <c r="Q157" t="n">
        <v>1</v>
      </c>
      <c r="R157" s="2" t="inlineStr">
        <is>
          <t>Mindre hackspett</t>
        </is>
      </c>
      <c r="S157">
        <f>HYPERLINK("https://klasma.github.io/Logging_0980/artfynd/A 10440-2024 artfynd.xlsx", "A 10440-2024")</f>
        <v/>
      </c>
      <c r="T157">
        <f>HYPERLINK("https://klasma.github.io/Logging_0980/kartor/A 10440-2024 karta.png", "A 10440-2024")</f>
        <v/>
      </c>
      <c r="V157">
        <f>HYPERLINK("https://klasma.github.io/Logging_0980/klagomål/A 10440-2024 FSC-klagomål.docx", "A 10440-2024")</f>
        <v/>
      </c>
      <c r="W157">
        <f>HYPERLINK("https://klasma.github.io/Logging_0980/klagomålsmail/A 10440-2024 FSC-klagomål mail.docx", "A 10440-2024")</f>
        <v/>
      </c>
      <c r="X157">
        <f>HYPERLINK("https://klasma.github.io/Logging_0980/tillsyn/A 10440-2024 tillsynsbegäran.docx", "A 10440-2024")</f>
        <v/>
      </c>
      <c r="Y157">
        <f>HYPERLINK("https://klasma.github.io/Logging_0980/tillsynsmail/A 10440-2024 tillsynsbegäran mail.docx", "A 10440-2024")</f>
        <v/>
      </c>
      <c r="Z157">
        <f>HYPERLINK("https://klasma.github.io/Logging_0980/fåglar/A 10440-2024 prioriterade fågelarter.docx", "A 10440-2024")</f>
        <v/>
      </c>
    </row>
    <row r="158" ht="15" customHeight="1">
      <c r="A158" t="inlineStr">
        <is>
          <t>A 46527-2023</t>
        </is>
      </c>
      <c r="B158" s="1" t="n">
        <v>45197</v>
      </c>
      <c r="C158" s="1" t="n">
        <v>45981</v>
      </c>
      <c r="D158" t="inlineStr">
        <is>
          <t>GOTLANDS LÄN</t>
        </is>
      </c>
      <c r="E158" t="inlineStr">
        <is>
          <t>GOTLAND</t>
        </is>
      </c>
      <c r="G158" t="n">
        <v>0.9</v>
      </c>
      <c r="H158" t="n">
        <v>0</v>
      </c>
      <c r="I158" t="n">
        <v>0</v>
      </c>
      <c r="J158" t="n">
        <v>1</v>
      </c>
      <c r="K158" t="n">
        <v>0</v>
      </c>
      <c r="L158" t="n">
        <v>0</v>
      </c>
      <c r="M158" t="n">
        <v>0</v>
      </c>
      <c r="N158" t="n">
        <v>0</v>
      </c>
      <c r="O158" t="n">
        <v>1</v>
      </c>
      <c r="P158" t="n">
        <v>0</v>
      </c>
      <c r="Q158" t="n">
        <v>1</v>
      </c>
      <c r="R158" s="2" t="inlineStr">
        <is>
          <t>Guldgräshoppa</t>
        </is>
      </c>
      <c r="S158">
        <f>HYPERLINK("https://klasma.github.io/Logging_0980/artfynd/A 46527-2023 artfynd.xlsx", "A 46527-2023")</f>
        <v/>
      </c>
      <c r="T158">
        <f>HYPERLINK("https://klasma.github.io/Logging_0980/kartor/A 46527-2023 karta.png", "A 46527-2023")</f>
        <v/>
      </c>
      <c r="V158">
        <f>HYPERLINK("https://klasma.github.io/Logging_0980/klagomål/A 46527-2023 FSC-klagomål.docx", "A 46527-2023")</f>
        <v/>
      </c>
      <c r="W158">
        <f>HYPERLINK("https://klasma.github.io/Logging_0980/klagomålsmail/A 46527-2023 FSC-klagomål mail.docx", "A 46527-2023")</f>
        <v/>
      </c>
      <c r="X158">
        <f>HYPERLINK("https://klasma.github.io/Logging_0980/tillsyn/A 46527-2023 tillsynsbegäran.docx", "A 46527-2023")</f>
        <v/>
      </c>
      <c r="Y158">
        <f>HYPERLINK("https://klasma.github.io/Logging_0980/tillsynsmail/A 46527-2023 tillsynsbegäran mail.docx", "A 46527-2023")</f>
        <v/>
      </c>
    </row>
    <row r="159" ht="15" customHeight="1">
      <c r="A159" t="inlineStr">
        <is>
          <t>A 17723-2021</t>
        </is>
      </c>
      <c r="B159" s="1" t="n">
        <v>44300</v>
      </c>
      <c r="C159" s="1" t="n">
        <v>45981</v>
      </c>
      <c r="D159" t="inlineStr">
        <is>
          <t>GOTLANDS LÄN</t>
        </is>
      </c>
      <c r="E159" t="inlineStr">
        <is>
          <t>GOTLAND</t>
        </is>
      </c>
      <c r="G159" t="n">
        <v>1.5</v>
      </c>
      <c r="H159" t="n">
        <v>1</v>
      </c>
      <c r="I159" t="n">
        <v>1</v>
      </c>
      <c r="J159" t="n">
        <v>0</v>
      </c>
      <c r="K159" t="n">
        <v>0</v>
      </c>
      <c r="L159" t="n">
        <v>0</v>
      </c>
      <c r="M159" t="n">
        <v>0</v>
      </c>
      <c r="N159" t="n">
        <v>0</v>
      </c>
      <c r="O159" t="n">
        <v>0</v>
      </c>
      <c r="P159" t="n">
        <v>0</v>
      </c>
      <c r="Q159" t="n">
        <v>1</v>
      </c>
      <c r="R159" s="2" t="inlineStr">
        <is>
          <t>Vit skogslilja</t>
        </is>
      </c>
      <c r="S159">
        <f>HYPERLINK("https://klasma.github.io/Logging_0980/artfynd/A 17723-2021 artfynd.xlsx", "A 17723-2021")</f>
        <v/>
      </c>
      <c r="T159">
        <f>HYPERLINK("https://klasma.github.io/Logging_0980/kartor/A 17723-2021 karta.png", "A 17723-2021")</f>
        <v/>
      </c>
      <c r="V159">
        <f>HYPERLINK("https://klasma.github.io/Logging_0980/klagomål/A 17723-2021 FSC-klagomål.docx", "A 17723-2021")</f>
        <v/>
      </c>
      <c r="W159">
        <f>HYPERLINK("https://klasma.github.io/Logging_0980/klagomålsmail/A 17723-2021 FSC-klagomål mail.docx", "A 17723-2021")</f>
        <v/>
      </c>
      <c r="X159">
        <f>HYPERLINK("https://klasma.github.io/Logging_0980/tillsyn/A 17723-2021 tillsynsbegäran.docx", "A 17723-2021")</f>
        <v/>
      </c>
      <c r="Y159">
        <f>HYPERLINK("https://klasma.github.io/Logging_0980/tillsynsmail/A 17723-2021 tillsynsbegäran mail.docx", "A 17723-2021")</f>
        <v/>
      </c>
    </row>
    <row r="160" ht="15" customHeight="1">
      <c r="A160" t="inlineStr">
        <is>
          <t>A 35467-2021</t>
        </is>
      </c>
      <c r="B160" s="1" t="n">
        <v>44385</v>
      </c>
      <c r="C160" s="1" t="n">
        <v>45981</v>
      </c>
      <c r="D160" t="inlineStr">
        <is>
          <t>GOTLANDS LÄN</t>
        </is>
      </c>
      <c r="E160" t="inlineStr">
        <is>
          <t>GOTLAND</t>
        </is>
      </c>
      <c r="G160" t="n">
        <v>12.7</v>
      </c>
      <c r="H160" t="n">
        <v>0</v>
      </c>
      <c r="I160" t="n">
        <v>0</v>
      </c>
      <c r="J160" t="n">
        <v>1</v>
      </c>
      <c r="K160" t="n">
        <v>0</v>
      </c>
      <c r="L160" t="n">
        <v>0</v>
      </c>
      <c r="M160" t="n">
        <v>0</v>
      </c>
      <c r="N160" t="n">
        <v>0</v>
      </c>
      <c r="O160" t="n">
        <v>1</v>
      </c>
      <c r="P160" t="n">
        <v>0</v>
      </c>
      <c r="Q160" t="n">
        <v>1</v>
      </c>
      <c r="R160" s="2" t="inlineStr">
        <is>
          <t>Loppstarr</t>
        </is>
      </c>
      <c r="S160">
        <f>HYPERLINK("https://klasma.github.io/Logging_0980/artfynd/A 35467-2021 artfynd.xlsx", "A 35467-2021")</f>
        <v/>
      </c>
      <c r="T160">
        <f>HYPERLINK("https://klasma.github.io/Logging_0980/kartor/A 35467-2021 karta.png", "A 35467-2021")</f>
        <v/>
      </c>
      <c r="V160">
        <f>HYPERLINK("https://klasma.github.io/Logging_0980/klagomål/A 35467-2021 FSC-klagomål.docx", "A 35467-2021")</f>
        <v/>
      </c>
      <c r="W160">
        <f>HYPERLINK("https://klasma.github.io/Logging_0980/klagomålsmail/A 35467-2021 FSC-klagomål mail.docx", "A 35467-2021")</f>
        <v/>
      </c>
      <c r="X160">
        <f>HYPERLINK("https://klasma.github.io/Logging_0980/tillsyn/A 35467-2021 tillsynsbegäran.docx", "A 35467-2021")</f>
        <v/>
      </c>
      <c r="Y160">
        <f>HYPERLINK("https://klasma.github.io/Logging_0980/tillsynsmail/A 35467-2021 tillsynsbegäran mail.docx", "A 35467-2021")</f>
        <v/>
      </c>
    </row>
    <row r="161" ht="15" customHeight="1">
      <c r="A161" t="inlineStr">
        <is>
          <t>A 1477-2024</t>
        </is>
      </c>
      <c r="B161" s="1" t="n">
        <v>45305.37987268518</v>
      </c>
      <c r="C161" s="1" t="n">
        <v>45981</v>
      </c>
      <c r="D161" t="inlineStr">
        <is>
          <t>GOTLANDS LÄN</t>
        </is>
      </c>
      <c r="E161" t="inlineStr">
        <is>
          <t>GOTLAND</t>
        </is>
      </c>
      <c r="G161" t="n">
        <v>6.9</v>
      </c>
      <c r="H161" t="n">
        <v>0</v>
      </c>
      <c r="I161" t="n">
        <v>0</v>
      </c>
      <c r="J161" t="n">
        <v>1</v>
      </c>
      <c r="K161" t="n">
        <v>0</v>
      </c>
      <c r="L161" t="n">
        <v>0</v>
      </c>
      <c r="M161" t="n">
        <v>0</v>
      </c>
      <c r="N161" t="n">
        <v>0</v>
      </c>
      <c r="O161" t="n">
        <v>1</v>
      </c>
      <c r="P161" t="n">
        <v>0</v>
      </c>
      <c r="Q161" t="n">
        <v>1</v>
      </c>
      <c r="R161" s="2" t="inlineStr">
        <is>
          <t>Igelkott</t>
        </is>
      </c>
      <c r="S161">
        <f>HYPERLINK("https://klasma.github.io/Logging_0980/artfynd/A 1477-2024 artfynd.xlsx", "A 1477-2024")</f>
        <v/>
      </c>
      <c r="T161">
        <f>HYPERLINK("https://klasma.github.io/Logging_0980/kartor/A 1477-2024 karta.png", "A 1477-2024")</f>
        <v/>
      </c>
      <c r="V161">
        <f>HYPERLINK("https://klasma.github.io/Logging_0980/klagomål/A 1477-2024 FSC-klagomål.docx", "A 1477-2024")</f>
        <v/>
      </c>
      <c r="W161">
        <f>HYPERLINK("https://klasma.github.io/Logging_0980/klagomålsmail/A 1477-2024 FSC-klagomål mail.docx", "A 1477-2024")</f>
        <v/>
      </c>
      <c r="X161">
        <f>HYPERLINK("https://klasma.github.io/Logging_0980/tillsyn/A 1477-2024 tillsynsbegäran.docx", "A 1477-2024")</f>
        <v/>
      </c>
      <c r="Y161">
        <f>HYPERLINK("https://klasma.github.io/Logging_0980/tillsynsmail/A 1477-2024 tillsynsbegäran mail.docx", "A 1477-2024")</f>
        <v/>
      </c>
    </row>
    <row r="162" ht="15" customHeight="1">
      <c r="A162" t="inlineStr">
        <is>
          <t>A 6303-2024</t>
        </is>
      </c>
      <c r="B162" s="1" t="n">
        <v>45338.35376157407</v>
      </c>
      <c r="C162" s="1" t="n">
        <v>45981</v>
      </c>
      <c r="D162" t="inlineStr">
        <is>
          <t>GOTLANDS LÄN</t>
        </is>
      </c>
      <c r="E162" t="inlineStr">
        <is>
          <t>GOTLAND</t>
        </is>
      </c>
      <c r="G162" t="n">
        <v>0.6</v>
      </c>
      <c r="H162" t="n">
        <v>0</v>
      </c>
      <c r="I162" t="n">
        <v>1</v>
      </c>
      <c r="J162" t="n">
        <v>0</v>
      </c>
      <c r="K162" t="n">
        <v>0</v>
      </c>
      <c r="L162" t="n">
        <v>0</v>
      </c>
      <c r="M162" t="n">
        <v>0</v>
      </c>
      <c r="N162" t="n">
        <v>0</v>
      </c>
      <c r="O162" t="n">
        <v>0</v>
      </c>
      <c r="P162" t="n">
        <v>0</v>
      </c>
      <c r="Q162" t="n">
        <v>1</v>
      </c>
      <c r="R162" s="2" t="inlineStr">
        <is>
          <t>Strävlosta</t>
        </is>
      </c>
      <c r="S162">
        <f>HYPERLINK("https://klasma.github.io/Logging_0980/artfynd/A 6303-2024 artfynd.xlsx", "A 6303-2024")</f>
        <v/>
      </c>
      <c r="T162">
        <f>HYPERLINK("https://klasma.github.io/Logging_0980/kartor/A 6303-2024 karta.png", "A 6303-2024")</f>
        <v/>
      </c>
      <c r="V162">
        <f>HYPERLINK("https://klasma.github.io/Logging_0980/klagomål/A 6303-2024 FSC-klagomål.docx", "A 6303-2024")</f>
        <v/>
      </c>
      <c r="W162">
        <f>HYPERLINK("https://klasma.github.io/Logging_0980/klagomålsmail/A 6303-2024 FSC-klagomål mail.docx", "A 6303-2024")</f>
        <v/>
      </c>
      <c r="X162">
        <f>HYPERLINK("https://klasma.github.io/Logging_0980/tillsyn/A 6303-2024 tillsynsbegäran.docx", "A 6303-2024")</f>
        <v/>
      </c>
      <c r="Y162">
        <f>HYPERLINK("https://klasma.github.io/Logging_0980/tillsynsmail/A 6303-2024 tillsynsbegäran mail.docx", "A 6303-2024")</f>
        <v/>
      </c>
    </row>
    <row r="163" ht="15" customHeight="1">
      <c r="A163" t="inlineStr">
        <is>
          <t>A 62552-2022</t>
        </is>
      </c>
      <c r="B163" s="1" t="n">
        <v>44924</v>
      </c>
      <c r="C163" s="1" t="n">
        <v>45981</v>
      </c>
      <c r="D163" t="inlineStr">
        <is>
          <t>GOTLANDS LÄN</t>
        </is>
      </c>
      <c r="E163" t="inlineStr">
        <is>
          <t>GOTLAND</t>
        </is>
      </c>
      <c r="G163" t="n">
        <v>1.6</v>
      </c>
      <c r="H163" t="n">
        <v>0</v>
      </c>
      <c r="I163" t="n">
        <v>0</v>
      </c>
      <c r="J163" t="n">
        <v>1</v>
      </c>
      <c r="K163" t="n">
        <v>0</v>
      </c>
      <c r="L163" t="n">
        <v>0</v>
      </c>
      <c r="M163" t="n">
        <v>0</v>
      </c>
      <c r="N163" t="n">
        <v>0</v>
      </c>
      <c r="O163" t="n">
        <v>1</v>
      </c>
      <c r="P163" t="n">
        <v>0</v>
      </c>
      <c r="Q163" t="n">
        <v>1</v>
      </c>
      <c r="R163" s="2" t="inlineStr">
        <is>
          <t>Äggspindling</t>
        </is>
      </c>
      <c r="S163">
        <f>HYPERLINK("https://klasma.github.io/Logging_0980/artfynd/A 62552-2022 artfynd.xlsx", "A 62552-2022")</f>
        <v/>
      </c>
      <c r="T163">
        <f>HYPERLINK("https://klasma.github.io/Logging_0980/kartor/A 62552-2022 karta.png", "A 62552-2022")</f>
        <v/>
      </c>
      <c r="V163">
        <f>HYPERLINK("https://klasma.github.io/Logging_0980/klagomål/A 62552-2022 FSC-klagomål.docx", "A 62552-2022")</f>
        <v/>
      </c>
      <c r="W163">
        <f>HYPERLINK("https://klasma.github.io/Logging_0980/klagomålsmail/A 62552-2022 FSC-klagomål mail.docx", "A 62552-2022")</f>
        <v/>
      </c>
      <c r="X163">
        <f>HYPERLINK("https://klasma.github.io/Logging_0980/tillsyn/A 62552-2022 tillsynsbegäran.docx", "A 62552-2022")</f>
        <v/>
      </c>
      <c r="Y163">
        <f>HYPERLINK("https://klasma.github.io/Logging_0980/tillsynsmail/A 62552-2022 tillsynsbegäran mail.docx", "A 62552-2022")</f>
        <v/>
      </c>
    </row>
    <row r="164" ht="15" customHeight="1">
      <c r="A164" t="inlineStr">
        <is>
          <t>A 44619-2025</t>
        </is>
      </c>
      <c r="B164" s="1" t="n">
        <v>45917</v>
      </c>
      <c r="C164" s="1" t="n">
        <v>45981</v>
      </c>
      <c r="D164" t="inlineStr">
        <is>
          <t>GOTLANDS LÄN</t>
        </is>
      </c>
      <c r="E164" t="inlineStr">
        <is>
          <t>GOTLAND</t>
        </is>
      </c>
      <c r="G164" t="n">
        <v>4.3</v>
      </c>
      <c r="H164" t="n">
        <v>0</v>
      </c>
      <c r="I164" t="n">
        <v>1</v>
      </c>
      <c r="J164" t="n">
        <v>0</v>
      </c>
      <c r="K164" t="n">
        <v>0</v>
      </c>
      <c r="L164" t="n">
        <v>0</v>
      </c>
      <c r="M164" t="n">
        <v>0</v>
      </c>
      <c r="N164" t="n">
        <v>0</v>
      </c>
      <c r="O164" t="n">
        <v>0</v>
      </c>
      <c r="P164" t="n">
        <v>0</v>
      </c>
      <c r="Q164" t="n">
        <v>1</v>
      </c>
      <c r="R164" s="2" t="inlineStr">
        <is>
          <t>Ögonpyrola</t>
        </is>
      </c>
      <c r="S164">
        <f>HYPERLINK("https://klasma.github.io/Logging_0980/artfynd/A 44619-2025 artfynd.xlsx", "A 44619-2025")</f>
        <v/>
      </c>
      <c r="T164">
        <f>HYPERLINK("https://klasma.github.io/Logging_0980/kartor/A 44619-2025 karta.png", "A 44619-2025")</f>
        <v/>
      </c>
      <c r="V164">
        <f>HYPERLINK("https://klasma.github.io/Logging_0980/klagomål/A 44619-2025 FSC-klagomål.docx", "A 44619-2025")</f>
        <v/>
      </c>
      <c r="W164">
        <f>HYPERLINK("https://klasma.github.io/Logging_0980/klagomålsmail/A 44619-2025 FSC-klagomål mail.docx", "A 44619-2025")</f>
        <v/>
      </c>
      <c r="X164">
        <f>HYPERLINK("https://klasma.github.io/Logging_0980/tillsyn/A 44619-2025 tillsynsbegäran.docx", "A 44619-2025")</f>
        <v/>
      </c>
      <c r="Y164">
        <f>HYPERLINK("https://klasma.github.io/Logging_0980/tillsynsmail/A 44619-2025 tillsynsbegäran mail.docx", "A 44619-2025")</f>
        <v/>
      </c>
    </row>
    <row r="165" ht="15" customHeight="1">
      <c r="A165" t="inlineStr">
        <is>
          <t>A 27168-2022</t>
        </is>
      </c>
      <c r="B165" s="1" t="n">
        <v>44741</v>
      </c>
      <c r="C165" s="1" t="n">
        <v>45981</v>
      </c>
      <c r="D165" t="inlineStr">
        <is>
          <t>GOTLANDS LÄN</t>
        </is>
      </c>
      <c r="E165" t="inlineStr">
        <is>
          <t>GOTLAND</t>
        </is>
      </c>
      <c r="G165" t="n">
        <v>2.2</v>
      </c>
      <c r="H165" t="n">
        <v>1</v>
      </c>
      <c r="I165" t="n">
        <v>1</v>
      </c>
      <c r="J165" t="n">
        <v>0</v>
      </c>
      <c r="K165" t="n">
        <v>0</v>
      </c>
      <c r="L165" t="n">
        <v>0</v>
      </c>
      <c r="M165" t="n">
        <v>0</v>
      </c>
      <c r="N165" t="n">
        <v>0</v>
      </c>
      <c r="O165" t="n">
        <v>0</v>
      </c>
      <c r="P165" t="n">
        <v>0</v>
      </c>
      <c r="Q165" t="n">
        <v>1</v>
      </c>
      <c r="R165" s="2" t="inlineStr">
        <is>
          <t>Purpurknipprot</t>
        </is>
      </c>
      <c r="S165">
        <f>HYPERLINK("https://klasma.github.io/Logging_0980/artfynd/A 27168-2022 artfynd.xlsx", "A 27168-2022")</f>
        <v/>
      </c>
      <c r="T165">
        <f>HYPERLINK("https://klasma.github.io/Logging_0980/kartor/A 27168-2022 karta.png", "A 27168-2022")</f>
        <v/>
      </c>
      <c r="V165">
        <f>HYPERLINK("https://klasma.github.io/Logging_0980/klagomål/A 27168-2022 FSC-klagomål.docx", "A 27168-2022")</f>
        <v/>
      </c>
      <c r="W165">
        <f>HYPERLINK("https://klasma.github.io/Logging_0980/klagomålsmail/A 27168-2022 FSC-klagomål mail.docx", "A 27168-2022")</f>
        <v/>
      </c>
      <c r="X165">
        <f>HYPERLINK("https://klasma.github.io/Logging_0980/tillsyn/A 27168-2022 tillsynsbegäran.docx", "A 27168-2022")</f>
        <v/>
      </c>
      <c r="Y165">
        <f>HYPERLINK("https://klasma.github.io/Logging_0980/tillsynsmail/A 27168-2022 tillsynsbegäran mail.docx", "A 27168-2022")</f>
        <v/>
      </c>
    </row>
    <row r="166" ht="15" customHeight="1">
      <c r="A166" t="inlineStr">
        <is>
          <t>A 26461-2025</t>
        </is>
      </c>
      <c r="B166" s="1" t="n">
        <v>45807.43337962963</v>
      </c>
      <c r="C166" s="1" t="n">
        <v>45981</v>
      </c>
      <c r="D166" t="inlineStr">
        <is>
          <t>GOTLANDS LÄN</t>
        </is>
      </c>
      <c r="E166" t="inlineStr">
        <is>
          <t>GOTLAND</t>
        </is>
      </c>
      <c r="G166" t="n">
        <v>4.1</v>
      </c>
      <c r="H166" t="n">
        <v>0</v>
      </c>
      <c r="I166" t="n">
        <v>0</v>
      </c>
      <c r="J166" t="n">
        <v>0</v>
      </c>
      <c r="K166" t="n">
        <v>1</v>
      </c>
      <c r="L166" t="n">
        <v>0</v>
      </c>
      <c r="M166" t="n">
        <v>0</v>
      </c>
      <c r="N166" t="n">
        <v>0</v>
      </c>
      <c r="O166" t="n">
        <v>1</v>
      </c>
      <c r="P166" t="n">
        <v>1</v>
      </c>
      <c r="Q166" t="n">
        <v>1</v>
      </c>
      <c r="R166" s="2" t="inlineStr">
        <is>
          <t>Gotlandsmåra</t>
        </is>
      </c>
      <c r="S166">
        <f>HYPERLINK("https://klasma.github.io/Logging_0980/artfynd/A 26461-2025 artfynd.xlsx", "A 26461-2025")</f>
        <v/>
      </c>
      <c r="T166">
        <f>HYPERLINK("https://klasma.github.io/Logging_0980/kartor/A 26461-2025 karta.png", "A 26461-2025")</f>
        <v/>
      </c>
      <c r="V166">
        <f>HYPERLINK("https://klasma.github.io/Logging_0980/klagomål/A 26461-2025 FSC-klagomål.docx", "A 26461-2025")</f>
        <v/>
      </c>
      <c r="W166">
        <f>HYPERLINK("https://klasma.github.io/Logging_0980/klagomålsmail/A 26461-2025 FSC-klagomål mail.docx", "A 26461-2025")</f>
        <v/>
      </c>
      <c r="X166">
        <f>HYPERLINK("https://klasma.github.io/Logging_0980/tillsyn/A 26461-2025 tillsynsbegäran.docx", "A 26461-2025")</f>
        <v/>
      </c>
      <c r="Y166">
        <f>HYPERLINK("https://klasma.github.io/Logging_0980/tillsynsmail/A 26461-2025 tillsynsbegäran mail.docx", "A 26461-2025")</f>
        <v/>
      </c>
    </row>
    <row r="167" ht="15" customHeight="1">
      <c r="A167" t="inlineStr">
        <is>
          <t>A 25977-2024</t>
        </is>
      </c>
      <c r="B167" s="1" t="n">
        <v>45467.69356481481</v>
      </c>
      <c r="C167" s="1" t="n">
        <v>45981</v>
      </c>
      <c r="D167" t="inlineStr">
        <is>
          <t>GOTLANDS LÄN</t>
        </is>
      </c>
      <c r="E167" t="inlineStr">
        <is>
          <t>GOTLAND</t>
        </is>
      </c>
      <c r="G167" t="n">
        <v>3</v>
      </c>
      <c r="H167" t="n">
        <v>1</v>
      </c>
      <c r="I167" t="n">
        <v>0</v>
      </c>
      <c r="J167" t="n">
        <v>0</v>
      </c>
      <c r="K167" t="n">
        <v>0</v>
      </c>
      <c r="L167" t="n">
        <v>0</v>
      </c>
      <c r="M167" t="n">
        <v>0</v>
      </c>
      <c r="N167" t="n">
        <v>0</v>
      </c>
      <c r="O167" t="n">
        <v>0</v>
      </c>
      <c r="P167" t="n">
        <v>0</v>
      </c>
      <c r="Q167" t="n">
        <v>1</v>
      </c>
      <c r="R167" s="2" t="inlineStr">
        <is>
          <t>Nattviol</t>
        </is>
      </c>
      <c r="S167">
        <f>HYPERLINK("https://klasma.github.io/Logging_0980/artfynd/A 25977-2024 artfynd.xlsx", "A 25977-2024")</f>
        <v/>
      </c>
      <c r="T167">
        <f>HYPERLINK("https://klasma.github.io/Logging_0980/kartor/A 25977-2024 karta.png", "A 25977-2024")</f>
        <v/>
      </c>
      <c r="V167">
        <f>HYPERLINK("https://klasma.github.io/Logging_0980/klagomål/A 25977-2024 FSC-klagomål.docx", "A 25977-2024")</f>
        <v/>
      </c>
      <c r="W167">
        <f>HYPERLINK("https://klasma.github.io/Logging_0980/klagomålsmail/A 25977-2024 FSC-klagomål mail.docx", "A 25977-2024")</f>
        <v/>
      </c>
      <c r="X167">
        <f>HYPERLINK("https://klasma.github.io/Logging_0980/tillsyn/A 25977-2024 tillsynsbegäran.docx", "A 25977-2024")</f>
        <v/>
      </c>
      <c r="Y167">
        <f>HYPERLINK("https://klasma.github.io/Logging_0980/tillsynsmail/A 25977-2024 tillsynsbegäran mail.docx", "A 25977-2024")</f>
        <v/>
      </c>
    </row>
    <row r="168" ht="15" customHeight="1">
      <c r="A168" t="inlineStr">
        <is>
          <t>A 27589-2023</t>
        </is>
      </c>
      <c r="B168" s="1" t="n">
        <v>45097</v>
      </c>
      <c r="C168" s="1" t="n">
        <v>45981</v>
      </c>
      <c r="D168" t="inlineStr">
        <is>
          <t>GOTLANDS LÄN</t>
        </is>
      </c>
      <c r="E168" t="inlineStr">
        <is>
          <t>GOTLAND</t>
        </is>
      </c>
      <c r="G168" t="n">
        <v>5.4</v>
      </c>
      <c r="H168" t="n">
        <v>0</v>
      </c>
      <c r="I168" t="n">
        <v>0</v>
      </c>
      <c r="J168" t="n">
        <v>0</v>
      </c>
      <c r="K168" t="n">
        <v>0</v>
      </c>
      <c r="L168" t="n">
        <v>0</v>
      </c>
      <c r="M168" t="n">
        <v>1</v>
      </c>
      <c r="N168" t="n">
        <v>0</v>
      </c>
      <c r="O168" t="n">
        <v>1</v>
      </c>
      <c r="P168" t="n">
        <v>1</v>
      </c>
      <c r="Q168" t="n">
        <v>1</v>
      </c>
      <c r="R168" s="2" t="inlineStr">
        <is>
          <t>Skogsalm</t>
        </is>
      </c>
      <c r="S168">
        <f>HYPERLINK("https://klasma.github.io/Logging_0980/artfynd/A 27589-2023 artfynd.xlsx", "A 27589-2023")</f>
        <v/>
      </c>
      <c r="T168">
        <f>HYPERLINK("https://klasma.github.io/Logging_0980/kartor/A 27589-2023 karta.png", "A 27589-2023")</f>
        <v/>
      </c>
      <c r="V168">
        <f>HYPERLINK("https://klasma.github.io/Logging_0980/klagomål/A 27589-2023 FSC-klagomål.docx", "A 27589-2023")</f>
        <v/>
      </c>
      <c r="W168">
        <f>HYPERLINK("https://klasma.github.io/Logging_0980/klagomålsmail/A 27589-2023 FSC-klagomål mail.docx", "A 27589-2023")</f>
        <v/>
      </c>
      <c r="X168">
        <f>HYPERLINK("https://klasma.github.io/Logging_0980/tillsyn/A 27589-2023 tillsynsbegäran.docx", "A 27589-2023")</f>
        <v/>
      </c>
      <c r="Y168">
        <f>HYPERLINK("https://klasma.github.io/Logging_0980/tillsynsmail/A 27589-2023 tillsynsbegäran mail.docx", "A 27589-2023")</f>
        <v/>
      </c>
    </row>
    <row r="169" ht="15" customHeight="1">
      <c r="A169" t="inlineStr">
        <is>
          <t>A 7637-2025</t>
        </is>
      </c>
      <c r="B169" s="1" t="n">
        <v>45705.77181712963</v>
      </c>
      <c r="C169" s="1" t="n">
        <v>45981</v>
      </c>
      <c r="D169" t="inlineStr">
        <is>
          <t>GOTLANDS LÄN</t>
        </is>
      </c>
      <c r="E169" t="inlineStr">
        <is>
          <t>GOTLAND</t>
        </is>
      </c>
      <c r="G169" t="n">
        <v>3.7</v>
      </c>
      <c r="H169" t="n">
        <v>0</v>
      </c>
      <c r="I169" t="n">
        <v>0</v>
      </c>
      <c r="J169" t="n">
        <v>0</v>
      </c>
      <c r="K169" t="n">
        <v>0</v>
      </c>
      <c r="L169" t="n">
        <v>0</v>
      </c>
      <c r="M169" t="n">
        <v>1</v>
      </c>
      <c r="N169" t="n">
        <v>0</v>
      </c>
      <c r="O169" t="n">
        <v>1</v>
      </c>
      <c r="P169" t="n">
        <v>1</v>
      </c>
      <c r="Q169" t="n">
        <v>1</v>
      </c>
      <c r="R169" s="2" t="inlineStr">
        <is>
          <t>Skogsalm</t>
        </is>
      </c>
      <c r="S169">
        <f>HYPERLINK("https://klasma.github.io/Logging_0980/artfynd/A 7637-2025 artfynd.xlsx", "A 7637-2025")</f>
        <v/>
      </c>
      <c r="T169">
        <f>HYPERLINK("https://klasma.github.io/Logging_0980/kartor/A 7637-2025 karta.png", "A 7637-2025")</f>
        <v/>
      </c>
      <c r="V169">
        <f>HYPERLINK("https://klasma.github.io/Logging_0980/klagomål/A 7637-2025 FSC-klagomål.docx", "A 7637-2025")</f>
        <v/>
      </c>
      <c r="W169">
        <f>HYPERLINK("https://klasma.github.io/Logging_0980/klagomålsmail/A 7637-2025 FSC-klagomål mail.docx", "A 7637-2025")</f>
        <v/>
      </c>
      <c r="X169">
        <f>HYPERLINK("https://klasma.github.io/Logging_0980/tillsyn/A 7637-2025 tillsynsbegäran.docx", "A 7637-2025")</f>
        <v/>
      </c>
      <c r="Y169">
        <f>HYPERLINK("https://klasma.github.io/Logging_0980/tillsynsmail/A 7637-2025 tillsynsbegäran mail.docx", "A 7637-2025")</f>
        <v/>
      </c>
    </row>
    <row r="170" ht="15" customHeight="1">
      <c r="A170" t="inlineStr">
        <is>
          <t>A 65927-2021</t>
        </is>
      </c>
      <c r="B170" s="1" t="n">
        <v>44516</v>
      </c>
      <c r="C170" s="1" t="n">
        <v>45981</v>
      </c>
      <c r="D170" t="inlineStr">
        <is>
          <t>GOTLANDS LÄN</t>
        </is>
      </c>
      <c r="E170" t="inlineStr">
        <is>
          <t>GOTLAND</t>
        </is>
      </c>
      <c r="G170" t="n">
        <v>3.1</v>
      </c>
      <c r="H170" t="n">
        <v>1</v>
      </c>
      <c r="I170" t="n">
        <v>0</v>
      </c>
      <c r="J170" t="n">
        <v>0</v>
      </c>
      <c r="K170" t="n">
        <v>1</v>
      </c>
      <c r="L170" t="n">
        <v>0</v>
      </c>
      <c r="M170" t="n">
        <v>0</v>
      </c>
      <c r="N170" t="n">
        <v>0</v>
      </c>
      <c r="O170" t="n">
        <v>1</v>
      </c>
      <c r="P170" t="n">
        <v>1</v>
      </c>
      <c r="Q170" t="n">
        <v>1</v>
      </c>
      <c r="R170" s="2" t="inlineStr">
        <is>
          <t>Grenigt kungsljus</t>
        </is>
      </c>
      <c r="S170">
        <f>HYPERLINK("https://klasma.github.io/Logging_0980/artfynd/A 65927-2021 artfynd.xlsx", "A 65927-2021")</f>
        <v/>
      </c>
      <c r="T170">
        <f>HYPERLINK("https://klasma.github.io/Logging_0980/kartor/A 65927-2021 karta.png", "A 65927-2021")</f>
        <v/>
      </c>
      <c r="V170">
        <f>HYPERLINK("https://klasma.github.io/Logging_0980/klagomål/A 65927-2021 FSC-klagomål.docx", "A 65927-2021")</f>
        <v/>
      </c>
      <c r="W170">
        <f>HYPERLINK("https://klasma.github.io/Logging_0980/klagomålsmail/A 65927-2021 FSC-klagomål mail.docx", "A 65927-2021")</f>
        <v/>
      </c>
      <c r="X170">
        <f>HYPERLINK("https://klasma.github.io/Logging_0980/tillsyn/A 65927-2021 tillsynsbegäran.docx", "A 65927-2021")</f>
        <v/>
      </c>
      <c r="Y170">
        <f>HYPERLINK("https://klasma.github.io/Logging_0980/tillsynsmail/A 65927-2021 tillsynsbegäran mail.docx", "A 65927-2021")</f>
        <v/>
      </c>
    </row>
    <row r="171" ht="15" customHeight="1">
      <c r="A171" t="inlineStr">
        <is>
          <t>A 947-2023</t>
        </is>
      </c>
      <c r="B171" s="1" t="n">
        <v>44934</v>
      </c>
      <c r="C171" s="1" t="n">
        <v>45981</v>
      </c>
      <c r="D171" t="inlineStr">
        <is>
          <t>GOTLANDS LÄN</t>
        </is>
      </c>
      <c r="E171" t="inlineStr">
        <is>
          <t>GOTLAND</t>
        </is>
      </c>
      <c r="G171" t="n">
        <v>0.7</v>
      </c>
      <c r="H171" t="n">
        <v>1</v>
      </c>
      <c r="I171" t="n">
        <v>0</v>
      </c>
      <c r="J171" t="n">
        <v>0</v>
      </c>
      <c r="K171" t="n">
        <v>1</v>
      </c>
      <c r="L171" t="n">
        <v>0</v>
      </c>
      <c r="M171" t="n">
        <v>0</v>
      </c>
      <c r="N171" t="n">
        <v>0</v>
      </c>
      <c r="O171" t="n">
        <v>1</v>
      </c>
      <c r="P171" t="n">
        <v>1</v>
      </c>
      <c r="Q171" t="n">
        <v>1</v>
      </c>
      <c r="R171" s="2" t="inlineStr">
        <is>
          <t>Garderönn</t>
        </is>
      </c>
      <c r="S171">
        <f>HYPERLINK("https://klasma.github.io/Logging_0980/artfynd/A 947-2023 artfynd.xlsx", "A 947-2023")</f>
        <v/>
      </c>
      <c r="T171">
        <f>HYPERLINK("https://klasma.github.io/Logging_0980/kartor/A 947-2023 karta.png", "A 947-2023")</f>
        <v/>
      </c>
      <c r="V171">
        <f>HYPERLINK("https://klasma.github.io/Logging_0980/klagomål/A 947-2023 FSC-klagomål.docx", "A 947-2023")</f>
        <v/>
      </c>
      <c r="W171">
        <f>HYPERLINK("https://klasma.github.io/Logging_0980/klagomålsmail/A 947-2023 FSC-klagomål mail.docx", "A 947-2023")</f>
        <v/>
      </c>
      <c r="X171">
        <f>HYPERLINK("https://klasma.github.io/Logging_0980/tillsyn/A 947-2023 tillsynsbegäran.docx", "A 947-2023")</f>
        <v/>
      </c>
      <c r="Y171">
        <f>HYPERLINK("https://klasma.github.io/Logging_0980/tillsynsmail/A 947-2023 tillsynsbegäran mail.docx", "A 947-2023")</f>
        <v/>
      </c>
    </row>
    <row r="172" ht="15" customHeight="1">
      <c r="A172" t="inlineStr">
        <is>
          <t>A 61796-2022</t>
        </is>
      </c>
      <c r="B172" s="1" t="n">
        <v>44917</v>
      </c>
      <c r="C172" s="1" t="n">
        <v>45981</v>
      </c>
      <c r="D172" t="inlineStr">
        <is>
          <t>GOTLANDS LÄN</t>
        </is>
      </c>
      <c r="E172" t="inlineStr">
        <is>
          <t>GOTLAND</t>
        </is>
      </c>
      <c r="G172" t="n">
        <v>1.5</v>
      </c>
      <c r="H172" t="n">
        <v>1</v>
      </c>
      <c r="I172" t="n">
        <v>0</v>
      </c>
      <c r="J172" t="n">
        <v>0</v>
      </c>
      <c r="K172" t="n">
        <v>0</v>
      </c>
      <c r="L172" t="n">
        <v>0</v>
      </c>
      <c r="M172" t="n">
        <v>0</v>
      </c>
      <c r="N172" t="n">
        <v>0</v>
      </c>
      <c r="O172" t="n">
        <v>0</v>
      </c>
      <c r="P172" t="n">
        <v>0</v>
      </c>
      <c r="Q172" t="n">
        <v>1</v>
      </c>
      <c r="R172" s="2" t="inlineStr">
        <is>
          <t>Skogsduva</t>
        </is>
      </c>
      <c r="S172">
        <f>HYPERLINK("https://klasma.github.io/Logging_0980/artfynd/A 61796-2022 artfynd.xlsx", "A 61796-2022")</f>
        <v/>
      </c>
      <c r="T172">
        <f>HYPERLINK("https://klasma.github.io/Logging_0980/kartor/A 61796-2022 karta.png", "A 61796-2022")</f>
        <v/>
      </c>
      <c r="V172">
        <f>HYPERLINK("https://klasma.github.io/Logging_0980/klagomål/A 61796-2022 FSC-klagomål.docx", "A 61796-2022")</f>
        <v/>
      </c>
      <c r="W172">
        <f>HYPERLINK("https://klasma.github.io/Logging_0980/klagomålsmail/A 61796-2022 FSC-klagomål mail.docx", "A 61796-2022")</f>
        <v/>
      </c>
      <c r="X172">
        <f>HYPERLINK("https://klasma.github.io/Logging_0980/tillsyn/A 61796-2022 tillsynsbegäran.docx", "A 61796-2022")</f>
        <v/>
      </c>
      <c r="Y172">
        <f>HYPERLINK("https://klasma.github.io/Logging_0980/tillsynsmail/A 61796-2022 tillsynsbegäran mail.docx", "A 61796-2022")</f>
        <v/>
      </c>
      <c r="Z172">
        <f>HYPERLINK("https://klasma.github.io/Logging_0980/fåglar/A 61796-2022 prioriterade fågelarter.docx", "A 61796-2022")</f>
        <v/>
      </c>
    </row>
    <row r="173" ht="15" customHeight="1">
      <c r="A173" t="inlineStr">
        <is>
          <t>A 61561-2023</t>
        </is>
      </c>
      <c r="B173" s="1" t="n">
        <v>45265</v>
      </c>
      <c r="C173" s="1" t="n">
        <v>45981</v>
      </c>
      <c r="D173" t="inlineStr">
        <is>
          <t>GOTLANDS LÄN</t>
        </is>
      </c>
      <c r="E173" t="inlineStr">
        <is>
          <t>GOTLAND</t>
        </is>
      </c>
      <c r="G173" t="n">
        <v>7.4</v>
      </c>
      <c r="H173" t="n">
        <v>0</v>
      </c>
      <c r="I173" t="n">
        <v>0</v>
      </c>
      <c r="J173" t="n">
        <v>1</v>
      </c>
      <c r="K173" t="n">
        <v>0</v>
      </c>
      <c r="L173" t="n">
        <v>0</v>
      </c>
      <c r="M173" t="n">
        <v>0</v>
      </c>
      <c r="N173" t="n">
        <v>0</v>
      </c>
      <c r="O173" t="n">
        <v>1</v>
      </c>
      <c r="P173" t="n">
        <v>0</v>
      </c>
      <c r="Q173" t="n">
        <v>1</v>
      </c>
      <c r="R173" s="2" t="inlineStr">
        <is>
          <t>Loppstarr</t>
        </is>
      </c>
      <c r="S173">
        <f>HYPERLINK("https://klasma.github.io/Logging_0980/artfynd/A 61561-2023 artfynd.xlsx", "A 61561-2023")</f>
        <v/>
      </c>
      <c r="T173">
        <f>HYPERLINK("https://klasma.github.io/Logging_0980/kartor/A 61561-2023 karta.png", "A 61561-2023")</f>
        <v/>
      </c>
      <c r="V173">
        <f>HYPERLINK("https://klasma.github.io/Logging_0980/klagomål/A 61561-2023 FSC-klagomål.docx", "A 61561-2023")</f>
        <v/>
      </c>
      <c r="W173">
        <f>HYPERLINK("https://klasma.github.io/Logging_0980/klagomålsmail/A 61561-2023 FSC-klagomål mail.docx", "A 61561-2023")</f>
        <v/>
      </c>
      <c r="X173">
        <f>HYPERLINK("https://klasma.github.io/Logging_0980/tillsyn/A 61561-2023 tillsynsbegäran.docx", "A 61561-2023")</f>
        <v/>
      </c>
      <c r="Y173">
        <f>HYPERLINK("https://klasma.github.io/Logging_0980/tillsynsmail/A 61561-2023 tillsynsbegäran mail.docx", "A 61561-2023")</f>
        <v/>
      </c>
    </row>
    <row r="174" ht="15" customHeight="1">
      <c r="A174" t="inlineStr">
        <is>
          <t>A 10218-2025</t>
        </is>
      </c>
      <c r="B174" s="1" t="n">
        <v>45720</v>
      </c>
      <c r="C174" s="1" t="n">
        <v>45981</v>
      </c>
      <c r="D174" t="inlineStr">
        <is>
          <t>GOTLANDS LÄN</t>
        </is>
      </c>
      <c r="E174" t="inlineStr">
        <is>
          <t>GOTLAND</t>
        </is>
      </c>
      <c r="G174" t="n">
        <v>8.1</v>
      </c>
      <c r="H174" t="n">
        <v>0</v>
      </c>
      <c r="I174" t="n">
        <v>1</v>
      </c>
      <c r="J174" t="n">
        <v>0</v>
      </c>
      <c r="K174" t="n">
        <v>0</v>
      </c>
      <c r="L174" t="n">
        <v>0</v>
      </c>
      <c r="M174" t="n">
        <v>0</v>
      </c>
      <c r="N174" t="n">
        <v>0</v>
      </c>
      <c r="O174" t="n">
        <v>0</v>
      </c>
      <c r="P174" t="n">
        <v>0</v>
      </c>
      <c r="Q174" t="n">
        <v>1</v>
      </c>
      <c r="R174" s="2" t="inlineStr">
        <is>
          <t>Kalktallört</t>
        </is>
      </c>
      <c r="S174">
        <f>HYPERLINK("https://klasma.github.io/Logging_0980/artfynd/A 10218-2025 artfynd.xlsx", "A 10218-2025")</f>
        <v/>
      </c>
      <c r="T174">
        <f>HYPERLINK("https://klasma.github.io/Logging_0980/kartor/A 10218-2025 karta.png", "A 10218-2025")</f>
        <v/>
      </c>
      <c r="V174">
        <f>HYPERLINK("https://klasma.github.io/Logging_0980/klagomål/A 10218-2025 FSC-klagomål.docx", "A 10218-2025")</f>
        <v/>
      </c>
      <c r="W174">
        <f>HYPERLINK("https://klasma.github.io/Logging_0980/klagomålsmail/A 10218-2025 FSC-klagomål mail.docx", "A 10218-2025")</f>
        <v/>
      </c>
      <c r="X174">
        <f>HYPERLINK("https://klasma.github.io/Logging_0980/tillsyn/A 10218-2025 tillsynsbegäran.docx", "A 10218-2025")</f>
        <v/>
      </c>
      <c r="Y174">
        <f>HYPERLINK("https://klasma.github.io/Logging_0980/tillsynsmail/A 10218-2025 tillsynsbegäran mail.docx", "A 10218-2025")</f>
        <v/>
      </c>
    </row>
    <row r="175" ht="15" customHeight="1">
      <c r="A175" t="inlineStr">
        <is>
          <t>A 12379-2024</t>
        </is>
      </c>
      <c r="B175" s="1" t="n">
        <v>45379.28155092592</v>
      </c>
      <c r="C175" s="1" t="n">
        <v>45981</v>
      </c>
      <c r="D175" t="inlineStr">
        <is>
          <t>GOTLANDS LÄN</t>
        </is>
      </c>
      <c r="E175" t="inlineStr">
        <is>
          <t>GOTLAND</t>
        </is>
      </c>
      <c r="G175" t="n">
        <v>4.4</v>
      </c>
      <c r="H175" t="n">
        <v>0</v>
      </c>
      <c r="I175" t="n">
        <v>0</v>
      </c>
      <c r="J175" t="n">
        <v>1</v>
      </c>
      <c r="K175" t="n">
        <v>0</v>
      </c>
      <c r="L175" t="n">
        <v>0</v>
      </c>
      <c r="M175" t="n">
        <v>0</v>
      </c>
      <c r="N175" t="n">
        <v>0</v>
      </c>
      <c r="O175" t="n">
        <v>1</v>
      </c>
      <c r="P175" t="n">
        <v>0</v>
      </c>
      <c r="Q175" t="n">
        <v>1</v>
      </c>
      <c r="R175" s="2" t="inlineStr">
        <is>
          <t>Svinrot</t>
        </is>
      </c>
      <c r="S175">
        <f>HYPERLINK("https://klasma.github.io/Logging_0980/artfynd/A 12379-2024 artfynd.xlsx", "A 12379-2024")</f>
        <v/>
      </c>
      <c r="T175">
        <f>HYPERLINK("https://klasma.github.io/Logging_0980/kartor/A 12379-2024 karta.png", "A 12379-2024")</f>
        <v/>
      </c>
      <c r="V175">
        <f>HYPERLINK("https://klasma.github.io/Logging_0980/klagomål/A 12379-2024 FSC-klagomål.docx", "A 12379-2024")</f>
        <v/>
      </c>
      <c r="W175">
        <f>HYPERLINK("https://klasma.github.io/Logging_0980/klagomålsmail/A 12379-2024 FSC-klagomål mail.docx", "A 12379-2024")</f>
        <v/>
      </c>
      <c r="X175">
        <f>HYPERLINK("https://klasma.github.io/Logging_0980/tillsyn/A 12379-2024 tillsynsbegäran.docx", "A 12379-2024")</f>
        <v/>
      </c>
      <c r="Y175">
        <f>HYPERLINK("https://klasma.github.io/Logging_0980/tillsynsmail/A 12379-2024 tillsynsbegäran mail.docx", "A 12379-2024")</f>
        <v/>
      </c>
    </row>
    <row r="176" ht="15" customHeight="1">
      <c r="A176" t="inlineStr">
        <is>
          <t>A 64700-2021</t>
        </is>
      </c>
      <c r="B176" s="1" t="n">
        <v>44511</v>
      </c>
      <c r="C176" s="1" t="n">
        <v>45981</v>
      </c>
      <c r="D176" t="inlineStr">
        <is>
          <t>GOTLANDS LÄN</t>
        </is>
      </c>
      <c r="E176" t="inlineStr">
        <is>
          <t>GOTLAND</t>
        </is>
      </c>
      <c r="F176" t="inlineStr">
        <is>
          <t>Naturvårdsverket</t>
        </is>
      </c>
      <c r="G176" t="n">
        <v>2.4</v>
      </c>
      <c r="H176" t="n">
        <v>1</v>
      </c>
      <c r="I176" t="n">
        <v>0</v>
      </c>
      <c r="J176" t="n">
        <v>0</v>
      </c>
      <c r="K176" t="n">
        <v>1</v>
      </c>
      <c r="L176" t="n">
        <v>0</v>
      </c>
      <c r="M176" t="n">
        <v>0</v>
      </c>
      <c r="N176" t="n">
        <v>0</v>
      </c>
      <c r="O176" t="n">
        <v>1</v>
      </c>
      <c r="P176" t="n">
        <v>1</v>
      </c>
      <c r="Q176" t="n">
        <v>1</v>
      </c>
      <c r="R176" s="2" t="inlineStr">
        <is>
          <t>Kalkdån</t>
        </is>
      </c>
      <c r="S176">
        <f>HYPERLINK("https://klasma.github.io/Logging_0980/artfynd/A 64700-2021 artfynd.xlsx", "A 64700-2021")</f>
        <v/>
      </c>
      <c r="T176">
        <f>HYPERLINK("https://klasma.github.io/Logging_0980/kartor/A 64700-2021 karta.png", "A 64700-2021")</f>
        <v/>
      </c>
      <c r="V176">
        <f>HYPERLINK("https://klasma.github.io/Logging_0980/klagomål/A 64700-2021 FSC-klagomål.docx", "A 64700-2021")</f>
        <v/>
      </c>
      <c r="W176">
        <f>HYPERLINK("https://klasma.github.io/Logging_0980/klagomålsmail/A 64700-2021 FSC-klagomål mail.docx", "A 64700-2021")</f>
        <v/>
      </c>
      <c r="X176">
        <f>HYPERLINK("https://klasma.github.io/Logging_0980/tillsyn/A 64700-2021 tillsynsbegäran.docx", "A 64700-2021")</f>
        <v/>
      </c>
      <c r="Y176">
        <f>HYPERLINK("https://klasma.github.io/Logging_0980/tillsynsmail/A 64700-2021 tillsynsbegäran mail.docx", "A 64700-2021")</f>
        <v/>
      </c>
    </row>
    <row r="177" ht="15" customHeight="1">
      <c r="A177" t="inlineStr">
        <is>
          <t>A 35574-2024</t>
        </is>
      </c>
      <c r="B177" s="1" t="n">
        <v>45531</v>
      </c>
      <c r="C177" s="1" t="n">
        <v>45981</v>
      </c>
      <c r="D177" t="inlineStr">
        <is>
          <t>GOTLANDS LÄN</t>
        </is>
      </c>
      <c r="E177" t="inlineStr">
        <is>
          <t>GOTLAND</t>
        </is>
      </c>
      <c r="G177" t="n">
        <v>5.7</v>
      </c>
      <c r="H177" t="n">
        <v>0</v>
      </c>
      <c r="I177" t="n">
        <v>1</v>
      </c>
      <c r="J177" t="n">
        <v>0</v>
      </c>
      <c r="K177" t="n">
        <v>0</v>
      </c>
      <c r="L177" t="n">
        <v>0</v>
      </c>
      <c r="M177" t="n">
        <v>0</v>
      </c>
      <c r="N177" t="n">
        <v>0</v>
      </c>
      <c r="O177" t="n">
        <v>0</v>
      </c>
      <c r="P177" t="n">
        <v>0</v>
      </c>
      <c r="Q177" t="n">
        <v>1</v>
      </c>
      <c r="R177" s="2" t="inlineStr">
        <is>
          <t>Murgröna</t>
        </is>
      </c>
      <c r="S177">
        <f>HYPERLINK("https://klasma.github.io/Logging_0980/artfynd/A 35574-2024 artfynd.xlsx", "A 35574-2024")</f>
        <v/>
      </c>
      <c r="T177">
        <f>HYPERLINK("https://klasma.github.io/Logging_0980/kartor/A 35574-2024 karta.png", "A 35574-2024")</f>
        <v/>
      </c>
      <c r="V177">
        <f>HYPERLINK("https://klasma.github.io/Logging_0980/klagomål/A 35574-2024 FSC-klagomål.docx", "A 35574-2024")</f>
        <v/>
      </c>
      <c r="W177">
        <f>HYPERLINK("https://klasma.github.io/Logging_0980/klagomålsmail/A 35574-2024 FSC-klagomål mail.docx", "A 35574-2024")</f>
        <v/>
      </c>
      <c r="X177">
        <f>HYPERLINK("https://klasma.github.io/Logging_0980/tillsyn/A 35574-2024 tillsynsbegäran.docx", "A 35574-2024")</f>
        <v/>
      </c>
      <c r="Y177">
        <f>HYPERLINK("https://klasma.github.io/Logging_0980/tillsynsmail/A 35574-2024 tillsynsbegäran mail.docx", "A 35574-2024")</f>
        <v/>
      </c>
    </row>
    <row r="178" ht="15" customHeight="1">
      <c r="A178" t="inlineStr">
        <is>
          <t>A 37591-2023</t>
        </is>
      </c>
      <c r="B178" s="1" t="n">
        <v>45159</v>
      </c>
      <c r="C178" s="1" t="n">
        <v>45981</v>
      </c>
      <c r="D178" t="inlineStr">
        <is>
          <t>GOTLANDS LÄN</t>
        </is>
      </c>
      <c r="E178" t="inlineStr">
        <is>
          <t>GOTLAND</t>
        </is>
      </c>
      <c r="G178" t="n">
        <v>8.300000000000001</v>
      </c>
      <c r="H178" t="n">
        <v>0</v>
      </c>
      <c r="I178" t="n">
        <v>0</v>
      </c>
      <c r="J178" t="n">
        <v>1</v>
      </c>
      <c r="K178" t="n">
        <v>0</v>
      </c>
      <c r="L178" t="n">
        <v>0</v>
      </c>
      <c r="M178" t="n">
        <v>0</v>
      </c>
      <c r="N178" t="n">
        <v>0</v>
      </c>
      <c r="O178" t="n">
        <v>1</v>
      </c>
      <c r="P178" t="n">
        <v>0</v>
      </c>
      <c r="Q178" t="n">
        <v>1</v>
      </c>
      <c r="R178" s="2" t="inlineStr">
        <is>
          <t>Ängsstarr</t>
        </is>
      </c>
      <c r="S178">
        <f>HYPERLINK("https://klasma.github.io/Logging_0980/artfynd/A 37591-2023 artfynd.xlsx", "A 37591-2023")</f>
        <v/>
      </c>
      <c r="T178">
        <f>HYPERLINK("https://klasma.github.io/Logging_0980/kartor/A 37591-2023 karta.png", "A 37591-2023")</f>
        <v/>
      </c>
      <c r="V178">
        <f>HYPERLINK("https://klasma.github.io/Logging_0980/klagomål/A 37591-2023 FSC-klagomål.docx", "A 37591-2023")</f>
        <v/>
      </c>
      <c r="W178">
        <f>HYPERLINK("https://klasma.github.io/Logging_0980/klagomålsmail/A 37591-2023 FSC-klagomål mail.docx", "A 37591-2023")</f>
        <v/>
      </c>
      <c r="X178">
        <f>HYPERLINK("https://klasma.github.io/Logging_0980/tillsyn/A 37591-2023 tillsynsbegäran.docx", "A 37591-2023")</f>
        <v/>
      </c>
      <c r="Y178">
        <f>HYPERLINK("https://klasma.github.io/Logging_0980/tillsynsmail/A 37591-2023 tillsynsbegäran mail.docx", "A 37591-2023")</f>
        <v/>
      </c>
    </row>
    <row r="179" ht="15" customHeight="1">
      <c r="A179" t="inlineStr">
        <is>
          <t>A 15637-2024</t>
        </is>
      </c>
      <c r="B179" s="1" t="n">
        <v>45403.6684837963</v>
      </c>
      <c r="C179" s="1" t="n">
        <v>45981</v>
      </c>
      <c r="D179" t="inlineStr">
        <is>
          <t>GOTLANDS LÄN</t>
        </is>
      </c>
      <c r="E179" t="inlineStr">
        <is>
          <t>GOTLAND</t>
        </is>
      </c>
      <c r="G179" t="n">
        <v>4.1</v>
      </c>
      <c r="H179" t="n">
        <v>1</v>
      </c>
      <c r="I179" t="n">
        <v>0</v>
      </c>
      <c r="J179" t="n">
        <v>0</v>
      </c>
      <c r="K179" t="n">
        <v>0</v>
      </c>
      <c r="L179" t="n">
        <v>0</v>
      </c>
      <c r="M179" t="n">
        <v>0</v>
      </c>
      <c r="N179" t="n">
        <v>0</v>
      </c>
      <c r="O179" t="n">
        <v>0</v>
      </c>
      <c r="P179" t="n">
        <v>0</v>
      </c>
      <c r="Q179" t="n">
        <v>1</v>
      </c>
      <c r="R179" s="2" t="inlineStr">
        <is>
          <t>Blåsippa</t>
        </is>
      </c>
      <c r="S179">
        <f>HYPERLINK("https://klasma.github.io/Logging_0980/artfynd/A 15637-2024 artfynd.xlsx", "A 15637-2024")</f>
        <v/>
      </c>
      <c r="T179">
        <f>HYPERLINK("https://klasma.github.io/Logging_0980/kartor/A 15637-2024 karta.png", "A 15637-2024")</f>
        <v/>
      </c>
      <c r="V179">
        <f>HYPERLINK("https://klasma.github.io/Logging_0980/klagomål/A 15637-2024 FSC-klagomål.docx", "A 15637-2024")</f>
        <v/>
      </c>
      <c r="W179">
        <f>HYPERLINK("https://klasma.github.io/Logging_0980/klagomålsmail/A 15637-2024 FSC-klagomål mail.docx", "A 15637-2024")</f>
        <v/>
      </c>
      <c r="X179">
        <f>HYPERLINK("https://klasma.github.io/Logging_0980/tillsyn/A 15637-2024 tillsynsbegäran.docx", "A 15637-2024")</f>
        <v/>
      </c>
      <c r="Y179">
        <f>HYPERLINK("https://klasma.github.io/Logging_0980/tillsynsmail/A 15637-2024 tillsynsbegäran mail.docx", "A 15637-2024")</f>
        <v/>
      </c>
    </row>
    <row r="180" ht="15" customHeight="1">
      <c r="A180" t="inlineStr">
        <is>
          <t>A 56687-2025</t>
        </is>
      </c>
      <c r="B180" s="1" t="n">
        <v>45975.84065972222</v>
      </c>
      <c r="C180" s="1" t="n">
        <v>45981</v>
      </c>
      <c r="D180" t="inlineStr">
        <is>
          <t>GOTLANDS LÄN</t>
        </is>
      </c>
      <c r="E180" t="inlineStr">
        <is>
          <t>GOTLAND</t>
        </is>
      </c>
      <c r="G180" t="n">
        <v>2.4</v>
      </c>
      <c r="H180" t="n">
        <v>1</v>
      </c>
      <c r="I180" t="n">
        <v>0</v>
      </c>
      <c r="J180" t="n">
        <v>1</v>
      </c>
      <c r="K180" t="n">
        <v>0</v>
      </c>
      <c r="L180" t="n">
        <v>0</v>
      </c>
      <c r="M180" t="n">
        <v>0</v>
      </c>
      <c r="N180" t="n">
        <v>0</v>
      </c>
      <c r="O180" t="n">
        <v>1</v>
      </c>
      <c r="P180" t="n">
        <v>0</v>
      </c>
      <c r="Q180" t="n">
        <v>1</v>
      </c>
      <c r="R180" s="2" t="inlineStr">
        <is>
          <t>Dårgräsfjäril</t>
        </is>
      </c>
      <c r="S180">
        <f>HYPERLINK("https://klasma.github.io/Logging_0980/artfynd/A 56687-2025 artfynd.xlsx", "A 56687-2025")</f>
        <v/>
      </c>
      <c r="T180">
        <f>HYPERLINK("https://klasma.github.io/Logging_0980/kartor/A 56687-2025 karta.png", "A 56687-2025")</f>
        <v/>
      </c>
      <c r="V180">
        <f>HYPERLINK("https://klasma.github.io/Logging_0980/klagomål/A 56687-2025 FSC-klagomål.docx", "A 56687-2025")</f>
        <v/>
      </c>
      <c r="W180">
        <f>HYPERLINK("https://klasma.github.io/Logging_0980/klagomålsmail/A 56687-2025 FSC-klagomål mail.docx", "A 56687-2025")</f>
        <v/>
      </c>
      <c r="X180">
        <f>HYPERLINK("https://klasma.github.io/Logging_0980/tillsyn/A 56687-2025 tillsynsbegäran.docx", "A 56687-2025")</f>
        <v/>
      </c>
      <c r="Y180">
        <f>HYPERLINK("https://klasma.github.io/Logging_0980/tillsynsmail/A 56687-2025 tillsynsbegäran mail.docx", "A 56687-2025")</f>
        <v/>
      </c>
    </row>
    <row r="181" ht="15" customHeight="1">
      <c r="A181" t="inlineStr">
        <is>
          <t>A 12324-2025</t>
        </is>
      </c>
      <c r="B181" s="1" t="n">
        <v>45730</v>
      </c>
      <c r="C181" s="1" t="n">
        <v>45981</v>
      </c>
      <c r="D181" t="inlineStr">
        <is>
          <t>GOTLANDS LÄN</t>
        </is>
      </c>
      <c r="E181" t="inlineStr">
        <is>
          <t>GOTLAND</t>
        </is>
      </c>
      <c r="G181" t="n">
        <v>5</v>
      </c>
      <c r="H181" t="n">
        <v>0</v>
      </c>
      <c r="I181" t="n">
        <v>0</v>
      </c>
      <c r="J181" t="n">
        <v>0</v>
      </c>
      <c r="K181" t="n">
        <v>1</v>
      </c>
      <c r="L181" t="n">
        <v>0</v>
      </c>
      <c r="M181" t="n">
        <v>0</v>
      </c>
      <c r="N181" t="n">
        <v>0</v>
      </c>
      <c r="O181" t="n">
        <v>1</v>
      </c>
      <c r="P181" t="n">
        <v>1</v>
      </c>
      <c r="Q181" t="n">
        <v>1</v>
      </c>
      <c r="R181" s="2" t="inlineStr">
        <is>
          <t>Sommarklynne</t>
        </is>
      </c>
      <c r="S181">
        <f>HYPERLINK("https://klasma.github.io/Logging_0980/artfynd/A 12324-2025 artfynd.xlsx", "A 12324-2025")</f>
        <v/>
      </c>
      <c r="T181">
        <f>HYPERLINK("https://klasma.github.io/Logging_0980/kartor/A 12324-2025 karta.png", "A 12324-2025")</f>
        <v/>
      </c>
      <c r="V181">
        <f>HYPERLINK("https://klasma.github.io/Logging_0980/klagomål/A 12324-2025 FSC-klagomål.docx", "A 12324-2025")</f>
        <v/>
      </c>
      <c r="W181">
        <f>HYPERLINK("https://klasma.github.io/Logging_0980/klagomålsmail/A 12324-2025 FSC-klagomål mail.docx", "A 12324-2025")</f>
        <v/>
      </c>
      <c r="X181">
        <f>HYPERLINK("https://klasma.github.io/Logging_0980/tillsyn/A 12324-2025 tillsynsbegäran.docx", "A 12324-2025")</f>
        <v/>
      </c>
      <c r="Y181">
        <f>HYPERLINK("https://klasma.github.io/Logging_0980/tillsynsmail/A 12324-2025 tillsynsbegäran mail.docx", "A 12324-2025")</f>
        <v/>
      </c>
    </row>
    <row r="182" ht="15" customHeight="1">
      <c r="A182" t="inlineStr">
        <is>
          <t>A 63299-2020</t>
        </is>
      </c>
      <c r="B182" s="1" t="n">
        <v>44165</v>
      </c>
      <c r="C182" s="1" t="n">
        <v>45981</v>
      </c>
      <c r="D182" t="inlineStr">
        <is>
          <t>GOTLANDS LÄN</t>
        </is>
      </c>
      <c r="E182" t="inlineStr">
        <is>
          <t>GOTLAND</t>
        </is>
      </c>
      <c r="G182" t="n">
        <v>12.9</v>
      </c>
      <c r="H182" t="n">
        <v>1</v>
      </c>
      <c r="I182" t="n">
        <v>0</v>
      </c>
      <c r="J182" t="n">
        <v>1</v>
      </c>
      <c r="K182" t="n">
        <v>0</v>
      </c>
      <c r="L182" t="n">
        <v>0</v>
      </c>
      <c r="M182" t="n">
        <v>0</v>
      </c>
      <c r="N182" t="n">
        <v>0</v>
      </c>
      <c r="O182" t="n">
        <v>1</v>
      </c>
      <c r="P182" t="n">
        <v>0</v>
      </c>
      <c r="Q182" t="n">
        <v>1</v>
      </c>
      <c r="R182" s="2" t="inlineStr">
        <is>
          <t>Svartfläckig blåvinge</t>
        </is>
      </c>
      <c r="S182">
        <f>HYPERLINK("https://klasma.github.io/Logging_0980/artfynd/A 63299-2020 artfynd.xlsx", "A 63299-2020")</f>
        <v/>
      </c>
      <c r="T182">
        <f>HYPERLINK("https://klasma.github.io/Logging_0980/kartor/A 63299-2020 karta.png", "A 63299-2020")</f>
        <v/>
      </c>
      <c r="V182">
        <f>HYPERLINK("https://klasma.github.io/Logging_0980/klagomål/A 63299-2020 FSC-klagomål.docx", "A 63299-2020")</f>
        <v/>
      </c>
      <c r="W182">
        <f>HYPERLINK("https://klasma.github.io/Logging_0980/klagomålsmail/A 63299-2020 FSC-klagomål mail.docx", "A 63299-2020")</f>
        <v/>
      </c>
      <c r="X182">
        <f>HYPERLINK("https://klasma.github.io/Logging_0980/tillsyn/A 63299-2020 tillsynsbegäran.docx", "A 63299-2020")</f>
        <v/>
      </c>
      <c r="Y182">
        <f>HYPERLINK("https://klasma.github.io/Logging_0980/tillsynsmail/A 63299-2020 tillsynsbegäran mail.docx", "A 63299-2020")</f>
        <v/>
      </c>
    </row>
    <row r="183" ht="15" customHeight="1">
      <c r="A183" t="inlineStr">
        <is>
          <t>A 2476-2025</t>
        </is>
      </c>
      <c r="B183" s="1" t="n">
        <v>45673</v>
      </c>
      <c r="C183" s="1" t="n">
        <v>45981</v>
      </c>
      <c r="D183" t="inlineStr">
        <is>
          <t>GOTLANDS LÄN</t>
        </is>
      </c>
      <c r="E183" t="inlineStr">
        <is>
          <t>GOTLAND</t>
        </is>
      </c>
      <c r="G183" t="n">
        <v>3.1</v>
      </c>
      <c r="H183" t="n">
        <v>0</v>
      </c>
      <c r="I183" t="n">
        <v>1</v>
      </c>
      <c r="J183" t="n">
        <v>0</v>
      </c>
      <c r="K183" t="n">
        <v>0</v>
      </c>
      <c r="L183" t="n">
        <v>0</v>
      </c>
      <c r="M183" t="n">
        <v>0</v>
      </c>
      <c r="N183" t="n">
        <v>0</v>
      </c>
      <c r="O183" t="n">
        <v>0</v>
      </c>
      <c r="P183" t="n">
        <v>0</v>
      </c>
      <c r="Q183" t="n">
        <v>1</v>
      </c>
      <c r="R183" s="2" t="inlineStr">
        <is>
          <t>Kryddspindling</t>
        </is>
      </c>
      <c r="S183">
        <f>HYPERLINK("https://klasma.github.io/Logging_0980/artfynd/A 2476-2025 artfynd.xlsx", "A 2476-2025")</f>
        <v/>
      </c>
      <c r="T183">
        <f>HYPERLINK("https://klasma.github.io/Logging_0980/kartor/A 2476-2025 karta.png", "A 2476-2025")</f>
        <v/>
      </c>
      <c r="V183">
        <f>HYPERLINK("https://klasma.github.io/Logging_0980/klagomål/A 2476-2025 FSC-klagomål.docx", "A 2476-2025")</f>
        <v/>
      </c>
      <c r="W183">
        <f>HYPERLINK("https://klasma.github.io/Logging_0980/klagomålsmail/A 2476-2025 FSC-klagomål mail.docx", "A 2476-2025")</f>
        <v/>
      </c>
      <c r="X183">
        <f>HYPERLINK("https://klasma.github.io/Logging_0980/tillsyn/A 2476-2025 tillsynsbegäran.docx", "A 2476-2025")</f>
        <v/>
      </c>
      <c r="Y183">
        <f>HYPERLINK("https://klasma.github.io/Logging_0980/tillsynsmail/A 2476-2025 tillsynsbegäran mail.docx", "A 2476-2025")</f>
        <v/>
      </c>
    </row>
    <row r="184" ht="15" customHeight="1">
      <c r="A184" t="inlineStr">
        <is>
          <t>A 49847-2023</t>
        </is>
      </c>
      <c r="B184" s="1" t="n">
        <v>45212</v>
      </c>
      <c r="C184" s="1" t="n">
        <v>45981</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9862-2024</t>
        </is>
      </c>
      <c r="B185" s="1" t="n">
        <v>45363</v>
      </c>
      <c r="C185" s="1" t="n">
        <v>45981</v>
      </c>
      <c r="D185" t="inlineStr">
        <is>
          <t>GOTLANDS LÄN</t>
        </is>
      </c>
      <c r="E185" t="inlineStr">
        <is>
          <t>GOTLAND</t>
        </is>
      </c>
      <c r="G185" t="n">
        <v>3.5</v>
      </c>
      <c r="H185" t="n">
        <v>1</v>
      </c>
      <c r="I185" t="n">
        <v>0</v>
      </c>
      <c r="J185" t="n">
        <v>0</v>
      </c>
      <c r="K185" t="n">
        <v>0</v>
      </c>
      <c r="L185" t="n">
        <v>0</v>
      </c>
      <c r="M185" t="n">
        <v>0</v>
      </c>
      <c r="N185" t="n">
        <v>0</v>
      </c>
      <c r="O185" t="n">
        <v>0</v>
      </c>
      <c r="P185" t="n">
        <v>0</v>
      </c>
      <c r="Q185" t="n">
        <v>1</v>
      </c>
      <c r="R185" s="2" t="inlineStr">
        <is>
          <t>Nattviol</t>
        </is>
      </c>
      <c r="S185">
        <f>HYPERLINK("https://klasma.github.io/Logging_0980/artfynd/A 9862-2024 artfynd.xlsx", "A 9862-2024")</f>
        <v/>
      </c>
      <c r="T185">
        <f>HYPERLINK("https://klasma.github.io/Logging_0980/kartor/A 9862-2024 karta.png", "A 9862-2024")</f>
        <v/>
      </c>
      <c r="V185">
        <f>HYPERLINK("https://klasma.github.io/Logging_0980/klagomål/A 9862-2024 FSC-klagomål.docx", "A 9862-2024")</f>
        <v/>
      </c>
      <c r="W185">
        <f>HYPERLINK("https://klasma.github.io/Logging_0980/klagomålsmail/A 9862-2024 FSC-klagomål mail.docx", "A 9862-2024")</f>
        <v/>
      </c>
      <c r="X185">
        <f>HYPERLINK("https://klasma.github.io/Logging_0980/tillsyn/A 9862-2024 tillsynsbegäran.docx", "A 9862-2024")</f>
        <v/>
      </c>
      <c r="Y185">
        <f>HYPERLINK("https://klasma.github.io/Logging_0980/tillsynsmail/A 9862-2024 tillsynsbegäran mail.docx", "A 9862-2024")</f>
        <v/>
      </c>
    </row>
    <row r="186" ht="15" customHeight="1">
      <c r="A186" t="inlineStr">
        <is>
          <t>A 34141-2024</t>
        </is>
      </c>
      <c r="B186" s="1" t="n">
        <v>45524.36229166666</v>
      </c>
      <c r="C186" s="1" t="n">
        <v>45981</v>
      </c>
      <c r="D186" t="inlineStr">
        <is>
          <t>GOTLANDS LÄN</t>
        </is>
      </c>
      <c r="E186" t="inlineStr">
        <is>
          <t>GOTLAND</t>
        </is>
      </c>
      <c r="G186" t="n">
        <v>0.9</v>
      </c>
      <c r="H186" t="n">
        <v>0</v>
      </c>
      <c r="I186" t="n">
        <v>1</v>
      </c>
      <c r="J186" t="n">
        <v>0</v>
      </c>
      <c r="K186" t="n">
        <v>0</v>
      </c>
      <c r="L186" t="n">
        <v>0</v>
      </c>
      <c r="M186" t="n">
        <v>0</v>
      </c>
      <c r="N186" t="n">
        <v>0</v>
      </c>
      <c r="O186" t="n">
        <v>0</v>
      </c>
      <c r="P186" t="n">
        <v>0</v>
      </c>
      <c r="Q186" t="n">
        <v>1</v>
      </c>
      <c r="R186" s="2" t="inlineStr">
        <is>
          <t>Strävlosta</t>
        </is>
      </c>
      <c r="S186">
        <f>HYPERLINK("https://klasma.github.io/Logging_0980/artfynd/A 34141-2024 artfynd.xlsx", "A 34141-2024")</f>
        <v/>
      </c>
      <c r="T186">
        <f>HYPERLINK("https://klasma.github.io/Logging_0980/kartor/A 34141-2024 karta.png", "A 34141-2024")</f>
        <v/>
      </c>
      <c r="V186">
        <f>HYPERLINK("https://klasma.github.io/Logging_0980/klagomål/A 34141-2024 FSC-klagomål.docx", "A 34141-2024")</f>
        <v/>
      </c>
      <c r="W186">
        <f>HYPERLINK("https://klasma.github.io/Logging_0980/klagomålsmail/A 34141-2024 FSC-klagomål mail.docx", "A 34141-2024")</f>
        <v/>
      </c>
      <c r="X186">
        <f>HYPERLINK("https://klasma.github.io/Logging_0980/tillsyn/A 34141-2024 tillsynsbegäran.docx", "A 34141-2024")</f>
        <v/>
      </c>
      <c r="Y186">
        <f>HYPERLINK("https://klasma.github.io/Logging_0980/tillsynsmail/A 34141-2024 tillsynsbegäran mail.docx", "A 34141-2024")</f>
        <v/>
      </c>
    </row>
    <row r="187" ht="15" customHeight="1">
      <c r="A187" t="inlineStr">
        <is>
          <t>A 10995-2023</t>
        </is>
      </c>
      <c r="B187" s="1" t="n">
        <v>44986</v>
      </c>
      <c r="C187" s="1" t="n">
        <v>45981</v>
      </c>
      <c r="D187" t="inlineStr">
        <is>
          <t>GOTLANDS LÄN</t>
        </is>
      </c>
      <c r="E187" t="inlineStr">
        <is>
          <t>GOTLAND</t>
        </is>
      </c>
      <c r="G187" t="n">
        <v>2.8</v>
      </c>
      <c r="H187" t="n">
        <v>0</v>
      </c>
      <c r="I187" t="n">
        <v>0</v>
      </c>
      <c r="J187" t="n">
        <v>0</v>
      </c>
      <c r="K187" t="n">
        <v>1</v>
      </c>
      <c r="L187" t="n">
        <v>0</v>
      </c>
      <c r="M187" t="n">
        <v>0</v>
      </c>
      <c r="N187" t="n">
        <v>0</v>
      </c>
      <c r="O187" t="n">
        <v>1</v>
      </c>
      <c r="P187" t="n">
        <v>1</v>
      </c>
      <c r="Q187" t="n">
        <v>1</v>
      </c>
      <c r="R187" s="2" t="inlineStr">
        <is>
          <t>Violettfläckig spindling</t>
        </is>
      </c>
      <c r="S187">
        <f>HYPERLINK("https://klasma.github.io/Logging_0980/artfynd/A 10995-2023 artfynd.xlsx", "A 10995-2023")</f>
        <v/>
      </c>
      <c r="T187">
        <f>HYPERLINK("https://klasma.github.io/Logging_0980/kartor/A 10995-2023 karta.png", "A 10995-2023")</f>
        <v/>
      </c>
      <c r="V187">
        <f>HYPERLINK("https://klasma.github.io/Logging_0980/klagomål/A 10995-2023 FSC-klagomål.docx", "A 10995-2023")</f>
        <v/>
      </c>
      <c r="W187">
        <f>HYPERLINK("https://klasma.github.io/Logging_0980/klagomålsmail/A 10995-2023 FSC-klagomål mail.docx", "A 10995-2023")</f>
        <v/>
      </c>
      <c r="X187">
        <f>HYPERLINK("https://klasma.github.io/Logging_0980/tillsyn/A 10995-2023 tillsynsbegäran.docx", "A 10995-2023")</f>
        <v/>
      </c>
      <c r="Y187">
        <f>HYPERLINK("https://klasma.github.io/Logging_0980/tillsynsmail/A 10995-2023 tillsynsbegäran mail.docx", "A 10995-2023")</f>
        <v/>
      </c>
    </row>
    <row r="188" ht="15" customHeight="1">
      <c r="A188" t="inlineStr">
        <is>
          <t>A 12924-2025</t>
        </is>
      </c>
      <c r="B188" s="1" t="n">
        <v>45734</v>
      </c>
      <c r="C188" s="1" t="n">
        <v>45981</v>
      </c>
      <c r="D188" t="inlineStr">
        <is>
          <t>GOTLANDS LÄN</t>
        </is>
      </c>
      <c r="E188" t="inlineStr">
        <is>
          <t>GOTLAND</t>
        </is>
      </c>
      <c r="G188" t="n">
        <v>11.7</v>
      </c>
      <c r="H188" t="n">
        <v>0</v>
      </c>
      <c r="I188" t="n">
        <v>0</v>
      </c>
      <c r="J188" t="n">
        <v>0</v>
      </c>
      <c r="K188" t="n">
        <v>1</v>
      </c>
      <c r="L188" t="n">
        <v>0</v>
      </c>
      <c r="M188" t="n">
        <v>0</v>
      </c>
      <c r="N188" t="n">
        <v>0</v>
      </c>
      <c r="O188" t="n">
        <v>1</v>
      </c>
      <c r="P188" t="n">
        <v>1</v>
      </c>
      <c r="Q188" t="n">
        <v>1</v>
      </c>
      <c r="R188" s="2" t="inlineStr">
        <is>
          <t>Gotlandsmåra</t>
        </is>
      </c>
      <c r="S188">
        <f>HYPERLINK("https://klasma.github.io/Logging_0980/artfynd/A 12924-2025 artfynd.xlsx", "A 12924-2025")</f>
        <v/>
      </c>
      <c r="T188">
        <f>HYPERLINK("https://klasma.github.io/Logging_0980/kartor/A 12924-2025 karta.png", "A 12924-2025")</f>
        <v/>
      </c>
      <c r="V188">
        <f>HYPERLINK("https://klasma.github.io/Logging_0980/klagomål/A 12924-2025 FSC-klagomål.docx", "A 12924-2025")</f>
        <v/>
      </c>
      <c r="W188">
        <f>HYPERLINK("https://klasma.github.io/Logging_0980/klagomålsmail/A 12924-2025 FSC-klagomål mail.docx", "A 12924-2025")</f>
        <v/>
      </c>
      <c r="X188">
        <f>HYPERLINK("https://klasma.github.io/Logging_0980/tillsyn/A 12924-2025 tillsynsbegäran.docx", "A 12924-2025")</f>
        <v/>
      </c>
      <c r="Y188">
        <f>HYPERLINK("https://klasma.github.io/Logging_0980/tillsynsmail/A 12924-2025 tillsynsbegäran mail.docx", "A 12924-2025")</f>
        <v/>
      </c>
    </row>
    <row r="189" ht="15" customHeight="1">
      <c r="A189" t="inlineStr">
        <is>
          <t>A 19901-2021</t>
        </is>
      </c>
      <c r="B189" s="1" t="n">
        <v>44312</v>
      </c>
      <c r="C189" s="1" t="n">
        <v>45981</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45981</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45981</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45981</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45981</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45981</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45981</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45981</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45981</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45981</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45981</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45981</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45981</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45981</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45981</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45981</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45981</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45981</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45981</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45981</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45981</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45981</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45981</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45981</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45981</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45981</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45981</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45981</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45981</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45981</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45981</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45981</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45981</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45981</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45981</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64380-2020</t>
        </is>
      </c>
      <c r="B224" s="1" t="n">
        <v>44168.60128472222</v>
      </c>
      <c r="C224" s="1" t="n">
        <v>45981</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2608-2021</t>
        </is>
      </c>
      <c r="B225" s="1" t="n">
        <v>44214</v>
      </c>
      <c r="C225" s="1" t="n">
        <v>45981</v>
      </c>
      <c r="D225" t="inlineStr">
        <is>
          <t>GOTLANDS LÄN</t>
        </is>
      </c>
      <c r="E225" t="inlineStr">
        <is>
          <t>GOTLAND</t>
        </is>
      </c>
      <c r="G225" t="n">
        <v>3.9</v>
      </c>
      <c r="H225" t="n">
        <v>0</v>
      </c>
      <c r="I225" t="n">
        <v>0</v>
      </c>
      <c r="J225" t="n">
        <v>0</v>
      </c>
      <c r="K225" t="n">
        <v>0</v>
      </c>
      <c r="L225" t="n">
        <v>0</v>
      </c>
      <c r="M225" t="n">
        <v>0</v>
      </c>
      <c r="N225" t="n">
        <v>0</v>
      </c>
      <c r="O225" t="n">
        <v>0</v>
      </c>
      <c r="P225" t="n">
        <v>0</v>
      </c>
      <c r="Q225" t="n">
        <v>0</v>
      </c>
      <c r="R225" s="2" t="inlineStr"/>
    </row>
    <row r="226" ht="15" customHeight="1">
      <c r="A226" t="inlineStr">
        <is>
          <t>A 57219-2021</t>
        </is>
      </c>
      <c r="B226" s="1" t="n">
        <v>44483</v>
      </c>
      <c r="C226" s="1" t="n">
        <v>45981</v>
      </c>
      <c r="D226" t="inlineStr">
        <is>
          <t>GOTLANDS LÄN</t>
        </is>
      </c>
      <c r="E226" t="inlineStr">
        <is>
          <t>GOTLAND</t>
        </is>
      </c>
      <c r="F226" t="inlineStr">
        <is>
          <t>Kyrkan</t>
        </is>
      </c>
      <c r="G226" t="n">
        <v>4</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45981</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22495-2022</t>
        </is>
      </c>
      <c r="B228" s="1" t="n">
        <v>44713.6452199074</v>
      </c>
      <c r="C228" s="1" t="n">
        <v>45981</v>
      </c>
      <c r="D228" t="inlineStr">
        <is>
          <t>GOTLANDS LÄN</t>
        </is>
      </c>
      <c r="E228" t="inlineStr">
        <is>
          <t>GOTLAND</t>
        </is>
      </c>
      <c r="G228" t="n">
        <v>0.5</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45981</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17901-2023</t>
        </is>
      </c>
      <c r="B230" s="1" t="n">
        <v>45039</v>
      </c>
      <c r="C230" s="1" t="n">
        <v>45981</v>
      </c>
      <c r="D230" t="inlineStr">
        <is>
          <t>GOTLANDS LÄN</t>
        </is>
      </c>
      <c r="E230" t="inlineStr">
        <is>
          <t>GOTLAND</t>
        </is>
      </c>
      <c r="F230" t="inlineStr">
        <is>
          <t>Kyrkan</t>
        </is>
      </c>
      <c r="G230" t="n">
        <v>0.6</v>
      </c>
      <c r="H230" t="n">
        <v>0</v>
      </c>
      <c r="I230" t="n">
        <v>0</v>
      </c>
      <c r="J230" t="n">
        <v>0</v>
      </c>
      <c r="K230" t="n">
        <v>0</v>
      </c>
      <c r="L230" t="n">
        <v>0</v>
      </c>
      <c r="M230" t="n">
        <v>0</v>
      </c>
      <c r="N230" t="n">
        <v>0</v>
      </c>
      <c r="O230" t="n">
        <v>0</v>
      </c>
      <c r="P230" t="n">
        <v>0</v>
      </c>
      <c r="Q230" t="n">
        <v>0</v>
      </c>
      <c r="R230" s="2" t="inlineStr"/>
    </row>
    <row r="231" ht="15" customHeight="1">
      <c r="A231" t="inlineStr">
        <is>
          <t>A 44942-2022</t>
        </is>
      </c>
      <c r="B231" s="1" t="n">
        <v>44841</v>
      </c>
      <c r="C231" s="1" t="n">
        <v>45981</v>
      </c>
      <c r="D231" t="inlineStr">
        <is>
          <t>GOTLANDS LÄN</t>
        </is>
      </c>
      <c r="E231" t="inlineStr">
        <is>
          <t>GOTLAND</t>
        </is>
      </c>
      <c r="G231" t="n">
        <v>2</v>
      </c>
      <c r="H231" t="n">
        <v>0</v>
      </c>
      <c r="I231" t="n">
        <v>0</v>
      </c>
      <c r="J231" t="n">
        <v>0</v>
      </c>
      <c r="K231" t="n">
        <v>0</v>
      </c>
      <c r="L231" t="n">
        <v>0</v>
      </c>
      <c r="M231" t="n">
        <v>0</v>
      </c>
      <c r="N231" t="n">
        <v>0</v>
      </c>
      <c r="O231" t="n">
        <v>0</v>
      </c>
      <c r="P231" t="n">
        <v>0</v>
      </c>
      <c r="Q231" t="n">
        <v>0</v>
      </c>
      <c r="R231" s="2" t="inlineStr"/>
    </row>
    <row r="232" ht="15" customHeight="1">
      <c r="A232" t="inlineStr">
        <is>
          <t>A 456-2023</t>
        </is>
      </c>
      <c r="B232" s="1" t="n">
        <v>44929.87122685185</v>
      </c>
      <c r="C232" s="1" t="n">
        <v>45981</v>
      </c>
      <c r="D232" t="inlineStr">
        <is>
          <t>GOTLANDS LÄN</t>
        </is>
      </c>
      <c r="E232" t="inlineStr">
        <is>
          <t>GOTLAND</t>
        </is>
      </c>
      <c r="G232" t="n">
        <v>3.2</v>
      </c>
      <c r="H232" t="n">
        <v>0</v>
      </c>
      <c r="I232" t="n">
        <v>0</v>
      </c>
      <c r="J232" t="n">
        <v>0</v>
      </c>
      <c r="K232" t="n">
        <v>0</v>
      </c>
      <c r="L232" t="n">
        <v>0</v>
      </c>
      <c r="M232" t="n">
        <v>0</v>
      </c>
      <c r="N232" t="n">
        <v>0</v>
      </c>
      <c r="O232" t="n">
        <v>0</v>
      </c>
      <c r="P232" t="n">
        <v>0</v>
      </c>
      <c r="Q232" t="n">
        <v>0</v>
      </c>
      <c r="R232" s="2" t="inlineStr"/>
    </row>
    <row r="233" ht="15" customHeight="1">
      <c r="A233" t="inlineStr">
        <is>
          <t>A 53225-2022</t>
        </is>
      </c>
      <c r="B233" s="1" t="n">
        <v>44876</v>
      </c>
      <c r="C233" s="1" t="n">
        <v>45981</v>
      </c>
      <c r="D233" t="inlineStr">
        <is>
          <t>GOTLANDS LÄN</t>
        </is>
      </c>
      <c r="E233" t="inlineStr">
        <is>
          <t>GOTLAND</t>
        </is>
      </c>
      <c r="F233" t="inlineStr">
        <is>
          <t>Kyrkan</t>
        </is>
      </c>
      <c r="G233" t="n">
        <v>0.9</v>
      </c>
      <c r="H233" t="n">
        <v>0</v>
      </c>
      <c r="I233" t="n">
        <v>0</v>
      </c>
      <c r="J233" t="n">
        <v>0</v>
      </c>
      <c r="K233" t="n">
        <v>0</v>
      </c>
      <c r="L233" t="n">
        <v>0</v>
      </c>
      <c r="M233" t="n">
        <v>0</v>
      </c>
      <c r="N233" t="n">
        <v>0</v>
      </c>
      <c r="O233" t="n">
        <v>0</v>
      </c>
      <c r="P233" t="n">
        <v>0</v>
      </c>
      <c r="Q233" t="n">
        <v>0</v>
      </c>
      <c r="R233" s="2" t="inlineStr"/>
    </row>
    <row r="234" ht="15" customHeight="1">
      <c r="A234" t="inlineStr">
        <is>
          <t>A 30055-2021</t>
        </is>
      </c>
      <c r="B234" s="1" t="n">
        <v>44363</v>
      </c>
      <c r="C234" s="1" t="n">
        <v>45981</v>
      </c>
      <c r="D234" t="inlineStr">
        <is>
          <t>GOTLANDS LÄN</t>
        </is>
      </c>
      <c r="E234" t="inlineStr">
        <is>
          <t>GOTLAND</t>
        </is>
      </c>
      <c r="G234" t="n">
        <v>1.8</v>
      </c>
      <c r="H234" t="n">
        <v>0</v>
      </c>
      <c r="I234" t="n">
        <v>0</v>
      </c>
      <c r="J234" t="n">
        <v>0</v>
      </c>
      <c r="K234" t="n">
        <v>0</v>
      </c>
      <c r="L234" t="n">
        <v>0</v>
      </c>
      <c r="M234" t="n">
        <v>0</v>
      </c>
      <c r="N234" t="n">
        <v>0</v>
      </c>
      <c r="O234" t="n">
        <v>0</v>
      </c>
      <c r="P234" t="n">
        <v>0</v>
      </c>
      <c r="Q234" t="n">
        <v>0</v>
      </c>
      <c r="R234" s="2" t="inlineStr"/>
    </row>
    <row r="235" ht="15" customHeight="1">
      <c r="A235" t="inlineStr">
        <is>
          <t>A 1229-2021</t>
        </is>
      </c>
      <c r="B235" s="1" t="n">
        <v>44208</v>
      </c>
      <c r="C235" s="1" t="n">
        <v>45981</v>
      </c>
      <c r="D235" t="inlineStr">
        <is>
          <t>GOTLANDS LÄN</t>
        </is>
      </c>
      <c r="E235" t="inlineStr">
        <is>
          <t>GOTLAND</t>
        </is>
      </c>
      <c r="G235" t="n">
        <v>5.3</v>
      </c>
      <c r="H235" t="n">
        <v>0</v>
      </c>
      <c r="I235" t="n">
        <v>0</v>
      </c>
      <c r="J235" t="n">
        <v>0</v>
      </c>
      <c r="K235" t="n">
        <v>0</v>
      </c>
      <c r="L235" t="n">
        <v>0</v>
      </c>
      <c r="M235" t="n">
        <v>0</v>
      </c>
      <c r="N235" t="n">
        <v>0</v>
      </c>
      <c r="O235" t="n">
        <v>0</v>
      </c>
      <c r="P235" t="n">
        <v>0</v>
      </c>
      <c r="Q235" t="n">
        <v>0</v>
      </c>
      <c r="R235" s="2" t="inlineStr"/>
    </row>
    <row r="236" ht="15" customHeight="1">
      <c r="A236" t="inlineStr">
        <is>
          <t>A 65393-2021</t>
        </is>
      </c>
      <c r="B236" s="1" t="n">
        <v>44515</v>
      </c>
      <c r="C236" s="1" t="n">
        <v>45981</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62120-2020</t>
        </is>
      </c>
      <c r="B237" s="1" t="n">
        <v>44158</v>
      </c>
      <c r="C237" s="1" t="n">
        <v>45981</v>
      </c>
      <c r="D237" t="inlineStr">
        <is>
          <t>GOTLANDS LÄN</t>
        </is>
      </c>
      <c r="E237" t="inlineStr">
        <is>
          <t>GOTLAND</t>
        </is>
      </c>
      <c r="G237" t="n">
        <v>2.3</v>
      </c>
      <c r="H237" t="n">
        <v>0</v>
      </c>
      <c r="I237" t="n">
        <v>0</v>
      </c>
      <c r="J237" t="n">
        <v>0</v>
      </c>
      <c r="K237" t="n">
        <v>0</v>
      </c>
      <c r="L237" t="n">
        <v>0</v>
      </c>
      <c r="M237" t="n">
        <v>0</v>
      </c>
      <c r="N237" t="n">
        <v>0</v>
      </c>
      <c r="O237" t="n">
        <v>0</v>
      </c>
      <c r="P237" t="n">
        <v>0</v>
      </c>
      <c r="Q237" t="n">
        <v>0</v>
      </c>
      <c r="R237" s="2" t="inlineStr"/>
    </row>
    <row r="238" ht="15" customHeight="1">
      <c r="A238" t="inlineStr">
        <is>
          <t>A 3271-2021</t>
        </is>
      </c>
      <c r="B238" s="1" t="n">
        <v>44217</v>
      </c>
      <c r="C238" s="1" t="n">
        <v>45981</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23910-2021</t>
        </is>
      </c>
      <c r="B239" s="1" t="n">
        <v>44335</v>
      </c>
      <c r="C239" s="1" t="n">
        <v>45981</v>
      </c>
      <c r="D239" t="inlineStr">
        <is>
          <t>GOTLANDS LÄN</t>
        </is>
      </c>
      <c r="E239" t="inlineStr">
        <is>
          <t>GOTLAND</t>
        </is>
      </c>
      <c r="G239" t="n">
        <v>1.5</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45981</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45981</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58476-2022</t>
        </is>
      </c>
      <c r="B242" s="1" t="n">
        <v>44902</v>
      </c>
      <c r="C242" s="1" t="n">
        <v>45981</v>
      </c>
      <c r="D242" t="inlineStr">
        <is>
          <t>GOTLANDS LÄN</t>
        </is>
      </c>
      <c r="E242" t="inlineStr">
        <is>
          <t>GOTLAND</t>
        </is>
      </c>
      <c r="G242" t="n">
        <v>0.9</v>
      </c>
      <c r="H242" t="n">
        <v>0</v>
      </c>
      <c r="I242" t="n">
        <v>0</v>
      </c>
      <c r="J242" t="n">
        <v>0</v>
      </c>
      <c r="K242" t="n">
        <v>0</v>
      </c>
      <c r="L242" t="n">
        <v>0</v>
      </c>
      <c r="M242" t="n">
        <v>0</v>
      </c>
      <c r="N242" t="n">
        <v>0</v>
      </c>
      <c r="O242" t="n">
        <v>0</v>
      </c>
      <c r="P242" t="n">
        <v>0</v>
      </c>
      <c r="Q242" t="n">
        <v>0</v>
      </c>
      <c r="R242" s="2" t="inlineStr"/>
    </row>
    <row r="243" ht="15" customHeight="1">
      <c r="A243" t="inlineStr">
        <is>
          <t>A 17354-2022</t>
        </is>
      </c>
      <c r="B243" s="1" t="n">
        <v>44678</v>
      </c>
      <c r="C243" s="1" t="n">
        <v>45981</v>
      </c>
      <c r="D243" t="inlineStr">
        <is>
          <t>GOTLANDS LÄN</t>
        </is>
      </c>
      <c r="E243" t="inlineStr">
        <is>
          <t>GOTLAND</t>
        </is>
      </c>
      <c r="G243" t="n">
        <v>7.1</v>
      </c>
      <c r="H243" t="n">
        <v>0</v>
      </c>
      <c r="I243" t="n">
        <v>0</v>
      </c>
      <c r="J243" t="n">
        <v>0</v>
      </c>
      <c r="K243" t="n">
        <v>0</v>
      </c>
      <c r="L243" t="n">
        <v>0</v>
      </c>
      <c r="M243" t="n">
        <v>0</v>
      </c>
      <c r="N243" t="n">
        <v>0</v>
      </c>
      <c r="O243" t="n">
        <v>0</v>
      </c>
      <c r="P243" t="n">
        <v>0</v>
      </c>
      <c r="Q243" t="n">
        <v>0</v>
      </c>
      <c r="R243" s="2" t="inlineStr"/>
    </row>
    <row r="244" ht="15" customHeight="1">
      <c r="A244" t="inlineStr">
        <is>
          <t>A 21507-2021</t>
        </is>
      </c>
      <c r="B244" s="1" t="n">
        <v>44321</v>
      </c>
      <c r="C244" s="1" t="n">
        <v>45981</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63229-2021</t>
        </is>
      </c>
      <c r="B245" s="1" t="n">
        <v>44508.34518518519</v>
      </c>
      <c r="C245" s="1" t="n">
        <v>45981</v>
      </c>
      <c r="D245" t="inlineStr">
        <is>
          <t>GOTLANDS LÄN</t>
        </is>
      </c>
      <c r="E245" t="inlineStr">
        <is>
          <t>GOTLAND</t>
        </is>
      </c>
      <c r="F245" t="inlineStr">
        <is>
          <t>Kyrkan</t>
        </is>
      </c>
      <c r="G245" t="n">
        <v>3.8</v>
      </c>
      <c r="H245" t="n">
        <v>0</v>
      </c>
      <c r="I245" t="n">
        <v>0</v>
      </c>
      <c r="J245" t="n">
        <v>0</v>
      </c>
      <c r="K245" t="n">
        <v>0</v>
      </c>
      <c r="L245" t="n">
        <v>0</v>
      </c>
      <c r="M245" t="n">
        <v>0</v>
      </c>
      <c r="N245" t="n">
        <v>0</v>
      </c>
      <c r="O245" t="n">
        <v>0</v>
      </c>
      <c r="P245" t="n">
        <v>0</v>
      </c>
      <c r="Q245" t="n">
        <v>0</v>
      </c>
      <c r="R245" s="2" t="inlineStr"/>
    </row>
    <row r="246" ht="15" customHeight="1">
      <c r="A246" t="inlineStr">
        <is>
          <t>A 61596-2023</t>
        </is>
      </c>
      <c r="B246" s="1" t="n">
        <v>45265</v>
      </c>
      <c r="C246" s="1" t="n">
        <v>45981</v>
      </c>
      <c r="D246" t="inlineStr">
        <is>
          <t>GOTLANDS LÄN</t>
        </is>
      </c>
      <c r="E246" t="inlineStr">
        <is>
          <t>GOTLAND</t>
        </is>
      </c>
      <c r="G246" t="n">
        <v>1.7</v>
      </c>
      <c r="H246" t="n">
        <v>0</v>
      </c>
      <c r="I246" t="n">
        <v>0</v>
      </c>
      <c r="J246" t="n">
        <v>0</v>
      </c>
      <c r="K246" t="n">
        <v>0</v>
      </c>
      <c r="L246" t="n">
        <v>0</v>
      </c>
      <c r="M246" t="n">
        <v>0</v>
      </c>
      <c r="N246" t="n">
        <v>0</v>
      </c>
      <c r="O246" t="n">
        <v>0</v>
      </c>
      <c r="P246" t="n">
        <v>0</v>
      </c>
      <c r="Q246" t="n">
        <v>0</v>
      </c>
      <c r="R246" s="2" t="inlineStr"/>
    </row>
    <row r="247" ht="15" customHeight="1">
      <c r="A247" t="inlineStr">
        <is>
          <t>A 873-2024</t>
        </is>
      </c>
      <c r="B247" s="1" t="n">
        <v>45301</v>
      </c>
      <c r="C247" s="1" t="n">
        <v>45981</v>
      </c>
      <c r="D247" t="inlineStr">
        <is>
          <t>GOTLANDS LÄN</t>
        </is>
      </c>
      <c r="E247" t="inlineStr">
        <is>
          <t>GOTLAND</t>
        </is>
      </c>
      <c r="G247" t="n">
        <v>2.7</v>
      </c>
      <c r="H247" t="n">
        <v>0</v>
      </c>
      <c r="I247" t="n">
        <v>0</v>
      </c>
      <c r="J247" t="n">
        <v>0</v>
      </c>
      <c r="K247" t="n">
        <v>0</v>
      </c>
      <c r="L247" t="n">
        <v>0</v>
      </c>
      <c r="M247" t="n">
        <v>0</v>
      </c>
      <c r="N247" t="n">
        <v>0</v>
      </c>
      <c r="O247" t="n">
        <v>0</v>
      </c>
      <c r="P247" t="n">
        <v>0</v>
      </c>
      <c r="Q247" t="n">
        <v>0</v>
      </c>
      <c r="R247" s="2" t="inlineStr"/>
    </row>
    <row r="248" ht="15" customHeight="1">
      <c r="A248" t="inlineStr">
        <is>
          <t>A 44228-2022</t>
        </is>
      </c>
      <c r="B248" s="1" t="n">
        <v>44839.51599537037</v>
      </c>
      <c r="C248" s="1" t="n">
        <v>45981</v>
      </c>
      <c r="D248" t="inlineStr">
        <is>
          <t>GOTLANDS LÄN</t>
        </is>
      </c>
      <c r="E248" t="inlineStr">
        <is>
          <t>GOTLAND</t>
        </is>
      </c>
      <c r="G248" t="n">
        <v>2.1</v>
      </c>
      <c r="H248" t="n">
        <v>0</v>
      </c>
      <c r="I248" t="n">
        <v>0</v>
      </c>
      <c r="J248" t="n">
        <v>0</v>
      </c>
      <c r="K248" t="n">
        <v>0</v>
      </c>
      <c r="L248" t="n">
        <v>0</v>
      </c>
      <c r="M248" t="n">
        <v>0</v>
      </c>
      <c r="N248" t="n">
        <v>0</v>
      </c>
      <c r="O248" t="n">
        <v>0</v>
      </c>
      <c r="P248" t="n">
        <v>0</v>
      </c>
      <c r="Q248" t="n">
        <v>0</v>
      </c>
      <c r="R248" s="2" t="inlineStr"/>
    </row>
    <row r="249" ht="15" customHeight="1">
      <c r="A249" t="inlineStr">
        <is>
          <t>A 61386-2023</t>
        </is>
      </c>
      <c r="B249" s="1" t="n">
        <v>45264</v>
      </c>
      <c r="C249" s="1" t="n">
        <v>45981</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1066-2024</t>
        </is>
      </c>
      <c r="B250" s="1" t="n">
        <v>45302.285</v>
      </c>
      <c r="C250" s="1" t="n">
        <v>45981</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21164-2024</t>
        </is>
      </c>
      <c r="B251" s="1" t="n">
        <v>45440</v>
      </c>
      <c r="C251" s="1" t="n">
        <v>45981</v>
      </c>
      <c r="D251" t="inlineStr">
        <is>
          <t>GOTLANDS LÄN</t>
        </is>
      </c>
      <c r="E251" t="inlineStr">
        <is>
          <t>GOTLAND</t>
        </is>
      </c>
      <c r="G251" t="n">
        <v>6.3</v>
      </c>
      <c r="H251" t="n">
        <v>0</v>
      </c>
      <c r="I251" t="n">
        <v>0</v>
      </c>
      <c r="J251" t="n">
        <v>0</v>
      </c>
      <c r="K251" t="n">
        <v>0</v>
      </c>
      <c r="L251" t="n">
        <v>0</v>
      </c>
      <c r="M251" t="n">
        <v>0</v>
      </c>
      <c r="N251" t="n">
        <v>0</v>
      </c>
      <c r="O251" t="n">
        <v>0</v>
      </c>
      <c r="P251" t="n">
        <v>0</v>
      </c>
      <c r="Q251" t="n">
        <v>0</v>
      </c>
      <c r="R251" s="2" t="inlineStr"/>
    </row>
    <row r="252" ht="15" customHeight="1">
      <c r="A252" t="inlineStr">
        <is>
          <t>A 17541-2024</t>
        </is>
      </c>
      <c r="B252" s="1" t="n">
        <v>45415</v>
      </c>
      <c r="C252" s="1" t="n">
        <v>45981</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883-2025</t>
        </is>
      </c>
      <c r="B253" s="1" t="n">
        <v>45665</v>
      </c>
      <c r="C253" s="1" t="n">
        <v>45981</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13910-2025</t>
        </is>
      </c>
      <c r="B254" s="1" t="n">
        <v>45737</v>
      </c>
      <c r="C254" s="1" t="n">
        <v>45981</v>
      </c>
      <c r="D254" t="inlineStr">
        <is>
          <t>GOTLANDS LÄN</t>
        </is>
      </c>
      <c r="E254" t="inlineStr">
        <is>
          <t>GOTLAND</t>
        </is>
      </c>
      <c r="F254" t="inlineStr">
        <is>
          <t>Kommuner</t>
        </is>
      </c>
      <c r="G254" t="n">
        <v>3.2</v>
      </c>
      <c r="H254" t="n">
        <v>0</v>
      </c>
      <c r="I254" t="n">
        <v>0</v>
      </c>
      <c r="J254" t="n">
        <v>0</v>
      </c>
      <c r="K254" t="n">
        <v>0</v>
      </c>
      <c r="L254" t="n">
        <v>0</v>
      </c>
      <c r="M254" t="n">
        <v>0</v>
      </c>
      <c r="N254" t="n">
        <v>0</v>
      </c>
      <c r="O254" t="n">
        <v>0</v>
      </c>
      <c r="P254" t="n">
        <v>0</v>
      </c>
      <c r="Q254" t="n">
        <v>0</v>
      </c>
      <c r="R254" s="2" t="inlineStr"/>
    </row>
    <row r="255" ht="15" customHeight="1">
      <c r="A255" t="inlineStr">
        <is>
          <t>A 37202-2024</t>
        </is>
      </c>
      <c r="B255" s="1" t="n">
        <v>45539.67310185185</v>
      </c>
      <c r="C255" s="1" t="n">
        <v>45981</v>
      </c>
      <c r="D255" t="inlineStr">
        <is>
          <t>GOTLANDS LÄN</t>
        </is>
      </c>
      <c r="E255" t="inlineStr">
        <is>
          <t>GOTLAND</t>
        </is>
      </c>
      <c r="G255" t="n">
        <v>0.3</v>
      </c>
      <c r="H255" t="n">
        <v>0</v>
      </c>
      <c r="I255" t="n">
        <v>0</v>
      </c>
      <c r="J255" t="n">
        <v>0</v>
      </c>
      <c r="K255" t="n">
        <v>0</v>
      </c>
      <c r="L255" t="n">
        <v>0</v>
      </c>
      <c r="M255" t="n">
        <v>0</v>
      </c>
      <c r="N255" t="n">
        <v>0</v>
      </c>
      <c r="O255" t="n">
        <v>0</v>
      </c>
      <c r="P255" t="n">
        <v>0</v>
      </c>
      <c r="Q255" t="n">
        <v>0</v>
      </c>
      <c r="R255" s="2" t="inlineStr"/>
    </row>
    <row r="256" ht="15" customHeight="1">
      <c r="A256" t="inlineStr">
        <is>
          <t>A 27593-2023</t>
        </is>
      </c>
      <c r="B256" s="1" t="n">
        <v>45097</v>
      </c>
      <c r="C256" s="1" t="n">
        <v>45981</v>
      </c>
      <c r="D256" t="inlineStr">
        <is>
          <t>GOTLANDS LÄN</t>
        </is>
      </c>
      <c r="E256" t="inlineStr">
        <is>
          <t>GOTLAND</t>
        </is>
      </c>
      <c r="G256" t="n">
        <v>3.1</v>
      </c>
      <c r="H256" t="n">
        <v>0</v>
      </c>
      <c r="I256" t="n">
        <v>0</v>
      </c>
      <c r="J256" t="n">
        <v>0</v>
      </c>
      <c r="K256" t="n">
        <v>0</v>
      </c>
      <c r="L256" t="n">
        <v>0</v>
      </c>
      <c r="M256" t="n">
        <v>0</v>
      </c>
      <c r="N256" t="n">
        <v>0</v>
      </c>
      <c r="O256" t="n">
        <v>0</v>
      </c>
      <c r="P256" t="n">
        <v>0</v>
      </c>
      <c r="Q256" t="n">
        <v>0</v>
      </c>
      <c r="R256" s="2" t="inlineStr"/>
    </row>
    <row r="257" ht="15" customHeight="1">
      <c r="A257" t="inlineStr">
        <is>
          <t>A 12599-2025</t>
        </is>
      </c>
      <c r="B257" s="1" t="n">
        <v>45733.29546296296</v>
      </c>
      <c r="C257" s="1" t="n">
        <v>45981</v>
      </c>
      <c r="D257" t="inlineStr">
        <is>
          <t>GOTLANDS LÄN</t>
        </is>
      </c>
      <c r="E257" t="inlineStr">
        <is>
          <t>GOTLAND</t>
        </is>
      </c>
      <c r="G257" t="n">
        <v>4.7</v>
      </c>
      <c r="H257" t="n">
        <v>0</v>
      </c>
      <c r="I257" t="n">
        <v>0</v>
      </c>
      <c r="J257" t="n">
        <v>0</v>
      </c>
      <c r="K257" t="n">
        <v>0</v>
      </c>
      <c r="L257" t="n">
        <v>0</v>
      </c>
      <c r="M257" t="n">
        <v>0</v>
      </c>
      <c r="N257" t="n">
        <v>0</v>
      </c>
      <c r="O257" t="n">
        <v>0</v>
      </c>
      <c r="P257" t="n">
        <v>0</v>
      </c>
      <c r="Q257" t="n">
        <v>0</v>
      </c>
      <c r="R257" s="2" t="inlineStr"/>
    </row>
    <row r="258" ht="15" customHeight="1">
      <c r="A258" t="inlineStr">
        <is>
          <t>A 25129-2023</t>
        </is>
      </c>
      <c r="B258" s="1" t="n">
        <v>45086.44261574074</v>
      </c>
      <c r="C258" s="1" t="n">
        <v>45981</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20794-2025</t>
        </is>
      </c>
      <c r="B259" s="1" t="n">
        <v>45776</v>
      </c>
      <c r="C259" s="1" t="n">
        <v>45981</v>
      </c>
      <c r="D259" t="inlineStr">
        <is>
          <t>GOTLANDS LÄN</t>
        </is>
      </c>
      <c r="E259" t="inlineStr">
        <is>
          <t>GOTLAND</t>
        </is>
      </c>
      <c r="G259" t="n">
        <v>6</v>
      </c>
      <c r="H259" t="n">
        <v>0</v>
      </c>
      <c r="I259" t="n">
        <v>0</v>
      </c>
      <c r="J259" t="n">
        <v>0</v>
      </c>
      <c r="K259" t="n">
        <v>0</v>
      </c>
      <c r="L259" t="n">
        <v>0</v>
      </c>
      <c r="M259" t="n">
        <v>0</v>
      </c>
      <c r="N259" t="n">
        <v>0</v>
      </c>
      <c r="O259" t="n">
        <v>0</v>
      </c>
      <c r="P259" t="n">
        <v>0</v>
      </c>
      <c r="Q259" t="n">
        <v>0</v>
      </c>
      <c r="R259" s="2" t="inlineStr"/>
    </row>
    <row r="260" ht="15" customHeight="1">
      <c r="A260" t="inlineStr">
        <is>
          <t>A 20805-2025</t>
        </is>
      </c>
      <c r="B260" s="1" t="n">
        <v>45776</v>
      </c>
      <c r="C260" s="1" t="n">
        <v>45981</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30815-2023</t>
        </is>
      </c>
      <c r="B261" s="1" t="n">
        <v>45112</v>
      </c>
      <c r="C261" s="1" t="n">
        <v>45981</v>
      </c>
      <c r="D261" t="inlineStr">
        <is>
          <t>GOTLANDS LÄN</t>
        </is>
      </c>
      <c r="E261" t="inlineStr">
        <is>
          <t>GOTLAND</t>
        </is>
      </c>
      <c r="G261" t="n">
        <v>6</v>
      </c>
      <c r="H261" t="n">
        <v>0</v>
      </c>
      <c r="I261" t="n">
        <v>0</v>
      </c>
      <c r="J261" t="n">
        <v>0</v>
      </c>
      <c r="K261" t="n">
        <v>0</v>
      </c>
      <c r="L261" t="n">
        <v>0</v>
      </c>
      <c r="M261" t="n">
        <v>0</v>
      </c>
      <c r="N261" t="n">
        <v>0</v>
      </c>
      <c r="O261" t="n">
        <v>0</v>
      </c>
      <c r="P261" t="n">
        <v>0</v>
      </c>
      <c r="Q261" t="n">
        <v>0</v>
      </c>
      <c r="R261" s="2" t="inlineStr"/>
    </row>
    <row r="262" ht="15" customHeight="1">
      <c r="A262" t="inlineStr">
        <is>
          <t>A 21389-2025</t>
        </is>
      </c>
      <c r="B262" s="1" t="n">
        <v>45782</v>
      </c>
      <c r="C262" s="1" t="n">
        <v>45981</v>
      </c>
      <c r="D262" t="inlineStr">
        <is>
          <t>GOTLANDS LÄN</t>
        </is>
      </c>
      <c r="E262" t="inlineStr">
        <is>
          <t>GOTLAND</t>
        </is>
      </c>
      <c r="G262" t="n">
        <v>4.1</v>
      </c>
      <c r="H262" t="n">
        <v>0</v>
      </c>
      <c r="I262" t="n">
        <v>0</v>
      </c>
      <c r="J262" t="n">
        <v>0</v>
      </c>
      <c r="K262" t="n">
        <v>0</v>
      </c>
      <c r="L262" t="n">
        <v>0</v>
      </c>
      <c r="M262" t="n">
        <v>0</v>
      </c>
      <c r="N262" t="n">
        <v>0</v>
      </c>
      <c r="O262" t="n">
        <v>0</v>
      </c>
      <c r="P262" t="n">
        <v>0</v>
      </c>
      <c r="Q262" t="n">
        <v>0</v>
      </c>
      <c r="R262" s="2" t="inlineStr"/>
    </row>
    <row r="263" ht="15" customHeight="1">
      <c r="A263" t="inlineStr">
        <is>
          <t>A 46400-2023</t>
        </is>
      </c>
      <c r="B263" s="1" t="n">
        <v>45197.49290509259</v>
      </c>
      <c r="C263" s="1" t="n">
        <v>45981</v>
      </c>
      <c r="D263" t="inlineStr">
        <is>
          <t>GOTLANDS LÄN</t>
        </is>
      </c>
      <c r="E263" t="inlineStr">
        <is>
          <t>GOTLAND</t>
        </is>
      </c>
      <c r="G263" t="n">
        <v>0.8</v>
      </c>
      <c r="H263" t="n">
        <v>0</v>
      </c>
      <c r="I263" t="n">
        <v>0</v>
      </c>
      <c r="J263" t="n">
        <v>0</v>
      </c>
      <c r="K263" t="n">
        <v>0</v>
      </c>
      <c r="L263" t="n">
        <v>0</v>
      </c>
      <c r="M263" t="n">
        <v>0</v>
      </c>
      <c r="N263" t="n">
        <v>0</v>
      </c>
      <c r="O263" t="n">
        <v>0</v>
      </c>
      <c r="P263" t="n">
        <v>0</v>
      </c>
      <c r="Q263" t="n">
        <v>0</v>
      </c>
      <c r="R263" s="2" t="inlineStr"/>
    </row>
    <row r="264" ht="15" customHeight="1">
      <c r="A264" t="inlineStr">
        <is>
          <t>A 10492-2023</t>
        </is>
      </c>
      <c r="B264" s="1" t="n">
        <v>44987</v>
      </c>
      <c r="C264" s="1" t="n">
        <v>45981</v>
      </c>
      <c r="D264" t="inlineStr">
        <is>
          <t>GOTLANDS LÄN</t>
        </is>
      </c>
      <c r="E264" t="inlineStr">
        <is>
          <t>GOTLAND</t>
        </is>
      </c>
      <c r="G264" t="n">
        <v>1</v>
      </c>
      <c r="H264" t="n">
        <v>0</v>
      </c>
      <c r="I264" t="n">
        <v>0</v>
      </c>
      <c r="J264" t="n">
        <v>0</v>
      </c>
      <c r="K264" t="n">
        <v>0</v>
      </c>
      <c r="L264" t="n">
        <v>0</v>
      </c>
      <c r="M264" t="n">
        <v>0</v>
      </c>
      <c r="N264" t="n">
        <v>0</v>
      </c>
      <c r="O264" t="n">
        <v>0</v>
      </c>
      <c r="P264" t="n">
        <v>0</v>
      </c>
      <c r="Q264" t="n">
        <v>0</v>
      </c>
      <c r="R264" s="2" t="inlineStr"/>
    </row>
    <row r="265" ht="15" customHeight="1">
      <c r="A265" t="inlineStr">
        <is>
          <t>A 20356-2022</t>
        </is>
      </c>
      <c r="B265" s="1" t="n">
        <v>44699</v>
      </c>
      <c r="C265" s="1" t="n">
        <v>45981</v>
      </c>
      <c r="D265" t="inlineStr">
        <is>
          <t>GOTLANDS LÄN</t>
        </is>
      </c>
      <c r="E265" t="inlineStr">
        <is>
          <t>GOTLAND</t>
        </is>
      </c>
      <c r="F265" t="inlineStr">
        <is>
          <t>Övriga Aktiebolag</t>
        </is>
      </c>
      <c r="G265" t="n">
        <v>4.4</v>
      </c>
      <c r="H265" t="n">
        <v>0</v>
      </c>
      <c r="I265" t="n">
        <v>0</v>
      </c>
      <c r="J265" t="n">
        <v>0</v>
      </c>
      <c r="K265" t="n">
        <v>0</v>
      </c>
      <c r="L265" t="n">
        <v>0</v>
      </c>
      <c r="M265" t="n">
        <v>0</v>
      </c>
      <c r="N265" t="n">
        <v>0</v>
      </c>
      <c r="O265" t="n">
        <v>0</v>
      </c>
      <c r="P265" t="n">
        <v>0</v>
      </c>
      <c r="Q265" t="n">
        <v>0</v>
      </c>
      <c r="R265" s="2" t="inlineStr"/>
    </row>
    <row r="266" ht="15" customHeight="1">
      <c r="A266" t="inlineStr">
        <is>
          <t>A 2292-2021</t>
        </is>
      </c>
      <c r="B266" s="1" t="n">
        <v>44212</v>
      </c>
      <c r="C266" s="1" t="n">
        <v>45981</v>
      </c>
      <c r="D266" t="inlineStr">
        <is>
          <t>GOTLANDS LÄN</t>
        </is>
      </c>
      <c r="E266" t="inlineStr">
        <is>
          <t>GOTLAND</t>
        </is>
      </c>
      <c r="G266" t="n">
        <v>3</v>
      </c>
      <c r="H266" t="n">
        <v>0</v>
      </c>
      <c r="I266" t="n">
        <v>0</v>
      </c>
      <c r="J266" t="n">
        <v>0</v>
      </c>
      <c r="K266" t="n">
        <v>0</v>
      </c>
      <c r="L266" t="n">
        <v>0</v>
      </c>
      <c r="M266" t="n">
        <v>0</v>
      </c>
      <c r="N266" t="n">
        <v>0</v>
      </c>
      <c r="O266" t="n">
        <v>0</v>
      </c>
      <c r="P266" t="n">
        <v>0</v>
      </c>
      <c r="Q266" t="n">
        <v>0</v>
      </c>
      <c r="R266" s="2" t="inlineStr"/>
    </row>
    <row r="267" ht="15" customHeight="1">
      <c r="A267" t="inlineStr">
        <is>
          <t>A 44919-2022</t>
        </is>
      </c>
      <c r="B267" s="1" t="n">
        <v>44841</v>
      </c>
      <c r="C267" s="1" t="n">
        <v>45981</v>
      </c>
      <c r="D267" t="inlineStr">
        <is>
          <t>GOTLANDS LÄN</t>
        </is>
      </c>
      <c r="E267" t="inlineStr">
        <is>
          <t>GOTLAND</t>
        </is>
      </c>
      <c r="G267" t="n">
        <v>2.2</v>
      </c>
      <c r="H267" t="n">
        <v>0</v>
      </c>
      <c r="I267" t="n">
        <v>0</v>
      </c>
      <c r="J267" t="n">
        <v>0</v>
      </c>
      <c r="K267" t="n">
        <v>0</v>
      </c>
      <c r="L267" t="n">
        <v>0</v>
      </c>
      <c r="M267" t="n">
        <v>0</v>
      </c>
      <c r="N267" t="n">
        <v>0</v>
      </c>
      <c r="O267" t="n">
        <v>0</v>
      </c>
      <c r="P267" t="n">
        <v>0</v>
      </c>
      <c r="Q267" t="n">
        <v>0</v>
      </c>
      <c r="R267" s="2" t="inlineStr"/>
    </row>
    <row r="268" ht="15" customHeight="1">
      <c r="A268" t="inlineStr">
        <is>
          <t>A 35142-2025</t>
        </is>
      </c>
      <c r="B268" s="1" t="n">
        <v>45852.65532407408</v>
      </c>
      <c r="C268" s="1" t="n">
        <v>45981</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16501-2023</t>
        </is>
      </c>
      <c r="B269" s="1" t="n">
        <v>45029</v>
      </c>
      <c r="C269" s="1" t="n">
        <v>45981</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35141-2025</t>
        </is>
      </c>
      <c r="B270" s="1" t="n">
        <v>45852.65206018519</v>
      </c>
      <c r="C270" s="1" t="n">
        <v>45981</v>
      </c>
      <c r="D270" t="inlineStr">
        <is>
          <t>GOTLANDS LÄN</t>
        </is>
      </c>
      <c r="E270" t="inlineStr">
        <is>
          <t>GOTLAND</t>
        </is>
      </c>
      <c r="G270" t="n">
        <v>1</v>
      </c>
      <c r="H270" t="n">
        <v>0</v>
      </c>
      <c r="I270" t="n">
        <v>0</v>
      </c>
      <c r="J270" t="n">
        <v>0</v>
      </c>
      <c r="K270" t="n">
        <v>0</v>
      </c>
      <c r="L270" t="n">
        <v>0</v>
      </c>
      <c r="M270" t="n">
        <v>0</v>
      </c>
      <c r="N270" t="n">
        <v>0</v>
      </c>
      <c r="O270" t="n">
        <v>0</v>
      </c>
      <c r="P270" t="n">
        <v>0</v>
      </c>
      <c r="Q270" t="n">
        <v>0</v>
      </c>
      <c r="R270" s="2" t="inlineStr"/>
    </row>
    <row r="271" ht="15" customHeight="1">
      <c r="A271" t="inlineStr">
        <is>
          <t>A 27095-2022</t>
        </is>
      </c>
      <c r="B271" s="1" t="n">
        <v>44741</v>
      </c>
      <c r="C271" s="1" t="n">
        <v>45981</v>
      </c>
      <c r="D271" t="inlineStr">
        <is>
          <t>GOTLANDS LÄN</t>
        </is>
      </c>
      <c r="E271" t="inlineStr">
        <is>
          <t>GOTLAND</t>
        </is>
      </c>
      <c r="F271" t="inlineStr">
        <is>
          <t>Övriga Aktiebolag</t>
        </is>
      </c>
      <c r="G271" t="n">
        <v>2.9</v>
      </c>
      <c r="H271" t="n">
        <v>0</v>
      </c>
      <c r="I271" t="n">
        <v>0</v>
      </c>
      <c r="J271" t="n">
        <v>0</v>
      </c>
      <c r="K271" t="n">
        <v>0</v>
      </c>
      <c r="L271" t="n">
        <v>0</v>
      </c>
      <c r="M271" t="n">
        <v>0</v>
      </c>
      <c r="N271" t="n">
        <v>0</v>
      </c>
      <c r="O271" t="n">
        <v>0</v>
      </c>
      <c r="P271" t="n">
        <v>0</v>
      </c>
      <c r="Q271" t="n">
        <v>0</v>
      </c>
      <c r="R271" s="2" t="inlineStr"/>
    </row>
    <row r="272" ht="15" customHeight="1">
      <c r="A272" t="inlineStr">
        <is>
          <t>A 458-2023</t>
        </is>
      </c>
      <c r="B272" s="1" t="n">
        <v>44929</v>
      </c>
      <c r="C272" s="1" t="n">
        <v>45981</v>
      </c>
      <c r="D272" t="inlineStr">
        <is>
          <t>GOTLANDS LÄN</t>
        </is>
      </c>
      <c r="E272" t="inlineStr">
        <is>
          <t>GOTLAND</t>
        </is>
      </c>
      <c r="G272" t="n">
        <v>3.6</v>
      </c>
      <c r="H272" t="n">
        <v>0</v>
      </c>
      <c r="I272" t="n">
        <v>0</v>
      </c>
      <c r="J272" t="n">
        <v>0</v>
      </c>
      <c r="K272" t="n">
        <v>0</v>
      </c>
      <c r="L272" t="n">
        <v>0</v>
      </c>
      <c r="M272" t="n">
        <v>0</v>
      </c>
      <c r="N272" t="n">
        <v>0</v>
      </c>
      <c r="O272" t="n">
        <v>0</v>
      </c>
      <c r="P272" t="n">
        <v>0</v>
      </c>
      <c r="Q272" t="n">
        <v>0</v>
      </c>
      <c r="R272" s="2" t="inlineStr"/>
    </row>
    <row r="273" ht="15" customHeight="1">
      <c r="A273" t="inlineStr">
        <is>
          <t>A 56009-2024</t>
        </is>
      </c>
      <c r="B273" s="1" t="n">
        <v>45623.80864583333</v>
      </c>
      <c r="C273" s="1" t="n">
        <v>45981</v>
      </c>
      <c r="D273" t="inlineStr">
        <is>
          <t>GOTLANDS LÄN</t>
        </is>
      </c>
      <c r="E273" t="inlineStr">
        <is>
          <t>GOTLAND</t>
        </is>
      </c>
      <c r="G273" t="n">
        <v>2.8</v>
      </c>
      <c r="H273" t="n">
        <v>0</v>
      </c>
      <c r="I273" t="n">
        <v>0</v>
      </c>
      <c r="J273" t="n">
        <v>0</v>
      </c>
      <c r="K273" t="n">
        <v>0</v>
      </c>
      <c r="L273" t="n">
        <v>0</v>
      </c>
      <c r="M273" t="n">
        <v>0</v>
      </c>
      <c r="N273" t="n">
        <v>0</v>
      </c>
      <c r="O273" t="n">
        <v>0</v>
      </c>
      <c r="P273" t="n">
        <v>0</v>
      </c>
      <c r="Q273" t="n">
        <v>0</v>
      </c>
      <c r="R273" s="2" t="inlineStr"/>
    </row>
    <row r="274" ht="15" customHeight="1">
      <c r="A274" t="inlineStr">
        <is>
          <t>A 1291-2023</t>
        </is>
      </c>
      <c r="B274" s="1" t="n">
        <v>44936.47561342592</v>
      </c>
      <c r="C274" s="1" t="n">
        <v>45981</v>
      </c>
      <c r="D274" t="inlineStr">
        <is>
          <t>GOTLANDS LÄN</t>
        </is>
      </c>
      <c r="E274" t="inlineStr">
        <is>
          <t>GOTLAND</t>
        </is>
      </c>
      <c r="G274" t="n">
        <v>7.4</v>
      </c>
      <c r="H274" t="n">
        <v>0</v>
      </c>
      <c r="I274" t="n">
        <v>0</v>
      </c>
      <c r="J274" t="n">
        <v>0</v>
      </c>
      <c r="K274" t="n">
        <v>0</v>
      </c>
      <c r="L274" t="n">
        <v>0</v>
      </c>
      <c r="M274" t="n">
        <v>0</v>
      </c>
      <c r="N274" t="n">
        <v>0</v>
      </c>
      <c r="O274" t="n">
        <v>0</v>
      </c>
      <c r="P274" t="n">
        <v>0</v>
      </c>
      <c r="Q274" t="n">
        <v>0</v>
      </c>
      <c r="R274" s="2" t="inlineStr"/>
    </row>
    <row r="275" ht="15" customHeight="1">
      <c r="A275" t="inlineStr">
        <is>
          <t>A 54073-2022</t>
        </is>
      </c>
      <c r="B275" s="1" t="n">
        <v>44881.50380787037</v>
      </c>
      <c r="C275" s="1" t="n">
        <v>45981</v>
      </c>
      <c r="D275" t="inlineStr">
        <is>
          <t>GOTLANDS LÄN</t>
        </is>
      </c>
      <c r="E275" t="inlineStr">
        <is>
          <t>GOTLAND</t>
        </is>
      </c>
      <c r="G275" t="n">
        <v>3.8</v>
      </c>
      <c r="H275" t="n">
        <v>0</v>
      </c>
      <c r="I275" t="n">
        <v>0</v>
      </c>
      <c r="J275" t="n">
        <v>0</v>
      </c>
      <c r="K275" t="n">
        <v>0</v>
      </c>
      <c r="L275" t="n">
        <v>0</v>
      </c>
      <c r="M275" t="n">
        <v>0</v>
      </c>
      <c r="N275" t="n">
        <v>0</v>
      </c>
      <c r="O275" t="n">
        <v>0</v>
      </c>
      <c r="P275" t="n">
        <v>0</v>
      </c>
      <c r="Q275" t="n">
        <v>0</v>
      </c>
      <c r="R275" s="2" t="inlineStr"/>
    </row>
    <row r="276" ht="15" customHeight="1">
      <c r="A276" t="inlineStr">
        <is>
          <t>A 3964-2024</t>
        </is>
      </c>
      <c r="B276" s="1" t="n">
        <v>45322</v>
      </c>
      <c r="C276" s="1" t="n">
        <v>45981</v>
      </c>
      <c r="D276" t="inlineStr">
        <is>
          <t>GOTLANDS LÄN</t>
        </is>
      </c>
      <c r="E276" t="inlineStr">
        <is>
          <t>GOTLAND</t>
        </is>
      </c>
      <c r="G276" t="n">
        <v>1.4</v>
      </c>
      <c r="H276" t="n">
        <v>0</v>
      </c>
      <c r="I276" t="n">
        <v>0</v>
      </c>
      <c r="J276" t="n">
        <v>0</v>
      </c>
      <c r="K276" t="n">
        <v>0</v>
      </c>
      <c r="L276" t="n">
        <v>0</v>
      </c>
      <c r="M276" t="n">
        <v>0</v>
      </c>
      <c r="N276" t="n">
        <v>0</v>
      </c>
      <c r="O276" t="n">
        <v>0</v>
      </c>
      <c r="P276" t="n">
        <v>0</v>
      </c>
      <c r="Q276" t="n">
        <v>0</v>
      </c>
      <c r="R276" s="2" t="inlineStr"/>
    </row>
    <row r="277" ht="15" customHeight="1">
      <c r="A277" t="inlineStr">
        <is>
          <t>A 32330-2024</t>
        </is>
      </c>
      <c r="B277" s="1" t="n">
        <v>45512</v>
      </c>
      <c r="C277" s="1" t="n">
        <v>45981</v>
      </c>
      <c r="D277" t="inlineStr">
        <is>
          <t>GOTLANDS LÄN</t>
        </is>
      </c>
      <c r="E277" t="inlineStr">
        <is>
          <t>GOTLAND</t>
        </is>
      </c>
      <c r="G277" t="n">
        <v>2.6</v>
      </c>
      <c r="H277" t="n">
        <v>0</v>
      </c>
      <c r="I277" t="n">
        <v>0</v>
      </c>
      <c r="J277" t="n">
        <v>0</v>
      </c>
      <c r="K277" t="n">
        <v>0</v>
      </c>
      <c r="L277" t="n">
        <v>0</v>
      </c>
      <c r="M277" t="n">
        <v>0</v>
      </c>
      <c r="N277" t="n">
        <v>0</v>
      </c>
      <c r="O277" t="n">
        <v>0</v>
      </c>
      <c r="P277" t="n">
        <v>0</v>
      </c>
      <c r="Q277" t="n">
        <v>0</v>
      </c>
      <c r="R277" s="2" t="inlineStr"/>
    </row>
    <row r="278" ht="15" customHeight="1">
      <c r="A278" t="inlineStr">
        <is>
          <t>A 45106-2024</t>
        </is>
      </c>
      <c r="B278" s="1" t="n">
        <v>45575</v>
      </c>
      <c r="C278" s="1" t="n">
        <v>45981</v>
      </c>
      <c r="D278" t="inlineStr">
        <is>
          <t>GOTLANDS LÄN</t>
        </is>
      </c>
      <c r="E278" t="inlineStr">
        <is>
          <t>GOTLAND</t>
        </is>
      </c>
      <c r="G278" t="n">
        <v>10</v>
      </c>
      <c r="H278" t="n">
        <v>0</v>
      </c>
      <c r="I278" t="n">
        <v>0</v>
      </c>
      <c r="J278" t="n">
        <v>0</v>
      </c>
      <c r="K278" t="n">
        <v>0</v>
      </c>
      <c r="L278" t="n">
        <v>0</v>
      </c>
      <c r="M278" t="n">
        <v>0</v>
      </c>
      <c r="N278" t="n">
        <v>0</v>
      </c>
      <c r="O278" t="n">
        <v>0</v>
      </c>
      <c r="P278" t="n">
        <v>0</v>
      </c>
      <c r="Q278" t="n">
        <v>0</v>
      </c>
      <c r="R278" s="2" t="inlineStr"/>
    </row>
    <row r="279" ht="15" customHeight="1">
      <c r="A279" t="inlineStr">
        <is>
          <t>A 45112-2024</t>
        </is>
      </c>
      <c r="B279" s="1" t="n">
        <v>45575</v>
      </c>
      <c r="C279" s="1" t="n">
        <v>45981</v>
      </c>
      <c r="D279" t="inlineStr">
        <is>
          <t>GOTLANDS LÄN</t>
        </is>
      </c>
      <c r="E279" t="inlineStr">
        <is>
          <t>GOTLAND</t>
        </is>
      </c>
      <c r="G279" t="n">
        <v>5.1</v>
      </c>
      <c r="H279" t="n">
        <v>0</v>
      </c>
      <c r="I279" t="n">
        <v>0</v>
      </c>
      <c r="J279" t="n">
        <v>0</v>
      </c>
      <c r="K279" t="n">
        <v>0</v>
      </c>
      <c r="L279" t="n">
        <v>0</v>
      </c>
      <c r="M279" t="n">
        <v>0</v>
      </c>
      <c r="N279" t="n">
        <v>0</v>
      </c>
      <c r="O279" t="n">
        <v>0</v>
      </c>
      <c r="P279" t="n">
        <v>0</v>
      </c>
      <c r="Q279" t="n">
        <v>0</v>
      </c>
      <c r="R279" s="2" t="inlineStr"/>
    </row>
    <row r="280" ht="15" customHeight="1">
      <c r="A280" t="inlineStr">
        <is>
          <t>A 5891-2025</t>
        </is>
      </c>
      <c r="B280" s="1" t="n">
        <v>45695.38327546296</v>
      </c>
      <c r="C280" s="1" t="n">
        <v>45981</v>
      </c>
      <c r="D280" t="inlineStr">
        <is>
          <t>GOTLANDS LÄN</t>
        </is>
      </c>
      <c r="E280" t="inlineStr">
        <is>
          <t>GOTLAND</t>
        </is>
      </c>
      <c r="G280" t="n">
        <v>0.8</v>
      </c>
      <c r="H280" t="n">
        <v>0</v>
      </c>
      <c r="I280" t="n">
        <v>0</v>
      </c>
      <c r="J280" t="n">
        <v>0</v>
      </c>
      <c r="K280" t="n">
        <v>0</v>
      </c>
      <c r="L280" t="n">
        <v>0</v>
      </c>
      <c r="M280" t="n">
        <v>0</v>
      </c>
      <c r="N280" t="n">
        <v>0</v>
      </c>
      <c r="O280" t="n">
        <v>0</v>
      </c>
      <c r="P280" t="n">
        <v>0</v>
      </c>
      <c r="Q280" t="n">
        <v>0</v>
      </c>
      <c r="R280" s="2" t="inlineStr"/>
    </row>
    <row r="281" ht="15" customHeight="1">
      <c r="A281" t="inlineStr">
        <is>
          <t>A 21651-2025</t>
        </is>
      </c>
      <c r="B281" s="1" t="n">
        <v>45783</v>
      </c>
      <c r="C281" s="1" t="n">
        <v>45981</v>
      </c>
      <c r="D281" t="inlineStr">
        <is>
          <t>GOTLANDS LÄN</t>
        </is>
      </c>
      <c r="E281" t="inlineStr">
        <is>
          <t>GOTLAND</t>
        </is>
      </c>
      <c r="G281" t="n">
        <v>4.2</v>
      </c>
      <c r="H281" t="n">
        <v>0</v>
      </c>
      <c r="I281" t="n">
        <v>0</v>
      </c>
      <c r="J281" t="n">
        <v>0</v>
      </c>
      <c r="K281" t="n">
        <v>0</v>
      </c>
      <c r="L281" t="n">
        <v>0</v>
      </c>
      <c r="M281" t="n">
        <v>0</v>
      </c>
      <c r="N281" t="n">
        <v>0</v>
      </c>
      <c r="O281" t="n">
        <v>0</v>
      </c>
      <c r="P281" t="n">
        <v>0</v>
      </c>
      <c r="Q281" t="n">
        <v>0</v>
      </c>
      <c r="R281" s="2" t="inlineStr"/>
    </row>
    <row r="282" ht="15" customHeight="1">
      <c r="A282" t="inlineStr">
        <is>
          <t>A 14804-2021</t>
        </is>
      </c>
      <c r="B282" s="1" t="n">
        <v>44280</v>
      </c>
      <c r="C282" s="1" t="n">
        <v>45981</v>
      </c>
      <c r="D282" t="inlineStr">
        <is>
          <t>GOTLANDS LÄN</t>
        </is>
      </c>
      <c r="E282" t="inlineStr">
        <is>
          <t>GOTLAND</t>
        </is>
      </c>
      <c r="G282" t="n">
        <v>2.2</v>
      </c>
      <c r="H282" t="n">
        <v>0</v>
      </c>
      <c r="I282" t="n">
        <v>0</v>
      </c>
      <c r="J282" t="n">
        <v>0</v>
      </c>
      <c r="K282" t="n">
        <v>0</v>
      </c>
      <c r="L282" t="n">
        <v>0</v>
      </c>
      <c r="M282" t="n">
        <v>0</v>
      </c>
      <c r="N282" t="n">
        <v>0</v>
      </c>
      <c r="O282" t="n">
        <v>0</v>
      </c>
      <c r="P282" t="n">
        <v>0</v>
      </c>
      <c r="Q282" t="n">
        <v>0</v>
      </c>
      <c r="R282" s="2" t="inlineStr"/>
    </row>
    <row r="283" ht="15" customHeight="1">
      <c r="A283" t="inlineStr">
        <is>
          <t>A 7026-2023</t>
        </is>
      </c>
      <c r="B283" s="1" t="n">
        <v>44968.30340277778</v>
      </c>
      <c r="C283" s="1" t="n">
        <v>45981</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39849-2025</t>
        </is>
      </c>
      <c r="B284" s="1" t="n">
        <v>45891.58502314815</v>
      </c>
      <c r="C284" s="1" t="n">
        <v>45981</v>
      </c>
      <c r="D284" t="inlineStr">
        <is>
          <t>GOTLANDS LÄN</t>
        </is>
      </c>
      <c r="E284" t="inlineStr">
        <is>
          <t>GOTLAND</t>
        </is>
      </c>
      <c r="G284" t="n">
        <v>6.1</v>
      </c>
      <c r="H284" t="n">
        <v>0</v>
      </c>
      <c r="I284" t="n">
        <v>0</v>
      </c>
      <c r="J284" t="n">
        <v>0</v>
      </c>
      <c r="K284" t="n">
        <v>0</v>
      </c>
      <c r="L284" t="n">
        <v>0</v>
      </c>
      <c r="M284" t="n">
        <v>0</v>
      </c>
      <c r="N284" t="n">
        <v>0</v>
      </c>
      <c r="O284" t="n">
        <v>0</v>
      </c>
      <c r="P284" t="n">
        <v>0</v>
      </c>
      <c r="Q284" t="n">
        <v>0</v>
      </c>
      <c r="R284" s="2" t="inlineStr"/>
    </row>
    <row r="285" ht="15" customHeight="1">
      <c r="A285" t="inlineStr">
        <is>
          <t>A 2719-2023</t>
        </is>
      </c>
      <c r="B285" s="1" t="n">
        <v>44944.55361111111</v>
      </c>
      <c r="C285" s="1" t="n">
        <v>45981</v>
      </c>
      <c r="D285" t="inlineStr">
        <is>
          <t>GOTLANDS LÄN</t>
        </is>
      </c>
      <c r="E285" t="inlineStr">
        <is>
          <t>GOTLAND</t>
        </is>
      </c>
      <c r="G285" t="n">
        <v>0.5</v>
      </c>
      <c r="H285" t="n">
        <v>0</v>
      </c>
      <c r="I285" t="n">
        <v>0</v>
      </c>
      <c r="J285" t="n">
        <v>0</v>
      </c>
      <c r="K285" t="n">
        <v>0</v>
      </c>
      <c r="L285" t="n">
        <v>0</v>
      </c>
      <c r="M285" t="n">
        <v>0</v>
      </c>
      <c r="N285" t="n">
        <v>0</v>
      </c>
      <c r="O285" t="n">
        <v>0</v>
      </c>
      <c r="P285" t="n">
        <v>0</v>
      </c>
      <c r="Q285" t="n">
        <v>0</v>
      </c>
      <c r="R285" s="2" t="inlineStr"/>
    </row>
    <row r="286" ht="15" customHeight="1">
      <c r="A286" t="inlineStr">
        <is>
          <t>A 17144-2025</t>
        </is>
      </c>
      <c r="B286" s="1" t="n">
        <v>45755.9499537037</v>
      </c>
      <c r="C286" s="1" t="n">
        <v>45981</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52892-2021</t>
        </is>
      </c>
      <c r="B287" s="1" t="n">
        <v>44467.49048611111</v>
      </c>
      <c r="C287" s="1" t="n">
        <v>45981</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39814-2025</t>
        </is>
      </c>
      <c r="B288" s="1" t="n">
        <v>45891.52694444444</v>
      </c>
      <c r="C288" s="1" t="n">
        <v>45981</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1351-2025</t>
        </is>
      </c>
      <c r="B289" s="1" t="n">
        <v>45667.62246527777</v>
      </c>
      <c r="C289" s="1" t="n">
        <v>45981</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49314-2024</t>
        </is>
      </c>
      <c r="B290" s="1" t="n">
        <v>45595.55893518519</v>
      </c>
      <c r="C290" s="1" t="n">
        <v>45981</v>
      </c>
      <c r="D290" t="inlineStr">
        <is>
          <t>GOTLANDS LÄN</t>
        </is>
      </c>
      <c r="E290" t="inlineStr">
        <is>
          <t>GOTLAND</t>
        </is>
      </c>
      <c r="G290" t="n">
        <v>1.1</v>
      </c>
      <c r="H290" t="n">
        <v>0</v>
      </c>
      <c r="I290" t="n">
        <v>0</v>
      </c>
      <c r="J290" t="n">
        <v>0</v>
      </c>
      <c r="K290" t="n">
        <v>0</v>
      </c>
      <c r="L290" t="n">
        <v>0</v>
      </c>
      <c r="M290" t="n">
        <v>0</v>
      </c>
      <c r="N290" t="n">
        <v>0</v>
      </c>
      <c r="O290" t="n">
        <v>0</v>
      </c>
      <c r="P290" t="n">
        <v>0</v>
      </c>
      <c r="Q290" t="n">
        <v>0</v>
      </c>
      <c r="R290" s="2" t="inlineStr"/>
    </row>
    <row r="291" ht="15" customHeight="1">
      <c r="A291" t="inlineStr">
        <is>
          <t>A 39819-2025</t>
        </is>
      </c>
      <c r="B291" s="1" t="n">
        <v>45891.53418981482</v>
      </c>
      <c r="C291" s="1" t="n">
        <v>45981</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9875-2025</t>
        </is>
      </c>
      <c r="B292" s="1" t="n">
        <v>45716</v>
      </c>
      <c r="C292" s="1" t="n">
        <v>45981</v>
      </c>
      <c r="D292" t="inlineStr">
        <is>
          <t>GOTLANDS LÄN</t>
        </is>
      </c>
      <c r="E292" t="inlineStr">
        <is>
          <t>GOTLAND</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29809-2022</t>
        </is>
      </c>
      <c r="B293" s="1" t="n">
        <v>44755.8713425926</v>
      </c>
      <c r="C293" s="1" t="n">
        <v>45981</v>
      </c>
      <c r="D293" t="inlineStr">
        <is>
          <t>GOTLANDS LÄN</t>
        </is>
      </c>
      <c r="E293" t="inlineStr">
        <is>
          <t>GOTLAND</t>
        </is>
      </c>
      <c r="G293" t="n">
        <v>11.5</v>
      </c>
      <c r="H293" t="n">
        <v>0</v>
      </c>
      <c r="I293" t="n">
        <v>0</v>
      </c>
      <c r="J293" t="n">
        <v>0</v>
      </c>
      <c r="K293" t="n">
        <v>0</v>
      </c>
      <c r="L293" t="n">
        <v>0</v>
      </c>
      <c r="M293" t="n">
        <v>0</v>
      </c>
      <c r="N293" t="n">
        <v>0</v>
      </c>
      <c r="O293" t="n">
        <v>0</v>
      </c>
      <c r="P293" t="n">
        <v>0</v>
      </c>
      <c r="Q293" t="n">
        <v>0</v>
      </c>
      <c r="R293" s="2" t="inlineStr"/>
    </row>
    <row r="294" ht="15" customHeight="1">
      <c r="A294" t="inlineStr">
        <is>
          <t>A 49874-2024</t>
        </is>
      </c>
      <c r="B294" s="1" t="n">
        <v>45597.49274305555</v>
      </c>
      <c r="C294" s="1" t="n">
        <v>45981</v>
      </c>
      <c r="D294" t="inlineStr">
        <is>
          <t>GOTLANDS LÄN</t>
        </is>
      </c>
      <c r="E294" t="inlineStr">
        <is>
          <t>GOTLAND</t>
        </is>
      </c>
      <c r="G294" t="n">
        <v>1.1</v>
      </c>
      <c r="H294" t="n">
        <v>0</v>
      </c>
      <c r="I294" t="n">
        <v>0</v>
      </c>
      <c r="J294" t="n">
        <v>0</v>
      </c>
      <c r="K294" t="n">
        <v>0</v>
      </c>
      <c r="L294" t="n">
        <v>0</v>
      </c>
      <c r="M294" t="n">
        <v>0</v>
      </c>
      <c r="N294" t="n">
        <v>0</v>
      </c>
      <c r="O294" t="n">
        <v>0</v>
      </c>
      <c r="P294" t="n">
        <v>0</v>
      </c>
      <c r="Q294" t="n">
        <v>0</v>
      </c>
      <c r="R294" s="2" t="inlineStr"/>
    </row>
    <row r="295" ht="15" customHeight="1">
      <c r="A295" t="inlineStr">
        <is>
          <t>A 39752-2025</t>
        </is>
      </c>
      <c r="B295" s="1" t="n">
        <v>45891</v>
      </c>
      <c r="C295" s="1" t="n">
        <v>45981</v>
      </c>
      <c r="D295" t="inlineStr">
        <is>
          <t>GOTLANDS LÄN</t>
        </is>
      </c>
      <c r="E295" t="inlineStr">
        <is>
          <t>GOTLAND</t>
        </is>
      </c>
      <c r="G295" t="n">
        <v>5.3</v>
      </c>
      <c r="H295" t="n">
        <v>0</v>
      </c>
      <c r="I295" t="n">
        <v>0</v>
      </c>
      <c r="J295" t="n">
        <v>0</v>
      </c>
      <c r="K295" t="n">
        <v>0</v>
      </c>
      <c r="L295" t="n">
        <v>0</v>
      </c>
      <c r="M295" t="n">
        <v>0</v>
      </c>
      <c r="N295" t="n">
        <v>0</v>
      </c>
      <c r="O295" t="n">
        <v>0</v>
      </c>
      <c r="P295" t="n">
        <v>0</v>
      </c>
      <c r="Q295" t="n">
        <v>0</v>
      </c>
      <c r="R295" s="2" t="inlineStr"/>
    </row>
    <row r="296" ht="15" customHeight="1">
      <c r="A296" t="inlineStr">
        <is>
          <t>A 39816-2025</t>
        </is>
      </c>
      <c r="B296" s="1" t="n">
        <v>45891</v>
      </c>
      <c r="C296" s="1" t="n">
        <v>45981</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40372-2025</t>
        </is>
      </c>
      <c r="B297" s="1" t="n">
        <v>45895.5162037037</v>
      </c>
      <c r="C297" s="1" t="n">
        <v>45981</v>
      </c>
      <c r="D297" t="inlineStr">
        <is>
          <t>GOTLANDS LÄN</t>
        </is>
      </c>
      <c r="E297" t="inlineStr">
        <is>
          <t>GOTLAND</t>
        </is>
      </c>
      <c r="G297" t="n">
        <v>3.3</v>
      </c>
      <c r="H297" t="n">
        <v>0</v>
      </c>
      <c r="I297" t="n">
        <v>0</v>
      </c>
      <c r="J297" t="n">
        <v>0</v>
      </c>
      <c r="K297" t="n">
        <v>0</v>
      </c>
      <c r="L297" t="n">
        <v>0</v>
      </c>
      <c r="M297" t="n">
        <v>0</v>
      </c>
      <c r="N297" t="n">
        <v>0</v>
      </c>
      <c r="O297" t="n">
        <v>0</v>
      </c>
      <c r="P297" t="n">
        <v>0</v>
      </c>
      <c r="Q297" t="n">
        <v>0</v>
      </c>
      <c r="R297" s="2" t="inlineStr"/>
    </row>
    <row r="298" ht="15" customHeight="1">
      <c r="A298" t="inlineStr">
        <is>
          <t>A 40373-2025</t>
        </is>
      </c>
      <c r="B298" s="1" t="n">
        <v>45895.51821759259</v>
      </c>
      <c r="C298" s="1" t="n">
        <v>45981</v>
      </c>
      <c r="D298" t="inlineStr">
        <is>
          <t>GOTLANDS LÄN</t>
        </is>
      </c>
      <c r="E298" t="inlineStr">
        <is>
          <t>GOTLAND</t>
        </is>
      </c>
      <c r="G298" t="n">
        <v>0.6</v>
      </c>
      <c r="H298" t="n">
        <v>0</v>
      </c>
      <c r="I298" t="n">
        <v>0</v>
      </c>
      <c r="J298" t="n">
        <v>0</v>
      </c>
      <c r="K298" t="n">
        <v>0</v>
      </c>
      <c r="L298" t="n">
        <v>0</v>
      </c>
      <c r="M298" t="n">
        <v>0</v>
      </c>
      <c r="N298" t="n">
        <v>0</v>
      </c>
      <c r="O298" t="n">
        <v>0</v>
      </c>
      <c r="P298" t="n">
        <v>0</v>
      </c>
      <c r="Q298" t="n">
        <v>0</v>
      </c>
      <c r="R298" s="2" t="inlineStr"/>
    </row>
    <row r="299" ht="15" customHeight="1">
      <c r="A299" t="inlineStr">
        <is>
          <t>A 16361-2024</t>
        </is>
      </c>
      <c r="B299" s="1" t="n">
        <v>45407</v>
      </c>
      <c r="C299" s="1" t="n">
        <v>45981</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43081-2022</t>
        </is>
      </c>
      <c r="B300" s="1" t="n">
        <v>44833</v>
      </c>
      <c r="C300" s="1" t="n">
        <v>45981</v>
      </c>
      <c r="D300" t="inlineStr">
        <is>
          <t>GOTLANDS LÄN</t>
        </is>
      </c>
      <c r="E300" t="inlineStr">
        <is>
          <t>GOTLAND</t>
        </is>
      </c>
      <c r="G300" t="n">
        <v>6.8</v>
      </c>
      <c r="H300" t="n">
        <v>0</v>
      </c>
      <c r="I300" t="n">
        <v>0</v>
      </c>
      <c r="J300" t="n">
        <v>0</v>
      </c>
      <c r="K300" t="n">
        <v>0</v>
      </c>
      <c r="L300" t="n">
        <v>0</v>
      </c>
      <c r="M300" t="n">
        <v>0</v>
      </c>
      <c r="N300" t="n">
        <v>0</v>
      </c>
      <c r="O300" t="n">
        <v>0</v>
      </c>
      <c r="P300" t="n">
        <v>0</v>
      </c>
      <c r="Q300" t="n">
        <v>0</v>
      </c>
      <c r="R300" s="2" t="inlineStr"/>
    </row>
    <row r="301" ht="15" customHeight="1">
      <c r="A301" t="inlineStr">
        <is>
          <t>A 40103-2025</t>
        </is>
      </c>
      <c r="B301" s="1" t="n">
        <v>45894.4880324074</v>
      </c>
      <c r="C301" s="1" t="n">
        <v>45981</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38649-2025</t>
        </is>
      </c>
      <c r="B302" s="1" t="n">
        <v>45884</v>
      </c>
      <c r="C302" s="1" t="n">
        <v>45981</v>
      </c>
      <c r="D302" t="inlineStr">
        <is>
          <t>GOTLANDS LÄN</t>
        </is>
      </c>
      <c r="E302" t="inlineStr">
        <is>
          <t>GOTLAND</t>
        </is>
      </c>
      <c r="G302" t="n">
        <v>1.5</v>
      </c>
      <c r="H302" t="n">
        <v>0</v>
      </c>
      <c r="I302" t="n">
        <v>0</v>
      </c>
      <c r="J302" t="n">
        <v>0</v>
      </c>
      <c r="K302" t="n">
        <v>0</v>
      </c>
      <c r="L302" t="n">
        <v>0</v>
      </c>
      <c r="M302" t="n">
        <v>0</v>
      </c>
      <c r="N302" t="n">
        <v>0</v>
      </c>
      <c r="O302" t="n">
        <v>0</v>
      </c>
      <c r="P302" t="n">
        <v>0</v>
      </c>
      <c r="Q302" t="n">
        <v>0</v>
      </c>
      <c r="R302" s="2" t="inlineStr"/>
    </row>
    <row r="303" ht="15" customHeight="1">
      <c r="A303" t="inlineStr">
        <is>
          <t>A 1175-2025</t>
        </is>
      </c>
      <c r="B303" s="1" t="n">
        <v>45667.34449074074</v>
      </c>
      <c r="C303" s="1" t="n">
        <v>45981</v>
      </c>
      <c r="D303" t="inlineStr">
        <is>
          <t>GOTLANDS LÄN</t>
        </is>
      </c>
      <c r="E303" t="inlineStr">
        <is>
          <t>GOTLAND</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51782-2023</t>
        </is>
      </c>
      <c r="B304" s="1" t="n">
        <v>45222.80952546297</v>
      </c>
      <c r="C304" s="1" t="n">
        <v>45981</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60675-2021</t>
        </is>
      </c>
      <c r="B305" s="1" t="n">
        <v>44496.64855324074</v>
      </c>
      <c r="C305" s="1" t="n">
        <v>45981</v>
      </c>
      <c r="D305" t="inlineStr">
        <is>
          <t>GOTLANDS LÄN</t>
        </is>
      </c>
      <c r="E305" t="inlineStr">
        <is>
          <t>GOTLAND</t>
        </is>
      </c>
      <c r="G305" t="n">
        <v>4.6</v>
      </c>
      <c r="H305" t="n">
        <v>0</v>
      </c>
      <c r="I305" t="n">
        <v>0</v>
      </c>
      <c r="J305" t="n">
        <v>0</v>
      </c>
      <c r="K305" t="n">
        <v>0</v>
      </c>
      <c r="L305" t="n">
        <v>0</v>
      </c>
      <c r="M305" t="n">
        <v>0</v>
      </c>
      <c r="N305" t="n">
        <v>0</v>
      </c>
      <c r="O305" t="n">
        <v>0</v>
      </c>
      <c r="P305" t="n">
        <v>0</v>
      </c>
      <c r="Q305" t="n">
        <v>0</v>
      </c>
      <c r="R305" s="2" t="inlineStr"/>
    </row>
    <row r="306" ht="15" customHeight="1">
      <c r="A306" t="inlineStr">
        <is>
          <t>A 40499-2025</t>
        </is>
      </c>
      <c r="B306" s="1" t="n">
        <v>45896.32517361111</v>
      </c>
      <c r="C306" s="1" t="n">
        <v>45981</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42201-2023</t>
        </is>
      </c>
      <c r="B307" s="1" t="n">
        <v>45179</v>
      </c>
      <c r="C307" s="1" t="n">
        <v>45981</v>
      </c>
      <c r="D307" t="inlineStr">
        <is>
          <t>GOTLANDS LÄN</t>
        </is>
      </c>
      <c r="E307" t="inlineStr">
        <is>
          <t>GOTLAND</t>
        </is>
      </c>
      <c r="G307" t="n">
        <v>11.9</v>
      </c>
      <c r="H307" t="n">
        <v>0</v>
      </c>
      <c r="I307" t="n">
        <v>0</v>
      </c>
      <c r="J307" t="n">
        <v>0</v>
      </c>
      <c r="K307" t="n">
        <v>0</v>
      </c>
      <c r="L307" t="n">
        <v>0</v>
      </c>
      <c r="M307" t="n">
        <v>0</v>
      </c>
      <c r="N307" t="n">
        <v>0</v>
      </c>
      <c r="O307" t="n">
        <v>0</v>
      </c>
      <c r="P307" t="n">
        <v>0</v>
      </c>
      <c r="Q307" t="n">
        <v>0</v>
      </c>
      <c r="R307" s="2" t="inlineStr"/>
    </row>
    <row r="308" ht="15" customHeight="1">
      <c r="A308" t="inlineStr">
        <is>
          <t>A 3150-2025</t>
        </is>
      </c>
      <c r="B308" s="1" t="n">
        <v>45679.28974537037</v>
      </c>
      <c r="C308" s="1" t="n">
        <v>45981</v>
      </c>
      <c r="D308" t="inlineStr">
        <is>
          <t>GOTLANDS LÄN</t>
        </is>
      </c>
      <c r="E308" t="inlineStr">
        <is>
          <t>GOTLAND</t>
        </is>
      </c>
      <c r="G308" t="n">
        <v>2.5</v>
      </c>
      <c r="H308" t="n">
        <v>0</v>
      </c>
      <c r="I308" t="n">
        <v>0</v>
      </c>
      <c r="J308" t="n">
        <v>0</v>
      </c>
      <c r="K308" t="n">
        <v>0</v>
      </c>
      <c r="L308" t="n">
        <v>0</v>
      </c>
      <c r="M308" t="n">
        <v>0</v>
      </c>
      <c r="N308" t="n">
        <v>0</v>
      </c>
      <c r="O308" t="n">
        <v>0</v>
      </c>
      <c r="P308" t="n">
        <v>0</v>
      </c>
      <c r="Q308" t="n">
        <v>0</v>
      </c>
      <c r="R308" s="2" t="inlineStr"/>
    </row>
    <row r="309" ht="15" customHeight="1">
      <c r="A309" t="inlineStr">
        <is>
          <t>A 49690-2025</t>
        </is>
      </c>
      <c r="B309" s="1" t="n">
        <v>45939.66730324074</v>
      </c>
      <c r="C309" s="1" t="n">
        <v>45981</v>
      </c>
      <c r="D309" t="inlineStr">
        <is>
          <t>GOTLANDS LÄN</t>
        </is>
      </c>
      <c r="E309" t="inlineStr">
        <is>
          <t>GOTLAND</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5217-2023</t>
        </is>
      </c>
      <c r="B310" s="1" t="n">
        <v>44959.39582175926</v>
      </c>
      <c r="C310" s="1" t="n">
        <v>45981</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49724-2025</t>
        </is>
      </c>
      <c r="B311" s="1" t="n">
        <v>45939.83730324074</v>
      </c>
      <c r="C311" s="1" t="n">
        <v>45981</v>
      </c>
      <c r="D311" t="inlineStr">
        <is>
          <t>GOTLANDS LÄN</t>
        </is>
      </c>
      <c r="E311" t="inlineStr">
        <is>
          <t>GOTLAND</t>
        </is>
      </c>
      <c r="F311" t="inlineStr">
        <is>
          <t>Kyrkan</t>
        </is>
      </c>
      <c r="G311" t="n">
        <v>3.1</v>
      </c>
      <c r="H311" t="n">
        <v>0</v>
      </c>
      <c r="I311" t="n">
        <v>0</v>
      </c>
      <c r="J311" t="n">
        <v>0</v>
      </c>
      <c r="K311" t="n">
        <v>0</v>
      </c>
      <c r="L311" t="n">
        <v>0</v>
      </c>
      <c r="M311" t="n">
        <v>0</v>
      </c>
      <c r="N311" t="n">
        <v>0</v>
      </c>
      <c r="O311" t="n">
        <v>0</v>
      </c>
      <c r="P311" t="n">
        <v>0</v>
      </c>
      <c r="Q311" t="n">
        <v>0</v>
      </c>
      <c r="R311" s="2" t="inlineStr"/>
    </row>
    <row r="312" ht="15" customHeight="1">
      <c r="A312" t="inlineStr">
        <is>
          <t>A 49730-2025</t>
        </is>
      </c>
      <c r="B312" s="1" t="n">
        <v>45939.87613425926</v>
      </c>
      <c r="C312" s="1" t="n">
        <v>45981</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14638-2025</t>
        </is>
      </c>
      <c r="B313" s="1" t="n">
        <v>45742</v>
      </c>
      <c r="C313" s="1" t="n">
        <v>45981</v>
      </c>
      <c r="D313" t="inlineStr">
        <is>
          <t>GOTLANDS LÄN</t>
        </is>
      </c>
      <c r="E313" t="inlineStr">
        <is>
          <t>GOTLAND</t>
        </is>
      </c>
      <c r="G313" t="n">
        <v>13.4</v>
      </c>
      <c r="H313" t="n">
        <v>0</v>
      </c>
      <c r="I313" t="n">
        <v>0</v>
      </c>
      <c r="J313" t="n">
        <v>0</v>
      </c>
      <c r="K313" t="n">
        <v>0</v>
      </c>
      <c r="L313" t="n">
        <v>0</v>
      </c>
      <c r="M313" t="n">
        <v>0</v>
      </c>
      <c r="N313" t="n">
        <v>0</v>
      </c>
      <c r="O313" t="n">
        <v>0</v>
      </c>
      <c r="P313" t="n">
        <v>0</v>
      </c>
      <c r="Q313" t="n">
        <v>0</v>
      </c>
      <c r="R313" s="2" t="inlineStr"/>
    </row>
    <row r="314" ht="15" customHeight="1">
      <c r="A314" t="inlineStr">
        <is>
          <t>A 4421-2024</t>
        </is>
      </c>
      <c r="B314" s="1" t="n">
        <v>45327.45173611111</v>
      </c>
      <c r="C314" s="1" t="n">
        <v>45981</v>
      </c>
      <c r="D314" t="inlineStr">
        <is>
          <t>GOTLANDS LÄN</t>
        </is>
      </c>
      <c r="E314" t="inlineStr">
        <is>
          <t>GOTLAND</t>
        </is>
      </c>
      <c r="G314" t="n">
        <v>5.1</v>
      </c>
      <c r="H314" t="n">
        <v>0</v>
      </c>
      <c r="I314" t="n">
        <v>0</v>
      </c>
      <c r="J314" t="n">
        <v>0</v>
      </c>
      <c r="K314" t="n">
        <v>0</v>
      </c>
      <c r="L314" t="n">
        <v>0</v>
      </c>
      <c r="M314" t="n">
        <v>0</v>
      </c>
      <c r="N314" t="n">
        <v>0</v>
      </c>
      <c r="O314" t="n">
        <v>0</v>
      </c>
      <c r="P314" t="n">
        <v>0</v>
      </c>
      <c r="Q314" t="n">
        <v>0</v>
      </c>
      <c r="R314" s="2" t="inlineStr"/>
    </row>
    <row r="315" ht="15" customHeight="1">
      <c r="A315" t="inlineStr">
        <is>
          <t>A 42041-2024</t>
        </is>
      </c>
      <c r="B315" s="1" t="n">
        <v>45561</v>
      </c>
      <c r="C315" s="1" t="n">
        <v>45981</v>
      </c>
      <c r="D315" t="inlineStr">
        <is>
          <t>GOTLANDS LÄN</t>
        </is>
      </c>
      <c r="E315" t="inlineStr">
        <is>
          <t>GOTLAND</t>
        </is>
      </c>
      <c r="G315" t="n">
        <v>3.2</v>
      </c>
      <c r="H315" t="n">
        <v>0</v>
      </c>
      <c r="I315" t="n">
        <v>0</v>
      </c>
      <c r="J315" t="n">
        <v>0</v>
      </c>
      <c r="K315" t="n">
        <v>0</v>
      </c>
      <c r="L315" t="n">
        <v>0</v>
      </c>
      <c r="M315" t="n">
        <v>0</v>
      </c>
      <c r="N315" t="n">
        <v>0</v>
      </c>
      <c r="O315" t="n">
        <v>0</v>
      </c>
      <c r="P315" t="n">
        <v>0</v>
      </c>
      <c r="Q315" t="n">
        <v>0</v>
      </c>
      <c r="R315" s="2" t="inlineStr"/>
    </row>
    <row r="316" ht="15" customHeight="1">
      <c r="A316" t="inlineStr">
        <is>
          <t>A 41551-2025</t>
        </is>
      </c>
      <c r="B316" s="1" t="n">
        <v>45901.58854166666</v>
      </c>
      <c r="C316" s="1" t="n">
        <v>45981</v>
      </c>
      <c r="D316" t="inlineStr">
        <is>
          <t>GOTLANDS LÄN</t>
        </is>
      </c>
      <c r="E316" t="inlineStr">
        <is>
          <t>GOTLAND</t>
        </is>
      </c>
      <c r="G316" t="n">
        <v>5.6</v>
      </c>
      <c r="H316" t="n">
        <v>0</v>
      </c>
      <c r="I316" t="n">
        <v>0</v>
      </c>
      <c r="J316" t="n">
        <v>0</v>
      </c>
      <c r="K316" t="n">
        <v>0</v>
      </c>
      <c r="L316" t="n">
        <v>0</v>
      </c>
      <c r="M316" t="n">
        <v>0</v>
      </c>
      <c r="N316" t="n">
        <v>0</v>
      </c>
      <c r="O316" t="n">
        <v>0</v>
      </c>
      <c r="P316" t="n">
        <v>0</v>
      </c>
      <c r="Q316" t="n">
        <v>0</v>
      </c>
      <c r="R316" s="2" t="inlineStr"/>
    </row>
    <row r="317" ht="15" customHeight="1">
      <c r="A317" t="inlineStr">
        <is>
          <t>A 20165-2022</t>
        </is>
      </c>
      <c r="B317" s="1" t="n">
        <v>44698.49854166667</v>
      </c>
      <c r="C317" s="1" t="n">
        <v>45981</v>
      </c>
      <c r="D317" t="inlineStr">
        <is>
          <t>GOTLANDS LÄN</t>
        </is>
      </c>
      <c r="E317" t="inlineStr">
        <is>
          <t>GOTLAND</t>
        </is>
      </c>
      <c r="G317" t="n">
        <v>4.1</v>
      </c>
      <c r="H317" t="n">
        <v>0</v>
      </c>
      <c r="I317" t="n">
        <v>0</v>
      </c>
      <c r="J317" t="n">
        <v>0</v>
      </c>
      <c r="K317" t="n">
        <v>0</v>
      </c>
      <c r="L317" t="n">
        <v>0</v>
      </c>
      <c r="M317" t="n">
        <v>0</v>
      </c>
      <c r="N317" t="n">
        <v>0</v>
      </c>
      <c r="O317" t="n">
        <v>0</v>
      </c>
      <c r="P317" t="n">
        <v>0</v>
      </c>
      <c r="Q317" t="n">
        <v>0</v>
      </c>
      <c r="R317" s="2" t="inlineStr"/>
    </row>
    <row r="318" ht="15" customHeight="1">
      <c r="A318" t="inlineStr">
        <is>
          <t>A 31264-2021</t>
        </is>
      </c>
      <c r="B318" s="1" t="n">
        <v>44368</v>
      </c>
      <c r="C318" s="1" t="n">
        <v>45981</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39278-2025</t>
        </is>
      </c>
      <c r="B319" s="1" t="n">
        <v>45889</v>
      </c>
      <c r="C319" s="1" t="n">
        <v>45981</v>
      </c>
      <c r="D319" t="inlineStr">
        <is>
          <t>GOTLANDS LÄN</t>
        </is>
      </c>
      <c r="E319" t="inlineStr">
        <is>
          <t>GOTLAND</t>
        </is>
      </c>
      <c r="G319" t="n">
        <v>3.7</v>
      </c>
      <c r="H319" t="n">
        <v>0</v>
      </c>
      <c r="I319" t="n">
        <v>0</v>
      </c>
      <c r="J319" t="n">
        <v>0</v>
      </c>
      <c r="K319" t="n">
        <v>0</v>
      </c>
      <c r="L319" t="n">
        <v>0</v>
      </c>
      <c r="M319" t="n">
        <v>0</v>
      </c>
      <c r="N319" t="n">
        <v>0</v>
      </c>
      <c r="O319" t="n">
        <v>0</v>
      </c>
      <c r="P319" t="n">
        <v>0</v>
      </c>
      <c r="Q319" t="n">
        <v>0</v>
      </c>
      <c r="R319" s="2" t="inlineStr"/>
    </row>
    <row r="320" ht="15" customHeight="1">
      <c r="A320" t="inlineStr">
        <is>
          <t>A 21420-2024</t>
        </is>
      </c>
      <c r="B320" s="1" t="n">
        <v>45441.38293981482</v>
      </c>
      <c r="C320" s="1" t="n">
        <v>45981</v>
      </c>
      <c r="D320" t="inlineStr">
        <is>
          <t>GOTLANDS LÄN</t>
        </is>
      </c>
      <c r="E320" t="inlineStr">
        <is>
          <t>GOTLAND</t>
        </is>
      </c>
      <c r="G320" t="n">
        <v>4.1</v>
      </c>
      <c r="H320" t="n">
        <v>0</v>
      </c>
      <c r="I320" t="n">
        <v>0</v>
      </c>
      <c r="J320" t="n">
        <v>0</v>
      </c>
      <c r="K320" t="n">
        <v>0</v>
      </c>
      <c r="L320" t="n">
        <v>0</v>
      </c>
      <c r="M320" t="n">
        <v>0</v>
      </c>
      <c r="N320" t="n">
        <v>0</v>
      </c>
      <c r="O320" t="n">
        <v>0</v>
      </c>
      <c r="P320" t="n">
        <v>0</v>
      </c>
      <c r="Q320" t="n">
        <v>0</v>
      </c>
      <c r="R320" s="2" t="inlineStr"/>
    </row>
    <row r="321" ht="15" customHeight="1">
      <c r="A321" t="inlineStr">
        <is>
          <t>A 10656-2024</t>
        </is>
      </c>
      <c r="B321" s="1" t="n">
        <v>45368</v>
      </c>
      <c r="C321" s="1" t="n">
        <v>45981</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33876-2024</t>
        </is>
      </c>
      <c r="B322" s="1" t="n">
        <v>45521.87988425926</v>
      </c>
      <c r="C322" s="1" t="n">
        <v>45981</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57356-2023</t>
        </is>
      </c>
      <c r="B323" s="1" t="n">
        <v>45240</v>
      </c>
      <c r="C323" s="1" t="n">
        <v>45981</v>
      </c>
      <c r="D323" t="inlineStr">
        <is>
          <t>GOTLANDS LÄN</t>
        </is>
      </c>
      <c r="E323" t="inlineStr">
        <is>
          <t>GOTLAND</t>
        </is>
      </c>
      <c r="G323" t="n">
        <v>6.4</v>
      </c>
      <c r="H323" t="n">
        <v>0</v>
      </c>
      <c r="I323" t="n">
        <v>0</v>
      </c>
      <c r="J323" t="n">
        <v>0</v>
      </c>
      <c r="K323" t="n">
        <v>0</v>
      </c>
      <c r="L323" t="n">
        <v>0</v>
      </c>
      <c r="M323" t="n">
        <v>0</v>
      </c>
      <c r="N323" t="n">
        <v>0</v>
      </c>
      <c r="O323" t="n">
        <v>0</v>
      </c>
      <c r="P323" t="n">
        <v>0</v>
      </c>
      <c r="Q323" t="n">
        <v>0</v>
      </c>
      <c r="R323" s="2" t="inlineStr"/>
    </row>
    <row r="324" ht="15" customHeight="1">
      <c r="A324" t="inlineStr">
        <is>
          <t>A 33011-2025</t>
        </is>
      </c>
      <c r="B324" s="1" t="n">
        <v>45840</v>
      </c>
      <c r="C324" s="1" t="n">
        <v>45981</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28506-2023</t>
        </is>
      </c>
      <c r="B325" s="1" t="n">
        <v>45103</v>
      </c>
      <c r="C325" s="1" t="n">
        <v>45981</v>
      </c>
      <c r="D325" t="inlineStr">
        <is>
          <t>GOTLANDS LÄN</t>
        </is>
      </c>
      <c r="E325" t="inlineStr">
        <is>
          <t>GOTLAND</t>
        </is>
      </c>
      <c r="G325" t="n">
        <v>3.2</v>
      </c>
      <c r="H325" t="n">
        <v>0</v>
      </c>
      <c r="I325" t="n">
        <v>0</v>
      </c>
      <c r="J325" t="n">
        <v>0</v>
      </c>
      <c r="K325" t="n">
        <v>0</v>
      </c>
      <c r="L325" t="n">
        <v>0</v>
      </c>
      <c r="M325" t="n">
        <v>0</v>
      </c>
      <c r="N325" t="n">
        <v>0</v>
      </c>
      <c r="O325" t="n">
        <v>0</v>
      </c>
      <c r="P325" t="n">
        <v>0</v>
      </c>
      <c r="Q325" t="n">
        <v>0</v>
      </c>
      <c r="R325" s="2" t="inlineStr"/>
    </row>
    <row r="326" ht="15" customHeight="1">
      <c r="A326" t="inlineStr">
        <is>
          <t>A 15436-2025</t>
        </is>
      </c>
      <c r="B326" s="1" t="n">
        <v>45747.47462962963</v>
      </c>
      <c r="C326" s="1" t="n">
        <v>45981</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41435-2025</t>
        </is>
      </c>
      <c r="B327" s="1" t="n">
        <v>45901.39974537037</v>
      </c>
      <c r="C327" s="1" t="n">
        <v>45981</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43223-2023</t>
        </is>
      </c>
      <c r="B328" s="1" t="n">
        <v>45183.45642361111</v>
      </c>
      <c r="C328" s="1" t="n">
        <v>45981</v>
      </c>
      <c r="D328" t="inlineStr">
        <is>
          <t>GOTLANDS LÄN</t>
        </is>
      </c>
      <c r="E328" t="inlineStr">
        <is>
          <t>GOTLAND</t>
        </is>
      </c>
      <c r="G328" t="n">
        <v>1.8</v>
      </c>
      <c r="H328" t="n">
        <v>0</v>
      </c>
      <c r="I328" t="n">
        <v>0</v>
      </c>
      <c r="J328" t="n">
        <v>0</v>
      </c>
      <c r="K328" t="n">
        <v>0</v>
      </c>
      <c r="L328" t="n">
        <v>0</v>
      </c>
      <c r="M328" t="n">
        <v>0</v>
      </c>
      <c r="N328" t="n">
        <v>0</v>
      </c>
      <c r="O328" t="n">
        <v>0</v>
      </c>
      <c r="P328" t="n">
        <v>0</v>
      </c>
      <c r="Q328" t="n">
        <v>0</v>
      </c>
      <c r="R328" s="2" t="inlineStr"/>
    </row>
    <row r="329" ht="15" customHeight="1">
      <c r="A329" t="inlineStr">
        <is>
          <t>A 61962-2024</t>
        </is>
      </c>
      <c r="B329" s="1" t="n">
        <v>45653.54340277778</v>
      </c>
      <c r="C329" s="1" t="n">
        <v>45981</v>
      </c>
      <c r="D329" t="inlineStr">
        <is>
          <t>GOTLANDS LÄN</t>
        </is>
      </c>
      <c r="E329" t="inlineStr">
        <is>
          <t>GOTLAND</t>
        </is>
      </c>
      <c r="G329" t="n">
        <v>0.7</v>
      </c>
      <c r="H329" t="n">
        <v>0</v>
      </c>
      <c r="I329" t="n">
        <v>0</v>
      </c>
      <c r="J329" t="n">
        <v>0</v>
      </c>
      <c r="K329" t="n">
        <v>0</v>
      </c>
      <c r="L329" t="n">
        <v>0</v>
      </c>
      <c r="M329" t="n">
        <v>0</v>
      </c>
      <c r="N329" t="n">
        <v>0</v>
      </c>
      <c r="O329" t="n">
        <v>0</v>
      </c>
      <c r="P329" t="n">
        <v>0</v>
      </c>
      <c r="Q329" t="n">
        <v>0</v>
      </c>
      <c r="R329" s="2" t="inlineStr"/>
    </row>
    <row r="330" ht="15" customHeight="1">
      <c r="A330" t="inlineStr">
        <is>
          <t>A 23188-2025</t>
        </is>
      </c>
      <c r="B330" s="1" t="n">
        <v>45791</v>
      </c>
      <c r="C330" s="1" t="n">
        <v>45981</v>
      </c>
      <c r="D330" t="inlineStr">
        <is>
          <t>GOTLANDS LÄN</t>
        </is>
      </c>
      <c r="E330" t="inlineStr">
        <is>
          <t>GOTLAND</t>
        </is>
      </c>
      <c r="G330" t="n">
        <v>6.2</v>
      </c>
      <c r="H330" t="n">
        <v>0</v>
      </c>
      <c r="I330" t="n">
        <v>0</v>
      </c>
      <c r="J330" t="n">
        <v>0</v>
      </c>
      <c r="K330" t="n">
        <v>0</v>
      </c>
      <c r="L330" t="n">
        <v>0</v>
      </c>
      <c r="M330" t="n">
        <v>0</v>
      </c>
      <c r="N330" t="n">
        <v>0</v>
      </c>
      <c r="O330" t="n">
        <v>0</v>
      </c>
      <c r="P330" t="n">
        <v>0</v>
      </c>
      <c r="Q330" t="n">
        <v>0</v>
      </c>
      <c r="R330" s="2" t="inlineStr"/>
    </row>
    <row r="331" ht="15" customHeight="1">
      <c r="A331" t="inlineStr">
        <is>
          <t>A 50421-2025</t>
        </is>
      </c>
      <c r="B331" s="1" t="n">
        <v>45944.66049768519</v>
      </c>
      <c r="C331" s="1" t="n">
        <v>45981</v>
      </c>
      <c r="D331" t="inlineStr">
        <is>
          <t>GOTLANDS LÄN</t>
        </is>
      </c>
      <c r="E331" t="inlineStr">
        <is>
          <t>GOTLAND</t>
        </is>
      </c>
      <c r="G331" t="n">
        <v>3.9</v>
      </c>
      <c r="H331" t="n">
        <v>0</v>
      </c>
      <c r="I331" t="n">
        <v>0</v>
      </c>
      <c r="J331" t="n">
        <v>0</v>
      </c>
      <c r="K331" t="n">
        <v>0</v>
      </c>
      <c r="L331" t="n">
        <v>0</v>
      </c>
      <c r="M331" t="n">
        <v>0</v>
      </c>
      <c r="N331" t="n">
        <v>0</v>
      </c>
      <c r="O331" t="n">
        <v>0</v>
      </c>
      <c r="P331" t="n">
        <v>0</v>
      </c>
      <c r="Q331" t="n">
        <v>0</v>
      </c>
      <c r="R331" s="2" t="inlineStr"/>
    </row>
    <row r="332" ht="15" customHeight="1">
      <c r="A332" t="inlineStr">
        <is>
          <t>A 21247-2022</t>
        </is>
      </c>
      <c r="B332" s="1" t="n">
        <v>44705.38832175926</v>
      </c>
      <c r="C332" s="1" t="n">
        <v>45981</v>
      </c>
      <c r="D332" t="inlineStr">
        <is>
          <t>GOTLANDS LÄN</t>
        </is>
      </c>
      <c r="E332" t="inlineStr">
        <is>
          <t>GOTLAND</t>
        </is>
      </c>
      <c r="G332" t="n">
        <v>16.2</v>
      </c>
      <c r="H332" t="n">
        <v>0</v>
      </c>
      <c r="I332" t="n">
        <v>0</v>
      </c>
      <c r="J332" t="n">
        <v>0</v>
      </c>
      <c r="K332" t="n">
        <v>0</v>
      </c>
      <c r="L332" t="n">
        <v>0</v>
      </c>
      <c r="M332" t="n">
        <v>0</v>
      </c>
      <c r="N332" t="n">
        <v>0</v>
      </c>
      <c r="O332" t="n">
        <v>0</v>
      </c>
      <c r="P332" t="n">
        <v>0</v>
      </c>
      <c r="Q332" t="n">
        <v>0</v>
      </c>
      <c r="R332" s="2" t="inlineStr"/>
    </row>
    <row r="333" ht="15" customHeight="1">
      <c r="A333" t="inlineStr">
        <is>
          <t>A 27930-2021</t>
        </is>
      </c>
      <c r="B333" s="1" t="n">
        <v>44354</v>
      </c>
      <c r="C333" s="1" t="n">
        <v>45981</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59469-2024</t>
        </is>
      </c>
      <c r="B334" s="1" t="n">
        <v>45638</v>
      </c>
      <c r="C334" s="1" t="n">
        <v>45981</v>
      </c>
      <c r="D334" t="inlineStr">
        <is>
          <t>GOTLANDS LÄN</t>
        </is>
      </c>
      <c r="E334" t="inlineStr">
        <is>
          <t>GOTLAND</t>
        </is>
      </c>
      <c r="G334" t="n">
        <v>0.4</v>
      </c>
      <c r="H334" t="n">
        <v>0</v>
      </c>
      <c r="I334" t="n">
        <v>0</v>
      </c>
      <c r="J334" t="n">
        <v>0</v>
      </c>
      <c r="K334" t="n">
        <v>0</v>
      </c>
      <c r="L334" t="n">
        <v>0</v>
      </c>
      <c r="M334" t="n">
        <v>0</v>
      </c>
      <c r="N334" t="n">
        <v>0</v>
      </c>
      <c r="O334" t="n">
        <v>0</v>
      </c>
      <c r="P334" t="n">
        <v>0</v>
      </c>
      <c r="Q334" t="n">
        <v>0</v>
      </c>
      <c r="R334" s="2" t="inlineStr"/>
    </row>
    <row r="335" ht="15" customHeight="1">
      <c r="A335" t="inlineStr">
        <is>
          <t>A 50431-2025</t>
        </is>
      </c>
      <c r="B335" s="1" t="n">
        <v>45944.68453703704</v>
      </c>
      <c r="C335" s="1" t="n">
        <v>45981</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23856-2025</t>
        </is>
      </c>
      <c r="B336" s="1" t="n">
        <v>45793</v>
      </c>
      <c r="C336" s="1" t="n">
        <v>45981</v>
      </c>
      <c r="D336" t="inlineStr">
        <is>
          <t>GOTLANDS LÄN</t>
        </is>
      </c>
      <c r="E336" t="inlineStr">
        <is>
          <t>GOTLAND</t>
        </is>
      </c>
      <c r="G336" t="n">
        <v>4.4</v>
      </c>
      <c r="H336" t="n">
        <v>0</v>
      </c>
      <c r="I336" t="n">
        <v>0</v>
      </c>
      <c r="J336" t="n">
        <v>0</v>
      </c>
      <c r="K336" t="n">
        <v>0</v>
      </c>
      <c r="L336" t="n">
        <v>0</v>
      </c>
      <c r="M336" t="n">
        <v>0</v>
      </c>
      <c r="N336" t="n">
        <v>0</v>
      </c>
      <c r="O336" t="n">
        <v>0</v>
      </c>
      <c r="P336" t="n">
        <v>0</v>
      </c>
      <c r="Q336" t="n">
        <v>0</v>
      </c>
      <c r="R336" s="2" t="inlineStr"/>
    </row>
    <row r="337" ht="15" customHeight="1">
      <c r="A337" t="inlineStr">
        <is>
          <t>A 23473-2025</t>
        </is>
      </c>
      <c r="B337" s="1" t="n">
        <v>45792</v>
      </c>
      <c r="C337" s="1" t="n">
        <v>45981</v>
      </c>
      <c r="D337" t="inlineStr">
        <is>
          <t>GOTLANDS LÄN</t>
        </is>
      </c>
      <c r="E337" t="inlineStr">
        <is>
          <t>GOTLAND</t>
        </is>
      </c>
      <c r="G337" t="n">
        <v>3.6</v>
      </c>
      <c r="H337" t="n">
        <v>0</v>
      </c>
      <c r="I337" t="n">
        <v>0</v>
      </c>
      <c r="J337" t="n">
        <v>0</v>
      </c>
      <c r="K337" t="n">
        <v>0</v>
      </c>
      <c r="L337" t="n">
        <v>0</v>
      </c>
      <c r="M337" t="n">
        <v>0</v>
      </c>
      <c r="N337" t="n">
        <v>0</v>
      </c>
      <c r="O337" t="n">
        <v>0</v>
      </c>
      <c r="P337" t="n">
        <v>0</v>
      </c>
      <c r="Q337" t="n">
        <v>0</v>
      </c>
      <c r="R337" s="2" t="inlineStr"/>
    </row>
    <row r="338" ht="15" customHeight="1">
      <c r="A338" t="inlineStr">
        <is>
          <t>A 23698-2025</t>
        </is>
      </c>
      <c r="B338" s="1" t="n">
        <v>45793</v>
      </c>
      <c r="C338" s="1" t="n">
        <v>45981</v>
      </c>
      <c r="D338" t="inlineStr">
        <is>
          <t>GOTLANDS LÄN</t>
        </is>
      </c>
      <c r="E338" t="inlineStr">
        <is>
          <t>GOTLAND</t>
        </is>
      </c>
      <c r="G338" t="n">
        <v>0.8</v>
      </c>
      <c r="H338" t="n">
        <v>0</v>
      </c>
      <c r="I338" t="n">
        <v>0</v>
      </c>
      <c r="J338" t="n">
        <v>0</v>
      </c>
      <c r="K338" t="n">
        <v>0</v>
      </c>
      <c r="L338" t="n">
        <v>0</v>
      </c>
      <c r="M338" t="n">
        <v>0</v>
      </c>
      <c r="N338" t="n">
        <v>0</v>
      </c>
      <c r="O338" t="n">
        <v>0</v>
      </c>
      <c r="P338" t="n">
        <v>0</v>
      </c>
      <c r="Q338" t="n">
        <v>0</v>
      </c>
      <c r="R338" s="2" t="inlineStr"/>
    </row>
    <row r="339" ht="15" customHeight="1">
      <c r="A339" t="inlineStr">
        <is>
          <t>A 15073-2025</t>
        </is>
      </c>
      <c r="B339" s="1" t="n">
        <v>45743</v>
      </c>
      <c r="C339" s="1" t="n">
        <v>45981</v>
      </c>
      <c r="D339" t="inlineStr">
        <is>
          <t>GOTLANDS LÄN</t>
        </is>
      </c>
      <c r="E339" t="inlineStr">
        <is>
          <t>GOTLAND</t>
        </is>
      </c>
      <c r="G339" t="n">
        <v>12.1</v>
      </c>
      <c r="H339" t="n">
        <v>0</v>
      </c>
      <c r="I339" t="n">
        <v>0</v>
      </c>
      <c r="J339" t="n">
        <v>0</v>
      </c>
      <c r="K339" t="n">
        <v>0</v>
      </c>
      <c r="L339" t="n">
        <v>0</v>
      </c>
      <c r="M339" t="n">
        <v>0</v>
      </c>
      <c r="N339" t="n">
        <v>0</v>
      </c>
      <c r="O339" t="n">
        <v>0</v>
      </c>
      <c r="P339" t="n">
        <v>0</v>
      </c>
      <c r="Q339" t="n">
        <v>0</v>
      </c>
      <c r="R339" s="2" t="inlineStr"/>
    </row>
    <row r="340" ht="15" customHeight="1">
      <c r="A340" t="inlineStr">
        <is>
          <t>A 5751-2024</t>
        </is>
      </c>
      <c r="B340" s="1" t="n">
        <v>45335.32702546296</v>
      </c>
      <c r="C340" s="1" t="n">
        <v>45981</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6696-2023</t>
        </is>
      </c>
      <c r="B341" s="1" t="n">
        <v>44966.66425925926</v>
      </c>
      <c r="C341" s="1" t="n">
        <v>45981</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17780-2022</t>
        </is>
      </c>
      <c r="B342" s="1" t="n">
        <v>44682.82622685185</v>
      </c>
      <c r="C342" s="1" t="n">
        <v>45981</v>
      </c>
      <c r="D342" t="inlineStr">
        <is>
          <t>GOTLANDS LÄN</t>
        </is>
      </c>
      <c r="E342" t="inlineStr">
        <is>
          <t>GOTLAND</t>
        </is>
      </c>
      <c r="G342" t="n">
        <v>2.2</v>
      </c>
      <c r="H342" t="n">
        <v>0</v>
      </c>
      <c r="I342" t="n">
        <v>0</v>
      </c>
      <c r="J342" t="n">
        <v>0</v>
      </c>
      <c r="K342" t="n">
        <v>0</v>
      </c>
      <c r="L342" t="n">
        <v>0</v>
      </c>
      <c r="M342" t="n">
        <v>0</v>
      </c>
      <c r="N342" t="n">
        <v>0</v>
      </c>
      <c r="O342" t="n">
        <v>0</v>
      </c>
      <c r="P342" t="n">
        <v>0</v>
      </c>
      <c r="Q342" t="n">
        <v>0</v>
      </c>
      <c r="R342" s="2" t="inlineStr"/>
    </row>
    <row r="343" ht="15" customHeight="1">
      <c r="A343" t="inlineStr">
        <is>
          <t>A 28480-2023</t>
        </is>
      </c>
      <c r="B343" s="1" t="n">
        <v>45103</v>
      </c>
      <c r="C343" s="1" t="n">
        <v>45981</v>
      </c>
      <c r="D343" t="inlineStr">
        <is>
          <t>GOTLANDS LÄN</t>
        </is>
      </c>
      <c r="E343" t="inlineStr">
        <is>
          <t>GOTLAND</t>
        </is>
      </c>
      <c r="G343" t="n">
        <v>5.7</v>
      </c>
      <c r="H343" t="n">
        <v>0</v>
      </c>
      <c r="I343" t="n">
        <v>0</v>
      </c>
      <c r="J343" t="n">
        <v>0</v>
      </c>
      <c r="K343" t="n">
        <v>0</v>
      </c>
      <c r="L343" t="n">
        <v>0</v>
      </c>
      <c r="M343" t="n">
        <v>0</v>
      </c>
      <c r="N343" t="n">
        <v>0</v>
      </c>
      <c r="O343" t="n">
        <v>0</v>
      </c>
      <c r="P343" t="n">
        <v>0</v>
      </c>
      <c r="Q343" t="n">
        <v>0</v>
      </c>
      <c r="R343" s="2" t="inlineStr"/>
    </row>
    <row r="344" ht="15" customHeight="1">
      <c r="A344" t="inlineStr">
        <is>
          <t>A 28485-2023</t>
        </is>
      </c>
      <c r="B344" s="1" t="n">
        <v>45103.43731481482</v>
      </c>
      <c r="C344" s="1" t="n">
        <v>45981</v>
      </c>
      <c r="D344" t="inlineStr">
        <is>
          <t>GOTLANDS LÄN</t>
        </is>
      </c>
      <c r="E344" t="inlineStr">
        <is>
          <t>GOTLAND</t>
        </is>
      </c>
      <c r="G344" t="n">
        <v>2.3</v>
      </c>
      <c r="H344" t="n">
        <v>0</v>
      </c>
      <c r="I344" t="n">
        <v>0</v>
      </c>
      <c r="J344" t="n">
        <v>0</v>
      </c>
      <c r="K344" t="n">
        <v>0</v>
      </c>
      <c r="L344" t="n">
        <v>0</v>
      </c>
      <c r="M344" t="n">
        <v>0</v>
      </c>
      <c r="N344" t="n">
        <v>0</v>
      </c>
      <c r="O344" t="n">
        <v>0</v>
      </c>
      <c r="P344" t="n">
        <v>0</v>
      </c>
      <c r="Q344" t="n">
        <v>0</v>
      </c>
      <c r="R344" s="2" t="inlineStr"/>
    </row>
    <row r="345" ht="15" customHeight="1">
      <c r="A345" t="inlineStr">
        <is>
          <t>A 63516-2023</t>
        </is>
      </c>
      <c r="B345" s="1" t="n">
        <v>45274</v>
      </c>
      <c r="C345" s="1" t="n">
        <v>45981</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4990-2025</t>
        </is>
      </c>
      <c r="B346" s="1" t="n">
        <v>45691</v>
      </c>
      <c r="C346" s="1" t="n">
        <v>45981</v>
      </c>
      <c r="D346" t="inlineStr">
        <is>
          <t>GOTLANDS LÄN</t>
        </is>
      </c>
      <c r="E346" t="inlineStr">
        <is>
          <t>GOTLAND</t>
        </is>
      </c>
      <c r="G346" t="n">
        <v>7.7</v>
      </c>
      <c r="H346" t="n">
        <v>0</v>
      </c>
      <c r="I346" t="n">
        <v>0</v>
      </c>
      <c r="J346" t="n">
        <v>0</v>
      </c>
      <c r="K346" t="n">
        <v>0</v>
      </c>
      <c r="L346" t="n">
        <v>0</v>
      </c>
      <c r="M346" t="n">
        <v>0</v>
      </c>
      <c r="N346" t="n">
        <v>0</v>
      </c>
      <c r="O346" t="n">
        <v>0</v>
      </c>
      <c r="P346" t="n">
        <v>0</v>
      </c>
      <c r="Q346" t="n">
        <v>0</v>
      </c>
      <c r="R346" s="2" t="inlineStr"/>
    </row>
    <row r="347" ht="15" customHeight="1">
      <c r="A347" t="inlineStr">
        <is>
          <t>A 6749-2025</t>
        </is>
      </c>
      <c r="B347" s="1" t="n">
        <v>45700</v>
      </c>
      <c r="C347" s="1" t="n">
        <v>45981</v>
      </c>
      <c r="D347" t="inlineStr">
        <is>
          <t>GOTLANDS LÄN</t>
        </is>
      </c>
      <c r="E347" t="inlineStr">
        <is>
          <t>GOTLAND</t>
        </is>
      </c>
      <c r="G347" t="n">
        <v>4.5</v>
      </c>
      <c r="H347" t="n">
        <v>0</v>
      </c>
      <c r="I347" t="n">
        <v>0</v>
      </c>
      <c r="J347" t="n">
        <v>0</v>
      </c>
      <c r="K347" t="n">
        <v>0</v>
      </c>
      <c r="L347" t="n">
        <v>0</v>
      </c>
      <c r="M347" t="n">
        <v>0</v>
      </c>
      <c r="N347" t="n">
        <v>0</v>
      </c>
      <c r="O347" t="n">
        <v>0</v>
      </c>
      <c r="P347" t="n">
        <v>0</v>
      </c>
      <c r="Q347" t="n">
        <v>0</v>
      </c>
      <c r="R347" s="2" t="inlineStr"/>
    </row>
    <row r="348" ht="15" customHeight="1">
      <c r="A348" t="inlineStr">
        <is>
          <t>A 53935-2024</t>
        </is>
      </c>
      <c r="B348" s="1" t="n">
        <v>45615</v>
      </c>
      <c r="C348" s="1" t="n">
        <v>45981</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5462-2025</t>
        </is>
      </c>
      <c r="B349" s="1" t="n">
        <v>45693.29331018519</v>
      </c>
      <c r="C349" s="1" t="n">
        <v>45981</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38165-2023</t>
        </is>
      </c>
      <c r="B350" s="1" t="n">
        <v>45161</v>
      </c>
      <c r="C350" s="1" t="n">
        <v>45981</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69112-2021</t>
        </is>
      </c>
      <c r="B351" s="1" t="n">
        <v>44530</v>
      </c>
      <c r="C351" s="1" t="n">
        <v>45981</v>
      </c>
      <c r="D351" t="inlineStr">
        <is>
          <t>GOTLANDS LÄN</t>
        </is>
      </c>
      <c r="E351" t="inlineStr">
        <is>
          <t>GOTLAND</t>
        </is>
      </c>
      <c r="G351" t="n">
        <v>4.2</v>
      </c>
      <c r="H351" t="n">
        <v>0</v>
      </c>
      <c r="I351" t="n">
        <v>0</v>
      </c>
      <c r="J351" t="n">
        <v>0</v>
      </c>
      <c r="K351" t="n">
        <v>0</v>
      </c>
      <c r="L351" t="n">
        <v>0</v>
      </c>
      <c r="M351" t="n">
        <v>0</v>
      </c>
      <c r="N351" t="n">
        <v>0</v>
      </c>
      <c r="O351" t="n">
        <v>0</v>
      </c>
      <c r="P351" t="n">
        <v>0</v>
      </c>
      <c r="Q351" t="n">
        <v>0</v>
      </c>
      <c r="R351" s="2" t="inlineStr"/>
    </row>
    <row r="352" ht="15" customHeight="1">
      <c r="A352" t="inlineStr">
        <is>
          <t>A 48734-2022</t>
        </is>
      </c>
      <c r="B352" s="1" t="n">
        <v>44855</v>
      </c>
      <c r="C352" s="1" t="n">
        <v>45981</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50928-2025</t>
        </is>
      </c>
      <c r="B353" s="1" t="n">
        <v>45946.67896990741</v>
      </c>
      <c r="C353" s="1" t="n">
        <v>45981</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23516-2023</t>
        </is>
      </c>
      <c r="B354" s="1" t="n">
        <v>45076.93391203704</v>
      </c>
      <c r="C354" s="1" t="n">
        <v>45981</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43231-2023</t>
        </is>
      </c>
      <c r="B355" s="1" t="n">
        <v>45183.47025462963</v>
      </c>
      <c r="C355" s="1" t="n">
        <v>45981</v>
      </c>
      <c r="D355" t="inlineStr">
        <is>
          <t>GOTLANDS LÄN</t>
        </is>
      </c>
      <c r="E355" t="inlineStr">
        <is>
          <t>GOTLAND</t>
        </is>
      </c>
      <c r="G355" t="n">
        <v>3.6</v>
      </c>
      <c r="H355" t="n">
        <v>0</v>
      </c>
      <c r="I355" t="n">
        <v>0</v>
      </c>
      <c r="J355" t="n">
        <v>0</v>
      </c>
      <c r="K355" t="n">
        <v>0</v>
      </c>
      <c r="L355" t="n">
        <v>0</v>
      </c>
      <c r="M355" t="n">
        <v>0</v>
      </c>
      <c r="N355" t="n">
        <v>0</v>
      </c>
      <c r="O355" t="n">
        <v>0</v>
      </c>
      <c r="P355" t="n">
        <v>0</v>
      </c>
      <c r="Q355" t="n">
        <v>0</v>
      </c>
      <c r="R355" s="2" t="inlineStr"/>
    </row>
    <row r="356" ht="15" customHeight="1">
      <c r="A356" t="inlineStr">
        <is>
          <t>A 58230-2024</t>
        </is>
      </c>
      <c r="B356" s="1" t="n">
        <v>45632.51625</v>
      </c>
      <c r="C356" s="1" t="n">
        <v>45981</v>
      </c>
      <c r="D356" t="inlineStr">
        <is>
          <t>GOTLANDS LÄN</t>
        </is>
      </c>
      <c r="E356" t="inlineStr">
        <is>
          <t>GOTLAND</t>
        </is>
      </c>
      <c r="G356" t="n">
        <v>7.3</v>
      </c>
      <c r="H356" t="n">
        <v>0</v>
      </c>
      <c r="I356" t="n">
        <v>0</v>
      </c>
      <c r="J356" t="n">
        <v>0</v>
      </c>
      <c r="K356" t="n">
        <v>0</v>
      </c>
      <c r="L356" t="n">
        <v>0</v>
      </c>
      <c r="M356" t="n">
        <v>0</v>
      </c>
      <c r="N356" t="n">
        <v>0</v>
      </c>
      <c r="O356" t="n">
        <v>0</v>
      </c>
      <c r="P356" t="n">
        <v>0</v>
      </c>
      <c r="Q356" t="n">
        <v>0</v>
      </c>
      <c r="R356" s="2" t="inlineStr"/>
    </row>
    <row r="357" ht="15" customHeight="1">
      <c r="A357" t="inlineStr">
        <is>
          <t>A 42608-2025</t>
        </is>
      </c>
      <c r="B357" s="1" t="n">
        <v>45905</v>
      </c>
      <c r="C357" s="1" t="n">
        <v>45981</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64555-2023</t>
        </is>
      </c>
      <c r="B358" s="1" t="n">
        <v>45281</v>
      </c>
      <c r="C358" s="1" t="n">
        <v>45981</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457-2023</t>
        </is>
      </c>
      <c r="B359" s="1" t="n">
        <v>44929.87238425926</v>
      </c>
      <c r="C359" s="1" t="n">
        <v>45981</v>
      </c>
      <c r="D359" t="inlineStr">
        <is>
          <t>GOTLANDS LÄN</t>
        </is>
      </c>
      <c r="E359" t="inlineStr">
        <is>
          <t>GOTLAND</t>
        </is>
      </c>
      <c r="G359" t="n">
        <v>2.4</v>
      </c>
      <c r="H359" t="n">
        <v>0</v>
      </c>
      <c r="I359" t="n">
        <v>0</v>
      </c>
      <c r="J359" t="n">
        <v>0</v>
      </c>
      <c r="K359" t="n">
        <v>0</v>
      </c>
      <c r="L359" t="n">
        <v>0</v>
      </c>
      <c r="M359" t="n">
        <v>0</v>
      </c>
      <c r="N359" t="n">
        <v>0</v>
      </c>
      <c r="O359" t="n">
        <v>0</v>
      </c>
      <c r="P359" t="n">
        <v>0</v>
      </c>
      <c r="Q359" t="n">
        <v>0</v>
      </c>
      <c r="R359" s="2" t="inlineStr"/>
    </row>
    <row r="360" ht="15" customHeight="1">
      <c r="A360" t="inlineStr">
        <is>
          <t>A 459-2023</t>
        </is>
      </c>
      <c r="B360" s="1" t="n">
        <v>44929.87423611111</v>
      </c>
      <c r="C360" s="1" t="n">
        <v>45981</v>
      </c>
      <c r="D360" t="inlineStr">
        <is>
          <t>GOTLANDS LÄN</t>
        </is>
      </c>
      <c r="E360" t="inlineStr">
        <is>
          <t>GOTLAND</t>
        </is>
      </c>
      <c r="G360" t="n">
        <v>4.2</v>
      </c>
      <c r="H360" t="n">
        <v>0</v>
      </c>
      <c r="I360" t="n">
        <v>0</v>
      </c>
      <c r="J360" t="n">
        <v>0</v>
      </c>
      <c r="K360" t="n">
        <v>0</v>
      </c>
      <c r="L360" t="n">
        <v>0</v>
      </c>
      <c r="M360" t="n">
        <v>0</v>
      </c>
      <c r="N360" t="n">
        <v>0</v>
      </c>
      <c r="O360" t="n">
        <v>0</v>
      </c>
      <c r="P360" t="n">
        <v>0</v>
      </c>
      <c r="Q360" t="n">
        <v>0</v>
      </c>
      <c r="R360" s="2" t="inlineStr"/>
    </row>
    <row r="361" ht="15" customHeight="1">
      <c r="A361" t="inlineStr">
        <is>
          <t>A 49693-2023</t>
        </is>
      </c>
      <c r="B361" s="1" t="n">
        <v>45212.38138888889</v>
      </c>
      <c r="C361" s="1" t="n">
        <v>45981</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49697-2023</t>
        </is>
      </c>
      <c r="B362" s="1" t="n">
        <v>45212.38909722222</v>
      </c>
      <c r="C362" s="1" t="n">
        <v>45981</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34312-2024</t>
        </is>
      </c>
      <c r="B363" s="1" t="n">
        <v>45524.69703703704</v>
      </c>
      <c r="C363" s="1" t="n">
        <v>45981</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16373-2025</t>
        </is>
      </c>
      <c r="B364" s="1" t="n">
        <v>45751</v>
      </c>
      <c r="C364" s="1" t="n">
        <v>45981</v>
      </c>
      <c r="D364" t="inlineStr">
        <is>
          <t>GOTLANDS LÄN</t>
        </is>
      </c>
      <c r="E364" t="inlineStr">
        <is>
          <t>GOTLAND</t>
        </is>
      </c>
      <c r="G364" t="n">
        <v>1.5</v>
      </c>
      <c r="H364" t="n">
        <v>0</v>
      </c>
      <c r="I364" t="n">
        <v>0</v>
      </c>
      <c r="J364" t="n">
        <v>0</v>
      </c>
      <c r="K364" t="n">
        <v>0</v>
      </c>
      <c r="L364" t="n">
        <v>0</v>
      </c>
      <c r="M364" t="n">
        <v>0</v>
      </c>
      <c r="N364" t="n">
        <v>0</v>
      </c>
      <c r="O364" t="n">
        <v>0</v>
      </c>
      <c r="P364" t="n">
        <v>0</v>
      </c>
      <c r="Q364" t="n">
        <v>0</v>
      </c>
      <c r="R364" s="2" t="inlineStr"/>
    </row>
    <row r="365" ht="15" customHeight="1">
      <c r="A365" t="inlineStr">
        <is>
          <t>A 876-2024</t>
        </is>
      </c>
      <c r="B365" s="1" t="n">
        <v>45301</v>
      </c>
      <c r="C365" s="1" t="n">
        <v>45981</v>
      </c>
      <c r="D365" t="inlineStr">
        <is>
          <t>GOTLANDS LÄN</t>
        </is>
      </c>
      <c r="E365" t="inlineStr">
        <is>
          <t>GOTLAND</t>
        </is>
      </c>
      <c r="G365" t="n">
        <v>5.3</v>
      </c>
      <c r="H365" t="n">
        <v>0</v>
      </c>
      <c r="I365" t="n">
        <v>0</v>
      </c>
      <c r="J365" t="n">
        <v>0</v>
      </c>
      <c r="K365" t="n">
        <v>0</v>
      </c>
      <c r="L365" t="n">
        <v>0</v>
      </c>
      <c r="M365" t="n">
        <v>0</v>
      </c>
      <c r="N365" t="n">
        <v>0</v>
      </c>
      <c r="O365" t="n">
        <v>0</v>
      </c>
      <c r="P365" t="n">
        <v>0</v>
      </c>
      <c r="Q365" t="n">
        <v>0</v>
      </c>
      <c r="R365" s="2" t="inlineStr"/>
    </row>
    <row r="366" ht="15" customHeight="1">
      <c r="A366" t="inlineStr">
        <is>
          <t>A 51262-2025</t>
        </is>
      </c>
      <c r="B366" s="1" t="n">
        <v>45949.49872685185</v>
      </c>
      <c r="C366" s="1" t="n">
        <v>45981</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26891-2024</t>
        </is>
      </c>
      <c r="B367" s="1" t="n">
        <v>45470.65540509259</v>
      </c>
      <c r="C367" s="1" t="n">
        <v>45981</v>
      </c>
      <c r="D367" t="inlineStr">
        <is>
          <t>GOTLANDS LÄN</t>
        </is>
      </c>
      <c r="E367" t="inlineStr">
        <is>
          <t>GOTLAND</t>
        </is>
      </c>
      <c r="G367" t="n">
        <v>0.8</v>
      </c>
      <c r="H367" t="n">
        <v>0</v>
      </c>
      <c r="I367" t="n">
        <v>0</v>
      </c>
      <c r="J367" t="n">
        <v>0</v>
      </c>
      <c r="K367" t="n">
        <v>0</v>
      </c>
      <c r="L367" t="n">
        <v>0</v>
      </c>
      <c r="M367" t="n">
        <v>0</v>
      </c>
      <c r="N367" t="n">
        <v>0</v>
      </c>
      <c r="O367" t="n">
        <v>0</v>
      </c>
      <c r="P367" t="n">
        <v>0</v>
      </c>
      <c r="Q367" t="n">
        <v>0</v>
      </c>
      <c r="R367" s="2" t="inlineStr"/>
    </row>
    <row r="368" ht="15" customHeight="1">
      <c r="A368" t="inlineStr">
        <is>
          <t>A 14536-2021</t>
        </is>
      </c>
      <c r="B368" s="1" t="n">
        <v>44279.66168981481</v>
      </c>
      <c r="C368" s="1" t="n">
        <v>45981</v>
      </c>
      <c r="D368" t="inlineStr">
        <is>
          <t>GOTLANDS LÄN</t>
        </is>
      </c>
      <c r="E368" t="inlineStr">
        <is>
          <t>GOTLAND</t>
        </is>
      </c>
      <c r="G368" t="n">
        <v>8.5</v>
      </c>
      <c r="H368" t="n">
        <v>0</v>
      </c>
      <c r="I368" t="n">
        <v>0</v>
      </c>
      <c r="J368" t="n">
        <v>0</v>
      </c>
      <c r="K368" t="n">
        <v>0</v>
      </c>
      <c r="L368" t="n">
        <v>0</v>
      </c>
      <c r="M368" t="n">
        <v>0</v>
      </c>
      <c r="N368" t="n">
        <v>0</v>
      </c>
      <c r="O368" t="n">
        <v>0</v>
      </c>
      <c r="P368" t="n">
        <v>0</v>
      </c>
      <c r="Q368" t="n">
        <v>0</v>
      </c>
      <c r="R368" s="2" t="inlineStr"/>
    </row>
    <row r="369" ht="15" customHeight="1">
      <c r="A369" t="inlineStr">
        <is>
          <t>A 5923-2023</t>
        </is>
      </c>
      <c r="B369" s="1" t="n">
        <v>44963.69503472222</v>
      </c>
      <c r="C369" s="1" t="n">
        <v>45981</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48503-2023</t>
        </is>
      </c>
      <c r="B370" s="1" t="n">
        <v>45207</v>
      </c>
      <c r="C370" s="1" t="n">
        <v>45981</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50482-2024</t>
        </is>
      </c>
      <c r="B371" s="1" t="n">
        <v>45601.48114583334</v>
      </c>
      <c r="C371" s="1" t="n">
        <v>45981</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5943-2024</t>
        </is>
      </c>
      <c r="B372" s="1" t="n">
        <v>45336</v>
      </c>
      <c r="C372" s="1" t="n">
        <v>45981</v>
      </c>
      <c r="D372" t="inlineStr">
        <is>
          <t>GOTLANDS LÄN</t>
        </is>
      </c>
      <c r="E372" t="inlineStr">
        <is>
          <t>GOTLAND</t>
        </is>
      </c>
      <c r="G372" t="n">
        <v>4.3</v>
      </c>
      <c r="H372" t="n">
        <v>0</v>
      </c>
      <c r="I372" t="n">
        <v>0</v>
      </c>
      <c r="J372" t="n">
        <v>0</v>
      </c>
      <c r="K372" t="n">
        <v>0</v>
      </c>
      <c r="L372" t="n">
        <v>0</v>
      </c>
      <c r="M372" t="n">
        <v>0</v>
      </c>
      <c r="N372" t="n">
        <v>0</v>
      </c>
      <c r="O372" t="n">
        <v>0</v>
      </c>
      <c r="P372" t="n">
        <v>0</v>
      </c>
      <c r="Q372" t="n">
        <v>0</v>
      </c>
      <c r="R372" s="2" t="inlineStr"/>
    </row>
    <row r="373" ht="15" customHeight="1">
      <c r="A373" t="inlineStr">
        <is>
          <t>A 24825-2024</t>
        </is>
      </c>
      <c r="B373" s="1" t="n">
        <v>45461</v>
      </c>
      <c r="C373" s="1" t="n">
        <v>45981</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38234-2023</t>
        </is>
      </c>
      <c r="B374" s="1" t="n">
        <v>45161.56663194444</v>
      </c>
      <c r="C374" s="1" t="n">
        <v>45981</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1273-2023</t>
        </is>
      </c>
      <c r="B375" s="1" t="n">
        <v>44936</v>
      </c>
      <c r="C375" s="1" t="n">
        <v>45981</v>
      </c>
      <c r="D375" t="inlineStr">
        <is>
          <t>GOTLANDS LÄN</t>
        </is>
      </c>
      <c r="E375" t="inlineStr">
        <is>
          <t>GOTLAND</t>
        </is>
      </c>
      <c r="G375" t="n">
        <v>4.5</v>
      </c>
      <c r="H375" t="n">
        <v>0</v>
      </c>
      <c r="I375" t="n">
        <v>0</v>
      </c>
      <c r="J375" t="n">
        <v>0</v>
      </c>
      <c r="K375" t="n">
        <v>0</v>
      </c>
      <c r="L375" t="n">
        <v>0</v>
      </c>
      <c r="M375" t="n">
        <v>0</v>
      </c>
      <c r="N375" t="n">
        <v>0</v>
      </c>
      <c r="O375" t="n">
        <v>0</v>
      </c>
      <c r="P375" t="n">
        <v>0</v>
      </c>
      <c r="Q375" t="n">
        <v>0</v>
      </c>
      <c r="R375" s="2" t="inlineStr"/>
    </row>
    <row r="376" ht="15" customHeight="1">
      <c r="A376" t="inlineStr">
        <is>
          <t>A 22031-2024</t>
        </is>
      </c>
      <c r="B376" s="1" t="n">
        <v>45443.60075231481</v>
      </c>
      <c r="C376" s="1" t="n">
        <v>45981</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17688-2024</t>
        </is>
      </c>
      <c r="B377" s="1" t="n">
        <v>45418.43575231481</v>
      </c>
      <c r="C377" s="1" t="n">
        <v>45981</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10158-2025</t>
        </is>
      </c>
      <c r="B378" s="1" t="n">
        <v>45719</v>
      </c>
      <c r="C378" s="1" t="n">
        <v>45981</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17724-2024</t>
        </is>
      </c>
      <c r="B379" s="1" t="n">
        <v>45418.55096064815</v>
      </c>
      <c r="C379" s="1" t="n">
        <v>45981</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52249-2025</t>
        </is>
      </c>
      <c r="B380" s="1" t="n">
        <v>45953.48637731482</v>
      </c>
      <c r="C380" s="1" t="n">
        <v>45981</v>
      </c>
      <c r="D380" t="inlineStr">
        <is>
          <t>GOTLANDS LÄN</t>
        </is>
      </c>
      <c r="E380" t="inlineStr">
        <is>
          <t>GOTLAND</t>
        </is>
      </c>
      <c r="F380" t="inlineStr">
        <is>
          <t>Övriga Aktiebolag</t>
        </is>
      </c>
      <c r="G380" t="n">
        <v>1</v>
      </c>
      <c r="H380" t="n">
        <v>0</v>
      </c>
      <c r="I380" t="n">
        <v>0</v>
      </c>
      <c r="J380" t="n">
        <v>0</v>
      </c>
      <c r="K380" t="n">
        <v>0</v>
      </c>
      <c r="L380" t="n">
        <v>0</v>
      </c>
      <c r="M380" t="n">
        <v>0</v>
      </c>
      <c r="N380" t="n">
        <v>0</v>
      </c>
      <c r="O380" t="n">
        <v>0</v>
      </c>
      <c r="P380" t="n">
        <v>0</v>
      </c>
      <c r="Q380" t="n">
        <v>0</v>
      </c>
      <c r="R380" s="2" t="inlineStr"/>
    </row>
    <row r="381" ht="15" customHeight="1">
      <c r="A381" t="inlineStr">
        <is>
          <t>A 27694-2024</t>
        </is>
      </c>
      <c r="B381" s="1" t="n">
        <v>45475</v>
      </c>
      <c r="C381" s="1" t="n">
        <v>45981</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23978-2023</t>
        </is>
      </c>
      <c r="B382" s="1" t="n">
        <v>45078</v>
      </c>
      <c r="C382" s="1" t="n">
        <v>45981</v>
      </c>
      <c r="D382" t="inlineStr">
        <is>
          <t>GOTLANDS LÄN</t>
        </is>
      </c>
      <c r="E382" t="inlineStr">
        <is>
          <t>GOTLAND</t>
        </is>
      </c>
      <c r="F382" t="inlineStr">
        <is>
          <t>Naturvårdsverket</t>
        </is>
      </c>
      <c r="G382" t="n">
        <v>1.7</v>
      </c>
      <c r="H382" t="n">
        <v>0</v>
      </c>
      <c r="I382" t="n">
        <v>0</v>
      </c>
      <c r="J382" t="n">
        <v>0</v>
      </c>
      <c r="K382" t="n">
        <v>0</v>
      </c>
      <c r="L382" t="n">
        <v>0</v>
      </c>
      <c r="M382" t="n">
        <v>0</v>
      </c>
      <c r="N382" t="n">
        <v>0</v>
      </c>
      <c r="O382" t="n">
        <v>0</v>
      </c>
      <c r="P382" t="n">
        <v>0</v>
      </c>
      <c r="Q382" t="n">
        <v>0</v>
      </c>
      <c r="R382" s="2" t="inlineStr"/>
    </row>
    <row r="383" ht="15" customHeight="1">
      <c r="A383" t="inlineStr">
        <is>
          <t>A 49884-2023</t>
        </is>
      </c>
      <c r="B383" s="1" t="n">
        <v>45213</v>
      </c>
      <c r="C383" s="1" t="n">
        <v>45981</v>
      </c>
      <c r="D383" t="inlineStr">
        <is>
          <t>GOTLANDS LÄN</t>
        </is>
      </c>
      <c r="E383" t="inlineStr">
        <is>
          <t>GOTLAND</t>
        </is>
      </c>
      <c r="G383" t="n">
        <v>8.9</v>
      </c>
      <c r="H383" t="n">
        <v>0</v>
      </c>
      <c r="I383" t="n">
        <v>0</v>
      </c>
      <c r="J383" t="n">
        <v>0</v>
      </c>
      <c r="K383" t="n">
        <v>0</v>
      </c>
      <c r="L383" t="n">
        <v>0</v>
      </c>
      <c r="M383" t="n">
        <v>0</v>
      </c>
      <c r="N383" t="n">
        <v>0</v>
      </c>
      <c r="O383" t="n">
        <v>0</v>
      </c>
      <c r="P383" t="n">
        <v>0</v>
      </c>
      <c r="Q383" t="n">
        <v>0</v>
      </c>
      <c r="R383" s="2" t="inlineStr"/>
    </row>
    <row r="384" ht="15" customHeight="1">
      <c r="A384" t="inlineStr">
        <is>
          <t>A 39764-2022</t>
        </is>
      </c>
      <c r="B384" s="1" t="n">
        <v>44819</v>
      </c>
      <c r="C384" s="1" t="n">
        <v>45981</v>
      </c>
      <c r="D384" t="inlineStr">
        <is>
          <t>GOTLANDS LÄN</t>
        </is>
      </c>
      <c r="E384" t="inlineStr">
        <is>
          <t>GOTLAND</t>
        </is>
      </c>
      <c r="F384" t="inlineStr">
        <is>
          <t>Kyrkan</t>
        </is>
      </c>
      <c r="G384" t="n">
        <v>3.7</v>
      </c>
      <c r="H384" t="n">
        <v>0</v>
      </c>
      <c r="I384" t="n">
        <v>0</v>
      </c>
      <c r="J384" t="n">
        <v>0</v>
      </c>
      <c r="K384" t="n">
        <v>0</v>
      </c>
      <c r="L384" t="n">
        <v>0</v>
      </c>
      <c r="M384" t="n">
        <v>0</v>
      </c>
      <c r="N384" t="n">
        <v>0</v>
      </c>
      <c r="O384" t="n">
        <v>0</v>
      </c>
      <c r="P384" t="n">
        <v>0</v>
      </c>
      <c r="Q384" t="n">
        <v>0</v>
      </c>
      <c r="R384" s="2" t="inlineStr"/>
    </row>
    <row r="385" ht="15" customHeight="1">
      <c r="A385" t="inlineStr">
        <is>
          <t>A 6099-2024</t>
        </is>
      </c>
      <c r="B385" s="1" t="n">
        <v>45337</v>
      </c>
      <c r="C385" s="1" t="n">
        <v>45981</v>
      </c>
      <c r="D385" t="inlineStr">
        <is>
          <t>GOTLANDS LÄN</t>
        </is>
      </c>
      <c r="E385" t="inlineStr">
        <is>
          <t>GOTLAND</t>
        </is>
      </c>
      <c r="G385" t="n">
        <v>12.6</v>
      </c>
      <c r="H385" t="n">
        <v>0</v>
      </c>
      <c r="I385" t="n">
        <v>0</v>
      </c>
      <c r="J385" t="n">
        <v>0</v>
      </c>
      <c r="K385" t="n">
        <v>0</v>
      </c>
      <c r="L385" t="n">
        <v>0</v>
      </c>
      <c r="M385" t="n">
        <v>0</v>
      </c>
      <c r="N385" t="n">
        <v>0</v>
      </c>
      <c r="O385" t="n">
        <v>0</v>
      </c>
      <c r="P385" t="n">
        <v>0</v>
      </c>
      <c r="Q385" t="n">
        <v>0</v>
      </c>
      <c r="R385" s="2" t="inlineStr"/>
    </row>
    <row r="386" ht="15" customHeight="1">
      <c r="A386" t="inlineStr">
        <is>
          <t>A 8260-2023</t>
        </is>
      </c>
      <c r="B386" s="1" t="n">
        <v>44974.61608796296</v>
      </c>
      <c r="C386" s="1" t="n">
        <v>45981</v>
      </c>
      <c r="D386" t="inlineStr">
        <is>
          <t>GOTLANDS LÄN</t>
        </is>
      </c>
      <c r="E386" t="inlineStr">
        <is>
          <t>GOTLAND</t>
        </is>
      </c>
      <c r="G386" t="n">
        <v>2.9</v>
      </c>
      <c r="H386" t="n">
        <v>0</v>
      </c>
      <c r="I386" t="n">
        <v>0</v>
      </c>
      <c r="J386" t="n">
        <v>0</v>
      </c>
      <c r="K386" t="n">
        <v>0</v>
      </c>
      <c r="L386" t="n">
        <v>0</v>
      </c>
      <c r="M386" t="n">
        <v>0</v>
      </c>
      <c r="N386" t="n">
        <v>0</v>
      </c>
      <c r="O386" t="n">
        <v>0</v>
      </c>
      <c r="P386" t="n">
        <v>0</v>
      </c>
      <c r="Q386" t="n">
        <v>0</v>
      </c>
      <c r="R386" s="2" t="inlineStr"/>
    </row>
    <row r="387" ht="15" customHeight="1">
      <c r="A387" t="inlineStr">
        <is>
          <t>A 12846-2025</t>
        </is>
      </c>
      <c r="B387" s="1" t="n">
        <v>45733.65049768519</v>
      </c>
      <c r="C387" s="1" t="n">
        <v>45981</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43200-2023</t>
        </is>
      </c>
      <c r="B388" s="1" t="n">
        <v>45183</v>
      </c>
      <c r="C388" s="1" t="n">
        <v>45981</v>
      </c>
      <c r="D388" t="inlineStr">
        <is>
          <t>GOTLANDS LÄN</t>
        </is>
      </c>
      <c r="E388" t="inlineStr">
        <is>
          <t>GOTLAND</t>
        </is>
      </c>
      <c r="G388" t="n">
        <v>0.5</v>
      </c>
      <c r="H388" t="n">
        <v>0</v>
      </c>
      <c r="I388" t="n">
        <v>0</v>
      </c>
      <c r="J388" t="n">
        <v>0</v>
      </c>
      <c r="K388" t="n">
        <v>0</v>
      </c>
      <c r="L388" t="n">
        <v>0</v>
      </c>
      <c r="M388" t="n">
        <v>0</v>
      </c>
      <c r="N388" t="n">
        <v>0</v>
      </c>
      <c r="O388" t="n">
        <v>0</v>
      </c>
      <c r="P388" t="n">
        <v>0</v>
      </c>
      <c r="Q388" t="n">
        <v>0</v>
      </c>
      <c r="R388" s="2" t="inlineStr"/>
    </row>
    <row r="389" ht="15" customHeight="1">
      <c r="A389" t="inlineStr">
        <is>
          <t>A 43911-2025</t>
        </is>
      </c>
      <c r="B389" s="1" t="n">
        <v>45914.3881712963</v>
      </c>
      <c r="C389" s="1" t="n">
        <v>45981</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22287-2022</t>
        </is>
      </c>
      <c r="B390" s="1" t="n">
        <v>44712</v>
      </c>
      <c r="C390" s="1" t="n">
        <v>45981</v>
      </c>
      <c r="D390" t="inlineStr">
        <is>
          <t>GOTLANDS LÄN</t>
        </is>
      </c>
      <c r="E390" t="inlineStr">
        <is>
          <t>GOTLAND</t>
        </is>
      </c>
      <c r="G390" t="n">
        <v>6.1</v>
      </c>
      <c r="H390" t="n">
        <v>0</v>
      </c>
      <c r="I390" t="n">
        <v>0</v>
      </c>
      <c r="J390" t="n">
        <v>0</v>
      </c>
      <c r="K390" t="n">
        <v>0</v>
      </c>
      <c r="L390" t="n">
        <v>0</v>
      </c>
      <c r="M390" t="n">
        <v>0</v>
      </c>
      <c r="N390" t="n">
        <v>0</v>
      </c>
      <c r="O390" t="n">
        <v>0</v>
      </c>
      <c r="P390" t="n">
        <v>0</v>
      </c>
      <c r="Q390" t="n">
        <v>0</v>
      </c>
      <c r="R390" s="2" t="inlineStr"/>
    </row>
    <row r="391" ht="15" customHeight="1">
      <c r="A391" t="inlineStr">
        <is>
          <t>A 57534-2022</t>
        </is>
      </c>
      <c r="B391" s="1" t="n">
        <v>44896</v>
      </c>
      <c r="C391" s="1" t="n">
        <v>45981</v>
      </c>
      <c r="D391" t="inlineStr">
        <is>
          <t>GOTLANDS LÄN</t>
        </is>
      </c>
      <c r="E391" t="inlineStr">
        <is>
          <t>GOTLAND</t>
        </is>
      </c>
      <c r="G391" t="n">
        <v>0.6</v>
      </c>
      <c r="H391" t="n">
        <v>0</v>
      </c>
      <c r="I391" t="n">
        <v>0</v>
      </c>
      <c r="J391" t="n">
        <v>0</v>
      </c>
      <c r="K391" t="n">
        <v>0</v>
      </c>
      <c r="L391" t="n">
        <v>0</v>
      </c>
      <c r="M391" t="n">
        <v>0</v>
      </c>
      <c r="N391" t="n">
        <v>0</v>
      </c>
      <c r="O391" t="n">
        <v>0</v>
      </c>
      <c r="P391" t="n">
        <v>0</v>
      </c>
      <c r="Q391" t="n">
        <v>0</v>
      </c>
      <c r="R391" s="2" t="inlineStr"/>
    </row>
    <row r="392" ht="15" customHeight="1">
      <c r="A392" t="inlineStr">
        <is>
          <t>A 3935-2025</t>
        </is>
      </c>
      <c r="B392" s="1" t="n">
        <v>45684.46070601852</v>
      </c>
      <c r="C392" s="1" t="n">
        <v>45981</v>
      </c>
      <c r="D392" t="inlineStr">
        <is>
          <t>GOTLANDS LÄN</t>
        </is>
      </c>
      <c r="E392" t="inlineStr">
        <is>
          <t>GOTLAND</t>
        </is>
      </c>
      <c r="G392" t="n">
        <v>2.6</v>
      </c>
      <c r="H392" t="n">
        <v>0</v>
      </c>
      <c r="I392" t="n">
        <v>0</v>
      </c>
      <c r="J392" t="n">
        <v>0</v>
      </c>
      <c r="K392" t="n">
        <v>0</v>
      </c>
      <c r="L392" t="n">
        <v>0</v>
      </c>
      <c r="M392" t="n">
        <v>0</v>
      </c>
      <c r="N392" t="n">
        <v>0</v>
      </c>
      <c r="O392" t="n">
        <v>0</v>
      </c>
      <c r="P392" t="n">
        <v>0</v>
      </c>
      <c r="Q392" t="n">
        <v>0</v>
      </c>
      <c r="R392" s="2" t="inlineStr"/>
    </row>
    <row r="393" ht="15" customHeight="1">
      <c r="A393" t="inlineStr">
        <is>
          <t>A 21792-2024</t>
        </is>
      </c>
      <c r="B393" s="1" t="n">
        <v>45442.64326388889</v>
      </c>
      <c r="C393" s="1" t="n">
        <v>45981</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43951-2025</t>
        </is>
      </c>
      <c r="B394" s="1" t="n">
        <v>45915.38119212963</v>
      </c>
      <c r="C394" s="1" t="n">
        <v>45981</v>
      </c>
      <c r="D394" t="inlineStr">
        <is>
          <t>GOTLANDS LÄN</t>
        </is>
      </c>
      <c r="E394" t="inlineStr">
        <is>
          <t>GOTLAND</t>
        </is>
      </c>
      <c r="G394" t="n">
        <v>4.4</v>
      </c>
      <c r="H394" t="n">
        <v>0</v>
      </c>
      <c r="I394" t="n">
        <v>0</v>
      </c>
      <c r="J394" t="n">
        <v>0</v>
      </c>
      <c r="K394" t="n">
        <v>0</v>
      </c>
      <c r="L394" t="n">
        <v>0</v>
      </c>
      <c r="M394" t="n">
        <v>0</v>
      </c>
      <c r="N394" t="n">
        <v>0</v>
      </c>
      <c r="O394" t="n">
        <v>0</v>
      </c>
      <c r="P394" t="n">
        <v>0</v>
      </c>
      <c r="Q394" t="n">
        <v>0</v>
      </c>
      <c r="R394" s="2" t="inlineStr"/>
    </row>
    <row r="395" ht="15" customHeight="1">
      <c r="A395" t="inlineStr">
        <is>
          <t>A 52637-2025</t>
        </is>
      </c>
      <c r="B395" s="1" t="n">
        <v>45954.75099537037</v>
      </c>
      <c r="C395" s="1" t="n">
        <v>45981</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25796-2025</t>
        </is>
      </c>
      <c r="B396" s="1" t="n">
        <v>45804.39543981481</v>
      </c>
      <c r="C396" s="1" t="n">
        <v>45981</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64660-2023</t>
        </is>
      </c>
      <c r="B397" s="1" t="n">
        <v>45281.60122685185</v>
      </c>
      <c r="C397" s="1" t="n">
        <v>45981</v>
      </c>
      <c r="D397" t="inlineStr">
        <is>
          <t>GOTLANDS LÄN</t>
        </is>
      </c>
      <c r="E397" t="inlineStr">
        <is>
          <t>GOTLAND</t>
        </is>
      </c>
      <c r="G397" t="n">
        <v>6.3</v>
      </c>
      <c r="H397" t="n">
        <v>0</v>
      </c>
      <c r="I397" t="n">
        <v>0</v>
      </c>
      <c r="J397" t="n">
        <v>0</v>
      </c>
      <c r="K397" t="n">
        <v>0</v>
      </c>
      <c r="L397" t="n">
        <v>0</v>
      </c>
      <c r="M397" t="n">
        <v>0</v>
      </c>
      <c r="N397" t="n">
        <v>0</v>
      </c>
      <c r="O397" t="n">
        <v>0</v>
      </c>
      <c r="P397" t="n">
        <v>0</v>
      </c>
      <c r="Q397" t="n">
        <v>0</v>
      </c>
      <c r="R397" s="2" t="inlineStr"/>
    </row>
    <row r="398" ht="15" customHeight="1">
      <c r="A398" t="inlineStr">
        <is>
          <t>A 48843-2024</t>
        </is>
      </c>
      <c r="B398" s="1" t="n">
        <v>45593</v>
      </c>
      <c r="C398" s="1" t="n">
        <v>45981</v>
      </c>
      <c r="D398" t="inlineStr">
        <is>
          <t>GOTLANDS LÄN</t>
        </is>
      </c>
      <c r="E398" t="inlineStr">
        <is>
          <t>GOTLAND</t>
        </is>
      </c>
      <c r="G398" t="n">
        <v>0.5</v>
      </c>
      <c r="H398" t="n">
        <v>0</v>
      </c>
      <c r="I398" t="n">
        <v>0</v>
      </c>
      <c r="J398" t="n">
        <v>0</v>
      </c>
      <c r="K398" t="n">
        <v>0</v>
      </c>
      <c r="L398" t="n">
        <v>0</v>
      </c>
      <c r="M398" t="n">
        <v>0</v>
      </c>
      <c r="N398" t="n">
        <v>0</v>
      </c>
      <c r="O398" t="n">
        <v>0</v>
      </c>
      <c r="P398" t="n">
        <v>0</v>
      </c>
      <c r="Q398" t="n">
        <v>0</v>
      </c>
      <c r="R398" s="2" t="inlineStr"/>
    </row>
    <row r="399" ht="15" customHeight="1">
      <c r="A399" t="inlineStr">
        <is>
          <t>A 44410-2025</t>
        </is>
      </c>
      <c r="B399" s="1" t="n">
        <v>45916.53699074074</v>
      </c>
      <c r="C399" s="1" t="n">
        <v>45981</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26465-2025</t>
        </is>
      </c>
      <c r="B400" s="1" t="n">
        <v>45807.44377314814</v>
      </c>
      <c r="C400" s="1" t="n">
        <v>45981</v>
      </c>
      <c r="D400" t="inlineStr">
        <is>
          <t>GOTLANDS LÄN</t>
        </is>
      </c>
      <c r="E400" t="inlineStr">
        <is>
          <t>GOTLAND</t>
        </is>
      </c>
      <c r="G400" t="n">
        <v>4.5</v>
      </c>
      <c r="H400" t="n">
        <v>0</v>
      </c>
      <c r="I400" t="n">
        <v>0</v>
      </c>
      <c r="J400" t="n">
        <v>0</v>
      </c>
      <c r="K400" t="n">
        <v>0</v>
      </c>
      <c r="L400" t="n">
        <v>0</v>
      </c>
      <c r="M400" t="n">
        <v>0</v>
      </c>
      <c r="N400" t="n">
        <v>0</v>
      </c>
      <c r="O400" t="n">
        <v>0</v>
      </c>
      <c r="P400" t="n">
        <v>0</v>
      </c>
      <c r="Q400" t="n">
        <v>0</v>
      </c>
      <c r="R400" s="2" t="inlineStr"/>
    </row>
    <row r="401" ht="15" customHeight="1">
      <c r="A401" t="inlineStr">
        <is>
          <t>A 44405-2025</t>
        </is>
      </c>
      <c r="B401" s="1" t="n">
        <v>45916.52405092592</v>
      </c>
      <c r="C401" s="1" t="n">
        <v>45981</v>
      </c>
      <c r="D401" t="inlineStr">
        <is>
          <t>GOTLANDS LÄN</t>
        </is>
      </c>
      <c r="E401" t="inlineStr">
        <is>
          <t>GOTLAND</t>
        </is>
      </c>
      <c r="G401" t="n">
        <v>2.6</v>
      </c>
      <c r="H401" t="n">
        <v>0</v>
      </c>
      <c r="I401" t="n">
        <v>0</v>
      </c>
      <c r="J401" t="n">
        <v>0</v>
      </c>
      <c r="K401" t="n">
        <v>0</v>
      </c>
      <c r="L401" t="n">
        <v>0</v>
      </c>
      <c r="M401" t="n">
        <v>0</v>
      </c>
      <c r="N401" t="n">
        <v>0</v>
      </c>
      <c r="O401" t="n">
        <v>0</v>
      </c>
      <c r="P401" t="n">
        <v>0</v>
      </c>
      <c r="Q401" t="n">
        <v>0</v>
      </c>
      <c r="R401" s="2" t="inlineStr"/>
    </row>
    <row r="402" ht="15" customHeight="1">
      <c r="A402" t="inlineStr">
        <is>
          <t>A 26457-2025</t>
        </is>
      </c>
      <c r="B402" s="1" t="n">
        <v>45807.42773148148</v>
      </c>
      <c r="C402" s="1" t="n">
        <v>45981</v>
      </c>
      <c r="D402" t="inlineStr">
        <is>
          <t>GOTLANDS LÄN</t>
        </is>
      </c>
      <c r="E402" t="inlineStr">
        <is>
          <t>GOTLAND</t>
        </is>
      </c>
      <c r="G402" t="n">
        <v>5.7</v>
      </c>
      <c r="H402" t="n">
        <v>0</v>
      </c>
      <c r="I402" t="n">
        <v>0</v>
      </c>
      <c r="J402" t="n">
        <v>0</v>
      </c>
      <c r="K402" t="n">
        <v>0</v>
      </c>
      <c r="L402" t="n">
        <v>0</v>
      </c>
      <c r="M402" t="n">
        <v>0</v>
      </c>
      <c r="N402" t="n">
        <v>0</v>
      </c>
      <c r="O402" t="n">
        <v>0</v>
      </c>
      <c r="P402" t="n">
        <v>0</v>
      </c>
      <c r="Q402" t="n">
        <v>0</v>
      </c>
      <c r="R402" s="2" t="inlineStr"/>
    </row>
    <row r="403" ht="15" customHeight="1">
      <c r="A403" t="inlineStr">
        <is>
          <t>A 26467-2025</t>
        </is>
      </c>
      <c r="B403" s="1" t="n">
        <v>45807.44640046296</v>
      </c>
      <c r="C403" s="1" t="n">
        <v>45981</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10653-2023</t>
        </is>
      </c>
      <c r="B404" s="1" t="n">
        <v>44988.48859953704</v>
      </c>
      <c r="C404" s="1" t="n">
        <v>45981</v>
      </c>
      <c r="D404" t="inlineStr">
        <is>
          <t>GOTLANDS LÄN</t>
        </is>
      </c>
      <c r="E404" t="inlineStr">
        <is>
          <t>GOTLAND</t>
        </is>
      </c>
      <c r="F404" t="inlineStr">
        <is>
          <t>Kyrkan</t>
        </is>
      </c>
      <c r="G404" t="n">
        <v>3</v>
      </c>
      <c r="H404" t="n">
        <v>0</v>
      </c>
      <c r="I404" t="n">
        <v>0</v>
      </c>
      <c r="J404" t="n">
        <v>0</v>
      </c>
      <c r="K404" t="n">
        <v>0</v>
      </c>
      <c r="L404" t="n">
        <v>0</v>
      </c>
      <c r="M404" t="n">
        <v>0</v>
      </c>
      <c r="N404" t="n">
        <v>0</v>
      </c>
      <c r="O404" t="n">
        <v>0</v>
      </c>
      <c r="P404" t="n">
        <v>0</v>
      </c>
      <c r="Q404" t="n">
        <v>0</v>
      </c>
      <c r="R404" s="2" t="inlineStr"/>
    </row>
    <row r="405" ht="15" customHeight="1">
      <c r="A405" t="inlineStr">
        <is>
          <t>A 53587-2025</t>
        </is>
      </c>
      <c r="B405" s="1" t="n">
        <v>45960.43681712963</v>
      </c>
      <c r="C405" s="1" t="n">
        <v>45981</v>
      </c>
      <c r="D405" t="inlineStr">
        <is>
          <t>GOTLANDS LÄN</t>
        </is>
      </c>
      <c r="E405" t="inlineStr">
        <is>
          <t>GOTLAND</t>
        </is>
      </c>
      <c r="F405" t="inlineStr">
        <is>
          <t>Övriga Aktiebolag</t>
        </is>
      </c>
      <c r="G405" t="n">
        <v>1.7</v>
      </c>
      <c r="H405" t="n">
        <v>0</v>
      </c>
      <c r="I405" t="n">
        <v>0</v>
      </c>
      <c r="J405" t="n">
        <v>0</v>
      </c>
      <c r="K405" t="n">
        <v>0</v>
      </c>
      <c r="L405" t="n">
        <v>0</v>
      </c>
      <c r="M405" t="n">
        <v>0</v>
      </c>
      <c r="N405" t="n">
        <v>0</v>
      </c>
      <c r="O405" t="n">
        <v>0</v>
      </c>
      <c r="P405" t="n">
        <v>0</v>
      </c>
      <c r="Q405" t="n">
        <v>0</v>
      </c>
      <c r="R405" s="2" t="inlineStr"/>
    </row>
    <row r="406" ht="15" customHeight="1">
      <c r="A406" t="inlineStr">
        <is>
          <t>A 35512-2023</t>
        </is>
      </c>
      <c r="B406" s="1" t="n">
        <v>45147.25623842593</v>
      </c>
      <c r="C406" s="1" t="n">
        <v>45981</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20855-2023</t>
        </is>
      </c>
      <c r="B407" s="1" t="n">
        <v>45058.82172453704</v>
      </c>
      <c r="C407" s="1" t="n">
        <v>45981</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26660-2025</t>
        </is>
      </c>
      <c r="B408" s="1" t="n">
        <v>45810.39737268518</v>
      </c>
      <c r="C408" s="1" t="n">
        <v>45981</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11874-2024</t>
        </is>
      </c>
      <c r="B409" s="1" t="n">
        <v>45376.46956018519</v>
      </c>
      <c r="C409" s="1" t="n">
        <v>45981</v>
      </c>
      <c r="D409" t="inlineStr">
        <is>
          <t>GOTLANDS LÄN</t>
        </is>
      </c>
      <c r="E409" t="inlineStr">
        <is>
          <t>GOTLAND</t>
        </is>
      </c>
      <c r="G409" t="n">
        <v>0.8</v>
      </c>
      <c r="H409" t="n">
        <v>0</v>
      </c>
      <c r="I409" t="n">
        <v>0</v>
      </c>
      <c r="J409" t="n">
        <v>0</v>
      </c>
      <c r="K409" t="n">
        <v>0</v>
      </c>
      <c r="L409" t="n">
        <v>0</v>
      </c>
      <c r="M409" t="n">
        <v>0</v>
      </c>
      <c r="N409" t="n">
        <v>0</v>
      </c>
      <c r="O409" t="n">
        <v>0</v>
      </c>
      <c r="P409" t="n">
        <v>0</v>
      </c>
      <c r="Q409" t="n">
        <v>0</v>
      </c>
      <c r="R409" s="2" t="inlineStr"/>
    </row>
    <row r="410" ht="15" customHeight="1">
      <c r="A410" t="inlineStr">
        <is>
          <t>A 60709-2023</t>
        </is>
      </c>
      <c r="B410" s="1" t="n">
        <v>45260</v>
      </c>
      <c r="C410" s="1" t="n">
        <v>45981</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53561-2025</t>
        </is>
      </c>
      <c r="B411" s="1" t="n">
        <v>45960.4059375</v>
      </c>
      <c r="C411" s="1" t="n">
        <v>45981</v>
      </c>
      <c r="D411" t="inlineStr">
        <is>
          <t>GOTLANDS LÄN</t>
        </is>
      </c>
      <c r="E411" t="inlineStr">
        <is>
          <t>GOTLAND</t>
        </is>
      </c>
      <c r="F411" t="inlineStr">
        <is>
          <t>Övriga Aktiebolag</t>
        </is>
      </c>
      <c r="G411" t="n">
        <v>2.4</v>
      </c>
      <c r="H411" t="n">
        <v>0</v>
      </c>
      <c r="I411" t="n">
        <v>0</v>
      </c>
      <c r="J411" t="n">
        <v>0</v>
      </c>
      <c r="K411" t="n">
        <v>0</v>
      </c>
      <c r="L411" t="n">
        <v>0</v>
      </c>
      <c r="M411" t="n">
        <v>0</v>
      </c>
      <c r="N411" t="n">
        <v>0</v>
      </c>
      <c r="O411" t="n">
        <v>0</v>
      </c>
      <c r="P411" t="n">
        <v>0</v>
      </c>
      <c r="Q411" t="n">
        <v>0</v>
      </c>
      <c r="R411" s="2" t="inlineStr"/>
    </row>
    <row r="412" ht="15" customHeight="1">
      <c r="A412" t="inlineStr">
        <is>
          <t>A 53569-2025</t>
        </is>
      </c>
      <c r="B412" s="1" t="n">
        <v>45960.41155092593</v>
      </c>
      <c r="C412" s="1" t="n">
        <v>45981</v>
      </c>
      <c r="D412" t="inlineStr">
        <is>
          <t>GOTLANDS LÄN</t>
        </is>
      </c>
      <c r="E412" t="inlineStr">
        <is>
          <t>GOTLAND</t>
        </is>
      </c>
      <c r="F412" t="inlineStr">
        <is>
          <t>Övriga Aktiebolag</t>
        </is>
      </c>
      <c r="G412" t="n">
        <v>11.3</v>
      </c>
      <c r="H412" t="n">
        <v>0</v>
      </c>
      <c r="I412" t="n">
        <v>0</v>
      </c>
      <c r="J412" t="n">
        <v>0</v>
      </c>
      <c r="K412" t="n">
        <v>0</v>
      </c>
      <c r="L412" t="n">
        <v>0</v>
      </c>
      <c r="M412" t="n">
        <v>0</v>
      </c>
      <c r="N412" t="n">
        <v>0</v>
      </c>
      <c r="O412" t="n">
        <v>0</v>
      </c>
      <c r="P412" t="n">
        <v>0</v>
      </c>
      <c r="Q412" t="n">
        <v>0</v>
      </c>
      <c r="R412" s="2" t="inlineStr"/>
    </row>
    <row r="413" ht="15" customHeight="1">
      <c r="A413" t="inlineStr">
        <is>
          <t>A 53577-2025</t>
        </is>
      </c>
      <c r="B413" s="1" t="n">
        <v>45960.42224537037</v>
      </c>
      <c r="C413" s="1" t="n">
        <v>45981</v>
      </c>
      <c r="D413" t="inlineStr">
        <is>
          <t>GOTLANDS LÄN</t>
        </is>
      </c>
      <c r="E413" t="inlineStr">
        <is>
          <t>GOTLAND</t>
        </is>
      </c>
      <c r="F413" t="inlineStr">
        <is>
          <t>Övriga Aktiebolag</t>
        </is>
      </c>
      <c r="G413" t="n">
        <v>3.3</v>
      </c>
      <c r="H413" t="n">
        <v>0</v>
      </c>
      <c r="I413" t="n">
        <v>0</v>
      </c>
      <c r="J413" t="n">
        <v>0</v>
      </c>
      <c r="K413" t="n">
        <v>0</v>
      </c>
      <c r="L413" t="n">
        <v>0</v>
      </c>
      <c r="M413" t="n">
        <v>0</v>
      </c>
      <c r="N413" t="n">
        <v>0</v>
      </c>
      <c r="O413" t="n">
        <v>0</v>
      </c>
      <c r="P413" t="n">
        <v>0</v>
      </c>
      <c r="Q413" t="n">
        <v>0</v>
      </c>
      <c r="R413" s="2" t="inlineStr"/>
    </row>
    <row r="414" ht="15" customHeight="1">
      <c r="A414" t="inlineStr">
        <is>
          <t>A 1000-2024</t>
        </is>
      </c>
      <c r="B414" s="1" t="n">
        <v>45301.63371527778</v>
      </c>
      <c r="C414" s="1" t="n">
        <v>45981</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1010-2024</t>
        </is>
      </c>
      <c r="B415" s="1" t="n">
        <v>45301</v>
      </c>
      <c r="C415" s="1" t="n">
        <v>45981</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65249-2023</t>
        </is>
      </c>
      <c r="B416" s="1" t="n">
        <v>45290</v>
      </c>
      <c r="C416" s="1" t="n">
        <v>45981</v>
      </c>
      <c r="D416" t="inlineStr">
        <is>
          <t>GOTLANDS LÄN</t>
        </is>
      </c>
      <c r="E416" t="inlineStr">
        <is>
          <t>GOTLAND</t>
        </is>
      </c>
      <c r="G416" t="n">
        <v>2.4</v>
      </c>
      <c r="H416" t="n">
        <v>0</v>
      </c>
      <c r="I416" t="n">
        <v>0</v>
      </c>
      <c r="J416" t="n">
        <v>0</v>
      </c>
      <c r="K416" t="n">
        <v>0</v>
      </c>
      <c r="L416" t="n">
        <v>0</v>
      </c>
      <c r="M416" t="n">
        <v>0</v>
      </c>
      <c r="N416" t="n">
        <v>0</v>
      </c>
      <c r="O416" t="n">
        <v>0</v>
      </c>
      <c r="P416" t="n">
        <v>0</v>
      </c>
      <c r="Q416" t="n">
        <v>0</v>
      </c>
      <c r="R416" s="2" t="inlineStr"/>
    </row>
    <row r="417" ht="15" customHeight="1">
      <c r="A417" t="inlineStr">
        <is>
          <t>A 20225-2025</t>
        </is>
      </c>
      <c r="B417" s="1" t="n">
        <v>45772.65802083333</v>
      </c>
      <c r="C417" s="1" t="n">
        <v>45981</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30956-2024</t>
        </is>
      </c>
      <c r="B418" s="1" t="n">
        <v>45499.42527777778</v>
      </c>
      <c r="C418" s="1" t="n">
        <v>45981</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1677-2023</t>
        </is>
      </c>
      <c r="B419" s="1" t="n">
        <v>44938</v>
      </c>
      <c r="C419" s="1" t="n">
        <v>45981</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12596-2023</t>
        </is>
      </c>
      <c r="B420" s="1" t="n">
        <v>45000.43310185185</v>
      </c>
      <c r="C420" s="1" t="n">
        <v>45981</v>
      </c>
      <c r="D420" t="inlineStr">
        <is>
          <t>GOTLANDS LÄN</t>
        </is>
      </c>
      <c r="E420" t="inlineStr">
        <is>
          <t>GOTLAND</t>
        </is>
      </c>
      <c r="G420" t="n">
        <v>4.1</v>
      </c>
      <c r="H420" t="n">
        <v>0</v>
      </c>
      <c r="I420" t="n">
        <v>0</v>
      </c>
      <c r="J420" t="n">
        <v>0</v>
      </c>
      <c r="K420" t="n">
        <v>0</v>
      </c>
      <c r="L420" t="n">
        <v>0</v>
      </c>
      <c r="M420" t="n">
        <v>0</v>
      </c>
      <c r="N420" t="n">
        <v>0</v>
      </c>
      <c r="O420" t="n">
        <v>0</v>
      </c>
      <c r="P420" t="n">
        <v>0</v>
      </c>
      <c r="Q420" t="n">
        <v>0</v>
      </c>
      <c r="R420" s="2" t="inlineStr"/>
    </row>
    <row r="421" ht="15" customHeight="1">
      <c r="A421" t="inlineStr">
        <is>
          <t>A 64831-2023</t>
        </is>
      </c>
      <c r="B421" s="1" t="n">
        <v>45282.44924768519</v>
      </c>
      <c r="C421" s="1" t="n">
        <v>45981</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27355-2025</t>
        </is>
      </c>
      <c r="B422" s="1" t="n">
        <v>45812</v>
      </c>
      <c r="C422" s="1" t="n">
        <v>45981</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8045-2022</t>
        </is>
      </c>
      <c r="B423" s="1" t="n">
        <v>44609</v>
      </c>
      <c r="C423" s="1" t="n">
        <v>45981</v>
      </c>
      <c r="D423" t="inlineStr">
        <is>
          <t>GOTLANDS LÄN</t>
        </is>
      </c>
      <c r="E423" t="inlineStr">
        <is>
          <t>GOTLAND</t>
        </is>
      </c>
      <c r="G423" t="n">
        <v>7</v>
      </c>
      <c r="H423" t="n">
        <v>0</v>
      </c>
      <c r="I423" t="n">
        <v>0</v>
      </c>
      <c r="J423" t="n">
        <v>0</v>
      </c>
      <c r="K423" t="n">
        <v>0</v>
      </c>
      <c r="L423" t="n">
        <v>0</v>
      </c>
      <c r="M423" t="n">
        <v>0</v>
      </c>
      <c r="N423" t="n">
        <v>0</v>
      </c>
      <c r="O423" t="n">
        <v>0</v>
      </c>
      <c r="P423" t="n">
        <v>0</v>
      </c>
      <c r="Q423" t="n">
        <v>0</v>
      </c>
      <c r="R423" s="2" t="inlineStr"/>
    </row>
    <row r="424" ht="15" customHeight="1">
      <c r="A424" t="inlineStr">
        <is>
          <t>A 8036-2022</t>
        </is>
      </c>
      <c r="B424" s="1" t="n">
        <v>44609.44362268518</v>
      </c>
      <c r="C424" s="1" t="n">
        <v>45981</v>
      </c>
      <c r="D424" t="inlineStr">
        <is>
          <t>GOTLANDS LÄN</t>
        </is>
      </c>
      <c r="E424" t="inlineStr">
        <is>
          <t>GOTLAND</t>
        </is>
      </c>
      <c r="G424" t="n">
        <v>6.1</v>
      </c>
      <c r="H424" t="n">
        <v>0</v>
      </c>
      <c r="I424" t="n">
        <v>0</v>
      </c>
      <c r="J424" t="n">
        <v>0</v>
      </c>
      <c r="K424" t="n">
        <v>0</v>
      </c>
      <c r="L424" t="n">
        <v>0</v>
      </c>
      <c r="M424" t="n">
        <v>0</v>
      </c>
      <c r="N424" t="n">
        <v>0</v>
      </c>
      <c r="O424" t="n">
        <v>0</v>
      </c>
      <c r="P424" t="n">
        <v>0</v>
      </c>
      <c r="Q424" t="n">
        <v>0</v>
      </c>
      <c r="R424" s="2" t="inlineStr"/>
    </row>
    <row r="425" ht="15" customHeight="1">
      <c r="A425" t="inlineStr">
        <is>
          <t>A 54584-2025</t>
        </is>
      </c>
      <c r="B425" s="1" t="n">
        <v>45965.71788194445</v>
      </c>
      <c r="C425" s="1" t="n">
        <v>45981</v>
      </c>
      <c r="D425" t="inlineStr">
        <is>
          <t>GOTLANDS LÄN</t>
        </is>
      </c>
      <c r="E425" t="inlineStr">
        <is>
          <t>GOTLAND</t>
        </is>
      </c>
      <c r="G425" t="n">
        <v>3.5</v>
      </c>
      <c r="H425" t="n">
        <v>0</v>
      </c>
      <c r="I425" t="n">
        <v>0</v>
      </c>
      <c r="J425" t="n">
        <v>0</v>
      </c>
      <c r="K425" t="n">
        <v>0</v>
      </c>
      <c r="L425" t="n">
        <v>0</v>
      </c>
      <c r="M425" t="n">
        <v>0</v>
      </c>
      <c r="N425" t="n">
        <v>0</v>
      </c>
      <c r="O425" t="n">
        <v>0</v>
      </c>
      <c r="P425" t="n">
        <v>0</v>
      </c>
      <c r="Q425" t="n">
        <v>0</v>
      </c>
      <c r="R425" s="2" t="inlineStr"/>
    </row>
    <row r="426" ht="15" customHeight="1">
      <c r="A426" t="inlineStr">
        <is>
          <t>A 46375-2024</t>
        </is>
      </c>
      <c r="B426" s="1" t="n">
        <v>45582</v>
      </c>
      <c r="C426" s="1" t="n">
        <v>45981</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999-2024</t>
        </is>
      </c>
      <c r="B427" s="1" t="n">
        <v>45301</v>
      </c>
      <c r="C427" s="1" t="n">
        <v>45981</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27371-2025</t>
        </is>
      </c>
      <c r="B428" s="1" t="n">
        <v>45812</v>
      </c>
      <c r="C428" s="1" t="n">
        <v>45981</v>
      </c>
      <c r="D428" t="inlineStr">
        <is>
          <t>GOTLANDS LÄN</t>
        </is>
      </c>
      <c r="E428" t="inlineStr">
        <is>
          <t>GOTLAND</t>
        </is>
      </c>
      <c r="G428" t="n">
        <v>8</v>
      </c>
      <c r="H428" t="n">
        <v>0</v>
      </c>
      <c r="I428" t="n">
        <v>0</v>
      </c>
      <c r="J428" t="n">
        <v>0</v>
      </c>
      <c r="K428" t="n">
        <v>0</v>
      </c>
      <c r="L428" t="n">
        <v>0</v>
      </c>
      <c r="M428" t="n">
        <v>0</v>
      </c>
      <c r="N428" t="n">
        <v>0</v>
      </c>
      <c r="O428" t="n">
        <v>0</v>
      </c>
      <c r="P428" t="n">
        <v>0</v>
      </c>
      <c r="Q428" t="n">
        <v>0</v>
      </c>
      <c r="R428" s="2" t="inlineStr"/>
    </row>
    <row r="429" ht="15" customHeight="1">
      <c r="A429" t="inlineStr">
        <is>
          <t>A 62915-2021</t>
        </is>
      </c>
      <c r="B429" s="1" t="n">
        <v>44504</v>
      </c>
      <c r="C429" s="1" t="n">
        <v>45981</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65901-2021</t>
        </is>
      </c>
      <c r="B430" s="1" t="n">
        <v>44516</v>
      </c>
      <c r="C430" s="1" t="n">
        <v>45981</v>
      </c>
      <c r="D430" t="inlineStr">
        <is>
          <t>GOTLANDS LÄN</t>
        </is>
      </c>
      <c r="E430" t="inlineStr">
        <is>
          <t>GOTLAND</t>
        </is>
      </c>
      <c r="G430" t="n">
        <v>4.9</v>
      </c>
      <c r="H430" t="n">
        <v>0</v>
      </c>
      <c r="I430" t="n">
        <v>0</v>
      </c>
      <c r="J430" t="n">
        <v>0</v>
      </c>
      <c r="K430" t="n">
        <v>0</v>
      </c>
      <c r="L430" t="n">
        <v>0</v>
      </c>
      <c r="M430" t="n">
        <v>0</v>
      </c>
      <c r="N430" t="n">
        <v>0</v>
      </c>
      <c r="O430" t="n">
        <v>0</v>
      </c>
      <c r="P430" t="n">
        <v>0</v>
      </c>
      <c r="Q430" t="n">
        <v>0</v>
      </c>
      <c r="R430" s="2" t="inlineStr"/>
    </row>
    <row r="431" ht="15" customHeight="1">
      <c r="A431" t="inlineStr">
        <is>
          <t>A 47762-2023</t>
        </is>
      </c>
      <c r="B431" s="1" t="n">
        <v>45203.86256944444</v>
      </c>
      <c r="C431" s="1" t="n">
        <v>45981</v>
      </c>
      <c r="D431" t="inlineStr">
        <is>
          <t>GOTLANDS LÄN</t>
        </is>
      </c>
      <c r="E431" t="inlineStr">
        <is>
          <t>GOTLAND</t>
        </is>
      </c>
      <c r="G431" t="n">
        <v>1.3</v>
      </c>
      <c r="H431" t="n">
        <v>0</v>
      </c>
      <c r="I431" t="n">
        <v>0</v>
      </c>
      <c r="J431" t="n">
        <v>0</v>
      </c>
      <c r="K431" t="n">
        <v>0</v>
      </c>
      <c r="L431" t="n">
        <v>0</v>
      </c>
      <c r="M431" t="n">
        <v>0</v>
      </c>
      <c r="N431" t="n">
        <v>0</v>
      </c>
      <c r="O431" t="n">
        <v>0</v>
      </c>
      <c r="P431" t="n">
        <v>0</v>
      </c>
      <c r="Q431" t="n">
        <v>0</v>
      </c>
      <c r="R431" s="2" t="inlineStr"/>
    </row>
    <row r="432" ht="15" customHeight="1">
      <c r="A432" t="inlineStr">
        <is>
          <t>A 7638-2025</t>
        </is>
      </c>
      <c r="B432" s="1" t="n">
        <v>45705.77306712963</v>
      </c>
      <c r="C432" s="1" t="n">
        <v>45981</v>
      </c>
      <c r="D432" t="inlineStr">
        <is>
          <t>GOTLANDS LÄN</t>
        </is>
      </c>
      <c r="E432" t="inlineStr">
        <is>
          <t>GOTLAND</t>
        </is>
      </c>
      <c r="G432" t="n">
        <v>2.2</v>
      </c>
      <c r="H432" t="n">
        <v>0</v>
      </c>
      <c r="I432" t="n">
        <v>0</v>
      </c>
      <c r="J432" t="n">
        <v>0</v>
      </c>
      <c r="K432" t="n">
        <v>0</v>
      </c>
      <c r="L432" t="n">
        <v>0</v>
      </c>
      <c r="M432" t="n">
        <v>0</v>
      </c>
      <c r="N432" t="n">
        <v>0</v>
      </c>
      <c r="O432" t="n">
        <v>0</v>
      </c>
      <c r="P432" t="n">
        <v>0</v>
      </c>
      <c r="Q432" t="n">
        <v>0</v>
      </c>
      <c r="R432" s="2" t="inlineStr"/>
    </row>
    <row r="433" ht="15" customHeight="1">
      <c r="A433" t="inlineStr">
        <is>
          <t>A 40294-2022</t>
        </is>
      </c>
      <c r="B433" s="1" t="n">
        <v>44821</v>
      </c>
      <c r="C433" s="1" t="n">
        <v>45981</v>
      </c>
      <c r="D433" t="inlineStr">
        <is>
          <t>GOTLANDS LÄN</t>
        </is>
      </c>
      <c r="E433" t="inlineStr">
        <is>
          <t>GOTLAND</t>
        </is>
      </c>
      <c r="G433" t="n">
        <v>1.6</v>
      </c>
      <c r="H433" t="n">
        <v>0</v>
      </c>
      <c r="I433" t="n">
        <v>0</v>
      </c>
      <c r="J433" t="n">
        <v>0</v>
      </c>
      <c r="K433" t="n">
        <v>0</v>
      </c>
      <c r="L433" t="n">
        <v>0</v>
      </c>
      <c r="M433" t="n">
        <v>0</v>
      </c>
      <c r="N433" t="n">
        <v>0</v>
      </c>
      <c r="O433" t="n">
        <v>0</v>
      </c>
      <c r="P433" t="n">
        <v>0</v>
      </c>
      <c r="Q433" t="n">
        <v>0</v>
      </c>
      <c r="R433" s="2" t="inlineStr"/>
    </row>
    <row r="434" ht="15" customHeight="1">
      <c r="A434" t="inlineStr">
        <is>
          <t>A 27602-2023</t>
        </is>
      </c>
      <c r="B434" s="1" t="n">
        <v>45097</v>
      </c>
      <c r="C434" s="1" t="n">
        <v>45981</v>
      </c>
      <c r="D434" t="inlineStr">
        <is>
          <t>GOTLANDS LÄN</t>
        </is>
      </c>
      <c r="E434" t="inlineStr">
        <is>
          <t>GOTLAND</t>
        </is>
      </c>
      <c r="G434" t="n">
        <v>2.7</v>
      </c>
      <c r="H434" t="n">
        <v>0</v>
      </c>
      <c r="I434" t="n">
        <v>0</v>
      </c>
      <c r="J434" t="n">
        <v>0</v>
      </c>
      <c r="K434" t="n">
        <v>0</v>
      </c>
      <c r="L434" t="n">
        <v>0</v>
      </c>
      <c r="M434" t="n">
        <v>0</v>
      </c>
      <c r="N434" t="n">
        <v>0</v>
      </c>
      <c r="O434" t="n">
        <v>0</v>
      </c>
      <c r="P434" t="n">
        <v>0</v>
      </c>
      <c r="Q434" t="n">
        <v>0</v>
      </c>
      <c r="R434" s="2" t="inlineStr"/>
    </row>
    <row r="435" ht="15" customHeight="1">
      <c r="A435" t="inlineStr">
        <is>
          <t>A 58780-2024</t>
        </is>
      </c>
      <c r="B435" s="1" t="n">
        <v>45635.84113425926</v>
      </c>
      <c r="C435" s="1" t="n">
        <v>45981</v>
      </c>
      <c r="D435" t="inlineStr">
        <is>
          <t>GOTLANDS LÄN</t>
        </is>
      </c>
      <c r="E435" t="inlineStr">
        <is>
          <t>GOTLAND</t>
        </is>
      </c>
      <c r="G435" t="n">
        <v>2.6</v>
      </c>
      <c r="H435" t="n">
        <v>0</v>
      </c>
      <c r="I435" t="n">
        <v>0</v>
      </c>
      <c r="J435" t="n">
        <v>0</v>
      </c>
      <c r="K435" t="n">
        <v>0</v>
      </c>
      <c r="L435" t="n">
        <v>0</v>
      </c>
      <c r="M435" t="n">
        <v>0</v>
      </c>
      <c r="N435" t="n">
        <v>0</v>
      </c>
      <c r="O435" t="n">
        <v>0</v>
      </c>
      <c r="P435" t="n">
        <v>0</v>
      </c>
      <c r="Q435" t="n">
        <v>0</v>
      </c>
      <c r="R435" s="2" t="inlineStr"/>
    </row>
    <row r="436" ht="15" customHeight="1">
      <c r="A436" t="inlineStr">
        <is>
          <t>A 12322-2025</t>
        </is>
      </c>
      <c r="B436" s="1" t="n">
        <v>45730</v>
      </c>
      <c r="C436" s="1" t="n">
        <v>45981</v>
      </c>
      <c r="D436" t="inlineStr">
        <is>
          <t>GOTLANDS LÄN</t>
        </is>
      </c>
      <c r="E436" t="inlineStr">
        <is>
          <t>GOTLAND</t>
        </is>
      </c>
      <c r="G436" t="n">
        <v>1.4</v>
      </c>
      <c r="H436" t="n">
        <v>0</v>
      </c>
      <c r="I436" t="n">
        <v>0</v>
      </c>
      <c r="J436" t="n">
        <v>0</v>
      </c>
      <c r="K436" t="n">
        <v>0</v>
      </c>
      <c r="L436" t="n">
        <v>0</v>
      </c>
      <c r="M436" t="n">
        <v>0</v>
      </c>
      <c r="N436" t="n">
        <v>0</v>
      </c>
      <c r="O436" t="n">
        <v>0</v>
      </c>
      <c r="P436" t="n">
        <v>0</v>
      </c>
      <c r="Q436" t="n">
        <v>0</v>
      </c>
      <c r="R436" s="2" t="inlineStr"/>
    </row>
    <row r="437" ht="15" customHeight="1">
      <c r="A437" t="inlineStr">
        <is>
          <t>A 4377-2023</t>
        </is>
      </c>
      <c r="B437" s="1" t="n">
        <v>44955.5502662037</v>
      </c>
      <c r="C437" s="1" t="n">
        <v>45981</v>
      </c>
      <c r="D437" t="inlineStr">
        <is>
          <t>GOTLANDS LÄN</t>
        </is>
      </c>
      <c r="E437" t="inlineStr">
        <is>
          <t>GOTLAND</t>
        </is>
      </c>
      <c r="F437" t="inlineStr">
        <is>
          <t>Kyrkan</t>
        </is>
      </c>
      <c r="G437" t="n">
        <v>0.6</v>
      </c>
      <c r="H437" t="n">
        <v>0</v>
      </c>
      <c r="I437" t="n">
        <v>0</v>
      </c>
      <c r="J437" t="n">
        <v>0</v>
      </c>
      <c r="K437" t="n">
        <v>0</v>
      </c>
      <c r="L437" t="n">
        <v>0</v>
      </c>
      <c r="M437" t="n">
        <v>0</v>
      </c>
      <c r="N437" t="n">
        <v>0</v>
      </c>
      <c r="O437" t="n">
        <v>0</v>
      </c>
      <c r="P437" t="n">
        <v>0</v>
      </c>
      <c r="Q437" t="n">
        <v>0</v>
      </c>
      <c r="R437" s="2" t="inlineStr"/>
    </row>
    <row r="438" ht="15" customHeight="1">
      <c r="A438" t="inlineStr">
        <is>
          <t>A 24192-2023</t>
        </is>
      </c>
      <c r="B438" s="1" t="n">
        <v>45079</v>
      </c>
      <c r="C438" s="1" t="n">
        <v>45981</v>
      </c>
      <c r="D438" t="inlineStr">
        <is>
          <t>GOTLANDS LÄN</t>
        </is>
      </c>
      <c r="E438" t="inlineStr">
        <is>
          <t>GOTLAND</t>
        </is>
      </c>
      <c r="G438" t="n">
        <v>2.1</v>
      </c>
      <c r="H438" t="n">
        <v>0</v>
      </c>
      <c r="I438" t="n">
        <v>0</v>
      </c>
      <c r="J438" t="n">
        <v>0</v>
      </c>
      <c r="K438" t="n">
        <v>0</v>
      </c>
      <c r="L438" t="n">
        <v>0</v>
      </c>
      <c r="M438" t="n">
        <v>0</v>
      </c>
      <c r="N438" t="n">
        <v>0</v>
      </c>
      <c r="O438" t="n">
        <v>0</v>
      </c>
      <c r="P438" t="n">
        <v>0</v>
      </c>
      <c r="Q438" t="n">
        <v>0</v>
      </c>
      <c r="R438" s="2" t="inlineStr"/>
    </row>
    <row r="439" ht="15" customHeight="1">
      <c r="A439" t="inlineStr">
        <is>
          <t>A 30282-2022</t>
        </is>
      </c>
      <c r="B439" s="1" t="n">
        <v>44760</v>
      </c>
      <c r="C439" s="1" t="n">
        <v>45981</v>
      </c>
      <c r="D439" t="inlineStr">
        <is>
          <t>GOTLANDS LÄN</t>
        </is>
      </c>
      <c r="E439" t="inlineStr">
        <is>
          <t>GOTLAND</t>
        </is>
      </c>
      <c r="G439" t="n">
        <v>2.6</v>
      </c>
      <c r="H439" t="n">
        <v>0</v>
      </c>
      <c r="I439" t="n">
        <v>0</v>
      </c>
      <c r="J439" t="n">
        <v>0</v>
      </c>
      <c r="K439" t="n">
        <v>0</v>
      </c>
      <c r="L439" t="n">
        <v>0</v>
      </c>
      <c r="M439" t="n">
        <v>0</v>
      </c>
      <c r="N439" t="n">
        <v>0</v>
      </c>
      <c r="O439" t="n">
        <v>0</v>
      </c>
      <c r="P439" t="n">
        <v>0</v>
      </c>
      <c r="Q439" t="n">
        <v>0</v>
      </c>
      <c r="R439" s="2" t="inlineStr"/>
    </row>
    <row r="440" ht="15" customHeight="1">
      <c r="A440" t="inlineStr">
        <is>
          <t>A 43901-2023</t>
        </is>
      </c>
      <c r="B440" s="1" t="n">
        <v>45187</v>
      </c>
      <c r="C440" s="1" t="n">
        <v>45981</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17532-2024</t>
        </is>
      </c>
      <c r="B441" s="1" t="n">
        <v>45415</v>
      </c>
      <c r="C441" s="1" t="n">
        <v>45981</v>
      </c>
      <c r="D441" t="inlineStr">
        <is>
          <t>GOTLANDS LÄN</t>
        </is>
      </c>
      <c r="E441" t="inlineStr">
        <is>
          <t>GOTLAND</t>
        </is>
      </c>
      <c r="G441" t="n">
        <v>4.3</v>
      </c>
      <c r="H441" t="n">
        <v>0</v>
      </c>
      <c r="I441" t="n">
        <v>0</v>
      </c>
      <c r="J441" t="n">
        <v>0</v>
      </c>
      <c r="K441" t="n">
        <v>0</v>
      </c>
      <c r="L441" t="n">
        <v>0</v>
      </c>
      <c r="M441" t="n">
        <v>0</v>
      </c>
      <c r="N441" t="n">
        <v>0</v>
      </c>
      <c r="O441" t="n">
        <v>0</v>
      </c>
      <c r="P441" t="n">
        <v>0</v>
      </c>
      <c r="Q441" t="n">
        <v>0</v>
      </c>
      <c r="R441" s="2" t="inlineStr"/>
    </row>
    <row r="442" ht="15" customHeight="1">
      <c r="A442" t="inlineStr">
        <is>
          <t>A 45692-2023</t>
        </is>
      </c>
      <c r="B442" s="1" t="n">
        <v>45195</v>
      </c>
      <c r="C442" s="1" t="n">
        <v>45981</v>
      </c>
      <c r="D442" t="inlineStr">
        <is>
          <t>GOTLANDS LÄN</t>
        </is>
      </c>
      <c r="E442" t="inlineStr">
        <is>
          <t>GOTLAND</t>
        </is>
      </c>
      <c r="G442" t="n">
        <v>5.3</v>
      </c>
      <c r="H442" t="n">
        <v>0</v>
      </c>
      <c r="I442" t="n">
        <v>0</v>
      </c>
      <c r="J442" t="n">
        <v>0</v>
      </c>
      <c r="K442" t="n">
        <v>0</v>
      </c>
      <c r="L442" t="n">
        <v>0</v>
      </c>
      <c r="M442" t="n">
        <v>0</v>
      </c>
      <c r="N442" t="n">
        <v>0</v>
      </c>
      <c r="O442" t="n">
        <v>0</v>
      </c>
      <c r="P442" t="n">
        <v>0</v>
      </c>
      <c r="Q442" t="n">
        <v>0</v>
      </c>
      <c r="R442" s="2" t="inlineStr"/>
    </row>
    <row r="443" ht="15" customHeight="1">
      <c r="A443" t="inlineStr">
        <is>
          <t>A 7835-2024</t>
        </is>
      </c>
      <c r="B443" s="1" t="n">
        <v>45349.83138888889</v>
      </c>
      <c r="C443" s="1" t="n">
        <v>45981</v>
      </c>
      <c r="D443" t="inlineStr">
        <is>
          <t>GOTLANDS LÄN</t>
        </is>
      </c>
      <c r="E443" t="inlineStr">
        <is>
          <t>GOTLAND</t>
        </is>
      </c>
      <c r="G443" t="n">
        <v>3.8</v>
      </c>
      <c r="H443" t="n">
        <v>0</v>
      </c>
      <c r="I443" t="n">
        <v>0</v>
      </c>
      <c r="J443" t="n">
        <v>0</v>
      </c>
      <c r="K443" t="n">
        <v>0</v>
      </c>
      <c r="L443" t="n">
        <v>0</v>
      </c>
      <c r="M443" t="n">
        <v>0</v>
      </c>
      <c r="N443" t="n">
        <v>0</v>
      </c>
      <c r="O443" t="n">
        <v>0</v>
      </c>
      <c r="P443" t="n">
        <v>0</v>
      </c>
      <c r="Q443" t="n">
        <v>0</v>
      </c>
      <c r="R443" s="2" t="inlineStr"/>
    </row>
    <row r="444" ht="15" customHeight="1">
      <c r="A444" t="inlineStr">
        <is>
          <t>A 10650-2022</t>
        </is>
      </c>
      <c r="B444" s="1" t="n">
        <v>44624.57945601852</v>
      </c>
      <c r="C444" s="1" t="n">
        <v>45981</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37222-2021</t>
        </is>
      </c>
      <c r="B445" s="1" t="n">
        <v>44396</v>
      </c>
      <c r="C445" s="1" t="n">
        <v>45981</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44349.55087962963</v>
      </c>
      <c r="C446" s="1" t="n">
        <v>45981</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46396-2023</t>
        </is>
      </c>
      <c r="B447" s="1" t="n">
        <v>45197</v>
      </c>
      <c r="C447" s="1" t="n">
        <v>45981</v>
      </c>
      <c r="D447" t="inlineStr">
        <is>
          <t>GOTLANDS LÄN</t>
        </is>
      </c>
      <c r="E447" t="inlineStr">
        <is>
          <t>GOTLAND</t>
        </is>
      </c>
      <c r="G447" t="n">
        <v>1.4</v>
      </c>
      <c r="H447" t="n">
        <v>0</v>
      </c>
      <c r="I447" t="n">
        <v>0</v>
      </c>
      <c r="J447" t="n">
        <v>0</v>
      </c>
      <c r="K447" t="n">
        <v>0</v>
      </c>
      <c r="L447" t="n">
        <v>0</v>
      </c>
      <c r="M447" t="n">
        <v>0</v>
      </c>
      <c r="N447" t="n">
        <v>0</v>
      </c>
      <c r="O447" t="n">
        <v>0</v>
      </c>
      <c r="P447" t="n">
        <v>0</v>
      </c>
      <c r="Q447" t="n">
        <v>0</v>
      </c>
      <c r="R447" s="2" t="inlineStr"/>
    </row>
    <row r="448" ht="15" customHeight="1">
      <c r="A448" t="inlineStr">
        <is>
          <t>A 58388-2022</t>
        </is>
      </c>
      <c r="B448" s="1" t="n">
        <v>44894</v>
      </c>
      <c r="C448" s="1" t="n">
        <v>45981</v>
      </c>
      <c r="D448" t="inlineStr">
        <is>
          <t>GOTLANDS LÄN</t>
        </is>
      </c>
      <c r="E448" t="inlineStr">
        <is>
          <t>GOTLAND</t>
        </is>
      </c>
      <c r="F448" t="inlineStr">
        <is>
          <t>Övriga statliga verk och myndigheter</t>
        </is>
      </c>
      <c r="G448" t="n">
        <v>3.1</v>
      </c>
      <c r="H448" t="n">
        <v>0</v>
      </c>
      <c r="I448" t="n">
        <v>0</v>
      </c>
      <c r="J448" t="n">
        <v>0</v>
      </c>
      <c r="K448" t="n">
        <v>0</v>
      </c>
      <c r="L448" t="n">
        <v>0</v>
      </c>
      <c r="M448" t="n">
        <v>0</v>
      </c>
      <c r="N448" t="n">
        <v>0</v>
      </c>
      <c r="O448" t="n">
        <v>0</v>
      </c>
      <c r="P448" t="n">
        <v>0</v>
      </c>
      <c r="Q448" t="n">
        <v>0</v>
      </c>
      <c r="R448" s="2" t="inlineStr"/>
    </row>
    <row r="449" ht="15" customHeight="1">
      <c r="A449" t="inlineStr">
        <is>
          <t>A 28425-2023</t>
        </is>
      </c>
      <c r="B449" s="1" t="n">
        <v>45102</v>
      </c>
      <c r="C449" s="1" t="n">
        <v>45981</v>
      </c>
      <c r="D449" t="inlineStr">
        <is>
          <t>GOTLANDS LÄN</t>
        </is>
      </c>
      <c r="E449" t="inlineStr">
        <is>
          <t>GOTLAND</t>
        </is>
      </c>
      <c r="G449" t="n">
        <v>0.5</v>
      </c>
      <c r="H449" t="n">
        <v>0</v>
      </c>
      <c r="I449" t="n">
        <v>0</v>
      </c>
      <c r="J449" t="n">
        <v>0</v>
      </c>
      <c r="K449" t="n">
        <v>0</v>
      </c>
      <c r="L449" t="n">
        <v>0</v>
      </c>
      <c r="M449" t="n">
        <v>0</v>
      </c>
      <c r="N449" t="n">
        <v>0</v>
      </c>
      <c r="O449" t="n">
        <v>0</v>
      </c>
      <c r="P449" t="n">
        <v>0</v>
      </c>
      <c r="Q449" t="n">
        <v>0</v>
      </c>
      <c r="R449" s="2" t="inlineStr"/>
    </row>
    <row r="450" ht="15" customHeight="1">
      <c r="A450" t="inlineStr">
        <is>
          <t>A 26391-2025</t>
        </is>
      </c>
      <c r="B450" s="1" t="n">
        <v>45806</v>
      </c>
      <c r="C450" s="1" t="n">
        <v>45981</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7850-2025</t>
        </is>
      </c>
      <c r="B451" s="1" t="n">
        <v>45706</v>
      </c>
      <c r="C451" s="1" t="n">
        <v>45981</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13037-2025</t>
        </is>
      </c>
      <c r="B452" s="1" t="n">
        <v>45734</v>
      </c>
      <c r="C452" s="1" t="n">
        <v>45981</v>
      </c>
      <c r="D452" t="inlineStr">
        <is>
          <t>GOTLANDS LÄN</t>
        </is>
      </c>
      <c r="E452" t="inlineStr">
        <is>
          <t>GOTLAND</t>
        </is>
      </c>
      <c r="G452" t="n">
        <v>9.5</v>
      </c>
      <c r="H452" t="n">
        <v>0</v>
      </c>
      <c r="I452" t="n">
        <v>0</v>
      </c>
      <c r="J452" t="n">
        <v>0</v>
      </c>
      <c r="K452" t="n">
        <v>0</v>
      </c>
      <c r="L452" t="n">
        <v>0</v>
      </c>
      <c r="M452" t="n">
        <v>0</v>
      </c>
      <c r="N452" t="n">
        <v>0</v>
      </c>
      <c r="O452" t="n">
        <v>0</v>
      </c>
      <c r="P452" t="n">
        <v>0</v>
      </c>
      <c r="Q452" t="n">
        <v>0</v>
      </c>
      <c r="R452" s="2" t="inlineStr"/>
    </row>
    <row r="453" ht="15" customHeight="1">
      <c r="A453" t="inlineStr">
        <is>
          <t>A 6739-2025</t>
        </is>
      </c>
      <c r="B453" s="1" t="n">
        <v>45700</v>
      </c>
      <c r="C453" s="1" t="n">
        <v>45981</v>
      </c>
      <c r="D453" t="inlineStr">
        <is>
          <t>GOTLANDS LÄN</t>
        </is>
      </c>
      <c r="E453" t="inlineStr">
        <is>
          <t>GOTLAND</t>
        </is>
      </c>
      <c r="G453" t="n">
        <v>4.5</v>
      </c>
      <c r="H453" t="n">
        <v>0</v>
      </c>
      <c r="I453" t="n">
        <v>0</v>
      </c>
      <c r="J453" t="n">
        <v>0</v>
      </c>
      <c r="K453" t="n">
        <v>0</v>
      </c>
      <c r="L453" t="n">
        <v>0</v>
      </c>
      <c r="M453" t="n">
        <v>0</v>
      </c>
      <c r="N453" t="n">
        <v>0</v>
      </c>
      <c r="O453" t="n">
        <v>0</v>
      </c>
      <c r="P453" t="n">
        <v>0</v>
      </c>
      <c r="Q453" t="n">
        <v>0</v>
      </c>
      <c r="R453" s="2" t="inlineStr"/>
    </row>
    <row r="454" ht="15" customHeight="1">
      <c r="A454" t="inlineStr">
        <is>
          <t>A 53934-2024</t>
        </is>
      </c>
      <c r="B454" s="1" t="n">
        <v>45615</v>
      </c>
      <c r="C454" s="1" t="n">
        <v>45981</v>
      </c>
      <c r="D454" t="inlineStr">
        <is>
          <t>GOTLANDS LÄN</t>
        </is>
      </c>
      <c r="E454" t="inlineStr">
        <is>
          <t>GOTLAND</t>
        </is>
      </c>
      <c r="G454" t="n">
        <v>5</v>
      </c>
      <c r="H454" t="n">
        <v>0</v>
      </c>
      <c r="I454" t="n">
        <v>0</v>
      </c>
      <c r="J454" t="n">
        <v>0</v>
      </c>
      <c r="K454" t="n">
        <v>0</v>
      </c>
      <c r="L454" t="n">
        <v>0</v>
      </c>
      <c r="M454" t="n">
        <v>0</v>
      </c>
      <c r="N454" t="n">
        <v>0</v>
      </c>
      <c r="O454" t="n">
        <v>0</v>
      </c>
      <c r="P454" t="n">
        <v>0</v>
      </c>
      <c r="Q454" t="n">
        <v>0</v>
      </c>
      <c r="R454" s="2" t="inlineStr"/>
    </row>
    <row r="455" ht="15" customHeight="1">
      <c r="A455" t="inlineStr">
        <is>
          <t>A 58132-2023</t>
        </is>
      </c>
      <c r="B455" s="1" t="n">
        <v>45250</v>
      </c>
      <c r="C455" s="1" t="n">
        <v>45981</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22899-2023</t>
        </is>
      </c>
      <c r="B456" s="1" t="n">
        <v>45072</v>
      </c>
      <c r="C456" s="1" t="n">
        <v>45981</v>
      </c>
      <c r="D456" t="inlineStr">
        <is>
          <t>GOTLANDS LÄN</t>
        </is>
      </c>
      <c r="E456" t="inlineStr">
        <is>
          <t>GOTLAND</t>
        </is>
      </c>
      <c r="G456" t="n">
        <v>0.7</v>
      </c>
      <c r="H456" t="n">
        <v>0</v>
      </c>
      <c r="I456" t="n">
        <v>0</v>
      </c>
      <c r="J456" t="n">
        <v>0</v>
      </c>
      <c r="K456" t="n">
        <v>0</v>
      </c>
      <c r="L456" t="n">
        <v>0</v>
      </c>
      <c r="M456" t="n">
        <v>0</v>
      </c>
      <c r="N456" t="n">
        <v>0</v>
      </c>
      <c r="O456" t="n">
        <v>0</v>
      </c>
      <c r="P456" t="n">
        <v>0</v>
      </c>
      <c r="Q456" t="n">
        <v>0</v>
      </c>
      <c r="R456" s="2" t="inlineStr"/>
    </row>
    <row r="457" ht="15" customHeight="1">
      <c r="A457" t="inlineStr">
        <is>
          <t>A 46836-2025</t>
        </is>
      </c>
      <c r="B457" s="1" t="n">
        <v>45928.31511574074</v>
      </c>
      <c r="C457" s="1" t="n">
        <v>45981</v>
      </c>
      <c r="D457" t="inlineStr">
        <is>
          <t>GOTLANDS LÄN</t>
        </is>
      </c>
      <c r="E457" t="inlineStr">
        <is>
          <t>GOTLAND</t>
        </is>
      </c>
      <c r="G457" t="n">
        <v>2.8</v>
      </c>
      <c r="H457" t="n">
        <v>0</v>
      </c>
      <c r="I457" t="n">
        <v>0</v>
      </c>
      <c r="J457" t="n">
        <v>0</v>
      </c>
      <c r="K457" t="n">
        <v>0</v>
      </c>
      <c r="L457" t="n">
        <v>0</v>
      </c>
      <c r="M457" t="n">
        <v>0</v>
      </c>
      <c r="N457" t="n">
        <v>0</v>
      </c>
      <c r="O457" t="n">
        <v>0</v>
      </c>
      <c r="P457" t="n">
        <v>0</v>
      </c>
      <c r="Q457" t="n">
        <v>0</v>
      </c>
      <c r="R457" s="2" t="inlineStr"/>
    </row>
    <row r="458" ht="15" customHeight="1">
      <c r="A458" t="inlineStr">
        <is>
          <t>A 28285-2024</t>
        </is>
      </c>
      <c r="B458" s="1" t="n">
        <v>45477</v>
      </c>
      <c r="C458" s="1" t="n">
        <v>45981</v>
      </c>
      <c r="D458" t="inlineStr">
        <is>
          <t>GOTLANDS LÄN</t>
        </is>
      </c>
      <c r="E458" t="inlineStr">
        <is>
          <t>GOTLAND</t>
        </is>
      </c>
      <c r="G458" t="n">
        <v>1.6</v>
      </c>
      <c r="H458" t="n">
        <v>0</v>
      </c>
      <c r="I458" t="n">
        <v>0</v>
      </c>
      <c r="J458" t="n">
        <v>0</v>
      </c>
      <c r="K458" t="n">
        <v>0</v>
      </c>
      <c r="L458" t="n">
        <v>0</v>
      </c>
      <c r="M458" t="n">
        <v>0</v>
      </c>
      <c r="N458" t="n">
        <v>0</v>
      </c>
      <c r="O458" t="n">
        <v>0</v>
      </c>
      <c r="P458" t="n">
        <v>0</v>
      </c>
      <c r="Q458" t="n">
        <v>0</v>
      </c>
      <c r="R458" s="2" t="inlineStr"/>
    </row>
    <row r="459" ht="15" customHeight="1">
      <c r="A459" t="inlineStr">
        <is>
          <t>A 51963-2024</t>
        </is>
      </c>
      <c r="B459" s="1" t="n">
        <v>45607.64833333333</v>
      </c>
      <c r="C459" s="1" t="n">
        <v>45981</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10746-2025</t>
        </is>
      </c>
      <c r="B460" s="1" t="n">
        <v>45722.42766203704</v>
      </c>
      <c r="C460" s="1" t="n">
        <v>45981</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8444-2025</t>
        </is>
      </c>
      <c r="B461" s="1" t="n">
        <v>45709</v>
      </c>
      <c r="C461" s="1" t="n">
        <v>45981</v>
      </c>
      <c r="D461" t="inlineStr">
        <is>
          <t>GOTLANDS LÄN</t>
        </is>
      </c>
      <c r="E461" t="inlineStr">
        <is>
          <t>GOTLAND</t>
        </is>
      </c>
      <c r="G461" t="n">
        <v>5.2</v>
      </c>
      <c r="H461" t="n">
        <v>0</v>
      </c>
      <c r="I461" t="n">
        <v>0</v>
      </c>
      <c r="J461" t="n">
        <v>0</v>
      </c>
      <c r="K461" t="n">
        <v>0</v>
      </c>
      <c r="L461" t="n">
        <v>0</v>
      </c>
      <c r="M461" t="n">
        <v>0</v>
      </c>
      <c r="N461" t="n">
        <v>0</v>
      </c>
      <c r="O461" t="n">
        <v>0</v>
      </c>
      <c r="P461" t="n">
        <v>0</v>
      </c>
      <c r="Q461" t="n">
        <v>0</v>
      </c>
      <c r="R461" s="2" t="inlineStr"/>
    </row>
    <row r="462" ht="15" customHeight="1">
      <c r="A462" t="inlineStr">
        <is>
          <t>A 19905-2025</t>
        </is>
      </c>
      <c r="B462" s="1" t="n">
        <v>45771</v>
      </c>
      <c r="C462" s="1" t="n">
        <v>45981</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47637-2025</t>
        </is>
      </c>
      <c r="B463" s="1" t="n">
        <v>45931.49753472222</v>
      </c>
      <c r="C463" s="1" t="n">
        <v>45981</v>
      </c>
      <c r="D463" t="inlineStr">
        <is>
          <t>GOTLANDS LÄN</t>
        </is>
      </c>
      <c r="E463" t="inlineStr">
        <is>
          <t>GOTLAND</t>
        </is>
      </c>
      <c r="G463" t="n">
        <v>1.3</v>
      </c>
      <c r="H463" t="n">
        <v>0</v>
      </c>
      <c r="I463" t="n">
        <v>0</v>
      </c>
      <c r="J463" t="n">
        <v>0</v>
      </c>
      <c r="K463" t="n">
        <v>0</v>
      </c>
      <c r="L463" t="n">
        <v>0</v>
      </c>
      <c r="M463" t="n">
        <v>0</v>
      </c>
      <c r="N463" t="n">
        <v>0</v>
      </c>
      <c r="O463" t="n">
        <v>0</v>
      </c>
      <c r="P463" t="n">
        <v>0</v>
      </c>
      <c r="Q463" t="n">
        <v>0</v>
      </c>
      <c r="R463" s="2" t="inlineStr"/>
    </row>
    <row r="464" ht="15" customHeight="1">
      <c r="A464" t="inlineStr">
        <is>
          <t>A 1734-2025</t>
        </is>
      </c>
      <c r="B464" s="1" t="n">
        <v>45671.3840625</v>
      </c>
      <c r="C464" s="1" t="n">
        <v>45981</v>
      </c>
      <c r="D464" t="inlineStr">
        <is>
          <t>GOTLANDS LÄN</t>
        </is>
      </c>
      <c r="E464" t="inlineStr">
        <is>
          <t>GOTLAND</t>
        </is>
      </c>
      <c r="G464" t="n">
        <v>1.9</v>
      </c>
      <c r="H464" t="n">
        <v>0</v>
      </c>
      <c r="I464" t="n">
        <v>0</v>
      </c>
      <c r="J464" t="n">
        <v>0</v>
      </c>
      <c r="K464" t="n">
        <v>0</v>
      </c>
      <c r="L464" t="n">
        <v>0</v>
      </c>
      <c r="M464" t="n">
        <v>0</v>
      </c>
      <c r="N464" t="n">
        <v>0</v>
      </c>
      <c r="O464" t="n">
        <v>0</v>
      </c>
      <c r="P464" t="n">
        <v>0</v>
      </c>
      <c r="Q464" t="n">
        <v>0</v>
      </c>
      <c r="R464" s="2" t="inlineStr"/>
    </row>
    <row r="465" ht="15" customHeight="1">
      <c r="A465" t="inlineStr">
        <is>
          <t>A 30365-2024</t>
        </is>
      </c>
      <c r="B465" s="1" t="n">
        <v>45491.3716087963</v>
      </c>
      <c r="C465" s="1" t="n">
        <v>45981</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2674-2023</t>
        </is>
      </c>
      <c r="B466" s="1" t="n">
        <v>44944</v>
      </c>
      <c r="C466" s="1" t="n">
        <v>45981</v>
      </c>
      <c r="D466" t="inlineStr">
        <is>
          <t>GOTLANDS LÄN</t>
        </is>
      </c>
      <c r="E466" t="inlineStr">
        <is>
          <t>GOTLAND</t>
        </is>
      </c>
      <c r="G466" t="n">
        <v>2.5</v>
      </c>
      <c r="H466" t="n">
        <v>0</v>
      </c>
      <c r="I466" t="n">
        <v>0</v>
      </c>
      <c r="J466" t="n">
        <v>0</v>
      </c>
      <c r="K466" t="n">
        <v>0</v>
      </c>
      <c r="L466" t="n">
        <v>0</v>
      </c>
      <c r="M466" t="n">
        <v>0</v>
      </c>
      <c r="N466" t="n">
        <v>0</v>
      </c>
      <c r="O466" t="n">
        <v>0</v>
      </c>
      <c r="P466" t="n">
        <v>0</v>
      </c>
      <c r="Q466" t="n">
        <v>0</v>
      </c>
      <c r="R466" s="2" t="inlineStr"/>
    </row>
    <row r="467" ht="15" customHeight="1">
      <c r="A467" t="inlineStr">
        <is>
          <t>A 61100-2022</t>
        </is>
      </c>
      <c r="B467" s="1" t="n">
        <v>44915</v>
      </c>
      <c r="C467" s="1" t="n">
        <v>45981</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43229-2023</t>
        </is>
      </c>
      <c r="B468" s="1" t="n">
        <v>45183.46704861111</v>
      </c>
      <c r="C468" s="1" t="n">
        <v>45981</v>
      </c>
      <c r="D468" t="inlineStr">
        <is>
          <t>GOTLANDS LÄN</t>
        </is>
      </c>
      <c r="E468" t="inlineStr">
        <is>
          <t>GOTLAND</t>
        </is>
      </c>
      <c r="G468" t="n">
        <v>7.1</v>
      </c>
      <c r="H468" t="n">
        <v>0</v>
      </c>
      <c r="I468" t="n">
        <v>0</v>
      </c>
      <c r="J468" t="n">
        <v>0</v>
      </c>
      <c r="K468" t="n">
        <v>0</v>
      </c>
      <c r="L468" t="n">
        <v>0</v>
      </c>
      <c r="M468" t="n">
        <v>0</v>
      </c>
      <c r="N468" t="n">
        <v>0</v>
      </c>
      <c r="O468" t="n">
        <v>0</v>
      </c>
      <c r="P468" t="n">
        <v>0</v>
      </c>
      <c r="Q468" t="n">
        <v>0</v>
      </c>
      <c r="R468" s="2" t="inlineStr"/>
    </row>
    <row r="469" ht="15" customHeight="1">
      <c r="A469" t="inlineStr">
        <is>
          <t>A 581-2023</t>
        </is>
      </c>
      <c r="B469" s="1" t="n">
        <v>44930</v>
      </c>
      <c r="C469" s="1" t="n">
        <v>45981</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41038-2023</t>
        </is>
      </c>
      <c r="B470" s="1" t="n">
        <v>45173.60959490741</v>
      </c>
      <c r="C470" s="1" t="n">
        <v>45981</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10655-2023</t>
        </is>
      </c>
      <c r="B471" s="1" t="n">
        <v>44988.49543981482</v>
      </c>
      <c r="C471" s="1" t="n">
        <v>45981</v>
      </c>
      <c r="D471" t="inlineStr">
        <is>
          <t>GOTLANDS LÄN</t>
        </is>
      </c>
      <c r="E471" t="inlineStr">
        <is>
          <t>GOTLAND</t>
        </is>
      </c>
      <c r="F471" t="inlineStr">
        <is>
          <t>Kyrkan</t>
        </is>
      </c>
      <c r="G471" t="n">
        <v>2</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45981</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29207-2025</t>
        </is>
      </c>
      <c r="B473" s="1" t="n">
        <v>45823</v>
      </c>
      <c r="C473" s="1" t="n">
        <v>45981</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8484-2025</t>
        </is>
      </c>
      <c r="B474" s="1" t="n">
        <v>45709</v>
      </c>
      <c r="C474" s="1" t="n">
        <v>45981</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29196-2025</t>
        </is>
      </c>
      <c r="B475" s="1" t="n">
        <v>45822</v>
      </c>
      <c r="C475" s="1" t="n">
        <v>45981</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47578-2025</t>
        </is>
      </c>
      <c r="B476" s="1" t="n">
        <v>45931</v>
      </c>
      <c r="C476" s="1" t="n">
        <v>45981</v>
      </c>
      <c r="D476" t="inlineStr">
        <is>
          <t>GOTLANDS LÄN</t>
        </is>
      </c>
      <c r="E476" t="inlineStr">
        <is>
          <t>GOTLAND</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24966-2023</t>
        </is>
      </c>
      <c r="B477" s="1" t="n">
        <v>45085</v>
      </c>
      <c r="C477" s="1" t="n">
        <v>45981</v>
      </c>
      <c r="D477" t="inlineStr">
        <is>
          <t>GOTLANDS LÄN</t>
        </is>
      </c>
      <c r="E477" t="inlineStr">
        <is>
          <t>GOTLAND</t>
        </is>
      </c>
      <c r="G477" t="n">
        <v>7</v>
      </c>
      <c r="H477" t="n">
        <v>0</v>
      </c>
      <c r="I477" t="n">
        <v>0</v>
      </c>
      <c r="J477" t="n">
        <v>0</v>
      </c>
      <c r="K477" t="n">
        <v>0</v>
      </c>
      <c r="L477" t="n">
        <v>0</v>
      </c>
      <c r="M477" t="n">
        <v>0</v>
      </c>
      <c r="N477" t="n">
        <v>0</v>
      </c>
      <c r="O477" t="n">
        <v>0</v>
      </c>
      <c r="P477" t="n">
        <v>0</v>
      </c>
      <c r="Q477" t="n">
        <v>0</v>
      </c>
      <c r="R477" s="2" t="inlineStr"/>
    </row>
    <row r="478" ht="15" customHeight="1">
      <c r="A478" t="inlineStr">
        <is>
          <t>A 57652-2023</t>
        </is>
      </c>
      <c r="B478" s="1" t="n">
        <v>45246</v>
      </c>
      <c r="C478" s="1" t="n">
        <v>45981</v>
      </c>
      <c r="D478" t="inlineStr">
        <is>
          <t>GOTLANDS LÄN</t>
        </is>
      </c>
      <c r="E478" t="inlineStr">
        <is>
          <t>GOTLAND</t>
        </is>
      </c>
      <c r="G478" t="n">
        <v>7.2</v>
      </c>
      <c r="H478" t="n">
        <v>0</v>
      </c>
      <c r="I478" t="n">
        <v>0</v>
      </c>
      <c r="J478" t="n">
        <v>0</v>
      </c>
      <c r="K478" t="n">
        <v>0</v>
      </c>
      <c r="L478" t="n">
        <v>0</v>
      </c>
      <c r="M478" t="n">
        <v>0</v>
      </c>
      <c r="N478" t="n">
        <v>0</v>
      </c>
      <c r="O478" t="n">
        <v>0</v>
      </c>
      <c r="P478" t="n">
        <v>0</v>
      </c>
      <c r="Q478" t="n">
        <v>0</v>
      </c>
      <c r="R478" s="2" t="inlineStr"/>
    </row>
    <row r="479" ht="15" customHeight="1">
      <c r="A479" t="inlineStr">
        <is>
          <t>A 32378-2025</t>
        </is>
      </c>
      <c r="B479" s="1" t="n">
        <v>45837</v>
      </c>
      <c r="C479" s="1" t="n">
        <v>45981</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46189-2022</t>
        </is>
      </c>
      <c r="B480" s="1" t="n">
        <v>44847</v>
      </c>
      <c r="C480" s="1" t="n">
        <v>45981</v>
      </c>
      <c r="D480" t="inlineStr">
        <is>
          <t>GOTLANDS LÄN</t>
        </is>
      </c>
      <c r="E480" t="inlineStr">
        <is>
          <t>GOTLAND</t>
        </is>
      </c>
      <c r="G480" t="n">
        <v>0.4</v>
      </c>
      <c r="H480" t="n">
        <v>0</v>
      </c>
      <c r="I480" t="n">
        <v>0</v>
      </c>
      <c r="J480" t="n">
        <v>0</v>
      </c>
      <c r="K480" t="n">
        <v>0</v>
      </c>
      <c r="L480" t="n">
        <v>0</v>
      </c>
      <c r="M480" t="n">
        <v>0</v>
      </c>
      <c r="N480" t="n">
        <v>0</v>
      </c>
      <c r="O480" t="n">
        <v>0</v>
      </c>
      <c r="P480" t="n">
        <v>0</v>
      </c>
      <c r="Q480" t="n">
        <v>0</v>
      </c>
      <c r="R480" s="2" t="inlineStr"/>
    </row>
    <row r="481" ht="15" customHeight="1">
      <c r="A481" t="inlineStr">
        <is>
          <t>A 57522-2022</t>
        </is>
      </c>
      <c r="B481" s="1" t="n">
        <v>44896</v>
      </c>
      <c r="C481" s="1" t="n">
        <v>45981</v>
      </c>
      <c r="D481" t="inlineStr">
        <is>
          <t>GOTLANDS LÄN</t>
        </is>
      </c>
      <c r="E481" t="inlineStr">
        <is>
          <t>GOTLAND</t>
        </is>
      </c>
      <c r="G481" t="n">
        <v>2</v>
      </c>
      <c r="H481" t="n">
        <v>0</v>
      </c>
      <c r="I481" t="n">
        <v>0</v>
      </c>
      <c r="J481" t="n">
        <v>0</v>
      </c>
      <c r="K481" t="n">
        <v>0</v>
      </c>
      <c r="L481" t="n">
        <v>0</v>
      </c>
      <c r="M481" t="n">
        <v>0</v>
      </c>
      <c r="N481" t="n">
        <v>0</v>
      </c>
      <c r="O481" t="n">
        <v>0</v>
      </c>
      <c r="P481" t="n">
        <v>0</v>
      </c>
      <c r="Q481" t="n">
        <v>0</v>
      </c>
      <c r="R481" s="2" t="inlineStr"/>
    </row>
    <row r="482" ht="15" customHeight="1">
      <c r="A482" t="inlineStr">
        <is>
          <t>A 14797-2024</t>
        </is>
      </c>
      <c r="B482" s="1" t="n">
        <v>45397.87030092593</v>
      </c>
      <c r="C482" s="1" t="n">
        <v>45981</v>
      </c>
      <c r="D482" t="inlineStr">
        <is>
          <t>GOTLANDS LÄN</t>
        </is>
      </c>
      <c r="E482" t="inlineStr">
        <is>
          <t>GOTLAND</t>
        </is>
      </c>
      <c r="G482" t="n">
        <v>8.1</v>
      </c>
      <c r="H482" t="n">
        <v>0</v>
      </c>
      <c r="I482" t="n">
        <v>0</v>
      </c>
      <c r="J482" t="n">
        <v>0</v>
      </c>
      <c r="K482" t="n">
        <v>0</v>
      </c>
      <c r="L482" t="n">
        <v>0</v>
      </c>
      <c r="M482" t="n">
        <v>0</v>
      </c>
      <c r="N482" t="n">
        <v>0</v>
      </c>
      <c r="O482" t="n">
        <v>0</v>
      </c>
      <c r="P482" t="n">
        <v>0</v>
      </c>
      <c r="Q482" t="n">
        <v>0</v>
      </c>
      <c r="R482" s="2" t="inlineStr"/>
    </row>
    <row r="483" ht="15" customHeight="1">
      <c r="A483" t="inlineStr">
        <is>
          <t>A 7837-2024</t>
        </is>
      </c>
      <c r="B483" s="1" t="n">
        <v>45349.83787037037</v>
      </c>
      <c r="C483" s="1" t="n">
        <v>45981</v>
      </c>
      <c r="D483" t="inlineStr">
        <is>
          <t>GOTLANDS LÄN</t>
        </is>
      </c>
      <c r="E483" t="inlineStr">
        <is>
          <t>GOTLAND</t>
        </is>
      </c>
      <c r="G483" t="n">
        <v>5</v>
      </c>
      <c r="H483" t="n">
        <v>0</v>
      </c>
      <c r="I483" t="n">
        <v>0</v>
      </c>
      <c r="J483" t="n">
        <v>0</v>
      </c>
      <c r="K483" t="n">
        <v>0</v>
      </c>
      <c r="L483" t="n">
        <v>0</v>
      </c>
      <c r="M483" t="n">
        <v>0</v>
      </c>
      <c r="N483" t="n">
        <v>0</v>
      </c>
      <c r="O483" t="n">
        <v>0</v>
      </c>
      <c r="P483" t="n">
        <v>0</v>
      </c>
      <c r="Q483" t="n">
        <v>0</v>
      </c>
      <c r="R483" s="2" t="inlineStr"/>
    </row>
    <row r="484" ht="15" customHeight="1">
      <c r="A484" t="inlineStr">
        <is>
          <t>A 49962-2023</t>
        </is>
      </c>
      <c r="B484" s="1" t="n">
        <v>45215.38775462963</v>
      </c>
      <c r="C484" s="1" t="n">
        <v>45981</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56799-2025</t>
        </is>
      </c>
      <c r="B485" s="1" t="n">
        <v>45978.43392361111</v>
      </c>
      <c r="C485" s="1" t="n">
        <v>45981</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50744-2024</t>
        </is>
      </c>
      <c r="B486" s="1" t="n">
        <v>45602.4187037037</v>
      </c>
      <c r="C486" s="1" t="n">
        <v>45981</v>
      </c>
      <c r="D486" t="inlineStr">
        <is>
          <t>GOTLANDS LÄN</t>
        </is>
      </c>
      <c r="E486" t="inlineStr">
        <is>
          <t>GOTLAND</t>
        </is>
      </c>
      <c r="G486" t="n">
        <v>3.2</v>
      </c>
      <c r="H486" t="n">
        <v>0</v>
      </c>
      <c r="I486" t="n">
        <v>0</v>
      </c>
      <c r="J486" t="n">
        <v>0</v>
      </c>
      <c r="K486" t="n">
        <v>0</v>
      </c>
      <c r="L486" t="n">
        <v>0</v>
      </c>
      <c r="M486" t="n">
        <v>0</v>
      </c>
      <c r="N486" t="n">
        <v>0</v>
      </c>
      <c r="O486" t="n">
        <v>0</v>
      </c>
      <c r="P486" t="n">
        <v>0</v>
      </c>
      <c r="Q486" t="n">
        <v>0</v>
      </c>
      <c r="R486" s="2" t="inlineStr"/>
    </row>
    <row r="487" ht="15" customHeight="1">
      <c r="A487" t="inlineStr">
        <is>
          <t>A 1394-2023</t>
        </is>
      </c>
      <c r="B487" s="1" t="n">
        <v>44936.72997685185</v>
      </c>
      <c r="C487" s="1" t="n">
        <v>45981</v>
      </c>
      <c r="D487" t="inlineStr">
        <is>
          <t>GOTLANDS LÄN</t>
        </is>
      </c>
      <c r="E487" t="inlineStr">
        <is>
          <t>GOTLAND</t>
        </is>
      </c>
      <c r="G487" t="n">
        <v>2.1</v>
      </c>
      <c r="H487" t="n">
        <v>0</v>
      </c>
      <c r="I487" t="n">
        <v>0</v>
      </c>
      <c r="J487" t="n">
        <v>0</v>
      </c>
      <c r="K487" t="n">
        <v>0</v>
      </c>
      <c r="L487" t="n">
        <v>0</v>
      </c>
      <c r="M487" t="n">
        <v>0</v>
      </c>
      <c r="N487" t="n">
        <v>0</v>
      </c>
      <c r="O487" t="n">
        <v>0</v>
      </c>
      <c r="P487" t="n">
        <v>0</v>
      </c>
      <c r="Q487" t="n">
        <v>0</v>
      </c>
      <c r="R487" s="2" t="inlineStr"/>
    </row>
    <row r="488" ht="15" customHeight="1">
      <c r="A488" t="inlineStr">
        <is>
          <t>A 2676-2023</t>
        </is>
      </c>
      <c r="B488" s="1" t="n">
        <v>44944</v>
      </c>
      <c r="C488" s="1" t="n">
        <v>45981</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4387-2023</t>
        </is>
      </c>
      <c r="B489" s="1" t="n">
        <v>44955.73359953704</v>
      </c>
      <c r="C489" s="1" t="n">
        <v>45981</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45244-2024</t>
        </is>
      </c>
      <c r="B490" s="1" t="n">
        <v>45576</v>
      </c>
      <c r="C490" s="1" t="n">
        <v>45981</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30061-2025</t>
        </is>
      </c>
      <c r="B491" s="1" t="n">
        <v>45826.61488425926</v>
      </c>
      <c r="C491" s="1" t="n">
        <v>45981</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56688-2025</t>
        </is>
      </c>
      <c r="B492" s="1" t="n">
        <v>45975.84331018518</v>
      </c>
      <c r="C492" s="1" t="n">
        <v>45981</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38787-2023</t>
        </is>
      </c>
      <c r="B493" s="1" t="n">
        <v>45163</v>
      </c>
      <c r="C493" s="1" t="n">
        <v>45981</v>
      </c>
      <c r="D493" t="inlineStr">
        <is>
          <t>GOTLANDS LÄN</t>
        </is>
      </c>
      <c r="E493" t="inlineStr">
        <is>
          <t>GOTLAND</t>
        </is>
      </c>
      <c r="G493" t="n">
        <v>0.4</v>
      </c>
      <c r="H493" t="n">
        <v>0</v>
      </c>
      <c r="I493" t="n">
        <v>0</v>
      </c>
      <c r="J493" t="n">
        <v>0</v>
      </c>
      <c r="K493" t="n">
        <v>0</v>
      </c>
      <c r="L493" t="n">
        <v>0</v>
      </c>
      <c r="M493" t="n">
        <v>0</v>
      </c>
      <c r="N493" t="n">
        <v>0</v>
      </c>
      <c r="O493" t="n">
        <v>0</v>
      </c>
      <c r="P493" t="n">
        <v>0</v>
      </c>
      <c r="Q493" t="n">
        <v>0</v>
      </c>
      <c r="R493" s="2" t="inlineStr"/>
    </row>
    <row r="494" ht="15" customHeight="1">
      <c r="A494" t="inlineStr">
        <is>
          <t>A 47147-2025</t>
        </is>
      </c>
      <c r="B494" s="1" t="n">
        <v>45929</v>
      </c>
      <c r="C494" s="1" t="n">
        <v>45981</v>
      </c>
      <c r="D494" t="inlineStr">
        <is>
          <t>GOTLANDS LÄN</t>
        </is>
      </c>
      <c r="E494" t="inlineStr">
        <is>
          <t>GOTLAND</t>
        </is>
      </c>
      <c r="G494" t="n">
        <v>2.3</v>
      </c>
      <c r="H494" t="n">
        <v>0</v>
      </c>
      <c r="I494" t="n">
        <v>0</v>
      </c>
      <c r="J494" t="n">
        <v>0</v>
      </c>
      <c r="K494" t="n">
        <v>0</v>
      </c>
      <c r="L494" t="n">
        <v>0</v>
      </c>
      <c r="M494" t="n">
        <v>0</v>
      </c>
      <c r="N494" t="n">
        <v>0</v>
      </c>
      <c r="O494" t="n">
        <v>0</v>
      </c>
      <c r="P494" t="n">
        <v>0</v>
      </c>
      <c r="Q494" t="n">
        <v>0</v>
      </c>
      <c r="R494" s="2" t="inlineStr"/>
    </row>
    <row r="495" ht="15" customHeight="1">
      <c r="A495" t="inlineStr">
        <is>
          <t>A 49411-2023</t>
        </is>
      </c>
      <c r="B495" s="1" t="n">
        <v>45205</v>
      </c>
      <c r="C495" s="1" t="n">
        <v>45981</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37728-2024</t>
        </is>
      </c>
      <c r="B496" s="1" t="n">
        <v>45541</v>
      </c>
      <c r="C496" s="1" t="n">
        <v>45981</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2241-2025</t>
        </is>
      </c>
      <c r="B497" s="1" t="n">
        <v>45673.48710648148</v>
      </c>
      <c r="C497" s="1" t="n">
        <v>45981</v>
      </c>
      <c r="D497" t="inlineStr">
        <is>
          <t>GOTLANDS LÄN</t>
        </is>
      </c>
      <c r="E497" t="inlineStr">
        <is>
          <t>GOTLAND</t>
        </is>
      </c>
      <c r="G497" t="n">
        <v>1</v>
      </c>
      <c r="H497" t="n">
        <v>0</v>
      </c>
      <c r="I497" t="n">
        <v>0</v>
      </c>
      <c r="J497" t="n">
        <v>0</v>
      </c>
      <c r="K497" t="n">
        <v>0</v>
      </c>
      <c r="L497" t="n">
        <v>0</v>
      </c>
      <c r="M497" t="n">
        <v>0</v>
      </c>
      <c r="N497" t="n">
        <v>0</v>
      </c>
      <c r="O497" t="n">
        <v>0</v>
      </c>
      <c r="P497" t="n">
        <v>0</v>
      </c>
      <c r="Q497" t="n">
        <v>0</v>
      </c>
      <c r="R497" s="2" t="inlineStr"/>
    </row>
    <row r="498" ht="15" customHeight="1">
      <c r="A498" t="inlineStr">
        <is>
          <t>A 2714-2023</t>
        </is>
      </c>
      <c r="B498" s="1" t="n">
        <v>44944.54896990741</v>
      </c>
      <c r="C498" s="1" t="n">
        <v>45981</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22897-2023</t>
        </is>
      </c>
      <c r="B499" s="1" t="n">
        <v>45072.55239583334</v>
      </c>
      <c r="C499" s="1" t="n">
        <v>45981</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4568-2025</t>
        </is>
      </c>
      <c r="B500" s="1" t="n">
        <v>45687</v>
      </c>
      <c r="C500" s="1" t="n">
        <v>45981</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35550-2025</t>
        </is>
      </c>
      <c r="B501" s="1" t="n">
        <v>45856.49324074074</v>
      </c>
      <c r="C501" s="1" t="n">
        <v>45981</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1681-2023</t>
        </is>
      </c>
      <c r="B502" s="1" t="n">
        <v>44938.39715277778</v>
      </c>
      <c r="C502" s="1" t="n">
        <v>45981</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42338-2023</t>
        </is>
      </c>
      <c r="B503" s="1" t="n">
        <v>45180</v>
      </c>
      <c r="C503" s="1" t="n">
        <v>45981</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18918-2025</t>
        </is>
      </c>
      <c r="B504" s="1" t="n">
        <v>45764</v>
      </c>
      <c r="C504" s="1" t="n">
        <v>45981</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11013-2024</t>
        </is>
      </c>
      <c r="B505" s="1" t="n">
        <v>45370</v>
      </c>
      <c r="C505" s="1" t="n">
        <v>45981</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45084-2024</t>
        </is>
      </c>
      <c r="B506" s="1" t="n">
        <v>45575</v>
      </c>
      <c r="C506" s="1" t="n">
        <v>45981</v>
      </c>
      <c r="D506" t="inlineStr">
        <is>
          <t>GOTLANDS LÄN</t>
        </is>
      </c>
      <c r="E506" t="inlineStr">
        <is>
          <t>GOTLAND</t>
        </is>
      </c>
      <c r="G506" t="n">
        <v>6.8</v>
      </c>
      <c r="H506" t="n">
        <v>0</v>
      </c>
      <c r="I506" t="n">
        <v>0</v>
      </c>
      <c r="J506" t="n">
        <v>0</v>
      </c>
      <c r="K506" t="n">
        <v>0</v>
      </c>
      <c r="L506" t="n">
        <v>0</v>
      </c>
      <c r="M506" t="n">
        <v>0</v>
      </c>
      <c r="N506" t="n">
        <v>0</v>
      </c>
      <c r="O506" t="n">
        <v>0</v>
      </c>
      <c r="P506" t="n">
        <v>0</v>
      </c>
      <c r="Q506" t="n">
        <v>0</v>
      </c>
      <c r="R506" s="2" t="inlineStr"/>
    </row>
    <row r="507" ht="15" customHeight="1">
      <c r="A507" t="inlineStr">
        <is>
          <t>A 22275-2023</t>
        </is>
      </c>
      <c r="B507" s="1" t="n">
        <v>45070.39875</v>
      </c>
      <c r="C507" s="1" t="n">
        <v>45981</v>
      </c>
      <c r="D507" t="inlineStr">
        <is>
          <t>GOTLANDS LÄN</t>
        </is>
      </c>
      <c r="E507" t="inlineStr">
        <is>
          <t>GOTLAND</t>
        </is>
      </c>
      <c r="G507" t="n">
        <v>7.2</v>
      </c>
      <c r="H507" t="n">
        <v>0</v>
      </c>
      <c r="I507" t="n">
        <v>0</v>
      </c>
      <c r="J507" t="n">
        <v>0</v>
      </c>
      <c r="K507" t="n">
        <v>0</v>
      </c>
      <c r="L507" t="n">
        <v>0</v>
      </c>
      <c r="M507" t="n">
        <v>0</v>
      </c>
      <c r="N507" t="n">
        <v>0</v>
      </c>
      <c r="O507" t="n">
        <v>0</v>
      </c>
      <c r="P507" t="n">
        <v>0</v>
      </c>
      <c r="Q507" t="n">
        <v>0</v>
      </c>
      <c r="R507" s="2" t="inlineStr"/>
    </row>
    <row r="508" ht="15" customHeight="1">
      <c r="A508" t="inlineStr">
        <is>
          <t>A 58160-2024</t>
        </is>
      </c>
      <c r="B508" s="1" t="n">
        <v>45632.44927083333</v>
      </c>
      <c r="C508" s="1" t="n">
        <v>45981</v>
      </c>
      <c r="D508" t="inlineStr">
        <is>
          <t>GOTLANDS LÄN</t>
        </is>
      </c>
      <c r="E508" t="inlineStr">
        <is>
          <t>GOTLAND</t>
        </is>
      </c>
      <c r="G508" t="n">
        <v>5.6</v>
      </c>
      <c r="H508" t="n">
        <v>0</v>
      </c>
      <c r="I508" t="n">
        <v>0</v>
      </c>
      <c r="J508" t="n">
        <v>0</v>
      </c>
      <c r="K508" t="n">
        <v>0</v>
      </c>
      <c r="L508" t="n">
        <v>0</v>
      </c>
      <c r="M508" t="n">
        <v>0</v>
      </c>
      <c r="N508" t="n">
        <v>0</v>
      </c>
      <c r="O508" t="n">
        <v>0</v>
      </c>
      <c r="P508" t="n">
        <v>0</v>
      </c>
      <c r="Q508" t="n">
        <v>0</v>
      </c>
      <c r="R508" s="2" t="inlineStr"/>
    </row>
    <row r="509" ht="15" customHeight="1">
      <c r="A509" t="inlineStr">
        <is>
          <t>A 20356-2022</t>
        </is>
      </c>
      <c r="B509" s="1" t="n">
        <v>44699</v>
      </c>
      <c r="C509" s="1" t="n">
        <v>45981</v>
      </c>
      <c r="D509" t="inlineStr">
        <is>
          <t>GOTLANDS LÄN</t>
        </is>
      </c>
      <c r="E509" t="inlineStr">
        <is>
          <t>GOTLAND</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4868-2024</t>
        </is>
      </c>
      <c r="B510" s="1" t="n">
        <v>45329</v>
      </c>
      <c r="C510" s="1" t="n">
        <v>45981</v>
      </c>
      <c r="D510" t="inlineStr">
        <is>
          <t>GOTLANDS LÄN</t>
        </is>
      </c>
      <c r="E510" t="inlineStr">
        <is>
          <t>GOTLAND</t>
        </is>
      </c>
      <c r="G510" t="n">
        <v>7.1</v>
      </c>
      <c r="H510" t="n">
        <v>0</v>
      </c>
      <c r="I510" t="n">
        <v>0</v>
      </c>
      <c r="J510" t="n">
        <v>0</v>
      </c>
      <c r="K510" t="n">
        <v>0</v>
      </c>
      <c r="L510" t="n">
        <v>0</v>
      </c>
      <c r="M510" t="n">
        <v>0</v>
      </c>
      <c r="N510" t="n">
        <v>0</v>
      </c>
      <c r="O510" t="n">
        <v>0</v>
      </c>
      <c r="P510" t="n">
        <v>0</v>
      </c>
      <c r="Q510" t="n">
        <v>0</v>
      </c>
      <c r="R510" s="2" t="inlineStr"/>
    </row>
    <row r="511" ht="15" customHeight="1">
      <c r="A511" t="inlineStr">
        <is>
          <t>A 14635-2023</t>
        </is>
      </c>
      <c r="B511" s="1" t="n">
        <v>45013.69365740741</v>
      </c>
      <c r="C511" s="1" t="n">
        <v>45981</v>
      </c>
      <c r="D511" t="inlineStr">
        <is>
          <t>GOTLANDS LÄN</t>
        </is>
      </c>
      <c r="E511" t="inlineStr">
        <is>
          <t>GOTLAND</t>
        </is>
      </c>
      <c r="G511" t="n">
        <v>3.1</v>
      </c>
      <c r="H511" t="n">
        <v>0</v>
      </c>
      <c r="I511" t="n">
        <v>0</v>
      </c>
      <c r="J511" t="n">
        <v>0</v>
      </c>
      <c r="K511" t="n">
        <v>0</v>
      </c>
      <c r="L511" t="n">
        <v>0</v>
      </c>
      <c r="M511" t="n">
        <v>0</v>
      </c>
      <c r="N511" t="n">
        <v>0</v>
      </c>
      <c r="O511" t="n">
        <v>0</v>
      </c>
      <c r="P511" t="n">
        <v>0</v>
      </c>
      <c r="Q511" t="n">
        <v>0</v>
      </c>
      <c r="R511" s="2" t="inlineStr"/>
    </row>
    <row r="512" ht="15" customHeight="1">
      <c r="A512" t="inlineStr">
        <is>
          <t>A 63763-2023</t>
        </is>
      </c>
      <c r="B512" s="1" t="n">
        <v>45278.33944444444</v>
      </c>
      <c r="C512" s="1" t="n">
        <v>45981</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9613-2025</t>
        </is>
      </c>
      <c r="B513" s="1" t="n">
        <v>45715</v>
      </c>
      <c r="C513" s="1" t="n">
        <v>45981</v>
      </c>
      <c r="D513" t="inlineStr">
        <is>
          <t>GOTLANDS LÄN</t>
        </is>
      </c>
      <c r="E513" t="inlineStr">
        <is>
          <t>GOTLAND</t>
        </is>
      </c>
      <c r="G513" t="n">
        <v>3.5</v>
      </c>
      <c r="H513" t="n">
        <v>0</v>
      </c>
      <c r="I513" t="n">
        <v>0</v>
      </c>
      <c r="J513" t="n">
        <v>0</v>
      </c>
      <c r="K513" t="n">
        <v>0</v>
      </c>
      <c r="L513" t="n">
        <v>0</v>
      </c>
      <c r="M513" t="n">
        <v>0</v>
      </c>
      <c r="N513" t="n">
        <v>0</v>
      </c>
      <c r="O513" t="n">
        <v>0</v>
      </c>
      <c r="P513" t="n">
        <v>0</v>
      </c>
      <c r="Q513" t="n">
        <v>0</v>
      </c>
      <c r="R513" s="2" t="inlineStr"/>
    </row>
    <row r="514" ht="15" customHeight="1">
      <c r="A514" t="inlineStr">
        <is>
          <t>A 7635-2025</t>
        </is>
      </c>
      <c r="B514" s="1" t="n">
        <v>45705</v>
      </c>
      <c r="C514" s="1" t="n">
        <v>45981</v>
      </c>
      <c r="D514" t="inlineStr">
        <is>
          <t>GOTLANDS LÄN</t>
        </is>
      </c>
      <c r="E514" t="inlineStr">
        <is>
          <t>GOTLAND</t>
        </is>
      </c>
      <c r="G514" t="n">
        <v>0.9</v>
      </c>
      <c r="H514" t="n">
        <v>0</v>
      </c>
      <c r="I514" t="n">
        <v>0</v>
      </c>
      <c r="J514" t="n">
        <v>0</v>
      </c>
      <c r="K514" t="n">
        <v>0</v>
      </c>
      <c r="L514" t="n">
        <v>0</v>
      </c>
      <c r="M514" t="n">
        <v>0</v>
      </c>
      <c r="N514" t="n">
        <v>0</v>
      </c>
      <c r="O514" t="n">
        <v>0</v>
      </c>
      <c r="P514" t="n">
        <v>0</v>
      </c>
      <c r="Q514" t="n">
        <v>0</v>
      </c>
      <c r="R514" s="2" t="inlineStr"/>
    </row>
    <row r="515" ht="15" customHeight="1">
      <c r="A515" t="inlineStr">
        <is>
          <t>A 7636-2025</t>
        </is>
      </c>
      <c r="B515" s="1" t="n">
        <v>45705.7687962963</v>
      </c>
      <c r="C515" s="1" t="n">
        <v>45981</v>
      </c>
      <c r="D515" t="inlineStr">
        <is>
          <t>GOTLANDS LÄN</t>
        </is>
      </c>
      <c r="E515" t="inlineStr">
        <is>
          <t>GOTLAND</t>
        </is>
      </c>
      <c r="G515" t="n">
        <v>0.6</v>
      </c>
      <c r="H515" t="n">
        <v>0</v>
      </c>
      <c r="I515" t="n">
        <v>0</v>
      </c>
      <c r="J515" t="n">
        <v>0</v>
      </c>
      <c r="K515" t="n">
        <v>0</v>
      </c>
      <c r="L515" t="n">
        <v>0</v>
      </c>
      <c r="M515" t="n">
        <v>0</v>
      </c>
      <c r="N515" t="n">
        <v>0</v>
      </c>
      <c r="O515" t="n">
        <v>0</v>
      </c>
      <c r="P515" t="n">
        <v>0</v>
      </c>
      <c r="Q515" t="n">
        <v>0</v>
      </c>
      <c r="R515" s="2" t="inlineStr"/>
    </row>
    <row r="516" ht="15" customHeight="1">
      <c r="A516" t="inlineStr">
        <is>
          <t>A 7639-2025</t>
        </is>
      </c>
      <c r="B516" s="1" t="n">
        <v>45705.77465277778</v>
      </c>
      <c r="C516" s="1" t="n">
        <v>45981</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61682-2024</t>
        </is>
      </c>
      <c r="B517" s="1" t="n">
        <v>45647.48824074074</v>
      </c>
      <c r="C517" s="1" t="n">
        <v>45981</v>
      </c>
      <c r="D517" t="inlineStr">
        <is>
          <t>GOTLANDS LÄN</t>
        </is>
      </c>
      <c r="E517" t="inlineStr">
        <is>
          <t>GOTLAND</t>
        </is>
      </c>
      <c r="G517" t="n">
        <v>1.9</v>
      </c>
      <c r="H517" t="n">
        <v>0</v>
      </c>
      <c r="I517" t="n">
        <v>0</v>
      </c>
      <c r="J517" t="n">
        <v>0</v>
      </c>
      <c r="K517" t="n">
        <v>0</v>
      </c>
      <c r="L517" t="n">
        <v>0</v>
      </c>
      <c r="M517" t="n">
        <v>0</v>
      </c>
      <c r="N517" t="n">
        <v>0</v>
      </c>
      <c r="O517" t="n">
        <v>0</v>
      </c>
      <c r="P517" t="n">
        <v>0</v>
      </c>
      <c r="Q517" t="n">
        <v>0</v>
      </c>
      <c r="R517" s="2" t="inlineStr"/>
    </row>
    <row r="518" ht="15" customHeight="1">
      <c r="A518" t="inlineStr">
        <is>
          <t>A 15434-2024</t>
        </is>
      </c>
      <c r="B518" s="1" t="n">
        <v>45401.38836805556</v>
      </c>
      <c r="C518" s="1" t="n">
        <v>45981</v>
      </c>
      <c r="D518" t="inlineStr">
        <is>
          <t>GOTLANDS LÄN</t>
        </is>
      </c>
      <c r="E518" t="inlineStr">
        <is>
          <t>GOTLAND</t>
        </is>
      </c>
      <c r="G518" t="n">
        <v>2.5</v>
      </c>
      <c r="H518" t="n">
        <v>0</v>
      </c>
      <c r="I518" t="n">
        <v>0</v>
      </c>
      <c r="J518" t="n">
        <v>0</v>
      </c>
      <c r="K518" t="n">
        <v>0</v>
      </c>
      <c r="L518" t="n">
        <v>0</v>
      </c>
      <c r="M518" t="n">
        <v>0</v>
      </c>
      <c r="N518" t="n">
        <v>0</v>
      </c>
      <c r="O518" t="n">
        <v>0</v>
      </c>
      <c r="P518" t="n">
        <v>0</v>
      </c>
      <c r="Q518" t="n">
        <v>0</v>
      </c>
      <c r="R518" s="2" t="inlineStr"/>
    </row>
    <row r="519" ht="15" customHeight="1">
      <c r="A519" t="inlineStr">
        <is>
          <t>A 5386-2023</t>
        </is>
      </c>
      <c r="B519" s="1" t="n">
        <v>44959</v>
      </c>
      <c r="C519" s="1" t="n">
        <v>45981</v>
      </c>
      <c r="D519" t="inlineStr">
        <is>
          <t>GOTLANDS LÄN</t>
        </is>
      </c>
      <c r="E519" t="inlineStr">
        <is>
          <t>GOTLAND</t>
        </is>
      </c>
      <c r="G519" t="n">
        <v>5.4</v>
      </c>
      <c r="H519" t="n">
        <v>0</v>
      </c>
      <c r="I519" t="n">
        <v>0</v>
      </c>
      <c r="J519" t="n">
        <v>0</v>
      </c>
      <c r="K519" t="n">
        <v>0</v>
      </c>
      <c r="L519" t="n">
        <v>0</v>
      </c>
      <c r="M519" t="n">
        <v>0</v>
      </c>
      <c r="N519" t="n">
        <v>0</v>
      </c>
      <c r="O519" t="n">
        <v>0</v>
      </c>
      <c r="P519" t="n">
        <v>0</v>
      </c>
      <c r="Q519" t="n">
        <v>0</v>
      </c>
      <c r="R519" s="2" t="inlineStr"/>
    </row>
    <row r="520" ht="15" customHeight="1">
      <c r="A520" t="inlineStr">
        <is>
          <t>A 7034-2023</t>
        </is>
      </c>
      <c r="B520" s="1" t="n">
        <v>44968.32108796296</v>
      </c>
      <c r="C520" s="1" t="n">
        <v>45981</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7042-2023</t>
        </is>
      </c>
      <c r="B521" s="1" t="n">
        <v>44968</v>
      </c>
      <c r="C521" s="1" t="n">
        <v>45981</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58211-2024</t>
        </is>
      </c>
      <c r="B522" s="1" t="n">
        <v>45632.49292824074</v>
      </c>
      <c r="C522" s="1" t="n">
        <v>45981</v>
      </c>
      <c r="D522" t="inlineStr">
        <is>
          <t>GOTLANDS LÄN</t>
        </is>
      </c>
      <c r="E522" t="inlineStr">
        <is>
          <t>GOTLAND</t>
        </is>
      </c>
      <c r="G522" t="n">
        <v>5.4</v>
      </c>
      <c r="H522" t="n">
        <v>0</v>
      </c>
      <c r="I522" t="n">
        <v>0</v>
      </c>
      <c r="J522" t="n">
        <v>0</v>
      </c>
      <c r="K522" t="n">
        <v>0</v>
      </c>
      <c r="L522" t="n">
        <v>0</v>
      </c>
      <c r="M522" t="n">
        <v>0</v>
      </c>
      <c r="N522" t="n">
        <v>0</v>
      </c>
      <c r="O522" t="n">
        <v>0</v>
      </c>
      <c r="P522" t="n">
        <v>0</v>
      </c>
      <c r="Q522" t="n">
        <v>0</v>
      </c>
      <c r="R522" s="2" t="inlineStr"/>
    </row>
    <row r="523" ht="15" customHeight="1">
      <c r="A523" t="inlineStr">
        <is>
          <t>A 2180-2025</t>
        </is>
      </c>
      <c r="B523" s="1" t="n">
        <v>45673</v>
      </c>
      <c r="C523" s="1" t="n">
        <v>45981</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11634-2024</t>
        </is>
      </c>
      <c r="B524" s="1" t="n">
        <v>45373</v>
      </c>
      <c r="C524" s="1" t="n">
        <v>45981</v>
      </c>
      <c r="D524" t="inlineStr">
        <is>
          <t>GOTLANDS LÄN</t>
        </is>
      </c>
      <c r="E524" t="inlineStr">
        <is>
          <t>GOTLAND</t>
        </is>
      </c>
      <c r="G524" t="n">
        <v>3</v>
      </c>
      <c r="H524" t="n">
        <v>0</v>
      </c>
      <c r="I524" t="n">
        <v>0</v>
      </c>
      <c r="J524" t="n">
        <v>0</v>
      </c>
      <c r="K524" t="n">
        <v>0</v>
      </c>
      <c r="L524" t="n">
        <v>0</v>
      </c>
      <c r="M524" t="n">
        <v>0</v>
      </c>
      <c r="N524" t="n">
        <v>0</v>
      </c>
      <c r="O524" t="n">
        <v>0</v>
      </c>
      <c r="P524" t="n">
        <v>0</v>
      </c>
      <c r="Q524" t="n">
        <v>0</v>
      </c>
      <c r="R524" s="2" t="inlineStr"/>
    </row>
    <row r="525" ht="15" customHeight="1">
      <c r="A525" t="inlineStr">
        <is>
          <t>A 5884-2025</t>
        </is>
      </c>
      <c r="B525" s="1" t="n">
        <v>45695.37482638889</v>
      </c>
      <c r="C525" s="1" t="n">
        <v>45981</v>
      </c>
      <c r="D525" t="inlineStr">
        <is>
          <t>GOTLANDS LÄN</t>
        </is>
      </c>
      <c r="E525" t="inlineStr">
        <is>
          <t>GOTLAND</t>
        </is>
      </c>
      <c r="G525" t="n">
        <v>2.1</v>
      </c>
      <c r="H525" t="n">
        <v>0</v>
      </c>
      <c r="I525" t="n">
        <v>0</v>
      </c>
      <c r="J525" t="n">
        <v>0</v>
      </c>
      <c r="K525" t="n">
        <v>0</v>
      </c>
      <c r="L525" t="n">
        <v>0</v>
      </c>
      <c r="M525" t="n">
        <v>0</v>
      </c>
      <c r="N525" t="n">
        <v>0</v>
      </c>
      <c r="O525" t="n">
        <v>0</v>
      </c>
      <c r="P525" t="n">
        <v>0</v>
      </c>
      <c r="Q525" t="n">
        <v>0</v>
      </c>
      <c r="R525" s="2" t="inlineStr"/>
    </row>
    <row r="526" ht="15" customHeight="1">
      <c r="A526" t="inlineStr">
        <is>
          <t>A 5897-2025</t>
        </is>
      </c>
      <c r="B526" s="1" t="n">
        <v>45695.39273148148</v>
      </c>
      <c r="C526" s="1" t="n">
        <v>45981</v>
      </c>
      <c r="D526" t="inlineStr">
        <is>
          <t>GOTLANDS LÄN</t>
        </is>
      </c>
      <c r="E526" t="inlineStr">
        <is>
          <t>GOTLAND</t>
        </is>
      </c>
      <c r="G526" t="n">
        <v>3.7</v>
      </c>
      <c r="H526" t="n">
        <v>0</v>
      </c>
      <c r="I526" t="n">
        <v>0</v>
      </c>
      <c r="J526" t="n">
        <v>0</v>
      </c>
      <c r="K526" t="n">
        <v>0</v>
      </c>
      <c r="L526" t="n">
        <v>0</v>
      </c>
      <c r="M526" t="n">
        <v>0</v>
      </c>
      <c r="N526" t="n">
        <v>0</v>
      </c>
      <c r="O526" t="n">
        <v>0</v>
      </c>
      <c r="P526" t="n">
        <v>0</v>
      </c>
      <c r="Q526" t="n">
        <v>0</v>
      </c>
      <c r="R526" s="2" t="inlineStr"/>
    </row>
    <row r="527" ht="15" customHeight="1">
      <c r="A527" t="inlineStr">
        <is>
          <t>A 5909-2025</t>
        </is>
      </c>
      <c r="B527" s="1" t="n">
        <v>45695.40634259259</v>
      </c>
      <c r="C527" s="1" t="n">
        <v>45981</v>
      </c>
      <c r="D527" t="inlineStr">
        <is>
          <t>GOTLANDS LÄN</t>
        </is>
      </c>
      <c r="E527" t="inlineStr">
        <is>
          <t>GOTLAND</t>
        </is>
      </c>
      <c r="G527" t="n">
        <v>2.9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45981</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60086-2022</t>
        </is>
      </c>
      <c r="B529" s="1" t="n">
        <v>44909</v>
      </c>
      <c r="C529" s="1" t="n">
        <v>45981</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61694-2023</t>
        </is>
      </c>
      <c r="B530" s="1" t="n">
        <v>45264</v>
      </c>
      <c r="C530" s="1" t="n">
        <v>45981</v>
      </c>
      <c r="D530" t="inlineStr">
        <is>
          <t>GOTLANDS LÄN</t>
        </is>
      </c>
      <c r="E530" t="inlineStr">
        <is>
          <t>GOTLAND</t>
        </is>
      </c>
      <c r="G530" t="n">
        <v>4.6</v>
      </c>
      <c r="H530" t="n">
        <v>0</v>
      </c>
      <c r="I530" t="n">
        <v>0</v>
      </c>
      <c r="J530" t="n">
        <v>0</v>
      </c>
      <c r="K530" t="n">
        <v>0</v>
      </c>
      <c r="L530" t="n">
        <v>0</v>
      </c>
      <c r="M530" t="n">
        <v>0</v>
      </c>
      <c r="N530" t="n">
        <v>0</v>
      </c>
      <c r="O530" t="n">
        <v>0</v>
      </c>
      <c r="P530" t="n">
        <v>0</v>
      </c>
      <c r="Q530" t="n">
        <v>0</v>
      </c>
      <c r="R530" s="2" t="inlineStr"/>
    </row>
    <row r="531" ht="15" customHeight="1">
      <c r="A531" t="inlineStr">
        <is>
          <t>A 22704-2023</t>
        </is>
      </c>
      <c r="B531" s="1" t="n">
        <v>45071</v>
      </c>
      <c r="C531" s="1" t="n">
        <v>45981</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64208-2021</t>
        </is>
      </c>
      <c r="B532" s="1" t="n">
        <v>44510</v>
      </c>
      <c r="C532" s="1" t="n">
        <v>45981</v>
      </c>
      <c r="D532" t="inlineStr">
        <is>
          <t>GOTLANDS LÄN</t>
        </is>
      </c>
      <c r="E532" t="inlineStr">
        <is>
          <t>GOTLAND</t>
        </is>
      </c>
      <c r="G532" t="n">
        <v>4.7</v>
      </c>
      <c r="H532" t="n">
        <v>0</v>
      </c>
      <c r="I532" t="n">
        <v>0</v>
      </c>
      <c r="J532" t="n">
        <v>0</v>
      </c>
      <c r="K532" t="n">
        <v>0</v>
      </c>
      <c r="L532" t="n">
        <v>0</v>
      </c>
      <c r="M532" t="n">
        <v>0</v>
      </c>
      <c r="N532" t="n">
        <v>0</v>
      </c>
      <c r="O532" t="n">
        <v>0</v>
      </c>
      <c r="P532" t="n">
        <v>0</v>
      </c>
      <c r="Q532" t="n">
        <v>0</v>
      </c>
      <c r="R532" s="2" t="inlineStr"/>
    </row>
    <row r="533" ht="15" customHeight="1">
      <c r="A533" t="inlineStr">
        <is>
          <t>A 54268-2022</t>
        </is>
      </c>
      <c r="B533" s="1" t="n">
        <v>44882</v>
      </c>
      <c r="C533" s="1" t="n">
        <v>45981</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1446-2025</t>
        </is>
      </c>
      <c r="B534" s="1" t="n">
        <v>45669.86035879629</v>
      </c>
      <c r="C534" s="1" t="n">
        <v>45981</v>
      </c>
      <c r="D534" t="inlineStr">
        <is>
          <t>GOTLANDS LÄN</t>
        </is>
      </c>
      <c r="E534" t="inlineStr">
        <is>
          <t>GOTLAND</t>
        </is>
      </c>
      <c r="G534" t="n">
        <v>3.1</v>
      </c>
      <c r="H534" t="n">
        <v>0</v>
      </c>
      <c r="I534" t="n">
        <v>0</v>
      </c>
      <c r="J534" t="n">
        <v>0</v>
      </c>
      <c r="K534" t="n">
        <v>0</v>
      </c>
      <c r="L534" t="n">
        <v>0</v>
      </c>
      <c r="M534" t="n">
        <v>0</v>
      </c>
      <c r="N534" t="n">
        <v>0</v>
      </c>
      <c r="O534" t="n">
        <v>0</v>
      </c>
      <c r="P534" t="n">
        <v>0</v>
      </c>
      <c r="Q534" t="n">
        <v>0</v>
      </c>
      <c r="R534" s="2" t="inlineStr"/>
    </row>
    <row r="535" ht="15" customHeight="1">
      <c r="A535" t="inlineStr">
        <is>
          <t>A 1462-2025</t>
        </is>
      </c>
      <c r="B535" s="1" t="n">
        <v>45670.36319444444</v>
      </c>
      <c r="C535" s="1" t="n">
        <v>45981</v>
      </c>
      <c r="D535" t="inlineStr">
        <is>
          <t>GOTLANDS LÄN</t>
        </is>
      </c>
      <c r="E535" t="inlineStr">
        <is>
          <t>GOTLAND</t>
        </is>
      </c>
      <c r="G535" t="n">
        <v>2.8</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44897.4777662037</v>
      </c>
      <c r="C536" s="1" t="n">
        <v>45981</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811-2023</t>
        </is>
      </c>
      <c r="B537" s="1" t="n">
        <v>44931</v>
      </c>
      <c r="C537" s="1" t="n">
        <v>45981</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25866-2022</t>
        </is>
      </c>
      <c r="B538" s="1" t="n">
        <v>44733</v>
      </c>
      <c r="C538" s="1" t="n">
        <v>45981</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5905-2024</t>
        </is>
      </c>
      <c r="B539" s="1" t="n">
        <v>45335.88993055555</v>
      </c>
      <c r="C539" s="1" t="n">
        <v>45981</v>
      </c>
      <c r="D539" t="inlineStr">
        <is>
          <t>GOTLANDS LÄN</t>
        </is>
      </c>
      <c r="E539" t="inlineStr">
        <is>
          <t>GOTLAND</t>
        </is>
      </c>
      <c r="G539" t="n">
        <v>3</v>
      </c>
      <c r="H539" t="n">
        <v>0</v>
      </c>
      <c r="I539" t="n">
        <v>0</v>
      </c>
      <c r="J539" t="n">
        <v>0</v>
      </c>
      <c r="K539" t="n">
        <v>0</v>
      </c>
      <c r="L539" t="n">
        <v>0</v>
      </c>
      <c r="M539" t="n">
        <v>0</v>
      </c>
      <c r="N539" t="n">
        <v>0</v>
      </c>
      <c r="O539" t="n">
        <v>0</v>
      </c>
      <c r="P539" t="n">
        <v>0</v>
      </c>
      <c r="Q539" t="n">
        <v>0</v>
      </c>
      <c r="R539" s="2" t="inlineStr"/>
    </row>
    <row r="540" ht="15" customHeight="1">
      <c r="A540" t="inlineStr">
        <is>
          <t>A 3431-2025</t>
        </is>
      </c>
      <c r="B540" s="1" t="n">
        <v>45680.42935185185</v>
      </c>
      <c r="C540" s="1" t="n">
        <v>45981</v>
      </c>
      <c r="D540" t="inlineStr">
        <is>
          <t>GOTLANDS LÄN</t>
        </is>
      </c>
      <c r="E540" t="inlineStr">
        <is>
          <t>GOTLAND</t>
        </is>
      </c>
      <c r="G540" t="n">
        <v>4.8</v>
      </c>
      <c r="H540" t="n">
        <v>0</v>
      </c>
      <c r="I540" t="n">
        <v>0</v>
      </c>
      <c r="J540" t="n">
        <v>0</v>
      </c>
      <c r="K540" t="n">
        <v>0</v>
      </c>
      <c r="L540" t="n">
        <v>0</v>
      </c>
      <c r="M540" t="n">
        <v>0</v>
      </c>
      <c r="N540" t="n">
        <v>0</v>
      </c>
      <c r="O540" t="n">
        <v>0</v>
      </c>
      <c r="P540" t="n">
        <v>0</v>
      </c>
      <c r="Q540" t="n">
        <v>0</v>
      </c>
      <c r="R540" s="2" t="inlineStr"/>
    </row>
    <row r="541" ht="15" customHeight="1">
      <c r="A541" t="inlineStr">
        <is>
          <t>A 34407-2023</t>
        </is>
      </c>
      <c r="B541" s="1" t="n">
        <v>45132</v>
      </c>
      <c r="C541" s="1" t="n">
        <v>45981</v>
      </c>
      <c r="D541" t="inlineStr">
        <is>
          <t>GOTLANDS LÄN</t>
        </is>
      </c>
      <c r="E541" t="inlineStr">
        <is>
          <t>GOTLAND</t>
        </is>
      </c>
      <c r="G541" t="n">
        <v>4.4</v>
      </c>
      <c r="H541" t="n">
        <v>0</v>
      </c>
      <c r="I541" t="n">
        <v>0</v>
      </c>
      <c r="J541" t="n">
        <v>0</v>
      </c>
      <c r="K541" t="n">
        <v>0</v>
      </c>
      <c r="L541" t="n">
        <v>0</v>
      </c>
      <c r="M541" t="n">
        <v>0</v>
      </c>
      <c r="N541" t="n">
        <v>0</v>
      </c>
      <c r="O541" t="n">
        <v>0</v>
      </c>
      <c r="P541" t="n">
        <v>0</v>
      </c>
      <c r="Q541" t="n">
        <v>0</v>
      </c>
      <c r="R541" s="2" t="inlineStr"/>
    </row>
    <row r="542" ht="15" customHeight="1">
      <c r="A542" t="inlineStr">
        <is>
          <t>A 30892-2024</t>
        </is>
      </c>
      <c r="B542" s="1" t="n">
        <v>45491</v>
      </c>
      <c r="C542" s="1" t="n">
        <v>45981</v>
      </c>
      <c r="D542" t="inlineStr">
        <is>
          <t>GOTLANDS LÄN</t>
        </is>
      </c>
      <c r="E542" t="inlineStr">
        <is>
          <t>GOTLAND</t>
        </is>
      </c>
      <c r="G542" t="n">
        <v>6.1</v>
      </c>
      <c r="H542" t="n">
        <v>0</v>
      </c>
      <c r="I542" t="n">
        <v>0</v>
      </c>
      <c r="J542" t="n">
        <v>0</v>
      </c>
      <c r="K542" t="n">
        <v>0</v>
      </c>
      <c r="L542" t="n">
        <v>0</v>
      </c>
      <c r="M542" t="n">
        <v>0</v>
      </c>
      <c r="N542" t="n">
        <v>0</v>
      </c>
      <c r="O542" t="n">
        <v>0</v>
      </c>
      <c r="P542" t="n">
        <v>0</v>
      </c>
      <c r="Q542" t="n">
        <v>0</v>
      </c>
      <c r="R542" s="2" t="inlineStr"/>
    </row>
    <row r="543" ht="15" customHeight="1">
      <c r="A543" t="inlineStr">
        <is>
          <t>A 32958-2021</t>
        </is>
      </c>
      <c r="B543" s="1" t="n">
        <v>44376</v>
      </c>
      <c r="C543" s="1" t="n">
        <v>45981</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9887-2025</t>
        </is>
      </c>
      <c r="B544" s="1" t="n">
        <v>45716</v>
      </c>
      <c r="C544" s="1" t="n">
        <v>45981</v>
      </c>
      <c r="D544" t="inlineStr">
        <is>
          <t>GOTLANDS LÄN</t>
        </is>
      </c>
      <c r="E544" t="inlineStr">
        <is>
          <t>GOTLAND</t>
        </is>
      </c>
      <c r="G544" t="n">
        <v>7.5</v>
      </c>
      <c r="H544" t="n">
        <v>0</v>
      </c>
      <c r="I544" t="n">
        <v>0</v>
      </c>
      <c r="J544" t="n">
        <v>0</v>
      </c>
      <c r="K544" t="n">
        <v>0</v>
      </c>
      <c r="L544" t="n">
        <v>0</v>
      </c>
      <c r="M544" t="n">
        <v>0</v>
      </c>
      <c r="N544" t="n">
        <v>0</v>
      </c>
      <c r="O544" t="n">
        <v>0</v>
      </c>
      <c r="P544" t="n">
        <v>0</v>
      </c>
      <c r="Q544" t="n">
        <v>0</v>
      </c>
      <c r="R544" s="2" t="inlineStr"/>
    </row>
    <row r="545" ht="15" customHeight="1">
      <c r="A545" t="inlineStr">
        <is>
          <t>A 12209-2024</t>
        </is>
      </c>
      <c r="B545" s="1" t="n">
        <v>45378</v>
      </c>
      <c r="C545" s="1" t="n">
        <v>45981</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12210-2024</t>
        </is>
      </c>
      <c r="B546" s="1" t="n">
        <v>45378</v>
      </c>
      <c r="C546" s="1" t="n">
        <v>45981</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16109-2025</t>
        </is>
      </c>
      <c r="B547" s="1" t="n">
        <v>45750</v>
      </c>
      <c r="C547" s="1" t="n">
        <v>45981</v>
      </c>
      <c r="D547" t="inlineStr">
        <is>
          <t>GOTLANDS LÄN</t>
        </is>
      </c>
      <c r="E547" t="inlineStr">
        <is>
          <t>GOTLAND</t>
        </is>
      </c>
      <c r="G547" t="n">
        <v>4.9</v>
      </c>
      <c r="H547" t="n">
        <v>0</v>
      </c>
      <c r="I547" t="n">
        <v>0</v>
      </c>
      <c r="J547" t="n">
        <v>0</v>
      </c>
      <c r="K547" t="n">
        <v>0</v>
      </c>
      <c r="L547" t="n">
        <v>0</v>
      </c>
      <c r="M547" t="n">
        <v>0</v>
      </c>
      <c r="N547" t="n">
        <v>0</v>
      </c>
      <c r="O547" t="n">
        <v>0</v>
      </c>
      <c r="P547" t="n">
        <v>0</v>
      </c>
      <c r="Q547" t="n">
        <v>0</v>
      </c>
      <c r="R547" s="2" t="inlineStr"/>
    </row>
    <row r="548" ht="15" customHeight="1">
      <c r="A548" t="inlineStr">
        <is>
          <t>A 59986-2022</t>
        </is>
      </c>
      <c r="B548" s="1" t="n">
        <v>44909</v>
      </c>
      <c r="C548" s="1" t="n">
        <v>45981</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7858-2025</t>
        </is>
      </c>
      <c r="B549" s="1" t="n">
        <v>45706.68633101852</v>
      </c>
      <c r="C549" s="1" t="n">
        <v>45981</v>
      </c>
      <c r="D549" t="inlineStr">
        <is>
          <t>GOTLANDS LÄN</t>
        </is>
      </c>
      <c r="E549" t="inlineStr">
        <is>
          <t>GOTLAND</t>
        </is>
      </c>
      <c r="G549" t="n">
        <v>3</v>
      </c>
      <c r="H549" t="n">
        <v>0</v>
      </c>
      <c r="I549" t="n">
        <v>0</v>
      </c>
      <c r="J549" t="n">
        <v>0</v>
      </c>
      <c r="K549" t="n">
        <v>0</v>
      </c>
      <c r="L549" t="n">
        <v>0</v>
      </c>
      <c r="M549" t="n">
        <v>0</v>
      </c>
      <c r="N549" t="n">
        <v>0</v>
      </c>
      <c r="O549" t="n">
        <v>0</v>
      </c>
      <c r="P549" t="n">
        <v>0</v>
      </c>
      <c r="Q549" t="n">
        <v>0</v>
      </c>
      <c r="R549" s="2" t="inlineStr"/>
    </row>
    <row r="550" ht="15" customHeight="1">
      <c r="A550" t="inlineStr">
        <is>
          <t>A 46545-2024</t>
        </is>
      </c>
      <c r="B550" s="1" t="n">
        <v>45582.65831018519</v>
      </c>
      <c r="C550" s="1" t="n">
        <v>45981</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32467-2025</t>
        </is>
      </c>
      <c r="B551" s="1" t="n">
        <v>45838.42111111111</v>
      </c>
      <c r="C551" s="1" t="n">
        <v>45981</v>
      </c>
      <c r="D551" t="inlineStr">
        <is>
          <t>GOTLANDS LÄN</t>
        </is>
      </c>
      <c r="E551" t="inlineStr">
        <is>
          <t>GOTLAND</t>
        </is>
      </c>
      <c r="G551" t="n">
        <v>4.3</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45981</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1364-2025</t>
        </is>
      </c>
      <c r="B553" s="1" t="n">
        <v>45667.63929398148</v>
      </c>
      <c r="C553" s="1" t="n">
        <v>45981</v>
      </c>
      <c r="D553" t="inlineStr">
        <is>
          <t>GOTLANDS LÄN</t>
        </is>
      </c>
      <c r="E553" t="inlineStr">
        <is>
          <t>GOTLAND</t>
        </is>
      </c>
      <c r="G553" t="n">
        <v>1.2</v>
      </c>
      <c r="H553" t="n">
        <v>0</v>
      </c>
      <c r="I553" t="n">
        <v>0</v>
      </c>
      <c r="J553" t="n">
        <v>0</v>
      </c>
      <c r="K553" t="n">
        <v>0</v>
      </c>
      <c r="L553" t="n">
        <v>0</v>
      </c>
      <c r="M553" t="n">
        <v>0</v>
      </c>
      <c r="N553" t="n">
        <v>0</v>
      </c>
      <c r="O553" t="n">
        <v>0</v>
      </c>
      <c r="P553" t="n">
        <v>0</v>
      </c>
      <c r="Q553" t="n">
        <v>0</v>
      </c>
      <c r="R553" s="2" t="inlineStr"/>
    </row>
    <row r="554" ht="15" customHeight="1">
      <c r="A554" t="inlineStr">
        <is>
          <t>A 2125-2025</t>
        </is>
      </c>
      <c r="B554" s="1" t="n">
        <v>45672.64940972222</v>
      </c>
      <c r="C554" s="1" t="n">
        <v>45981</v>
      </c>
      <c r="D554" t="inlineStr">
        <is>
          <t>GOTLANDS LÄN</t>
        </is>
      </c>
      <c r="E554" t="inlineStr">
        <is>
          <t>GOTLAND</t>
        </is>
      </c>
      <c r="G554" t="n">
        <v>2.3</v>
      </c>
      <c r="H554" t="n">
        <v>0</v>
      </c>
      <c r="I554" t="n">
        <v>0</v>
      </c>
      <c r="J554" t="n">
        <v>0</v>
      </c>
      <c r="K554" t="n">
        <v>0</v>
      </c>
      <c r="L554" t="n">
        <v>0</v>
      </c>
      <c r="M554" t="n">
        <v>0</v>
      </c>
      <c r="N554" t="n">
        <v>0</v>
      </c>
      <c r="O554" t="n">
        <v>0</v>
      </c>
      <c r="P554" t="n">
        <v>0</v>
      </c>
      <c r="Q554" t="n">
        <v>0</v>
      </c>
      <c r="R554" s="2" t="inlineStr"/>
    </row>
    <row r="555" ht="15" customHeight="1">
      <c r="A555" t="inlineStr">
        <is>
          <t>A 31802-2024</t>
        </is>
      </c>
      <c r="B555" s="1" t="n">
        <v>45509</v>
      </c>
      <c r="C555" s="1" t="n">
        <v>45981</v>
      </c>
      <c r="D555" t="inlineStr">
        <is>
          <t>GOTLANDS LÄN</t>
        </is>
      </c>
      <c r="E555" t="inlineStr">
        <is>
          <t>GOTLAND</t>
        </is>
      </c>
      <c r="G555" t="n">
        <v>2.8</v>
      </c>
      <c r="H555" t="n">
        <v>0</v>
      </c>
      <c r="I555" t="n">
        <v>0</v>
      </c>
      <c r="J555" t="n">
        <v>0</v>
      </c>
      <c r="K555" t="n">
        <v>0</v>
      </c>
      <c r="L555" t="n">
        <v>0</v>
      </c>
      <c r="M555" t="n">
        <v>0</v>
      </c>
      <c r="N555" t="n">
        <v>0</v>
      </c>
      <c r="O555" t="n">
        <v>0</v>
      </c>
      <c r="P555" t="n">
        <v>0</v>
      </c>
      <c r="Q555" t="n">
        <v>0</v>
      </c>
      <c r="R555" s="2" t="inlineStr"/>
    </row>
    <row r="556" ht="15" customHeight="1">
      <c r="A556" t="inlineStr">
        <is>
          <t>A 14141-2024</t>
        </is>
      </c>
      <c r="B556" s="1" t="n">
        <v>45392.85193287037</v>
      </c>
      <c r="C556" s="1" t="n">
        <v>45981</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20993-2023</t>
        </is>
      </c>
      <c r="B557" s="1" t="n">
        <v>45056</v>
      </c>
      <c r="C557" s="1" t="n">
        <v>45981</v>
      </c>
      <c r="D557" t="inlineStr">
        <is>
          <t>GOTLANDS LÄN</t>
        </is>
      </c>
      <c r="E557" t="inlineStr">
        <is>
          <t>GOTLAND</t>
        </is>
      </c>
      <c r="G557" t="n">
        <v>7.1</v>
      </c>
      <c r="H557" t="n">
        <v>0</v>
      </c>
      <c r="I557" t="n">
        <v>0</v>
      </c>
      <c r="J557" t="n">
        <v>0</v>
      </c>
      <c r="K557" t="n">
        <v>0</v>
      </c>
      <c r="L557" t="n">
        <v>0</v>
      </c>
      <c r="M557" t="n">
        <v>0</v>
      </c>
      <c r="N557" t="n">
        <v>0</v>
      </c>
      <c r="O557" t="n">
        <v>0</v>
      </c>
      <c r="P557" t="n">
        <v>0</v>
      </c>
      <c r="Q557" t="n">
        <v>0</v>
      </c>
      <c r="R557" s="2" t="inlineStr"/>
    </row>
    <row r="558" ht="15" customHeight="1">
      <c r="A558" t="inlineStr">
        <is>
          <t>A 15042-2025</t>
        </is>
      </c>
      <c r="B558" s="1" t="n">
        <v>45743</v>
      </c>
      <c r="C558" s="1" t="n">
        <v>45981</v>
      </c>
      <c r="D558" t="inlineStr">
        <is>
          <t>GOTLANDS LÄN</t>
        </is>
      </c>
      <c r="E558" t="inlineStr">
        <is>
          <t>GOTLAND</t>
        </is>
      </c>
      <c r="G558" t="n">
        <v>8.5</v>
      </c>
      <c r="H558" t="n">
        <v>0</v>
      </c>
      <c r="I558" t="n">
        <v>0</v>
      </c>
      <c r="J558" t="n">
        <v>0</v>
      </c>
      <c r="K558" t="n">
        <v>0</v>
      </c>
      <c r="L558" t="n">
        <v>0</v>
      </c>
      <c r="M558" t="n">
        <v>0</v>
      </c>
      <c r="N558" t="n">
        <v>0</v>
      </c>
      <c r="O558" t="n">
        <v>0</v>
      </c>
      <c r="P558" t="n">
        <v>0</v>
      </c>
      <c r="Q558" t="n">
        <v>0</v>
      </c>
      <c r="R558" s="2" t="inlineStr"/>
    </row>
    <row r="559" ht="15" customHeight="1">
      <c r="A559" t="inlineStr">
        <is>
          <t>A 12155-2023</t>
        </is>
      </c>
      <c r="B559" s="1" t="n">
        <v>44998.49106481481</v>
      </c>
      <c r="C559" s="1" t="n">
        <v>45981</v>
      </c>
      <c r="D559" t="inlineStr">
        <is>
          <t>GOTLANDS LÄN</t>
        </is>
      </c>
      <c r="E559" t="inlineStr">
        <is>
          <t>GOTLAND</t>
        </is>
      </c>
      <c r="G559" t="n">
        <v>1.1</v>
      </c>
      <c r="H559" t="n">
        <v>0</v>
      </c>
      <c r="I559" t="n">
        <v>0</v>
      </c>
      <c r="J559" t="n">
        <v>0</v>
      </c>
      <c r="K559" t="n">
        <v>0</v>
      </c>
      <c r="L559" t="n">
        <v>0</v>
      </c>
      <c r="M559" t="n">
        <v>0</v>
      </c>
      <c r="N559" t="n">
        <v>0</v>
      </c>
      <c r="O559" t="n">
        <v>0</v>
      </c>
      <c r="P559" t="n">
        <v>0</v>
      </c>
      <c r="Q559" t="n">
        <v>0</v>
      </c>
      <c r="R559" s="2" t="inlineStr"/>
    </row>
    <row r="560" ht="15" customHeight="1">
      <c r="A560" t="inlineStr">
        <is>
          <t>A 32379-2025</t>
        </is>
      </c>
      <c r="B560" s="1" t="n">
        <v>45837</v>
      </c>
      <c r="C560" s="1" t="n">
        <v>45981</v>
      </c>
      <c r="D560" t="inlineStr">
        <is>
          <t>GOTLANDS LÄN</t>
        </is>
      </c>
      <c r="E560" t="inlineStr">
        <is>
          <t>GOTLAND</t>
        </is>
      </c>
      <c r="G560" t="n">
        <v>1</v>
      </c>
      <c r="H560" t="n">
        <v>0</v>
      </c>
      <c r="I560" t="n">
        <v>0</v>
      </c>
      <c r="J560" t="n">
        <v>0</v>
      </c>
      <c r="K560" t="n">
        <v>0</v>
      </c>
      <c r="L560" t="n">
        <v>0</v>
      </c>
      <c r="M560" t="n">
        <v>0</v>
      </c>
      <c r="N560" t="n">
        <v>0</v>
      </c>
      <c r="O560" t="n">
        <v>0</v>
      </c>
      <c r="P560" t="n">
        <v>0</v>
      </c>
      <c r="Q560" t="n">
        <v>0</v>
      </c>
      <c r="R560" s="2" t="inlineStr"/>
    </row>
    <row r="561" ht="15" customHeight="1">
      <c r="A561" t="inlineStr">
        <is>
          <t>A 12327-2025</t>
        </is>
      </c>
      <c r="B561" s="1" t="n">
        <v>45730</v>
      </c>
      <c r="C561" s="1" t="n">
        <v>45981</v>
      </c>
      <c r="D561" t="inlineStr">
        <is>
          <t>GOTLANDS LÄN</t>
        </is>
      </c>
      <c r="E561" t="inlineStr">
        <is>
          <t>GOTLAND</t>
        </is>
      </c>
      <c r="G561" t="n">
        <v>1.8</v>
      </c>
      <c r="H561" t="n">
        <v>0</v>
      </c>
      <c r="I561" t="n">
        <v>0</v>
      </c>
      <c r="J561" t="n">
        <v>0</v>
      </c>
      <c r="K561" t="n">
        <v>0</v>
      </c>
      <c r="L561" t="n">
        <v>0</v>
      </c>
      <c r="M561" t="n">
        <v>0</v>
      </c>
      <c r="N561" t="n">
        <v>0</v>
      </c>
      <c r="O561" t="n">
        <v>0</v>
      </c>
      <c r="P561" t="n">
        <v>0</v>
      </c>
      <c r="Q561" t="n">
        <v>0</v>
      </c>
      <c r="R561" s="2" t="inlineStr"/>
    </row>
    <row r="562" ht="15" customHeight="1">
      <c r="A562" t="inlineStr">
        <is>
          <t>A 2774-2024</t>
        </is>
      </c>
      <c r="B562" s="1" t="n">
        <v>45314.62375</v>
      </c>
      <c r="C562" s="1" t="n">
        <v>45981</v>
      </c>
      <c r="D562" t="inlineStr">
        <is>
          <t>GOTLANDS LÄN</t>
        </is>
      </c>
      <c r="E562" t="inlineStr">
        <is>
          <t>GOTLAND</t>
        </is>
      </c>
      <c r="G562" t="n">
        <v>1</v>
      </c>
      <c r="H562" t="n">
        <v>0</v>
      </c>
      <c r="I562" t="n">
        <v>0</v>
      </c>
      <c r="J562" t="n">
        <v>0</v>
      </c>
      <c r="K562" t="n">
        <v>0</v>
      </c>
      <c r="L562" t="n">
        <v>0</v>
      </c>
      <c r="M562" t="n">
        <v>0</v>
      </c>
      <c r="N562" t="n">
        <v>0</v>
      </c>
      <c r="O562" t="n">
        <v>0</v>
      </c>
      <c r="P562" t="n">
        <v>0</v>
      </c>
      <c r="Q562" t="n">
        <v>0</v>
      </c>
      <c r="R562" s="2" t="inlineStr"/>
    </row>
    <row r="563" ht="15" customHeight="1">
      <c r="A563" t="inlineStr">
        <is>
          <t>A 4420-2025</t>
        </is>
      </c>
      <c r="B563" s="1" t="n">
        <v>45686.47157407407</v>
      </c>
      <c r="C563" s="1" t="n">
        <v>45981</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9947-2024</t>
        </is>
      </c>
      <c r="B564" s="1" t="n">
        <v>45363</v>
      </c>
      <c r="C564" s="1" t="n">
        <v>45981</v>
      </c>
      <c r="D564" t="inlineStr">
        <is>
          <t>GOTLANDS LÄN</t>
        </is>
      </c>
      <c r="E564" t="inlineStr">
        <is>
          <t>GOTLAND</t>
        </is>
      </c>
      <c r="G564" t="n">
        <v>2</v>
      </c>
      <c r="H564" t="n">
        <v>0</v>
      </c>
      <c r="I564" t="n">
        <v>0</v>
      </c>
      <c r="J564" t="n">
        <v>0</v>
      </c>
      <c r="K564" t="n">
        <v>0</v>
      </c>
      <c r="L564" t="n">
        <v>0</v>
      </c>
      <c r="M564" t="n">
        <v>0</v>
      </c>
      <c r="N564" t="n">
        <v>0</v>
      </c>
      <c r="O564" t="n">
        <v>0</v>
      </c>
      <c r="P564" t="n">
        <v>0</v>
      </c>
      <c r="Q564" t="n">
        <v>0</v>
      </c>
      <c r="R564" s="2" t="inlineStr"/>
    </row>
    <row r="565" ht="15" customHeight="1">
      <c r="A565" t="inlineStr">
        <is>
          <t>A 42007-2023</t>
        </is>
      </c>
      <c r="B565" s="1" t="n">
        <v>45177</v>
      </c>
      <c r="C565" s="1" t="n">
        <v>45981</v>
      </c>
      <c r="D565" t="inlineStr">
        <is>
          <t>GOTLANDS LÄN</t>
        </is>
      </c>
      <c r="E565" t="inlineStr">
        <is>
          <t>GOTLAND</t>
        </is>
      </c>
      <c r="G565" t="n">
        <v>0.8</v>
      </c>
      <c r="H565" t="n">
        <v>0</v>
      </c>
      <c r="I565" t="n">
        <v>0</v>
      </c>
      <c r="J565" t="n">
        <v>0</v>
      </c>
      <c r="K565" t="n">
        <v>0</v>
      </c>
      <c r="L565" t="n">
        <v>0</v>
      </c>
      <c r="M565" t="n">
        <v>0</v>
      </c>
      <c r="N565" t="n">
        <v>0</v>
      </c>
      <c r="O565" t="n">
        <v>0</v>
      </c>
      <c r="P565" t="n">
        <v>0</v>
      </c>
      <c r="Q565" t="n">
        <v>0</v>
      </c>
      <c r="R565" s="2" t="inlineStr"/>
    </row>
    <row r="566" ht="15" customHeight="1">
      <c r="A566" t="inlineStr">
        <is>
          <t>A 14427-2024</t>
        </is>
      </c>
      <c r="B566" s="1" t="n">
        <v>45394</v>
      </c>
      <c r="C566" s="1" t="n">
        <v>45981</v>
      </c>
      <c r="D566" t="inlineStr">
        <is>
          <t>GOTLANDS LÄN</t>
        </is>
      </c>
      <c r="E566" t="inlineStr">
        <is>
          <t>GOTLAND</t>
        </is>
      </c>
      <c r="G566" t="n">
        <v>1.3</v>
      </c>
      <c r="H566" t="n">
        <v>0</v>
      </c>
      <c r="I566" t="n">
        <v>0</v>
      </c>
      <c r="J566" t="n">
        <v>0</v>
      </c>
      <c r="K566" t="n">
        <v>0</v>
      </c>
      <c r="L566" t="n">
        <v>0</v>
      </c>
      <c r="M566" t="n">
        <v>0</v>
      </c>
      <c r="N566" t="n">
        <v>0</v>
      </c>
      <c r="O566" t="n">
        <v>0</v>
      </c>
      <c r="P566" t="n">
        <v>0</v>
      </c>
      <c r="Q566" t="n">
        <v>0</v>
      </c>
      <c r="R566" s="2" t="inlineStr"/>
    </row>
    <row r="567" ht="15" customHeight="1">
      <c r="A567" t="inlineStr">
        <is>
          <t>A 33007-2025</t>
        </is>
      </c>
      <c r="B567" s="1" t="n">
        <v>45840</v>
      </c>
      <c r="C567" s="1" t="n">
        <v>45981</v>
      </c>
      <c r="D567" t="inlineStr">
        <is>
          <t>GOTLANDS LÄN</t>
        </is>
      </c>
      <c r="E567" t="inlineStr">
        <is>
          <t>GOTLAND</t>
        </is>
      </c>
      <c r="G567" t="n">
        <v>4.9</v>
      </c>
      <c r="H567" t="n">
        <v>0</v>
      </c>
      <c r="I567" t="n">
        <v>0</v>
      </c>
      <c r="J567" t="n">
        <v>0</v>
      </c>
      <c r="K567" t="n">
        <v>0</v>
      </c>
      <c r="L567" t="n">
        <v>0</v>
      </c>
      <c r="M567" t="n">
        <v>0</v>
      </c>
      <c r="N567" t="n">
        <v>0</v>
      </c>
      <c r="O567" t="n">
        <v>0</v>
      </c>
      <c r="P567" t="n">
        <v>0</v>
      </c>
      <c r="Q567" t="n">
        <v>0</v>
      </c>
      <c r="R567" s="2" t="inlineStr"/>
    </row>
    <row r="568" ht="15" customHeight="1">
      <c r="A568" t="inlineStr">
        <is>
          <t>A 44304-2021</t>
        </is>
      </c>
      <c r="B568" s="1" t="n">
        <v>44434</v>
      </c>
      <c r="C568" s="1" t="n">
        <v>45981</v>
      </c>
      <c r="D568" t="inlineStr">
        <is>
          <t>GOTLANDS LÄN</t>
        </is>
      </c>
      <c r="E568" t="inlineStr">
        <is>
          <t>GOTLAND</t>
        </is>
      </c>
      <c r="G568" t="n">
        <v>5.8</v>
      </c>
      <c r="H568" t="n">
        <v>0</v>
      </c>
      <c r="I568" t="n">
        <v>0</v>
      </c>
      <c r="J568" t="n">
        <v>0</v>
      </c>
      <c r="K568" t="n">
        <v>0</v>
      </c>
      <c r="L568" t="n">
        <v>0</v>
      </c>
      <c r="M568" t="n">
        <v>0</v>
      </c>
      <c r="N568" t="n">
        <v>0</v>
      </c>
      <c r="O568" t="n">
        <v>0</v>
      </c>
      <c r="P568" t="n">
        <v>0</v>
      </c>
      <c r="Q568" t="n">
        <v>0</v>
      </c>
      <c r="R568" s="2" t="inlineStr"/>
    </row>
    <row r="569" ht="15" customHeight="1">
      <c r="A569" t="inlineStr">
        <is>
          <t>A 49257-2024</t>
        </is>
      </c>
      <c r="B569" s="1" t="n">
        <v>45595.47627314815</v>
      </c>
      <c r="C569" s="1" t="n">
        <v>45981</v>
      </c>
      <c r="D569" t="inlineStr">
        <is>
          <t>GOTLANDS LÄN</t>
        </is>
      </c>
      <c r="E569" t="inlineStr">
        <is>
          <t>GOTLAND</t>
        </is>
      </c>
      <c r="G569" t="n">
        <v>6.3</v>
      </c>
      <c r="H569" t="n">
        <v>0</v>
      </c>
      <c r="I569" t="n">
        <v>0</v>
      </c>
      <c r="J569" t="n">
        <v>0</v>
      </c>
      <c r="K569" t="n">
        <v>0</v>
      </c>
      <c r="L569" t="n">
        <v>0</v>
      </c>
      <c r="M569" t="n">
        <v>0</v>
      </c>
      <c r="N569" t="n">
        <v>0</v>
      </c>
      <c r="O569" t="n">
        <v>0</v>
      </c>
      <c r="P569" t="n">
        <v>0</v>
      </c>
      <c r="Q569" t="n">
        <v>0</v>
      </c>
      <c r="R569" s="2" t="inlineStr"/>
    </row>
    <row r="570" ht="15" customHeight="1">
      <c r="A570" t="inlineStr">
        <is>
          <t>A 15083-2025</t>
        </is>
      </c>
      <c r="B570" s="1" t="n">
        <v>45743</v>
      </c>
      <c r="C570" s="1" t="n">
        <v>45981</v>
      </c>
      <c r="D570" t="inlineStr">
        <is>
          <t>GOTLANDS LÄN</t>
        </is>
      </c>
      <c r="E570" t="inlineStr">
        <is>
          <t>GOTLAND</t>
        </is>
      </c>
      <c r="G570" t="n">
        <v>2.3</v>
      </c>
      <c r="H570" t="n">
        <v>0</v>
      </c>
      <c r="I570" t="n">
        <v>0</v>
      </c>
      <c r="J570" t="n">
        <v>0</v>
      </c>
      <c r="K570" t="n">
        <v>0</v>
      </c>
      <c r="L570" t="n">
        <v>0</v>
      </c>
      <c r="M570" t="n">
        <v>0</v>
      </c>
      <c r="N570" t="n">
        <v>0</v>
      </c>
      <c r="O570" t="n">
        <v>0</v>
      </c>
      <c r="P570" t="n">
        <v>0</v>
      </c>
      <c r="Q570" t="n">
        <v>0</v>
      </c>
      <c r="R570" s="2" t="inlineStr"/>
    </row>
    <row r="571" ht="15" customHeight="1">
      <c r="A571" t="inlineStr">
        <is>
          <t>A 49315-2024</t>
        </is>
      </c>
      <c r="B571" s="1" t="n">
        <v>45595</v>
      </c>
      <c r="C571" s="1" t="n">
        <v>45981</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27596-2023</t>
        </is>
      </c>
      <c r="B572" s="1" t="n">
        <v>45097</v>
      </c>
      <c r="C572" s="1" t="n">
        <v>45981</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56115-2023</t>
        </is>
      </c>
      <c r="B573" s="1" t="n">
        <v>45236</v>
      </c>
      <c r="C573" s="1" t="n">
        <v>45981</v>
      </c>
      <c r="D573" t="inlineStr">
        <is>
          <t>GOTLANDS LÄN</t>
        </is>
      </c>
      <c r="E573" t="inlineStr">
        <is>
          <t>GOTLAND</t>
        </is>
      </c>
      <c r="G573" t="n">
        <v>2</v>
      </c>
      <c r="H573" t="n">
        <v>0</v>
      </c>
      <c r="I573" t="n">
        <v>0</v>
      </c>
      <c r="J573" t="n">
        <v>0</v>
      </c>
      <c r="K573" t="n">
        <v>0</v>
      </c>
      <c r="L573" t="n">
        <v>0</v>
      </c>
      <c r="M573" t="n">
        <v>0</v>
      </c>
      <c r="N573" t="n">
        <v>0</v>
      </c>
      <c r="O573" t="n">
        <v>0</v>
      </c>
      <c r="P573" t="n">
        <v>0</v>
      </c>
      <c r="Q573" t="n">
        <v>0</v>
      </c>
      <c r="R573" s="2" t="inlineStr"/>
    </row>
    <row r="574" ht="15" customHeight="1">
      <c r="A574" t="inlineStr">
        <is>
          <t>A 64969-2023</t>
        </is>
      </c>
      <c r="B574" s="1" t="n">
        <v>45284.54009259259</v>
      </c>
      <c r="C574" s="1" t="n">
        <v>45981</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15413-2025</t>
        </is>
      </c>
      <c r="B575" s="1" t="n">
        <v>45747.451875</v>
      </c>
      <c r="C575" s="1" t="n">
        <v>45981</v>
      </c>
      <c r="D575" t="inlineStr">
        <is>
          <t>GOTLANDS LÄN</t>
        </is>
      </c>
      <c r="E575" t="inlineStr">
        <is>
          <t>GOTLAND</t>
        </is>
      </c>
      <c r="G575" t="n">
        <v>0.6</v>
      </c>
      <c r="H575" t="n">
        <v>0</v>
      </c>
      <c r="I575" t="n">
        <v>0</v>
      </c>
      <c r="J575" t="n">
        <v>0</v>
      </c>
      <c r="K575" t="n">
        <v>0</v>
      </c>
      <c r="L575" t="n">
        <v>0</v>
      </c>
      <c r="M575" t="n">
        <v>0</v>
      </c>
      <c r="N575" t="n">
        <v>0</v>
      </c>
      <c r="O575" t="n">
        <v>0</v>
      </c>
      <c r="P575" t="n">
        <v>0</v>
      </c>
      <c r="Q575" t="n">
        <v>0</v>
      </c>
      <c r="R575" s="2" t="inlineStr"/>
    </row>
    <row r="576" ht="15" customHeight="1">
      <c r="A576" t="inlineStr">
        <is>
          <t>A 33853-2024</t>
        </is>
      </c>
      <c r="B576" s="1" t="n">
        <v>45520.64298611111</v>
      </c>
      <c r="C576" s="1" t="n">
        <v>45981</v>
      </c>
      <c r="D576" t="inlineStr">
        <is>
          <t>GOTLANDS LÄN</t>
        </is>
      </c>
      <c r="E576" t="inlineStr">
        <is>
          <t>GOTLAND</t>
        </is>
      </c>
      <c r="G576" t="n">
        <v>3.9</v>
      </c>
      <c r="H576" t="n">
        <v>0</v>
      </c>
      <c r="I576" t="n">
        <v>0</v>
      </c>
      <c r="J576" t="n">
        <v>0</v>
      </c>
      <c r="K576" t="n">
        <v>0</v>
      </c>
      <c r="L576" t="n">
        <v>0</v>
      </c>
      <c r="M576" t="n">
        <v>0</v>
      </c>
      <c r="N576" t="n">
        <v>0</v>
      </c>
      <c r="O576" t="n">
        <v>0</v>
      </c>
      <c r="P576" t="n">
        <v>0</v>
      </c>
      <c r="Q576" t="n">
        <v>0</v>
      </c>
      <c r="R576" s="2" t="inlineStr"/>
    </row>
    <row r="577" ht="15" customHeight="1">
      <c r="A577" t="inlineStr">
        <is>
          <t>A 35096-2025</t>
        </is>
      </c>
      <c r="B577" s="1" t="n">
        <v>45852.54356481481</v>
      </c>
      <c r="C577" s="1" t="n">
        <v>45981</v>
      </c>
      <c r="D577" t="inlineStr">
        <is>
          <t>GOTLANDS LÄN</t>
        </is>
      </c>
      <c r="E577" t="inlineStr">
        <is>
          <t>GOTLAND</t>
        </is>
      </c>
      <c r="F577" t="inlineStr">
        <is>
          <t>Kyrkan</t>
        </is>
      </c>
      <c r="G577" t="n">
        <v>1</v>
      </c>
      <c r="H577" t="n">
        <v>0</v>
      </c>
      <c r="I577" t="n">
        <v>0</v>
      </c>
      <c r="J577" t="n">
        <v>0</v>
      </c>
      <c r="K577" t="n">
        <v>0</v>
      </c>
      <c r="L577" t="n">
        <v>0</v>
      </c>
      <c r="M577" t="n">
        <v>0</v>
      </c>
      <c r="N577" t="n">
        <v>0</v>
      </c>
      <c r="O577" t="n">
        <v>0</v>
      </c>
      <c r="P577" t="n">
        <v>0</v>
      </c>
      <c r="Q577" t="n">
        <v>0</v>
      </c>
      <c r="R577" s="2" t="inlineStr"/>
    </row>
    <row r="578" ht="15" customHeight="1">
      <c r="A578" t="inlineStr">
        <is>
          <t>A 35123-2025</t>
        </is>
      </c>
      <c r="B578" s="1" t="n">
        <v>45852.614375</v>
      </c>
      <c r="C578" s="1" t="n">
        <v>45981</v>
      </c>
      <c r="D578" t="inlineStr">
        <is>
          <t>GOTLANDS LÄN</t>
        </is>
      </c>
      <c r="E578" t="inlineStr">
        <is>
          <t>GOTLAND</t>
        </is>
      </c>
      <c r="G578" t="n">
        <v>1.1</v>
      </c>
      <c r="H578" t="n">
        <v>0</v>
      </c>
      <c r="I578" t="n">
        <v>0</v>
      </c>
      <c r="J578" t="n">
        <v>0</v>
      </c>
      <c r="K578" t="n">
        <v>0</v>
      </c>
      <c r="L578" t="n">
        <v>0</v>
      </c>
      <c r="M578" t="n">
        <v>0</v>
      </c>
      <c r="N578" t="n">
        <v>0</v>
      </c>
      <c r="O578" t="n">
        <v>0</v>
      </c>
      <c r="P578" t="n">
        <v>0</v>
      </c>
      <c r="Q578" t="n">
        <v>0</v>
      </c>
      <c r="R578" s="2" t="inlineStr"/>
    </row>
    <row r="579" ht="15" customHeight="1">
      <c r="A579" t="inlineStr">
        <is>
          <t>A 18223-2025</t>
        </is>
      </c>
      <c r="B579" s="1" t="n">
        <v>45761</v>
      </c>
      <c r="C579" s="1" t="n">
        <v>45981</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46949-2024</t>
        </is>
      </c>
      <c r="B580" s="1" t="n">
        <v>45585</v>
      </c>
      <c r="C580" s="1" t="n">
        <v>45981</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35290-2025</t>
        </is>
      </c>
      <c r="B581" s="1" t="n">
        <v>45854.38502314815</v>
      </c>
      <c r="C581" s="1" t="n">
        <v>45981</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30104-2025</t>
        </is>
      </c>
      <c r="B582" s="1" t="n">
        <v>45826.68806712963</v>
      </c>
      <c r="C582" s="1" t="n">
        <v>45981</v>
      </c>
      <c r="D582" t="inlineStr">
        <is>
          <t>GOTLANDS LÄN</t>
        </is>
      </c>
      <c r="E582" t="inlineStr">
        <is>
          <t>GOTLAND</t>
        </is>
      </c>
      <c r="G582" t="n">
        <v>15.4</v>
      </c>
      <c r="H582" t="n">
        <v>0</v>
      </c>
      <c r="I582" t="n">
        <v>0</v>
      </c>
      <c r="J582" t="n">
        <v>0</v>
      </c>
      <c r="K582" t="n">
        <v>0</v>
      </c>
      <c r="L582" t="n">
        <v>0</v>
      </c>
      <c r="M582" t="n">
        <v>0</v>
      </c>
      <c r="N582" t="n">
        <v>0</v>
      </c>
      <c r="O582" t="n">
        <v>0</v>
      </c>
      <c r="P582" t="n">
        <v>0</v>
      </c>
      <c r="Q582" t="n">
        <v>0</v>
      </c>
      <c r="R582" s="2" t="inlineStr"/>
    </row>
    <row r="583" ht="15" customHeight="1">
      <c r="A583" t="inlineStr">
        <is>
          <t>A 24001-2021</t>
        </is>
      </c>
      <c r="B583" s="1" t="n">
        <v>44335</v>
      </c>
      <c r="C583" s="1" t="n">
        <v>45981</v>
      </c>
      <c r="D583" t="inlineStr">
        <is>
          <t>GOTLANDS LÄN</t>
        </is>
      </c>
      <c r="E583" t="inlineStr">
        <is>
          <t>GOTLAND</t>
        </is>
      </c>
      <c r="G583" t="n">
        <v>3.4</v>
      </c>
      <c r="H583" t="n">
        <v>0</v>
      </c>
      <c r="I583" t="n">
        <v>0</v>
      </c>
      <c r="J583" t="n">
        <v>0</v>
      </c>
      <c r="K583" t="n">
        <v>0</v>
      </c>
      <c r="L583" t="n">
        <v>0</v>
      </c>
      <c r="M583" t="n">
        <v>0</v>
      </c>
      <c r="N583" t="n">
        <v>0</v>
      </c>
      <c r="O583" t="n">
        <v>0</v>
      </c>
      <c r="P583" t="n">
        <v>0</v>
      </c>
      <c r="Q583" t="n">
        <v>0</v>
      </c>
      <c r="R583" s="2" t="inlineStr"/>
    </row>
    <row r="584" ht="15" customHeight="1">
      <c r="A584" t="inlineStr">
        <is>
          <t>A 32669-2024</t>
        </is>
      </c>
      <c r="B584" s="1" t="n">
        <v>45514</v>
      </c>
      <c r="C584" s="1" t="n">
        <v>45981</v>
      </c>
      <c r="D584" t="inlineStr">
        <is>
          <t>GOTLANDS LÄN</t>
        </is>
      </c>
      <c r="E584" t="inlineStr">
        <is>
          <t>GOTLAND</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39479-2022</t>
        </is>
      </c>
      <c r="B585" s="1" t="n">
        <v>44818</v>
      </c>
      <c r="C585" s="1" t="n">
        <v>45981</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39496-2022</t>
        </is>
      </c>
      <c r="B586" s="1" t="n">
        <v>44818</v>
      </c>
      <c r="C586" s="1" t="n">
        <v>45981</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35537-2025</t>
        </is>
      </c>
      <c r="B587" s="1" t="n">
        <v>45856</v>
      </c>
      <c r="C587" s="1" t="n">
        <v>45981</v>
      </c>
      <c r="D587" t="inlineStr">
        <is>
          <t>GOTLANDS LÄN</t>
        </is>
      </c>
      <c r="E587" t="inlineStr">
        <is>
          <t>GOTLAND</t>
        </is>
      </c>
      <c r="G587" t="n">
        <v>16.8</v>
      </c>
      <c r="H587" t="n">
        <v>0</v>
      </c>
      <c r="I587" t="n">
        <v>0</v>
      </c>
      <c r="J587" t="n">
        <v>0</v>
      </c>
      <c r="K587" t="n">
        <v>0</v>
      </c>
      <c r="L587" t="n">
        <v>0</v>
      </c>
      <c r="M587" t="n">
        <v>0</v>
      </c>
      <c r="N587" t="n">
        <v>0</v>
      </c>
      <c r="O587" t="n">
        <v>0</v>
      </c>
      <c r="P587" t="n">
        <v>0</v>
      </c>
      <c r="Q587" t="n">
        <v>0</v>
      </c>
      <c r="R587" s="2" t="inlineStr"/>
    </row>
    <row r="588" ht="15" customHeight="1">
      <c r="A588" t="inlineStr">
        <is>
          <t>A 46389-2021</t>
        </is>
      </c>
      <c r="B588" s="1" t="n">
        <v>44443</v>
      </c>
      <c r="C588" s="1" t="n">
        <v>45981</v>
      </c>
      <c r="D588" t="inlineStr">
        <is>
          <t>GOTLANDS LÄN</t>
        </is>
      </c>
      <c r="E588" t="inlineStr">
        <is>
          <t>GOTLAND</t>
        </is>
      </c>
      <c r="F588" t="inlineStr">
        <is>
          <t>Kyrkan</t>
        </is>
      </c>
      <c r="G588" t="n">
        <v>2.1</v>
      </c>
      <c r="H588" t="n">
        <v>0</v>
      </c>
      <c r="I588" t="n">
        <v>0</v>
      </c>
      <c r="J588" t="n">
        <v>0</v>
      </c>
      <c r="K588" t="n">
        <v>0</v>
      </c>
      <c r="L588" t="n">
        <v>0</v>
      </c>
      <c r="M588" t="n">
        <v>0</v>
      </c>
      <c r="N588" t="n">
        <v>0</v>
      </c>
      <c r="O588" t="n">
        <v>0</v>
      </c>
      <c r="P588" t="n">
        <v>0</v>
      </c>
      <c r="Q588" t="n">
        <v>0</v>
      </c>
      <c r="R588" s="2" t="inlineStr"/>
    </row>
    <row r="589" ht="15" customHeight="1">
      <c r="A589" t="inlineStr">
        <is>
          <t>A 30488-2025</t>
        </is>
      </c>
      <c r="B589" s="1" t="n">
        <v>45830</v>
      </c>
      <c r="C589" s="1" t="n">
        <v>45981</v>
      </c>
      <c r="D589" t="inlineStr">
        <is>
          <t>GOTLANDS LÄN</t>
        </is>
      </c>
      <c r="E589" t="inlineStr">
        <is>
          <t>GOTLAND</t>
        </is>
      </c>
      <c r="F589" t="inlineStr">
        <is>
          <t>Kyrkan</t>
        </is>
      </c>
      <c r="G589" t="n">
        <v>3.9</v>
      </c>
      <c r="H589" t="n">
        <v>0</v>
      </c>
      <c r="I589" t="n">
        <v>0</v>
      </c>
      <c r="J589" t="n">
        <v>0</v>
      </c>
      <c r="K589" t="n">
        <v>0</v>
      </c>
      <c r="L589" t="n">
        <v>0</v>
      </c>
      <c r="M589" t="n">
        <v>0</v>
      </c>
      <c r="N589" t="n">
        <v>0</v>
      </c>
      <c r="O589" t="n">
        <v>0</v>
      </c>
      <c r="P589" t="n">
        <v>0</v>
      </c>
      <c r="Q589" t="n">
        <v>0</v>
      </c>
      <c r="R589" s="2" t="inlineStr"/>
    </row>
    <row r="590" ht="15" customHeight="1">
      <c r="A590" t="inlineStr">
        <is>
          <t>A 15216-2025</t>
        </is>
      </c>
      <c r="B590" s="1" t="n">
        <v>45744</v>
      </c>
      <c r="C590" s="1" t="n">
        <v>45981</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15001-2025</t>
        </is>
      </c>
      <c r="B591" s="1" t="n">
        <v>45743</v>
      </c>
      <c r="C591" s="1" t="n">
        <v>45981</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43790-2024</t>
        </is>
      </c>
      <c r="B592" s="1" t="n">
        <v>45571</v>
      </c>
      <c r="C592" s="1" t="n">
        <v>45981</v>
      </c>
      <c r="D592" t="inlineStr">
        <is>
          <t>GOTLANDS LÄN</t>
        </is>
      </c>
      <c r="E592" t="inlineStr">
        <is>
          <t>GOTLAND</t>
        </is>
      </c>
      <c r="G592" t="n">
        <v>3.5</v>
      </c>
      <c r="H592" t="n">
        <v>0</v>
      </c>
      <c r="I592" t="n">
        <v>0</v>
      </c>
      <c r="J592" t="n">
        <v>0</v>
      </c>
      <c r="K592" t="n">
        <v>0</v>
      </c>
      <c r="L592" t="n">
        <v>0</v>
      </c>
      <c r="M592" t="n">
        <v>0</v>
      </c>
      <c r="N592" t="n">
        <v>0</v>
      </c>
      <c r="O592" t="n">
        <v>0</v>
      </c>
      <c r="P592" t="n">
        <v>0</v>
      </c>
      <c r="Q592" t="n">
        <v>0</v>
      </c>
      <c r="R592" s="2" t="inlineStr"/>
    </row>
    <row r="593" ht="15" customHeight="1">
      <c r="A593" t="inlineStr">
        <is>
          <t>A 17847-2025</t>
        </is>
      </c>
      <c r="B593" s="1" t="n">
        <v>45758</v>
      </c>
      <c r="C593" s="1" t="n">
        <v>45981</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36319-2025</t>
        </is>
      </c>
      <c r="B594" s="1" t="n">
        <v>45868</v>
      </c>
      <c r="C594" s="1" t="n">
        <v>45981</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18742-2025</t>
        </is>
      </c>
      <c r="B595" s="1" t="n">
        <v>45763</v>
      </c>
      <c r="C595" s="1" t="n">
        <v>45981</v>
      </c>
      <c r="D595" t="inlineStr">
        <is>
          <t>GOTLANDS LÄN</t>
        </is>
      </c>
      <c r="E595" t="inlineStr">
        <is>
          <t>GOTLAND</t>
        </is>
      </c>
      <c r="G595" t="n">
        <v>3.4</v>
      </c>
      <c r="H595" t="n">
        <v>0</v>
      </c>
      <c r="I595" t="n">
        <v>0</v>
      </c>
      <c r="J595" t="n">
        <v>0</v>
      </c>
      <c r="K595" t="n">
        <v>0</v>
      </c>
      <c r="L595" t="n">
        <v>0</v>
      </c>
      <c r="M595" t="n">
        <v>0</v>
      </c>
      <c r="N595" t="n">
        <v>0</v>
      </c>
      <c r="O595" t="n">
        <v>0</v>
      </c>
      <c r="P595" t="n">
        <v>0</v>
      </c>
      <c r="Q595" t="n">
        <v>0</v>
      </c>
      <c r="R595" s="2" t="inlineStr"/>
    </row>
    <row r="596" ht="15" customHeight="1">
      <c r="A596" t="inlineStr">
        <is>
          <t>A 35129-2025</t>
        </is>
      </c>
      <c r="B596" s="1" t="n">
        <v>45852.63224537037</v>
      </c>
      <c r="C596" s="1" t="n">
        <v>45981</v>
      </c>
      <c r="D596" t="inlineStr">
        <is>
          <t>GOTLANDS LÄN</t>
        </is>
      </c>
      <c r="E596" t="inlineStr">
        <is>
          <t>GOTLAND</t>
        </is>
      </c>
      <c r="G596" t="n">
        <v>3.2</v>
      </c>
      <c r="H596" t="n">
        <v>0</v>
      </c>
      <c r="I596" t="n">
        <v>0</v>
      </c>
      <c r="J596" t="n">
        <v>0</v>
      </c>
      <c r="K596" t="n">
        <v>0</v>
      </c>
      <c r="L596" t="n">
        <v>0</v>
      </c>
      <c r="M596" t="n">
        <v>0</v>
      </c>
      <c r="N596" t="n">
        <v>0</v>
      </c>
      <c r="O596" t="n">
        <v>0</v>
      </c>
      <c r="P596" t="n">
        <v>0</v>
      </c>
      <c r="Q596" t="n">
        <v>0</v>
      </c>
      <c r="R596" s="2" t="inlineStr"/>
    </row>
    <row r="597" ht="15" customHeight="1">
      <c r="A597" t="inlineStr">
        <is>
          <t>A 44949-2023</t>
        </is>
      </c>
      <c r="B597" s="1" t="n">
        <v>45190.69520833333</v>
      </c>
      <c r="C597" s="1" t="n">
        <v>45981</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17682-2024</t>
        </is>
      </c>
      <c r="B598" s="1" t="n">
        <v>45418.42966435185</v>
      </c>
      <c r="C598" s="1" t="n">
        <v>45981</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61897-2024</t>
        </is>
      </c>
      <c r="B599" s="1" t="n">
        <v>45652.75685185185</v>
      </c>
      <c r="C599" s="1" t="n">
        <v>45981</v>
      </c>
      <c r="D599" t="inlineStr">
        <is>
          <t>GOTLANDS LÄN</t>
        </is>
      </c>
      <c r="E599" t="inlineStr">
        <is>
          <t>GOTLAND</t>
        </is>
      </c>
      <c r="G599" t="n">
        <v>6.4</v>
      </c>
      <c r="H599" t="n">
        <v>0</v>
      </c>
      <c r="I599" t="n">
        <v>0</v>
      </c>
      <c r="J599" t="n">
        <v>0</v>
      </c>
      <c r="K599" t="n">
        <v>0</v>
      </c>
      <c r="L599" t="n">
        <v>0</v>
      </c>
      <c r="M599" t="n">
        <v>0</v>
      </c>
      <c r="N599" t="n">
        <v>0</v>
      </c>
      <c r="O599" t="n">
        <v>0</v>
      </c>
      <c r="P599" t="n">
        <v>0</v>
      </c>
      <c r="Q599" t="n">
        <v>0</v>
      </c>
      <c r="R599" s="2" t="inlineStr"/>
    </row>
    <row r="600" ht="15" customHeight="1">
      <c r="A600" t="inlineStr">
        <is>
          <t>A 12032-2025</t>
        </is>
      </c>
      <c r="B600" s="1" t="n">
        <v>45728.64472222222</v>
      </c>
      <c r="C600" s="1" t="n">
        <v>45981</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15595-2024</t>
        </is>
      </c>
      <c r="B601" s="1" t="n">
        <v>45401.81480324074</v>
      </c>
      <c r="C601" s="1" t="n">
        <v>45981</v>
      </c>
      <c r="D601" t="inlineStr">
        <is>
          <t>GOTLANDS LÄN</t>
        </is>
      </c>
      <c r="E601" t="inlineStr">
        <is>
          <t>GOTLAND</t>
        </is>
      </c>
      <c r="G601" t="n">
        <v>6.4</v>
      </c>
      <c r="H601" t="n">
        <v>0</v>
      </c>
      <c r="I601" t="n">
        <v>0</v>
      </c>
      <c r="J601" t="n">
        <v>0</v>
      </c>
      <c r="K601" t="n">
        <v>0</v>
      </c>
      <c r="L601" t="n">
        <v>0</v>
      </c>
      <c r="M601" t="n">
        <v>0</v>
      </c>
      <c r="N601" t="n">
        <v>0</v>
      </c>
      <c r="O601" t="n">
        <v>0</v>
      </c>
      <c r="P601" t="n">
        <v>0</v>
      </c>
      <c r="Q601" t="n">
        <v>0</v>
      </c>
      <c r="R601" s="2" t="inlineStr"/>
    </row>
    <row r="602" ht="15" customHeight="1">
      <c r="A602" t="inlineStr">
        <is>
          <t>A 30489-2025</t>
        </is>
      </c>
      <c r="B602" s="1" t="n">
        <v>45830</v>
      </c>
      <c r="C602" s="1" t="n">
        <v>45981</v>
      </c>
      <c r="D602" t="inlineStr">
        <is>
          <t>GOTLANDS LÄN</t>
        </is>
      </c>
      <c r="E602" t="inlineStr">
        <is>
          <t>GOTLAND</t>
        </is>
      </c>
      <c r="G602" t="n">
        <v>4.6</v>
      </c>
      <c r="H602" t="n">
        <v>0</v>
      </c>
      <c r="I602" t="n">
        <v>0</v>
      </c>
      <c r="J602" t="n">
        <v>0</v>
      </c>
      <c r="K602" t="n">
        <v>0</v>
      </c>
      <c r="L602" t="n">
        <v>0</v>
      </c>
      <c r="M602" t="n">
        <v>0</v>
      </c>
      <c r="N602" t="n">
        <v>0</v>
      </c>
      <c r="O602" t="n">
        <v>0</v>
      </c>
      <c r="P602" t="n">
        <v>0</v>
      </c>
      <c r="Q602" t="n">
        <v>0</v>
      </c>
      <c r="R602" s="2" t="inlineStr"/>
    </row>
    <row r="603" ht="15" customHeight="1">
      <c r="A603" t="inlineStr">
        <is>
          <t>A 21142-2025</t>
        </is>
      </c>
      <c r="B603" s="1" t="n">
        <v>45779</v>
      </c>
      <c r="C603" s="1" t="n">
        <v>45981</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6108-2025</t>
        </is>
      </c>
      <c r="B604" s="1" t="n">
        <v>45698.29880787037</v>
      </c>
      <c r="C604" s="1" t="n">
        <v>45981</v>
      </c>
      <c r="D604" t="inlineStr">
        <is>
          <t>GOTLANDS LÄN</t>
        </is>
      </c>
      <c r="E604" t="inlineStr">
        <is>
          <t>GOTLAND</t>
        </is>
      </c>
      <c r="G604" t="n">
        <v>2.8</v>
      </c>
      <c r="H604" t="n">
        <v>0</v>
      </c>
      <c r="I604" t="n">
        <v>0</v>
      </c>
      <c r="J604" t="n">
        <v>0</v>
      </c>
      <c r="K604" t="n">
        <v>0</v>
      </c>
      <c r="L604" t="n">
        <v>0</v>
      </c>
      <c r="M604" t="n">
        <v>0</v>
      </c>
      <c r="N604" t="n">
        <v>0</v>
      </c>
      <c r="O604" t="n">
        <v>0</v>
      </c>
      <c r="P604" t="n">
        <v>0</v>
      </c>
      <c r="Q604" t="n">
        <v>0</v>
      </c>
      <c r="R604" s="2" t="inlineStr"/>
    </row>
    <row r="605" ht="15" customHeight="1">
      <c r="A605" t="inlineStr">
        <is>
          <t>A 17343-2025</t>
        </is>
      </c>
      <c r="B605" s="1" t="n">
        <v>45756.6687037037</v>
      </c>
      <c r="C605" s="1" t="n">
        <v>45981</v>
      </c>
      <c r="D605" t="inlineStr">
        <is>
          <t>GOTLANDS LÄN</t>
        </is>
      </c>
      <c r="E605" t="inlineStr">
        <is>
          <t>GOTLAND</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18938-2025</t>
        </is>
      </c>
      <c r="B606" s="1" t="n">
        <v>45764.49172453704</v>
      </c>
      <c r="C606" s="1" t="n">
        <v>45981</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20307-2025</t>
        </is>
      </c>
      <c r="B607" s="1" t="n">
        <v>45774.95546296296</v>
      </c>
      <c r="C607" s="1" t="n">
        <v>45981</v>
      </c>
      <c r="D607" t="inlineStr">
        <is>
          <t>GOTLANDS LÄN</t>
        </is>
      </c>
      <c r="E607" t="inlineStr">
        <is>
          <t>GOTLAND</t>
        </is>
      </c>
      <c r="G607" t="n">
        <v>6.8</v>
      </c>
      <c r="H607" t="n">
        <v>0</v>
      </c>
      <c r="I607" t="n">
        <v>0</v>
      </c>
      <c r="J607" t="n">
        <v>0</v>
      </c>
      <c r="K607" t="n">
        <v>0</v>
      </c>
      <c r="L607" t="n">
        <v>0</v>
      </c>
      <c r="M607" t="n">
        <v>0</v>
      </c>
      <c r="N607" t="n">
        <v>0</v>
      </c>
      <c r="O607" t="n">
        <v>0</v>
      </c>
      <c r="P607" t="n">
        <v>0</v>
      </c>
      <c r="Q607" t="n">
        <v>0</v>
      </c>
      <c r="R607" s="2" t="inlineStr"/>
    </row>
    <row r="608" ht="15" customHeight="1">
      <c r="A608" t="inlineStr">
        <is>
          <t>A 18993-2025</t>
        </is>
      </c>
      <c r="B608" s="1" t="n">
        <v>45764</v>
      </c>
      <c r="C608" s="1" t="n">
        <v>45981</v>
      </c>
      <c r="D608" t="inlineStr">
        <is>
          <t>GOTLANDS LÄN</t>
        </is>
      </c>
      <c r="E608" t="inlineStr">
        <is>
          <t>GOTLAND</t>
        </is>
      </c>
      <c r="G608" t="n">
        <v>3</v>
      </c>
      <c r="H608" t="n">
        <v>0</v>
      </c>
      <c r="I608" t="n">
        <v>0</v>
      </c>
      <c r="J608" t="n">
        <v>0</v>
      </c>
      <c r="K608" t="n">
        <v>0</v>
      </c>
      <c r="L608" t="n">
        <v>0</v>
      </c>
      <c r="M608" t="n">
        <v>0</v>
      </c>
      <c r="N608" t="n">
        <v>0</v>
      </c>
      <c r="O608" t="n">
        <v>0</v>
      </c>
      <c r="P608" t="n">
        <v>0</v>
      </c>
      <c r="Q608" t="n">
        <v>0</v>
      </c>
      <c r="R608" s="2" t="inlineStr"/>
    </row>
    <row r="609">
      <c r="A609" t="inlineStr">
        <is>
          <t>A 30135-2025</t>
        </is>
      </c>
      <c r="B609" s="1" t="n">
        <v>45826</v>
      </c>
      <c r="C609" s="1" t="n">
        <v>45981</v>
      </c>
      <c r="D609" t="inlineStr">
        <is>
          <t>GOTLANDS LÄN</t>
        </is>
      </c>
      <c r="E609" t="inlineStr">
        <is>
          <t>GOTLAND</t>
        </is>
      </c>
      <c r="G609" t="n">
        <v>2.7</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2025-11-20T16:59:02Z</dcterms:created>
  <dcterms:modified xmlns:dcterms="http://purl.org/dc/terms/" xmlns:xsi="http://www.w3.org/2001/XMLSchema-instance" xsi:type="dcterms:W3CDTF">2025-11-20T16:59:02Z</dcterms:modified>
</cp:coreProperties>
</file>