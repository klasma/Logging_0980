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46181</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46181</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46181</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46181</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46181</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46181</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46181</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46181</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46181</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46181</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46181</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46181</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46181</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46181</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46181</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46181</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46181</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46181</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46181</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46181</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46181</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46181</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46181</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46181</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61664-2023</t>
        </is>
      </c>
      <c r="B33" s="1" t="n">
        <v>45265</v>
      </c>
      <c r="C33" s="1" t="n">
        <v>46181</v>
      </c>
      <c r="D33" t="inlineStr">
        <is>
          <t>GOTLANDS LÄN</t>
        </is>
      </c>
      <c r="E33" t="inlineStr">
        <is>
          <t>GOTLAND</t>
        </is>
      </c>
      <c r="G33" t="n">
        <v>4.8</v>
      </c>
      <c r="H33" t="n">
        <v>6</v>
      </c>
      <c r="I33" t="n">
        <v>5</v>
      </c>
      <c r="J33" t="n">
        <v>4</v>
      </c>
      <c r="K33" t="n">
        <v>0</v>
      </c>
      <c r="L33" t="n">
        <v>0</v>
      </c>
      <c r="M33" t="n">
        <v>0</v>
      </c>
      <c r="N33" t="n">
        <v>0</v>
      </c>
      <c r="O33" t="n">
        <v>4</v>
      </c>
      <c r="P33" t="n">
        <v>0</v>
      </c>
      <c r="Q33" t="n">
        <v>12</v>
      </c>
      <c r="R33" s="2" t="inlineStr">
        <is>
          <t>Majviva
Odörspindling
Spillkråka
Svinrot
Blå slemspindling
Blåmossa
Nästrot
Skogsknipprot
Svavelriska
Brudsporre
Kärrknipprot
Ängsnycklar</t>
        </is>
      </c>
      <c r="S33">
        <f>HYPERLINK("https://klasma.github.io/Logging_0980/artfynd/A 61664-2023 artfynd.xlsx", "A 61664-2023")</f>
        <v/>
      </c>
      <c r="T33">
        <f>HYPERLINK("https://klasma.github.io/Logging_0980/kartor/A 61664-2023 karta.png", "A 61664-2023")</f>
        <v/>
      </c>
      <c r="V33">
        <f>HYPERLINK("https://klasma.github.io/Logging_0980/klagomål/A 61664-2023 FSC-klagomål.docx", "A 61664-2023")</f>
        <v/>
      </c>
      <c r="W33">
        <f>HYPERLINK("https://klasma.github.io/Logging_0980/klagomålsmail/A 61664-2023 FSC-klagomål mail.docx", "A 61664-2023")</f>
        <v/>
      </c>
      <c r="X33">
        <f>HYPERLINK("https://klasma.github.io/Logging_0980/tillsyn/A 61664-2023 tillsynsbegäran.docx", "A 61664-2023")</f>
        <v/>
      </c>
      <c r="Y33">
        <f>HYPERLINK("https://klasma.github.io/Logging_0980/tillsynsmail/A 61664-2023 tillsynsbegäran mail.docx", "A 61664-2023")</f>
        <v/>
      </c>
      <c r="Z33">
        <f>HYPERLINK("https://klasma.github.io/Logging_0980/fåglar/A 61664-2023 prioriterade fågelarter.docx", "A 61664-2023")</f>
        <v/>
      </c>
    </row>
    <row r="34" ht="15" customHeight="1">
      <c r="A34" t="inlineStr">
        <is>
          <t>A 63872-2021</t>
        </is>
      </c>
      <c r="B34" s="1" t="n">
        <v>44509</v>
      </c>
      <c r="C34" s="1" t="n">
        <v>46181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46181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15850-2025</t>
        </is>
      </c>
      <c r="B36" s="1" t="n">
        <v>45748</v>
      </c>
      <c r="C36" s="1" t="n">
        <v>46181</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46181</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6052-2024</t>
        </is>
      </c>
      <c r="B38" s="1" t="n">
        <v>45336</v>
      </c>
      <c r="C38" s="1" t="n">
        <v>46181</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11176-2024</t>
        </is>
      </c>
      <c r="B39" s="1" t="n">
        <v>45371</v>
      </c>
      <c r="C39" s="1" t="n">
        <v>46181</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46181</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43201-2023</t>
        </is>
      </c>
      <c r="B41" s="1" t="n">
        <v>45183</v>
      </c>
      <c r="C41" s="1" t="n">
        <v>46181</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45248-2024</t>
        </is>
      </c>
      <c r="B42" s="1" t="n">
        <v>45576</v>
      </c>
      <c r="C42" s="1" t="n">
        <v>46181</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17766-2024</t>
        </is>
      </c>
      <c r="B43" s="1" t="n">
        <v>45418</v>
      </c>
      <c r="C43" s="1" t="n">
        <v>46181</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27280-2023</t>
        </is>
      </c>
      <c r="B44" s="1" t="n">
        <v>45096</v>
      </c>
      <c r="C44" s="1" t="n">
        <v>46181</v>
      </c>
      <c r="D44" t="inlineStr">
        <is>
          <t>GOTLANDS LÄN</t>
        </is>
      </c>
      <c r="E44" t="inlineStr">
        <is>
          <t>GOTLAND</t>
        </is>
      </c>
      <c r="G44" t="n">
        <v>2.7</v>
      </c>
      <c r="H44" t="n">
        <v>10</v>
      </c>
      <c r="I44" t="n">
        <v>2</v>
      </c>
      <c r="J44" t="n">
        <v>3</v>
      </c>
      <c r="K44" t="n">
        <v>1</v>
      </c>
      <c r="L44" t="n">
        <v>0</v>
      </c>
      <c r="M44" t="n">
        <v>0</v>
      </c>
      <c r="N44" t="n">
        <v>0</v>
      </c>
      <c r="O44" t="n">
        <v>4</v>
      </c>
      <c r="P44" t="n">
        <v>1</v>
      </c>
      <c r="Q44" t="n">
        <v>10</v>
      </c>
      <c r="R44" s="2" t="inlineStr">
        <is>
          <t>Stare
Björktrast
Mindre hackspett
Spillkråka
Skogsknipprot
Tvåblad
Brudsporre
Fläcknycklar
Grönvit nattviol
Nattviol</t>
        </is>
      </c>
      <c r="S44">
        <f>HYPERLINK("https://klasma.github.io/Logging_0980/artfynd/A 27280-2023 artfynd.xlsx", "A 27280-2023")</f>
        <v/>
      </c>
      <c r="T44">
        <f>HYPERLINK("https://klasma.github.io/Logging_0980/kartor/A 27280-2023 karta.png", "A 27280-2023")</f>
        <v/>
      </c>
      <c r="V44">
        <f>HYPERLINK("https://klasma.github.io/Logging_0980/klagomål/A 27280-2023 FSC-klagomål.docx", "A 27280-2023")</f>
        <v/>
      </c>
      <c r="W44">
        <f>HYPERLINK("https://klasma.github.io/Logging_0980/klagomålsmail/A 27280-2023 FSC-klagomål mail.docx", "A 27280-2023")</f>
        <v/>
      </c>
      <c r="X44">
        <f>HYPERLINK("https://klasma.github.io/Logging_0980/tillsyn/A 27280-2023 tillsynsbegäran.docx", "A 27280-2023")</f>
        <v/>
      </c>
      <c r="Y44">
        <f>HYPERLINK("https://klasma.github.io/Logging_0980/tillsynsmail/A 27280-2023 tillsynsbegäran mail.docx", "A 27280-2023")</f>
        <v/>
      </c>
      <c r="Z44">
        <f>HYPERLINK("https://klasma.github.io/Logging_0980/fåglar/A 27280-2023 prioriterade fågelarter.docx", "A 27280-2023")</f>
        <v/>
      </c>
    </row>
    <row r="45" ht="15" customHeight="1">
      <c r="A45" t="inlineStr">
        <is>
          <t>A 14354-2024</t>
        </is>
      </c>
      <c r="B45" s="1" t="n">
        <v>45393</v>
      </c>
      <c r="C45" s="1" t="n">
        <v>46181</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584-2023</t>
        </is>
      </c>
      <c r="B46" s="1" t="n">
        <v>44930</v>
      </c>
      <c r="C46" s="1" t="n">
        <v>46181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46181</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22404-2024</t>
        </is>
      </c>
      <c r="B48" s="1" t="n">
        <v>45446</v>
      </c>
      <c r="C48" s="1" t="n">
        <v>46181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59132-2024</t>
        </is>
      </c>
      <c r="B49" s="1" t="n">
        <v>45637</v>
      </c>
      <c r="C49" s="1" t="n">
        <v>46181</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39376-2023</t>
        </is>
      </c>
      <c r="B50" s="1" t="n">
        <v>45166</v>
      </c>
      <c r="C50" s="1" t="n">
        <v>46181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1769-2022</t>
        </is>
      </c>
      <c r="B51" s="1" t="n">
        <v>44574</v>
      </c>
      <c r="C51" s="1" t="n">
        <v>46181</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2649-2023</t>
        </is>
      </c>
      <c r="B52" s="1" t="n">
        <v>44943</v>
      </c>
      <c r="C52" s="1" t="n">
        <v>46181</v>
      </c>
      <c r="D52" t="inlineStr">
        <is>
          <t>GOTLANDS LÄN</t>
        </is>
      </c>
      <c r="E52" t="inlineStr">
        <is>
          <t>GOTLAND</t>
        </is>
      </c>
      <c r="G52" t="n">
        <v>2.6</v>
      </c>
      <c r="H52" t="n">
        <v>1</v>
      </c>
      <c r="I52" t="n">
        <v>1</v>
      </c>
      <c r="J52" t="n">
        <v>1</v>
      </c>
      <c r="K52" t="n">
        <v>6</v>
      </c>
      <c r="L52" t="n">
        <v>0</v>
      </c>
      <c r="M52" t="n">
        <v>0</v>
      </c>
      <c r="N52" t="n">
        <v>0</v>
      </c>
      <c r="O52" t="n">
        <v>7</v>
      </c>
      <c r="P52" t="n">
        <v>6</v>
      </c>
      <c r="Q52" t="n">
        <v>8</v>
      </c>
      <c r="R52" s="2" t="inlineStr">
        <is>
          <t>Duvspindling
Garderönn
Granrotspindling
Gul lammticka
Gulsträngad fagerspindling
Violettfläckig spindling
Svinrot
Anisspindling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7039-2023</t>
        </is>
      </c>
      <c r="B53" s="1" t="n">
        <v>44968</v>
      </c>
      <c r="C53" s="1" t="n">
        <v>46181</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27168-2022</t>
        </is>
      </c>
      <c r="B54" s="1" t="n">
        <v>44741</v>
      </c>
      <c r="C54" s="1" t="n">
        <v>46181</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21467-2024</t>
        </is>
      </c>
      <c r="B55" s="1" t="n">
        <v>45441</v>
      </c>
      <c r="C55" s="1" t="n">
        <v>46181</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51737-2021</t>
        </is>
      </c>
      <c r="B56" s="1" t="n">
        <v>44462.57368055556</v>
      </c>
      <c r="C56" s="1" t="n">
        <v>46181</v>
      </c>
      <c r="D56" t="inlineStr">
        <is>
          <t>GOTLANDS LÄN</t>
        </is>
      </c>
      <c r="E56" t="inlineStr">
        <is>
          <t>GOTLAND</t>
        </is>
      </c>
      <c r="G56" t="n">
        <v>8.6</v>
      </c>
      <c r="H56" t="n">
        <v>1</v>
      </c>
      <c r="I56" t="n">
        <v>6</v>
      </c>
      <c r="J56" t="n">
        <v>1</v>
      </c>
      <c r="K56" t="n">
        <v>0</v>
      </c>
      <c r="L56" t="n">
        <v>0</v>
      </c>
      <c r="M56" t="n">
        <v>0</v>
      </c>
      <c r="N56" t="n">
        <v>0</v>
      </c>
      <c r="O56" t="n">
        <v>1</v>
      </c>
      <c r="P56" t="n">
        <v>0</v>
      </c>
      <c r="Q56" t="n">
        <v>7</v>
      </c>
      <c r="R56" s="2" t="inlineStr">
        <is>
          <t>Igelkott
Blå slemspindling
Blåmossa
Kambräken
Skogsknipprot
Västlig hakmossa
Vårärt</t>
        </is>
      </c>
      <c r="S56">
        <f>HYPERLINK("https://klasma.github.io/Logging_0980/artfynd/A 51737-2021 artfynd.xlsx", "A 51737-2021")</f>
        <v/>
      </c>
      <c r="T56">
        <f>HYPERLINK("https://klasma.github.io/Logging_0980/kartor/A 51737-2021 karta.png", "A 51737-2021")</f>
        <v/>
      </c>
      <c r="V56">
        <f>HYPERLINK("https://klasma.github.io/Logging_0980/klagomål/A 51737-2021 FSC-klagomål.docx", "A 51737-2021")</f>
        <v/>
      </c>
      <c r="W56">
        <f>HYPERLINK("https://klasma.github.io/Logging_0980/klagomålsmail/A 51737-2021 FSC-klagomål mail.docx", "A 51737-2021")</f>
        <v/>
      </c>
      <c r="X56">
        <f>HYPERLINK("https://klasma.github.io/Logging_0980/tillsyn/A 51737-2021 tillsynsbegäran.docx", "A 51737-2021")</f>
        <v/>
      </c>
      <c r="Y56">
        <f>HYPERLINK("https://klasma.github.io/Logging_0980/tillsynsmail/A 51737-2021 tillsynsbegäran mail.docx", "A 51737-2021")</f>
        <v/>
      </c>
    </row>
    <row r="57" ht="15" customHeight="1">
      <c r="A57" t="inlineStr">
        <is>
          <t>A 4984-2025</t>
        </is>
      </c>
      <c r="B57" s="1" t="n">
        <v>45691.29891203704</v>
      </c>
      <c r="C57" s="1" t="n">
        <v>46181</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18541-2024</t>
        </is>
      </c>
      <c r="B58" s="1" t="n">
        <v>45425</v>
      </c>
      <c r="C58" s="1" t="n">
        <v>46181</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44944-2022</t>
        </is>
      </c>
      <c r="B59" s="1" t="n">
        <v>44841</v>
      </c>
      <c r="C59" s="1" t="n">
        <v>46181</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46181</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10419-2025</t>
        </is>
      </c>
      <c r="B61" s="1" t="n">
        <v>45720</v>
      </c>
      <c r="C61" s="1" t="n">
        <v>46181</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2085-2023</t>
        </is>
      </c>
      <c r="B62" s="1" t="n">
        <v>44939</v>
      </c>
      <c r="C62" s="1" t="n">
        <v>46181</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46181</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46181</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46181</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46181</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46181</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46181</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7038-2023</t>
        </is>
      </c>
      <c r="B69" s="1" t="n">
        <v>44968</v>
      </c>
      <c r="C69" s="1" t="n">
        <v>46181</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66091-2021</t>
        </is>
      </c>
      <c r="B70" s="1" t="n">
        <v>44517</v>
      </c>
      <c r="C70" s="1" t="n">
        <v>46181</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54055-2022</t>
        </is>
      </c>
      <c r="B71" s="1" t="n">
        <v>44881</v>
      </c>
      <c r="C71" s="1" t="n">
        <v>46181</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46181</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46181</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39425-2023</t>
        </is>
      </c>
      <c r="B74" s="1" t="n">
        <v>45166</v>
      </c>
      <c r="C74" s="1" t="n">
        <v>46181</v>
      </c>
      <c r="D74" t="inlineStr">
        <is>
          <t>GOTLANDS LÄN</t>
        </is>
      </c>
      <c r="E74" t="inlineStr">
        <is>
          <t>GOTLAND</t>
        </is>
      </c>
      <c r="G74" t="n">
        <v>3.9</v>
      </c>
      <c r="H74" t="n">
        <v>1</v>
      </c>
      <c r="I74" t="n">
        <v>3</v>
      </c>
      <c r="J74" t="n">
        <v>0</v>
      </c>
      <c r="K74" t="n">
        <v>2</v>
      </c>
      <c r="L74" t="n">
        <v>0</v>
      </c>
      <c r="M74" t="n">
        <v>0</v>
      </c>
      <c r="N74" t="n">
        <v>0</v>
      </c>
      <c r="O74" t="n">
        <v>2</v>
      </c>
      <c r="P74" t="n">
        <v>2</v>
      </c>
      <c r="Q74" t="n">
        <v>5</v>
      </c>
      <c r="R74" s="2" t="inlineStr">
        <is>
          <t>Knärot
Violgubbe
Anisspindling
Rödgul trumpetsvamp
Svavelriska</t>
        </is>
      </c>
      <c r="S74">
        <f>HYPERLINK("https://klasma.github.io/Logging_0980/artfynd/A 39425-2023 artfynd.xlsx", "A 39425-2023")</f>
        <v/>
      </c>
      <c r="T74">
        <f>HYPERLINK("https://klasma.github.io/Logging_0980/kartor/A 39425-2023 karta.png", "A 39425-2023")</f>
        <v/>
      </c>
      <c r="U74">
        <f>HYPERLINK("https://klasma.github.io/Logging_0980/knärot/A 39425-2023 karta knärot.png", "A 39425-2023")</f>
        <v/>
      </c>
      <c r="V74">
        <f>HYPERLINK("https://klasma.github.io/Logging_0980/klagomål/A 39425-2023 FSC-klagomål.docx", "A 39425-2023")</f>
        <v/>
      </c>
      <c r="W74">
        <f>HYPERLINK("https://klasma.github.io/Logging_0980/klagomålsmail/A 39425-2023 FSC-klagomål mail.docx", "A 39425-2023")</f>
        <v/>
      </c>
      <c r="X74">
        <f>HYPERLINK("https://klasma.github.io/Logging_0980/tillsyn/A 39425-2023 tillsynsbegäran.docx", "A 39425-2023")</f>
        <v/>
      </c>
      <c r="Y74">
        <f>HYPERLINK("https://klasma.github.io/Logging_0980/tillsynsmail/A 39425-2023 tillsynsbegäran mail.docx", "A 39425-2023")</f>
        <v/>
      </c>
    </row>
    <row r="75" ht="15" customHeight="1">
      <c r="A75" t="inlineStr">
        <is>
          <t>A 6839-2026</t>
        </is>
      </c>
      <c r="B75" s="1" t="n">
        <v>46057.41193287037</v>
      </c>
      <c r="C75" s="1" t="n">
        <v>46181</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2213-2023</t>
        </is>
      </c>
      <c r="B76" s="1" t="n">
        <v>44942</v>
      </c>
      <c r="C76" s="1" t="n">
        <v>46181</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46181</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29331-2021</t>
        </is>
      </c>
      <c r="B78" s="1" t="n">
        <v>44361</v>
      </c>
      <c r="C78" s="1" t="n">
        <v>46181</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6159-2023</t>
        </is>
      </c>
      <c r="B79" s="1" t="n">
        <v>44964</v>
      </c>
      <c r="C79" s="1" t="n">
        <v>46181</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5904-2024</t>
        </is>
      </c>
      <c r="B80" s="1" t="n">
        <v>45335</v>
      </c>
      <c r="C80" s="1" t="n">
        <v>46181</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43197-2023</t>
        </is>
      </c>
      <c r="B81" s="1" t="n">
        <v>45183</v>
      </c>
      <c r="C81" s="1" t="n">
        <v>46181</v>
      </c>
      <c r="D81" t="inlineStr">
        <is>
          <t>GOTLANDS LÄN</t>
        </is>
      </c>
      <c r="E81" t="inlineStr">
        <is>
          <t>GOTLAND</t>
        </is>
      </c>
      <c r="G81" t="n">
        <v>3.7</v>
      </c>
      <c r="H81" t="n">
        <v>2</v>
      </c>
      <c r="I81" t="n">
        <v>1</v>
      </c>
      <c r="J81" t="n">
        <v>1</v>
      </c>
      <c r="K81" t="n">
        <v>1</v>
      </c>
      <c r="L81" t="n">
        <v>0</v>
      </c>
      <c r="M81" t="n">
        <v>0</v>
      </c>
      <c r="N81" t="n">
        <v>0</v>
      </c>
      <c r="O81" t="n">
        <v>2</v>
      </c>
      <c r="P81" t="n">
        <v>1</v>
      </c>
      <c r="Q81" t="n">
        <v>4</v>
      </c>
      <c r="R81" s="2" t="inlineStr">
        <is>
          <t>Allékantlav
Svinrot
Skogsknipprot
Revlummer</t>
        </is>
      </c>
      <c r="S81">
        <f>HYPERLINK("https://klasma.github.io/Logging_0980/artfynd/A 43197-2023 artfynd.xlsx", "A 43197-2023")</f>
        <v/>
      </c>
      <c r="T81">
        <f>HYPERLINK("https://klasma.github.io/Logging_0980/kartor/A 43197-2023 karta.png", "A 43197-2023")</f>
        <v/>
      </c>
      <c r="V81">
        <f>HYPERLINK("https://klasma.github.io/Logging_0980/klagomål/A 43197-2023 FSC-klagomål.docx", "A 43197-2023")</f>
        <v/>
      </c>
      <c r="W81">
        <f>HYPERLINK("https://klasma.github.io/Logging_0980/klagomålsmail/A 43197-2023 FSC-klagomål mail.docx", "A 43197-2023")</f>
        <v/>
      </c>
      <c r="X81">
        <f>HYPERLINK("https://klasma.github.io/Logging_0980/tillsyn/A 43197-2023 tillsynsbegäran.docx", "A 43197-2023")</f>
        <v/>
      </c>
      <c r="Y81">
        <f>HYPERLINK("https://klasma.github.io/Logging_0980/tillsynsmail/A 43197-2023 tillsynsbegäran mail.docx", "A 43197-2023")</f>
        <v/>
      </c>
    </row>
    <row r="82" ht="15" customHeight="1">
      <c r="A82" t="inlineStr">
        <is>
          <t>A 1971-2023</t>
        </is>
      </c>
      <c r="B82" s="1" t="n">
        <v>44939</v>
      </c>
      <c r="C82" s="1" t="n">
        <v>46181</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13203-2026</t>
        </is>
      </c>
      <c r="B83" s="1" t="n">
        <v>46093</v>
      </c>
      <c r="C83" s="1" t="n">
        <v>46181</v>
      </c>
      <c r="D83" t="inlineStr">
        <is>
          <t>GOTLANDS LÄN</t>
        </is>
      </c>
      <c r="E83" t="inlineStr">
        <is>
          <t>GOTLAND</t>
        </is>
      </c>
      <c r="G83" t="n">
        <v>4.5</v>
      </c>
      <c r="H83" t="n">
        <v>2</v>
      </c>
      <c r="I83" t="n">
        <v>1</v>
      </c>
      <c r="J83" t="n">
        <v>1</v>
      </c>
      <c r="K83" t="n">
        <v>1</v>
      </c>
      <c r="L83" t="n">
        <v>0</v>
      </c>
      <c r="M83" t="n">
        <v>0</v>
      </c>
      <c r="N83" t="n">
        <v>0</v>
      </c>
      <c r="O83" t="n">
        <v>2</v>
      </c>
      <c r="P83" t="n">
        <v>1</v>
      </c>
      <c r="Q83" t="n">
        <v>4</v>
      </c>
      <c r="R83" s="2" t="inlineStr">
        <is>
          <t>Gotlandsmåra
Svinrot
Nästrot
Grönvit nattviol</t>
        </is>
      </c>
      <c r="S83">
        <f>HYPERLINK("https://klasma.github.io/Logging_0980/artfynd/A 13203-2026 artfynd.xlsx", "A 13203-2026")</f>
        <v/>
      </c>
      <c r="T83">
        <f>HYPERLINK("https://klasma.github.io/Logging_0980/kartor/A 13203-2026 karta.png", "A 13203-2026")</f>
        <v/>
      </c>
      <c r="V83">
        <f>HYPERLINK("https://klasma.github.io/Logging_0980/klagomål/A 13203-2026 FSC-klagomål.docx", "A 13203-2026")</f>
        <v/>
      </c>
      <c r="W83">
        <f>HYPERLINK("https://klasma.github.io/Logging_0980/klagomålsmail/A 13203-2026 FSC-klagomål mail.docx", "A 13203-2026")</f>
        <v/>
      </c>
      <c r="X83">
        <f>HYPERLINK("https://klasma.github.io/Logging_0980/tillsyn/A 13203-2026 tillsynsbegäran.docx", "A 13203-2026")</f>
        <v/>
      </c>
      <c r="Y83">
        <f>HYPERLINK("https://klasma.github.io/Logging_0980/tillsynsmail/A 13203-2026 tillsynsbegäran mail.docx", "A 13203-2026")</f>
        <v/>
      </c>
    </row>
    <row r="84" ht="15" customHeight="1">
      <c r="A84" t="inlineStr">
        <is>
          <t>A 54523-2023</t>
        </is>
      </c>
      <c r="B84" s="1" t="n">
        <v>45233</v>
      </c>
      <c r="C84" s="1" t="n">
        <v>46181</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2485-2025</t>
        </is>
      </c>
      <c r="B85" s="1" t="n">
        <v>45673</v>
      </c>
      <c r="C85" s="1" t="n">
        <v>46181</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63152-2025</t>
        </is>
      </c>
      <c r="B86" s="1" t="n">
        <v>46010</v>
      </c>
      <c r="C86" s="1" t="n">
        <v>46181</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46181</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46181</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8265-2023</t>
        </is>
      </c>
      <c r="B89" s="1" t="n">
        <v>44974</v>
      </c>
      <c r="C89" s="1" t="n">
        <v>46181</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46181</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46181</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6836-2026</t>
        </is>
      </c>
      <c r="B92" s="1" t="n">
        <v>46057</v>
      </c>
      <c r="C92" s="1" t="n">
        <v>46181</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44323-2021</t>
        </is>
      </c>
      <c r="B93" s="1" t="n">
        <v>44434</v>
      </c>
      <c r="C93" s="1" t="n">
        <v>46181</v>
      </c>
      <c r="D93" t="inlineStr">
        <is>
          <t>GOTLANDS LÄN</t>
        </is>
      </c>
      <c r="E93" t="inlineStr">
        <is>
          <t>GOTLAND</t>
        </is>
      </c>
      <c r="G93" t="n">
        <v>7.5</v>
      </c>
      <c r="H93" t="n">
        <v>1</v>
      </c>
      <c r="I93" t="n">
        <v>3</v>
      </c>
      <c r="J93" t="n">
        <v>0</v>
      </c>
      <c r="K93" t="n">
        <v>0</v>
      </c>
      <c r="L93" t="n">
        <v>0</v>
      </c>
      <c r="M93" t="n">
        <v>0</v>
      </c>
      <c r="N93" t="n">
        <v>0</v>
      </c>
      <c r="O93" t="n">
        <v>0</v>
      </c>
      <c r="P93" t="n">
        <v>0</v>
      </c>
      <c r="Q93" t="n">
        <v>3</v>
      </c>
      <c r="R93" s="2" t="inlineStr">
        <is>
          <t>Anisspindling
Barrfagerspindling
Skogsknipprot</t>
        </is>
      </c>
      <c r="S93">
        <f>HYPERLINK("https://klasma.github.io/Logging_0980/artfynd/A 44323-2021 artfynd.xlsx", "A 44323-2021")</f>
        <v/>
      </c>
      <c r="T93">
        <f>HYPERLINK("https://klasma.github.io/Logging_0980/kartor/A 44323-2021 karta.png", "A 44323-2021")</f>
        <v/>
      </c>
      <c r="V93">
        <f>HYPERLINK("https://klasma.github.io/Logging_0980/klagomål/A 44323-2021 FSC-klagomål.docx", "A 44323-2021")</f>
        <v/>
      </c>
      <c r="W93">
        <f>HYPERLINK("https://klasma.github.io/Logging_0980/klagomålsmail/A 44323-2021 FSC-klagomål mail.docx", "A 44323-2021")</f>
        <v/>
      </c>
      <c r="X93">
        <f>HYPERLINK("https://klasma.github.io/Logging_0980/tillsyn/A 44323-2021 tillsynsbegäran.docx", "A 44323-2021")</f>
        <v/>
      </c>
      <c r="Y93">
        <f>HYPERLINK("https://klasma.github.io/Logging_0980/tillsynsmail/A 44323-2021 tillsynsbegäran mail.docx", "A 44323-2021")</f>
        <v/>
      </c>
    </row>
    <row r="94" ht="15" customHeight="1">
      <c r="A94" t="inlineStr">
        <is>
          <t>A 32666-2021</t>
        </is>
      </c>
      <c r="B94" s="1" t="n">
        <v>44375</v>
      </c>
      <c r="C94" s="1" t="n">
        <v>46181</v>
      </c>
      <c r="D94" t="inlineStr">
        <is>
          <t>GOTLANDS LÄN</t>
        </is>
      </c>
      <c r="E94" t="inlineStr">
        <is>
          <t>GOTLAND</t>
        </is>
      </c>
      <c r="G94" t="n">
        <v>0.9</v>
      </c>
      <c r="H94" t="n">
        <v>1</v>
      </c>
      <c r="I94" t="n">
        <v>2</v>
      </c>
      <c r="J94" t="n">
        <v>0</v>
      </c>
      <c r="K94" t="n">
        <v>1</v>
      </c>
      <c r="L94" t="n">
        <v>0</v>
      </c>
      <c r="M94" t="n">
        <v>0</v>
      </c>
      <c r="N94" t="n">
        <v>0</v>
      </c>
      <c r="O94" t="n">
        <v>1</v>
      </c>
      <c r="P94" t="n">
        <v>1</v>
      </c>
      <c r="Q94" t="n">
        <v>3</v>
      </c>
      <c r="R94" s="2" t="inlineStr">
        <is>
          <t>Skogskorn
Myskmadra
Vit skogslilja</t>
        </is>
      </c>
      <c r="S94">
        <f>HYPERLINK("https://klasma.github.io/Logging_0980/artfynd/A 32666-2021 artfynd.xlsx", "A 32666-2021")</f>
        <v/>
      </c>
      <c r="T94">
        <f>HYPERLINK("https://klasma.github.io/Logging_0980/kartor/A 32666-2021 karta.png", "A 32666-2021")</f>
        <v/>
      </c>
      <c r="V94">
        <f>HYPERLINK("https://klasma.github.io/Logging_0980/klagomål/A 32666-2021 FSC-klagomål.docx", "A 32666-2021")</f>
        <v/>
      </c>
      <c r="W94">
        <f>HYPERLINK("https://klasma.github.io/Logging_0980/klagomålsmail/A 32666-2021 FSC-klagomål mail.docx", "A 32666-2021")</f>
        <v/>
      </c>
      <c r="X94">
        <f>HYPERLINK("https://klasma.github.io/Logging_0980/tillsyn/A 32666-2021 tillsynsbegäran.docx", "A 32666-2021")</f>
        <v/>
      </c>
      <c r="Y94">
        <f>HYPERLINK("https://klasma.github.io/Logging_0980/tillsynsmail/A 32666-2021 tillsynsbegäran mail.docx", "A 32666-2021")</f>
        <v/>
      </c>
    </row>
    <row r="95" ht="15" customHeight="1">
      <c r="A95" t="inlineStr">
        <is>
          <t>A 32718-2021</t>
        </is>
      </c>
      <c r="B95" s="1" t="n">
        <v>44375</v>
      </c>
      <c r="C95" s="1" t="n">
        <v>46181</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48126-2022</t>
        </is>
      </c>
      <c r="B96" s="1" t="n">
        <v>44857</v>
      </c>
      <c r="C96" s="1" t="n">
        <v>46181</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49709-2025</t>
        </is>
      </c>
      <c r="B97" s="1" t="n">
        <v>45939.68228009259</v>
      </c>
      <c r="C97" s="1" t="n">
        <v>46181</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43013-2022</t>
        </is>
      </c>
      <c r="B98" s="1" t="n">
        <v>44833</v>
      </c>
      <c r="C98" s="1" t="n">
        <v>46181</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46181</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46181</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46181</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46181</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46181</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1520-2026</t>
        </is>
      </c>
      <c r="B104" s="1" t="n">
        <v>46034.35891203704</v>
      </c>
      <c r="C104" s="1" t="n">
        <v>46181</v>
      </c>
      <c r="D104" t="inlineStr">
        <is>
          <t>GOTLANDS LÄN</t>
        </is>
      </c>
      <c r="E104" t="inlineStr">
        <is>
          <t>GOTLAND</t>
        </is>
      </c>
      <c r="G104" t="n">
        <v>7.4</v>
      </c>
      <c r="H104" t="n">
        <v>0</v>
      </c>
      <c r="I104" t="n">
        <v>1</v>
      </c>
      <c r="J104" t="n">
        <v>0</v>
      </c>
      <c r="K104" t="n">
        <v>2</v>
      </c>
      <c r="L104" t="n">
        <v>0</v>
      </c>
      <c r="M104" t="n">
        <v>0</v>
      </c>
      <c r="N104" t="n">
        <v>0</v>
      </c>
      <c r="O104" t="n">
        <v>2</v>
      </c>
      <c r="P104" t="n">
        <v>2</v>
      </c>
      <c r="Q104" t="n">
        <v>3</v>
      </c>
      <c r="R104" s="2" t="inlineStr">
        <is>
          <t>Granrotspindling
Gulsträngad fagerspindling
Brandmusseron</t>
        </is>
      </c>
      <c r="S104">
        <f>HYPERLINK("https://klasma.github.io/Logging_0980/artfynd/A 1520-2026 artfynd.xlsx", "A 1520-2026")</f>
        <v/>
      </c>
      <c r="T104">
        <f>HYPERLINK("https://klasma.github.io/Logging_0980/kartor/A 1520-2026 karta.png", "A 1520-2026")</f>
        <v/>
      </c>
      <c r="V104">
        <f>HYPERLINK("https://klasma.github.io/Logging_0980/klagomål/A 1520-2026 FSC-klagomål.docx", "A 1520-2026")</f>
        <v/>
      </c>
      <c r="W104">
        <f>HYPERLINK("https://klasma.github.io/Logging_0980/klagomålsmail/A 1520-2026 FSC-klagomål mail.docx", "A 1520-2026")</f>
        <v/>
      </c>
      <c r="X104">
        <f>HYPERLINK("https://klasma.github.io/Logging_0980/tillsyn/A 1520-2026 tillsynsbegäran.docx", "A 1520-2026")</f>
        <v/>
      </c>
      <c r="Y104">
        <f>HYPERLINK("https://klasma.github.io/Logging_0980/tillsynsmail/A 1520-2026 tillsynsbegäran mail.docx", "A 1520-2026")</f>
        <v/>
      </c>
    </row>
    <row r="105" ht="15" customHeight="1">
      <c r="A105" t="inlineStr">
        <is>
          <t>A 12315-2024</t>
        </is>
      </c>
      <c r="B105" s="1" t="n">
        <v>45378.6434837963</v>
      </c>
      <c r="C105" s="1" t="n">
        <v>46181</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20831-2024</t>
        </is>
      </c>
      <c r="B106" s="1" t="n">
        <v>45439</v>
      </c>
      <c r="C106" s="1" t="n">
        <v>46181</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73144-2021</t>
        </is>
      </c>
      <c r="B107" s="1" t="n">
        <v>44550</v>
      </c>
      <c r="C107" s="1" t="n">
        <v>46181</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30490-2025</t>
        </is>
      </c>
      <c r="B108" s="1" t="n">
        <v>45830</v>
      </c>
      <c r="C108" s="1" t="n">
        <v>46181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29870-2021</t>
        </is>
      </c>
      <c r="B109" s="1" t="n">
        <v>44362</v>
      </c>
      <c r="C109" s="1" t="n">
        <v>46181</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60665-2021</t>
        </is>
      </c>
      <c r="B110" s="1" t="n">
        <v>44496</v>
      </c>
      <c r="C110" s="1" t="n">
        <v>46181</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20218-2022</t>
        </is>
      </c>
      <c r="B111" s="1" t="n">
        <v>44698</v>
      </c>
      <c r="C111" s="1" t="n">
        <v>46181</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26077-2024</t>
        </is>
      </c>
      <c r="B112" s="1" t="n">
        <v>45467</v>
      </c>
      <c r="C112" s="1" t="n">
        <v>46181</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20429-2025</t>
        </is>
      </c>
      <c r="B113" s="1" t="n">
        <v>45775.47728009259</v>
      </c>
      <c r="C113" s="1" t="n">
        <v>46181</v>
      </c>
      <c r="D113" t="inlineStr">
        <is>
          <t>GOTLANDS LÄN</t>
        </is>
      </c>
      <c r="E113" t="inlineStr">
        <is>
          <t>GOTLAND</t>
        </is>
      </c>
      <c r="G113" t="n">
        <v>1.4</v>
      </c>
      <c r="H113" t="n">
        <v>2</v>
      </c>
      <c r="I113" t="n">
        <v>0</v>
      </c>
      <c r="J113" t="n">
        <v>0</v>
      </c>
      <c r="K113" t="n">
        <v>0</v>
      </c>
      <c r="L113" t="n">
        <v>0</v>
      </c>
      <c r="M113" t="n">
        <v>0</v>
      </c>
      <c r="N113" t="n">
        <v>0</v>
      </c>
      <c r="O113" t="n">
        <v>0</v>
      </c>
      <c r="P113" t="n">
        <v>0</v>
      </c>
      <c r="Q113" t="n">
        <v>2</v>
      </c>
      <c r="R113" s="2" t="inlineStr">
        <is>
          <t>Lopplummer (aggregat)
Äkta lopplummer</t>
        </is>
      </c>
      <c r="S113">
        <f>HYPERLINK("https://klasma.github.io/Logging_0980/artfynd/A 20429-2025 artfynd.xlsx", "A 20429-2025")</f>
        <v/>
      </c>
      <c r="T113">
        <f>HYPERLINK("https://klasma.github.io/Logging_0980/kartor/A 20429-2025 karta.png", "A 20429-2025")</f>
        <v/>
      </c>
      <c r="V113">
        <f>HYPERLINK("https://klasma.github.io/Logging_0980/klagomål/A 20429-2025 FSC-klagomål.docx", "A 20429-2025")</f>
        <v/>
      </c>
      <c r="W113">
        <f>HYPERLINK("https://klasma.github.io/Logging_0980/klagomålsmail/A 20429-2025 FSC-klagomål mail.docx", "A 20429-2025")</f>
        <v/>
      </c>
      <c r="X113">
        <f>HYPERLINK("https://klasma.github.io/Logging_0980/tillsyn/A 20429-2025 tillsynsbegäran.docx", "A 20429-2025")</f>
        <v/>
      </c>
      <c r="Y113">
        <f>HYPERLINK("https://klasma.github.io/Logging_0980/tillsynsmail/A 20429-2025 tillsynsbegäran mail.docx", "A 20429-2025")</f>
        <v/>
      </c>
    </row>
    <row r="114" ht="15" customHeight="1">
      <c r="A114" t="inlineStr">
        <is>
          <t>A 62760-2025</t>
        </is>
      </c>
      <c r="B114" s="1" t="n">
        <v>46008</v>
      </c>
      <c r="C114" s="1" t="n">
        <v>46181</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63162-2025</t>
        </is>
      </c>
      <c r="B115" s="1" t="n">
        <v>46010.37629629629</v>
      </c>
      <c r="C115" s="1" t="n">
        <v>46181</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20838-2024</t>
        </is>
      </c>
      <c r="B116" s="1" t="n">
        <v>45439</v>
      </c>
      <c r="C116" s="1" t="n">
        <v>46181</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54357-2024</t>
        </is>
      </c>
      <c r="B117" s="1" t="n">
        <v>45617.40662037037</v>
      </c>
      <c r="C117" s="1" t="n">
        <v>46181</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16997-2026</t>
        </is>
      </c>
      <c r="B118" s="1" t="n">
        <v>46114.42539351852</v>
      </c>
      <c r="C118" s="1" t="n">
        <v>46181</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7070-2022</t>
        </is>
      </c>
      <c r="B119" s="1" t="n">
        <v>44603</v>
      </c>
      <c r="C119" s="1" t="n">
        <v>46181</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43219-2023</t>
        </is>
      </c>
      <c r="B120" s="1" t="n">
        <v>45183</v>
      </c>
      <c r="C120" s="1" t="n">
        <v>46181</v>
      </c>
      <c r="D120" t="inlineStr">
        <is>
          <t>GOTLANDS LÄN</t>
        </is>
      </c>
      <c r="E120" t="inlineStr">
        <is>
          <t>GOTLAND</t>
        </is>
      </c>
      <c r="G120" t="n">
        <v>3.6</v>
      </c>
      <c r="H120" t="n">
        <v>1</v>
      </c>
      <c r="I120" t="n">
        <v>0</v>
      </c>
      <c r="J120" t="n">
        <v>1</v>
      </c>
      <c r="K120" t="n">
        <v>0</v>
      </c>
      <c r="L120" t="n">
        <v>0</v>
      </c>
      <c r="M120" t="n">
        <v>0</v>
      </c>
      <c r="N120" t="n">
        <v>0</v>
      </c>
      <c r="O120" t="n">
        <v>1</v>
      </c>
      <c r="P120" t="n">
        <v>0</v>
      </c>
      <c r="Q120" t="n">
        <v>2</v>
      </c>
      <c r="R120" s="2" t="inlineStr">
        <is>
          <t>Axveronika
Skogsduva</t>
        </is>
      </c>
      <c r="S120">
        <f>HYPERLINK("https://klasma.github.io/Logging_0980/artfynd/A 43219-2023 artfynd.xlsx", "A 43219-2023")</f>
        <v/>
      </c>
      <c r="T120">
        <f>HYPERLINK("https://klasma.github.io/Logging_0980/kartor/A 43219-2023 karta.png", "A 43219-2023")</f>
        <v/>
      </c>
      <c r="V120">
        <f>HYPERLINK("https://klasma.github.io/Logging_0980/klagomål/A 43219-2023 FSC-klagomål.docx", "A 43219-2023")</f>
        <v/>
      </c>
      <c r="W120">
        <f>HYPERLINK("https://klasma.github.io/Logging_0980/klagomålsmail/A 43219-2023 FSC-klagomål mail.docx", "A 43219-2023")</f>
        <v/>
      </c>
      <c r="X120">
        <f>HYPERLINK("https://klasma.github.io/Logging_0980/tillsyn/A 43219-2023 tillsynsbegäran.docx", "A 43219-2023")</f>
        <v/>
      </c>
      <c r="Y120">
        <f>HYPERLINK("https://klasma.github.io/Logging_0980/tillsynsmail/A 43219-2023 tillsynsbegäran mail.docx", "A 43219-2023")</f>
        <v/>
      </c>
      <c r="Z120">
        <f>HYPERLINK("https://klasma.github.io/Logging_0980/fåglar/A 43219-2023 prioriterade fågelarter.docx", "A 43219-2023")</f>
        <v/>
      </c>
    </row>
    <row r="121" ht="15" customHeight="1">
      <c r="A121" t="inlineStr">
        <is>
          <t>A 12914-2025</t>
        </is>
      </c>
      <c r="B121" s="1" t="n">
        <v>45733</v>
      </c>
      <c r="C121" s="1" t="n">
        <v>46181</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28261-2024</t>
        </is>
      </c>
      <c r="B122" s="1" t="n">
        <v>45477</v>
      </c>
      <c r="C122" s="1" t="n">
        <v>46181</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55649-2024</t>
        </is>
      </c>
      <c r="B123" s="1" t="n">
        <v>45622.63053240741</v>
      </c>
      <c r="C123" s="1" t="n">
        <v>46181</v>
      </c>
      <c r="D123" t="inlineStr">
        <is>
          <t>GOTLANDS LÄN</t>
        </is>
      </c>
      <c r="E123" t="inlineStr">
        <is>
          <t>GOTLAND</t>
        </is>
      </c>
      <c r="G123" t="n">
        <v>4.6</v>
      </c>
      <c r="H123" t="n">
        <v>2</v>
      </c>
      <c r="I123" t="n">
        <v>0</v>
      </c>
      <c r="J123" t="n">
        <v>0</v>
      </c>
      <c r="K123" t="n">
        <v>0</v>
      </c>
      <c r="L123" t="n">
        <v>0</v>
      </c>
      <c r="M123" t="n">
        <v>0</v>
      </c>
      <c r="N123" t="n">
        <v>0</v>
      </c>
      <c r="O123" t="n">
        <v>0</v>
      </c>
      <c r="P123" t="n">
        <v>0</v>
      </c>
      <c r="Q123" t="n">
        <v>2</v>
      </c>
      <c r="R123" s="2" t="inlineStr">
        <is>
          <t>Sankt pers nycklar
Blåsippa</t>
        </is>
      </c>
      <c r="S123">
        <f>HYPERLINK("https://klasma.github.io/Logging_0980/artfynd/A 55649-2024 artfynd.xlsx", "A 55649-2024")</f>
        <v/>
      </c>
      <c r="T123">
        <f>HYPERLINK("https://klasma.github.io/Logging_0980/kartor/A 55649-2024 karta.png", "A 55649-2024")</f>
        <v/>
      </c>
      <c r="V123">
        <f>HYPERLINK("https://klasma.github.io/Logging_0980/klagomål/A 55649-2024 FSC-klagomål.docx", "A 55649-2024")</f>
        <v/>
      </c>
      <c r="W123">
        <f>HYPERLINK("https://klasma.github.io/Logging_0980/klagomålsmail/A 55649-2024 FSC-klagomål mail.docx", "A 55649-2024")</f>
        <v/>
      </c>
      <c r="X123">
        <f>HYPERLINK("https://klasma.github.io/Logging_0980/tillsyn/A 55649-2024 tillsynsbegäran.docx", "A 55649-2024")</f>
        <v/>
      </c>
      <c r="Y123">
        <f>HYPERLINK("https://klasma.github.io/Logging_0980/tillsynsmail/A 55649-2024 tillsynsbegäran mail.docx", "A 55649-2024")</f>
        <v/>
      </c>
    </row>
    <row r="124" ht="15" customHeight="1">
      <c r="A124" t="inlineStr">
        <is>
          <t>A 17328-2026</t>
        </is>
      </c>
      <c r="B124" s="1" t="n">
        <v>46119</v>
      </c>
      <c r="C124" s="1" t="n">
        <v>46181</v>
      </c>
      <c r="D124" t="inlineStr">
        <is>
          <t>GOTLANDS LÄN</t>
        </is>
      </c>
      <c r="E124" t="inlineStr">
        <is>
          <t>GOTLAND</t>
        </is>
      </c>
      <c r="F124" t="inlineStr">
        <is>
          <t>Kyrkan</t>
        </is>
      </c>
      <c r="G124" t="n">
        <v>4</v>
      </c>
      <c r="H124" t="n">
        <v>1</v>
      </c>
      <c r="I124" t="n">
        <v>0</v>
      </c>
      <c r="J124" t="n">
        <v>2</v>
      </c>
      <c r="K124" t="n">
        <v>0</v>
      </c>
      <c r="L124" t="n">
        <v>0</v>
      </c>
      <c r="M124" t="n">
        <v>0</v>
      </c>
      <c r="N124" t="n">
        <v>0</v>
      </c>
      <c r="O124" t="n">
        <v>2</v>
      </c>
      <c r="P124" t="n">
        <v>0</v>
      </c>
      <c r="Q124" t="n">
        <v>2</v>
      </c>
      <c r="R124" s="2" t="inlineStr">
        <is>
          <t>Backtimjan
Spillkråka</t>
        </is>
      </c>
      <c r="S124">
        <f>HYPERLINK("https://klasma.github.io/Logging_0980/artfynd/A 17328-2026 artfynd.xlsx", "A 17328-2026")</f>
        <v/>
      </c>
      <c r="T124">
        <f>HYPERLINK("https://klasma.github.io/Logging_0980/kartor/A 17328-2026 karta.png", "A 17328-2026")</f>
        <v/>
      </c>
      <c r="V124">
        <f>HYPERLINK("https://klasma.github.io/Logging_0980/klagomål/A 17328-2026 FSC-klagomål.docx", "A 17328-2026")</f>
        <v/>
      </c>
      <c r="W124">
        <f>HYPERLINK("https://klasma.github.io/Logging_0980/klagomålsmail/A 17328-2026 FSC-klagomål mail.docx", "A 17328-2026")</f>
        <v/>
      </c>
      <c r="X124">
        <f>HYPERLINK("https://klasma.github.io/Logging_0980/tillsyn/A 17328-2026 tillsynsbegäran.docx", "A 17328-2026")</f>
        <v/>
      </c>
      <c r="Y124">
        <f>HYPERLINK("https://klasma.github.io/Logging_0980/tillsynsmail/A 17328-2026 tillsynsbegäran mail.docx", "A 17328-2026")</f>
        <v/>
      </c>
      <c r="Z124">
        <f>HYPERLINK("https://klasma.github.io/Logging_0980/fåglar/A 17328-2026 prioriterade fågelarter.docx", "A 17328-2026")</f>
        <v/>
      </c>
    </row>
    <row r="125" ht="15" customHeight="1">
      <c r="A125" t="inlineStr">
        <is>
          <t>A 28276-2024</t>
        </is>
      </c>
      <c r="B125" s="1" t="n">
        <v>45477</v>
      </c>
      <c r="C125" s="1" t="n">
        <v>46181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46362-2021</t>
        </is>
      </c>
      <c r="B126" s="1" t="n">
        <v>44442</v>
      </c>
      <c r="C126" s="1" t="n">
        <v>46181</v>
      </c>
      <c r="D126" t="inlineStr">
        <is>
          <t>GOTLANDS LÄN</t>
        </is>
      </c>
      <c r="E126" t="inlineStr">
        <is>
          <t>GOTLAND</t>
        </is>
      </c>
      <c r="G126" t="n">
        <v>2.1</v>
      </c>
      <c r="H126" t="n">
        <v>0</v>
      </c>
      <c r="I126" t="n">
        <v>0</v>
      </c>
      <c r="J126" t="n">
        <v>1</v>
      </c>
      <c r="K126" t="n">
        <v>0</v>
      </c>
      <c r="L126" t="n">
        <v>0</v>
      </c>
      <c r="M126" t="n">
        <v>0</v>
      </c>
      <c r="N126" t="n">
        <v>0</v>
      </c>
      <c r="O126" t="n">
        <v>1</v>
      </c>
      <c r="P126" t="n">
        <v>0</v>
      </c>
      <c r="Q126" t="n">
        <v>1</v>
      </c>
      <c r="R126" s="2" t="inlineStr">
        <is>
          <t>Igelkott</t>
        </is>
      </c>
      <c r="S126">
        <f>HYPERLINK("https://klasma.github.io/Logging_0980/artfynd/A 46362-2021 artfynd.xlsx", "A 46362-2021")</f>
        <v/>
      </c>
      <c r="T126">
        <f>HYPERLINK("https://klasma.github.io/Logging_0980/kartor/A 46362-2021 karta.png", "A 46362-2021")</f>
        <v/>
      </c>
      <c r="V126">
        <f>HYPERLINK("https://klasma.github.io/Logging_0980/klagomål/A 46362-2021 FSC-klagomål.docx", "A 46362-2021")</f>
        <v/>
      </c>
      <c r="W126">
        <f>HYPERLINK("https://klasma.github.io/Logging_0980/klagomålsmail/A 46362-2021 FSC-klagomål mail.docx", "A 46362-2021")</f>
        <v/>
      </c>
      <c r="X126">
        <f>HYPERLINK("https://klasma.github.io/Logging_0980/tillsyn/A 46362-2021 tillsynsbegäran.docx", "A 46362-2021")</f>
        <v/>
      </c>
      <c r="Y126">
        <f>HYPERLINK("https://klasma.github.io/Logging_0980/tillsynsmail/A 46362-2021 tillsynsbegäran mail.docx", "A 46362-2021")</f>
        <v/>
      </c>
    </row>
    <row r="127" ht="15" customHeight="1">
      <c r="A127" t="inlineStr">
        <is>
          <t>A 10218-2025</t>
        </is>
      </c>
      <c r="B127" s="1" t="n">
        <v>45720</v>
      </c>
      <c r="C127" s="1" t="n">
        <v>46181</v>
      </c>
      <c r="D127" t="inlineStr">
        <is>
          <t>GOTLANDS LÄN</t>
        </is>
      </c>
      <c r="E127" t="inlineStr">
        <is>
          <t>GOTLAND</t>
        </is>
      </c>
      <c r="G127" t="n">
        <v>8.1</v>
      </c>
      <c r="H127" t="n">
        <v>0</v>
      </c>
      <c r="I127" t="n">
        <v>1</v>
      </c>
      <c r="J127" t="n">
        <v>0</v>
      </c>
      <c r="K127" t="n">
        <v>0</v>
      </c>
      <c r="L127" t="n">
        <v>0</v>
      </c>
      <c r="M127" t="n">
        <v>0</v>
      </c>
      <c r="N127" t="n">
        <v>0</v>
      </c>
      <c r="O127" t="n">
        <v>0</v>
      </c>
      <c r="P127" t="n">
        <v>0</v>
      </c>
      <c r="Q127" t="n">
        <v>1</v>
      </c>
      <c r="R127" s="2" t="inlineStr">
        <is>
          <t>Kalktallört</t>
        </is>
      </c>
      <c r="S127">
        <f>HYPERLINK("https://klasma.github.io/Logging_0980/artfynd/A 10218-2025 artfynd.xlsx", "A 10218-2025")</f>
        <v/>
      </c>
      <c r="T127">
        <f>HYPERLINK("https://klasma.github.io/Logging_0980/kartor/A 10218-2025 karta.png", "A 10218-2025")</f>
        <v/>
      </c>
      <c r="V127">
        <f>HYPERLINK("https://klasma.github.io/Logging_0980/klagomål/A 10218-2025 FSC-klagomål.docx", "A 10218-2025")</f>
        <v/>
      </c>
      <c r="W127">
        <f>HYPERLINK("https://klasma.github.io/Logging_0980/klagomålsmail/A 10218-2025 FSC-klagomål mail.docx", "A 10218-2025")</f>
        <v/>
      </c>
      <c r="X127">
        <f>HYPERLINK("https://klasma.github.io/Logging_0980/tillsyn/A 10218-2025 tillsynsbegäran.docx", "A 10218-2025")</f>
        <v/>
      </c>
      <c r="Y127">
        <f>HYPERLINK("https://klasma.github.io/Logging_0980/tillsynsmail/A 10218-2025 tillsynsbegäran mail.docx", "A 10218-2025")</f>
        <v/>
      </c>
    </row>
    <row r="128" ht="15" customHeight="1">
      <c r="A128" t="inlineStr">
        <is>
          <t>A 12379-2024</t>
        </is>
      </c>
      <c r="B128" s="1" t="n">
        <v>45379.28155092592</v>
      </c>
      <c r="C128" s="1" t="n">
        <v>46181</v>
      </c>
      <c r="D128" t="inlineStr">
        <is>
          <t>GOTLANDS LÄN</t>
        </is>
      </c>
      <c r="E128" t="inlineStr">
        <is>
          <t>GOTLAND</t>
        </is>
      </c>
      <c r="G128" t="n">
        <v>4.4</v>
      </c>
      <c r="H128" t="n">
        <v>0</v>
      </c>
      <c r="I128" t="n">
        <v>0</v>
      </c>
      <c r="J128" t="n">
        <v>1</v>
      </c>
      <c r="K128" t="n">
        <v>0</v>
      </c>
      <c r="L128" t="n">
        <v>0</v>
      </c>
      <c r="M128" t="n">
        <v>0</v>
      </c>
      <c r="N128" t="n">
        <v>0</v>
      </c>
      <c r="O128" t="n">
        <v>1</v>
      </c>
      <c r="P128" t="n">
        <v>0</v>
      </c>
      <c r="Q128" t="n">
        <v>1</v>
      </c>
      <c r="R128" s="2" t="inlineStr">
        <is>
          <t>Svinrot</t>
        </is>
      </c>
      <c r="S128">
        <f>HYPERLINK("https://klasma.github.io/Logging_0980/artfynd/A 12379-2024 artfynd.xlsx", "A 12379-2024")</f>
        <v/>
      </c>
      <c r="T128">
        <f>HYPERLINK("https://klasma.github.io/Logging_0980/kartor/A 12379-2024 karta.png", "A 12379-2024")</f>
        <v/>
      </c>
      <c r="V128">
        <f>HYPERLINK("https://klasma.github.io/Logging_0980/klagomål/A 12379-2024 FSC-klagomål.docx", "A 12379-2024")</f>
        <v/>
      </c>
      <c r="W128">
        <f>HYPERLINK("https://klasma.github.io/Logging_0980/klagomålsmail/A 12379-2024 FSC-klagomål mail.docx", "A 12379-2024")</f>
        <v/>
      </c>
      <c r="X128">
        <f>HYPERLINK("https://klasma.github.io/Logging_0980/tillsyn/A 12379-2024 tillsynsbegäran.docx", "A 12379-2024")</f>
        <v/>
      </c>
      <c r="Y128">
        <f>HYPERLINK("https://klasma.github.io/Logging_0980/tillsynsmail/A 12379-2024 tillsynsbegäran mail.docx", "A 12379-2024")</f>
        <v/>
      </c>
    </row>
    <row r="129" ht="15" customHeight="1">
      <c r="A129" t="inlineStr">
        <is>
          <t>A 44304-2021</t>
        </is>
      </c>
      <c r="B129" s="1" t="n">
        <v>44434</v>
      </c>
      <c r="C129" s="1" t="n">
        <v>46181</v>
      </c>
      <c r="D129" t="inlineStr">
        <is>
          <t>GOTLANDS LÄN</t>
        </is>
      </c>
      <c r="E129" t="inlineStr">
        <is>
          <t>GOTLAND</t>
        </is>
      </c>
      <c r="G129" t="n">
        <v>5.8</v>
      </c>
      <c r="H129" t="n">
        <v>0</v>
      </c>
      <c r="I129" t="n">
        <v>0</v>
      </c>
      <c r="J129" t="n">
        <v>1</v>
      </c>
      <c r="K129" t="n">
        <v>0</v>
      </c>
      <c r="L129" t="n">
        <v>0</v>
      </c>
      <c r="M129" t="n">
        <v>0</v>
      </c>
      <c r="N129" t="n">
        <v>0</v>
      </c>
      <c r="O129" t="n">
        <v>1</v>
      </c>
      <c r="P129" t="n">
        <v>0</v>
      </c>
      <c r="Q129" t="n">
        <v>1</v>
      </c>
      <c r="R129" s="2" t="inlineStr">
        <is>
          <t>Svinrot</t>
        </is>
      </c>
      <c r="S129">
        <f>HYPERLINK("https://klasma.github.io/Logging_0980/artfynd/A 44304-2021 artfynd.xlsx", "A 44304-2021")</f>
        <v/>
      </c>
      <c r="T129">
        <f>HYPERLINK("https://klasma.github.io/Logging_0980/kartor/A 44304-2021 karta.png", "A 44304-2021")</f>
        <v/>
      </c>
      <c r="V129">
        <f>HYPERLINK("https://klasma.github.io/Logging_0980/klagomål/A 44304-2021 FSC-klagomål.docx", "A 44304-2021")</f>
        <v/>
      </c>
      <c r="W129">
        <f>HYPERLINK("https://klasma.github.io/Logging_0980/klagomålsmail/A 44304-2021 FSC-klagomål mail.docx", "A 44304-2021")</f>
        <v/>
      </c>
      <c r="X129">
        <f>HYPERLINK("https://klasma.github.io/Logging_0980/tillsyn/A 44304-2021 tillsynsbegäran.docx", "A 44304-2021")</f>
        <v/>
      </c>
      <c r="Y129">
        <f>HYPERLINK("https://klasma.github.io/Logging_0980/tillsynsmail/A 44304-2021 tillsynsbegäran mail.docx", "A 44304-2021")</f>
        <v/>
      </c>
    </row>
    <row r="130" ht="15" customHeight="1">
      <c r="A130" t="inlineStr">
        <is>
          <t>A 25977-2024</t>
        </is>
      </c>
      <c r="B130" s="1" t="n">
        <v>45467.69356481481</v>
      </c>
      <c r="C130" s="1" t="n">
        <v>46181</v>
      </c>
      <c r="D130" t="inlineStr">
        <is>
          <t>GOTLANDS LÄN</t>
        </is>
      </c>
      <c r="E130" t="inlineStr">
        <is>
          <t>GOTLAND</t>
        </is>
      </c>
      <c r="G130" t="n">
        <v>3</v>
      </c>
      <c r="H130" t="n">
        <v>1</v>
      </c>
      <c r="I130" t="n">
        <v>0</v>
      </c>
      <c r="J130" t="n">
        <v>0</v>
      </c>
      <c r="K130" t="n">
        <v>0</v>
      </c>
      <c r="L130" t="n">
        <v>0</v>
      </c>
      <c r="M130" t="n">
        <v>0</v>
      </c>
      <c r="N130" t="n">
        <v>0</v>
      </c>
      <c r="O130" t="n">
        <v>0</v>
      </c>
      <c r="P130" t="n">
        <v>0</v>
      </c>
      <c r="Q130" t="n">
        <v>1</v>
      </c>
      <c r="R130" s="2" t="inlineStr">
        <is>
          <t>Nattviol</t>
        </is>
      </c>
      <c r="S130">
        <f>HYPERLINK("https://klasma.github.io/Logging_0980/artfynd/A 25977-2024 artfynd.xlsx", "A 25977-2024")</f>
        <v/>
      </c>
      <c r="T130">
        <f>HYPERLINK("https://klasma.github.io/Logging_0980/kartor/A 25977-2024 karta.png", "A 25977-2024")</f>
        <v/>
      </c>
      <c r="V130">
        <f>HYPERLINK("https://klasma.github.io/Logging_0980/klagomål/A 25977-2024 FSC-klagomål.docx", "A 25977-2024")</f>
        <v/>
      </c>
      <c r="W130">
        <f>HYPERLINK("https://klasma.github.io/Logging_0980/klagomålsmail/A 25977-2024 FSC-klagomål mail.docx", "A 25977-2024")</f>
        <v/>
      </c>
      <c r="X130">
        <f>HYPERLINK("https://klasma.github.io/Logging_0980/tillsyn/A 25977-2024 tillsynsbegäran.docx", "A 25977-2024")</f>
        <v/>
      </c>
      <c r="Y130">
        <f>HYPERLINK("https://klasma.github.io/Logging_0980/tillsynsmail/A 25977-2024 tillsynsbegäran mail.docx", "A 25977-2024")</f>
        <v/>
      </c>
    </row>
    <row r="131" ht="15" customHeight="1">
      <c r="A131" t="inlineStr">
        <is>
          <t>A 65927-2021</t>
        </is>
      </c>
      <c r="B131" s="1" t="n">
        <v>44516</v>
      </c>
      <c r="C131" s="1" t="n">
        <v>46181</v>
      </c>
      <c r="D131" t="inlineStr">
        <is>
          <t>GOTLANDS LÄN</t>
        </is>
      </c>
      <c r="E131" t="inlineStr">
        <is>
          <t>GOTLAND</t>
        </is>
      </c>
      <c r="G131" t="n">
        <v>3.1</v>
      </c>
      <c r="H131" t="n">
        <v>1</v>
      </c>
      <c r="I131" t="n">
        <v>0</v>
      </c>
      <c r="J131" t="n">
        <v>0</v>
      </c>
      <c r="K131" t="n">
        <v>1</v>
      </c>
      <c r="L131" t="n">
        <v>0</v>
      </c>
      <c r="M131" t="n">
        <v>0</v>
      </c>
      <c r="N131" t="n">
        <v>0</v>
      </c>
      <c r="O131" t="n">
        <v>1</v>
      </c>
      <c r="P131" t="n">
        <v>1</v>
      </c>
      <c r="Q131" t="n">
        <v>1</v>
      </c>
      <c r="R131" s="2" t="inlineStr">
        <is>
          <t>Grenigt kungsljus</t>
        </is>
      </c>
      <c r="S131">
        <f>HYPERLINK("https://klasma.github.io/Logging_0980/artfynd/A 65927-2021 artfynd.xlsx", "A 65927-2021")</f>
        <v/>
      </c>
      <c r="T131">
        <f>HYPERLINK("https://klasma.github.io/Logging_0980/kartor/A 65927-2021 karta.png", "A 65927-2021")</f>
        <v/>
      </c>
      <c r="V131">
        <f>HYPERLINK("https://klasma.github.io/Logging_0980/klagomål/A 65927-2021 FSC-klagomål.docx", "A 65927-2021")</f>
        <v/>
      </c>
      <c r="W131">
        <f>HYPERLINK("https://klasma.github.io/Logging_0980/klagomålsmail/A 65927-2021 FSC-klagomål mail.docx", "A 65927-2021")</f>
        <v/>
      </c>
      <c r="X131">
        <f>HYPERLINK("https://klasma.github.io/Logging_0980/tillsyn/A 65927-2021 tillsynsbegäran.docx", "A 65927-2021")</f>
        <v/>
      </c>
      <c r="Y131">
        <f>HYPERLINK("https://klasma.github.io/Logging_0980/tillsynsmail/A 65927-2021 tillsynsbegäran mail.docx", "A 65927-2021")</f>
        <v/>
      </c>
    </row>
    <row r="132" ht="15" customHeight="1">
      <c r="A132" t="inlineStr">
        <is>
          <t>A 61796-2022</t>
        </is>
      </c>
      <c r="B132" s="1" t="n">
        <v>44917</v>
      </c>
      <c r="C132" s="1" t="n">
        <v>46181</v>
      </c>
      <c r="D132" t="inlineStr">
        <is>
          <t>GOTLANDS LÄN</t>
        </is>
      </c>
      <c r="E132" t="inlineStr">
        <is>
          <t>GOTLAND</t>
        </is>
      </c>
      <c r="G132" t="n">
        <v>1.5</v>
      </c>
      <c r="H132" t="n">
        <v>1</v>
      </c>
      <c r="I132" t="n">
        <v>0</v>
      </c>
      <c r="J132" t="n">
        <v>0</v>
      </c>
      <c r="K132" t="n">
        <v>0</v>
      </c>
      <c r="L132" t="n">
        <v>0</v>
      </c>
      <c r="M132" t="n">
        <v>0</v>
      </c>
      <c r="N132" t="n">
        <v>0</v>
      </c>
      <c r="O132" t="n">
        <v>0</v>
      </c>
      <c r="P132" t="n">
        <v>0</v>
      </c>
      <c r="Q132" t="n">
        <v>1</v>
      </c>
      <c r="R132" s="2" t="inlineStr">
        <is>
          <t>Skogsduva</t>
        </is>
      </c>
      <c r="S132">
        <f>HYPERLINK("https://klasma.github.io/Logging_0980/artfynd/A 61796-2022 artfynd.xlsx", "A 61796-2022")</f>
        <v/>
      </c>
      <c r="T132">
        <f>HYPERLINK("https://klasma.github.io/Logging_0980/kartor/A 61796-2022 karta.png", "A 61796-2022")</f>
        <v/>
      </c>
      <c r="V132">
        <f>HYPERLINK("https://klasma.github.io/Logging_0980/klagomål/A 61796-2022 FSC-klagomål.docx", "A 61796-2022")</f>
        <v/>
      </c>
      <c r="W132">
        <f>HYPERLINK("https://klasma.github.io/Logging_0980/klagomålsmail/A 61796-2022 FSC-klagomål mail.docx", "A 61796-2022")</f>
        <v/>
      </c>
      <c r="X132">
        <f>HYPERLINK("https://klasma.github.io/Logging_0980/tillsyn/A 61796-2022 tillsynsbegäran.docx", "A 61796-2022")</f>
        <v/>
      </c>
      <c r="Y132">
        <f>HYPERLINK("https://klasma.github.io/Logging_0980/tillsynsmail/A 61796-2022 tillsynsbegäran mail.docx", "A 61796-2022")</f>
        <v/>
      </c>
      <c r="Z132">
        <f>HYPERLINK("https://klasma.github.io/Logging_0980/fåglar/A 61796-2022 prioriterade fågelarter.docx", "A 61796-2022")</f>
        <v/>
      </c>
    </row>
    <row r="133" ht="15" customHeight="1">
      <c r="A133" t="inlineStr">
        <is>
          <t>A 6739-2025</t>
        </is>
      </c>
      <c r="B133" s="1" t="n">
        <v>45700</v>
      </c>
      <c r="C133" s="1" t="n">
        <v>46181</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35467-2021</t>
        </is>
      </c>
      <c r="B134" s="1" t="n">
        <v>44385</v>
      </c>
      <c r="C134" s="1" t="n">
        <v>46181</v>
      </c>
      <c r="D134" t="inlineStr">
        <is>
          <t>GOTLANDS LÄN</t>
        </is>
      </c>
      <c r="E134" t="inlineStr">
        <is>
          <t>GOTLAND</t>
        </is>
      </c>
      <c r="G134" t="n">
        <v>12.7</v>
      </c>
      <c r="H134" t="n">
        <v>0</v>
      </c>
      <c r="I134" t="n">
        <v>0</v>
      </c>
      <c r="J134" t="n">
        <v>1</v>
      </c>
      <c r="K134" t="n">
        <v>0</v>
      </c>
      <c r="L134" t="n">
        <v>0</v>
      </c>
      <c r="M134" t="n">
        <v>0</v>
      </c>
      <c r="N134" t="n">
        <v>0</v>
      </c>
      <c r="O134" t="n">
        <v>1</v>
      </c>
      <c r="P134" t="n">
        <v>0</v>
      </c>
      <c r="Q134" t="n">
        <v>1</v>
      </c>
      <c r="R134" s="2" t="inlineStr">
        <is>
          <t>Loppstarr</t>
        </is>
      </c>
      <c r="S134">
        <f>HYPERLINK("https://klasma.github.io/Logging_0980/artfynd/A 35467-2021 artfynd.xlsx", "A 35467-2021")</f>
        <v/>
      </c>
      <c r="T134">
        <f>HYPERLINK("https://klasma.github.io/Logging_0980/kartor/A 35467-2021 karta.png", "A 35467-2021")</f>
        <v/>
      </c>
      <c r="V134">
        <f>HYPERLINK("https://klasma.github.io/Logging_0980/klagomål/A 35467-2021 FSC-klagomål.docx", "A 35467-2021")</f>
        <v/>
      </c>
      <c r="W134">
        <f>HYPERLINK("https://klasma.github.io/Logging_0980/klagomålsmail/A 35467-2021 FSC-klagomål mail.docx", "A 35467-2021")</f>
        <v/>
      </c>
      <c r="X134">
        <f>HYPERLINK("https://klasma.github.io/Logging_0980/tillsyn/A 35467-2021 tillsynsbegäran.docx", "A 35467-2021")</f>
        <v/>
      </c>
      <c r="Y134">
        <f>HYPERLINK("https://klasma.github.io/Logging_0980/tillsynsmail/A 35467-2021 tillsynsbegäran mail.docx", "A 35467-2021")</f>
        <v/>
      </c>
    </row>
    <row r="135" ht="15" customHeight="1">
      <c r="A135" t="inlineStr">
        <is>
          <t>A 15637-2024</t>
        </is>
      </c>
      <c r="B135" s="1" t="n">
        <v>45403.6684837963</v>
      </c>
      <c r="C135" s="1" t="n">
        <v>46181</v>
      </c>
      <c r="D135" t="inlineStr">
        <is>
          <t>GOTLANDS LÄN</t>
        </is>
      </c>
      <c r="E135" t="inlineStr">
        <is>
          <t>GOTLAND</t>
        </is>
      </c>
      <c r="G135" t="n">
        <v>4.1</v>
      </c>
      <c r="H135" t="n">
        <v>1</v>
      </c>
      <c r="I135" t="n">
        <v>0</v>
      </c>
      <c r="J135" t="n">
        <v>0</v>
      </c>
      <c r="K135" t="n">
        <v>0</v>
      </c>
      <c r="L135" t="n">
        <v>0</v>
      </c>
      <c r="M135" t="n">
        <v>0</v>
      </c>
      <c r="N135" t="n">
        <v>0</v>
      </c>
      <c r="O135" t="n">
        <v>0</v>
      </c>
      <c r="P135" t="n">
        <v>0</v>
      </c>
      <c r="Q135" t="n">
        <v>1</v>
      </c>
      <c r="R135" s="2" t="inlineStr">
        <is>
          <t>Blåsippa</t>
        </is>
      </c>
      <c r="S135">
        <f>HYPERLINK("https://klasma.github.io/Logging_0980/artfynd/A 15637-2024 artfynd.xlsx", "A 15637-2024")</f>
        <v/>
      </c>
      <c r="T135">
        <f>HYPERLINK("https://klasma.github.io/Logging_0980/kartor/A 15637-2024 karta.png", "A 15637-2024")</f>
        <v/>
      </c>
      <c r="V135">
        <f>HYPERLINK("https://klasma.github.io/Logging_0980/klagomål/A 15637-2024 FSC-klagomål.docx", "A 15637-2024")</f>
        <v/>
      </c>
      <c r="W135">
        <f>HYPERLINK("https://klasma.github.io/Logging_0980/klagomålsmail/A 15637-2024 FSC-klagomål mail.docx", "A 15637-2024")</f>
        <v/>
      </c>
      <c r="X135">
        <f>HYPERLINK("https://klasma.github.io/Logging_0980/tillsyn/A 15637-2024 tillsynsbegäran.docx", "A 15637-2024")</f>
        <v/>
      </c>
      <c r="Y135">
        <f>HYPERLINK("https://klasma.github.io/Logging_0980/tillsynsmail/A 15637-2024 tillsynsbegäran mail.docx", "A 15637-2024")</f>
        <v/>
      </c>
    </row>
    <row r="136" ht="15" customHeight="1">
      <c r="A136" t="inlineStr">
        <is>
          <t>A 34141-2024</t>
        </is>
      </c>
      <c r="B136" s="1" t="n">
        <v>45524.36229166666</v>
      </c>
      <c r="C136" s="1" t="n">
        <v>46181</v>
      </c>
      <c r="D136" t="inlineStr">
        <is>
          <t>GOTLANDS LÄN</t>
        </is>
      </c>
      <c r="E136" t="inlineStr">
        <is>
          <t>GOTLAND</t>
        </is>
      </c>
      <c r="G136" t="n">
        <v>0.9</v>
      </c>
      <c r="H136" t="n">
        <v>0</v>
      </c>
      <c r="I136" t="n">
        <v>1</v>
      </c>
      <c r="J136" t="n">
        <v>0</v>
      </c>
      <c r="K136" t="n">
        <v>0</v>
      </c>
      <c r="L136" t="n">
        <v>0</v>
      </c>
      <c r="M136" t="n">
        <v>0</v>
      </c>
      <c r="N136" t="n">
        <v>0</v>
      </c>
      <c r="O136" t="n">
        <v>0</v>
      </c>
      <c r="P136" t="n">
        <v>0</v>
      </c>
      <c r="Q136" t="n">
        <v>1</v>
      </c>
      <c r="R136" s="2" t="inlineStr">
        <is>
          <t>Strävlosta</t>
        </is>
      </c>
      <c r="S136">
        <f>HYPERLINK("https://klasma.github.io/Logging_0980/artfynd/A 34141-2024 artfynd.xlsx", "A 34141-2024")</f>
        <v/>
      </c>
      <c r="T136">
        <f>HYPERLINK("https://klasma.github.io/Logging_0980/kartor/A 34141-2024 karta.png", "A 34141-2024")</f>
        <v/>
      </c>
      <c r="V136">
        <f>HYPERLINK("https://klasma.github.io/Logging_0980/klagomål/A 34141-2024 FSC-klagomål.docx", "A 34141-2024")</f>
        <v/>
      </c>
      <c r="W136">
        <f>HYPERLINK("https://klasma.github.io/Logging_0980/klagomålsmail/A 34141-2024 FSC-klagomål mail.docx", "A 34141-2024")</f>
        <v/>
      </c>
      <c r="X136">
        <f>HYPERLINK("https://klasma.github.io/Logging_0980/tillsyn/A 34141-2024 tillsynsbegäran.docx", "A 34141-2024")</f>
        <v/>
      </c>
      <c r="Y136">
        <f>HYPERLINK("https://klasma.github.io/Logging_0980/tillsynsmail/A 34141-2024 tillsynsbegäran mail.docx", "A 34141-2024")</f>
        <v/>
      </c>
    </row>
    <row r="137" ht="15" customHeight="1">
      <c r="A137" t="inlineStr">
        <is>
          <t>A 9862-2024</t>
        </is>
      </c>
      <c r="B137" s="1" t="n">
        <v>45363</v>
      </c>
      <c r="C137" s="1" t="n">
        <v>46181</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2476-2025</t>
        </is>
      </c>
      <c r="B138" s="1" t="n">
        <v>45673</v>
      </c>
      <c r="C138" s="1" t="n">
        <v>46181</v>
      </c>
      <c r="D138" t="inlineStr">
        <is>
          <t>GOTLANDS LÄN</t>
        </is>
      </c>
      <c r="E138" t="inlineStr">
        <is>
          <t>GOTLAND</t>
        </is>
      </c>
      <c r="G138" t="n">
        <v>3.1</v>
      </c>
      <c r="H138" t="n">
        <v>0</v>
      </c>
      <c r="I138" t="n">
        <v>1</v>
      </c>
      <c r="J138" t="n">
        <v>0</v>
      </c>
      <c r="K138" t="n">
        <v>0</v>
      </c>
      <c r="L138" t="n">
        <v>0</v>
      </c>
      <c r="M138" t="n">
        <v>0</v>
      </c>
      <c r="N138" t="n">
        <v>0</v>
      </c>
      <c r="O138" t="n">
        <v>0</v>
      </c>
      <c r="P138" t="n">
        <v>0</v>
      </c>
      <c r="Q138" t="n">
        <v>1</v>
      </c>
      <c r="R138" s="2" t="inlineStr">
        <is>
          <t>Kryddspindling</t>
        </is>
      </c>
      <c r="S138">
        <f>HYPERLINK("https://klasma.github.io/Logging_0980/artfynd/A 2476-2025 artfynd.xlsx", "A 2476-2025")</f>
        <v/>
      </c>
      <c r="T138">
        <f>HYPERLINK("https://klasma.github.io/Logging_0980/kartor/A 2476-2025 karta.png", "A 2476-2025")</f>
        <v/>
      </c>
      <c r="V138">
        <f>HYPERLINK("https://klasma.github.io/Logging_0980/klagomål/A 2476-2025 FSC-klagomål.docx", "A 2476-2025")</f>
        <v/>
      </c>
      <c r="W138">
        <f>HYPERLINK("https://klasma.github.io/Logging_0980/klagomålsmail/A 2476-2025 FSC-klagomål mail.docx", "A 2476-2025")</f>
        <v/>
      </c>
      <c r="X138">
        <f>HYPERLINK("https://klasma.github.io/Logging_0980/tillsyn/A 2476-2025 tillsynsbegäran.docx", "A 2476-2025")</f>
        <v/>
      </c>
      <c r="Y138">
        <f>HYPERLINK("https://klasma.github.io/Logging_0980/tillsynsmail/A 2476-2025 tillsynsbegäran mail.docx", "A 2476-2025")</f>
        <v/>
      </c>
    </row>
    <row r="139" ht="15" customHeight="1">
      <c r="A139" t="inlineStr">
        <is>
          <t>A 12924-2025</t>
        </is>
      </c>
      <c r="B139" s="1" t="n">
        <v>45734</v>
      </c>
      <c r="C139" s="1" t="n">
        <v>46181</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10995-2023</t>
        </is>
      </c>
      <c r="B140" s="1" t="n">
        <v>44986</v>
      </c>
      <c r="C140" s="1" t="n">
        <v>46181</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62552-2022</t>
        </is>
      </c>
      <c r="B141" s="1" t="n">
        <v>44924</v>
      </c>
      <c r="C141" s="1" t="n">
        <v>46181</v>
      </c>
      <c r="D141" t="inlineStr">
        <is>
          <t>GOTLANDS LÄN</t>
        </is>
      </c>
      <c r="E141" t="inlineStr">
        <is>
          <t>GOTLAND</t>
        </is>
      </c>
      <c r="G141" t="n">
        <v>1.6</v>
      </c>
      <c r="H141" t="n">
        <v>0</v>
      </c>
      <c r="I141" t="n">
        <v>0</v>
      </c>
      <c r="J141" t="n">
        <v>1</v>
      </c>
      <c r="K141" t="n">
        <v>0</v>
      </c>
      <c r="L141" t="n">
        <v>0</v>
      </c>
      <c r="M141" t="n">
        <v>0</v>
      </c>
      <c r="N141" t="n">
        <v>0</v>
      </c>
      <c r="O141" t="n">
        <v>1</v>
      </c>
      <c r="P141" t="n">
        <v>0</v>
      </c>
      <c r="Q141" t="n">
        <v>1</v>
      </c>
      <c r="R141" s="2" t="inlineStr">
        <is>
          <t>Äggspindling</t>
        </is>
      </c>
      <c r="S141">
        <f>HYPERLINK("https://klasma.github.io/Logging_0980/artfynd/A 62552-2022 artfynd.xlsx", "A 62552-2022")</f>
        <v/>
      </c>
      <c r="T141">
        <f>HYPERLINK("https://klasma.github.io/Logging_0980/kartor/A 62552-2022 karta.png", "A 62552-2022")</f>
        <v/>
      </c>
      <c r="V141">
        <f>HYPERLINK("https://klasma.github.io/Logging_0980/klagomål/A 62552-2022 FSC-klagomål.docx", "A 62552-2022")</f>
        <v/>
      </c>
      <c r="W141">
        <f>HYPERLINK("https://klasma.github.io/Logging_0980/klagomålsmail/A 62552-2022 FSC-klagomål mail.docx", "A 62552-2022")</f>
        <v/>
      </c>
      <c r="X141">
        <f>HYPERLINK("https://klasma.github.io/Logging_0980/tillsyn/A 62552-2022 tillsynsbegäran.docx", "A 62552-2022")</f>
        <v/>
      </c>
      <c r="Y141">
        <f>HYPERLINK("https://klasma.github.io/Logging_0980/tillsynsmail/A 62552-2022 tillsynsbegäran mail.docx", "A 62552-2022")</f>
        <v/>
      </c>
    </row>
    <row r="142" ht="15" customHeight="1">
      <c r="A142" t="inlineStr">
        <is>
          <t>A 11708-2026</t>
        </is>
      </c>
      <c r="B142" s="1" t="n">
        <v>46084</v>
      </c>
      <c r="C142" s="1" t="n">
        <v>46181</v>
      </c>
      <c r="D142" t="inlineStr">
        <is>
          <t>GOTLANDS LÄN</t>
        </is>
      </c>
      <c r="E142" t="inlineStr">
        <is>
          <t>GOTLAND</t>
        </is>
      </c>
      <c r="G142" t="n">
        <v>8.4</v>
      </c>
      <c r="H142" t="n">
        <v>1</v>
      </c>
      <c r="I142" t="n">
        <v>0</v>
      </c>
      <c r="J142" t="n">
        <v>1</v>
      </c>
      <c r="K142" t="n">
        <v>0</v>
      </c>
      <c r="L142" t="n">
        <v>0</v>
      </c>
      <c r="M142" t="n">
        <v>0</v>
      </c>
      <c r="N142" t="n">
        <v>0</v>
      </c>
      <c r="O142" t="n">
        <v>1</v>
      </c>
      <c r="P142" t="n">
        <v>0</v>
      </c>
      <c r="Q142" t="n">
        <v>1</v>
      </c>
      <c r="R142" s="2" t="inlineStr">
        <is>
          <t>Bredarun</t>
        </is>
      </c>
      <c r="S142">
        <f>HYPERLINK("https://klasma.github.io/Logging_0980/artfynd/A 11708-2026 artfynd.xlsx", "A 11708-2026")</f>
        <v/>
      </c>
      <c r="T142">
        <f>HYPERLINK("https://klasma.github.io/Logging_0980/kartor/A 11708-2026 karta.png", "A 11708-2026")</f>
        <v/>
      </c>
      <c r="V142">
        <f>HYPERLINK("https://klasma.github.io/Logging_0980/klagomål/A 11708-2026 FSC-klagomål.docx", "A 11708-2026")</f>
        <v/>
      </c>
      <c r="W142">
        <f>HYPERLINK("https://klasma.github.io/Logging_0980/klagomålsmail/A 11708-2026 FSC-klagomål mail.docx", "A 11708-2026")</f>
        <v/>
      </c>
      <c r="X142">
        <f>HYPERLINK("https://klasma.github.io/Logging_0980/tillsyn/A 11708-2026 tillsynsbegäran.docx", "A 11708-2026")</f>
        <v/>
      </c>
      <c r="Y142">
        <f>HYPERLINK("https://klasma.github.io/Logging_0980/tillsynsmail/A 11708-2026 tillsynsbegäran mail.docx", "A 11708-2026")</f>
        <v/>
      </c>
    </row>
    <row r="143" ht="15" customHeight="1">
      <c r="A143" t="inlineStr">
        <is>
          <t>A 44088-2022</t>
        </is>
      </c>
      <c r="B143" s="1" t="n">
        <v>44839</v>
      </c>
      <c r="C143" s="1" t="n">
        <v>46181</v>
      </c>
      <c r="D143" t="inlineStr">
        <is>
          <t>GOTLANDS LÄN</t>
        </is>
      </c>
      <c r="E143" t="inlineStr">
        <is>
          <t>GOTLAND</t>
        </is>
      </c>
      <c r="G143" t="n">
        <v>1.5</v>
      </c>
      <c r="H143" t="n">
        <v>0</v>
      </c>
      <c r="I143" t="n">
        <v>1</v>
      </c>
      <c r="J143" t="n">
        <v>0</v>
      </c>
      <c r="K143" t="n">
        <v>0</v>
      </c>
      <c r="L143" t="n">
        <v>0</v>
      </c>
      <c r="M143" t="n">
        <v>0</v>
      </c>
      <c r="N143" t="n">
        <v>0</v>
      </c>
      <c r="O143" t="n">
        <v>0</v>
      </c>
      <c r="P143" t="n">
        <v>0</v>
      </c>
      <c r="Q143" t="n">
        <v>1</v>
      </c>
      <c r="R143" s="2" t="inlineStr">
        <is>
          <t>Strävlosta</t>
        </is>
      </c>
      <c r="S143">
        <f>HYPERLINK("https://klasma.github.io/Logging_0980/artfynd/A 44088-2022 artfynd.xlsx", "A 44088-2022")</f>
        <v/>
      </c>
      <c r="T143">
        <f>HYPERLINK("https://klasma.github.io/Logging_0980/kartor/A 44088-2022 karta.png", "A 44088-2022")</f>
        <v/>
      </c>
      <c r="V143">
        <f>HYPERLINK("https://klasma.github.io/Logging_0980/klagomål/A 44088-2022 FSC-klagomål.docx", "A 44088-2022")</f>
        <v/>
      </c>
      <c r="W143">
        <f>HYPERLINK("https://klasma.github.io/Logging_0980/klagomålsmail/A 44088-2022 FSC-klagomål mail.docx", "A 44088-2022")</f>
        <v/>
      </c>
      <c r="X143">
        <f>HYPERLINK("https://klasma.github.io/Logging_0980/tillsyn/A 44088-2022 tillsynsbegäran.docx", "A 44088-2022")</f>
        <v/>
      </c>
      <c r="Y143">
        <f>HYPERLINK("https://klasma.github.io/Logging_0980/tillsynsmail/A 44088-2022 tillsynsbegäran mail.docx", "A 44088-2022")</f>
        <v/>
      </c>
    </row>
    <row r="144" ht="15" customHeight="1">
      <c r="A144" t="inlineStr">
        <is>
          <t>A 44308-2021</t>
        </is>
      </c>
      <c r="B144" s="1" t="n">
        <v>44434</v>
      </c>
      <c r="C144" s="1" t="n">
        <v>46181</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13482-2026</t>
        </is>
      </c>
      <c r="B145" s="1" t="n">
        <v>46094</v>
      </c>
      <c r="C145" s="1" t="n">
        <v>46181</v>
      </c>
      <c r="D145" t="inlineStr">
        <is>
          <t>GOTLANDS LÄN</t>
        </is>
      </c>
      <c r="E145" t="inlineStr">
        <is>
          <t>GOTLAND</t>
        </is>
      </c>
      <c r="G145" t="n">
        <v>1.7</v>
      </c>
      <c r="H145" t="n">
        <v>1</v>
      </c>
      <c r="I145" t="n">
        <v>0</v>
      </c>
      <c r="J145" t="n">
        <v>1</v>
      </c>
      <c r="K145" t="n">
        <v>0</v>
      </c>
      <c r="L145" t="n">
        <v>0</v>
      </c>
      <c r="M145" t="n">
        <v>0</v>
      </c>
      <c r="N145" t="n">
        <v>0</v>
      </c>
      <c r="O145" t="n">
        <v>1</v>
      </c>
      <c r="P145" t="n">
        <v>0</v>
      </c>
      <c r="Q145" t="n">
        <v>1</v>
      </c>
      <c r="R145" s="2" t="inlineStr">
        <is>
          <t>Spillkråka</t>
        </is>
      </c>
      <c r="S145">
        <f>HYPERLINK("https://klasma.github.io/Logging_0980/artfynd/A 13482-2026 artfynd.xlsx", "A 13482-2026")</f>
        <v/>
      </c>
      <c r="T145">
        <f>HYPERLINK("https://klasma.github.io/Logging_0980/kartor/A 13482-2026 karta.png", "A 13482-2026")</f>
        <v/>
      </c>
      <c r="V145">
        <f>HYPERLINK("https://klasma.github.io/Logging_0980/klagomål/A 13482-2026 FSC-klagomål.docx", "A 13482-2026")</f>
        <v/>
      </c>
      <c r="W145">
        <f>HYPERLINK("https://klasma.github.io/Logging_0980/klagomålsmail/A 13482-2026 FSC-klagomål mail.docx", "A 13482-2026")</f>
        <v/>
      </c>
      <c r="X145">
        <f>HYPERLINK("https://klasma.github.io/Logging_0980/tillsyn/A 13482-2026 tillsynsbegäran.docx", "A 13482-2026")</f>
        <v/>
      </c>
      <c r="Y145">
        <f>HYPERLINK("https://klasma.github.io/Logging_0980/tillsynsmail/A 13482-2026 tillsynsbegäran mail.docx", "A 13482-2026")</f>
        <v/>
      </c>
      <c r="Z145">
        <f>HYPERLINK("https://klasma.github.io/Logging_0980/fåglar/A 13482-2026 prioriterade fågelarter.docx", "A 13482-2026")</f>
        <v/>
      </c>
    </row>
    <row r="146" ht="15" customHeight="1">
      <c r="A146" t="inlineStr">
        <is>
          <t>A 447-2023</t>
        </is>
      </c>
      <c r="B146" s="1" t="n">
        <v>44929</v>
      </c>
      <c r="C146" s="1" t="n">
        <v>46181</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947-2023</t>
        </is>
      </c>
      <c r="B147" s="1" t="n">
        <v>44934</v>
      </c>
      <c r="C147" s="1" t="n">
        <v>46181</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46181</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46181</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46181</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27589-2023</t>
        </is>
      </c>
      <c r="B151" s="1" t="n">
        <v>45097</v>
      </c>
      <c r="C151" s="1" t="n">
        <v>46181</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1477-2024</t>
        </is>
      </c>
      <c r="B152" s="1" t="n">
        <v>45305.37987268518</v>
      </c>
      <c r="C152" s="1" t="n">
        <v>46181</v>
      </c>
      <c r="D152" t="inlineStr">
        <is>
          <t>GOTLANDS LÄN</t>
        </is>
      </c>
      <c r="E152" t="inlineStr">
        <is>
          <t>GOTLAND</t>
        </is>
      </c>
      <c r="G152" t="n">
        <v>6.9</v>
      </c>
      <c r="H152" t="n">
        <v>0</v>
      </c>
      <c r="I152" t="n">
        <v>0</v>
      </c>
      <c r="J152" t="n">
        <v>1</v>
      </c>
      <c r="K152" t="n">
        <v>0</v>
      </c>
      <c r="L152" t="n">
        <v>0</v>
      </c>
      <c r="M152" t="n">
        <v>0</v>
      </c>
      <c r="N152" t="n">
        <v>0</v>
      </c>
      <c r="O152" t="n">
        <v>1</v>
      </c>
      <c r="P152" t="n">
        <v>0</v>
      </c>
      <c r="Q152" t="n">
        <v>1</v>
      </c>
      <c r="R152" s="2" t="inlineStr">
        <is>
          <t>Igelkott</t>
        </is>
      </c>
      <c r="S152">
        <f>HYPERLINK("https://klasma.github.io/Logging_0980/artfynd/A 1477-2024 artfynd.xlsx", "A 1477-2024")</f>
        <v/>
      </c>
      <c r="T152">
        <f>HYPERLINK("https://klasma.github.io/Logging_0980/kartor/A 1477-2024 karta.png", "A 1477-2024")</f>
        <v/>
      </c>
      <c r="V152">
        <f>HYPERLINK("https://klasma.github.io/Logging_0980/klagomål/A 1477-2024 FSC-klagomål.docx", "A 1477-2024")</f>
        <v/>
      </c>
      <c r="W152">
        <f>HYPERLINK("https://klasma.github.io/Logging_0980/klagomålsmail/A 1477-2024 FSC-klagomål mail.docx", "A 1477-2024")</f>
        <v/>
      </c>
      <c r="X152">
        <f>HYPERLINK("https://klasma.github.io/Logging_0980/tillsyn/A 1477-2024 tillsynsbegäran.docx", "A 1477-2024")</f>
        <v/>
      </c>
      <c r="Y152">
        <f>HYPERLINK("https://klasma.github.io/Logging_0980/tillsynsmail/A 1477-2024 tillsynsbegäran mail.docx", "A 1477-2024")</f>
        <v/>
      </c>
    </row>
    <row r="153" ht="15" customHeight="1">
      <c r="A153" t="inlineStr">
        <is>
          <t>A 35574-2024</t>
        </is>
      </c>
      <c r="B153" s="1" t="n">
        <v>45531</v>
      </c>
      <c r="C153" s="1" t="n">
        <v>46181</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46181</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6303-2024</t>
        </is>
      </c>
      <c r="B155" s="1" t="n">
        <v>45338.35376157407</v>
      </c>
      <c r="C155" s="1" t="n">
        <v>46181</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22281-2026</t>
        </is>
      </c>
      <c r="B156" s="1" t="n">
        <v>46154</v>
      </c>
      <c r="C156" s="1" t="n">
        <v>46181</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34809-2024</t>
        </is>
      </c>
      <c r="B157" s="1" t="n">
        <v>45526</v>
      </c>
      <c r="C157" s="1" t="n">
        <v>46181</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61561-2023</t>
        </is>
      </c>
      <c r="B158" s="1" t="n">
        <v>45265</v>
      </c>
      <c r="C158" s="1" t="n">
        <v>46181</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17854-2026</t>
        </is>
      </c>
      <c r="B159" s="1" t="n">
        <v>46121</v>
      </c>
      <c r="C159" s="1" t="n">
        <v>46181</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46181</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22782-2023</t>
        </is>
      </c>
      <c r="B161" s="1" t="n">
        <v>45072</v>
      </c>
      <c r="C161" s="1" t="n">
        <v>46181</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22883-2024</t>
        </is>
      </c>
      <c r="B162" s="1" t="n">
        <v>45448.66368055555</v>
      </c>
      <c r="C162" s="1" t="n">
        <v>46181</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24245-2022</t>
        </is>
      </c>
      <c r="B163" s="1" t="n">
        <v>44725</v>
      </c>
      <c r="C163" s="1" t="n">
        <v>46181</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49847-2023</t>
        </is>
      </c>
      <c r="B164" s="1" t="n">
        <v>45212</v>
      </c>
      <c r="C164" s="1" t="n">
        <v>46181</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10013-2026</t>
        </is>
      </c>
      <c r="B165" s="1" t="n">
        <v>46073</v>
      </c>
      <c r="C165" s="1" t="n">
        <v>46181</v>
      </c>
      <c r="D165" t="inlineStr">
        <is>
          <t>GOTLANDS LÄN</t>
        </is>
      </c>
      <c r="E165" t="inlineStr">
        <is>
          <t>GOTLAND</t>
        </is>
      </c>
      <c r="G165" t="n">
        <v>10.5</v>
      </c>
      <c r="H165" t="n">
        <v>0</v>
      </c>
      <c r="I165" t="n">
        <v>0</v>
      </c>
      <c r="J165" t="n">
        <v>0</v>
      </c>
      <c r="K165" t="n">
        <v>1</v>
      </c>
      <c r="L165" t="n">
        <v>0</v>
      </c>
      <c r="M165" t="n">
        <v>0</v>
      </c>
      <c r="N165" t="n">
        <v>0</v>
      </c>
      <c r="O165" t="n">
        <v>1</v>
      </c>
      <c r="P165" t="n">
        <v>1</v>
      </c>
      <c r="Q165" t="n">
        <v>1</v>
      </c>
      <c r="R165" s="2" t="inlineStr">
        <is>
          <t>Skogskorn</t>
        </is>
      </c>
      <c r="S165">
        <f>HYPERLINK("https://klasma.github.io/Logging_0980/artfynd/A 10013-2026 artfynd.xlsx", "A 10013-2026")</f>
        <v/>
      </c>
      <c r="T165">
        <f>HYPERLINK("https://klasma.github.io/Logging_0980/kartor/A 10013-2026 karta.png", "A 10013-2026")</f>
        <v/>
      </c>
      <c r="V165">
        <f>HYPERLINK("https://klasma.github.io/Logging_0980/klagomål/A 10013-2026 FSC-klagomål.docx", "A 10013-2026")</f>
        <v/>
      </c>
      <c r="W165">
        <f>HYPERLINK("https://klasma.github.io/Logging_0980/klagomålsmail/A 10013-2026 FSC-klagomål mail.docx", "A 10013-2026")</f>
        <v/>
      </c>
      <c r="X165">
        <f>HYPERLINK("https://klasma.github.io/Logging_0980/tillsyn/A 10013-2026 tillsynsbegäran.docx", "A 10013-2026")</f>
        <v/>
      </c>
      <c r="Y165">
        <f>HYPERLINK("https://klasma.github.io/Logging_0980/tillsynsmail/A 10013-2026 tillsynsbegäran mail.docx", "A 10013-2026")</f>
        <v/>
      </c>
    </row>
    <row r="166" ht="15" customHeight="1">
      <c r="A166" t="inlineStr">
        <is>
          <t>A 46527-2023</t>
        </is>
      </c>
      <c r="B166" s="1" t="n">
        <v>45197</v>
      </c>
      <c r="C166" s="1" t="n">
        <v>46181</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46181</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37591-2023</t>
        </is>
      </c>
      <c r="B168" s="1" t="n">
        <v>45159</v>
      </c>
      <c r="C168" s="1" t="n">
        <v>46181</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10440-2024</t>
        </is>
      </c>
      <c r="B169" s="1" t="n">
        <v>45366.32818287037</v>
      </c>
      <c r="C169" s="1" t="n">
        <v>46181</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39812-2025</t>
        </is>
      </c>
      <c r="B170" s="1" t="n">
        <v>45891</v>
      </c>
      <c r="C170" s="1" t="n">
        <v>46181</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21466-2025</t>
        </is>
      </c>
      <c r="B171" s="1" t="n">
        <v>45782</v>
      </c>
      <c r="C171" s="1" t="n">
        <v>46181</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12324-2025</t>
        </is>
      </c>
      <c r="B172" s="1" t="n">
        <v>45730</v>
      </c>
      <c r="C172" s="1" t="n">
        <v>46181</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36313-2021</t>
        </is>
      </c>
      <c r="B173" s="1" t="n">
        <v>44390</v>
      </c>
      <c r="C173" s="1" t="n">
        <v>46181</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46181</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50892-2021</t>
        </is>
      </c>
      <c r="B175" s="1" t="n">
        <v>44459</v>
      </c>
      <c r="C175" s="1" t="n">
        <v>46181</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44108-2022</t>
        </is>
      </c>
      <c r="B176" s="1" t="n">
        <v>44839.38159722222</v>
      </c>
      <c r="C176" s="1" t="n">
        <v>46181</v>
      </c>
      <c r="D176" t="inlineStr">
        <is>
          <t>GOTLANDS LÄN</t>
        </is>
      </c>
      <c r="E176" t="inlineStr">
        <is>
          <t>GOTLAND</t>
        </is>
      </c>
      <c r="G176" t="n">
        <v>12.9</v>
      </c>
      <c r="H176" t="n">
        <v>0</v>
      </c>
      <c r="I176" t="n">
        <v>0</v>
      </c>
      <c r="J176" t="n">
        <v>0</v>
      </c>
      <c r="K176" t="n">
        <v>0</v>
      </c>
      <c r="L176" t="n">
        <v>0</v>
      </c>
      <c r="M176" t="n">
        <v>0</v>
      </c>
      <c r="N176" t="n">
        <v>0</v>
      </c>
      <c r="O176" t="n">
        <v>0</v>
      </c>
      <c r="P176" t="n">
        <v>0</v>
      </c>
      <c r="Q176" t="n">
        <v>0</v>
      </c>
      <c r="R176" s="2" t="inlineStr"/>
    </row>
    <row r="177" ht="15" customHeight="1">
      <c r="A177" t="inlineStr">
        <is>
          <t>A 16858-2022</t>
        </is>
      </c>
      <c r="B177" s="1" t="n">
        <v>44674.62</v>
      </c>
      <c r="C177" s="1" t="n">
        <v>46181</v>
      </c>
      <c r="D177" t="inlineStr">
        <is>
          <t>GOTLANDS LÄN</t>
        </is>
      </c>
      <c r="E177" t="inlineStr">
        <is>
          <t>GOTLAND</t>
        </is>
      </c>
      <c r="G177" t="n">
        <v>1.4</v>
      </c>
      <c r="H177" t="n">
        <v>0</v>
      </c>
      <c r="I177" t="n">
        <v>0</v>
      </c>
      <c r="J177" t="n">
        <v>0</v>
      </c>
      <c r="K177" t="n">
        <v>0</v>
      </c>
      <c r="L177" t="n">
        <v>0</v>
      </c>
      <c r="M177" t="n">
        <v>0</v>
      </c>
      <c r="N177" t="n">
        <v>0</v>
      </c>
      <c r="O177" t="n">
        <v>0</v>
      </c>
      <c r="P177" t="n">
        <v>0</v>
      </c>
      <c r="Q177" t="n">
        <v>0</v>
      </c>
      <c r="R177" s="2" t="inlineStr"/>
    </row>
    <row r="178" ht="15" customHeight="1">
      <c r="A178" t="inlineStr">
        <is>
          <t>A 24235-2022</t>
        </is>
      </c>
      <c r="B178" s="1" t="n">
        <v>44725</v>
      </c>
      <c r="C178" s="1" t="n">
        <v>46181</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32647-2021</t>
        </is>
      </c>
      <c r="B179" s="1" t="n">
        <v>44375</v>
      </c>
      <c r="C179" s="1" t="n">
        <v>46181</v>
      </c>
      <c r="D179" t="inlineStr">
        <is>
          <t>GOTLANDS LÄN</t>
        </is>
      </c>
      <c r="E179" t="inlineStr">
        <is>
          <t>GOTLAND</t>
        </is>
      </c>
      <c r="G179" t="n">
        <v>1.7</v>
      </c>
      <c r="H179" t="n">
        <v>0</v>
      </c>
      <c r="I179" t="n">
        <v>0</v>
      </c>
      <c r="J179" t="n">
        <v>0</v>
      </c>
      <c r="K179" t="n">
        <v>0</v>
      </c>
      <c r="L179" t="n">
        <v>0</v>
      </c>
      <c r="M179" t="n">
        <v>0</v>
      </c>
      <c r="N179" t="n">
        <v>0</v>
      </c>
      <c r="O179" t="n">
        <v>0</v>
      </c>
      <c r="P179" t="n">
        <v>0</v>
      </c>
      <c r="Q179" t="n">
        <v>0</v>
      </c>
      <c r="R179" s="2" t="inlineStr"/>
    </row>
    <row r="180" ht="15" customHeight="1">
      <c r="A180" t="inlineStr">
        <is>
          <t>A 39909-2021</t>
        </is>
      </c>
      <c r="B180" s="1" t="n">
        <v>44417.82444444444</v>
      </c>
      <c r="C180" s="1" t="n">
        <v>46181</v>
      </c>
      <c r="D180" t="inlineStr">
        <is>
          <t>GOTLANDS LÄN</t>
        </is>
      </c>
      <c r="E180" t="inlineStr">
        <is>
          <t>GOTLAND</t>
        </is>
      </c>
      <c r="G180" t="n">
        <v>1.1</v>
      </c>
      <c r="H180" t="n">
        <v>0</v>
      </c>
      <c r="I180" t="n">
        <v>0</v>
      </c>
      <c r="J180" t="n">
        <v>0</v>
      </c>
      <c r="K180" t="n">
        <v>0</v>
      </c>
      <c r="L180" t="n">
        <v>0</v>
      </c>
      <c r="M180" t="n">
        <v>0</v>
      </c>
      <c r="N180" t="n">
        <v>0</v>
      </c>
      <c r="O180" t="n">
        <v>0</v>
      </c>
      <c r="P180" t="n">
        <v>0</v>
      </c>
      <c r="Q180" t="n">
        <v>0</v>
      </c>
      <c r="R180" s="2" t="inlineStr"/>
    </row>
    <row r="181" ht="15" customHeight="1">
      <c r="A181" t="inlineStr">
        <is>
          <t>A 22498-2022</t>
        </is>
      </c>
      <c r="B181" s="1" t="n">
        <v>44713.64682870371</v>
      </c>
      <c r="C181" s="1" t="n">
        <v>46181</v>
      </c>
      <c r="D181" t="inlineStr">
        <is>
          <t>GOTLANDS LÄN</t>
        </is>
      </c>
      <c r="E181" t="inlineStr">
        <is>
          <t>GOTLAND</t>
        </is>
      </c>
      <c r="G181" t="n">
        <v>0.7</v>
      </c>
      <c r="H181" t="n">
        <v>0</v>
      </c>
      <c r="I181" t="n">
        <v>0</v>
      </c>
      <c r="J181" t="n">
        <v>0</v>
      </c>
      <c r="K181" t="n">
        <v>0</v>
      </c>
      <c r="L181" t="n">
        <v>0</v>
      </c>
      <c r="M181" t="n">
        <v>0</v>
      </c>
      <c r="N181" t="n">
        <v>0</v>
      </c>
      <c r="O181" t="n">
        <v>0</v>
      </c>
      <c r="P181" t="n">
        <v>0</v>
      </c>
      <c r="Q181" t="n">
        <v>0</v>
      </c>
      <c r="R181" s="2" t="inlineStr"/>
    </row>
    <row r="182" ht="15" customHeight="1">
      <c r="A182" t="inlineStr">
        <is>
          <t>A 42688-2021</t>
        </is>
      </c>
      <c r="B182" s="1" t="n">
        <v>44428</v>
      </c>
      <c r="C182" s="1" t="n">
        <v>46181</v>
      </c>
      <c r="D182" t="inlineStr">
        <is>
          <t>GOTLANDS LÄN</t>
        </is>
      </c>
      <c r="E182" t="inlineStr">
        <is>
          <t>GOTLAND</t>
        </is>
      </c>
      <c r="G182" t="n">
        <v>0.6</v>
      </c>
      <c r="H182" t="n">
        <v>0</v>
      </c>
      <c r="I182" t="n">
        <v>0</v>
      </c>
      <c r="J182" t="n">
        <v>0</v>
      </c>
      <c r="K182" t="n">
        <v>0</v>
      </c>
      <c r="L182" t="n">
        <v>0</v>
      </c>
      <c r="M182" t="n">
        <v>0</v>
      </c>
      <c r="N182" t="n">
        <v>0</v>
      </c>
      <c r="O182" t="n">
        <v>0</v>
      </c>
      <c r="P182" t="n">
        <v>0</v>
      </c>
      <c r="Q182" t="n">
        <v>0</v>
      </c>
      <c r="R182" s="2" t="inlineStr"/>
    </row>
    <row r="183" ht="15" customHeight="1">
      <c r="A183" t="inlineStr">
        <is>
          <t>A 24123-2022</t>
        </is>
      </c>
      <c r="B183" s="1" t="n">
        <v>44725.4384375</v>
      </c>
      <c r="C183" s="1" t="n">
        <v>46181</v>
      </c>
      <c r="D183" t="inlineStr">
        <is>
          <t>GOTLANDS LÄN</t>
        </is>
      </c>
      <c r="E183" t="inlineStr">
        <is>
          <t>GOTLAND</t>
        </is>
      </c>
      <c r="G183" t="n">
        <v>6</v>
      </c>
      <c r="H183" t="n">
        <v>0</v>
      </c>
      <c r="I183" t="n">
        <v>0</v>
      </c>
      <c r="J183" t="n">
        <v>0</v>
      </c>
      <c r="K183" t="n">
        <v>0</v>
      </c>
      <c r="L183" t="n">
        <v>0</v>
      </c>
      <c r="M183" t="n">
        <v>0</v>
      </c>
      <c r="N183" t="n">
        <v>0</v>
      </c>
      <c r="O183" t="n">
        <v>0</v>
      </c>
      <c r="P183" t="n">
        <v>0</v>
      </c>
      <c r="Q183" t="n">
        <v>0</v>
      </c>
      <c r="R183" s="2" t="inlineStr"/>
    </row>
    <row r="184" ht="15" customHeight="1">
      <c r="A184" t="inlineStr">
        <is>
          <t>A 44207-2022</t>
        </is>
      </c>
      <c r="B184" s="1" t="n">
        <v>44839</v>
      </c>
      <c r="C184" s="1" t="n">
        <v>46181</v>
      </c>
      <c r="D184" t="inlineStr">
        <is>
          <t>GOTLANDS LÄN</t>
        </is>
      </c>
      <c r="E184" t="inlineStr">
        <is>
          <t>GOTLAND</t>
        </is>
      </c>
      <c r="G184" t="n">
        <v>3.8</v>
      </c>
      <c r="H184" t="n">
        <v>0</v>
      </c>
      <c r="I184" t="n">
        <v>0</v>
      </c>
      <c r="J184" t="n">
        <v>0</v>
      </c>
      <c r="K184" t="n">
        <v>0</v>
      </c>
      <c r="L184" t="n">
        <v>0</v>
      </c>
      <c r="M184" t="n">
        <v>0</v>
      </c>
      <c r="N184" t="n">
        <v>0</v>
      </c>
      <c r="O184" t="n">
        <v>0</v>
      </c>
      <c r="P184" t="n">
        <v>0</v>
      </c>
      <c r="Q184" t="n">
        <v>0</v>
      </c>
      <c r="R184" s="2" t="inlineStr"/>
    </row>
    <row r="185" ht="15" customHeight="1">
      <c r="A185" t="inlineStr">
        <is>
          <t>A 32691-2021</t>
        </is>
      </c>
      <c r="B185" s="1" t="n">
        <v>44375</v>
      </c>
      <c r="C185" s="1" t="n">
        <v>46181</v>
      </c>
      <c r="D185" t="inlineStr">
        <is>
          <t>GOTLANDS LÄN</t>
        </is>
      </c>
      <c r="E185" t="inlineStr">
        <is>
          <t>GOTLAND</t>
        </is>
      </c>
      <c r="G185" t="n">
        <v>0.8</v>
      </c>
      <c r="H185" t="n">
        <v>0</v>
      </c>
      <c r="I185" t="n">
        <v>0</v>
      </c>
      <c r="J185" t="n">
        <v>0</v>
      </c>
      <c r="K185" t="n">
        <v>0</v>
      </c>
      <c r="L185" t="n">
        <v>0</v>
      </c>
      <c r="M185" t="n">
        <v>0</v>
      </c>
      <c r="N185" t="n">
        <v>0</v>
      </c>
      <c r="O185" t="n">
        <v>0</v>
      </c>
      <c r="P185" t="n">
        <v>0</v>
      </c>
      <c r="Q185" t="n">
        <v>0</v>
      </c>
      <c r="R185" s="2" t="inlineStr"/>
    </row>
    <row r="186" ht="15" customHeight="1">
      <c r="A186" t="inlineStr">
        <is>
          <t>A 60607-2021</t>
        </is>
      </c>
      <c r="B186" s="1" t="n">
        <v>44496.58627314815</v>
      </c>
      <c r="C186" s="1" t="n">
        <v>46181</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47369-2021</t>
        </is>
      </c>
      <c r="B187" s="1" t="n">
        <v>44447</v>
      </c>
      <c r="C187" s="1" t="n">
        <v>46181</v>
      </c>
      <c r="D187" t="inlineStr">
        <is>
          <t>GOTLANDS LÄN</t>
        </is>
      </c>
      <c r="E187" t="inlineStr">
        <is>
          <t>GOTLAND</t>
        </is>
      </c>
      <c r="G187" t="n">
        <v>2.3</v>
      </c>
      <c r="H187" t="n">
        <v>0</v>
      </c>
      <c r="I187" t="n">
        <v>0</v>
      </c>
      <c r="J187" t="n">
        <v>0</v>
      </c>
      <c r="K187" t="n">
        <v>0</v>
      </c>
      <c r="L187" t="n">
        <v>0</v>
      </c>
      <c r="M187" t="n">
        <v>0</v>
      </c>
      <c r="N187" t="n">
        <v>0</v>
      </c>
      <c r="O187" t="n">
        <v>0</v>
      </c>
      <c r="P187" t="n">
        <v>0</v>
      </c>
      <c r="Q187" t="n">
        <v>0</v>
      </c>
      <c r="R187" s="2" t="inlineStr"/>
    </row>
    <row r="188" ht="15" customHeight="1">
      <c r="A188" t="inlineStr">
        <is>
          <t>A 11029-2022</t>
        </is>
      </c>
      <c r="B188" s="1" t="n">
        <v>44628</v>
      </c>
      <c r="C188" s="1" t="n">
        <v>46181</v>
      </c>
      <c r="D188" t="inlineStr">
        <is>
          <t>GOTLANDS LÄN</t>
        </is>
      </c>
      <c r="E188" t="inlineStr">
        <is>
          <t>GOTLAND</t>
        </is>
      </c>
      <c r="G188" t="n">
        <v>1.8</v>
      </c>
      <c r="H188" t="n">
        <v>0</v>
      </c>
      <c r="I188" t="n">
        <v>0</v>
      </c>
      <c r="J188" t="n">
        <v>0</v>
      </c>
      <c r="K188" t="n">
        <v>0</v>
      </c>
      <c r="L188" t="n">
        <v>0</v>
      </c>
      <c r="M188" t="n">
        <v>0</v>
      </c>
      <c r="N188" t="n">
        <v>0</v>
      </c>
      <c r="O188" t="n">
        <v>0</v>
      </c>
      <c r="P188" t="n">
        <v>0</v>
      </c>
      <c r="Q188" t="n">
        <v>0</v>
      </c>
      <c r="R188" s="2" t="inlineStr"/>
    </row>
    <row r="189" ht="15" customHeight="1">
      <c r="A189" t="inlineStr">
        <is>
          <t>A 31239-2022</t>
        </is>
      </c>
      <c r="B189" s="1" t="n">
        <v>44771.49383101852</v>
      </c>
      <c r="C189" s="1" t="n">
        <v>46181</v>
      </c>
      <c r="D189" t="inlineStr">
        <is>
          <t>GOTLANDS LÄN</t>
        </is>
      </c>
      <c r="E189" t="inlineStr">
        <is>
          <t>GOTLAND</t>
        </is>
      </c>
      <c r="G189" t="n">
        <v>1.9</v>
      </c>
      <c r="H189" t="n">
        <v>0</v>
      </c>
      <c r="I189" t="n">
        <v>0</v>
      </c>
      <c r="J189" t="n">
        <v>0</v>
      </c>
      <c r="K189" t="n">
        <v>0</v>
      </c>
      <c r="L189" t="n">
        <v>0</v>
      </c>
      <c r="M189" t="n">
        <v>0</v>
      </c>
      <c r="N189" t="n">
        <v>0</v>
      </c>
      <c r="O189" t="n">
        <v>0</v>
      </c>
      <c r="P189" t="n">
        <v>0</v>
      </c>
      <c r="Q189" t="n">
        <v>0</v>
      </c>
      <c r="R189" s="2" t="inlineStr"/>
    </row>
    <row r="190" ht="15" customHeight="1">
      <c r="A190" t="inlineStr">
        <is>
          <t>A 58224-2021</t>
        </is>
      </c>
      <c r="B190" s="1" t="n">
        <v>44487</v>
      </c>
      <c r="C190" s="1" t="n">
        <v>46181</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58815-2021</t>
        </is>
      </c>
      <c r="B191" s="1" t="n">
        <v>44489</v>
      </c>
      <c r="C191" s="1" t="n">
        <v>46181</v>
      </c>
      <c r="D191" t="inlineStr">
        <is>
          <t>GOTLANDS LÄN</t>
        </is>
      </c>
      <c r="E191" t="inlineStr">
        <is>
          <t>GOTLAND</t>
        </is>
      </c>
      <c r="G191" t="n">
        <v>4.1</v>
      </c>
      <c r="H191" t="n">
        <v>0</v>
      </c>
      <c r="I191" t="n">
        <v>0</v>
      </c>
      <c r="J191" t="n">
        <v>0</v>
      </c>
      <c r="K191" t="n">
        <v>0</v>
      </c>
      <c r="L191" t="n">
        <v>0</v>
      </c>
      <c r="M191" t="n">
        <v>0</v>
      </c>
      <c r="N191" t="n">
        <v>0</v>
      </c>
      <c r="O191" t="n">
        <v>0</v>
      </c>
      <c r="P191" t="n">
        <v>0</v>
      </c>
      <c r="Q191" t="n">
        <v>0</v>
      </c>
      <c r="R191" s="2" t="inlineStr"/>
    </row>
    <row r="192" ht="15" customHeight="1">
      <c r="A192" t="inlineStr">
        <is>
          <t>A 71010-2021</t>
        </is>
      </c>
      <c r="B192" s="1" t="n">
        <v>44538.63775462963</v>
      </c>
      <c r="C192" s="1" t="n">
        <v>46181</v>
      </c>
      <c r="D192" t="inlineStr">
        <is>
          <t>GOTLANDS LÄN</t>
        </is>
      </c>
      <c r="E192" t="inlineStr">
        <is>
          <t>GOTLAND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22495-2022</t>
        </is>
      </c>
      <c r="B193" s="1" t="n">
        <v>44713.6452199074</v>
      </c>
      <c r="C193" s="1" t="n">
        <v>46181</v>
      </c>
      <c r="D193" t="inlineStr">
        <is>
          <t>GOTLANDS LÄN</t>
        </is>
      </c>
      <c r="E193" t="inlineStr">
        <is>
          <t>GOTLAND</t>
        </is>
      </c>
      <c r="G193" t="n">
        <v>0.5</v>
      </c>
      <c r="H193" t="n">
        <v>0</v>
      </c>
      <c r="I193" t="n">
        <v>0</v>
      </c>
      <c r="J193" t="n">
        <v>0</v>
      </c>
      <c r="K193" t="n">
        <v>0</v>
      </c>
      <c r="L193" t="n">
        <v>0</v>
      </c>
      <c r="M193" t="n">
        <v>0</v>
      </c>
      <c r="N193" t="n">
        <v>0</v>
      </c>
      <c r="O193" t="n">
        <v>0</v>
      </c>
      <c r="P193" t="n">
        <v>0</v>
      </c>
      <c r="Q193" t="n">
        <v>0</v>
      </c>
      <c r="R193" s="2" t="inlineStr"/>
    </row>
    <row r="194" ht="15" customHeight="1">
      <c r="A194" t="inlineStr">
        <is>
          <t>A 44942-2022</t>
        </is>
      </c>
      <c r="B194" s="1" t="n">
        <v>44841</v>
      </c>
      <c r="C194" s="1" t="n">
        <v>46181</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53225-2022</t>
        </is>
      </c>
      <c r="B195" s="1" t="n">
        <v>44876</v>
      </c>
      <c r="C195" s="1" t="n">
        <v>46181</v>
      </c>
      <c r="D195" t="inlineStr">
        <is>
          <t>GOTLANDS LÄN</t>
        </is>
      </c>
      <c r="E195" t="inlineStr">
        <is>
          <t>GOTLAND</t>
        </is>
      </c>
      <c r="F195" t="inlineStr">
        <is>
          <t>Kyrkan</t>
        </is>
      </c>
      <c r="G195" t="n">
        <v>0.9</v>
      </c>
      <c r="H195" t="n">
        <v>0</v>
      </c>
      <c r="I195" t="n">
        <v>0</v>
      </c>
      <c r="J195" t="n">
        <v>0</v>
      </c>
      <c r="K195" t="n">
        <v>0</v>
      </c>
      <c r="L195" t="n">
        <v>0</v>
      </c>
      <c r="M195" t="n">
        <v>0</v>
      </c>
      <c r="N195" t="n">
        <v>0</v>
      </c>
      <c r="O195" t="n">
        <v>0</v>
      </c>
      <c r="P195" t="n">
        <v>0</v>
      </c>
      <c r="Q195" t="n">
        <v>0</v>
      </c>
      <c r="R195" s="2" t="inlineStr"/>
    </row>
    <row r="196" ht="15" customHeight="1">
      <c r="A196" t="inlineStr">
        <is>
          <t>A 30055-2021</t>
        </is>
      </c>
      <c r="B196" s="1" t="n">
        <v>44363</v>
      </c>
      <c r="C196" s="1" t="n">
        <v>46181</v>
      </c>
      <c r="D196" t="inlineStr">
        <is>
          <t>GOTLANDS LÄN</t>
        </is>
      </c>
      <c r="E196" t="inlineStr">
        <is>
          <t>GOTLAND</t>
        </is>
      </c>
      <c r="G196" t="n">
        <v>1.8</v>
      </c>
      <c r="H196" t="n">
        <v>0</v>
      </c>
      <c r="I196" t="n">
        <v>0</v>
      </c>
      <c r="J196" t="n">
        <v>0</v>
      </c>
      <c r="K196" t="n">
        <v>0</v>
      </c>
      <c r="L196" t="n">
        <v>0</v>
      </c>
      <c r="M196" t="n">
        <v>0</v>
      </c>
      <c r="N196" t="n">
        <v>0</v>
      </c>
      <c r="O196" t="n">
        <v>0</v>
      </c>
      <c r="P196" t="n">
        <v>0</v>
      </c>
      <c r="Q196" t="n">
        <v>0</v>
      </c>
      <c r="R196" s="2" t="inlineStr"/>
    </row>
    <row r="197" ht="15" customHeight="1">
      <c r="A197" t="inlineStr">
        <is>
          <t>A 65393-2021</t>
        </is>
      </c>
      <c r="B197" s="1" t="n">
        <v>44515</v>
      </c>
      <c r="C197" s="1" t="n">
        <v>46181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17354-2022</t>
        </is>
      </c>
      <c r="B198" s="1" t="n">
        <v>44678</v>
      </c>
      <c r="C198" s="1" t="n">
        <v>46181</v>
      </c>
      <c r="D198" t="inlineStr">
        <is>
          <t>GOTLANDS LÄN</t>
        </is>
      </c>
      <c r="E198" t="inlineStr">
        <is>
          <t>GOTLAND</t>
        </is>
      </c>
      <c r="G198" t="n">
        <v>7.1</v>
      </c>
      <c r="H198" t="n">
        <v>0</v>
      </c>
      <c r="I198" t="n">
        <v>0</v>
      </c>
      <c r="J198" t="n">
        <v>0</v>
      </c>
      <c r="K198" t="n">
        <v>0</v>
      </c>
      <c r="L198" t="n">
        <v>0</v>
      </c>
      <c r="M198" t="n">
        <v>0</v>
      </c>
      <c r="N198" t="n">
        <v>0</v>
      </c>
      <c r="O198" t="n">
        <v>0</v>
      </c>
      <c r="P198" t="n">
        <v>0</v>
      </c>
      <c r="Q198" t="n">
        <v>0</v>
      </c>
      <c r="R198" s="2" t="inlineStr"/>
    </row>
    <row r="199" ht="15" customHeight="1">
      <c r="A199" t="inlineStr">
        <is>
          <t>A 14413-2022</t>
        </is>
      </c>
      <c r="B199" s="1" t="n">
        <v>44652</v>
      </c>
      <c r="C199" s="1" t="n">
        <v>46181</v>
      </c>
      <c r="D199" t="inlineStr">
        <is>
          <t>GOTLANDS LÄN</t>
        </is>
      </c>
      <c r="E199" t="inlineStr">
        <is>
          <t>GOTLAND</t>
        </is>
      </c>
      <c r="G199" t="n">
        <v>3.1</v>
      </c>
      <c r="H199" t="n">
        <v>0</v>
      </c>
      <c r="I199" t="n">
        <v>0</v>
      </c>
      <c r="J199" t="n">
        <v>0</v>
      </c>
      <c r="K199" t="n">
        <v>0</v>
      </c>
      <c r="L199" t="n">
        <v>0</v>
      </c>
      <c r="M199" t="n">
        <v>0</v>
      </c>
      <c r="N199" t="n">
        <v>0</v>
      </c>
      <c r="O199" t="n">
        <v>0</v>
      </c>
      <c r="P199" t="n">
        <v>0</v>
      </c>
      <c r="Q199" t="n">
        <v>0</v>
      </c>
      <c r="R199" s="2" t="inlineStr"/>
    </row>
    <row r="200" ht="15" customHeight="1">
      <c r="A200" t="inlineStr">
        <is>
          <t>A 56951-2021</t>
        </is>
      </c>
      <c r="B200" s="1" t="n">
        <v>44482.37388888889</v>
      </c>
      <c r="C200" s="1" t="n">
        <v>46181</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13498-2022</t>
        </is>
      </c>
      <c r="B201" s="1" t="n">
        <v>44647.78866898148</v>
      </c>
      <c r="C201" s="1" t="n">
        <v>46181</v>
      </c>
      <c r="D201" t="inlineStr">
        <is>
          <t>GOTLANDS LÄN</t>
        </is>
      </c>
      <c r="E201" t="inlineStr">
        <is>
          <t>GOTLAND</t>
        </is>
      </c>
      <c r="G201" t="n">
        <v>1.2</v>
      </c>
      <c r="H201" t="n">
        <v>0</v>
      </c>
      <c r="I201" t="n">
        <v>0</v>
      </c>
      <c r="J201" t="n">
        <v>0</v>
      </c>
      <c r="K201" t="n">
        <v>0</v>
      </c>
      <c r="L201" t="n">
        <v>0</v>
      </c>
      <c r="M201" t="n">
        <v>0</v>
      </c>
      <c r="N201" t="n">
        <v>0</v>
      </c>
      <c r="O201" t="n">
        <v>0</v>
      </c>
      <c r="P201" t="n">
        <v>0</v>
      </c>
      <c r="Q201" t="n">
        <v>0</v>
      </c>
      <c r="R201" s="2" t="inlineStr"/>
    </row>
    <row r="202" ht="15" customHeight="1">
      <c r="A202" t="inlineStr">
        <is>
          <t>A 13500-2022</t>
        </is>
      </c>
      <c r="B202" s="1" t="n">
        <v>44647.79513888889</v>
      </c>
      <c r="C202" s="1" t="n">
        <v>46181</v>
      </c>
      <c r="D202" t="inlineStr">
        <is>
          <t>GOTLANDS LÄN</t>
        </is>
      </c>
      <c r="E202" t="inlineStr">
        <is>
          <t>GOTLAND</t>
        </is>
      </c>
      <c r="G202" t="n">
        <v>1.2</v>
      </c>
      <c r="H202" t="n">
        <v>0</v>
      </c>
      <c r="I202" t="n">
        <v>0</v>
      </c>
      <c r="J202" t="n">
        <v>0</v>
      </c>
      <c r="K202" t="n">
        <v>0</v>
      </c>
      <c r="L202" t="n">
        <v>0</v>
      </c>
      <c r="M202" t="n">
        <v>0</v>
      </c>
      <c r="N202" t="n">
        <v>0</v>
      </c>
      <c r="O202" t="n">
        <v>0</v>
      </c>
      <c r="P202" t="n">
        <v>0</v>
      </c>
      <c r="Q202" t="n">
        <v>0</v>
      </c>
      <c r="R202" s="2" t="inlineStr"/>
    </row>
    <row r="203" ht="15" customHeight="1">
      <c r="A203" t="inlineStr">
        <is>
          <t>A 57219-2021</t>
        </is>
      </c>
      <c r="B203" s="1" t="n">
        <v>44483</v>
      </c>
      <c r="C203" s="1" t="n">
        <v>46181</v>
      </c>
      <c r="D203" t="inlineStr">
        <is>
          <t>GOTLANDS LÄN</t>
        </is>
      </c>
      <c r="E203" t="inlineStr">
        <is>
          <t>GOTLAND</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46181</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32330-2024</t>
        </is>
      </c>
      <c r="B205" s="1" t="n">
        <v>45512</v>
      </c>
      <c r="C205" s="1" t="n">
        <v>46181</v>
      </c>
      <c r="D205" t="inlineStr">
        <is>
          <t>GOTLANDS LÄN</t>
        </is>
      </c>
      <c r="E205" t="inlineStr">
        <is>
          <t>GOTLAND</t>
        </is>
      </c>
      <c r="G205" t="n">
        <v>2.6</v>
      </c>
      <c r="H205" t="n">
        <v>0</v>
      </c>
      <c r="I205" t="n">
        <v>0</v>
      </c>
      <c r="J205" t="n">
        <v>0</v>
      </c>
      <c r="K205" t="n">
        <v>0</v>
      </c>
      <c r="L205" t="n">
        <v>0</v>
      </c>
      <c r="M205" t="n">
        <v>0</v>
      </c>
      <c r="N205" t="n">
        <v>0</v>
      </c>
      <c r="O205" t="n">
        <v>0</v>
      </c>
      <c r="P205" t="n">
        <v>0</v>
      </c>
      <c r="Q205" t="n">
        <v>0</v>
      </c>
      <c r="R205" s="2" t="inlineStr"/>
    </row>
    <row r="206" ht="15" customHeight="1">
      <c r="A206" t="inlineStr">
        <is>
          <t>A 5751-2024</t>
        </is>
      </c>
      <c r="B206" s="1" t="n">
        <v>45335.32702546296</v>
      </c>
      <c r="C206" s="1" t="n">
        <v>46181</v>
      </c>
      <c r="D206" t="inlineStr">
        <is>
          <t>GOTLANDS LÄN</t>
        </is>
      </c>
      <c r="E206" t="inlineStr">
        <is>
          <t>GOTLAND</t>
        </is>
      </c>
      <c r="G206" t="n">
        <v>4.2</v>
      </c>
      <c r="H206" t="n">
        <v>0</v>
      </c>
      <c r="I206" t="n">
        <v>0</v>
      </c>
      <c r="J206" t="n">
        <v>0</v>
      </c>
      <c r="K206" t="n">
        <v>0</v>
      </c>
      <c r="L206" t="n">
        <v>0</v>
      </c>
      <c r="M206" t="n">
        <v>0</v>
      </c>
      <c r="N206" t="n">
        <v>0</v>
      </c>
      <c r="O206" t="n">
        <v>0</v>
      </c>
      <c r="P206" t="n">
        <v>0</v>
      </c>
      <c r="Q206" t="n">
        <v>0</v>
      </c>
      <c r="R206" s="2" t="inlineStr"/>
    </row>
    <row r="207" ht="15" customHeight="1">
      <c r="A207" t="inlineStr">
        <is>
          <t>A 24966-2023</t>
        </is>
      </c>
      <c r="B207" s="1" t="n">
        <v>45085</v>
      </c>
      <c r="C207" s="1" t="n">
        <v>46181</v>
      </c>
      <c r="D207" t="inlineStr">
        <is>
          <t>GOTLANDS LÄN</t>
        </is>
      </c>
      <c r="E207" t="inlineStr">
        <is>
          <t>GOTLAND</t>
        </is>
      </c>
      <c r="G207" t="n">
        <v>7</v>
      </c>
      <c r="H207" t="n">
        <v>0</v>
      </c>
      <c r="I207" t="n">
        <v>0</v>
      </c>
      <c r="J207" t="n">
        <v>0</v>
      </c>
      <c r="K207" t="n">
        <v>0</v>
      </c>
      <c r="L207" t="n">
        <v>0</v>
      </c>
      <c r="M207" t="n">
        <v>0</v>
      </c>
      <c r="N207" t="n">
        <v>0</v>
      </c>
      <c r="O207" t="n">
        <v>0</v>
      </c>
      <c r="P207" t="n">
        <v>0</v>
      </c>
      <c r="Q207" t="n">
        <v>0</v>
      </c>
      <c r="R207" s="2" t="inlineStr"/>
    </row>
    <row r="208" ht="15" customHeight="1">
      <c r="A208" t="inlineStr">
        <is>
          <t>A 46189-2022</t>
        </is>
      </c>
      <c r="B208" s="1" t="n">
        <v>44847</v>
      </c>
      <c r="C208" s="1" t="n">
        <v>46181</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15595-2024</t>
        </is>
      </c>
      <c r="B209" s="1" t="n">
        <v>45401.81480324074</v>
      </c>
      <c r="C209" s="1" t="n">
        <v>46181</v>
      </c>
      <c r="D209" t="inlineStr">
        <is>
          <t>GOTLANDS LÄN</t>
        </is>
      </c>
      <c r="E209" t="inlineStr">
        <is>
          <t>GOTLAND</t>
        </is>
      </c>
      <c r="G209" t="n">
        <v>6.4</v>
      </c>
      <c r="H209" t="n">
        <v>0</v>
      </c>
      <c r="I209" t="n">
        <v>0</v>
      </c>
      <c r="J209" t="n">
        <v>0</v>
      </c>
      <c r="K209" t="n">
        <v>0</v>
      </c>
      <c r="L209" t="n">
        <v>0</v>
      </c>
      <c r="M209" t="n">
        <v>0</v>
      </c>
      <c r="N209" t="n">
        <v>0</v>
      </c>
      <c r="O209" t="n">
        <v>0</v>
      </c>
      <c r="P209" t="n">
        <v>0</v>
      </c>
      <c r="Q209" t="n">
        <v>0</v>
      </c>
      <c r="R209" s="2" t="inlineStr"/>
    </row>
    <row r="210" ht="15" customHeight="1">
      <c r="A210" t="inlineStr">
        <is>
          <t>A 22031-2024</t>
        </is>
      </c>
      <c r="B210" s="1" t="n">
        <v>45443.60075231481</v>
      </c>
      <c r="C210" s="1" t="n">
        <v>46181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49314-2024</t>
        </is>
      </c>
      <c r="B211" s="1" t="n">
        <v>45595.55893518519</v>
      </c>
      <c r="C211" s="1" t="n">
        <v>46181</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44919-2022</t>
        </is>
      </c>
      <c r="B212" s="1" t="n">
        <v>44841</v>
      </c>
      <c r="C212" s="1" t="n">
        <v>46181</v>
      </c>
      <c r="D212" t="inlineStr">
        <is>
          <t>GOTLANDS LÄN</t>
        </is>
      </c>
      <c r="E212" t="inlineStr">
        <is>
          <t>GOTLAND</t>
        </is>
      </c>
      <c r="G212" t="n">
        <v>2.2</v>
      </c>
      <c r="H212" t="n">
        <v>0</v>
      </c>
      <c r="I212" t="n">
        <v>0</v>
      </c>
      <c r="J212" t="n">
        <v>0</v>
      </c>
      <c r="K212" t="n">
        <v>0</v>
      </c>
      <c r="L212" t="n">
        <v>0</v>
      </c>
      <c r="M212" t="n">
        <v>0</v>
      </c>
      <c r="N212" t="n">
        <v>0</v>
      </c>
      <c r="O212" t="n">
        <v>0</v>
      </c>
      <c r="P212" t="n">
        <v>0</v>
      </c>
      <c r="Q212" t="n">
        <v>0</v>
      </c>
      <c r="R212" s="2" t="inlineStr"/>
    </row>
    <row r="213" ht="15" customHeight="1">
      <c r="A213" t="inlineStr">
        <is>
          <t>A 65901-2021</t>
        </is>
      </c>
      <c r="B213" s="1" t="n">
        <v>44516</v>
      </c>
      <c r="C213" s="1" t="n">
        <v>46181</v>
      </c>
      <c r="D213" t="inlineStr">
        <is>
          <t>GOTLANDS LÄN</t>
        </is>
      </c>
      <c r="E213" t="inlineStr">
        <is>
          <t>GOTLAND</t>
        </is>
      </c>
      <c r="G213" t="n">
        <v>4.9</v>
      </c>
      <c r="H213" t="n">
        <v>0</v>
      </c>
      <c r="I213" t="n">
        <v>0</v>
      </c>
      <c r="J213" t="n">
        <v>0</v>
      </c>
      <c r="K213" t="n">
        <v>0</v>
      </c>
      <c r="L213" t="n">
        <v>0</v>
      </c>
      <c r="M213" t="n">
        <v>0</v>
      </c>
      <c r="N213" t="n">
        <v>0</v>
      </c>
      <c r="O213" t="n">
        <v>0</v>
      </c>
      <c r="P213" t="n">
        <v>0</v>
      </c>
      <c r="Q213" t="n">
        <v>0</v>
      </c>
      <c r="R213" s="2" t="inlineStr"/>
    </row>
    <row r="214" ht="15" customHeight="1">
      <c r="A214" t="inlineStr">
        <is>
          <t>A 48503-2023</t>
        </is>
      </c>
      <c r="B214" s="1" t="n">
        <v>45207</v>
      </c>
      <c r="C214" s="1" t="n">
        <v>46181</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9947-2024</t>
        </is>
      </c>
      <c r="B215" s="1" t="n">
        <v>45363</v>
      </c>
      <c r="C215" s="1" t="n">
        <v>46181</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44649-2021</t>
        </is>
      </c>
      <c r="B216" s="1" t="n">
        <v>44437</v>
      </c>
      <c r="C216" s="1" t="n">
        <v>46181</v>
      </c>
      <c r="D216" t="inlineStr">
        <is>
          <t>GOTLANDS LÄN</t>
        </is>
      </c>
      <c r="E216" t="inlineStr">
        <is>
          <t>GOTLAND</t>
        </is>
      </c>
      <c r="G216" t="n">
        <v>8.1</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46181</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17682-2024</t>
        </is>
      </c>
      <c r="B218" s="1" t="n">
        <v>45418.42966435185</v>
      </c>
      <c r="C218" s="1" t="n">
        <v>46181</v>
      </c>
      <c r="D218" t="inlineStr">
        <is>
          <t>GOTLANDS LÄN</t>
        </is>
      </c>
      <c r="E218" t="inlineStr">
        <is>
          <t>GOTLAND</t>
        </is>
      </c>
      <c r="G218" t="n">
        <v>2.9</v>
      </c>
      <c r="H218" t="n">
        <v>0</v>
      </c>
      <c r="I218" t="n">
        <v>0</v>
      </c>
      <c r="J218" t="n">
        <v>0</v>
      </c>
      <c r="K218" t="n">
        <v>0</v>
      </c>
      <c r="L218" t="n">
        <v>0</v>
      </c>
      <c r="M218" t="n">
        <v>0</v>
      </c>
      <c r="N218" t="n">
        <v>0</v>
      </c>
      <c r="O218" t="n">
        <v>0</v>
      </c>
      <c r="P218" t="n">
        <v>0</v>
      </c>
      <c r="Q218" t="n">
        <v>0</v>
      </c>
      <c r="R218" s="2" t="inlineStr"/>
    </row>
    <row r="219" ht="15" customHeight="1">
      <c r="A219" t="inlineStr">
        <is>
          <t>A 57522-2022</t>
        </is>
      </c>
      <c r="B219" s="1" t="n">
        <v>44896</v>
      </c>
      <c r="C219" s="1" t="n">
        <v>46181</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6749-2025</t>
        </is>
      </c>
      <c r="B220" s="1" t="n">
        <v>45700</v>
      </c>
      <c r="C220" s="1" t="n">
        <v>46181</v>
      </c>
      <c r="D220" t="inlineStr">
        <is>
          <t>GOTLANDS LÄN</t>
        </is>
      </c>
      <c r="E220" t="inlineStr">
        <is>
          <t>GOTLAND</t>
        </is>
      </c>
      <c r="G220" t="n">
        <v>4.5</v>
      </c>
      <c r="H220" t="n">
        <v>0</v>
      </c>
      <c r="I220" t="n">
        <v>0</v>
      </c>
      <c r="J220" t="n">
        <v>0</v>
      </c>
      <c r="K220" t="n">
        <v>0</v>
      </c>
      <c r="L220" t="n">
        <v>0</v>
      </c>
      <c r="M220" t="n">
        <v>0</v>
      </c>
      <c r="N220" t="n">
        <v>0</v>
      </c>
      <c r="O220" t="n">
        <v>0</v>
      </c>
      <c r="P220" t="n">
        <v>0</v>
      </c>
      <c r="Q220" t="n">
        <v>0</v>
      </c>
      <c r="R220" s="2" t="inlineStr"/>
    </row>
    <row r="221" ht="15" customHeight="1">
      <c r="A221" t="inlineStr">
        <is>
          <t>A 20356-2022</t>
        </is>
      </c>
      <c r="B221" s="1" t="n">
        <v>44699</v>
      </c>
      <c r="C221" s="1" t="n">
        <v>46181</v>
      </c>
      <c r="D221" t="inlineStr">
        <is>
          <t>GOTLANDS LÄN</t>
        </is>
      </c>
      <c r="E221" t="inlineStr">
        <is>
          <t>GOTLAND</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36-2026</t>
        </is>
      </c>
      <c r="B222" s="1" t="n">
        <v>46024.38886574074</v>
      </c>
      <c r="C222" s="1" t="n">
        <v>46181</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63516-2023</t>
        </is>
      </c>
      <c r="B223" s="1" t="n">
        <v>45274</v>
      </c>
      <c r="C223" s="1" t="n">
        <v>46181</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23698-2025</t>
        </is>
      </c>
      <c r="B224" s="1" t="n">
        <v>45793</v>
      </c>
      <c r="C224" s="1" t="n">
        <v>46181</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30365-2024</t>
        </is>
      </c>
      <c r="B225" s="1" t="n">
        <v>45491.3716087963</v>
      </c>
      <c r="C225" s="1" t="n">
        <v>46181</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1681-2023</t>
        </is>
      </c>
      <c r="B226" s="1" t="n">
        <v>44938.39715277778</v>
      </c>
      <c r="C226" s="1" t="n">
        <v>46181</v>
      </c>
      <c r="D226" t="inlineStr">
        <is>
          <t>GOTLANDS LÄN</t>
        </is>
      </c>
      <c r="E226" t="inlineStr">
        <is>
          <t>GOTLAND</t>
        </is>
      </c>
      <c r="G226" t="n">
        <v>2.4</v>
      </c>
      <c r="H226" t="n">
        <v>0</v>
      </c>
      <c r="I226" t="n">
        <v>0</v>
      </c>
      <c r="J226" t="n">
        <v>0</v>
      </c>
      <c r="K226" t="n">
        <v>0</v>
      </c>
      <c r="L226" t="n">
        <v>0</v>
      </c>
      <c r="M226" t="n">
        <v>0</v>
      </c>
      <c r="N226" t="n">
        <v>0</v>
      </c>
      <c r="O226" t="n">
        <v>0</v>
      </c>
      <c r="P226" t="n">
        <v>0</v>
      </c>
      <c r="Q226" t="n">
        <v>0</v>
      </c>
      <c r="R226" s="2" t="inlineStr"/>
    </row>
    <row r="227" ht="15" customHeight="1">
      <c r="A227" t="inlineStr">
        <is>
          <t>A 6099-2024</t>
        </is>
      </c>
      <c r="B227" s="1" t="n">
        <v>45337</v>
      </c>
      <c r="C227" s="1" t="n">
        <v>46181</v>
      </c>
      <c r="D227" t="inlineStr">
        <is>
          <t>GOTLANDS LÄN</t>
        </is>
      </c>
      <c r="E227" t="inlineStr">
        <is>
          <t>GOTLAND</t>
        </is>
      </c>
      <c r="G227" t="n">
        <v>12.6</v>
      </c>
      <c r="H227" t="n">
        <v>0</v>
      </c>
      <c r="I227" t="n">
        <v>0</v>
      </c>
      <c r="J227" t="n">
        <v>0</v>
      </c>
      <c r="K227" t="n">
        <v>0</v>
      </c>
      <c r="L227" t="n">
        <v>0</v>
      </c>
      <c r="M227" t="n">
        <v>0</v>
      </c>
      <c r="N227" t="n">
        <v>0</v>
      </c>
      <c r="O227" t="n">
        <v>0</v>
      </c>
      <c r="P227" t="n">
        <v>0</v>
      </c>
      <c r="Q227" t="n">
        <v>0</v>
      </c>
      <c r="R227" s="2" t="inlineStr"/>
    </row>
    <row r="228" ht="15" customHeight="1">
      <c r="A228" t="inlineStr">
        <is>
          <t>A 1273-2023</t>
        </is>
      </c>
      <c r="B228" s="1" t="n">
        <v>44936</v>
      </c>
      <c r="C228" s="1" t="n">
        <v>46181</v>
      </c>
      <c r="D228" t="inlineStr">
        <is>
          <t>GOTLANDS LÄN</t>
        </is>
      </c>
      <c r="E228" t="inlineStr">
        <is>
          <t>GOTLAND</t>
        </is>
      </c>
      <c r="G228" t="n">
        <v>4.5</v>
      </c>
      <c r="H228" t="n">
        <v>0</v>
      </c>
      <c r="I228" t="n">
        <v>0</v>
      </c>
      <c r="J228" t="n">
        <v>0</v>
      </c>
      <c r="K228" t="n">
        <v>0</v>
      </c>
      <c r="L228" t="n">
        <v>0</v>
      </c>
      <c r="M228" t="n">
        <v>0</v>
      </c>
      <c r="N228" t="n">
        <v>0</v>
      </c>
      <c r="O228" t="n">
        <v>0</v>
      </c>
      <c r="P228" t="n">
        <v>0</v>
      </c>
      <c r="Q228" t="n">
        <v>0</v>
      </c>
      <c r="R228" s="2" t="inlineStr"/>
    </row>
    <row r="229" ht="15" customHeight="1">
      <c r="A229" t="inlineStr">
        <is>
          <t>A 18993-2025</t>
        </is>
      </c>
      <c r="B229" s="1" t="n">
        <v>45764</v>
      </c>
      <c r="C229" s="1" t="n">
        <v>46181</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58780-2024</t>
        </is>
      </c>
      <c r="B230" s="1" t="n">
        <v>45635.84113425926</v>
      </c>
      <c r="C230" s="1" t="n">
        <v>46181</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45692-2023</t>
        </is>
      </c>
      <c r="B231" s="1" t="n">
        <v>45195</v>
      </c>
      <c r="C231" s="1" t="n">
        <v>46181</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5462-2025</t>
        </is>
      </c>
      <c r="B232" s="1" t="n">
        <v>45693.29331018519</v>
      </c>
      <c r="C232" s="1" t="n">
        <v>46181</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45521.87988425926</v>
      </c>
      <c r="C233" s="1" t="n">
        <v>46181</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30135-2025</t>
        </is>
      </c>
      <c r="B234" s="1" t="n">
        <v>45826</v>
      </c>
      <c r="C234" s="1" t="n">
        <v>46181</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12599-2025</t>
        </is>
      </c>
      <c r="B235" s="1" t="n">
        <v>45733.29546296296</v>
      </c>
      <c r="C235" s="1" t="n">
        <v>46181</v>
      </c>
      <c r="D235" t="inlineStr">
        <is>
          <t>GOTLANDS LÄN</t>
        </is>
      </c>
      <c r="E235" t="inlineStr">
        <is>
          <t>GOTLAND</t>
        </is>
      </c>
      <c r="G235" t="n">
        <v>4.7</v>
      </c>
      <c r="H235" t="n">
        <v>0</v>
      </c>
      <c r="I235" t="n">
        <v>0</v>
      </c>
      <c r="J235" t="n">
        <v>0</v>
      </c>
      <c r="K235" t="n">
        <v>0</v>
      </c>
      <c r="L235" t="n">
        <v>0</v>
      </c>
      <c r="M235" t="n">
        <v>0</v>
      </c>
      <c r="N235" t="n">
        <v>0</v>
      </c>
      <c r="O235" t="n">
        <v>0</v>
      </c>
      <c r="P235" t="n">
        <v>0</v>
      </c>
      <c r="Q235" t="n">
        <v>0</v>
      </c>
      <c r="R235" s="2" t="inlineStr"/>
    </row>
    <row r="236" ht="15" customHeight="1">
      <c r="A236" t="inlineStr">
        <is>
          <t>A 35141-2025</t>
        </is>
      </c>
      <c r="B236" s="1" t="n">
        <v>45852.65206018519</v>
      </c>
      <c r="C236" s="1" t="n">
        <v>46181</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35142-2025</t>
        </is>
      </c>
      <c r="B237" s="1" t="n">
        <v>45852.65532407408</v>
      </c>
      <c r="C237" s="1" t="n">
        <v>46181</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28285-2024</t>
        </is>
      </c>
      <c r="B238" s="1" t="n">
        <v>45477</v>
      </c>
      <c r="C238" s="1" t="n">
        <v>46181</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61100-2022</t>
        </is>
      </c>
      <c r="B239" s="1" t="n">
        <v>44915</v>
      </c>
      <c r="C239" s="1" t="n">
        <v>46181</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61682-2024</t>
        </is>
      </c>
      <c r="B240" s="1" t="n">
        <v>45647.48824074074</v>
      </c>
      <c r="C240" s="1" t="n">
        <v>46181</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39816-2025</t>
        </is>
      </c>
      <c r="B241" s="1" t="n">
        <v>45891</v>
      </c>
      <c r="C241" s="1" t="n">
        <v>46181</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40373-2025</t>
        </is>
      </c>
      <c r="B242" s="1" t="n">
        <v>45895.51821759259</v>
      </c>
      <c r="C242" s="1" t="n">
        <v>46181</v>
      </c>
      <c r="D242" t="inlineStr">
        <is>
          <t>GOTLANDS LÄN</t>
        </is>
      </c>
      <c r="E242" t="inlineStr">
        <is>
          <t>GOTLAND</t>
        </is>
      </c>
      <c r="G242" t="n">
        <v>0.6</v>
      </c>
      <c r="H242" t="n">
        <v>0</v>
      </c>
      <c r="I242" t="n">
        <v>0</v>
      </c>
      <c r="J242" t="n">
        <v>0</v>
      </c>
      <c r="K242" t="n">
        <v>0</v>
      </c>
      <c r="L242" t="n">
        <v>0</v>
      </c>
      <c r="M242" t="n">
        <v>0</v>
      </c>
      <c r="N242" t="n">
        <v>0</v>
      </c>
      <c r="O242" t="n">
        <v>0</v>
      </c>
      <c r="P242" t="n">
        <v>0</v>
      </c>
      <c r="Q242" t="n">
        <v>0</v>
      </c>
      <c r="R242" s="2" t="inlineStr"/>
    </row>
    <row r="243" ht="15" customHeight="1">
      <c r="A243" t="inlineStr">
        <is>
          <t>A 40499-2025</t>
        </is>
      </c>
      <c r="B243" s="1" t="n">
        <v>45896.32517361111</v>
      </c>
      <c r="C243" s="1" t="n">
        <v>46181</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40372-2025</t>
        </is>
      </c>
      <c r="B244" s="1" t="n">
        <v>45895.5162037037</v>
      </c>
      <c r="C244" s="1" t="n">
        <v>46181</v>
      </c>
      <c r="D244" t="inlineStr">
        <is>
          <t>GOTLANDS LÄN</t>
        </is>
      </c>
      <c r="E244" t="inlineStr">
        <is>
          <t>GOTLAND</t>
        </is>
      </c>
      <c r="G244" t="n">
        <v>3.3</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46181</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2415-2026</t>
        </is>
      </c>
      <c r="B246" s="1" t="n">
        <v>46036.76203703704</v>
      </c>
      <c r="C246" s="1" t="n">
        <v>46181</v>
      </c>
      <c r="D246" t="inlineStr">
        <is>
          <t>GOTLANDS LÄN</t>
        </is>
      </c>
      <c r="E246" t="inlineStr">
        <is>
          <t>GOTLAND</t>
        </is>
      </c>
      <c r="G246" t="n">
        <v>6.9</v>
      </c>
      <c r="H246" t="n">
        <v>0</v>
      </c>
      <c r="I246" t="n">
        <v>0</v>
      </c>
      <c r="J246" t="n">
        <v>0</v>
      </c>
      <c r="K246" t="n">
        <v>0</v>
      </c>
      <c r="L246" t="n">
        <v>0</v>
      </c>
      <c r="M246" t="n">
        <v>0</v>
      </c>
      <c r="N246" t="n">
        <v>0</v>
      </c>
      <c r="O246" t="n">
        <v>0</v>
      </c>
      <c r="P246" t="n">
        <v>0</v>
      </c>
      <c r="Q246" t="n">
        <v>0</v>
      </c>
      <c r="R246" s="2" t="inlineStr"/>
    </row>
    <row r="247" ht="15" customHeight="1">
      <c r="A247" t="inlineStr">
        <is>
          <t>A 39278-2025</t>
        </is>
      </c>
      <c r="B247" s="1" t="n">
        <v>45889</v>
      </c>
      <c r="C247" s="1" t="n">
        <v>46181</v>
      </c>
      <c r="D247" t="inlineStr">
        <is>
          <t>GOTLANDS LÄN</t>
        </is>
      </c>
      <c r="E247" t="inlineStr">
        <is>
          <t>GOTLAND</t>
        </is>
      </c>
      <c r="G247" t="n">
        <v>3.7</v>
      </c>
      <c r="H247" t="n">
        <v>0</v>
      </c>
      <c r="I247" t="n">
        <v>0</v>
      </c>
      <c r="J247" t="n">
        <v>0</v>
      </c>
      <c r="K247" t="n">
        <v>0</v>
      </c>
      <c r="L247" t="n">
        <v>0</v>
      </c>
      <c r="M247" t="n">
        <v>0</v>
      </c>
      <c r="N247" t="n">
        <v>0</v>
      </c>
      <c r="O247" t="n">
        <v>0</v>
      </c>
      <c r="P247" t="n">
        <v>0</v>
      </c>
      <c r="Q247" t="n">
        <v>0</v>
      </c>
      <c r="R247" s="2" t="inlineStr"/>
    </row>
    <row r="248" ht="15" customHeight="1">
      <c r="A248" t="inlineStr">
        <is>
          <t>A 17688-2024</t>
        </is>
      </c>
      <c r="B248" s="1" t="n">
        <v>45418.43575231481</v>
      </c>
      <c r="C248" s="1" t="n">
        <v>46181</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7837-2024</t>
        </is>
      </c>
      <c r="B249" s="1" t="n">
        <v>45349.83787037037</v>
      </c>
      <c r="C249" s="1" t="n">
        <v>46181</v>
      </c>
      <c r="D249" t="inlineStr">
        <is>
          <t>GOTLANDS LÄN</t>
        </is>
      </c>
      <c r="E249" t="inlineStr">
        <is>
          <t>GOTLAND</t>
        </is>
      </c>
      <c r="G249" t="n">
        <v>5</v>
      </c>
      <c r="H249" t="n">
        <v>0</v>
      </c>
      <c r="I249" t="n">
        <v>0</v>
      </c>
      <c r="J249" t="n">
        <v>0</v>
      </c>
      <c r="K249" t="n">
        <v>0</v>
      </c>
      <c r="L249" t="n">
        <v>0</v>
      </c>
      <c r="M249" t="n">
        <v>0</v>
      </c>
      <c r="N249" t="n">
        <v>0</v>
      </c>
      <c r="O249" t="n">
        <v>0</v>
      </c>
      <c r="P249" t="n">
        <v>0</v>
      </c>
      <c r="Q249" t="n">
        <v>0</v>
      </c>
      <c r="R249" s="2" t="inlineStr"/>
    </row>
    <row r="250" ht="15" customHeight="1">
      <c r="A250" t="inlineStr">
        <is>
          <t>A 4568-2025</t>
        </is>
      </c>
      <c r="B250" s="1" t="n">
        <v>45687</v>
      </c>
      <c r="C250" s="1" t="n">
        <v>46181</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27355-2025</t>
        </is>
      </c>
      <c r="B251" s="1" t="n">
        <v>45812</v>
      </c>
      <c r="C251" s="1" t="n">
        <v>46181</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46181</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35512-2023</t>
        </is>
      </c>
      <c r="B253" s="1" t="n">
        <v>45147.25623842593</v>
      </c>
      <c r="C253" s="1" t="n">
        <v>46181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5905-2024</t>
        </is>
      </c>
      <c r="B254" s="1" t="n">
        <v>45335.88993055555</v>
      </c>
      <c r="C254" s="1" t="n">
        <v>46181</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1291-2023</t>
        </is>
      </c>
      <c r="B255" s="1" t="n">
        <v>44936.47561342592</v>
      </c>
      <c r="C255" s="1" t="n">
        <v>46181</v>
      </c>
      <c r="D255" t="inlineStr">
        <is>
          <t>GOTLANDS LÄN</t>
        </is>
      </c>
      <c r="E255" t="inlineStr">
        <is>
          <t>GOTLAND</t>
        </is>
      </c>
      <c r="G255" t="n">
        <v>7.4</v>
      </c>
      <c r="H255" t="n">
        <v>0</v>
      </c>
      <c r="I255" t="n">
        <v>0</v>
      </c>
      <c r="J255" t="n">
        <v>0</v>
      </c>
      <c r="K255" t="n">
        <v>0</v>
      </c>
      <c r="L255" t="n">
        <v>0</v>
      </c>
      <c r="M255" t="n">
        <v>0</v>
      </c>
      <c r="N255" t="n">
        <v>0</v>
      </c>
      <c r="O255" t="n">
        <v>0</v>
      </c>
      <c r="P255" t="n">
        <v>0</v>
      </c>
      <c r="Q255" t="n">
        <v>0</v>
      </c>
      <c r="R255" s="2" t="inlineStr"/>
    </row>
    <row r="256" ht="15" customHeight="1">
      <c r="A256" t="inlineStr">
        <is>
          <t>A 8444-2025</t>
        </is>
      </c>
      <c r="B256" s="1" t="n">
        <v>45709</v>
      </c>
      <c r="C256" s="1" t="n">
        <v>46181</v>
      </c>
      <c r="D256" t="inlineStr">
        <is>
          <t>GOTLANDS LÄN</t>
        </is>
      </c>
      <c r="E256" t="inlineStr">
        <is>
          <t>GOTLAND</t>
        </is>
      </c>
      <c r="G256" t="n">
        <v>5.2</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46181</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16373-2025</t>
        </is>
      </c>
      <c r="B258" s="1" t="n">
        <v>45751</v>
      </c>
      <c r="C258" s="1" t="n">
        <v>46181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4646-2026</t>
        </is>
      </c>
      <c r="B259" s="1" t="n">
        <v>46048.40357638889</v>
      </c>
      <c r="C259" s="1" t="n">
        <v>46181</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49315-2024</t>
        </is>
      </c>
      <c r="B260" s="1" t="n">
        <v>45595</v>
      </c>
      <c r="C260" s="1" t="n">
        <v>46181</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46181</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29196-2025</t>
        </is>
      </c>
      <c r="B262" s="1" t="n">
        <v>45822</v>
      </c>
      <c r="C262" s="1" t="n">
        <v>46181</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4634-2026</t>
        </is>
      </c>
      <c r="B263" s="1" t="n">
        <v>46048.39304398148</v>
      </c>
      <c r="C263" s="1" t="n">
        <v>46181</v>
      </c>
      <c r="D263" t="inlineStr">
        <is>
          <t>GOTLANDS LÄN</t>
        </is>
      </c>
      <c r="E263" t="inlineStr">
        <is>
          <t>GOTLAND</t>
        </is>
      </c>
      <c r="G263" t="n">
        <v>7.8</v>
      </c>
      <c r="H263" t="n">
        <v>0</v>
      </c>
      <c r="I263" t="n">
        <v>0</v>
      </c>
      <c r="J263" t="n">
        <v>0</v>
      </c>
      <c r="K263" t="n">
        <v>0</v>
      </c>
      <c r="L263" t="n">
        <v>0</v>
      </c>
      <c r="M263" t="n">
        <v>0</v>
      </c>
      <c r="N263" t="n">
        <v>0</v>
      </c>
      <c r="O263" t="n">
        <v>0</v>
      </c>
      <c r="P263" t="n">
        <v>0</v>
      </c>
      <c r="Q263" t="n">
        <v>0</v>
      </c>
      <c r="R263" s="2" t="inlineStr"/>
    </row>
    <row r="264" ht="15" customHeight="1">
      <c r="A264" t="inlineStr">
        <is>
          <t>A 10158-2025</t>
        </is>
      </c>
      <c r="B264" s="1" t="n">
        <v>45719</v>
      </c>
      <c r="C264" s="1" t="n">
        <v>46181</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2676-2023</t>
        </is>
      </c>
      <c r="B265" s="1" t="n">
        <v>44944</v>
      </c>
      <c r="C265" s="1" t="n">
        <v>46181</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4670-2026</t>
        </is>
      </c>
      <c r="B266" s="1" t="n">
        <v>46048.41733796296</v>
      </c>
      <c r="C266" s="1" t="n">
        <v>46181</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30061-2025</t>
        </is>
      </c>
      <c r="B267" s="1" t="n">
        <v>45826.61488425926</v>
      </c>
      <c r="C267" s="1" t="n">
        <v>46181</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46181</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45632.44927083333</v>
      </c>
      <c r="C269" s="1" t="n">
        <v>46181</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3150-2025</t>
        </is>
      </c>
      <c r="B270" s="1" t="n">
        <v>45679.28974537037</v>
      </c>
      <c r="C270" s="1" t="n">
        <v>46181</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8484-2025</t>
        </is>
      </c>
      <c r="B271" s="1" t="n">
        <v>45709</v>
      </c>
      <c r="C271" s="1" t="n">
        <v>46181</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46181</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46181</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46181</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48734-2022</t>
        </is>
      </c>
      <c r="B275" s="1" t="n">
        <v>44855</v>
      </c>
      <c r="C275" s="1" t="n">
        <v>46181</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29809-2022</t>
        </is>
      </c>
      <c r="B276" s="1" t="n">
        <v>44755.8713425926</v>
      </c>
      <c r="C276" s="1" t="n">
        <v>46181</v>
      </c>
      <c r="D276" t="inlineStr">
        <is>
          <t>GOTLANDS LÄN</t>
        </is>
      </c>
      <c r="E276" t="inlineStr">
        <is>
          <t>GOTLAND</t>
        </is>
      </c>
      <c r="G276" t="n">
        <v>11.5</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46181</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26391-2025</t>
        </is>
      </c>
      <c r="B278" s="1" t="n">
        <v>45806</v>
      </c>
      <c r="C278" s="1" t="n">
        <v>46181</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30815-2023</t>
        </is>
      </c>
      <c r="B279" s="1" t="n">
        <v>45112</v>
      </c>
      <c r="C279" s="1" t="n">
        <v>46181</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16109-2025</t>
        </is>
      </c>
      <c r="B280" s="1" t="n">
        <v>45750</v>
      </c>
      <c r="C280" s="1" t="n">
        <v>46181</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46836-2025</t>
        </is>
      </c>
      <c r="B281" s="1" t="n">
        <v>45928.31511574074</v>
      </c>
      <c r="C281" s="1" t="n">
        <v>46181</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6218-2026</t>
        </is>
      </c>
      <c r="B282" s="1" t="n">
        <v>46055.42859953704</v>
      </c>
      <c r="C282" s="1" t="n">
        <v>46181</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7034-2023</t>
        </is>
      </c>
      <c r="B283" s="1" t="n">
        <v>44968.32108796296</v>
      </c>
      <c r="C283" s="1" t="n">
        <v>46181</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7042-2023</t>
        </is>
      </c>
      <c r="B284" s="1" t="n">
        <v>44968</v>
      </c>
      <c r="C284" s="1" t="n">
        <v>46181</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46181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64660-2023</t>
        </is>
      </c>
      <c r="B286" s="1" t="n">
        <v>45281.60122685185</v>
      </c>
      <c r="C286" s="1" t="n">
        <v>46181</v>
      </c>
      <c r="D286" t="inlineStr">
        <is>
          <t>GOTLANDS LÄN</t>
        </is>
      </c>
      <c r="E286" t="inlineStr">
        <is>
          <t>GOTLAND</t>
        </is>
      </c>
      <c r="G286" t="n">
        <v>6.3</v>
      </c>
      <c r="H286" t="n">
        <v>0</v>
      </c>
      <c r="I286" t="n">
        <v>0</v>
      </c>
      <c r="J286" t="n">
        <v>0</v>
      </c>
      <c r="K286" t="n">
        <v>0</v>
      </c>
      <c r="L286" t="n">
        <v>0</v>
      </c>
      <c r="M286" t="n">
        <v>0</v>
      </c>
      <c r="N286" t="n">
        <v>0</v>
      </c>
      <c r="O286" t="n">
        <v>0</v>
      </c>
      <c r="P286" t="n">
        <v>0</v>
      </c>
      <c r="Q286" t="n">
        <v>0</v>
      </c>
      <c r="R286" s="2" t="inlineStr"/>
    </row>
    <row r="287" ht="15" customHeight="1">
      <c r="A287" t="inlineStr">
        <is>
          <t>A 63763-2023</t>
        </is>
      </c>
      <c r="B287" s="1" t="n">
        <v>45278.33944444444</v>
      </c>
      <c r="C287" s="1" t="n">
        <v>46181</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33007-2025</t>
        </is>
      </c>
      <c r="B288" s="1" t="n">
        <v>45840</v>
      </c>
      <c r="C288" s="1" t="n">
        <v>46181</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46181</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47637-2025</t>
        </is>
      </c>
      <c r="B290" s="1" t="n">
        <v>45931.49753472222</v>
      </c>
      <c r="C290" s="1" t="n">
        <v>46181</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6207-2026</t>
        </is>
      </c>
      <c r="B291" s="1" t="n">
        <v>46055.42083333333</v>
      </c>
      <c r="C291" s="1" t="n">
        <v>46181</v>
      </c>
      <c r="D291" t="inlineStr">
        <is>
          <t>GOTLANDS LÄN</t>
        </is>
      </c>
      <c r="E291" t="inlineStr">
        <is>
          <t>GOTLAND</t>
        </is>
      </c>
      <c r="G291" t="n">
        <v>7.6</v>
      </c>
      <c r="H291" t="n">
        <v>0</v>
      </c>
      <c r="I291" t="n">
        <v>0</v>
      </c>
      <c r="J291" t="n">
        <v>0</v>
      </c>
      <c r="K291" t="n">
        <v>0</v>
      </c>
      <c r="L291" t="n">
        <v>0</v>
      </c>
      <c r="M291" t="n">
        <v>0</v>
      </c>
      <c r="N291" t="n">
        <v>0</v>
      </c>
      <c r="O291" t="n">
        <v>0</v>
      </c>
      <c r="P291" t="n">
        <v>0</v>
      </c>
      <c r="Q291" t="n">
        <v>0</v>
      </c>
      <c r="R291" s="2" t="inlineStr"/>
    </row>
    <row r="292" ht="15" customHeight="1">
      <c r="A292" t="inlineStr">
        <is>
          <t>A 32378-2025</t>
        </is>
      </c>
      <c r="B292" s="1" t="n">
        <v>45837</v>
      </c>
      <c r="C292" s="1" t="n">
        <v>46181</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6959-2026</t>
        </is>
      </c>
      <c r="B293" s="1" t="n">
        <v>46057.580625</v>
      </c>
      <c r="C293" s="1" t="n">
        <v>46181</v>
      </c>
      <c r="D293" t="inlineStr">
        <is>
          <t>GOTLANDS LÄN</t>
        </is>
      </c>
      <c r="E293" t="inlineStr">
        <is>
          <t>GOTLAND</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45856.49324074074</v>
      </c>
      <c r="C294" s="1" t="n">
        <v>46181</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1734-2025</t>
        </is>
      </c>
      <c r="B295" s="1" t="n">
        <v>45671.3840625</v>
      </c>
      <c r="C295" s="1" t="n">
        <v>46181</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35123-2025</t>
        </is>
      </c>
      <c r="B296" s="1" t="n">
        <v>45852.614375</v>
      </c>
      <c r="C296" s="1" t="n">
        <v>46181</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35096-2025</t>
        </is>
      </c>
      <c r="B297" s="1" t="n">
        <v>45852.54356481481</v>
      </c>
      <c r="C297" s="1" t="n">
        <v>46181</v>
      </c>
      <c r="D297" t="inlineStr">
        <is>
          <t>GOTLANDS LÄN</t>
        </is>
      </c>
      <c r="E297" t="inlineStr">
        <is>
          <t>GOTLAND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46181</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30104-2025</t>
        </is>
      </c>
      <c r="B299" s="1" t="n">
        <v>45826.68806712963</v>
      </c>
      <c r="C299" s="1" t="n">
        <v>46181</v>
      </c>
      <c r="D299" t="inlineStr">
        <is>
          <t>GOTLANDS LÄN</t>
        </is>
      </c>
      <c r="E299" t="inlineStr">
        <is>
          <t>GOTLAND</t>
        </is>
      </c>
      <c r="G299" t="n">
        <v>15.4</v>
      </c>
      <c r="H299" t="n">
        <v>0</v>
      </c>
      <c r="I299" t="n">
        <v>0</v>
      </c>
      <c r="J299" t="n">
        <v>0</v>
      </c>
      <c r="K299" t="n">
        <v>0</v>
      </c>
      <c r="L299" t="n">
        <v>0</v>
      </c>
      <c r="M299" t="n">
        <v>0</v>
      </c>
      <c r="N299" t="n">
        <v>0</v>
      </c>
      <c r="O299" t="n">
        <v>0</v>
      </c>
      <c r="P299" t="n">
        <v>0</v>
      </c>
      <c r="Q299" t="n">
        <v>0</v>
      </c>
      <c r="R299" s="2" t="inlineStr"/>
    </row>
    <row r="300" ht="15" customHeight="1">
      <c r="A300" t="inlineStr">
        <is>
          <t>A 35290-2025</t>
        </is>
      </c>
      <c r="B300" s="1" t="n">
        <v>45854.38502314815</v>
      </c>
      <c r="C300" s="1" t="n">
        <v>46181</v>
      </c>
      <c r="D300" t="inlineStr">
        <is>
          <t>GOTLANDS LÄN</t>
        </is>
      </c>
      <c r="E300" t="inlineStr">
        <is>
          <t>GOTLAND</t>
        </is>
      </c>
      <c r="G300" t="n">
        <v>5.4</v>
      </c>
      <c r="H300" t="n">
        <v>0</v>
      </c>
      <c r="I300" t="n">
        <v>0</v>
      </c>
      <c r="J300" t="n">
        <v>0</v>
      </c>
      <c r="K300" t="n">
        <v>0</v>
      </c>
      <c r="L300" t="n">
        <v>0</v>
      </c>
      <c r="M300" t="n">
        <v>0</v>
      </c>
      <c r="N300" t="n">
        <v>0</v>
      </c>
      <c r="O300" t="n">
        <v>0</v>
      </c>
      <c r="P300" t="n">
        <v>0</v>
      </c>
      <c r="Q300" t="n">
        <v>0</v>
      </c>
      <c r="R300" s="2" t="inlineStr"/>
    </row>
    <row r="301" ht="15" customHeight="1">
      <c r="A301" t="inlineStr">
        <is>
          <t>A 32669-2024</t>
        </is>
      </c>
      <c r="B301" s="1" t="n">
        <v>45514</v>
      </c>
      <c r="C301" s="1" t="n">
        <v>46181</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47578-2025</t>
        </is>
      </c>
      <c r="B302" s="1" t="n">
        <v>45931</v>
      </c>
      <c r="C302" s="1" t="n">
        <v>46181</v>
      </c>
      <c r="D302" t="inlineStr">
        <is>
          <t>GOTLANDS LÄN</t>
        </is>
      </c>
      <c r="E302" t="inlineStr">
        <is>
          <t>GOTLAND</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7627-2026</t>
        </is>
      </c>
      <c r="B303" s="1" t="n">
        <v>46062.35465277778</v>
      </c>
      <c r="C303" s="1" t="n">
        <v>46181</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12596-2023</t>
        </is>
      </c>
      <c r="B304" s="1" t="n">
        <v>45000.43310185185</v>
      </c>
      <c r="C304" s="1" t="n">
        <v>46181</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49730-2025</t>
        </is>
      </c>
      <c r="B305" s="1" t="n">
        <v>45939.87613425926</v>
      </c>
      <c r="C305" s="1" t="n">
        <v>46181</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46181</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15216-2025</t>
        </is>
      </c>
      <c r="B307" s="1" t="n">
        <v>45744</v>
      </c>
      <c r="C307" s="1" t="n">
        <v>46181</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43790-2024</t>
        </is>
      </c>
      <c r="B308" s="1" t="n">
        <v>45571</v>
      </c>
      <c r="C308" s="1" t="n">
        <v>46181</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15001-2025</t>
        </is>
      </c>
      <c r="B309" s="1" t="n">
        <v>45743</v>
      </c>
      <c r="C309" s="1" t="n">
        <v>46181</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46181</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49690-2025</t>
        </is>
      </c>
      <c r="B311" s="1" t="n">
        <v>45939.66730324074</v>
      </c>
      <c r="C311" s="1" t="n">
        <v>46181</v>
      </c>
      <c r="D311" t="inlineStr">
        <is>
          <t>GOTLANDS LÄN</t>
        </is>
      </c>
      <c r="E311" t="inlineStr">
        <is>
          <t>GOTLAND</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46181</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46181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46181</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18742-2025</t>
        </is>
      </c>
      <c r="B315" s="1" t="n">
        <v>45763</v>
      </c>
      <c r="C315" s="1" t="n">
        <v>46181</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46181</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35129-2025</t>
        </is>
      </c>
      <c r="B317" s="1" t="n">
        <v>45852.63224537037</v>
      </c>
      <c r="C317" s="1" t="n">
        <v>46181</v>
      </c>
      <c r="D317" t="inlineStr">
        <is>
          <t>GOTLANDS LÄN</t>
        </is>
      </c>
      <c r="E317" t="inlineStr">
        <is>
          <t>GOTLAND</t>
        </is>
      </c>
      <c r="G317" t="n">
        <v>3.2</v>
      </c>
      <c r="H317" t="n">
        <v>0</v>
      </c>
      <c r="I317" t="n">
        <v>0</v>
      </c>
      <c r="J317" t="n">
        <v>0</v>
      </c>
      <c r="K317" t="n">
        <v>0</v>
      </c>
      <c r="L317" t="n">
        <v>0</v>
      </c>
      <c r="M317" t="n">
        <v>0</v>
      </c>
      <c r="N317" t="n">
        <v>0</v>
      </c>
      <c r="O317" t="n">
        <v>0</v>
      </c>
      <c r="P317" t="n">
        <v>0</v>
      </c>
      <c r="Q317" t="n">
        <v>0</v>
      </c>
      <c r="R317" s="2" t="inlineStr"/>
    </row>
    <row r="318" ht="15" customHeight="1">
      <c r="A318" t="inlineStr">
        <is>
          <t>A 2134-2026</t>
        </is>
      </c>
      <c r="B318" s="1" t="n">
        <v>46036</v>
      </c>
      <c r="C318" s="1" t="n">
        <v>46181</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46181</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46181</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38234-2023</t>
        </is>
      </c>
      <c r="B321" s="1" t="n">
        <v>45161.56663194444</v>
      </c>
      <c r="C321" s="1" t="n">
        <v>46181</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50431-2025</t>
        </is>
      </c>
      <c r="B322" s="1" t="n">
        <v>45944.68453703704</v>
      </c>
      <c r="C322" s="1" t="n">
        <v>46181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50744-2024</t>
        </is>
      </c>
      <c r="B323" s="1" t="n">
        <v>45602.4187037037</v>
      </c>
      <c r="C323" s="1" t="n">
        <v>46181</v>
      </c>
      <c r="D323" t="inlineStr">
        <is>
          <t>GOTLANDS LÄN</t>
        </is>
      </c>
      <c r="E323" t="inlineStr">
        <is>
          <t>GOTLAND</t>
        </is>
      </c>
      <c r="G323" t="n">
        <v>3.2</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46181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45698.29880787037</v>
      </c>
      <c r="C325" s="1" t="n">
        <v>46181</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46181</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17343-2025</t>
        </is>
      </c>
      <c r="B327" s="1" t="n">
        <v>45756.6687037037</v>
      </c>
      <c r="C327" s="1" t="n">
        <v>46181</v>
      </c>
      <c r="D327" t="inlineStr">
        <is>
          <t>GOTLANDS LÄN</t>
        </is>
      </c>
      <c r="E327" t="inlineStr">
        <is>
          <t>GOTLAND</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51262-2025</t>
        </is>
      </c>
      <c r="B328" s="1" t="n">
        <v>45949.49872685185</v>
      </c>
      <c r="C328" s="1" t="n">
        <v>46181</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9504-2026</t>
        </is>
      </c>
      <c r="B329" s="1" t="n">
        <v>46071.57730324074</v>
      </c>
      <c r="C329" s="1" t="n">
        <v>46181</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9518-2026</t>
        </is>
      </c>
      <c r="B330" s="1" t="n">
        <v>46071.59653935185</v>
      </c>
      <c r="C330" s="1" t="n">
        <v>46181</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9519-2026</t>
        </is>
      </c>
      <c r="B331" s="1" t="n">
        <v>46071.59820601852</v>
      </c>
      <c r="C331" s="1" t="n">
        <v>46181</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46181</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46071.61961805556</v>
      </c>
      <c r="C333" s="1" t="n">
        <v>46181</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30489-2025</t>
        </is>
      </c>
      <c r="B334" s="1" t="n">
        <v>45830</v>
      </c>
      <c r="C334" s="1" t="n">
        <v>46181</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9521-2026</t>
        </is>
      </c>
      <c r="B335" s="1" t="n">
        <v>46071.59969907408</v>
      </c>
      <c r="C335" s="1" t="n">
        <v>46181</v>
      </c>
      <c r="D335" t="inlineStr">
        <is>
          <t>GOTLANDS LÄN</t>
        </is>
      </c>
      <c r="E335" t="inlineStr">
        <is>
          <t>GOTLAND</t>
        </is>
      </c>
      <c r="G335" t="n">
        <v>3.9</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46181</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9543-2026</t>
        </is>
      </c>
      <c r="B337" s="1" t="n">
        <v>46071.62486111111</v>
      </c>
      <c r="C337" s="1" t="n">
        <v>46181</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20307-2025</t>
        </is>
      </c>
      <c r="B338" s="1" t="n">
        <v>45774.95546296296</v>
      </c>
      <c r="C338" s="1" t="n">
        <v>46181</v>
      </c>
      <c r="D338" t="inlineStr">
        <is>
          <t>GOTLANDS LÄN</t>
        </is>
      </c>
      <c r="E338" t="inlineStr">
        <is>
          <t>GOTLAND</t>
        </is>
      </c>
      <c r="G338" t="n">
        <v>6.8</v>
      </c>
      <c r="H338" t="n">
        <v>0</v>
      </c>
      <c r="I338" t="n">
        <v>0</v>
      </c>
      <c r="J338" t="n">
        <v>0</v>
      </c>
      <c r="K338" t="n">
        <v>0</v>
      </c>
      <c r="L338" t="n">
        <v>0</v>
      </c>
      <c r="M338" t="n">
        <v>0</v>
      </c>
      <c r="N338" t="n">
        <v>0</v>
      </c>
      <c r="O338" t="n">
        <v>0</v>
      </c>
      <c r="P338" t="n">
        <v>0</v>
      </c>
      <c r="Q338" t="n">
        <v>0</v>
      </c>
      <c r="R338" s="2" t="inlineStr"/>
    </row>
    <row r="339" ht="15" customHeight="1">
      <c r="A339" t="inlineStr">
        <is>
          <t>A 1446-2025</t>
        </is>
      </c>
      <c r="B339" s="1" t="n">
        <v>45669.86035879629</v>
      </c>
      <c r="C339" s="1" t="n">
        <v>46181</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31264-2021</t>
        </is>
      </c>
      <c r="B340" s="1" t="n">
        <v>44368</v>
      </c>
      <c r="C340" s="1" t="n">
        <v>46181</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10486-2026</t>
        </is>
      </c>
      <c r="B341" s="1" t="n">
        <v>46077.51425925926</v>
      </c>
      <c r="C341" s="1" t="n">
        <v>46181</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43901-2023</t>
        </is>
      </c>
      <c r="B342" s="1" t="n">
        <v>45187</v>
      </c>
      <c r="C342" s="1" t="n">
        <v>46181</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9901-2026</t>
        </is>
      </c>
      <c r="B343" s="1" t="n">
        <v>46073.40391203704</v>
      </c>
      <c r="C343" s="1" t="n">
        <v>46181</v>
      </c>
      <c r="D343" t="inlineStr">
        <is>
          <t>GOTLANDS LÄN</t>
        </is>
      </c>
      <c r="E343" t="inlineStr">
        <is>
          <t>GOTLAND</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10284-2026</t>
        </is>
      </c>
      <c r="B344" s="1" t="n">
        <v>46076</v>
      </c>
      <c r="C344" s="1" t="n">
        <v>46181</v>
      </c>
      <c r="D344" t="inlineStr">
        <is>
          <t>GOTLANDS LÄN</t>
        </is>
      </c>
      <c r="E344" t="inlineStr">
        <is>
          <t>GOTLAND</t>
        </is>
      </c>
      <c r="G344" t="n">
        <v>5.2</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46181</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46181</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46181</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46181</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46181</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46181</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46181</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11424-2026</t>
        </is>
      </c>
      <c r="B352" s="1" t="n">
        <v>46083.48068287037</v>
      </c>
      <c r="C352" s="1" t="n">
        <v>46181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11414-2026</t>
        </is>
      </c>
      <c r="B353" s="1" t="n">
        <v>46083.46336805556</v>
      </c>
      <c r="C353" s="1" t="n">
        <v>46181</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46181</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3067-2026</t>
        </is>
      </c>
      <c r="B355" s="1" t="n">
        <v>46040.59025462963</v>
      </c>
      <c r="C355" s="1" t="n">
        <v>46181</v>
      </c>
      <c r="D355" t="inlineStr">
        <is>
          <t>GOTLANDS LÄN</t>
        </is>
      </c>
      <c r="E355" t="inlineStr">
        <is>
          <t>GOTLAND</t>
        </is>
      </c>
      <c r="G355" t="n">
        <v>7.8</v>
      </c>
      <c r="H355" t="n">
        <v>0</v>
      </c>
      <c r="I355" t="n">
        <v>0</v>
      </c>
      <c r="J355" t="n">
        <v>0</v>
      </c>
      <c r="K355" t="n">
        <v>0</v>
      </c>
      <c r="L355" t="n">
        <v>0</v>
      </c>
      <c r="M355" t="n">
        <v>0</v>
      </c>
      <c r="N355" t="n">
        <v>0</v>
      </c>
      <c r="O355" t="n">
        <v>0</v>
      </c>
      <c r="P355" t="n">
        <v>0</v>
      </c>
      <c r="Q355" t="n">
        <v>0</v>
      </c>
      <c r="R355" s="2" t="inlineStr"/>
    </row>
    <row r="356" ht="15" customHeight="1">
      <c r="A356" t="inlineStr">
        <is>
          <t>A 11982-2026</t>
        </is>
      </c>
      <c r="B356" s="1" t="n">
        <v>46085.6434375</v>
      </c>
      <c r="C356" s="1" t="n">
        <v>46181</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46181</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32958-2021</t>
        </is>
      </c>
      <c r="B358" s="1" t="n">
        <v>44376</v>
      </c>
      <c r="C358" s="1" t="n">
        <v>46181</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5884-2025</t>
        </is>
      </c>
      <c r="B359" s="1" t="n">
        <v>45695.37482638889</v>
      </c>
      <c r="C359" s="1" t="n">
        <v>46181</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5897-2025</t>
        </is>
      </c>
      <c r="B360" s="1" t="n">
        <v>45695.39273148148</v>
      </c>
      <c r="C360" s="1" t="n">
        <v>46181</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46181</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46181</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46181</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46181</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42201-2023</t>
        </is>
      </c>
      <c r="B365" s="1" t="n">
        <v>45179</v>
      </c>
      <c r="C365" s="1" t="n">
        <v>46181</v>
      </c>
      <c r="D365" t="inlineStr">
        <is>
          <t>GOTLANDS LÄN</t>
        </is>
      </c>
      <c r="E365" t="inlineStr">
        <is>
          <t>GOTLAND</t>
        </is>
      </c>
      <c r="G365" t="n">
        <v>11.9</v>
      </c>
      <c r="H365" t="n">
        <v>0</v>
      </c>
      <c r="I365" t="n">
        <v>0</v>
      </c>
      <c r="J365" t="n">
        <v>0</v>
      </c>
      <c r="K365" t="n">
        <v>0</v>
      </c>
      <c r="L365" t="n">
        <v>0</v>
      </c>
      <c r="M365" t="n">
        <v>0</v>
      </c>
      <c r="N365" t="n">
        <v>0</v>
      </c>
      <c r="O365" t="n">
        <v>0</v>
      </c>
      <c r="P365" t="n">
        <v>0</v>
      </c>
      <c r="Q365" t="n">
        <v>0</v>
      </c>
      <c r="R365" s="2" t="inlineStr"/>
    </row>
    <row r="366" ht="15" customHeight="1">
      <c r="A366" t="inlineStr">
        <is>
          <t>A 56799-2025</t>
        </is>
      </c>
      <c r="B366" s="1" t="n">
        <v>45978.43392361111</v>
      </c>
      <c r="C366" s="1" t="n">
        <v>46181</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46181</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46181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46396-2023</t>
        </is>
      </c>
      <c r="B369" s="1" t="n">
        <v>45197</v>
      </c>
      <c r="C369" s="1" t="n">
        <v>46181</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46181</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34312-2024</t>
        </is>
      </c>
      <c r="B371" s="1" t="n">
        <v>45524.69703703704</v>
      </c>
      <c r="C371" s="1" t="n">
        <v>46181</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46181</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13486-2026</t>
        </is>
      </c>
      <c r="B373" s="1" t="n">
        <v>46094</v>
      </c>
      <c r="C373" s="1" t="n">
        <v>46181</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69112-2021</t>
        </is>
      </c>
      <c r="B374" s="1" t="n">
        <v>44530</v>
      </c>
      <c r="C374" s="1" t="n">
        <v>46181</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7638-2025</t>
        </is>
      </c>
      <c r="B375" s="1" t="n">
        <v>45705.77306712963</v>
      </c>
      <c r="C375" s="1" t="n">
        <v>46181</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50482-2024</t>
        </is>
      </c>
      <c r="B376" s="1" t="n">
        <v>45601.48114583334</v>
      </c>
      <c r="C376" s="1" t="n">
        <v>46181</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46181</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46181</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62751-2025</t>
        </is>
      </c>
      <c r="B379" s="1" t="n">
        <v>46008</v>
      </c>
      <c r="C379" s="1" t="n">
        <v>46181</v>
      </c>
      <c r="D379" t="inlineStr">
        <is>
          <t>GOTLANDS LÄN</t>
        </is>
      </c>
      <c r="E379" t="inlineStr">
        <is>
          <t>GOTLAND</t>
        </is>
      </c>
      <c r="F379" t="inlineStr">
        <is>
          <t>Övriga Aktiebolag</t>
        </is>
      </c>
      <c r="G379" t="n">
        <v>7.8</v>
      </c>
      <c r="H379" t="n">
        <v>0</v>
      </c>
      <c r="I379" t="n">
        <v>0</v>
      </c>
      <c r="J379" t="n">
        <v>0</v>
      </c>
      <c r="K379" t="n">
        <v>0</v>
      </c>
      <c r="L379" t="n">
        <v>0</v>
      </c>
      <c r="M379" t="n">
        <v>0</v>
      </c>
      <c r="N379" t="n">
        <v>0</v>
      </c>
      <c r="O379" t="n">
        <v>0</v>
      </c>
      <c r="P379" t="n">
        <v>0</v>
      </c>
      <c r="Q379" t="n">
        <v>0</v>
      </c>
      <c r="R379" s="2" t="inlineStr"/>
    </row>
    <row r="380" ht="15" customHeight="1">
      <c r="A380" t="inlineStr">
        <is>
          <t>A 25129-2023</t>
        </is>
      </c>
      <c r="B380" s="1" t="n">
        <v>45086.44261574074</v>
      </c>
      <c r="C380" s="1" t="n">
        <v>46181</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46181</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46181</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5386-2023</t>
        </is>
      </c>
      <c r="B383" s="1" t="n">
        <v>44959</v>
      </c>
      <c r="C383" s="1" t="n">
        <v>46181</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7026-2023</t>
        </is>
      </c>
      <c r="B384" s="1" t="n">
        <v>44968.30340277778</v>
      </c>
      <c r="C384" s="1" t="n">
        <v>46181</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20855-2023</t>
        </is>
      </c>
      <c r="B385" s="1" t="n">
        <v>45058.82172453704</v>
      </c>
      <c r="C385" s="1" t="n">
        <v>46181</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46181</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46181</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47762-2023</t>
        </is>
      </c>
      <c r="B388" s="1" t="n">
        <v>45203.86256944444</v>
      </c>
      <c r="C388" s="1" t="n">
        <v>46181</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46181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46181</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28480-2023</t>
        </is>
      </c>
      <c r="B391" s="1" t="n">
        <v>45103</v>
      </c>
      <c r="C391" s="1" t="n">
        <v>46181</v>
      </c>
      <c r="D391" t="inlineStr">
        <is>
          <t>GOTLANDS LÄN</t>
        </is>
      </c>
      <c r="E391" t="inlineStr">
        <is>
          <t>GOTLAND</t>
        </is>
      </c>
      <c r="G391" t="n">
        <v>5.7</v>
      </c>
      <c r="H391" t="n">
        <v>0</v>
      </c>
      <c r="I391" t="n">
        <v>0</v>
      </c>
      <c r="J391" t="n">
        <v>0</v>
      </c>
      <c r="K391" t="n">
        <v>0</v>
      </c>
      <c r="L391" t="n">
        <v>0</v>
      </c>
      <c r="M391" t="n">
        <v>0</v>
      </c>
      <c r="N391" t="n">
        <v>0</v>
      </c>
      <c r="O391" t="n">
        <v>0</v>
      </c>
      <c r="P391" t="n">
        <v>0</v>
      </c>
      <c r="Q391" t="n">
        <v>0</v>
      </c>
      <c r="R391" s="2" t="inlineStr"/>
    </row>
    <row r="392" ht="15" customHeight="1">
      <c r="A392" t="inlineStr">
        <is>
          <t>A 28485-2023</t>
        </is>
      </c>
      <c r="B392" s="1" t="n">
        <v>45103.43731481482</v>
      </c>
      <c r="C392" s="1" t="n">
        <v>46181</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62915-2021</t>
        </is>
      </c>
      <c r="B393" s="1" t="n">
        <v>44504</v>
      </c>
      <c r="C393" s="1" t="n">
        <v>46181</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44949-2023</t>
        </is>
      </c>
      <c r="B394" s="1" t="n">
        <v>45190.69520833333</v>
      </c>
      <c r="C394" s="1" t="n">
        <v>46181</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46181</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46181</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46181</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63002-2025</t>
        </is>
      </c>
      <c r="B398" s="1" t="n">
        <v>46009.56564814815</v>
      </c>
      <c r="C398" s="1" t="n">
        <v>46181</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14840-2026</t>
        </is>
      </c>
      <c r="B399" s="1" t="n">
        <v>46104.39498842593</v>
      </c>
      <c r="C399" s="1" t="n">
        <v>46181</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46181</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5217-2023</t>
        </is>
      </c>
      <c r="B401" s="1" t="n">
        <v>44959.39582175926</v>
      </c>
      <c r="C401" s="1" t="n">
        <v>46181</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61078-2025</t>
        </is>
      </c>
      <c r="B402" s="1" t="n">
        <v>46000</v>
      </c>
      <c r="C402" s="1" t="n">
        <v>46181</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1677-2023</t>
        </is>
      </c>
      <c r="B403" s="1" t="n">
        <v>44938</v>
      </c>
      <c r="C403" s="1" t="n">
        <v>46181</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21396-2026</t>
        </is>
      </c>
      <c r="B404" s="1" t="n">
        <v>46148.30710648148</v>
      </c>
      <c r="C404" s="1" t="n">
        <v>46181</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45244-2024</t>
        </is>
      </c>
      <c r="B405" s="1" t="n">
        <v>45576</v>
      </c>
      <c r="C405" s="1" t="n">
        <v>46181</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46181</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64969-2023</t>
        </is>
      </c>
      <c r="B407" s="1" t="n">
        <v>45284.54009259259</v>
      </c>
      <c r="C407" s="1" t="n">
        <v>46181</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48843-2024</t>
        </is>
      </c>
      <c r="B408" s="1" t="n">
        <v>45593</v>
      </c>
      <c r="C408" s="1" t="n">
        <v>46181</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17541-2024</t>
        </is>
      </c>
      <c r="B409" s="1" t="n">
        <v>45415</v>
      </c>
      <c r="C409" s="1" t="n">
        <v>46181</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2241-2025</t>
        </is>
      </c>
      <c r="B410" s="1" t="n">
        <v>45673.48710648148</v>
      </c>
      <c r="C410" s="1" t="n">
        <v>46181</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46181</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15434-2024</t>
        </is>
      </c>
      <c r="B412" s="1" t="n">
        <v>45401.38836805556</v>
      </c>
      <c r="C412" s="1" t="n">
        <v>46181</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5943-2024</t>
        </is>
      </c>
      <c r="B413" s="1" t="n">
        <v>45336</v>
      </c>
      <c r="C413" s="1" t="n">
        <v>46181</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54073-2022</t>
        </is>
      </c>
      <c r="B414" s="1" t="n">
        <v>44881.50380787037</v>
      </c>
      <c r="C414" s="1" t="n">
        <v>46181</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16361-2024</t>
        </is>
      </c>
      <c r="B415" s="1" t="n">
        <v>45407</v>
      </c>
      <c r="C415" s="1" t="n">
        <v>46181</v>
      </c>
      <c r="D415" t="inlineStr">
        <is>
          <t>GOTLANDS LÄN</t>
        </is>
      </c>
      <c r="E415" t="inlineStr">
        <is>
          <t>GOTLAND</t>
        </is>
      </c>
      <c r="G415" t="n">
        <v>6</v>
      </c>
      <c r="H415" t="n">
        <v>0</v>
      </c>
      <c r="I415" t="n">
        <v>0</v>
      </c>
      <c r="J415" t="n">
        <v>0</v>
      </c>
      <c r="K415" t="n">
        <v>0</v>
      </c>
      <c r="L415" t="n">
        <v>0</v>
      </c>
      <c r="M415" t="n">
        <v>0</v>
      </c>
      <c r="N415" t="n">
        <v>0</v>
      </c>
      <c r="O415" t="n">
        <v>0</v>
      </c>
      <c r="P415" t="n">
        <v>0</v>
      </c>
      <c r="Q415" t="n">
        <v>0</v>
      </c>
      <c r="R415" s="2" t="inlineStr"/>
    </row>
    <row r="416" ht="15" customHeight="1">
      <c r="A416" t="inlineStr">
        <is>
          <t>A 22351-2026</t>
        </is>
      </c>
      <c r="B416" s="1" t="n">
        <v>46154.58350694444</v>
      </c>
      <c r="C416" s="1" t="n">
        <v>46181</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46181</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22348-2026</t>
        </is>
      </c>
      <c r="B418" s="1" t="n">
        <v>46154.58071759259</v>
      </c>
      <c r="C418" s="1" t="n">
        <v>46181</v>
      </c>
      <c r="D418" t="inlineStr">
        <is>
          <t>GOTLANDS LÄN</t>
        </is>
      </c>
      <c r="E418" t="inlineStr">
        <is>
          <t>GOTLAND</t>
        </is>
      </c>
      <c r="G418" t="n">
        <v>3.3</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46181</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46181</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46181</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8036-2022</t>
        </is>
      </c>
      <c r="B422" s="1" t="n">
        <v>44609.44362268518</v>
      </c>
      <c r="C422" s="1" t="n">
        <v>46181</v>
      </c>
      <c r="D422" t="inlineStr">
        <is>
          <t>GOTLANDS LÄN</t>
        </is>
      </c>
      <c r="E422" t="inlineStr">
        <is>
          <t>GOTLAND</t>
        </is>
      </c>
      <c r="G422" t="n">
        <v>6.1</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46181</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16993-2026</t>
        </is>
      </c>
      <c r="B424" s="1" t="n">
        <v>46114.41918981481</v>
      </c>
      <c r="C424" s="1" t="n">
        <v>46181</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17000-2026</t>
        </is>
      </c>
      <c r="B425" s="1" t="n">
        <v>46114.42690972222</v>
      </c>
      <c r="C425" s="1" t="n">
        <v>46181</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46181</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46181</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1351-2025</t>
        </is>
      </c>
      <c r="B428" s="1" t="n">
        <v>45667.62246527777</v>
      </c>
      <c r="C428" s="1" t="n">
        <v>46181</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39496-2022</t>
        </is>
      </c>
      <c r="B429" s="1" t="n">
        <v>44818</v>
      </c>
      <c r="C429" s="1" t="n">
        <v>46181</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22887-2026</t>
        </is>
      </c>
      <c r="B430" s="1" t="n">
        <v>46160.47591435185</v>
      </c>
      <c r="C430" s="1" t="n">
        <v>46181</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46181</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46400-2023</t>
        </is>
      </c>
      <c r="B432" s="1" t="n">
        <v>45197.49290509259</v>
      </c>
      <c r="C432" s="1" t="n">
        <v>46181</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46181</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8045-2022</t>
        </is>
      </c>
      <c r="B434" s="1" t="n">
        <v>44609</v>
      </c>
      <c r="C434" s="1" t="n">
        <v>46181</v>
      </c>
      <c r="D434" t="inlineStr">
        <is>
          <t>GOTLANDS LÄN</t>
        </is>
      </c>
      <c r="E434" t="inlineStr">
        <is>
          <t>GOTLAND</t>
        </is>
      </c>
      <c r="G434" t="n">
        <v>7</v>
      </c>
      <c r="H434" t="n">
        <v>0</v>
      </c>
      <c r="I434" t="n">
        <v>0</v>
      </c>
      <c r="J434" t="n">
        <v>0</v>
      </c>
      <c r="K434" t="n">
        <v>0</v>
      </c>
      <c r="L434" t="n">
        <v>0</v>
      </c>
      <c r="M434" t="n">
        <v>0</v>
      </c>
      <c r="N434" t="n">
        <v>0</v>
      </c>
      <c r="O434" t="n">
        <v>0</v>
      </c>
      <c r="P434" t="n">
        <v>0</v>
      </c>
      <c r="Q434" t="n">
        <v>0</v>
      </c>
      <c r="R434" s="2" t="inlineStr"/>
    </row>
    <row r="435" ht="15" customHeight="1">
      <c r="A435" t="inlineStr">
        <is>
          <t>A 22897-2023</t>
        </is>
      </c>
      <c r="B435" s="1" t="n">
        <v>45072.55239583334</v>
      </c>
      <c r="C435" s="1" t="n">
        <v>46181</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61897-2024</t>
        </is>
      </c>
      <c r="B436" s="1" t="n">
        <v>45652.75685185185</v>
      </c>
      <c r="C436" s="1" t="n">
        <v>46181</v>
      </c>
      <c r="D436" t="inlineStr">
        <is>
          <t>GOTLANDS LÄN</t>
        </is>
      </c>
      <c r="E436" t="inlineStr">
        <is>
          <t>GOTLAND</t>
        </is>
      </c>
      <c r="G436" t="n">
        <v>6.4</v>
      </c>
      <c r="H436" t="n">
        <v>0</v>
      </c>
      <c r="I436" t="n">
        <v>0</v>
      </c>
      <c r="J436" t="n">
        <v>0</v>
      </c>
      <c r="K436" t="n">
        <v>0</v>
      </c>
      <c r="L436" t="n">
        <v>0</v>
      </c>
      <c r="M436" t="n">
        <v>0</v>
      </c>
      <c r="N436" t="n">
        <v>0</v>
      </c>
      <c r="O436" t="n">
        <v>0</v>
      </c>
      <c r="P436" t="n">
        <v>0</v>
      </c>
      <c r="Q436" t="n">
        <v>0</v>
      </c>
      <c r="R436" s="2" t="inlineStr"/>
    </row>
    <row r="437" ht="15" customHeight="1">
      <c r="A437" t="inlineStr">
        <is>
          <t>A 20165-2022</t>
        </is>
      </c>
      <c r="B437" s="1" t="n">
        <v>44698.49854166667</v>
      </c>
      <c r="C437" s="1" t="n">
        <v>46181</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46181</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46181</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46181</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45183.47025462963</v>
      </c>
      <c r="C441" s="1" t="n">
        <v>46181</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46181</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23103-2026</t>
        </is>
      </c>
      <c r="B443" s="1" t="n">
        <v>46161.57108796296</v>
      </c>
      <c r="C443" s="1" t="n">
        <v>46181</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1066-2024</t>
        </is>
      </c>
      <c r="B444" s="1" t="n">
        <v>45302.285</v>
      </c>
      <c r="C444" s="1" t="n">
        <v>46181</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17144-2025</t>
        </is>
      </c>
      <c r="B445" s="1" t="n">
        <v>45755.9499537037</v>
      </c>
      <c r="C445" s="1" t="n">
        <v>46181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42338-2023</t>
        </is>
      </c>
      <c r="B446" s="1" t="n">
        <v>45180</v>
      </c>
      <c r="C446" s="1" t="n">
        <v>46181</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581-2023</t>
        </is>
      </c>
      <c r="B447" s="1" t="n">
        <v>44930</v>
      </c>
      <c r="C447" s="1" t="n">
        <v>46181</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61386-2023</t>
        </is>
      </c>
      <c r="B448" s="1" t="n">
        <v>45264</v>
      </c>
      <c r="C448" s="1" t="n">
        <v>46181</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873-2024</t>
        </is>
      </c>
      <c r="B449" s="1" t="n">
        <v>45301</v>
      </c>
      <c r="C449" s="1" t="n">
        <v>46181</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46181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22275-2023</t>
        </is>
      </c>
      <c r="B451" s="1" t="n">
        <v>45070.39875</v>
      </c>
      <c r="C451" s="1" t="n">
        <v>46181</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12322-2025</t>
        </is>
      </c>
      <c r="B452" s="1" t="n">
        <v>45730</v>
      </c>
      <c r="C452" s="1" t="n">
        <v>46181</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46181</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999-2024</t>
        </is>
      </c>
      <c r="B454" s="1" t="n">
        <v>45301</v>
      </c>
      <c r="C454" s="1" t="n">
        <v>46181</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61596-2023</t>
        </is>
      </c>
      <c r="B455" s="1" t="n">
        <v>45265</v>
      </c>
      <c r="C455" s="1" t="n">
        <v>46181</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46181</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44496.64855324074</v>
      </c>
      <c r="C457" s="1" t="n">
        <v>46181</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37728-2024</t>
        </is>
      </c>
      <c r="B458" s="1" t="n">
        <v>45541</v>
      </c>
      <c r="C458" s="1" t="n">
        <v>46181</v>
      </c>
      <c r="D458" t="inlineStr">
        <is>
          <t>GOTLANDS LÄN</t>
        </is>
      </c>
      <c r="E458" t="inlineStr">
        <is>
          <t>GOTLAND</t>
        </is>
      </c>
      <c r="G458" t="n">
        <v>0.4</v>
      </c>
      <c r="H458" t="n">
        <v>0</v>
      </c>
      <c r="I458" t="n">
        <v>0</v>
      </c>
      <c r="J458" t="n">
        <v>0</v>
      </c>
      <c r="K458" t="n">
        <v>0</v>
      </c>
      <c r="L458" t="n">
        <v>0</v>
      </c>
      <c r="M458" t="n">
        <v>0</v>
      </c>
      <c r="N458" t="n">
        <v>0</v>
      </c>
      <c r="O458" t="n">
        <v>0</v>
      </c>
      <c r="P458" t="n">
        <v>0</v>
      </c>
      <c r="Q458" t="n">
        <v>0</v>
      </c>
      <c r="R458" s="2" t="inlineStr"/>
    </row>
    <row r="459" ht="15" customHeight="1">
      <c r="A459" t="inlineStr">
        <is>
          <t>A 22287-2022</t>
        </is>
      </c>
      <c r="B459" s="1" t="n">
        <v>44712</v>
      </c>
      <c r="C459" s="1" t="n">
        <v>46181</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46181</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46181</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13910-2025</t>
        </is>
      </c>
      <c r="B462" s="1" t="n">
        <v>45737</v>
      </c>
      <c r="C462" s="1" t="n">
        <v>46181</v>
      </c>
      <c r="D462" t="inlineStr">
        <is>
          <t>GOTLANDS LÄN</t>
        </is>
      </c>
      <c r="E462" t="inlineStr">
        <is>
          <t>GOTLAND</t>
        </is>
      </c>
      <c r="F462" t="inlineStr">
        <is>
          <t>Kommuner</t>
        </is>
      </c>
      <c r="G462" t="n">
        <v>3.2</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44682.82622685185</v>
      </c>
      <c r="C463" s="1" t="n">
        <v>46181</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59986-2022</t>
        </is>
      </c>
      <c r="B464" s="1" t="n">
        <v>44909</v>
      </c>
      <c r="C464" s="1" t="n">
        <v>46181</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46163.45875</v>
      </c>
      <c r="C465" s="1" t="n">
        <v>46181</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45376.46956018519</v>
      </c>
      <c r="C466" s="1" t="n">
        <v>46181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46181</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46181</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46181</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46181</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999-2023</t>
        </is>
      </c>
      <c r="B471" s="1" t="n">
        <v>44935</v>
      </c>
      <c r="C471" s="1" t="n">
        <v>46181</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17935-2026</t>
        </is>
      </c>
      <c r="B472" s="1" t="n">
        <v>46122</v>
      </c>
      <c r="C472" s="1" t="n">
        <v>46181</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27602-2023</t>
        </is>
      </c>
      <c r="B473" s="1" t="n">
        <v>45097</v>
      </c>
      <c r="C473" s="1" t="n">
        <v>46181</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62836-2025</t>
        </is>
      </c>
      <c r="B474" s="1" t="n">
        <v>46008</v>
      </c>
      <c r="C474" s="1" t="n">
        <v>46181</v>
      </c>
      <c r="D474" t="inlineStr">
        <is>
          <t>GOTLANDS LÄN</t>
        </is>
      </c>
      <c r="E474" t="inlineStr">
        <is>
          <t>GOTLAND</t>
        </is>
      </c>
      <c r="G474" t="n">
        <v>6.5</v>
      </c>
      <c r="H474" t="n">
        <v>0</v>
      </c>
      <c r="I474" t="n">
        <v>0</v>
      </c>
      <c r="J474" t="n">
        <v>0</v>
      </c>
      <c r="K474" t="n">
        <v>0</v>
      </c>
      <c r="L474" t="n">
        <v>0</v>
      </c>
      <c r="M474" t="n">
        <v>0</v>
      </c>
      <c r="N474" t="n">
        <v>0</v>
      </c>
      <c r="O474" t="n">
        <v>0</v>
      </c>
      <c r="P474" t="n">
        <v>0</v>
      </c>
      <c r="Q474" t="n">
        <v>0</v>
      </c>
      <c r="R474" s="2" t="inlineStr"/>
    </row>
    <row r="475" ht="15" customHeight="1">
      <c r="A475" t="inlineStr">
        <is>
          <t>A 4377-2023</t>
        </is>
      </c>
      <c r="B475" s="1" t="n">
        <v>44955.5502662037</v>
      </c>
      <c r="C475" s="1" t="n">
        <v>46181</v>
      </c>
      <c r="D475" t="inlineStr">
        <is>
          <t>GOTLANDS LÄN</t>
        </is>
      </c>
      <c r="E475" t="inlineStr">
        <is>
          <t>GOTLAND</t>
        </is>
      </c>
      <c r="F475" t="inlineStr">
        <is>
          <t>Kyrkan</t>
        </is>
      </c>
      <c r="G475" t="n">
        <v>0.6</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46181</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39479-2022</t>
        </is>
      </c>
      <c r="B477" s="1" t="n">
        <v>44818</v>
      </c>
      <c r="C477" s="1" t="n">
        <v>46181</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51963-2024</t>
        </is>
      </c>
      <c r="B478" s="1" t="n">
        <v>45607.64833333333</v>
      </c>
      <c r="C478" s="1" t="n">
        <v>46181</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811-2023</t>
        </is>
      </c>
      <c r="B479" s="1" t="n">
        <v>44931</v>
      </c>
      <c r="C479" s="1" t="n">
        <v>46181</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46389-2021</t>
        </is>
      </c>
      <c r="B480" s="1" t="n">
        <v>44443</v>
      </c>
      <c r="C480" s="1" t="n">
        <v>46181</v>
      </c>
      <c r="D480" t="inlineStr">
        <is>
          <t>GOTLANDS LÄN</t>
        </is>
      </c>
      <c r="E480" t="inlineStr">
        <is>
          <t>GOTLAND</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5923-2023</t>
        </is>
      </c>
      <c r="B481" s="1" t="n">
        <v>44963.69503472222</v>
      </c>
      <c r="C481" s="1" t="n">
        <v>46181</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46181</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46181</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10655-2023</t>
        </is>
      </c>
      <c r="B484" s="1" t="n">
        <v>44988.49543981482</v>
      </c>
      <c r="C484" s="1" t="n">
        <v>46181</v>
      </c>
      <c r="D484" t="inlineStr">
        <is>
          <t>GOTLANDS LÄN</t>
        </is>
      </c>
      <c r="E484" t="inlineStr">
        <is>
          <t>GOTLAND</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46181</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26891-2024</t>
        </is>
      </c>
      <c r="B486" s="1" t="n">
        <v>45470.65540509259</v>
      </c>
      <c r="C486" s="1" t="n">
        <v>46181</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42007-2023</t>
        </is>
      </c>
      <c r="B487" s="1" t="n">
        <v>45177</v>
      </c>
      <c r="C487" s="1" t="n">
        <v>46181</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9887-2025</t>
        </is>
      </c>
      <c r="B488" s="1" t="n">
        <v>45716</v>
      </c>
      <c r="C488" s="1" t="n">
        <v>46181</v>
      </c>
      <c r="D488" t="inlineStr">
        <is>
          <t>GOTLANDS LÄN</t>
        </is>
      </c>
      <c r="E488" t="inlineStr">
        <is>
          <t>GOTLAND</t>
        </is>
      </c>
      <c r="G488" t="n">
        <v>7.5</v>
      </c>
      <c r="H488" t="n">
        <v>0</v>
      </c>
      <c r="I488" t="n">
        <v>0</v>
      </c>
      <c r="J488" t="n">
        <v>0</v>
      </c>
      <c r="K488" t="n">
        <v>0</v>
      </c>
      <c r="L488" t="n">
        <v>0</v>
      </c>
      <c r="M488" t="n">
        <v>0</v>
      </c>
      <c r="N488" t="n">
        <v>0</v>
      </c>
      <c r="O488" t="n">
        <v>0</v>
      </c>
      <c r="P488" t="n">
        <v>0</v>
      </c>
      <c r="Q488" t="n">
        <v>0</v>
      </c>
      <c r="R488" s="2" t="inlineStr"/>
    </row>
    <row r="489" ht="15" customHeight="1">
      <c r="A489" t="inlineStr">
        <is>
          <t>A 38165-2023</t>
        </is>
      </c>
      <c r="B489" s="1" t="n">
        <v>45161</v>
      </c>
      <c r="C489" s="1" t="n">
        <v>46181</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46181</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24825-2024</t>
        </is>
      </c>
      <c r="B491" s="1" t="n">
        <v>45461</v>
      </c>
      <c r="C491" s="1" t="n">
        <v>46181</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6696-2023</t>
        </is>
      </c>
      <c r="B492" s="1" t="n">
        <v>44966.66425925926</v>
      </c>
      <c r="C492" s="1" t="n">
        <v>46181</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46181</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456-2023</t>
        </is>
      </c>
      <c r="B494" s="1" t="n">
        <v>44929.87122685185</v>
      </c>
      <c r="C494" s="1" t="n">
        <v>46181</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2714-2023</t>
        </is>
      </c>
      <c r="B495" s="1" t="n">
        <v>44944.54896990741</v>
      </c>
      <c r="C495" s="1" t="n">
        <v>46181</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4421-2024</t>
        </is>
      </c>
      <c r="B496" s="1" t="n">
        <v>45327.45173611111</v>
      </c>
      <c r="C496" s="1" t="n">
        <v>46181</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51782-2023</t>
        </is>
      </c>
      <c r="B497" s="1" t="n">
        <v>45222.80952546297</v>
      </c>
      <c r="C497" s="1" t="n">
        <v>46181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54268-2022</t>
        </is>
      </c>
      <c r="B498" s="1" t="n">
        <v>44882</v>
      </c>
      <c r="C498" s="1" t="n">
        <v>46181</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57534-2022</t>
        </is>
      </c>
      <c r="B499" s="1" t="n">
        <v>44896</v>
      </c>
      <c r="C499" s="1" t="n">
        <v>46181</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46181</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46181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46181</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46181</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46181</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46181</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46181</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46181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46181</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15083-2025</t>
        </is>
      </c>
      <c r="B509" s="1" t="n">
        <v>45743</v>
      </c>
      <c r="C509" s="1" t="n">
        <v>46181</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46181</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44839.51599537037</v>
      </c>
      <c r="C511" s="1" t="n">
        <v>46181</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58132-2023</t>
        </is>
      </c>
      <c r="B512" s="1" t="n">
        <v>45250</v>
      </c>
      <c r="C512" s="1" t="n">
        <v>46181</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46181</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876-2024</t>
        </is>
      </c>
      <c r="B514" s="1" t="n">
        <v>45301</v>
      </c>
      <c r="C514" s="1" t="n">
        <v>46181</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22704-2023</t>
        </is>
      </c>
      <c r="B515" s="1" t="n">
        <v>45071</v>
      </c>
      <c r="C515" s="1" t="n">
        <v>46181</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28425-2023</t>
        </is>
      </c>
      <c r="B516" s="1" t="n">
        <v>45102</v>
      </c>
      <c r="C516" s="1" t="n">
        <v>46181</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46181</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46181</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46181</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43223-2023</t>
        </is>
      </c>
      <c r="B520" s="1" t="n">
        <v>45183.45642361111</v>
      </c>
      <c r="C520" s="1" t="n">
        <v>46181</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3431-2025</t>
        </is>
      </c>
      <c r="B521" s="1" t="n">
        <v>45680.42935185185</v>
      </c>
      <c r="C521" s="1" t="n">
        <v>46181</v>
      </c>
      <c r="D521" t="inlineStr">
        <is>
          <t>GOTLANDS LÄN</t>
        </is>
      </c>
      <c r="E521" t="inlineStr">
        <is>
          <t>GOTLAND</t>
        </is>
      </c>
      <c r="G521" t="n">
        <v>4.8</v>
      </c>
      <c r="H521" t="n">
        <v>0</v>
      </c>
      <c r="I521" t="n">
        <v>0</v>
      </c>
      <c r="J521" t="n">
        <v>0</v>
      </c>
      <c r="K521" t="n">
        <v>0</v>
      </c>
      <c r="L521" t="n">
        <v>0</v>
      </c>
      <c r="M521" t="n">
        <v>0</v>
      </c>
      <c r="N521" t="n">
        <v>0</v>
      </c>
      <c r="O521" t="n">
        <v>0</v>
      </c>
      <c r="P521" t="n">
        <v>0</v>
      </c>
      <c r="Q521" t="n">
        <v>0</v>
      </c>
      <c r="R521" s="2" t="inlineStr"/>
    </row>
    <row r="522" ht="15" customHeight="1">
      <c r="A522" t="inlineStr">
        <is>
          <t>A 12209-2024</t>
        </is>
      </c>
      <c r="B522" s="1" t="n">
        <v>45378</v>
      </c>
      <c r="C522" s="1" t="n">
        <v>46181</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12210-2024</t>
        </is>
      </c>
      <c r="B523" s="1" t="n">
        <v>45378</v>
      </c>
      <c r="C523" s="1" t="n">
        <v>46181</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1364-2025</t>
        </is>
      </c>
      <c r="B524" s="1" t="n">
        <v>45667.63929398148</v>
      </c>
      <c r="C524" s="1" t="n">
        <v>46181</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15042-2025</t>
        </is>
      </c>
      <c r="B525" s="1" t="n">
        <v>45743</v>
      </c>
      <c r="C525" s="1" t="n">
        <v>46181</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46181</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19322-2026</t>
        </is>
      </c>
      <c r="B527" s="1" t="n">
        <v>46129</v>
      </c>
      <c r="C527" s="1" t="n">
        <v>46181</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5863-2026</t>
        </is>
      </c>
      <c r="B528" s="1" t="n">
        <v>46052</v>
      </c>
      <c r="C528" s="1" t="n">
        <v>46181</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46181</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49257-2024</t>
        </is>
      </c>
      <c r="B530" s="1" t="n">
        <v>45595.47627314815</v>
      </c>
      <c r="C530" s="1" t="n">
        <v>46181</v>
      </c>
      <c r="D530" t="inlineStr">
        <is>
          <t>GOTLANDS LÄN</t>
        </is>
      </c>
      <c r="E530" t="inlineStr">
        <is>
          <t>GOTLAND</t>
        </is>
      </c>
      <c r="G530" t="n">
        <v>6.3</v>
      </c>
      <c r="H530" t="n">
        <v>0</v>
      </c>
      <c r="I530" t="n">
        <v>0</v>
      </c>
      <c r="J530" t="n">
        <v>0</v>
      </c>
      <c r="K530" t="n">
        <v>0</v>
      </c>
      <c r="L530" t="n">
        <v>0</v>
      </c>
      <c r="M530" t="n">
        <v>0</v>
      </c>
      <c r="N530" t="n">
        <v>0</v>
      </c>
      <c r="O530" t="n">
        <v>0</v>
      </c>
      <c r="P530" t="n">
        <v>0</v>
      </c>
      <c r="Q530" t="n">
        <v>0</v>
      </c>
      <c r="R530" s="2" t="inlineStr"/>
    </row>
    <row r="531" ht="15" customHeight="1">
      <c r="A531" t="inlineStr">
        <is>
          <t>A 17943-2026</t>
        </is>
      </c>
      <c r="B531" s="1" t="n">
        <v>46122</v>
      </c>
      <c r="C531" s="1" t="n">
        <v>46181</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37202-2024</t>
        </is>
      </c>
      <c r="B532" s="1" t="n">
        <v>45539.67310185185</v>
      </c>
      <c r="C532" s="1" t="n">
        <v>46181</v>
      </c>
      <c r="D532" t="inlineStr">
        <is>
          <t>GOTLANDS LÄN</t>
        </is>
      </c>
      <c r="E532" t="inlineStr">
        <is>
          <t>GOTLAND</t>
        </is>
      </c>
      <c r="G532" t="n">
        <v>0.3</v>
      </c>
      <c r="H532" t="n">
        <v>0</v>
      </c>
      <c r="I532" t="n">
        <v>0</v>
      </c>
      <c r="J532" t="n">
        <v>0</v>
      </c>
      <c r="K532" t="n">
        <v>0</v>
      </c>
      <c r="L532" t="n">
        <v>0</v>
      </c>
      <c r="M532" t="n">
        <v>0</v>
      </c>
      <c r="N532" t="n">
        <v>0</v>
      </c>
      <c r="O532" t="n">
        <v>0</v>
      </c>
      <c r="P532" t="n">
        <v>0</v>
      </c>
      <c r="Q532" t="n">
        <v>0</v>
      </c>
      <c r="R532" s="2" t="inlineStr"/>
    </row>
    <row r="533" ht="15" customHeight="1">
      <c r="A533" t="inlineStr">
        <is>
          <t>A 24448-2026</t>
        </is>
      </c>
      <c r="B533" s="1" t="n">
        <v>46170.35354166666</v>
      </c>
      <c r="C533" s="1" t="n">
        <v>46181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46181</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1839-2026</t>
        </is>
      </c>
      <c r="B535" s="1" t="n">
        <v>46035.3942824074</v>
      </c>
      <c r="C535" s="1" t="n">
        <v>46181</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2774-2024</t>
        </is>
      </c>
      <c r="B536" s="1" t="n">
        <v>45314.62375</v>
      </c>
      <c r="C536" s="1" t="n">
        <v>46181</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46181</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60709-2023</t>
        </is>
      </c>
      <c r="B538" s="1" t="n">
        <v>45260</v>
      </c>
      <c r="C538" s="1" t="n">
        <v>46181</v>
      </c>
      <c r="D538" t="inlineStr">
        <is>
          <t>GOTLANDS LÄN</t>
        </is>
      </c>
      <c r="E538" t="inlineStr">
        <is>
          <t>GOTLAND</t>
        </is>
      </c>
      <c r="G538" t="n">
        <v>1.7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46181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64208-2021</t>
        </is>
      </c>
      <c r="B540" s="1" t="n">
        <v>44510</v>
      </c>
      <c r="C540" s="1" t="n">
        <v>46181</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39764-2022</t>
        </is>
      </c>
      <c r="B541" s="1" t="n">
        <v>44819</v>
      </c>
      <c r="C541" s="1" t="n">
        <v>46181</v>
      </c>
      <c r="D541" t="inlineStr">
        <is>
          <t>GOTLANDS LÄN</t>
        </is>
      </c>
      <c r="E541" t="inlineStr">
        <is>
          <t>GOTLAND</t>
        </is>
      </c>
      <c r="F541" t="inlineStr">
        <is>
          <t>Kyrkan</t>
        </is>
      </c>
      <c r="G541" t="n">
        <v>3.7</v>
      </c>
      <c r="H541" t="n">
        <v>0</v>
      </c>
      <c r="I541" t="n">
        <v>0</v>
      </c>
      <c r="J541" t="n">
        <v>0</v>
      </c>
      <c r="K541" t="n">
        <v>0</v>
      </c>
      <c r="L541" t="n">
        <v>0</v>
      </c>
      <c r="M541" t="n">
        <v>0</v>
      </c>
      <c r="N541" t="n">
        <v>0</v>
      </c>
      <c r="O541" t="n">
        <v>0</v>
      </c>
      <c r="P541" t="n">
        <v>0</v>
      </c>
      <c r="Q541" t="n">
        <v>0</v>
      </c>
      <c r="R541" s="2" t="inlineStr"/>
    </row>
    <row r="542" ht="15" customHeight="1">
      <c r="A542" t="inlineStr">
        <is>
          <t>A 30956-2024</t>
        </is>
      </c>
      <c r="B542" s="1" t="n">
        <v>45499.42527777778</v>
      </c>
      <c r="C542" s="1" t="n">
        <v>46181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30892-2024</t>
        </is>
      </c>
      <c r="B543" s="1" t="n">
        <v>45491</v>
      </c>
      <c r="C543" s="1" t="n">
        <v>46181</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14635-2023</t>
        </is>
      </c>
      <c r="B544" s="1" t="n">
        <v>45013.69365740741</v>
      </c>
      <c r="C544" s="1" t="n">
        <v>46181</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59469-2024</t>
        </is>
      </c>
      <c r="B545" s="1" t="n">
        <v>45638</v>
      </c>
      <c r="C545" s="1" t="n">
        <v>46181</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7858-2025</t>
        </is>
      </c>
      <c r="B546" s="1" t="n">
        <v>45706.68633101852</v>
      </c>
      <c r="C546" s="1" t="n">
        <v>46181</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56009-2024</t>
        </is>
      </c>
      <c r="B547" s="1" t="n">
        <v>45623.80864583333</v>
      </c>
      <c r="C547" s="1" t="n">
        <v>46181</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53935-2024</t>
        </is>
      </c>
      <c r="B548" s="1" t="n">
        <v>45615</v>
      </c>
      <c r="C548" s="1" t="n">
        <v>46181</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18223-2025</t>
        </is>
      </c>
      <c r="B549" s="1" t="n">
        <v>45761</v>
      </c>
      <c r="C549" s="1" t="n">
        <v>46181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4420-2025</t>
        </is>
      </c>
      <c r="B550" s="1" t="n">
        <v>45686.47157407407</v>
      </c>
      <c r="C550" s="1" t="n">
        <v>46181</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5891-2025</t>
        </is>
      </c>
      <c r="B551" s="1" t="n">
        <v>45695.38327546296</v>
      </c>
      <c r="C551" s="1" t="n">
        <v>46181</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7835-2024</t>
        </is>
      </c>
      <c r="B552" s="1" t="n">
        <v>45349.83138888889</v>
      </c>
      <c r="C552" s="1" t="n">
        <v>46181</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21389-2025</t>
        </is>
      </c>
      <c r="B553" s="1" t="n">
        <v>45782</v>
      </c>
      <c r="C553" s="1" t="n">
        <v>46181</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21651-2025</t>
        </is>
      </c>
      <c r="B554" s="1" t="n">
        <v>45783</v>
      </c>
      <c r="C554" s="1" t="n">
        <v>46181</v>
      </c>
      <c r="D554" t="inlineStr">
        <is>
          <t>GOTLANDS LÄN</t>
        </is>
      </c>
      <c r="E554" t="inlineStr">
        <is>
          <t>GOTLAND</t>
        </is>
      </c>
      <c r="G554" t="n">
        <v>4.2</v>
      </c>
      <c r="H554" t="n">
        <v>0</v>
      </c>
      <c r="I554" t="n">
        <v>0</v>
      </c>
      <c r="J554" t="n">
        <v>0</v>
      </c>
      <c r="K554" t="n">
        <v>0</v>
      </c>
      <c r="L554" t="n">
        <v>0</v>
      </c>
      <c r="M554" t="n">
        <v>0</v>
      </c>
      <c r="N554" t="n">
        <v>0</v>
      </c>
      <c r="O554" t="n">
        <v>0</v>
      </c>
      <c r="P554" t="n">
        <v>0</v>
      </c>
      <c r="Q554" t="n">
        <v>0</v>
      </c>
      <c r="R554" s="2" t="inlineStr"/>
    </row>
    <row r="555" ht="15" customHeight="1">
      <c r="A555" t="inlineStr">
        <is>
          <t>A 57356-2023</t>
        </is>
      </c>
      <c r="B555" s="1" t="n">
        <v>45240</v>
      </c>
      <c r="C555" s="1" t="n">
        <v>46181</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10656-2024</t>
        </is>
      </c>
      <c r="B556" s="1" t="n">
        <v>45368</v>
      </c>
      <c r="C556" s="1" t="n">
        <v>46181</v>
      </c>
      <c r="D556" t="inlineStr">
        <is>
          <t>GOTLANDS LÄN</t>
        </is>
      </c>
      <c r="E556" t="inlineStr">
        <is>
          <t>GOTLAND</t>
        </is>
      </c>
      <c r="G556" t="n">
        <v>1.5</v>
      </c>
      <c r="H556" t="n">
        <v>0</v>
      </c>
      <c r="I556" t="n">
        <v>0</v>
      </c>
      <c r="J556" t="n">
        <v>0</v>
      </c>
      <c r="K556" t="n">
        <v>0</v>
      </c>
      <c r="L556" t="n">
        <v>0</v>
      </c>
      <c r="M556" t="n">
        <v>0</v>
      </c>
      <c r="N556" t="n">
        <v>0</v>
      </c>
      <c r="O556" t="n">
        <v>0</v>
      </c>
      <c r="P556" t="n">
        <v>0</v>
      </c>
      <c r="Q556" t="n">
        <v>0</v>
      </c>
      <c r="R556" s="2" t="inlineStr"/>
    </row>
    <row r="557" ht="15" customHeight="1">
      <c r="A557" t="inlineStr">
        <is>
          <t>A 28506-2023</t>
        </is>
      </c>
      <c r="B557" s="1" t="n">
        <v>45103</v>
      </c>
      <c r="C557" s="1" t="n">
        <v>46181</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21420-2024</t>
        </is>
      </c>
      <c r="B558" s="1" t="n">
        <v>45441.38293981482</v>
      </c>
      <c r="C558" s="1" t="n">
        <v>46181</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23188-2025</t>
        </is>
      </c>
      <c r="B559" s="1" t="n">
        <v>45791</v>
      </c>
      <c r="C559" s="1" t="n">
        <v>46181</v>
      </c>
      <c r="D559" t="inlineStr">
        <is>
          <t>GOTLANDS LÄN</t>
        </is>
      </c>
      <c r="E559" t="inlineStr">
        <is>
          <t>GOTLAND</t>
        </is>
      </c>
      <c r="G559" t="n">
        <v>6.2</v>
      </c>
      <c r="H559" t="n">
        <v>0</v>
      </c>
      <c r="I559" t="n">
        <v>0</v>
      </c>
      <c r="J559" t="n">
        <v>0</v>
      </c>
      <c r="K559" t="n">
        <v>0</v>
      </c>
      <c r="L559" t="n">
        <v>0</v>
      </c>
      <c r="M559" t="n">
        <v>0</v>
      </c>
      <c r="N559" t="n">
        <v>0</v>
      </c>
      <c r="O559" t="n">
        <v>0</v>
      </c>
      <c r="P559" t="n">
        <v>0</v>
      </c>
      <c r="Q559" t="n">
        <v>0</v>
      </c>
      <c r="R559" s="2" t="inlineStr"/>
    </row>
    <row r="560" ht="15" customHeight="1">
      <c r="A560" t="inlineStr">
        <is>
          <t>A 35537-2025</t>
        </is>
      </c>
      <c r="B560" s="1" t="n">
        <v>45856</v>
      </c>
      <c r="C560" s="1" t="n">
        <v>46181</v>
      </c>
      <c r="D560" t="inlineStr">
        <is>
          <t>GOTLANDS LÄN</t>
        </is>
      </c>
      <c r="E560" t="inlineStr">
        <is>
          <t>GOTLAND</t>
        </is>
      </c>
      <c r="G560" t="n">
        <v>16.8</v>
      </c>
      <c r="H560" t="n">
        <v>0</v>
      </c>
      <c r="I560" t="n">
        <v>0</v>
      </c>
      <c r="J560" t="n">
        <v>0</v>
      </c>
      <c r="K560" t="n">
        <v>0</v>
      </c>
      <c r="L560" t="n">
        <v>0</v>
      </c>
      <c r="M560" t="n">
        <v>0</v>
      </c>
      <c r="N560" t="n">
        <v>0</v>
      </c>
      <c r="O560" t="n">
        <v>0</v>
      </c>
      <c r="P560" t="n">
        <v>0</v>
      </c>
      <c r="Q560" t="n">
        <v>0</v>
      </c>
      <c r="R560" s="2" t="inlineStr"/>
    </row>
    <row r="561" ht="15" customHeight="1">
      <c r="A561" t="inlineStr">
        <is>
          <t>A 23473-2025</t>
        </is>
      </c>
      <c r="B561" s="1" t="n">
        <v>45792</v>
      </c>
      <c r="C561" s="1" t="n">
        <v>46181</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23856-2025</t>
        </is>
      </c>
      <c r="B562" s="1" t="n">
        <v>45793</v>
      </c>
      <c r="C562" s="1" t="n">
        <v>46181</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15073-2025</t>
        </is>
      </c>
      <c r="B563" s="1" t="n">
        <v>45743</v>
      </c>
      <c r="C563" s="1" t="n">
        <v>46181</v>
      </c>
      <c r="D563" t="inlineStr">
        <is>
          <t>GOTLANDS LÄN</t>
        </is>
      </c>
      <c r="E563" t="inlineStr">
        <is>
          <t>GOTLAND</t>
        </is>
      </c>
      <c r="G563" t="n">
        <v>12.1</v>
      </c>
      <c r="H563" t="n">
        <v>0</v>
      </c>
      <c r="I563" t="n">
        <v>0</v>
      </c>
      <c r="J563" t="n">
        <v>0</v>
      </c>
      <c r="K563" t="n">
        <v>0</v>
      </c>
      <c r="L563" t="n">
        <v>0</v>
      </c>
      <c r="M563" t="n">
        <v>0</v>
      </c>
      <c r="N563" t="n">
        <v>0</v>
      </c>
      <c r="O563" t="n">
        <v>0</v>
      </c>
      <c r="P563" t="n">
        <v>0</v>
      </c>
      <c r="Q563" t="n">
        <v>0</v>
      </c>
      <c r="R563" s="2" t="inlineStr"/>
    </row>
    <row r="564" ht="15" customHeight="1">
      <c r="A564" t="inlineStr">
        <is>
          <t>A 29207-2025</t>
        </is>
      </c>
      <c r="B564" s="1" t="n">
        <v>45823</v>
      </c>
      <c r="C564" s="1" t="n">
        <v>46181</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25796-2025</t>
        </is>
      </c>
      <c r="B565" s="1" t="n">
        <v>45804.39543981481</v>
      </c>
      <c r="C565" s="1" t="n">
        <v>46181</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46181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49962-2023</t>
        </is>
      </c>
      <c r="B567" s="1" t="n">
        <v>45215.38775462963</v>
      </c>
      <c r="C567" s="1" t="n">
        <v>46181</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62754-2025</t>
        </is>
      </c>
      <c r="B568" s="1" t="n">
        <v>46008</v>
      </c>
      <c r="C568" s="1" t="n">
        <v>46181</v>
      </c>
      <c r="D568" t="inlineStr">
        <is>
          <t>GOTLANDS LÄN</t>
        </is>
      </c>
      <c r="E568" t="inlineStr">
        <is>
          <t>GOTLAND</t>
        </is>
      </c>
      <c r="F568" t="inlineStr">
        <is>
          <t>Övriga Aktiebolag</t>
        </is>
      </c>
      <c r="G568" t="n">
        <v>2.9</v>
      </c>
      <c r="H568" t="n">
        <v>0</v>
      </c>
      <c r="I568" t="n">
        <v>0</v>
      </c>
      <c r="J568" t="n">
        <v>0</v>
      </c>
      <c r="K568" t="n">
        <v>0</v>
      </c>
      <c r="L568" t="n">
        <v>0</v>
      </c>
      <c r="M568" t="n">
        <v>0</v>
      </c>
      <c r="N568" t="n">
        <v>0</v>
      </c>
      <c r="O568" t="n">
        <v>0</v>
      </c>
      <c r="P568" t="n">
        <v>0</v>
      </c>
      <c r="Q568" t="n">
        <v>0</v>
      </c>
      <c r="R568" s="2" t="inlineStr"/>
    </row>
    <row r="569" ht="15" customHeight="1">
      <c r="A569" t="inlineStr">
        <is>
          <t>A 45106-2024</t>
        </is>
      </c>
      <c r="B569" s="1" t="n">
        <v>45575</v>
      </c>
      <c r="C569" s="1" t="n">
        <v>46181</v>
      </c>
      <c r="D569" t="inlineStr">
        <is>
          <t>GOTLANDS LÄN</t>
        </is>
      </c>
      <c r="E569" t="inlineStr">
        <is>
          <t>GOTLAND</t>
        </is>
      </c>
      <c r="G569" t="n">
        <v>10</v>
      </c>
      <c r="H569" t="n">
        <v>0</v>
      </c>
      <c r="I569" t="n">
        <v>0</v>
      </c>
      <c r="J569" t="n">
        <v>0</v>
      </c>
      <c r="K569" t="n">
        <v>0</v>
      </c>
      <c r="L569" t="n">
        <v>0</v>
      </c>
      <c r="M569" t="n">
        <v>0</v>
      </c>
      <c r="N569" t="n">
        <v>0</v>
      </c>
      <c r="O569" t="n">
        <v>0</v>
      </c>
      <c r="P569" t="n">
        <v>0</v>
      </c>
      <c r="Q569" t="n">
        <v>0</v>
      </c>
      <c r="R569" s="2" t="inlineStr"/>
    </row>
    <row r="570" ht="15" customHeight="1">
      <c r="A570" t="inlineStr">
        <is>
          <t>A 20225-2025</t>
        </is>
      </c>
      <c r="B570" s="1" t="n">
        <v>45772.65802083333</v>
      </c>
      <c r="C570" s="1" t="n">
        <v>46181</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32379-2025</t>
        </is>
      </c>
      <c r="B571" s="1" t="n">
        <v>45837</v>
      </c>
      <c r="C571" s="1" t="n">
        <v>46181</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45112-2024</t>
        </is>
      </c>
      <c r="B572" s="1" t="n">
        <v>45575</v>
      </c>
      <c r="C572" s="1" t="n">
        <v>46181</v>
      </c>
      <c r="D572" t="inlineStr">
        <is>
          <t>GOTLANDS LÄN</t>
        </is>
      </c>
      <c r="E572" t="inlineStr">
        <is>
          <t>GOTLAND</t>
        </is>
      </c>
      <c r="G572" t="n">
        <v>5.1</v>
      </c>
      <c r="H572" t="n">
        <v>0</v>
      </c>
      <c r="I572" t="n">
        <v>0</v>
      </c>
      <c r="J572" t="n">
        <v>0</v>
      </c>
      <c r="K572" t="n">
        <v>0</v>
      </c>
      <c r="L572" t="n">
        <v>0</v>
      </c>
      <c r="M572" t="n">
        <v>0</v>
      </c>
      <c r="N572" t="n">
        <v>0</v>
      </c>
      <c r="O572" t="n">
        <v>0</v>
      </c>
      <c r="P572" t="n">
        <v>0</v>
      </c>
      <c r="Q572" t="n">
        <v>0</v>
      </c>
      <c r="R572" s="2" t="inlineStr"/>
    </row>
    <row r="573" ht="15" customHeight="1">
      <c r="A573" t="inlineStr">
        <is>
          <t>A 1854-2026</t>
        </is>
      </c>
      <c r="B573" s="1" t="n">
        <v>46035</v>
      </c>
      <c r="C573" s="1" t="n">
        <v>46181</v>
      </c>
      <c r="D573" t="inlineStr">
        <is>
          <t>GOTLANDS LÄN</t>
        </is>
      </c>
      <c r="E573" t="inlineStr">
        <is>
          <t>GOTLAND</t>
        </is>
      </c>
      <c r="G573" t="n">
        <v>3</v>
      </c>
      <c r="H573" t="n">
        <v>0</v>
      </c>
      <c r="I573" t="n">
        <v>0</v>
      </c>
      <c r="J573" t="n">
        <v>0</v>
      </c>
      <c r="K573" t="n">
        <v>0</v>
      </c>
      <c r="L573" t="n">
        <v>0</v>
      </c>
      <c r="M573" t="n">
        <v>0</v>
      </c>
      <c r="N573" t="n">
        <v>0</v>
      </c>
      <c r="O573" t="n">
        <v>0</v>
      </c>
      <c r="P573" t="n">
        <v>0</v>
      </c>
      <c r="Q573" t="n">
        <v>0</v>
      </c>
      <c r="R573" s="2" t="inlineStr"/>
    </row>
    <row r="574">
      <c r="A574" t="inlineStr">
        <is>
          <t>A 4868-2024</t>
        </is>
      </c>
      <c r="B574" s="1" t="n">
        <v>45329</v>
      </c>
      <c r="C574" s="1" t="n">
        <v>46181</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2026-06-08T10:34:45Z</dcterms:created>
  <dcterms:modified xmlns:dcterms="http://purl.org/dc/terms/" xmlns:xsi="http://www.w3.org/2001/XMLSchema-instance" xsi:type="dcterms:W3CDTF">2026-06-08T10:34:45Z</dcterms:modified>
</cp:coreProperties>
</file>