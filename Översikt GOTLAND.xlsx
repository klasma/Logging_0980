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46091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46091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46091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46091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46091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46091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46091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46091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46091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61664-2023</t>
        </is>
      </c>
      <c r="B11" s="1" t="n">
        <v>45265</v>
      </c>
      <c r="C11" s="1" t="n">
        <v>46091</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46091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46091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46091</v>
      </c>
      <c r="D14" t="inlineStr">
        <is>
          <t>GOTLANDS LÄN</t>
        </is>
      </c>
      <c r="E14" t="inlineStr">
        <is>
          <t>GOTLAND</t>
        </is>
      </c>
      <c r="G14" t="n">
        <v>15.8</v>
      </c>
      <c r="H14" t="n">
        <v>3</v>
      </c>
      <c r="I14" t="n">
        <v>10</v>
      </c>
      <c r="J14" t="n">
        <v>6</v>
      </c>
      <c r="K14" t="n">
        <v>11</v>
      </c>
      <c r="L14" t="n">
        <v>0</v>
      </c>
      <c r="M14" t="n">
        <v>0</v>
      </c>
      <c r="N14" t="n">
        <v>0</v>
      </c>
      <c r="O14" t="n">
        <v>17</v>
      </c>
      <c r="P14" t="n">
        <v>11</v>
      </c>
      <c r="Q14" t="n">
        <v>28</v>
      </c>
      <c r="R14"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46091</v>
      </c>
      <c r="D15" t="inlineStr">
        <is>
          <t>GOTLANDS LÄN</t>
        </is>
      </c>
      <c r="E15" t="inlineStr">
        <is>
          <t>GOTLAND</t>
        </is>
      </c>
      <c r="G15" t="n">
        <v>10.4</v>
      </c>
      <c r="H15" t="n">
        <v>3</v>
      </c>
      <c r="I15" t="n">
        <v>12</v>
      </c>
      <c r="J15" t="n">
        <v>3</v>
      </c>
      <c r="K15" t="n">
        <v>9</v>
      </c>
      <c r="L15" t="n">
        <v>1</v>
      </c>
      <c r="M15" t="n">
        <v>0</v>
      </c>
      <c r="N15" t="n">
        <v>0</v>
      </c>
      <c r="O15" t="n">
        <v>14</v>
      </c>
      <c r="P15" t="n">
        <v>10</v>
      </c>
      <c r="Q15" t="n">
        <v>27</v>
      </c>
      <c r="R15"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922-2023</t>
        </is>
      </c>
      <c r="B16" s="1" t="n">
        <v>44932</v>
      </c>
      <c r="C16" s="1" t="n">
        <v>46091</v>
      </c>
      <c r="D16" t="inlineStr">
        <is>
          <t>GOTLANDS LÄN</t>
        </is>
      </c>
      <c r="E16" t="inlineStr">
        <is>
          <t>GOTLAND</t>
        </is>
      </c>
      <c r="G16" t="n">
        <v>6.9</v>
      </c>
      <c r="H16" t="n">
        <v>3</v>
      </c>
      <c r="I16" t="n">
        <v>8</v>
      </c>
      <c r="J16" t="n">
        <v>7</v>
      </c>
      <c r="K16" t="n">
        <v>6</v>
      </c>
      <c r="L16" t="n">
        <v>0</v>
      </c>
      <c r="M16" t="n">
        <v>0</v>
      </c>
      <c r="N16" t="n">
        <v>0</v>
      </c>
      <c r="O16" t="n">
        <v>13</v>
      </c>
      <c r="P16" t="n">
        <v>6</v>
      </c>
      <c r="Q16" t="n">
        <v>21</v>
      </c>
      <c r="R16"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6">
        <f>HYPERLINK("https://klasma.github.io/Logging_0980/artfynd/A 922-2023 artfynd.xlsx", "A 922-2023")</f>
        <v/>
      </c>
      <c r="T16">
        <f>HYPERLINK("https://klasma.github.io/Logging_0980/kartor/A 922-2023 karta.png", "A 922-2023")</f>
        <v/>
      </c>
      <c r="V16">
        <f>HYPERLINK("https://klasma.github.io/Logging_0980/klagomål/A 922-2023 FSC-klagomål.docx", "A 922-2023")</f>
        <v/>
      </c>
      <c r="W16">
        <f>HYPERLINK("https://klasma.github.io/Logging_0980/klagomålsmail/A 922-2023 FSC-klagomål mail.docx", "A 922-2023")</f>
        <v/>
      </c>
      <c r="X16">
        <f>HYPERLINK("https://klasma.github.io/Logging_0980/tillsyn/A 922-2023 tillsynsbegäran.docx", "A 922-2023")</f>
        <v/>
      </c>
      <c r="Y16">
        <f>HYPERLINK("https://klasma.github.io/Logging_0980/tillsynsmail/A 922-2023 tillsynsbegäran mail.docx", "A 922-2023")</f>
        <v/>
      </c>
    </row>
    <row r="17" ht="15" customHeight="1">
      <c r="A17" t="inlineStr">
        <is>
          <t>A 40235-2025</t>
        </is>
      </c>
      <c r="B17" s="1" t="n">
        <v>45894</v>
      </c>
      <c r="C17" s="1" t="n">
        <v>46091</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445-2023</t>
        </is>
      </c>
      <c r="B18" s="1" t="n">
        <v>44929</v>
      </c>
      <c r="C18" s="1" t="n">
        <v>46091</v>
      </c>
      <c r="D18" t="inlineStr">
        <is>
          <t>GOTLANDS LÄN</t>
        </is>
      </c>
      <c r="E18" t="inlineStr">
        <is>
          <t>GOTLAND</t>
        </is>
      </c>
      <c r="G18" t="n">
        <v>4.9</v>
      </c>
      <c r="H18" t="n">
        <v>3</v>
      </c>
      <c r="I18" t="n">
        <v>8</v>
      </c>
      <c r="J18" t="n">
        <v>6</v>
      </c>
      <c r="K18" t="n">
        <v>6</v>
      </c>
      <c r="L18" t="n">
        <v>0</v>
      </c>
      <c r="M18" t="n">
        <v>0</v>
      </c>
      <c r="N18" t="n">
        <v>0</v>
      </c>
      <c r="O18" t="n">
        <v>13</v>
      </c>
      <c r="P18" t="n">
        <v>6</v>
      </c>
      <c r="Q18" t="n">
        <v>21</v>
      </c>
      <c r="R18"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8">
        <f>HYPERLINK("https://klasma.github.io/Logging_0980/artfynd/A 445-2023 artfynd.xlsx", "A 445-2023")</f>
        <v/>
      </c>
      <c r="T18">
        <f>HYPERLINK("https://klasma.github.io/Logging_0980/kartor/A 445-2023 karta.png", "A 445-2023")</f>
        <v/>
      </c>
      <c r="V18">
        <f>HYPERLINK("https://klasma.github.io/Logging_0980/klagomål/A 445-2023 FSC-klagomål.docx", "A 445-2023")</f>
        <v/>
      </c>
      <c r="W18">
        <f>HYPERLINK("https://klasma.github.io/Logging_0980/klagomålsmail/A 445-2023 FSC-klagomål mail.docx", "A 445-2023")</f>
        <v/>
      </c>
      <c r="X18">
        <f>HYPERLINK("https://klasma.github.io/Logging_0980/tillsyn/A 445-2023 tillsynsbegäran.docx", "A 445-2023")</f>
        <v/>
      </c>
      <c r="Y18">
        <f>HYPERLINK("https://klasma.github.io/Logging_0980/tillsynsmail/A 445-2023 tillsynsbegäran mail.docx", "A 445-2023")</f>
        <v/>
      </c>
      <c r="Z18">
        <f>HYPERLINK("https://klasma.github.io/Logging_0980/fåglar/A 445-2023 prioriterade fågelarter.docx", "A 445-2023")</f>
        <v/>
      </c>
    </row>
    <row r="19" ht="15" customHeight="1">
      <c r="A19" t="inlineStr">
        <is>
          <t>A 569-2023</t>
        </is>
      </c>
      <c r="B19" s="1" t="n">
        <v>44930</v>
      </c>
      <c r="C19" s="1" t="n">
        <v>46091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46091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46091</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46091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46091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46091</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46091</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46091</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46091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46091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46091</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62132-2023</t>
        </is>
      </c>
      <c r="B30" s="1" t="n">
        <v>45267</v>
      </c>
      <c r="C30" s="1" t="n">
        <v>46091</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46091</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46091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46091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agg.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46091</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46091</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46091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35141-2022</t>
        </is>
      </c>
      <c r="B37" s="1" t="n">
        <v>44797.53318287037</v>
      </c>
      <c r="C37" s="1" t="n">
        <v>46091</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3324-2023</t>
        </is>
      </c>
      <c r="B38" s="1" t="n">
        <v>44949</v>
      </c>
      <c r="C38" s="1" t="n">
        <v>46091</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15850-2025</t>
        </is>
      </c>
      <c r="B39" s="1" t="n">
        <v>45748</v>
      </c>
      <c r="C39" s="1" t="n">
        <v>46091</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46091</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46091</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46091</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46091</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46091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46091</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46091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46091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1719-2025</t>
        </is>
      </c>
      <c r="B48" s="1" t="n">
        <v>45671</v>
      </c>
      <c r="C48" s="1" t="n">
        <v>46091</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14354-2024</t>
        </is>
      </c>
      <c r="B49" s="1" t="n">
        <v>45393</v>
      </c>
      <c r="C49" s="1" t="n">
        <v>46091</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17766-2024</t>
        </is>
      </c>
      <c r="B50" s="1" t="n">
        <v>45418</v>
      </c>
      <c r="C50" s="1" t="n">
        <v>46091</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45248-2024</t>
        </is>
      </c>
      <c r="B51" s="1" t="n">
        <v>45576</v>
      </c>
      <c r="C51" s="1" t="n">
        <v>46091</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46091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46091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46091</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46091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46091</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46091</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46091</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46091</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51737-2021</t>
        </is>
      </c>
      <c r="B60" s="1" t="n">
        <v>44462.57368055556</v>
      </c>
      <c r="C60" s="1" t="n">
        <v>46091</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10419-2025</t>
        </is>
      </c>
      <c r="B61" s="1" t="n">
        <v>45720</v>
      </c>
      <c r="C61" s="1" t="n">
        <v>46091</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4984-2025</t>
        </is>
      </c>
      <c r="B62" s="1" t="n">
        <v>45691.29891203704</v>
      </c>
      <c r="C62" s="1" t="n">
        <v>46091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46091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46091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46091</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27280-2023</t>
        </is>
      </c>
      <c r="B66" s="1" t="n">
        <v>45096</v>
      </c>
      <c r="C66" s="1" t="n">
        <v>46091</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46091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46091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25205-2021</t>
        </is>
      </c>
      <c r="B69" s="1" t="n">
        <v>44342</v>
      </c>
      <c r="C69" s="1" t="n">
        <v>46091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46091</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446-2023</t>
        </is>
      </c>
      <c r="B71" s="1" t="n">
        <v>44929</v>
      </c>
      <c r="C71" s="1" t="n">
        <v>46091</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46091</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46091</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46091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46091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57773-2025</t>
        </is>
      </c>
      <c r="B76" s="1" t="n">
        <v>45981.56349537037</v>
      </c>
      <c r="C76" s="1" t="n">
        <v>46091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7038-2023</t>
        </is>
      </c>
      <c r="B77" s="1" t="n">
        <v>44968</v>
      </c>
      <c r="C77" s="1" t="n">
        <v>46091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46091</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46091</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42936-2024</t>
        </is>
      </c>
      <c r="B80" s="1" t="n">
        <v>45567</v>
      </c>
      <c r="C80" s="1" t="n">
        <v>46091</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16375-2025</t>
        </is>
      </c>
      <c r="B81" s="1" t="n">
        <v>45751.41064814815</v>
      </c>
      <c r="C81" s="1" t="n">
        <v>46091</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35293-2025</t>
        </is>
      </c>
      <c r="B82" s="1" t="n">
        <v>45854.39438657407</v>
      </c>
      <c r="C82" s="1" t="n">
        <v>46091</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46091</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46091</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46091</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46091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46091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46091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46091</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6159-2023</t>
        </is>
      </c>
      <c r="B90" s="1" t="n">
        <v>44964</v>
      </c>
      <c r="C90" s="1" t="n">
        <v>46091</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40099-2025</t>
        </is>
      </c>
      <c r="B91" s="1" t="n">
        <v>45894.48462962963</v>
      </c>
      <c r="C91" s="1" t="n">
        <v>46091</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43197-2023</t>
        </is>
      </c>
      <c r="B92" s="1" t="n">
        <v>45183</v>
      </c>
      <c r="C92" s="1" t="n">
        <v>46091</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46091</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46091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46091</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44933-2022</t>
        </is>
      </c>
      <c r="B96" s="1" t="n">
        <v>44841</v>
      </c>
      <c r="C96" s="1" t="n">
        <v>46091</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6836-2026</t>
        </is>
      </c>
      <c r="B97" s="1" t="n">
        <v>46057.40902777778</v>
      </c>
      <c r="C97" s="1" t="n">
        <v>46091</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2485-2025</t>
        </is>
      </c>
      <c r="B98" s="1" t="n">
        <v>45673</v>
      </c>
      <c r="C98" s="1" t="n">
        <v>46091</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57463-2025</t>
        </is>
      </c>
      <c r="B99" s="1" t="n">
        <v>45980.54174768519</v>
      </c>
      <c r="C99" s="1" t="n">
        <v>46091</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46091</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8265-2023</t>
        </is>
      </c>
      <c r="B101" s="1" t="n">
        <v>44974</v>
      </c>
      <c r="C101" s="1" t="n">
        <v>46091</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46091</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46091</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46091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46091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46091</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46091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46091</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55334-2024</t>
        </is>
      </c>
      <c r="B109" s="1" t="n">
        <v>45621</v>
      </c>
      <c r="C109" s="1" t="n">
        <v>46091</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30490-2025</t>
        </is>
      </c>
      <c r="B110" s="1" t="n">
        <v>45830</v>
      </c>
      <c r="C110" s="1" t="n">
        <v>46091</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49709-2025</t>
        </is>
      </c>
      <c r="B111" s="1" t="n">
        <v>45939.68228009259</v>
      </c>
      <c r="C111" s="1" t="n">
        <v>46091</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46091</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46091</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20831-2024</t>
        </is>
      </c>
      <c r="B114" s="1" t="n">
        <v>45439</v>
      </c>
      <c r="C114" s="1" t="n">
        <v>46091</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53552-2021</t>
        </is>
      </c>
      <c r="B115" s="1" t="n">
        <v>44468</v>
      </c>
      <c r="C115" s="1" t="n">
        <v>46091</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17982-2023</t>
        </is>
      </c>
      <c r="B116" s="1" t="n">
        <v>45040</v>
      </c>
      <c r="C116" s="1" t="n">
        <v>46091</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46091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46091</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1520-2026</t>
        </is>
      </c>
      <c r="B119" s="1" t="n">
        <v>46034.35891203704</v>
      </c>
      <c r="C119" s="1" t="n">
        <v>46091</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12315-2024</t>
        </is>
      </c>
      <c r="B120" s="1" t="n">
        <v>45378.6434837963</v>
      </c>
      <c r="C120" s="1" t="n">
        <v>46091</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46091</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46091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46091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46091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46091</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46091</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21879-2025</t>
        </is>
      </c>
      <c r="B127" s="1" t="n">
        <v>45784.40533564815</v>
      </c>
      <c r="C127" s="1" t="n">
        <v>46091</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26077-2024</t>
        </is>
      </c>
      <c r="B128" s="1" t="n">
        <v>45467</v>
      </c>
      <c r="C128" s="1" t="n">
        <v>46091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20429-2025</t>
        </is>
      </c>
      <c r="B129" s="1" t="n">
        <v>45775.47728009259</v>
      </c>
      <c r="C129" s="1" t="n">
        <v>46091</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20838-2024</t>
        </is>
      </c>
      <c r="B130" s="1" t="n">
        <v>45439</v>
      </c>
      <c r="C130" s="1" t="n">
        <v>46091</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63162-2025</t>
        </is>
      </c>
      <c r="B131" s="1" t="n">
        <v>46010.37629629629</v>
      </c>
      <c r="C131" s="1" t="n">
        <v>46091</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54357-2024</t>
        </is>
      </c>
      <c r="B132" s="1" t="n">
        <v>45617.40662037037</v>
      </c>
      <c r="C132" s="1" t="n">
        <v>46091</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46091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10274-2026</t>
        </is>
      </c>
      <c r="B134" s="1" t="n">
        <v>46076.58261574074</v>
      </c>
      <c r="C134" s="1" t="n">
        <v>46091</v>
      </c>
      <c r="D134" t="inlineStr">
        <is>
          <t>GOTLANDS LÄN</t>
        </is>
      </c>
      <c r="E134" t="inlineStr">
        <is>
          <t>GOTLAND</t>
        </is>
      </c>
      <c r="G134" t="n">
        <v>9.800000000000001</v>
      </c>
      <c r="H134" t="n">
        <v>1</v>
      </c>
      <c r="I134" t="n">
        <v>0</v>
      </c>
      <c r="J134" t="n">
        <v>0</v>
      </c>
      <c r="K134" t="n">
        <v>1</v>
      </c>
      <c r="L134" t="n">
        <v>0</v>
      </c>
      <c r="M134" t="n">
        <v>0</v>
      </c>
      <c r="N134" t="n">
        <v>0</v>
      </c>
      <c r="O134" t="n">
        <v>1</v>
      </c>
      <c r="P134" t="n">
        <v>1</v>
      </c>
      <c r="Q134" t="n">
        <v>2</v>
      </c>
      <c r="R134" s="2" t="inlineStr">
        <is>
          <t>Gråfingerört
Alvarstånds</t>
        </is>
      </c>
      <c r="S134">
        <f>HYPERLINK("https://klasma.github.io/Logging_0980/artfynd/A 10274-2026 artfynd.xlsx", "A 10274-2026")</f>
        <v/>
      </c>
      <c r="T134">
        <f>HYPERLINK("https://klasma.github.io/Logging_0980/kartor/A 10274-2026 karta.png", "A 10274-2026")</f>
        <v/>
      </c>
      <c r="V134">
        <f>HYPERLINK("https://klasma.github.io/Logging_0980/klagomål/A 10274-2026 FSC-klagomål.docx", "A 10274-2026")</f>
        <v/>
      </c>
      <c r="W134">
        <f>HYPERLINK("https://klasma.github.io/Logging_0980/klagomålsmail/A 10274-2026 FSC-klagomål mail.docx", "A 10274-2026")</f>
        <v/>
      </c>
      <c r="X134">
        <f>HYPERLINK("https://klasma.github.io/Logging_0980/tillsyn/A 10274-2026 tillsynsbegäran.docx", "A 10274-2026")</f>
        <v/>
      </c>
      <c r="Y134">
        <f>HYPERLINK("https://klasma.github.io/Logging_0980/tillsynsmail/A 10274-2026 tillsynsbegäran mail.docx", "A 10274-2026")</f>
        <v/>
      </c>
    </row>
    <row r="135" ht="15" customHeight="1">
      <c r="A135" t="inlineStr">
        <is>
          <t>A 62760-2025</t>
        </is>
      </c>
      <c r="B135" s="1" t="n">
        <v>46008</v>
      </c>
      <c r="C135" s="1" t="n">
        <v>46091</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43219-2023</t>
        </is>
      </c>
      <c r="B136" s="1" t="n">
        <v>45183</v>
      </c>
      <c r="C136" s="1" t="n">
        <v>46091</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12914-2025</t>
        </is>
      </c>
      <c r="B137" s="1" t="n">
        <v>45733</v>
      </c>
      <c r="C137" s="1" t="n">
        <v>46091</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46091</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46091</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28276-2024</t>
        </is>
      </c>
      <c r="B140" s="1" t="n">
        <v>45477</v>
      </c>
      <c r="C140" s="1" t="n">
        <v>46091</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46091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46091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46091</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46091</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46091</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21466-2025</t>
        </is>
      </c>
      <c r="B146" s="1" t="n">
        <v>45782</v>
      </c>
      <c r="C146" s="1" t="n">
        <v>46091</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44304-2021</t>
        </is>
      </c>
      <c r="B147" s="1" t="n">
        <v>44434</v>
      </c>
      <c r="C147" s="1" t="n">
        <v>46091</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10440-2024</t>
        </is>
      </c>
      <c r="B148" s="1" t="n">
        <v>45366.32818287037</v>
      </c>
      <c r="C148" s="1" t="n">
        <v>46091</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46091</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25977-2024</t>
        </is>
      </c>
      <c r="B150" s="1" t="n">
        <v>45467.69356481481</v>
      </c>
      <c r="C150" s="1" t="n">
        <v>46091</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65927-2021</t>
        </is>
      </c>
      <c r="B151" s="1" t="n">
        <v>44516</v>
      </c>
      <c r="C151" s="1" t="n">
        <v>46091</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26461-2025</t>
        </is>
      </c>
      <c r="B152" s="1" t="n">
        <v>45807.43337962963</v>
      </c>
      <c r="C152" s="1" t="n">
        <v>46091</v>
      </c>
      <c r="D152" t="inlineStr">
        <is>
          <t>GOTLANDS LÄN</t>
        </is>
      </c>
      <c r="E152" t="inlineStr">
        <is>
          <t>GOTLAND</t>
        </is>
      </c>
      <c r="G152" t="n">
        <v>4.1</v>
      </c>
      <c r="H152" t="n">
        <v>0</v>
      </c>
      <c r="I152" t="n">
        <v>0</v>
      </c>
      <c r="J152" t="n">
        <v>0</v>
      </c>
      <c r="K152" t="n">
        <v>1</v>
      </c>
      <c r="L152" t="n">
        <v>0</v>
      </c>
      <c r="M152" t="n">
        <v>0</v>
      </c>
      <c r="N152" t="n">
        <v>0</v>
      </c>
      <c r="O152" t="n">
        <v>1</v>
      </c>
      <c r="P152" t="n">
        <v>1</v>
      </c>
      <c r="Q152" t="n">
        <v>1</v>
      </c>
      <c r="R152" s="2" t="inlineStr">
        <is>
          <t>Gotlandsmåra</t>
        </is>
      </c>
      <c r="S152">
        <f>HYPERLINK("https://klasma.github.io/Logging_0980/artfynd/A 26461-2025 artfynd.xlsx", "A 26461-2025")</f>
        <v/>
      </c>
      <c r="T152">
        <f>HYPERLINK("https://klasma.github.io/Logging_0980/kartor/A 26461-2025 karta.png", "A 26461-2025")</f>
        <v/>
      </c>
      <c r="V152">
        <f>HYPERLINK("https://klasma.github.io/Logging_0980/klagomål/A 26461-2025 FSC-klagomål.docx", "A 26461-2025")</f>
        <v/>
      </c>
      <c r="W152">
        <f>HYPERLINK("https://klasma.github.io/Logging_0980/klagomålsmail/A 26461-2025 FSC-klagomål mail.docx", "A 26461-2025")</f>
        <v/>
      </c>
      <c r="X152">
        <f>HYPERLINK("https://klasma.github.io/Logging_0980/tillsyn/A 26461-2025 tillsynsbegäran.docx", "A 26461-2025")</f>
        <v/>
      </c>
      <c r="Y152">
        <f>HYPERLINK("https://klasma.github.io/Logging_0980/tillsynsmail/A 26461-2025 tillsynsbegäran mail.docx", "A 26461-2025")</f>
        <v/>
      </c>
    </row>
    <row r="153" ht="15" customHeight="1">
      <c r="A153" t="inlineStr">
        <is>
          <t>A 35467-2021</t>
        </is>
      </c>
      <c r="B153" s="1" t="n">
        <v>44385</v>
      </c>
      <c r="C153" s="1" t="n">
        <v>46091</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61796-2022</t>
        </is>
      </c>
      <c r="B154" s="1" t="n">
        <v>44917</v>
      </c>
      <c r="C154" s="1" t="n">
        <v>46091</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44619-2025</t>
        </is>
      </c>
      <c r="B155" s="1" t="n">
        <v>45917</v>
      </c>
      <c r="C155" s="1" t="n">
        <v>46091</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15637-2024</t>
        </is>
      </c>
      <c r="B156" s="1" t="n">
        <v>45403.6684837963</v>
      </c>
      <c r="C156" s="1" t="n">
        <v>46091</v>
      </c>
      <c r="D156" t="inlineStr">
        <is>
          <t>GOTLANDS LÄN</t>
        </is>
      </c>
      <c r="E156" t="inlineStr">
        <is>
          <t>GOTLAND</t>
        </is>
      </c>
      <c r="G156" t="n">
        <v>4.1</v>
      </c>
      <c r="H156" t="n">
        <v>1</v>
      </c>
      <c r="I156" t="n">
        <v>0</v>
      </c>
      <c r="J156" t="n">
        <v>0</v>
      </c>
      <c r="K156" t="n">
        <v>0</v>
      </c>
      <c r="L156" t="n">
        <v>0</v>
      </c>
      <c r="M156" t="n">
        <v>0</v>
      </c>
      <c r="N156" t="n">
        <v>0</v>
      </c>
      <c r="O156" t="n">
        <v>0</v>
      </c>
      <c r="P156" t="n">
        <v>0</v>
      </c>
      <c r="Q156" t="n">
        <v>1</v>
      </c>
      <c r="R156" s="2" t="inlineStr">
        <is>
          <t>Blåsippa</t>
        </is>
      </c>
      <c r="S156">
        <f>HYPERLINK("https://klasma.github.io/Logging_0980/artfynd/A 15637-2024 artfynd.xlsx", "A 15637-2024")</f>
        <v/>
      </c>
      <c r="T156">
        <f>HYPERLINK("https://klasma.github.io/Logging_0980/kartor/A 15637-2024 karta.png", "A 15637-2024")</f>
        <v/>
      </c>
      <c r="V156">
        <f>HYPERLINK("https://klasma.github.io/Logging_0980/klagomål/A 15637-2024 FSC-klagomål.docx", "A 15637-2024")</f>
        <v/>
      </c>
      <c r="W156">
        <f>HYPERLINK("https://klasma.github.io/Logging_0980/klagomålsmail/A 15637-2024 FSC-klagomål mail.docx", "A 15637-2024")</f>
        <v/>
      </c>
      <c r="X156">
        <f>HYPERLINK("https://klasma.github.io/Logging_0980/tillsyn/A 15637-2024 tillsynsbegäran.docx", "A 15637-2024")</f>
        <v/>
      </c>
      <c r="Y156">
        <f>HYPERLINK("https://klasma.github.io/Logging_0980/tillsynsmail/A 15637-2024 tillsynsbegäran mail.docx", "A 15637-2024")</f>
        <v/>
      </c>
    </row>
    <row r="157" ht="15" customHeight="1">
      <c r="A157" t="inlineStr">
        <is>
          <t>A 49726-2025</t>
        </is>
      </c>
      <c r="B157" s="1" t="n">
        <v>45939.84466435185</v>
      </c>
      <c r="C157" s="1" t="n">
        <v>46091</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2476-2025</t>
        </is>
      </c>
      <c r="B158" s="1" t="n">
        <v>45673</v>
      </c>
      <c r="C158" s="1" t="n">
        <v>46091</v>
      </c>
      <c r="D158" t="inlineStr">
        <is>
          <t>GOTLANDS LÄN</t>
        </is>
      </c>
      <c r="E158" t="inlineStr">
        <is>
          <t>GOTLAND</t>
        </is>
      </c>
      <c r="G158" t="n">
        <v>3.1</v>
      </c>
      <c r="H158" t="n">
        <v>0</v>
      </c>
      <c r="I158" t="n">
        <v>1</v>
      </c>
      <c r="J158" t="n">
        <v>0</v>
      </c>
      <c r="K158" t="n">
        <v>0</v>
      </c>
      <c r="L158" t="n">
        <v>0</v>
      </c>
      <c r="M158" t="n">
        <v>0</v>
      </c>
      <c r="N158" t="n">
        <v>0</v>
      </c>
      <c r="O158" t="n">
        <v>0</v>
      </c>
      <c r="P158" t="n">
        <v>0</v>
      </c>
      <c r="Q158" t="n">
        <v>1</v>
      </c>
      <c r="R158" s="2" t="inlineStr">
        <is>
          <t>Kryddspindling</t>
        </is>
      </c>
      <c r="S158">
        <f>HYPERLINK("https://klasma.github.io/Logging_0980/artfynd/A 2476-2025 artfynd.xlsx", "A 2476-2025")</f>
        <v/>
      </c>
      <c r="T158">
        <f>HYPERLINK("https://klasma.github.io/Logging_0980/kartor/A 2476-2025 karta.png", "A 2476-2025")</f>
        <v/>
      </c>
      <c r="V158">
        <f>HYPERLINK("https://klasma.github.io/Logging_0980/klagomål/A 2476-2025 FSC-klagomål.docx", "A 2476-2025")</f>
        <v/>
      </c>
      <c r="W158">
        <f>HYPERLINK("https://klasma.github.io/Logging_0980/klagomålsmail/A 2476-2025 FSC-klagomål mail.docx", "A 2476-2025")</f>
        <v/>
      </c>
      <c r="X158">
        <f>HYPERLINK("https://klasma.github.io/Logging_0980/tillsyn/A 2476-2025 tillsynsbegäran.docx", "A 2476-2025")</f>
        <v/>
      </c>
      <c r="Y158">
        <f>HYPERLINK("https://klasma.github.io/Logging_0980/tillsynsmail/A 2476-2025 tillsynsbegäran mail.docx", "A 2476-2025")</f>
        <v/>
      </c>
    </row>
    <row r="159" ht="15" customHeight="1">
      <c r="A159" t="inlineStr">
        <is>
          <t>A 34141-2024</t>
        </is>
      </c>
      <c r="B159" s="1" t="n">
        <v>45524.36229166666</v>
      </c>
      <c r="C159" s="1" t="n">
        <v>46091</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9862-2024</t>
        </is>
      </c>
      <c r="B160" s="1" t="n">
        <v>45363</v>
      </c>
      <c r="C160" s="1" t="n">
        <v>46091</v>
      </c>
      <c r="D160" t="inlineStr">
        <is>
          <t>GOTLANDS LÄN</t>
        </is>
      </c>
      <c r="E160" t="inlineStr">
        <is>
          <t>GOTLAND</t>
        </is>
      </c>
      <c r="G160" t="n">
        <v>3.5</v>
      </c>
      <c r="H160" t="n">
        <v>1</v>
      </c>
      <c r="I160" t="n">
        <v>0</v>
      </c>
      <c r="J160" t="n">
        <v>0</v>
      </c>
      <c r="K160" t="n">
        <v>0</v>
      </c>
      <c r="L160" t="n">
        <v>0</v>
      </c>
      <c r="M160" t="n">
        <v>0</v>
      </c>
      <c r="N160" t="n">
        <v>0</v>
      </c>
      <c r="O160" t="n">
        <v>0</v>
      </c>
      <c r="P160" t="n">
        <v>0</v>
      </c>
      <c r="Q160" t="n">
        <v>1</v>
      </c>
      <c r="R160" s="2" t="inlineStr">
        <is>
          <t>Nattviol</t>
        </is>
      </c>
      <c r="S160">
        <f>HYPERLINK("https://klasma.github.io/Logging_0980/artfynd/A 9862-2024 artfynd.xlsx", "A 9862-2024")</f>
        <v/>
      </c>
      <c r="T160">
        <f>HYPERLINK("https://klasma.github.io/Logging_0980/kartor/A 9862-2024 karta.png", "A 9862-2024")</f>
        <v/>
      </c>
      <c r="V160">
        <f>HYPERLINK("https://klasma.github.io/Logging_0980/klagomål/A 9862-2024 FSC-klagomål.docx", "A 9862-2024")</f>
        <v/>
      </c>
      <c r="W160">
        <f>HYPERLINK("https://klasma.github.io/Logging_0980/klagomålsmail/A 9862-2024 FSC-klagomål mail.docx", "A 9862-2024")</f>
        <v/>
      </c>
      <c r="X160">
        <f>HYPERLINK("https://klasma.github.io/Logging_0980/tillsyn/A 9862-2024 tillsynsbegäran.docx", "A 9862-2024")</f>
        <v/>
      </c>
      <c r="Y160">
        <f>HYPERLINK("https://klasma.github.io/Logging_0980/tillsynsmail/A 9862-2024 tillsynsbegäran mail.docx", "A 9862-2024")</f>
        <v/>
      </c>
    </row>
    <row r="161" ht="15" customHeight="1">
      <c r="A161" t="inlineStr">
        <is>
          <t>A 10995-2023</t>
        </is>
      </c>
      <c r="B161" s="1" t="n">
        <v>44986</v>
      </c>
      <c r="C161" s="1" t="n">
        <v>46091</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62552-2022</t>
        </is>
      </c>
      <c r="B162" s="1" t="n">
        <v>44924</v>
      </c>
      <c r="C162" s="1" t="n">
        <v>46091</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46091</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12924-2025</t>
        </is>
      </c>
      <c r="B164" s="1" t="n">
        <v>45734</v>
      </c>
      <c r="C164" s="1" t="n">
        <v>46091</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44308-2021</t>
        </is>
      </c>
      <c r="B165" s="1" t="n">
        <v>44434</v>
      </c>
      <c r="C165" s="1" t="n">
        <v>46091</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13939-2021</t>
        </is>
      </c>
      <c r="B166" s="1" t="n">
        <v>44277</v>
      </c>
      <c r="C166" s="1" t="n">
        <v>46091</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447-2023</t>
        </is>
      </c>
      <c r="B167" s="1" t="n">
        <v>44929</v>
      </c>
      <c r="C167" s="1" t="n">
        <v>46091</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947-2023</t>
        </is>
      </c>
      <c r="B168" s="1" t="n">
        <v>44934</v>
      </c>
      <c r="C168" s="1" t="n">
        <v>46091</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46091</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46091</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46091</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46091</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46091</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46091</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46091</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46091</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63149-2025</t>
        </is>
      </c>
      <c r="B177" s="1" t="n">
        <v>46010</v>
      </c>
      <c r="C177" s="1" t="n">
        <v>46091</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34809-2024</t>
        </is>
      </c>
      <c r="B178" s="1" t="n">
        <v>45526</v>
      </c>
      <c r="C178" s="1" t="n">
        <v>46091</v>
      </c>
      <c r="D178" t="inlineStr">
        <is>
          <t>GOTLANDS LÄN</t>
        </is>
      </c>
      <c r="E178" t="inlineStr">
        <is>
          <t>GOTLAND</t>
        </is>
      </c>
      <c r="G178" t="n">
        <v>9.9</v>
      </c>
      <c r="H178" t="n">
        <v>1</v>
      </c>
      <c r="I178" t="n">
        <v>0</v>
      </c>
      <c r="J178" t="n">
        <v>1</v>
      </c>
      <c r="K178" t="n">
        <v>0</v>
      </c>
      <c r="L178" t="n">
        <v>0</v>
      </c>
      <c r="M178" t="n">
        <v>0</v>
      </c>
      <c r="N178" t="n">
        <v>0</v>
      </c>
      <c r="O178" t="n">
        <v>1</v>
      </c>
      <c r="P178" t="n">
        <v>0</v>
      </c>
      <c r="Q178" t="n">
        <v>1</v>
      </c>
      <c r="R178" s="2" t="inlineStr">
        <is>
          <t>Brun ögontröst</t>
        </is>
      </c>
      <c r="S178">
        <f>HYPERLINK("https://klasma.github.io/Logging_0980/artfynd/A 34809-2024 artfynd.xlsx", "A 34809-2024")</f>
        <v/>
      </c>
      <c r="T178">
        <f>HYPERLINK("https://klasma.github.io/Logging_0980/kartor/A 34809-2024 karta.png", "A 34809-2024")</f>
        <v/>
      </c>
      <c r="V178">
        <f>HYPERLINK("https://klasma.github.io/Logging_0980/klagomål/A 34809-2024 FSC-klagomål.docx", "A 34809-2024")</f>
        <v/>
      </c>
      <c r="W178">
        <f>HYPERLINK("https://klasma.github.io/Logging_0980/klagomålsmail/A 34809-2024 FSC-klagomål mail.docx", "A 34809-2024")</f>
        <v/>
      </c>
      <c r="X178">
        <f>HYPERLINK("https://klasma.github.io/Logging_0980/tillsyn/A 34809-2024 tillsynsbegäran.docx", "A 34809-2024")</f>
        <v/>
      </c>
      <c r="Y178">
        <f>HYPERLINK("https://klasma.github.io/Logging_0980/tillsynsmail/A 34809-2024 tillsynsbegäran mail.docx", "A 34809-2024")</f>
        <v/>
      </c>
    </row>
    <row r="179" ht="15" customHeight="1">
      <c r="A179" t="inlineStr">
        <is>
          <t>A 11708-2026</t>
        </is>
      </c>
      <c r="B179" s="1" t="n">
        <v>46084</v>
      </c>
      <c r="C179" s="1" t="n">
        <v>46091</v>
      </c>
      <c r="D179" t="inlineStr">
        <is>
          <t>GOTLANDS LÄN</t>
        </is>
      </c>
      <c r="E179" t="inlineStr">
        <is>
          <t>GOTLAND</t>
        </is>
      </c>
      <c r="G179" t="n">
        <v>8.4</v>
      </c>
      <c r="H179" t="n">
        <v>1</v>
      </c>
      <c r="I179" t="n">
        <v>0</v>
      </c>
      <c r="J179" t="n">
        <v>1</v>
      </c>
      <c r="K179" t="n">
        <v>0</v>
      </c>
      <c r="L179" t="n">
        <v>0</v>
      </c>
      <c r="M179" t="n">
        <v>0</v>
      </c>
      <c r="N179" t="n">
        <v>0</v>
      </c>
      <c r="O179" t="n">
        <v>1</v>
      </c>
      <c r="P179" t="n">
        <v>0</v>
      </c>
      <c r="Q179" t="n">
        <v>1</v>
      </c>
      <c r="R179" s="2" t="inlineStr">
        <is>
          <t>Bredarun</t>
        </is>
      </c>
      <c r="S179">
        <f>HYPERLINK("https://klasma.github.io/Logging_0980/artfynd/A 11708-2026 artfynd.xlsx", "A 11708-2026")</f>
        <v/>
      </c>
      <c r="T179">
        <f>HYPERLINK("https://klasma.github.io/Logging_0980/kartor/A 11708-2026 karta.png", "A 11708-2026")</f>
        <v/>
      </c>
      <c r="V179">
        <f>HYPERLINK("https://klasma.github.io/Logging_0980/klagomål/A 11708-2026 FSC-klagomål.docx", "A 11708-2026")</f>
        <v/>
      </c>
      <c r="W179">
        <f>HYPERLINK("https://klasma.github.io/Logging_0980/klagomålsmail/A 11708-2026 FSC-klagomål mail.docx", "A 11708-2026")</f>
        <v/>
      </c>
      <c r="X179">
        <f>HYPERLINK("https://klasma.github.io/Logging_0980/tillsyn/A 11708-2026 tillsynsbegäran.docx", "A 11708-2026")</f>
        <v/>
      </c>
      <c r="Y179">
        <f>HYPERLINK("https://klasma.github.io/Logging_0980/tillsynsmail/A 11708-2026 tillsynsbegäran mail.docx", "A 11708-2026")</f>
        <v/>
      </c>
    </row>
    <row r="180" ht="15" customHeight="1">
      <c r="A180" t="inlineStr">
        <is>
          <t>A 61561-2023</t>
        </is>
      </c>
      <c r="B180" s="1" t="n">
        <v>45265</v>
      </c>
      <c r="C180" s="1" t="n">
        <v>46091</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46091</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46091</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46091</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46091</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46091</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46091</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46091</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19901-2021</t>
        </is>
      </c>
      <c r="B188" s="1" t="n">
        <v>44312</v>
      </c>
      <c r="C188" s="1" t="n">
        <v>46091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46091</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46091</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46091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46091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46091</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46091</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46091</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46091</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46091</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46091</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46091</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46091</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39909-2021</t>
        </is>
      </c>
      <c r="B201" s="1" t="n">
        <v>44417.82444444444</v>
      </c>
      <c r="C201" s="1" t="n">
        <v>46091</v>
      </c>
      <c r="D201" t="inlineStr">
        <is>
          <t>GOTLANDS LÄN</t>
        </is>
      </c>
      <c r="E201" t="inlineStr">
        <is>
          <t>GOTLAND</t>
        </is>
      </c>
      <c r="G201" t="n">
        <v>1.1</v>
      </c>
      <c r="H201" t="n">
        <v>0</v>
      </c>
      <c r="I201" t="n">
        <v>0</v>
      </c>
      <c r="J201" t="n">
        <v>0</v>
      </c>
      <c r="K201" t="n">
        <v>0</v>
      </c>
      <c r="L201" t="n">
        <v>0</v>
      </c>
      <c r="M201" t="n">
        <v>0</v>
      </c>
      <c r="N201" t="n">
        <v>0</v>
      </c>
      <c r="O201" t="n">
        <v>0</v>
      </c>
      <c r="P201" t="n">
        <v>0</v>
      </c>
      <c r="Q201" t="n">
        <v>0</v>
      </c>
      <c r="R201" s="2" t="inlineStr"/>
    </row>
    <row r="202" ht="15" customHeight="1">
      <c r="A202" t="inlineStr">
        <is>
          <t>A 22498-2022</t>
        </is>
      </c>
      <c r="B202" s="1" t="n">
        <v>44713.64682870371</v>
      </c>
      <c r="C202" s="1" t="n">
        <v>46091</v>
      </c>
      <c r="D202" t="inlineStr">
        <is>
          <t>GOTLANDS LÄN</t>
        </is>
      </c>
      <c r="E202" t="inlineStr">
        <is>
          <t>GOTLAND</t>
        </is>
      </c>
      <c r="G202" t="n">
        <v>0.7</v>
      </c>
      <c r="H202" t="n">
        <v>0</v>
      </c>
      <c r="I202" t="n">
        <v>0</v>
      </c>
      <c r="J202" t="n">
        <v>0</v>
      </c>
      <c r="K202" t="n">
        <v>0</v>
      </c>
      <c r="L202" t="n">
        <v>0</v>
      </c>
      <c r="M202" t="n">
        <v>0</v>
      </c>
      <c r="N202" t="n">
        <v>0</v>
      </c>
      <c r="O202" t="n">
        <v>0</v>
      </c>
      <c r="P202" t="n">
        <v>0</v>
      </c>
      <c r="Q202" t="n">
        <v>0</v>
      </c>
      <c r="R202" s="2" t="inlineStr"/>
    </row>
    <row r="203" ht="15" customHeight="1">
      <c r="A203" t="inlineStr">
        <is>
          <t>A 17920-2021</t>
        </is>
      </c>
      <c r="B203" s="1" t="n">
        <v>44301</v>
      </c>
      <c r="C203" s="1" t="n">
        <v>46091</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12318-2021</t>
        </is>
      </c>
      <c r="B204" s="1" t="n">
        <v>44266</v>
      </c>
      <c r="C204" s="1" t="n">
        <v>46091</v>
      </c>
      <c r="D204" t="inlineStr">
        <is>
          <t>GOTLANDS LÄN</t>
        </is>
      </c>
      <c r="E204" t="inlineStr">
        <is>
          <t>GOTLAND</t>
        </is>
      </c>
      <c r="G204" t="n">
        <v>1</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46091</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46091</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46091</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46091</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46091</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46091</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46091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46091</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46091</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46091</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46091</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46091</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46091</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46091</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46091</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46091</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46091</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46091</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46091</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46091</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46091</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46091</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46091</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46091</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46091</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46091</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46091</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30282-2022</t>
        </is>
      </c>
      <c r="B232" s="1" t="n">
        <v>44760</v>
      </c>
      <c r="C232" s="1" t="n">
        <v>46091</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4868-2024</t>
        </is>
      </c>
      <c r="B233" s="1" t="n">
        <v>45329</v>
      </c>
      <c r="C233" s="1" t="n">
        <v>46091</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9613-2025</t>
        </is>
      </c>
      <c r="B234" s="1" t="n">
        <v>45715</v>
      </c>
      <c r="C234" s="1" t="n">
        <v>46091</v>
      </c>
      <c r="D234" t="inlineStr">
        <is>
          <t>GOTLANDS LÄN</t>
        </is>
      </c>
      <c r="E234" t="inlineStr">
        <is>
          <t>GOTLAND</t>
        </is>
      </c>
      <c r="G234" t="n">
        <v>3.5</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46091</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5751-2024</t>
        </is>
      </c>
      <c r="B236" s="1" t="n">
        <v>45335.32702546296</v>
      </c>
      <c r="C236" s="1" t="n">
        <v>46091</v>
      </c>
      <c r="D236" t="inlineStr">
        <is>
          <t>GOTLANDS LÄN</t>
        </is>
      </c>
      <c r="E236" t="inlineStr">
        <is>
          <t>GOTLAND</t>
        </is>
      </c>
      <c r="G236" t="n">
        <v>4.2</v>
      </c>
      <c r="H236" t="n">
        <v>0</v>
      </c>
      <c r="I236" t="n">
        <v>0</v>
      </c>
      <c r="J236" t="n">
        <v>0</v>
      </c>
      <c r="K236" t="n">
        <v>0</v>
      </c>
      <c r="L236" t="n">
        <v>0</v>
      </c>
      <c r="M236" t="n">
        <v>0</v>
      </c>
      <c r="N236" t="n">
        <v>0</v>
      </c>
      <c r="O236" t="n">
        <v>0</v>
      </c>
      <c r="P236" t="n">
        <v>0</v>
      </c>
      <c r="Q236" t="n">
        <v>0</v>
      </c>
      <c r="R236" s="2" t="inlineStr"/>
    </row>
    <row r="237" ht="15" customHeight="1">
      <c r="A237" t="inlineStr">
        <is>
          <t>A 15595-2024</t>
        </is>
      </c>
      <c r="B237" s="1" t="n">
        <v>45401.81480324074</v>
      </c>
      <c r="C237" s="1" t="n">
        <v>46091</v>
      </c>
      <c r="D237" t="inlineStr">
        <is>
          <t>GOTLANDS LÄN</t>
        </is>
      </c>
      <c r="E237" t="inlineStr">
        <is>
          <t>GOTLAND</t>
        </is>
      </c>
      <c r="G237" t="n">
        <v>6.4</v>
      </c>
      <c r="H237" t="n">
        <v>0</v>
      </c>
      <c r="I237" t="n">
        <v>0</v>
      </c>
      <c r="J237" t="n">
        <v>0</v>
      </c>
      <c r="K237" t="n">
        <v>0</v>
      </c>
      <c r="L237" t="n">
        <v>0</v>
      </c>
      <c r="M237" t="n">
        <v>0</v>
      </c>
      <c r="N237" t="n">
        <v>0</v>
      </c>
      <c r="O237" t="n">
        <v>0</v>
      </c>
      <c r="P237" t="n">
        <v>0</v>
      </c>
      <c r="Q237" t="n">
        <v>0</v>
      </c>
      <c r="R237" s="2" t="inlineStr"/>
    </row>
    <row r="238" ht="15" customHeight="1">
      <c r="A238" t="inlineStr">
        <is>
          <t>A 24966-2023</t>
        </is>
      </c>
      <c r="B238" s="1" t="n">
        <v>45085</v>
      </c>
      <c r="C238" s="1" t="n">
        <v>46091</v>
      </c>
      <c r="D238" t="inlineStr">
        <is>
          <t>GOTLANDS LÄN</t>
        </is>
      </c>
      <c r="E238" t="inlineStr">
        <is>
          <t>GOTLAND</t>
        </is>
      </c>
      <c r="G238" t="n">
        <v>7</v>
      </c>
      <c r="H238" t="n">
        <v>0</v>
      </c>
      <c r="I238" t="n">
        <v>0</v>
      </c>
      <c r="J238" t="n">
        <v>0</v>
      </c>
      <c r="K238" t="n">
        <v>0</v>
      </c>
      <c r="L238" t="n">
        <v>0</v>
      </c>
      <c r="M238" t="n">
        <v>0</v>
      </c>
      <c r="N238" t="n">
        <v>0</v>
      </c>
      <c r="O238" t="n">
        <v>0</v>
      </c>
      <c r="P238" t="n">
        <v>0</v>
      </c>
      <c r="Q238" t="n">
        <v>0</v>
      </c>
      <c r="R238" s="2" t="inlineStr"/>
    </row>
    <row r="239" ht="15" customHeight="1">
      <c r="A239" t="inlineStr">
        <is>
          <t>A 46189-2022</t>
        </is>
      </c>
      <c r="B239" s="1" t="n">
        <v>44847</v>
      </c>
      <c r="C239" s="1" t="n">
        <v>46091</v>
      </c>
      <c r="D239" t="inlineStr">
        <is>
          <t>GOTLANDS LÄN</t>
        </is>
      </c>
      <c r="E239" t="inlineStr">
        <is>
          <t>GOTLAND</t>
        </is>
      </c>
      <c r="G239" t="n">
        <v>0.4</v>
      </c>
      <c r="H239" t="n">
        <v>0</v>
      </c>
      <c r="I239" t="n">
        <v>0</v>
      </c>
      <c r="J239" t="n">
        <v>0</v>
      </c>
      <c r="K239" t="n">
        <v>0</v>
      </c>
      <c r="L239" t="n">
        <v>0</v>
      </c>
      <c r="M239" t="n">
        <v>0</v>
      </c>
      <c r="N239" t="n">
        <v>0</v>
      </c>
      <c r="O239" t="n">
        <v>0</v>
      </c>
      <c r="P239" t="n">
        <v>0</v>
      </c>
      <c r="Q239" t="n">
        <v>0</v>
      </c>
      <c r="R239" s="2" t="inlineStr"/>
    </row>
    <row r="240" ht="15" customHeight="1">
      <c r="A240" t="inlineStr">
        <is>
          <t>A 21389-2025</t>
        </is>
      </c>
      <c r="B240" s="1" t="n">
        <v>45782</v>
      </c>
      <c r="C240" s="1" t="n">
        <v>46091</v>
      </c>
      <c r="D240" t="inlineStr">
        <is>
          <t>GOTLANDS LÄN</t>
        </is>
      </c>
      <c r="E240" t="inlineStr">
        <is>
          <t>GOTLAND</t>
        </is>
      </c>
      <c r="G240" t="n">
        <v>4.1</v>
      </c>
      <c r="H240" t="n">
        <v>0</v>
      </c>
      <c r="I240" t="n">
        <v>0</v>
      </c>
      <c r="J240" t="n">
        <v>0</v>
      </c>
      <c r="K240" t="n">
        <v>0</v>
      </c>
      <c r="L240" t="n">
        <v>0</v>
      </c>
      <c r="M240" t="n">
        <v>0</v>
      </c>
      <c r="N240" t="n">
        <v>0</v>
      </c>
      <c r="O240" t="n">
        <v>0</v>
      </c>
      <c r="P240" t="n">
        <v>0</v>
      </c>
      <c r="Q240" t="n">
        <v>0</v>
      </c>
      <c r="R240" s="2" t="inlineStr"/>
    </row>
    <row r="241" ht="15" customHeight="1">
      <c r="A241" t="inlineStr">
        <is>
          <t>A 22031-2024</t>
        </is>
      </c>
      <c r="B241" s="1" t="n">
        <v>45443.60075231481</v>
      </c>
      <c r="C241" s="1" t="n">
        <v>46091</v>
      </c>
      <c r="D241" t="inlineStr">
        <is>
          <t>GOTLANDS LÄN</t>
        </is>
      </c>
      <c r="E241" t="inlineStr">
        <is>
          <t>GOTLAND</t>
        </is>
      </c>
      <c r="G241" t="n">
        <v>2.3</v>
      </c>
      <c r="H241" t="n">
        <v>0</v>
      </c>
      <c r="I241" t="n">
        <v>0</v>
      </c>
      <c r="J241" t="n">
        <v>0</v>
      </c>
      <c r="K241" t="n">
        <v>0</v>
      </c>
      <c r="L241" t="n">
        <v>0</v>
      </c>
      <c r="M241" t="n">
        <v>0</v>
      </c>
      <c r="N241" t="n">
        <v>0</v>
      </c>
      <c r="O241" t="n">
        <v>0</v>
      </c>
      <c r="P241" t="n">
        <v>0</v>
      </c>
      <c r="Q241" t="n">
        <v>0</v>
      </c>
      <c r="R241" s="2" t="inlineStr"/>
    </row>
    <row r="242" ht="15" customHeight="1">
      <c r="A242" t="inlineStr">
        <is>
          <t>A 49314-2024</t>
        </is>
      </c>
      <c r="B242" s="1" t="n">
        <v>45595.55893518519</v>
      </c>
      <c r="C242" s="1" t="n">
        <v>46091</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21651-2025</t>
        </is>
      </c>
      <c r="B243" s="1" t="n">
        <v>45783</v>
      </c>
      <c r="C243" s="1" t="n">
        <v>46091</v>
      </c>
      <c r="D243" t="inlineStr">
        <is>
          <t>GOTLANDS LÄN</t>
        </is>
      </c>
      <c r="E243" t="inlineStr">
        <is>
          <t>GOTLAND</t>
        </is>
      </c>
      <c r="G243" t="n">
        <v>4.2</v>
      </c>
      <c r="H243" t="n">
        <v>0</v>
      </c>
      <c r="I243" t="n">
        <v>0</v>
      </c>
      <c r="J243" t="n">
        <v>0</v>
      </c>
      <c r="K243" t="n">
        <v>0</v>
      </c>
      <c r="L243" t="n">
        <v>0</v>
      </c>
      <c r="M243" t="n">
        <v>0</v>
      </c>
      <c r="N243" t="n">
        <v>0</v>
      </c>
      <c r="O243" t="n">
        <v>0</v>
      </c>
      <c r="P243" t="n">
        <v>0</v>
      </c>
      <c r="Q243" t="n">
        <v>0</v>
      </c>
      <c r="R243" s="2" t="inlineStr"/>
    </row>
    <row r="244" ht="15" customHeight="1">
      <c r="A244" t="inlineStr">
        <is>
          <t>A 44919-2022</t>
        </is>
      </c>
      <c r="B244" s="1" t="n">
        <v>44841</v>
      </c>
      <c r="C244" s="1" t="n">
        <v>46091</v>
      </c>
      <c r="D244" t="inlineStr">
        <is>
          <t>GOTLANDS LÄN</t>
        </is>
      </c>
      <c r="E244" t="inlineStr">
        <is>
          <t>GOTLAND</t>
        </is>
      </c>
      <c r="G244" t="n">
        <v>2.2</v>
      </c>
      <c r="H244" t="n">
        <v>0</v>
      </c>
      <c r="I244" t="n">
        <v>0</v>
      </c>
      <c r="J244" t="n">
        <v>0</v>
      </c>
      <c r="K244" t="n">
        <v>0</v>
      </c>
      <c r="L244" t="n">
        <v>0</v>
      </c>
      <c r="M244" t="n">
        <v>0</v>
      </c>
      <c r="N244" t="n">
        <v>0</v>
      </c>
      <c r="O244" t="n">
        <v>0</v>
      </c>
      <c r="P244" t="n">
        <v>0</v>
      </c>
      <c r="Q244" t="n">
        <v>0</v>
      </c>
      <c r="R244" s="2" t="inlineStr"/>
    </row>
    <row r="245" ht="15" customHeight="1">
      <c r="A245" t="inlineStr">
        <is>
          <t>A 20356-2022</t>
        </is>
      </c>
      <c r="B245" s="1" t="n">
        <v>44699</v>
      </c>
      <c r="C245" s="1" t="n">
        <v>46091</v>
      </c>
      <c r="D245" t="inlineStr">
        <is>
          <t>GOTLANDS LÄN</t>
        </is>
      </c>
      <c r="E245" t="inlineStr">
        <is>
          <t>GOTLAND</t>
        </is>
      </c>
      <c r="F245" t="inlineStr">
        <is>
          <t>Övriga Aktiebolag</t>
        </is>
      </c>
      <c r="G245" t="n">
        <v>4.4</v>
      </c>
      <c r="H245" t="n">
        <v>0</v>
      </c>
      <c r="I245" t="n">
        <v>0</v>
      </c>
      <c r="J245" t="n">
        <v>0</v>
      </c>
      <c r="K245" t="n">
        <v>0</v>
      </c>
      <c r="L245" t="n">
        <v>0</v>
      </c>
      <c r="M245" t="n">
        <v>0</v>
      </c>
      <c r="N245" t="n">
        <v>0</v>
      </c>
      <c r="O245" t="n">
        <v>0</v>
      </c>
      <c r="P245" t="n">
        <v>0</v>
      </c>
      <c r="Q245" t="n">
        <v>0</v>
      </c>
      <c r="R245" s="2" t="inlineStr"/>
    </row>
    <row r="246" ht="15" customHeight="1">
      <c r="A246" t="inlineStr">
        <is>
          <t>A 51262-2025</t>
        </is>
      </c>
      <c r="B246" s="1" t="n">
        <v>45949.49872685185</v>
      </c>
      <c r="C246" s="1" t="n">
        <v>46091</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48503-2023</t>
        </is>
      </c>
      <c r="B247" s="1" t="n">
        <v>45207</v>
      </c>
      <c r="C247" s="1" t="n">
        <v>46091</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65901-2021</t>
        </is>
      </c>
      <c r="B248" s="1" t="n">
        <v>44516</v>
      </c>
      <c r="C248" s="1" t="n">
        <v>46091</v>
      </c>
      <c r="D248" t="inlineStr">
        <is>
          <t>GOTLANDS LÄN</t>
        </is>
      </c>
      <c r="E248" t="inlineStr">
        <is>
          <t>GOTLAND</t>
        </is>
      </c>
      <c r="G248" t="n">
        <v>4.9</v>
      </c>
      <c r="H248" t="n">
        <v>0</v>
      </c>
      <c r="I248" t="n">
        <v>0</v>
      </c>
      <c r="J248" t="n">
        <v>0</v>
      </c>
      <c r="K248" t="n">
        <v>0</v>
      </c>
      <c r="L248" t="n">
        <v>0</v>
      </c>
      <c r="M248" t="n">
        <v>0</v>
      </c>
      <c r="N248" t="n">
        <v>0</v>
      </c>
      <c r="O248" t="n">
        <v>0</v>
      </c>
      <c r="P248" t="n">
        <v>0</v>
      </c>
      <c r="Q248" t="n">
        <v>0</v>
      </c>
      <c r="R248" s="2" t="inlineStr"/>
    </row>
    <row r="249" ht="15" customHeight="1">
      <c r="A249" t="inlineStr">
        <is>
          <t>A 44649-2021</t>
        </is>
      </c>
      <c r="B249" s="1" t="n">
        <v>44437</v>
      </c>
      <c r="C249" s="1" t="n">
        <v>46091</v>
      </c>
      <c r="D249" t="inlineStr">
        <is>
          <t>GOTLANDS LÄN</t>
        </is>
      </c>
      <c r="E249" t="inlineStr">
        <is>
          <t>GOTLAND</t>
        </is>
      </c>
      <c r="G249" t="n">
        <v>8.1</v>
      </c>
      <c r="H249" t="n">
        <v>0</v>
      </c>
      <c r="I249" t="n">
        <v>0</v>
      </c>
      <c r="J249" t="n">
        <v>0</v>
      </c>
      <c r="K249" t="n">
        <v>0</v>
      </c>
      <c r="L249" t="n">
        <v>0</v>
      </c>
      <c r="M249" t="n">
        <v>0</v>
      </c>
      <c r="N249" t="n">
        <v>0</v>
      </c>
      <c r="O249" t="n">
        <v>0</v>
      </c>
      <c r="P249" t="n">
        <v>0</v>
      </c>
      <c r="Q249" t="n">
        <v>0</v>
      </c>
      <c r="R249" s="2" t="inlineStr"/>
    </row>
    <row r="250" ht="15" customHeight="1">
      <c r="A250" t="inlineStr">
        <is>
          <t>A 9947-2024</t>
        </is>
      </c>
      <c r="B250" s="1" t="n">
        <v>45363</v>
      </c>
      <c r="C250" s="1" t="n">
        <v>46091</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52249-2025</t>
        </is>
      </c>
      <c r="B251" s="1" t="n">
        <v>45953.48637731482</v>
      </c>
      <c r="C251" s="1" t="n">
        <v>46091</v>
      </c>
      <c r="D251" t="inlineStr">
        <is>
          <t>GOTLANDS LÄN</t>
        </is>
      </c>
      <c r="E251" t="inlineStr">
        <is>
          <t>GOTLAND</t>
        </is>
      </c>
      <c r="F251" t="inlineStr">
        <is>
          <t>Övriga Aktiebolag</t>
        </is>
      </c>
      <c r="G251" t="n">
        <v>1</v>
      </c>
      <c r="H251" t="n">
        <v>0</v>
      </c>
      <c r="I251" t="n">
        <v>0</v>
      </c>
      <c r="J251" t="n">
        <v>0</v>
      </c>
      <c r="K251" t="n">
        <v>0</v>
      </c>
      <c r="L251" t="n">
        <v>0</v>
      </c>
      <c r="M251" t="n">
        <v>0</v>
      </c>
      <c r="N251" t="n">
        <v>0</v>
      </c>
      <c r="O251" t="n">
        <v>0</v>
      </c>
      <c r="P251" t="n">
        <v>0</v>
      </c>
      <c r="Q251" t="n">
        <v>0</v>
      </c>
      <c r="R251" s="2" t="inlineStr"/>
    </row>
    <row r="252" ht="15" customHeight="1">
      <c r="A252" t="inlineStr">
        <is>
          <t>A 57356-2023</t>
        </is>
      </c>
      <c r="B252" s="1" t="n">
        <v>45240</v>
      </c>
      <c r="C252" s="1" t="n">
        <v>46091</v>
      </c>
      <c r="D252" t="inlineStr">
        <is>
          <t>GOTLANDS LÄN</t>
        </is>
      </c>
      <c r="E252" t="inlineStr">
        <is>
          <t>GOTLAND</t>
        </is>
      </c>
      <c r="G252" t="n">
        <v>6.4</v>
      </c>
      <c r="H252" t="n">
        <v>0</v>
      </c>
      <c r="I252" t="n">
        <v>0</v>
      </c>
      <c r="J252" t="n">
        <v>0</v>
      </c>
      <c r="K252" t="n">
        <v>0</v>
      </c>
      <c r="L252" t="n">
        <v>0</v>
      </c>
      <c r="M252" t="n">
        <v>0</v>
      </c>
      <c r="N252" t="n">
        <v>0</v>
      </c>
      <c r="O252" t="n">
        <v>0</v>
      </c>
      <c r="P252" t="n">
        <v>0</v>
      </c>
      <c r="Q252" t="n">
        <v>0</v>
      </c>
      <c r="R252" s="2" t="inlineStr"/>
    </row>
    <row r="253" ht="15" customHeight="1">
      <c r="A253" t="inlineStr">
        <is>
          <t>A 10656-2024</t>
        </is>
      </c>
      <c r="B253" s="1" t="n">
        <v>45368</v>
      </c>
      <c r="C253" s="1" t="n">
        <v>46091</v>
      </c>
      <c r="D253" t="inlineStr">
        <is>
          <t>GOTLANDS LÄN</t>
        </is>
      </c>
      <c r="E253" t="inlineStr">
        <is>
          <t>GOTLAND</t>
        </is>
      </c>
      <c r="G253" t="n">
        <v>1.5</v>
      </c>
      <c r="H253" t="n">
        <v>0</v>
      </c>
      <c r="I253" t="n">
        <v>0</v>
      </c>
      <c r="J253" t="n">
        <v>0</v>
      </c>
      <c r="K253" t="n">
        <v>0</v>
      </c>
      <c r="L253" t="n">
        <v>0</v>
      </c>
      <c r="M253" t="n">
        <v>0</v>
      </c>
      <c r="N253" t="n">
        <v>0</v>
      </c>
      <c r="O253" t="n">
        <v>0</v>
      </c>
      <c r="P253" t="n">
        <v>0</v>
      </c>
      <c r="Q253" t="n">
        <v>0</v>
      </c>
      <c r="R253" s="2" t="inlineStr"/>
    </row>
    <row r="254" ht="15" customHeight="1">
      <c r="A254" t="inlineStr">
        <is>
          <t>A 17682-2024</t>
        </is>
      </c>
      <c r="B254" s="1" t="n">
        <v>45418.42966435185</v>
      </c>
      <c r="C254" s="1" t="n">
        <v>46091</v>
      </c>
      <c r="D254" t="inlineStr">
        <is>
          <t>GOTLANDS LÄN</t>
        </is>
      </c>
      <c r="E254" t="inlineStr">
        <is>
          <t>GOTLAND</t>
        </is>
      </c>
      <c r="G254" t="n">
        <v>2.9</v>
      </c>
      <c r="H254" t="n">
        <v>0</v>
      </c>
      <c r="I254" t="n">
        <v>0</v>
      </c>
      <c r="J254" t="n">
        <v>0</v>
      </c>
      <c r="K254" t="n">
        <v>0</v>
      </c>
      <c r="L254" t="n">
        <v>0</v>
      </c>
      <c r="M254" t="n">
        <v>0</v>
      </c>
      <c r="N254" t="n">
        <v>0</v>
      </c>
      <c r="O254" t="n">
        <v>0</v>
      </c>
      <c r="P254" t="n">
        <v>0</v>
      </c>
      <c r="Q254" t="n">
        <v>0</v>
      </c>
      <c r="R254" s="2" t="inlineStr"/>
    </row>
    <row r="255" ht="15" customHeight="1">
      <c r="A255" t="inlineStr">
        <is>
          <t>A 57522-2022</t>
        </is>
      </c>
      <c r="B255" s="1" t="n">
        <v>44896</v>
      </c>
      <c r="C255" s="1" t="n">
        <v>46091</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46091</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21420-2024</t>
        </is>
      </c>
      <c r="B257" s="1" t="n">
        <v>45441.38293981482</v>
      </c>
      <c r="C257" s="1" t="n">
        <v>46091</v>
      </c>
      <c r="D257" t="inlineStr">
        <is>
          <t>GOTLANDS LÄN</t>
        </is>
      </c>
      <c r="E257" t="inlineStr">
        <is>
          <t>GOTLAND</t>
        </is>
      </c>
      <c r="G257" t="n">
        <v>4.1</v>
      </c>
      <c r="H257" t="n">
        <v>0</v>
      </c>
      <c r="I257" t="n">
        <v>0</v>
      </c>
      <c r="J257" t="n">
        <v>0</v>
      </c>
      <c r="K257" t="n">
        <v>0</v>
      </c>
      <c r="L257" t="n">
        <v>0</v>
      </c>
      <c r="M257" t="n">
        <v>0</v>
      </c>
      <c r="N257" t="n">
        <v>0</v>
      </c>
      <c r="O257" t="n">
        <v>0</v>
      </c>
      <c r="P257" t="n">
        <v>0</v>
      </c>
      <c r="Q257" t="n">
        <v>0</v>
      </c>
      <c r="R257" s="2" t="inlineStr"/>
    </row>
    <row r="258" ht="15" customHeight="1">
      <c r="A258" t="inlineStr">
        <is>
          <t>A 18993-2025</t>
        </is>
      </c>
      <c r="B258" s="1" t="n">
        <v>45764</v>
      </c>
      <c r="C258" s="1" t="n">
        <v>46091</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23188-2025</t>
        </is>
      </c>
      <c r="B259" s="1" t="n">
        <v>45791</v>
      </c>
      <c r="C259" s="1" t="n">
        <v>46091</v>
      </c>
      <c r="D259" t="inlineStr">
        <is>
          <t>GOTLANDS LÄN</t>
        </is>
      </c>
      <c r="E259" t="inlineStr">
        <is>
          <t>GOTLAND</t>
        </is>
      </c>
      <c r="G259" t="n">
        <v>6.2</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46091</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30135-2025</t>
        </is>
      </c>
      <c r="B261" s="1" t="n">
        <v>45826</v>
      </c>
      <c r="C261" s="1" t="n">
        <v>46091</v>
      </c>
      <c r="D261" t="inlineStr">
        <is>
          <t>GOTLANDS LÄN</t>
        </is>
      </c>
      <c r="E261" t="inlineStr">
        <is>
          <t>GOTLAND</t>
        </is>
      </c>
      <c r="G261" t="n">
        <v>2.7</v>
      </c>
      <c r="H261" t="n">
        <v>0</v>
      </c>
      <c r="I261" t="n">
        <v>0</v>
      </c>
      <c r="J261" t="n">
        <v>0</v>
      </c>
      <c r="K261" t="n">
        <v>0</v>
      </c>
      <c r="L261" t="n">
        <v>0</v>
      </c>
      <c r="M261" t="n">
        <v>0</v>
      </c>
      <c r="N261" t="n">
        <v>0</v>
      </c>
      <c r="O261" t="n">
        <v>0</v>
      </c>
      <c r="P261" t="n">
        <v>0</v>
      </c>
      <c r="Q261" t="n">
        <v>0</v>
      </c>
      <c r="R261" s="2" t="inlineStr"/>
    </row>
    <row r="262" ht="15" customHeight="1">
      <c r="A262" t="inlineStr">
        <is>
          <t>A 12599-2025</t>
        </is>
      </c>
      <c r="B262" s="1" t="n">
        <v>45733.29546296296</v>
      </c>
      <c r="C262" s="1" t="n">
        <v>46091</v>
      </c>
      <c r="D262" t="inlineStr">
        <is>
          <t>GOTLANDS LÄN</t>
        </is>
      </c>
      <c r="E262" t="inlineStr">
        <is>
          <t>GOTLAND</t>
        </is>
      </c>
      <c r="G262" t="n">
        <v>4.7</v>
      </c>
      <c r="H262" t="n">
        <v>0</v>
      </c>
      <c r="I262" t="n">
        <v>0</v>
      </c>
      <c r="J262" t="n">
        <v>0</v>
      </c>
      <c r="K262" t="n">
        <v>0</v>
      </c>
      <c r="L262" t="n">
        <v>0</v>
      </c>
      <c r="M262" t="n">
        <v>0</v>
      </c>
      <c r="N262" t="n">
        <v>0</v>
      </c>
      <c r="O262" t="n">
        <v>0</v>
      </c>
      <c r="P262" t="n">
        <v>0</v>
      </c>
      <c r="Q262" t="n">
        <v>0</v>
      </c>
      <c r="R262" s="2" t="inlineStr"/>
    </row>
    <row r="263" ht="15" customHeight="1">
      <c r="A263" t="inlineStr">
        <is>
          <t>A 35141-2025</t>
        </is>
      </c>
      <c r="B263" s="1" t="n">
        <v>45852.65206018519</v>
      </c>
      <c r="C263" s="1" t="n">
        <v>46091</v>
      </c>
      <c r="D263" t="inlineStr">
        <is>
          <t>GOTLANDS LÄN</t>
        </is>
      </c>
      <c r="E263" t="inlineStr">
        <is>
          <t>GOTLAND</t>
        </is>
      </c>
      <c r="G263" t="n">
        <v>1</v>
      </c>
      <c r="H263" t="n">
        <v>0</v>
      </c>
      <c r="I263" t="n">
        <v>0</v>
      </c>
      <c r="J263" t="n">
        <v>0</v>
      </c>
      <c r="K263" t="n">
        <v>0</v>
      </c>
      <c r="L263" t="n">
        <v>0</v>
      </c>
      <c r="M263" t="n">
        <v>0</v>
      </c>
      <c r="N263" t="n">
        <v>0</v>
      </c>
      <c r="O263" t="n">
        <v>0</v>
      </c>
      <c r="P263" t="n">
        <v>0</v>
      </c>
      <c r="Q263" t="n">
        <v>0</v>
      </c>
      <c r="R263" s="2" t="inlineStr"/>
    </row>
    <row r="264" ht="15" customHeight="1">
      <c r="A264" t="inlineStr">
        <is>
          <t>A 35142-2025</t>
        </is>
      </c>
      <c r="B264" s="1" t="n">
        <v>45852.65532407408</v>
      </c>
      <c r="C264" s="1" t="n">
        <v>46091</v>
      </c>
      <c r="D264" t="inlineStr">
        <is>
          <t>GOTLANDS LÄN</t>
        </is>
      </c>
      <c r="E264" t="inlineStr">
        <is>
          <t>GOTLAND</t>
        </is>
      </c>
      <c r="G264" t="n">
        <v>2.4</v>
      </c>
      <c r="H264" t="n">
        <v>0</v>
      </c>
      <c r="I264" t="n">
        <v>0</v>
      </c>
      <c r="J264" t="n">
        <v>0</v>
      </c>
      <c r="K264" t="n">
        <v>0</v>
      </c>
      <c r="L264" t="n">
        <v>0</v>
      </c>
      <c r="M264" t="n">
        <v>0</v>
      </c>
      <c r="N264" t="n">
        <v>0</v>
      </c>
      <c r="O264" t="n">
        <v>0</v>
      </c>
      <c r="P264" t="n">
        <v>0</v>
      </c>
      <c r="Q264" t="n">
        <v>0</v>
      </c>
      <c r="R264" s="2" t="inlineStr"/>
    </row>
    <row r="265" ht="15" customHeight="1">
      <c r="A265" t="inlineStr">
        <is>
          <t>A 23473-2025</t>
        </is>
      </c>
      <c r="B265" s="1" t="n">
        <v>45792</v>
      </c>
      <c r="C265" s="1" t="n">
        <v>46091</v>
      </c>
      <c r="D265" t="inlineStr">
        <is>
          <t>GOTLANDS LÄN</t>
        </is>
      </c>
      <c r="E265" t="inlineStr">
        <is>
          <t>GOTLAND</t>
        </is>
      </c>
      <c r="G265" t="n">
        <v>3.6</v>
      </c>
      <c r="H265" t="n">
        <v>0</v>
      </c>
      <c r="I265" t="n">
        <v>0</v>
      </c>
      <c r="J265" t="n">
        <v>0</v>
      </c>
      <c r="K265" t="n">
        <v>0</v>
      </c>
      <c r="L265" t="n">
        <v>0</v>
      </c>
      <c r="M265" t="n">
        <v>0</v>
      </c>
      <c r="N265" t="n">
        <v>0</v>
      </c>
      <c r="O265" t="n">
        <v>0</v>
      </c>
      <c r="P265" t="n">
        <v>0</v>
      </c>
      <c r="Q265" t="n">
        <v>0</v>
      </c>
      <c r="R265" s="2" t="inlineStr"/>
    </row>
    <row r="266" ht="15" customHeight="1">
      <c r="A266" t="inlineStr">
        <is>
          <t>A 63516-2023</t>
        </is>
      </c>
      <c r="B266" s="1" t="n">
        <v>45274</v>
      </c>
      <c r="C266" s="1" t="n">
        <v>46091</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24001-2021</t>
        </is>
      </c>
      <c r="B267" s="1" t="n">
        <v>44335</v>
      </c>
      <c r="C267" s="1" t="n">
        <v>46091</v>
      </c>
      <c r="D267" t="inlineStr">
        <is>
          <t>GOTLANDS LÄN</t>
        </is>
      </c>
      <c r="E267" t="inlineStr">
        <is>
          <t>GOTLAND</t>
        </is>
      </c>
      <c r="G267" t="n">
        <v>3.4</v>
      </c>
      <c r="H267" t="n">
        <v>0</v>
      </c>
      <c r="I267" t="n">
        <v>0</v>
      </c>
      <c r="J267" t="n">
        <v>0</v>
      </c>
      <c r="K267" t="n">
        <v>0</v>
      </c>
      <c r="L267" t="n">
        <v>0</v>
      </c>
      <c r="M267" t="n">
        <v>0</v>
      </c>
      <c r="N267" t="n">
        <v>0</v>
      </c>
      <c r="O267" t="n">
        <v>0</v>
      </c>
      <c r="P267" t="n">
        <v>0</v>
      </c>
      <c r="Q267" t="n">
        <v>0</v>
      </c>
      <c r="R267" s="2" t="inlineStr"/>
    </row>
    <row r="268" ht="15" customHeight="1">
      <c r="A268" t="inlineStr">
        <is>
          <t>A 23856-2025</t>
        </is>
      </c>
      <c r="B268" s="1" t="n">
        <v>45793</v>
      </c>
      <c r="C268" s="1" t="n">
        <v>46091</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46091</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46091</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15073-2025</t>
        </is>
      </c>
      <c r="B271" s="1" t="n">
        <v>45743</v>
      </c>
      <c r="C271" s="1" t="n">
        <v>46091</v>
      </c>
      <c r="D271" t="inlineStr">
        <is>
          <t>GOTLANDS LÄN</t>
        </is>
      </c>
      <c r="E271" t="inlineStr">
        <is>
          <t>GOTLAND</t>
        </is>
      </c>
      <c r="G271" t="n">
        <v>12.1</v>
      </c>
      <c r="H271" t="n">
        <v>0</v>
      </c>
      <c r="I271" t="n">
        <v>0</v>
      </c>
      <c r="J271" t="n">
        <v>0</v>
      </c>
      <c r="K271" t="n">
        <v>0</v>
      </c>
      <c r="L271" t="n">
        <v>0</v>
      </c>
      <c r="M271" t="n">
        <v>0</v>
      </c>
      <c r="N271" t="n">
        <v>0</v>
      </c>
      <c r="O271" t="n">
        <v>0</v>
      </c>
      <c r="P271" t="n">
        <v>0</v>
      </c>
      <c r="Q271" t="n">
        <v>0</v>
      </c>
      <c r="R271" s="2" t="inlineStr"/>
    </row>
    <row r="272" ht="15" customHeight="1">
      <c r="A272" t="inlineStr">
        <is>
          <t>A 39849-2025</t>
        </is>
      </c>
      <c r="B272" s="1" t="n">
        <v>45891.58502314815</v>
      </c>
      <c r="C272" s="1" t="n">
        <v>46091</v>
      </c>
      <c r="D272" t="inlineStr">
        <is>
          <t>GOTLANDS LÄN</t>
        </is>
      </c>
      <c r="E272" t="inlineStr">
        <is>
          <t>GOTLAND</t>
        </is>
      </c>
      <c r="G272" t="n">
        <v>6.1</v>
      </c>
      <c r="H272" t="n">
        <v>0</v>
      </c>
      <c r="I272" t="n">
        <v>0</v>
      </c>
      <c r="J272" t="n">
        <v>0</v>
      </c>
      <c r="K272" t="n">
        <v>0</v>
      </c>
      <c r="L272" t="n">
        <v>0</v>
      </c>
      <c r="M272" t="n">
        <v>0</v>
      </c>
      <c r="N272" t="n">
        <v>0</v>
      </c>
      <c r="O272" t="n">
        <v>0</v>
      </c>
      <c r="P272" t="n">
        <v>0</v>
      </c>
      <c r="Q272" t="n">
        <v>0</v>
      </c>
      <c r="R272" s="2" t="inlineStr"/>
    </row>
    <row r="273" ht="15" customHeight="1">
      <c r="A273" t="inlineStr">
        <is>
          <t>A 39752-2025</t>
        </is>
      </c>
      <c r="B273" s="1" t="n">
        <v>45891</v>
      </c>
      <c r="C273" s="1" t="n">
        <v>46091</v>
      </c>
      <c r="D273" t="inlineStr">
        <is>
          <t>GOTLANDS LÄN</t>
        </is>
      </c>
      <c r="E273" t="inlineStr">
        <is>
          <t>GOTLAND</t>
        </is>
      </c>
      <c r="G273" t="n">
        <v>5.3</v>
      </c>
      <c r="H273" t="n">
        <v>0</v>
      </c>
      <c r="I273" t="n">
        <v>0</v>
      </c>
      <c r="J273" t="n">
        <v>0</v>
      </c>
      <c r="K273" t="n">
        <v>0</v>
      </c>
      <c r="L273" t="n">
        <v>0</v>
      </c>
      <c r="M273" t="n">
        <v>0</v>
      </c>
      <c r="N273" t="n">
        <v>0</v>
      </c>
      <c r="O273" t="n">
        <v>0</v>
      </c>
      <c r="P273" t="n">
        <v>0</v>
      </c>
      <c r="Q273" t="n">
        <v>0</v>
      </c>
      <c r="R273" s="2" t="inlineStr"/>
    </row>
    <row r="274" ht="15" customHeight="1">
      <c r="A274" t="inlineStr">
        <is>
          <t>A 6749-2025</t>
        </is>
      </c>
      <c r="B274" s="1" t="n">
        <v>45700</v>
      </c>
      <c r="C274" s="1" t="n">
        <v>46091</v>
      </c>
      <c r="D274" t="inlineStr">
        <is>
          <t>GOTLANDS LÄN</t>
        </is>
      </c>
      <c r="E274" t="inlineStr">
        <is>
          <t>GOTLAND</t>
        </is>
      </c>
      <c r="G274" t="n">
        <v>4.5</v>
      </c>
      <c r="H274" t="n">
        <v>0</v>
      </c>
      <c r="I274" t="n">
        <v>0</v>
      </c>
      <c r="J274" t="n">
        <v>0</v>
      </c>
      <c r="K274" t="n">
        <v>0</v>
      </c>
      <c r="L274" t="n">
        <v>0</v>
      </c>
      <c r="M274" t="n">
        <v>0</v>
      </c>
      <c r="N274" t="n">
        <v>0</v>
      </c>
      <c r="O274" t="n">
        <v>0</v>
      </c>
      <c r="P274" t="n">
        <v>0</v>
      </c>
      <c r="Q274" t="n">
        <v>0</v>
      </c>
      <c r="R274" s="2" t="inlineStr"/>
    </row>
    <row r="275" ht="15" customHeight="1">
      <c r="A275" t="inlineStr">
        <is>
          <t>A 30365-2024</t>
        </is>
      </c>
      <c r="B275" s="1" t="n">
        <v>45491.3716087963</v>
      </c>
      <c r="C275" s="1" t="n">
        <v>46091</v>
      </c>
      <c r="D275" t="inlineStr">
        <is>
          <t>GOTLANDS LÄN</t>
        </is>
      </c>
      <c r="E275" t="inlineStr">
        <is>
          <t>GOTLAND</t>
        </is>
      </c>
      <c r="G275" t="n">
        <v>0.5</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46091</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40103-2025</t>
        </is>
      </c>
      <c r="B277" s="1" t="n">
        <v>45894.4880324074</v>
      </c>
      <c r="C277" s="1" t="n">
        <v>46091</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40373-2025</t>
        </is>
      </c>
      <c r="B278" s="1" t="n">
        <v>45895.51821759259</v>
      </c>
      <c r="C278" s="1" t="n">
        <v>46091</v>
      </c>
      <c r="D278" t="inlineStr">
        <is>
          <t>GOTLANDS LÄN</t>
        </is>
      </c>
      <c r="E278" t="inlineStr">
        <is>
          <t>GOTLAND</t>
        </is>
      </c>
      <c r="G278" t="n">
        <v>0.6</v>
      </c>
      <c r="H278" t="n">
        <v>0</v>
      </c>
      <c r="I278" t="n">
        <v>0</v>
      </c>
      <c r="J278" t="n">
        <v>0</v>
      </c>
      <c r="K278" t="n">
        <v>0</v>
      </c>
      <c r="L278" t="n">
        <v>0</v>
      </c>
      <c r="M278" t="n">
        <v>0</v>
      </c>
      <c r="N278" t="n">
        <v>0</v>
      </c>
      <c r="O278" t="n">
        <v>0</v>
      </c>
      <c r="P278" t="n">
        <v>0</v>
      </c>
      <c r="Q278" t="n">
        <v>0</v>
      </c>
      <c r="R278" s="2" t="inlineStr"/>
    </row>
    <row r="279" ht="15" customHeight="1">
      <c r="A279" t="inlineStr">
        <is>
          <t>A 40499-2025</t>
        </is>
      </c>
      <c r="B279" s="1" t="n">
        <v>45896.32517361111</v>
      </c>
      <c r="C279" s="1" t="n">
        <v>46091</v>
      </c>
      <c r="D279" t="inlineStr">
        <is>
          <t>GOTLANDS LÄN</t>
        </is>
      </c>
      <c r="E279" t="inlineStr">
        <is>
          <t>GOTLAND</t>
        </is>
      </c>
      <c r="G279" t="n">
        <v>2.6</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46091</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1681-2023</t>
        </is>
      </c>
      <c r="B281" s="1" t="n">
        <v>44938.39715277778</v>
      </c>
      <c r="C281" s="1" t="n">
        <v>46091</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23698-2025</t>
        </is>
      </c>
      <c r="B282" s="1" t="n">
        <v>45793</v>
      </c>
      <c r="C282" s="1" t="n">
        <v>46091</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6099-2024</t>
        </is>
      </c>
      <c r="B283" s="1" t="n">
        <v>45337</v>
      </c>
      <c r="C283" s="1" t="n">
        <v>46091</v>
      </c>
      <c r="D283" t="inlineStr">
        <is>
          <t>GOTLANDS LÄN</t>
        </is>
      </c>
      <c r="E283" t="inlineStr">
        <is>
          <t>GOTLAND</t>
        </is>
      </c>
      <c r="G283" t="n">
        <v>12.6</v>
      </c>
      <c r="H283" t="n">
        <v>0</v>
      </c>
      <c r="I283" t="n">
        <v>0</v>
      </c>
      <c r="J283" t="n">
        <v>0</v>
      </c>
      <c r="K283" t="n">
        <v>0</v>
      </c>
      <c r="L283" t="n">
        <v>0</v>
      </c>
      <c r="M283" t="n">
        <v>0</v>
      </c>
      <c r="N283" t="n">
        <v>0</v>
      </c>
      <c r="O283" t="n">
        <v>0</v>
      </c>
      <c r="P283" t="n">
        <v>0</v>
      </c>
      <c r="Q283" t="n">
        <v>0</v>
      </c>
      <c r="R283" s="2" t="inlineStr"/>
    </row>
    <row r="284" ht="15" customHeight="1">
      <c r="A284" t="inlineStr">
        <is>
          <t>A 39278-2025</t>
        </is>
      </c>
      <c r="B284" s="1" t="n">
        <v>45889</v>
      </c>
      <c r="C284" s="1" t="n">
        <v>46091</v>
      </c>
      <c r="D284" t="inlineStr">
        <is>
          <t>GOTLANDS LÄN</t>
        </is>
      </c>
      <c r="E284" t="inlineStr">
        <is>
          <t>GOTLAND</t>
        </is>
      </c>
      <c r="G284" t="n">
        <v>3.7</v>
      </c>
      <c r="H284" t="n">
        <v>0</v>
      </c>
      <c r="I284" t="n">
        <v>0</v>
      </c>
      <c r="J284" t="n">
        <v>0</v>
      </c>
      <c r="K284" t="n">
        <v>0</v>
      </c>
      <c r="L284" t="n">
        <v>0</v>
      </c>
      <c r="M284" t="n">
        <v>0</v>
      </c>
      <c r="N284" t="n">
        <v>0</v>
      </c>
      <c r="O284" t="n">
        <v>0</v>
      </c>
      <c r="P284" t="n">
        <v>0</v>
      </c>
      <c r="Q284" t="n">
        <v>0</v>
      </c>
      <c r="R284" s="2" t="inlineStr"/>
    </row>
    <row r="285" ht="15" customHeight="1">
      <c r="A285" t="inlineStr">
        <is>
          <t>A 1273-2023</t>
        </is>
      </c>
      <c r="B285" s="1" t="n">
        <v>44936</v>
      </c>
      <c r="C285" s="1" t="n">
        <v>46091</v>
      </c>
      <c r="D285" t="inlineStr">
        <is>
          <t>GOTLANDS LÄN</t>
        </is>
      </c>
      <c r="E285" t="inlineStr">
        <is>
          <t>GOTLAND</t>
        </is>
      </c>
      <c r="G285" t="n">
        <v>4.5</v>
      </c>
      <c r="H285" t="n">
        <v>0</v>
      </c>
      <c r="I285" t="n">
        <v>0</v>
      </c>
      <c r="J285" t="n">
        <v>0</v>
      </c>
      <c r="K285" t="n">
        <v>0</v>
      </c>
      <c r="L285" t="n">
        <v>0</v>
      </c>
      <c r="M285" t="n">
        <v>0</v>
      </c>
      <c r="N285" t="n">
        <v>0</v>
      </c>
      <c r="O285" t="n">
        <v>0</v>
      </c>
      <c r="P285" t="n">
        <v>0</v>
      </c>
      <c r="Q285" t="n">
        <v>0</v>
      </c>
      <c r="R285" s="2" t="inlineStr"/>
    </row>
    <row r="286" ht="15" customHeight="1">
      <c r="A286" t="inlineStr">
        <is>
          <t>A 58780-2024</t>
        </is>
      </c>
      <c r="B286" s="1" t="n">
        <v>45635.84113425926</v>
      </c>
      <c r="C286" s="1" t="n">
        <v>46091</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45692-2023</t>
        </is>
      </c>
      <c r="B287" s="1" t="n">
        <v>45195</v>
      </c>
      <c r="C287" s="1" t="n">
        <v>46091</v>
      </c>
      <c r="D287" t="inlineStr">
        <is>
          <t>GOTLANDS LÄN</t>
        </is>
      </c>
      <c r="E287" t="inlineStr">
        <is>
          <t>GOTLAND</t>
        </is>
      </c>
      <c r="G287" t="n">
        <v>5.3</v>
      </c>
      <c r="H287" t="n">
        <v>0</v>
      </c>
      <c r="I287" t="n">
        <v>0</v>
      </c>
      <c r="J287" t="n">
        <v>0</v>
      </c>
      <c r="K287" t="n">
        <v>0</v>
      </c>
      <c r="L287" t="n">
        <v>0</v>
      </c>
      <c r="M287" t="n">
        <v>0</v>
      </c>
      <c r="N287" t="n">
        <v>0</v>
      </c>
      <c r="O287" t="n">
        <v>0</v>
      </c>
      <c r="P287" t="n">
        <v>0</v>
      </c>
      <c r="Q287" t="n">
        <v>0</v>
      </c>
      <c r="R287" s="2" t="inlineStr"/>
    </row>
    <row r="288" ht="15" customHeight="1">
      <c r="A288" t="inlineStr">
        <is>
          <t>A 52637-2025</t>
        </is>
      </c>
      <c r="B288" s="1" t="n">
        <v>45954.75099537037</v>
      </c>
      <c r="C288" s="1" t="n">
        <v>46091</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45521.87988425926</v>
      </c>
      <c r="C289" s="1" t="n">
        <v>46091</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46091</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28285-2024</t>
        </is>
      </c>
      <c r="B291" s="1" t="n">
        <v>45477</v>
      </c>
      <c r="C291" s="1" t="n">
        <v>46091</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61100-2022</t>
        </is>
      </c>
      <c r="B292" s="1" t="n">
        <v>44915</v>
      </c>
      <c r="C292" s="1" t="n">
        <v>46091</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5462-2025</t>
        </is>
      </c>
      <c r="B293" s="1" t="n">
        <v>45693.29331018519</v>
      </c>
      <c r="C293" s="1" t="n">
        <v>46091</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41551-2025</t>
        </is>
      </c>
      <c r="B294" s="1" t="n">
        <v>45901.58854166666</v>
      </c>
      <c r="C294" s="1" t="n">
        <v>46091</v>
      </c>
      <c r="D294" t="inlineStr">
        <is>
          <t>GOTLANDS LÄN</t>
        </is>
      </c>
      <c r="E294" t="inlineStr">
        <is>
          <t>GOTLAND</t>
        </is>
      </c>
      <c r="G294" t="n">
        <v>5.6</v>
      </c>
      <c r="H294" t="n">
        <v>0</v>
      </c>
      <c r="I294" t="n">
        <v>0</v>
      </c>
      <c r="J294" t="n">
        <v>0</v>
      </c>
      <c r="K294" t="n">
        <v>0</v>
      </c>
      <c r="L294" t="n">
        <v>0</v>
      </c>
      <c r="M294" t="n">
        <v>0</v>
      </c>
      <c r="N294" t="n">
        <v>0</v>
      </c>
      <c r="O294" t="n">
        <v>0</v>
      </c>
      <c r="P294" t="n">
        <v>0</v>
      </c>
      <c r="Q294" t="n">
        <v>0</v>
      </c>
      <c r="R294" s="2" t="inlineStr"/>
    </row>
    <row r="295" ht="15" customHeight="1">
      <c r="A295" t="inlineStr">
        <is>
          <t>A 61682-2024</t>
        </is>
      </c>
      <c r="B295" s="1" t="n">
        <v>45647.48824074074</v>
      </c>
      <c r="C295" s="1" t="n">
        <v>46091</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25796-2025</t>
        </is>
      </c>
      <c r="B296" s="1" t="n">
        <v>45804.39543981481</v>
      </c>
      <c r="C296" s="1" t="n">
        <v>46091</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58388-2022</t>
        </is>
      </c>
      <c r="B297" s="1" t="n">
        <v>44894</v>
      </c>
      <c r="C297" s="1" t="n">
        <v>46091</v>
      </c>
      <c r="D297" t="inlineStr">
        <is>
          <t>GOTLANDS LÄN</t>
        </is>
      </c>
      <c r="E297" t="inlineStr">
        <is>
          <t>GOTLAND</t>
        </is>
      </c>
      <c r="F297" t="inlineStr">
        <is>
          <t>Övriga statliga verk och myndigheter</t>
        </is>
      </c>
      <c r="G297" t="n">
        <v>3.1</v>
      </c>
      <c r="H297" t="n">
        <v>0</v>
      </c>
      <c r="I297" t="n">
        <v>0</v>
      </c>
      <c r="J297" t="n">
        <v>0</v>
      </c>
      <c r="K297" t="n">
        <v>0</v>
      </c>
      <c r="L297" t="n">
        <v>0</v>
      </c>
      <c r="M297" t="n">
        <v>0</v>
      </c>
      <c r="N297" t="n">
        <v>0</v>
      </c>
      <c r="O297" t="n">
        <v>0</v>
      </c>
      <c r="P297" t="n">
        <v>0</v>
      </c>
      <c r="Q297" t="n">
        <v>0</v>
      </c>
      <c r="R297" s="2" t="inlineStr"/>
    </row>
    <row r="298" ht="15" customHeight="1">
      <c r="A298" t="inlineStr">
        <is>
          <t>A 42608-2025</t>
        </is>
      </c>
      <c r="B298" s="1" t="n">
        <v>45905</v>
      </c>
      <c r="C298" s="1" t="n">
        <v>46091</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21792-2024</t>
        </is>
      </c>
      <c r="B299" s="1" t="n">
        <v>45442.64326388889</v>
      </c>
      <c r="C299" s="1" t="n">
        <v>46091</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16373-2025</t>
        </is>
      </c>
      <c r="B300" s="1" t="n">
        <v>45751</v>
      </c>
      <c r="C300" s="1" t="n">
        <v>46091</v>
      </c>
      <c r="D300" t="inlineStr">
        <is>
          <t>GOTLANDS LÄN</t>
        </is>
      </c>
      <c r="E300" t="inlineStr">
        <is>
          <t>GOTLAND</t>
        </is>
      </c>
      <c r="G300" t="n">
        <v>1.5</v>
      </c>
      <c r="H300" t="n">
        <v>0</v>
      </c>
      <c r="I300" t="n">
        <v>0</v>
      </c>
      <c r="J300" t="n">
        <v>0</v>
      </c>
      <c r="K300" t="n">
        <v>0</v>
      </c>
      <c r="L300" t="n">
        <v>0</v>
      </c>
      <c r="M300" t="n">
        <v>0</v>
      </c>
      <c r="N300" t="n">
        <v>0</v>
      </c>
      <c r="O300" t="n">
        <v>0</v>
      </c>
      <c r="P300" t="n">
        <v>0</v>
      </c>
      <c r="Q300" t="n">
        <v>0</v>
      </c>
      <c r="R300" s="2" t="inlineStr"/>
    </row>
    <row r="301" ht="15" customHeight="1">
      <c r="A301" t="inlineStr">
        <is>
          <t>A 17688-2024</t>
        </is>
      </c>
      <c r="B301" s="1" t="n">
        <v>45418.43575231481</v>
      </c>
      <c r="C301" s="1" t="n">
        <v>46091</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7837-2024</t>
        </is>
      </c>
      <c r="B302" s="1" t="n">
        <v>45349.83787037037</v>
      </c>
      <c r="C302" s="1" t="n">
        <v>46091</v>
      </c>
      <c r="D302" t="inlineStr">
        <is>
          <t>GOTLANDS LÄN</t>
        </is>
      </c>
      <c r="E302" t="inlineStr">
        <is>
          <t>GOTLAND</t>
        </is>
      </c>
      <c r="G302" t="n">
        <v>5</v>
      </c>
      <c r="H302" t="n">
        <v>0</v>
      </c>
      <c r="I302" t="n">
        <v>0</v>
      </c>
      <c r="J302" t="n">
        <v>0</v>
      </c>
      <c r="K302" t="n">
        <v>0</v>
      </c>
      <c r="L302" t="n">
        <v>0</v>
      </c>
      <c r="M302" t="n">
        <v>0</v>
      </c>
      <c r="N302" t="n">
        <v>0</v>
      </c>
      <c r="O302" t="n">
        <v>0</v>
      </c>
      <c r="P302" t="n">
        <v>0</v>
      </c>
      <c r="Q302" t="n">
        <v>0</v>
      </c>
      <c r="R302" s="2" t="inlineStr"/>
    </row>
    <row r="303" ht="15" customHeight="1">
      <c r="A303" t="inlineStr">
        <is>
          <t>A 10158-2025</t>
        </is>
      </c>
      <c r="B303" s="1" t="n">
        <v>45719</v>
      </c>
      <c r="C303" s="1" t="n">
        <v>46091</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53569-2025</t>
        </is>
      </c>
      <c r="B304" s="1" t="n">
        <v>45960.41155092593</v>
      </c>
      <c r="C304" s="1" t="n">
        <v>46091</v>
      </c>
      <c r="D304" t="inlineStr">
        <is>
          <t>GOTLANDS LÄN</t>
        </is>
      </c>
      <c r="E304" t="inlineStr">
        <is>
          <t>GOTLAND</t>
        </is>
      </c>
      <c r="F304" t="inlineStr">
        <is>
          <t>Övriga Aktiebolag</t>
        </is>
      </c>
      <c r="G304" t="n">
        <v>11.3</v>
      </c>
      <c r="H304" t="n">
        <v>0</v>
      </c>
      <c r="I304" t="n">
        <v>0</v>
      </c>
      <c r="J304" t="n">
        <v>0</v>
      </c>
      <c r="K304" t="n">
        <v>0</v>
      </c>
      <c r="L304" t="n">
        <v>0</v>
      </c>
      <c r="M304" t="n">
        <v>0</v>
      </c>
      <c r="N304" t="n">
        <v>0</v>
      </c>
      <c r="O304" t="n">
        <v>0</v>
      </c>
      <c r="P304" t="n">
        <v>0</v>
      </c>
      <c r="Q304" t="n">
        <v>0</v>
      </c>
      <c r="R304" s="2" t="inlineStr"/>
    </row>
    <row r="305" ht="15" customHeight="1">
      <c r="A305" t="inlineStr">
        <is>
          <t>A 26457-2025</t>
        </is>
      </c>
      <c r="B305" s="1" t="n">
        <v>45807.42773148148</v>
      </c>
      <c r="C305" s="1" t="n">
        <v>46091</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26467-2025</t>
        </is>
      </c>
      <c r="B306" s="1" t="n">
        <v>45807.44640046296</v>
      </c>
      <c r="C306" s="1" t="n">
        <v>46091</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53577-2025</t>
        </is>
      </c>
      <c r="B307" s="1" t="n">
        <v>45960.42224537037</v>
      </c>
      <c r="C307" s="1" t="n">
        <v>46091</v>
      </c>
      <c r="D307" t="inlineStr">
        <is>
          <t>GOTLANDS LÄN</t>
        </is>
      </c>
      <c r="E307" t="inlineStr">
        <is>
          <t>GOTLAND</t>
        </is>
      </c>
      <c r="F307" t="inlineStr">
        <is>
          <t>Övriga Aktiebolag</t>
        </is>
      </c>
      <c r="G307" t="n">
        <v>3.3</v>
      </c>
      <c r="H307" t="n">
        <v>0</v>
      </c>
      <c r="I307" t="n">
        <v>0</v>
      </c>
      <c r="J307" t="n">
        <v>0</v>
      </c>
      <c r="K307" t="n">
        <v>0</v>
      </c>
      <c r="L307" t="n">
        <v>0</v>
      </c>
      <c r="M307" t="n">
        <v>0</v>
      </c>
      <c r="N307" t="n">
        <v>0</v>
      </c>
      <c r="O307" t="n">
        <v>0</v>
      </c>
      <c r="P307" t="n">
        <v>0</v>
      </c>
      <c r="Q307" t="n">
        <v>0</v>
      </c>
      <c r="R307" s="2" t="inlineStr"/>
    </row>
    <row r="308" ht="15" customHeight="1">
      <c r="A308" t="inlineStr">
        <is>
          <t>A 26465-2025</t>
        </is>
      </c>
      <c r="B308" s="1" t="n">
        <v>45807.44377314814</v>
      </c>
      <c r="C308" s="1" t="n">
        <v>46091</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26660-2025</t>
        </is>
      </c>
      <c r="B309" s="1" t="n">
        <v>45810.39737268518</v>
      </c>
      <c r="C309" s="1" t="n">
        <v>46091</v>
      </c>
      <c r="D309" t="inlineStr">
        <is>
          <t>GOTLANDS LÄN</t>
        </is>
      </c>
      <c r="E309" t="inlineStr">
        <is>
          <t>GOTLAND</t>
        </is>
      </c>
      <c r="G309" t="n">
        <v>1.8</v>
      </c>
      <c r="H309" t="n">
        <v>0</v>
      </c>
      <c r="I309" t="n">
        <v>0</v>
      </c>
      <c r="J309" t="n">
        <v>0</v>
      </c>
      <c r="K309" t="n">
        <v>0</v>
      </c>
      <c r="L309" t="n">
        <v>0</v>
      </c>
      <c r="M309" t="n">
        <v>0</v>
      </c>
      <c r="N309" t="n">
        <v>0</v>
      </c>
      <c r="O309" t="n">
        <v>0</v>
      </c>
      <c r="P309" t="n">
        <v>0</v>
      </c>
      <c r="Q309" t="n">
        <v>0</v>
      </c>
      <c r="R309" s="2" t="inlineStr"/>
    </row>
    <row r="310" ht="15" customHeight="1">
      <c r="A310" t="inlineStr">
        <is>
          <t>A 4568-2025</t>
        </is>
      </c>
      <c r="B310" s="1" t="n">
        <v>45687</v>
      </c>
      <c r="C310" s="1" t="n">
        <v>46091</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43911-2025</t>
        </is>
      </c>
      <c r="B311" s="1" t="n">
        <v>45914.3881712963</v>
      </c>
      <c r="C311" s="1" t="n">
        <v>46091</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44410-2025</t>
        </is>
      </c>
      <c r="B312" s="1" t="n">
        <v>45916.53699074074</v>
      </c>
      <c r="C312" s="1" t="n">
        <v>46091</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43951-2025</t>
        </is>
      </c>
      <c r="B313" s="1" t="n">
        <v>45915.38119212963</v>
      </c>
      <c r="C313" s="1" t="n">
        <v>46091</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44405-2025</t>
        </is>
      </c>
      <c r="B314" s="1" t="n">
        <v>45916.52405092592</v>
      </c>
      <c r="C314" s="1" t="n">
        <v>46091</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35512-2023</t>
        </is>
      </c>
      <c r="B315" s="1" t="n">
        <v>45147.25623842593</v>
      </c>
      <c r="C315" s="1" t="n">
        <v>46091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5905-2024</t>
        </is>
      </c>
      <c r="B316" s="1" t="n">
        <v>45335.88993055555</v>
      </c>
      <c r="C316" s="1" t="n">
        <v>46091</v>
      </c>
      <c r="D316" t="inlineStr">
        <is>
          <t>GOTLANDS LÄN</t>
        </is>
      </c>
      <c r="E316" t="inlineStr">
        <is>
          <t>GOTLAND</t>
        </is>
      </c>
      <c r="G316" t="n">
        <v>3</v>
      </c>
      <c r="H316" t="n">
        <v>0</v>
      </c>
      <c r="I316" t="n">
        <v>0</v>
      </c>
      <c r="J316" t="n">
        <v>0</v>
      </c>
      <c r="K316" t="n">
        <v>0</v>
      </c>
      <c r="L316" t="n">
        <v>0</v>
      </c>
      <c r="M316" t="n">
        <v>0</v>
      </c>
      <c r="N316" t="n">
        <v>0</v>
      </c>
      <c r="O316" t="n">
        <v>0</v>
      </c>
      <c r="P316" t="n">
        <v>0</v>
      </c>
      <c r="Q316" t="n">
        <v>0</v>
      </c>
      <c r="R316" s="2" t="inlineStr"/>
    </row>
    <row r="317" ht="15" customHeight="1">
      <c r="A317" t="inlineStr">
        <is>
          <t>A 27371-2025</t>
        </is>
      </c>
      <c r="B317" s="1" t="n">
        <v>45812</v>
      </c>
      <c r="C317" s="1" t="n">
        <v>46091</v>
      </c>
      <c r="D317" t="inlineStr">
        <is>
          <t>GOTLANDS LÄN</t>
        </is>
      </c>
      <c r="E317" t="inlineStr">
        <is>
          <t>GOTLAND</t>
        </is>
      </c>
      <c r="G317" t="n">
        <v>8</v>
      </c>
      <c r="H317" t="n">
        <v>0</v>
      </c>
      <c r="I317" t="n">
        <v>0</v>
      </c>
      <c r="J317" t="n">
        <v>0</v>
      </c>
      <c r="K317" t="n">
        <v>0</v>
      </c>
      <c r="L317" t="n">
        <v>0</v>
      </c>
      <c r="M317" t="n">
        <v>0</v>
      </c>
      <c r="N317" t="n">
        <v>0</v>
      </c>
      <c r="O317" t="n">
        <v>0</v>
      </c>
      <c r="P317" t="n">
        <v>0</v>
      </c>
      <c r="Q317" t="n">
        <v>0</v>
      </c>
      <c r="R317" s="2" t="inlineStr"/>
    </row>
    <row r="318" ht="15" customHeight="1">
      <c r="A318" t="inlineStr">
        <is>
          <t>A 27355-2025</t>
        </is>
      </c>
      <c r="B318" s="1" t="n">
        <v>45812</v>
      </c>
      <c r="C318" s="1" t="n">
        <v>46091</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1291-2023</t>
        </is>
      </c>
      <c r="B319" s="1" t="n">
        <v>44936.47561342592</v>
      </c>
      <c r="C319" s="1" t="n">
        <v>46091</v>
      </c>
      <c r="D319" t="inlineStr">
        <is>
          <t>GOTLANDS LÄN</t>
        </is>
      </c>
      <c r="E319" t="inlineStr">
        <is>
          <t>GOTLAND</t>
        </is>
      </c>
      <c r="G319" t="n">
        <v>7.4</v>
      </c>
      <c r="H319" t="n">
        <v>0</v>
      </c>
      <c r="I319" t="n">
        <v>0</v>
      </c>
      <c r="J319" t="n">
        <v>0</v>
      </c>
      <c r="K319" t="n">
        <v>0</v>
      </c>
      <c r="L319" t="n">
        <v>0</v>
      </c>
      <c r="M319" t="n">
        <v>0</v>
      </c>
      <c r="N319" t="n">
        <v>0</v>
      </c>
      <c r="O319" t="n">
        <v>0</v>
      </c>
      <c r="P319" t="n">
        <v>0</v>
      </c>
      <c r="Q319" t="n">
        <v>0</v>
      </c>
      <c r="R319" s="2" t="inlineStr"/>
    </row>
    <row r="320" ht="15" customHeight="1">
      <c r="A320" t="inlineStr">
        <is>
          <t>A 6739-2025</t>
        </is>
      </c>
      <c r="B320" s="1" t="n">
        <v>45700</v>
      </c>
      <c r="C320" s="1" t="n">
        <v>46091</v>
      </c>
      <c r="D320" t="inlineStr">
        <is>
          <t>GOTLANDS LÄN</t>
        </is>
      </c>
      <c r="E320" t="inlineStr">
        <is>
          <t>GOTLAND</t>
        </is>
      </c>
      <c r="G320" t="n">
        <v>4.5</v>
      </c>
      <c r="H320" t="n">
        <v>0</v>
      </c>
      <c r="I320" t="n">
        <v>0</v>
      </c>
      <c r="J320" t="n">
        <v>0</v>
      </c>
      <c r="K320" t="n">
        <v>0</v>
      </c>
      <c r="L320" t="n">
        <v>0</v>
      </c>
      <c r="M320" t="n">
        <v>0</v>
      </c>
      <c r="N320" t="n">
        <v>0</v>
      </c>
      <c r="O320" t="n">
        <v>0</v>
      </c>
      <c r="P320" t="n">
        <v>0</v>
      </c>
      <c r="Q320" t="n">
        <v>0</v>
      </c>
      <c r="R320" s="2" t="inlineStr"/>
    </row>
    <row r="321" ht="15" customHeight="1">
      <c r="A321" t="inlineStr">
        <is>
          <t>A 7850-2025</t>
        </is>
      </c>
      <c r="B321" s="1" t="n">
        <v>45706</v>
      </c>
      <c r="C321" s="1" t="n">
        <v>46091</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57652-2023</t>
        </is>
      </c>
      <c r="B322" s="1" t="n">
        <v>45246</v>
      </c>
      <c r="C322" s="1" t="n">
        <v>46091</v>
      </c>
      <c r="D322" t="inlineStr">
        <is>
          <t>GOTLANDS LÄN</t>
        </is>
      </c>
      <c r="E322" t="inlineStr">
        <is>
          <t>GOTLAND</t>
        </is>
      </c>
      <c r="G322" t="n">
        <v>7.2</v>
      </c>
      <c r="H322" t="n">
        <v>0</v>
      </c>
      <c r="I322" t="n">
        <v>0</v>
      </c>
      <c r="J322" t="n">
        <v>0</v>
      </c>
      <c r="K322" t="n">
        <v>0</v>
      </c>
      <c r="L322" t="n">
        <v>0</v>
      </c>
      <c r="M322" t="n">
        <v>0</v>
      </c>
      <c r="N322" t="n">
        <v>0</v>
      </c>
      <c r="O322" t="n">
        <v>0</v>
      </c>
      <c r="P322" t="n">
        <v>0</v>
      </c>
      <c r="Q322" t="n">
        <v>0</v>
      </c>
      <c r="R322" s="2" t="inlineStr"/>
    </row>
    <row r="323" ht="15" customHeight="1">
      <c r="A323" t="inlineStr">
        <is>
          <t>A 8444-2025</t>
        </is>
      </c>
      <c r="B323" s="1" t="n">
        <v>45709</v>
      </c>
      <c r="C323" s="1" t="n">
        <v>46091</v>
      </c>
      <c r="D323" t="inlineStr">
        <is>
          <t>GOTLANDS LÄN</t>
        </is>
      </c>
      <c r="E323" t="inlineStr">
        <is>
          <t>GOTLAND</t>
        </is>
      </c>
      <c r="G323" t="n">
        <v>5.2</v>
      </c>
      <c r="H323" t="n">
        <v>0</v>
      </c>
      <c r="I323" t="n">
        <v>0</v>
      </c>
      <c r="J323" t="n">
        <v>0</v>
      </c>
      <c r="K323" t="n">
        <v>0</v>
      </c>
      <c r="L323" t="n">
        <v>0</v>
      </c>
      <c r="M323" t="n">
        <v>0</v>
      </c>
      <c r="N323" t="n">
        <v>0</v>
      </c>
      <c r="O323" t="n">
        <v>0</v>
      </c>
      <c r="P323" t="n">
        <v>0</v>
      </c>
      <c r="Q323" t="n">
        <v>0</v>
      </c>
      <c r="R323" s="2" t="inlineStr"/>
    </row>
    <row r="324" ht="15" customHeight="1">
      <c r="A324" t="inlineStr">
        <is>
          <t>A 49315-2024</t>
        </is>
      </c>
      <c r="B324" s="1" t="n">
        <v>45595</v>
      </c>
      <c r="C324" s="1" t="n">
        <v>46091</v>
      </c>
      <c r="D324" t="inlineStr">
        <is>
          <t>GOTLANDS LÄN</t>
        </is>
      </c>
      <c r="E324" t="inlineStr">
        <is>
          <t>GOTLAND</t>
        </is>
      </c>
      <c r="G324" t="n">
        <v>1.5</v>
      </c>
      <c r="H324" t="n">
        <v>0</v>
      </c>
      <c r="I324" t="n">
        <v>0</v>
      </c>
      <c r="J324" t="n">
        <v>0</v>
      </c>
      <c r="K324" t="n">
        <v>0</v>
      </c>
      <c r="L324" t="n">
        <v>0</v>
      </c>
      <c r="M324" t="n">
        <v>0</v>
      </c>
      <c r="N324" t="n">
        <v>0</v>
      </c>
      <c r="O324" t="n">
        <v>0</v>
      </c>
      <c r="P324" t="n">
        <v>0</v>
      </c>
      <c r="Q324" t="n">
        <v>0</v>
      </c>
      <c r="R324" s="2" t="inlineStr"/>
    </row>
    <row r="325" ht="15" customHeight="1">
      <c r="A325" t="inlineStr">
        <is>
          <t>A 45106-2024</t>
        </is>
      </c>
      <c r="B325" s="1" t="n">
        <v>45575</v>
      </c>
      <c r="C325" s="1" t="n">
        <v>46091</v>
      </c>
      <c r="D325" t="inlineStr">
        <is>
          <t>GOTLANDS LÄN</t>
        </is>
      </c>
      <c r="E325" t="inlineStr">
        <is>
          <t>GOTLAND</t>
        </is>
      </c>
      <c r="G325" t="n">
        <v>10</v>
      </c>
      <c r="H325" t="n">
        <v>0</v>
      </c>
      <c r="I325" t="n">
        <v>0</v>
      </c>
      <c r="J325" t="n">
        <v>0</v>
      </c>
      <c r="K325" t="n">
        <v>0</v>
      </c>
      <c r="L325" t="n">
        <v>0</v>
      </c>
      <c r="M325" t="n">
        <v>0</v>
      </c>
      <c r="N325" t="n">
        <v>0</v>
      </c>
      <c r="O325" t="n">
        <v>0</v>
      </c>
      <c r="P325" t="n">
        <v>0</v>
      </c>
      <c r="Q325" t="n">
        <v>0</v>
      </c>
      <c r="R325" s="2" t="inlineStr"/>
    </row>
    <row r="326" ht="15" customHeight="1">
      <c r="A326" t="inlineStr">
        <is>
          <t>A 45112-2024</t>
        </is>
      </c>
      <c r="B326" s="1" t="n">
        <v>45575</v>
      </c>
      <c r="C326" s="1" t="n">
        <v>46091</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2676-2023</t>
        </is>
      </c>
      <c r="B327" s="1" t="n">
        <v>44944</v>
      </c>
      <c r="C327" s="1" t="n">
        <v>46091</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3150-2025</t>
        </is>
      </c>
      <c r="B328" s="1" t="n">
        <v>45679.28974537037</v>
      </c>
      <c r="C328" s="1" t="n">
        <v>46091</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8484-2025</t>
        </is>
      </c>
      <c r="B329" s="1" t="n">
        <v>45709</v>
      </c>
      <c r="C329" s="1" t="n">
        <v>46091</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7635-2025</t>
        </is>
      </c>
      <c r="B330" s="1" t="n">
        <v>45705</v>
      </c>
      <c r="C330" s="1" t="n">
        <v>46091</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7636-2025</t>
        </is>
      </c>
      <c r="B331" s="1" t="n">
        <v>45705.7687962963</v>
      </c>
      <c r="C331" s="1" t="n">
        <v>46091</v>
      </c>
      <c r="D331" t="inlineStr">
        <is>
          <t>GOTLANDS LÄN</t>
        </is>
      </c>
      <c r="E331" t="inlineStr">
        <is>
          <t>GOTLAND</t>
        </is>
      </c>
      <c r="G331" t="n">
        <v>0.6</v>
      </c>
      <c r="H331" t="n">
        <v>0</v>
      </c>
      <c r="I331" t="n">
        <v>0</v>
      </c>
      <c r="J331" t="n">
        <v>0</v>
      </c>
      <c r="K331" t="n">
        <v>0</v>
      </c>
      <c r="L331" t="n">
        <v>0</v>
      </c>
      <c r="M331" t="n">
        <v>0</v>
      </c>
      <c r="N331" t="n">
        <v>0</v>
      </c>
      <c r="O331" t="n">
        <v>0</v>
      </c>
      <c r="P331" t="n">
        <v>0</v>
      </c>
      <c r="Q331" t="n">
        <v>0</v>
      </c>
      <c r="R331" s="2" t="inlineStr"/>
    </row>
    <row r="332" ht="15" customHeight="1">
      <c r="A332" t="inlineStr">
        <is>
          <t>A 7639-2025</t>
        </is>
      </c>
      <c r="B332" s="1" t="n">
        <v>45705.77465277778</v>
      </c>
      <c r="C332" s="1" t="n">
        <v>46091</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46091</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46091</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46091</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46091</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19905-2025</t>
        </is>
      </c>
      <c r="B337" s="1" t="n">
        <v>45771</v>
      </c>
      <c r="C337" s="1" t="n">
        <v>46091</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29809-2022</t>
        </is>
      </c>
      <c r="B338" s="1" t="n">
        <v>44755.8713425926</v>
      </c>
      <c r="C338" s="1" t="n">
        <v>46091</v>
      </c>
      <c r="D338" t="inlineStr">
        <is>
          <t>GOTLANDS LÄN</t>
        </is>
      </c>
      <c r="E338" t="inlineStr">
        <is>
          <t>GOTLAND</t>
        </is>
      </c>
      <c r="G338" t="n">
        <v>11.5</v>
      </c>
      <c r="H338" t="n">
        <v>0</v>
      </c>
      <c r="I338" t="n">
        <v>0</v>
      </c>
      <c r="J338" t="n">
        <v>0</v>
      </c>
      <c r="K338" t="n">
        <v>0</v>
      </c>
      <c r="L338" t="n">
        <v>0</v>
      </c>
      <c r="M338" t="n">
        <v>0</v>
      </c>
      <c r="N338" t="n">
        <v>0</v>
      </c>
      <c r="O338" t="n">
        <v>0</v>
      </c>
      <c r="P338" t="n">
        <v>0</v>
      </c>
      <c r="Q338" t="n">
        <v>0</v>
      </c>
      <c r="R338" s="2" t="inlineStr"/>
    </row>
    <row r="339" ht="15" customHeight="1">
      <c r="A339" t="inlineStr">
        <is>
          <t>A 46836-2025</t>
        </is>
      </c>
      <c r="B339" s="1" t="n">
        <v>45928.31511574074</v>
      </c>
      <c r="C339" s="1" t="n">
        <v>46091</v>
      </c>
      <c r="D339" t="inlineStr">
        <is>
          <t>GOTLANDS LÄN</t>
        </is>
      </c>
      <c r="E339" t="inlineStr">
        <is>
          <t>GOTLAND</t>
        </is>
      </c>
      <c r="G339" t="n">
        <v>2.8</v>
      </c>
      <c r="H339" t="n">
        <v>0</v>
      </c>
      <c r="I339" t="n">
        <v>0</v>
      </c>
      <c r="J339" t="n">
        <v>0</v>
      </c>
      <c r="K339" t="n">
        <v>0</v>
      </c>
      <c r="L339" t="n">
        <v>0</v>
      </c>
      <c r="M339" t="n">
        <v>0</v>
      </c>
      <c r="N339" t="n">
        <v>0</v>
      </c>
      <c r="O339" t="n">
        <v>0</v>
      </c>
      <c r="P339" t="n">
        <v>0</v>
      </c>
      <c r="Q339" t="n">
        <v>0</v>
      </c>
      <c r="R339" s="2" t="inlineStr"/>
    </row>
    <row r="340" ht="15" customHeight="1">
      <c r="A340" t="inlineStr">
        <is>
          <t>A 29196-2025</t>
        </is>
      </c>
      <c r="B340" s="1" t="n">
        <v>45822</v>
      </c>
      <c r="C340" s="1" t="n">
        <v>46091</v>
      </c>
      <c r="D340" t="inlineStr">
        <is>
          <t>GOTLANDS LÄN</t>
        </is>
      </c>
      <c r="E340" t="inlineStr">
        <is>
          <t>GOTLAND</t>
        </is>
      </c>
      <c r="G340" t="n">
        <v>0.5</v>
      </c>
      <c r="H340" t="n">
        <v>0</v>
      </c>
      <c r="I340" t="n">
        <v>0</v>
      </c>
      <c r="J340" t="n">
        <v>0</v>
      </c>
      <c r="K340" t="n">
        <v>0</v>
      </c>
      <c r="L340" t="n">
        <v>0</v>
      </c>
      <c r="M340" t="n">
        <v>0</v>
      </c>
      <c r="N340" t="n">
        <v>0</v>
      </c>
      <c r="O340" t="n">
        <v>0</v>
      </c>
      <c r="P340" t="n">
        <v>0</v>
      </c>
      <c r="Q340" t="n">
        <v>0</v>
      </c>
      <c r="R340" s="2" t="inlineStr"/>
    </row>
    <row r="341" ht="15" customHeight="1">
      <c r="A341" t="inlineStr">
        <is>
          <t>A 29207-2025</t>
        </is>
      </c>
      <c r="B341" s="1" t="n">
        <v>45823</v>
      </c>
      <c r="C341" s="1" t="n">
        <v>46091</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57685-2022</t>
        </is>
      </c>
      <c r="B342" s="1" t="n">
        <v>44897.4777662037</v>
      </c>
      <c r="C342" s="1" t="n">
        <v>46091</v>
      </c>
      <c r="D342" t="inlineStr">
        <is>
          <t>GOTLANDS LÄN</t>
        </is>
      </c>
      <c r="E342" t="inlineStr">
        <is>
          <t>GOTLAND</t>
        </is>
      </c>
      <c r="G342" t="n">
        <v>3.7</v>
      </c>
      <c r="H342" t="n">
        <v>0</v>
      </c>
      <c r="I342" t="n">
        <v>0</v>
      </c>
      <c r="J342" t="n">
        <v>0</v>
      </c>
      <c r="K342" t="n">
        <v>0</v>
      </c>
      <c r="L342" t="n">
        <v>0</v>
      </c>
      <c r="M342" t="n">
        <v>0</v>
      </c>
      <c r="N342" t="n">
        <v>0</v>
      </c>
      <c r="O342" t="n">
        <v>0</v>
      </c>
      <c r="P342" t="n">
        <v>0</v>
      </c>
      <c r="Q342" t="n">
        <v>0</v>
      </c>
      <c r="R342" s="2" t="inlineStr"/>
    </row>
    <row r="343" ht="15" customHeight="1">
      <c r="A343" t="inlineStr">
        <is>
          <t>A 30815-2023</t>
        </is>
      </c>
      <c r="B343" s="1" t="n">
        <v>45112</v>
      </c>
      <c r="C343" s="1" t="n">
        <v>46091</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47637-2025</t>
        </is>
      </c>
      <c r="B344" s="1" t="n">
        <v>45931.49753472222</v>
      </c>
      <c r="C344" s="1" t="n">
        <v>46091</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30061-2025</t>
        </is>
      </c>
      <c r="B345" s="1" t="n">
        <v>45826.61488425926</v>
      </c>
      <c r="C345" s="1" t="n">
        <v>46091</v>
      </c>
      <c r="D345" t="inlineStr">
        <is>
          <t>GOTLANDS LÄN</t>
        </is>
      </c>
      <c r="E345" t="inlineStr">
        <is>
          <t>GOTLAND</t>
        </is>
      </c>
      <c r="G345" t="n">
        <v>4.1</v>
      </c>
      <c r="H345" t="n">
        <v>0</v>
      </c>
      <c r="I345" t="n">
        <v>0</v>
      </c>
      <c r="J345" t="n">
        <v>0</v>
      </c>
      <c r="K345" t="n">
        <v>0</v>
      </c>
      <c r="L345" t="n">
        <v>0</v>
      </c>
      <c r="M345" t="n">
        <v>0</v>
      </c>
      <c r="N345" t="n">
        <v>0</v>
      </c>
      <c r="O345" t="n">
        <v>0</v>
      </c>
      <c r="P345" t="n">
        <v>0</v>
      </c>
      <c r="Q345" t="n">
        <v>0</v>
      </c>
      <c r="R345" s="2" t="inlineStr"/>
    </row>
    <row r="346" ht="15" customHeight="1">
      <c r="A346" t="inlineStr">
        <is>
          <t>A 7034-2023</t>
        </is>
      </c>
      <c r="B346" s="1" t="n">
        <v>44968.32108796296</v>
      </c>
      <c r="C346" s="1" t="n">
        <v>46091</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7042-2023</t>
        </is>
      </c>
      <c r="B347" s="1" t="n">
        <v>44968</v>
      </c>
      <c r="C347" s="1" t="n">
        <v>46091</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23516-2023</t>
        </is>
      </c>
      <c r="B348" s="1" t="n">
        <v>45076.93391203704</v>
      </c>
      <c r="C348" s="1" t="n">
        <v>46091</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64660-2023</t>
        </is>
      </c>
      <c r="B349" s="1" t="n">
        <v>45281.60122685185</v>
      </c>
      <c r="C349" s="1" t="n">
        <v>46091</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32378-2025</t>
        </is>
      </c>
      <c r="B350" s="1" t="n">
        <v>45837</v>
      </c>
      <c r="C350" s="1" t="n">
        <v>46091</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58160-2024</t>
        </is>
      </c>
      <c r="B351" s="1" t="n">
        <v>45632.44927083333</v>
      </c>
      <c r="C351" s="1" t="n">
        <v>46091</v>
      </c>
      <c r="D351" t="inlineStr">
        <is>
          <t>GOTLANDS LÄN</t>
        </is>
      </c>
      <c r="E351" t="inlineStr">
        <is>
          <t>GOTLAND</t>
        </is>
      </c>
      <c r="G351" t="n">
        <v>5.6</v>
      </c>
      <c r="H351" t="n">
        <v>0</v>
      </c>
      <c r="I351" t="n">
        <v>0</v>
      </c>
      <c r="J351" t="n">
        <v>0</v>
      </c>
      <c r="K351" t="n">
        <v>0</v>
      </c>
      <c r="L351" t="n">
        <v>0</v>
      </c>
      <c r="M351" t="n">
        <v>0</v>
      </c>
      <c r="N351" t="n">
        <v>0</v>
      </c>
      <c r="O351" t="n">
        <v>0</v>
      </c>
      <c r="P351" t="n">
        <v>0</v>
      </c>
      <c r="Q351" t="n">
        <v>0</v>
      </c>
      <c r="R351" s="2" t="inlineStr"/>
    </row>
    <row r="352" ht="15" customHeight="1">
      <c r="A352" t="inlineStr">
        <is>
          <t>A 63763-2023</t>
        </is>
      </c>
      <c r="B352" s="1" t="n">
        <v>45278.33944444444</v>
      </c>
      <c r="C352" s="1" t="n">
        <v>46091</v>
      </c>
      <c r="D352" t="inlineStr">
        <is>
          <t>GOTLANDS LÄN</t>
        </is>
      </c>
      <c r="E352" t="inlineStr">
        <is>
          <t>GOTLAND</t>
        </is>
      </c>
      <c r="G352" t="n">
        <v>0.5</v>
      </c>
      <c r="H352" t="n">
        <v>0</v>
      </c>
      <c r="I352" t="n">
        <v>0</v>
      </c>
      <c r="J352" t="n">
        <v>0</v>
      </c>
      <c r="K352" t="n">
        <v>0</v>
      </c>
      <c r="L352" t="n">
        <v>0</v>
      </c>
      <c r="M352" t="n">
        <v>0</v>
      </c>
      <c r="N352" t="n">
        <v>0</v>
      </c>
      <c r="O352" t="n">
        <v>0</v>
      </c>
      <c r="P352" t="n">
        <v>0</v>
      </c>
      <c r="Q352" t="n">
        <v>0</v>
      </c>
      <c r="R352" s="2" t="inlineStr"/>
    </row>
    <row r="353" ht="15" customHeight="1">
      <c r="A353" t="inlineStr">
        <is>
          <t>A 35550-2025</t>
        </is>
      </c>
      <c r="B353" s="1" t="n">
        <v>45856.49324074074</v>
      </c>
      <c r="C353" s="1" t="n">
        <v>46091</v>
      </c>
      <c r="D353" t="inlineStr">
        <is>
          <t>GOTLANDS LÄN</t>
        </is>
      </c>
      <c r="E353" t="inlineStr">
        <is>
          <t>GOTLAND</t>
        </is>
      </c>
      <c r="G353" t="n">
        <v>3.2</v>
      </c>
      <c r="H353" t="n">
        <v>0</v>
      </c>
      <c r="I353" t="n">
        <v>0</v>
      </c>
      <c r="J353" t="n">
        <v>0</v>
      </c>
      <c r="K353" t="n">
        <v>0</v>
      </c>
      <c r="L353" t="n">
        <v>0</v>
      </c>
      <c r="M353" t="n">
        <v>0</v>
      </c>
      <c r="N353" t="n">
        <v>0</v>
      </c>
      <c r="O353" t="n">
        <v>0</v>
      </c>
      <c r="P353" t="n">
        <v>0</v>
      </c>
      <c r="Q353" t="n">
        <v>0</v>
      </c>
      <c r="R353" s="2" t="inlineStr"/>
    </row>
    <row r="354" ht="15" customHeight="1">
      <c r="A354" t="inlineStr">
        <is>
          <t>A 63229-2021</t>
        </is>
      </c>
      <c r="B354" s="1" t="n">
        <v>44508.34518518519</v>
      </c>
      <c r="C354" s="1" t="n">
        <v>46091</v>
      </c>
      <c r="D354" t="inlineStr">
        <is>
          <t>GOTLANDS LÄN</t>
        </is>
      </c>
      <c r="E354" t="inlineStr">
        <is>
          <t>GOTLAND</t>
        </is>
      </c>
      <c r="F354" t="inlineStr">
        <is>
          <t>Kyrkan</t>
        </is>
      </c>
      <c r="G354" t="n">
        <v>3.8</v>
      </c>
      <c r="H354" t="n">
        <v>0</v>
      </c>
      <c r="I354" t="n">
        <v>0</v>
      </c>
      <c r="J354" t="n">
        <v>0</v>
      </c>
      <c r="K354" t="n">
        <v>0</v>
      </c>
      <c r="L354" t="n">
        <v>0</v>
      </c>
      <c r="M354" t="n">
        <v>0</v>
      </c>
      <c r="N354" t="n">
        <v>0</v>
      </c>
      <c r="O354" t="n">
        <v>0</v>
      </c>
      <c r="P354" t="n">
        <v>0</v>
      </c>
      <c r="Q354" t="n">
        <v>0</v>
      </c>
      <c r="R354" s="2" t="inlineStr"/>
    </row>
    <row r="355" ht="15" customHeight="1">
      <c r="A355" t="inlineStr">
        <is>
          <t>A 46375-2024</t>
        </is>
      </c>
      <c r="B355" s="1" t="n">
        <v>45582</v>
      </c>
      <c r="C355" s="1" t="n">
        <v>46091</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47578-2025</t>
        </is>
      </c>
      <c r="B356" s="1" t="n">
        <v>45931</v>
      </c>
      <c r="C356" s="1" t="n">
        <v>46091</v>
      </c>
      <c r="D356" t="inlineStr">
        <is>
          <t>GOTLANDS LÄN</t>
        </is>
      </c>
      <c r="E356" t="inlineStr">
        <is>
          <t>GOTLAND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49724-2025</t>
        </is>
      </c>
      <c r="B357" s="1" t="n">
        <v>45939.83730324074</v>
      </c>
      <c r="C357" s="1" t="n">
        <v>46091</v>
      </c>
      <c r="D357" t="inlineStr">
        <is>
          <t>GOTLANDS LÄN</t>
        </is>
      </c>
      <c r="E357" t="inlineStr">
        <is>
          <t>GOTLAND</t>
        </is>
      </c>
      <c r="F357" t="inlineStr">
        <is>
          <t>Kyrkan</t>
        </is>
      </c>
      <c r="G357" t="n">
        <v>3.1</v>
      </c>
      <c r="H357" t="n">
        <v>0</v>
      </c>
      <c r="I357" t="n">
        <v>0</v>
      </c>
      <c r="J357" t="n">
        <v>0</v>
      </c>
      <c r="K357" t="n">
        <v>0</v>
      </c>
      <c r="L357" t="n">
        <v>0</v>
      </c>
      <c r="M357" t="n">
        <v>0</v>
      </c>
      <c r="N357" t="n">
        <v>0</v>
      </c>
      <c r="O357" t="n">
        <v>0</v>
      </c>
      <c r="P357" t="n">
        <v>0</v>
      </c>
      <c r="Q357" t="n">
        <v>0</v>
      </c>
      <c r="R357" s="2" t="inlineStr"/>
    </row>
    <row r="358" ht="15" customHeight="1">
      <c r="A358" t="inlineStr">
        <is>
          <t>A 49730-2025</t>
        </is>
      </c>
      <c r="B358" s="1" t="n">
        <v>45939.87613425926</v>
      </c>
      <c r="C358" s="1" t="n">
        <v>46091</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46091</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33011-2025</t>
        </is>
      </c>
      <c r="B360" s="1" t="n">
        <v>45840</v>
      </c>
      <c r="C360" s="1" t="n">
        <v>46091</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50421-2025</t>
        </is>
      </c>
      <c r="B361" s="1" t="n">
        <v>45944.66049768519</v>
      </c>
      <c r="C361" s="1" t="n">
        <v>46091</v>
      </c>
      <c r="D361" t="inlineStr">
        <is>
          <t>GOTLANDS LÄN</t>
        </is>
      </c>
      <c r="E361" t="inlineStr">
        <is>
          <t>GOTLAND</t>
        </is>
      </c>
      <c r="G361" t="n">
        <v>3.9</v>
      </c>
      <c r="H361" t="n">
        <v>0</v>
      </c>
      <c r="I361" t="n">
        <v>0</v>
      </c>
      <c r="J361" t="n">
        <v>0</v>
      </c>
      <c r="K361" t="n">
        <v>0</v>
      </c>
      <c r="L361" t="n">
        <v>0</v>
      </c>
      <c r="M361" t="n">
        <v>0</v>
      </c>
      <c r="N361" t="n">
        <v>0</v>
      </c>
      <c r="O361" t="n">
        <v>0</v>
      </c>
      <c r="P361" t="n">
        <v>0</v>
      </c>
      <c r="Q361" t="n">
        <v>0</v>
      </c>
      <c r="R361" s="2" t="inlineStr"/>
    </row>
    <row r="362" ht="15" customHeight="1">
      <c r="A362" t="inlineStr">
        <is>
          <t>A 1734-2025</t>
        </is>
      </c>
      <c r="B362" s="1" t="n">
        <v>45671.3840625</v>
      </c>
      <c r="C362" s="1" t="n">
        <v>46091</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50431-2025</t>
        </is>
      </c>
      <c r="B363" s="1" t="n">
        <v>45944.68453703704</v>
      </c>
      <c r="C363" s="1" t="n">
        <v>46091</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32379-2025</t>
        </is>
      </c>
      <c r="B364" s="1" t="n">
        <v>45837</v>
      </c>
      <c r="C364" s="1" t="n">
        <v>46091</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50928-2025</t>
        </is>
      </c>
      <c r="B365" s="1" t="n">
        <v>45946.67896990741</v>
      </c>
      <c r="C365" s="1" t="n">
        <v>46091</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20993-2023</t>
        </is>
      </c>
      <c r="B366" s="1" t="n">
        <v>45056</v>
      </c>
      <c r="C366" s="1" t="n">
        <v>46091</v>
      </c>
      <c r="D366" t="inlineStr">
        <is>
          <t>GOTLANDS LÄN</t>
        </is>
      </c>
      <c r="E366" t="inlineStr">
        <is>
          <t>GOTLAND</t>
        </is>
      </c>
      <c r="G366" t="n">
        <v>7.1</v>
      </c>
      <c r="H366" t="n">
        <v>0</v>
      </c>
      <c r="I366" t="n">
        <v>0</v>
      </c>
      <c r="J366" t="n">
        <v>0</v>
      </c>
      <c r="K366" t="n">
        <v>0</v>
      </c>
      <c r="L366" t="n">
        <v>0</v>
      </c>
      <c r="M366" t="n">
        <v>0</v>
      </c>
      <c r="N366" t="n">
        <v>0</v>
      </c>
      <c r="O366" t="n">
        <v>0</v>
      </c>
      <c r="P366" t="n">
        <v>0</v>
      </c>
      <c r="Q366" t="n">
        <v>0</v>
      </c>
      <c r="R366" s="2" t="inlineStr"/>
    </row>
    <row r="367" ht="15" customHeight="1">
      <c r="A367" t="inlineStr">
        <is>
          <t>A 32467-2025</t>
        </is>
      </c>
      <c r="B367" s="1" t="n">
        <v>45838.42111111111</v>
      </c>
      <c r="C367" s="1" t="n">
        <v>46091</v>
      </c>
      <c r="D367" t="inlineStr">
        <is>
          <t>GOTLANDS LÄN</t>
        </is>
      </c>
      <c r="E367" t="inlineStr">
        <is>
          <t>GOTLAND</t>
        </is>
      </c>
      <c r="G367" t="n">
        <v>4.3</v>
      </c>
      <c r="H367" t="n">
        <v>0</v>
      </c>
      <c r="I367" t="n">
        <v>0</v>
      </c>
      <c r="J367" t="n">
        <v>0</v>
      </c>
      <c r="K367" t="n">
        <v>0</v>
      </c>
      <c r="L367" t="n">
        <v>0</v>
      </c>
      <c r="M367" t="n">
        <v>0</v>
      </c>
      <c r="N367" t="n">
        <v>0</v>
      </c>
      <c r="O367" t="n">
        <v>0</v>
      </c>
      <c r="P367" t="n">
        <v>0</v>
      </c>
      <c r="Q367" t="n">
        <v>0</v>
      </c>
      <c r="R367" s="2" t="inlineStr"/>
    </row>
    <row r="368" ht="15" customHeight="1">
      <c r="A368" t="inlineStr">
        <is>
          <t>A 12596-2023</t>
        </is>
      </c>
      <c r="B368" s="1" t="n">
        <v>45000.43310185185</v>
      </c>
      <c r="C368" s="1" t="n">
        <v>46091</v>
      </c>
      <c r="D368" t="inlineStr">
        <is>
          <t>GOTLANDS LÄN</t>
        </is>
      </c>
      <c r="E368" t="inlineStr">
        <is>
          <t>GOTLAND</t>
        </is>
      </c>
      <c r="G368" t="n">
        <v>4.1</v>
      </c>
      <c r="H368" t="n">
        <v>0</v>
      </c>
      <c r="I368" t="n">
        <v>0</v>
      </c>
      <c r="J368" t="n">
        <v>0</v>
      </c>
      <c r="K368" t="n">
        <v>0</v>
      </c>
      <c r="L368" t="n">
        <v>0</v>
      </c>
      <c r="M368" t="n">
        <v>0</v>
      </c>
      <c r="N368" t="n">
        <v>0</v>
      </c>
      <c r="O368" t="n">
        <v>0</v>
      </c>
      <c r="P368" t="n">
        <v>0</v>
      </c>
      <c r="Q368" t="n">
        <v>0</v>
      </c>
      <c r="R368" s="2" t="inlineStr"/>
    </row>
    <row r="369" ht="15" customHeight="1">
      <c r="A369" t="inlineStr">
        <is>
          <t>A 2125-2025</t>
        </is>
      </c>
      <c r="B369" s="1" t="n">
        <v>45672.64940972222</v>
      </c>
      <c r="C369" s="1" t="n">
        <v>46091</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16109-2025</t>
        </is>
      </c>
      <c r="B370" s="1" t="n">
        <v>45750</v>
      </c>
      <c r="C370" s="1" t="n">
        <v>46091</v>
      </c>
      <c r="D370" t="inlineStr">
        <is>
          <t>GOTLANDS LÄN</t>
        </is>
      </c>
      <c r="E370" t="inlineStr">
        <is>
          <t>GOTLAND</t>
        </is>
      </c>
      <c r="G370" t="n">
        <v>4.9</v>
      </c>
      <c r="H370" t="n">
        <v>0</v>
      </c>
      <c r="I370" t="n">
        <v>0</v>
      </c>
      <c r="J370" t="n">
        <v>0</v>
      </c>
      <c r="K370" t="n">
        <v>0</v>
      </c>
      <c r="L370" t="n">
        <v>0</v>
      </c>
      <c r="M370" t="n">
        <v>0</v>
      </c>
      <c r="N370" t="n">
        <v>0</v>
      </c>
      <c r="O370" t="n">
        <v>0</v>
      </c>
      <c r="P370" t="n">
        <v>0</v>
      </c>
      <c r="Q370" t="n">
        <v>0</v>
      </c>
      <c r="R370" s="2" t="inlineStr"/>
    </row>
    <row r="371" ht="15" customHeight="1">
      <c r="A371" t="inlineStr">
        <is>
          <t>A 12155-2023</t>
        </is>
      </c>
      <c r="B371" s="1" t="n">
        <v>44998.49106481481</v>
      </c>
      <c r="C371" s="1" t="n">
        <v>46091</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457-2023</t>
        </is>
      </c>
      <c r="B372" s="1" t="n">
        <v>44929.87238425926</v>
      </c>
      <c r="C372" s="1" t="n">
        <v>46091</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459-2023</t>
        </is>
      </c>
      <c r="B373" s="1" t="n">
        <v>44929.87423611111</v>
      </c>
      <c r="C373" s="1" t="n">
        <v>46091</v>
      </c>
      <c r="D373" t="inlineStr">
        <is>
          <t>GOTLANDS LÄN</t>
        </is>
      </c>
      <c r="E373" t="inlineStr">
        <is>
          <t>GOTLAND</t>
        </is>
      </c>
      <c r="G373" t="n">
        <v>4.2</v>
      </c>
      <c r="H373" t="n">
        <v>0</v>
      </c>
      <c r="I373" t="n">
        <v>0</v>
      </c>
      <c r="J373" t="n">
        <v>0</v>
      </c>
      <c r="K373" t="n">
        <v>0</v>
      </c>
      <c r="L373" t="n">
        <v>0</v>
      </c>
      <c r="M373" t="n">
        <v>0</v>
      </c>
      <c r="N373" t="n">
        <v>0</v>
      </c>
      <c r="O373" t="n">
        <v>0</v>
      </c>
      <c r="P373" t="n">
        <v>0</v>
      </c>
      <c r="Q373" t="n">
        <v>0</v>
      </c>
      <c r="R373" s="2" t="inlineStr"/>
    </row>
    <row r="374" ht="15" customHeight="1">
      <c r="A374" t="inlineStr">
        <is>
          <t>A 38234-2023</t>
        </is>
      </c>
      <c r="B374" s="1" t="n">
        <v>45161.56663194444</v>
      </c>
      <c r="C374" s="1" t="n">
        <v>46091</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50744-2024</t>
        </is>
      </c>
      <c r="B375" s="1" t="n">
        <v>45602.4187037037</v>
      </c>
      <c r="C375" s="1" t="n">
        <v>46091</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33007-2025</t>
        </is>
      </c>
      <c r="B376" s="1" t="n">
        <v>45840</v>
      </c>
      <c r="C376" s="1" t="n">
        <v>46091</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53934-2024</t>
        </is>
      </c>
      <c r="B377" s="1" t="n">
        <v>45615</v>
      </c>
      <c r="C377" s="1" t="n">
        <v>46091</v>
      </c>
      <c r="D377" t="inlineStr">
        <is>
          <t>GOTLANDS LÄN</t>
        </is>
      </c>
      <c r="E377" t="inlineStr">
        <is>
          <t>GOTLAND</t>
        </is>
      </c>
      <c r="G377" t="n">
        <v>5</v>
      </c>
      <c r="H377" t="n">
        <v>0</v>
      </c>
      <c r="I377" t="n">
        <v>0</v>
      </c>
      <c r="J377" t="n">
        <v>0</v>
      </c>
      <c r="K377" t="n">
        <v>0</v>
      </c>
      <c r="L377" t="n">
        <v>0</v>
      </c>
      <c r="M377" t="n">
        <v>0</v>
      </c>
      <c r="N377" t="n">
        <v>0</v>
      </c>
      <c r="O377" t="n">
        <v>0</v>
      </c>
      <c r="P377" t="n">
        <v>0</v>
      </c>
      <c r="Q377" t="n">
        <v>0</v>
      </c>
      <c r="R377" s="2" t="inlineStr"/>
    </row>
    <row r="378" ht="15" customHeight="1">
      <c r="A378" t="inlineStr">
        <is>
          <t>A 1446-2025</t>
        </is>
      </c>
      <c r="B378" s="1" t="n">
        <v>45669.86035879629</v>
      </c>
      <c r="C378" s="1" t="n">
        <v>46091</v>
      </c>
      <c r="D378" t="inlineStr">
        <is>
          <t>GOTLANDS LÄN</t>
        </is>
      </c>
      <c r="E378" t="inlineStr">
        <is>
          <t>GOTLAND</t>
        </is>
      </c>
      <c r="G378" t="n">
        <v>3.1</v>
      </c>
      <c r="H378" t="n">
        <v>0</v>
      </c>
      <c r="I378" t="n">
        <v>0</v>
      </c>
      <c r="J378" t="n">
        <v>0</v>
      </c>
      <c r="K378" t="n">
        <v>0</v>
      </c>
      <c r="L378" t="n">
        <v>0</v>
      </c>
      <c r="M378" t="n">
        <v>0</v>
      </c>
      <c r="N378" t="n">
        <v>0</v>
      </c>
      <c r="O378" t="n">
        <v>0</v>
      </c>
      <c r="P378" t="n">
        <v>0</v>
      </c>
      <c r="Q378" t="n">
        <v>0</v>
      </c>
      <c r="R378" s="2" t="inlineStr"/>
    </row>
    <row r="379" ht="15" customHeight="1">
      <c r="A379" t="inlineStr">
        <is>
          <t>A 31264-2021</t>
        </is>
      </c>
      <c r="B379" s="1" t="n">
        <v>44368</v>
      </c>
      <c r="C379" s="1" t="n">
        <v>46091</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15413-2025</t>
        </is>
      </c>
      <c r="B380" s="1" t="n">
        <v>45747.451875</v>
      </c>
      <c r="C380" s="1" t="n">
        <v>46091</v>
      </c>
      <c r="D380" t="inlineStr">
        <is>
          <t>GOTLANDS LÄN</t>
        </is>
      </c>
      <c r="E380" t="inlineStr">
        <is>
          <t>GOTLAND</t>
        </is>
      </c>
      <c r="G380" t="n">
        <v>0.6</v>
      </c>
      <c r="H380" t="n">
        <v>0</v>
      </c>
      <c r="I380" t="n">
        <v>0</v>
      </c>
      <c r="J380" t="n">
        <v>0</v>
      </c>
      <c r="K380" t="n">
        <v>0</v>
      </c>
      <c r="L380" t="n">
        <v>0</v>
      </c>
      <c r="M380" t="n">
        <v>0</v>
      </c>
      <c r="N380" t="n">
        <v>0</v>
      </c>
      <c r="O380" t="n">
        <v>0</v>
      </c>
      <c r="P380" t="n">
        <v>0</v>
      </c>
      <c r="Q380" t="n">
        <v>0</v>
      </c>
      <c r="R380" s="2" t="inlineStr"/>
    </row>
    <row r="381" ht="15" customHeight="1">
      <c r="A381" t="inlineStr">
        <is>
          <t>A 43901-2023</t>
        </is>
      </c>
      <c r="B381" s="1" t="n">
        <v>45187</v>
      </c>
      <c r="C381" s="1" t="n">
        <v>46091</v>
      </c>
      <c r="D381" t="inlineStr">
        <is>
          <t>GOTLANDS LÄN</t>
        </is>
      </c>
      <c r="E381" t="inlineStr">
        <is>
          <t>GOTLAND</t>
        </is>
      </c>
      <c r="G381" t="n">
        <v>5.4</v>
      </c>
      <c r="H381" t="n">
        <v>0</v>
      </c>
      <c r="I381" t="n">
        <v>0</v>
      </c>
      <c r="J381" t="n">
        <v>0</v>
      </c>
      <c r="K381" t="n">
        <v>0</v>
      </c>
      <c r="L381" t="n">
        <v>0</v>
      </c>
      <c r="M381" t="n">
        <v>0</v>
      </c>
      <c r="N381" t="n">
        <v>0</v>
      </c>
      <c r="O381" t="n">
        <v>0</v>
      </c>
      <c r="P381" t="n">
        <v>0</v>
      </c>
      <c r="Q381" t="n">
        <v>0</v>
      </c>
      <c r="R381" s="2" t="inlineStr"/>
    </row>
    <row r="382" ht="15" customHeight="1">
      <c r="A382" t="inlineStr">
        <is>
          <t>A 35123-2025</t>
        </is>
      </c>
      <c r="B382" s="1" t="n">
        <v>45852.614375</v>
      </c>
      <c r="C382" s="1" t="n">
        <v>46091</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10746-2025</t>
        </is>
      </c>
      <c r="B383" s="1" t="n">
        <v>45722.42766203704</v>
      </c>
      <c r="C383" s="1" t="n">
        <v>46091</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16501-2023</t>
        </is>
      </c>
      <c r="B384" s="1" t="n">
        <v>45029</v>
      </c>
      <c r="C384" s="1" t="n">
        <v>46091</v>
      </c>
      <c r="D384" t="inlineStr">
        <is>
          <t>GOTLANDS LÄN</t>
        </is>
      </c>
      <c r="E384" t="inlineStr">
        <is>
          <t>GOTLAND</t>
        </is>
      </c>
      <c r="G384" t="n">
        <v>3.1</v>
      </c>
      <c r="H384" t="n">
        <v>0</v>
      </c>
      <c r="I384" t="n">
        <v>0</v>
      </c>
      <c r="J384" t="n">
        <v>0</v>
      </c>
      <c r="K384" t="n">
        <v>0</v>
      </c>
      <c r="L384" t="n">
        <v>0</v>
      </c>
      <c r="M384" t="n">
        <v>0</v>
      </c>
      <c r="N384" t="n">
        <v>0</v>
      </c>
      <c r="O384" t="n">
        <v>0</v>
      </c>
      <c r="P384" t="n">
        <v>0</v>
      </c>
      <c r="Q384" t="n">
        <v>0</v>
      </c>
      <c r="R384" s="2" t="inlineStr"/>
    </row>
    <row r="385" ht="15" customHeight="1">
      <c r="A385" t="inlineStr">
        <is>
          <t>A 35096-2025</t>
        </is>
      </c>
      <c r="B385" s="1" t="n">
        <v>45852.54356481481</v>
      </c>
      <c r="C385" s="1" t="n">
        <v>46091</v>
      </c>
      <c r="D385" t="inlineStr">
        <is>
          <t>GOTLANDS LÄN</t>
        </is>
      </c>
      <c r="E385" t="inlineStr">
        <is>
          <t>GOTLAND</t>
        </is>
      </c>
      <c r="F385" t="inlineStr">
        <is>
          <t>Kyrkan</t>
        </is>
      </c>
      <c r="G385" t="n">
        <v>1</v>
      </c>
      <c r="H385" t="n">
        <v>0</v>
      </c>
      <c r="I385" t="n">
        <v>0</v>
      </c>
      <c r="J385" t="n">
        <v>0</v>
      </c>
      <c r="K385" t="n">
        <v>0</v>
      </c>
      <c r="L385" t="n">
        <v>0</v>
      </c>
      <c r="M385" t="n">
        <v>0</v>
      </c>
      <c r="N385" t="n">
        <v>0</v>
      </c>
      <c r="O385" t="n">
        <v>0</v>
      </c>
      <c r="P385" t="n">
        <v>0</v>
      </c>
      <c r="Q385" t="n">
        <v>0</v>
      </c>
      <c r="R385" s="2" t="inlineStr"/>
    </row>
    <row r="386" ht="15" customHeight="1">
      <c r="A386" t="inlineStr">
        <is>
          <t>A 30104-2025</t>
        </is>
      </c>
      <c r="B386" s="1" t="n">
        <v>45826.68806712963</v>
      </c>
      <c r="C386" s="1" t="n">
        <v>46091</v>
      </c>
      <c r="D386" t="inlineStr">
        <is>
          <t>GOTLANDS LÄN</t>
        </is>
      </c>
      <c r="E386" t="inlineStr">
        <is>
          <t>GOTLAND</t>
        </is>
      </c>
      <c r="G386" t="n">
        <v>15.4</v>
      </c>
      <c r="H386" t="n">
        <v>0</v>
      </c>
      <c r="I386" t="n">
        <v>0</v>
      </c>
      <c r="J386" t="n">
        <v>0</v>
      </c>
      <c r="K386" t="n">
        <v>0</v>
      </c>
      <c r="L386" t="n">
        <v>0</v>
      </c>
      <c r="M386" t="n">
        <v>0</v>
      </c>
      <c r="N386" t="n">
        <v>0</v>
      </c>
      <c r="O386" t="n">
        <v>0</v>
      </c>
      <c r="P386" t="n">
        <v>0</v>
      </c>
      <c r="Q386" t="n">
        <v>0</v>
      </c>
      <c r="R386" s="2" t="inlineStr"/>
    </row>
    <row r="387" ht="15" customHeight="1">
      <c r="A387" t="inlineStr">
        <is>
          <t>A 35290-2025</t>
        </is>
      </c>
      <c r="B387" s="1" t="n">
        <v>45854.38502314815</v>
      </c>
      <c r="C387" s="1" t="n">
        <v>46091</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32669-2024</t>
        </is>
      </c>
      <c r="B388" s="1" t="n">
        <v>45514</v>
      </c>
      <c r="C388" s="1" t="n">
        <v>46091</v>
      </c>
      <c r="D388" t="inlineStr">
        <is>
          <t>GOTLANDS LÄN</t>
        </is>
      </c>
      <c r="E388" t="inlineStr">
        <is>
          <t>GOTLAND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46091</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35537-2025</t>
        </is>
      </c>
      <c r="B390" s="1" t="n">
        <v>45856</v>
      </c>
      <c r="C390" s="1" t="n">
        <v>46091</v>
      </c>
      <c r="D390" t="inlineStr">
        <is>
          <t>GOTLANDS LÄN</t>
        </is>
      </c>
      <c r="E390" t="inlineStr">
        <is>
          <t>GOTLAND</t>
        </is>
      </c>
      <c r="G390" t="n">
        <v>16.8</v>
      </c>
      <c r="H390" t="n">
        <v>0</v>
      </c>
      <c r="I390" t="n">
        <v>0</v>
      </c>
      <c r="J390" t="n">
        <v>0</v>
      </c>
      <c r="K390" t="n">
        <v>0</v>
      </c>
      <c r="L390" t="n">
        <v>0</v>
      </c>
      <c r="M390" t="n">
        <v>0</v>
      </c>
      <c r="N390" t="n">
        <v>0</v>
      </c>
      <c r="O390" t="n">
        <v>0</v>
      </c>
      <c r="P390" t="n">
        <v>0</v>
      </c>
      <c r="Q390" t="n">
        <v>0</v>
      </c>
      <c r="R390" s="2" t="inlineStr"/>
    </row>
    <row r="391" ht="15" customHeight="1">
      <c r="A391" t="inlineStr">
        <is>
          <t>A 61962-2024</t>
        </is>
      </c>
      <c r="B391" s="1" t="n">
        <v>45653.54340277778</v>
      </c>
      <c r="C391" s="1" t="n">
        <v>46091</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10492-2023</t>
        </is>
      </c>
      <c r="B392" s="1" t="n">
        <v>44987</v>
      </c>
      <c r="C392" s="1" t="n">
        <v>46091</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15216-2025</t>
        </is>
      </c>
      <c r="B393" s="1" t="n">
        <v>45744</v>
      </c>
      <c r="C393" s="1" t="n">
        <v>46091</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5909-2025</t>
        </is>
      </c>
      <c r="B394" s="1" t="n">
        <v>45695.40634259259</v>
      </c>
      <c r="C394" s="1" t="n">
        <v>46091</v>
      </c>
      <c r="D394" t="inlineStr">
        <is>
          <t>GOTLANDS LÄN</t>
        </is>
      </c>
      <c r="E394" t="inlineStr">
        <is>
          <t>GOTLAND</t>
        </is>
      </c>
      <c r="G394" t="n">
        <v>2.9</v>
      </c>
      <c r="H394" t="n">
        <v>0</v>
      </c>
      <c r="I394" t="n">
        <v>0</v>
      </c>
      <c r="J394" t="n">
        <v>0</v>
      </c>
      <c r="K394" t="n">
        <v>0</v>
      </c>
      <c r="L394" t="n">
        <v>0</v>
      </c>
      <c r="M394" t="n">
        <v>0</v>
      </c>
      <c r="N394" t="n">
        <v>0</v>
      </c>
      <c r="O394" t="n">
        <v>0</v>
      </c>
      <c r="P394" t="n">
        <v>0</v>
      </c>
      <c r="Q394" t="n">
        <v>0</v>
      </c>
      <c r="R394" s="2" t="inlineStr"/>
    </row>
    <row r="395" ht="15" customHeight="1">
      <c r="A395" t="inlineStr">
        <is>
          <t>A 10653-2023</t>
        </is>
      </c>
      <c r="B395" s="1" t="n">
        <v>44988.48859953704</v>
      </c>
      <c r="C395" s="1" t="n">
        <v>46091</v>
      </c>
      <c r="D395" t="inlineStr">
        <is>
          <t>GOTLANDS LÄN</t>
        </is>
      </c>
      <c r="E395" t="inlineStr">
        <is>
          <t>GOTLAND</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43790-2024</t>
        </is>
      </c>
      <c r="B396" s="1" t="n">
        <v>45571</v>
      </c>
      <c r="C396" s="1" t="n">
        <v>46091</v>
      </c>
      <c r="D396" t="inlineStr">
        <is>
          <t>GOTLANDS LÄN</t>
        </is>
      </c>
      <c r="E396" t="inlineStr">
        <is>
          <t>GOTLAND</t>
        </is>
      </c>
      <c r="G396" t="n">
        <v>3.5</v>
      </c>
      <c r="H396" t="n">
        <v>0</v>
      </c>
      <c r="I396" t="n">
        <v>0</v>
      </c>
      <c r="J396" t="n">
        <v>0</v>
      </c>
      <c r="K396" t="n">
        <v>0</v>
      </c>
      <c r="L396" t="n">
        <v>0</v>
      </c>
      <c r="M396" t="n">
        <v>0</v>
      </c>
      <c r="N396" t="n">
        <v>0</v>
      </c>
      <c r="O396" t="n">
        <v>0</v>
      </c>
      <c r="P396" t="n">
        <v>0</v>
      </c>
      <c r="Q396" t="n">
        <v>0</v>
      </c>
      <c r="R396" s="2" t="inlineStr"/>
    </row>
    <row r="397" ht="15" customHeight="1">
      <c r="A397" t="inlineStr">
        <is>
          <t>A 15001-2025</t>
        </is>
      </c>
      <c r="B397" s="1" t="n">
        <v>45743</v>
      </c>
      <c r="C397" s="1" t="n">
        <v>46091</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30488-2025</t>
        </is>
      </c>
      <c r="B398" s="1" t="n">
        <v>45830</v>
      </c>
      <c r="C398" s="1" t="n">
        <v>46091</v>
      </c>
      <c r="D398" t="inlineStr">
        <is>
          <t>GOTLANDS LÄN</t>
        </is>
      </c>
      <c r="E398" t="inlineStr">
        <is>
          <t>GOTLAND</t>
        </is>
      </c>
      <c r="F398" t="inlineStr">
        <is>
          <t>Kyrkan</t>
        </is>
      </c>
      <c r="G398" t="n">
        <v>3.9</v>
      </c>
      <c r="H398" t="n">
        <v>0</v>
      </c>
      <c r="I398" t="n">
        <v>0</v>
      </c>
      <c r="J398" t="n">
        <v>0</v>
      </c>
      <c r="K398" t="n">
        <v>0</v>
      </c>
      <c r="L398" t="n">
        <v>0</v>
      </c>
      <c r="M398" t="n">
        <v>0</v>
      </c>
      <c r="N398" t="n">
        <v>0</v>
      </c>
      <c r="O398" t="n">
        <v>0</v>
      </c>
      <c r="P398" t="n">
        <v>0</v>
      </c>
      <c r="Q398" t="n">
        <v>0</v>
      </c>
      <c r="R398" s="2" t="inlineStr"/>
    </row>
    <row r="399" ht="15" customHeight="1">
      <c r="A399" t="inlineStr">
        <is>
          <t>A 17847-2025</t>
        </is>
      </c>
      <c r="B399" s="1" t="n">
        <v>45758</v>
      </c>
      <c r="C399" s="1" t="n">
        <v>46091</v>
      </c>
      <c r="D399" t="inlineStr">
        <is>
          <t>GOTLANDS LÄN</t>
        </is>
      </c>
      <c r="E399" t="inlineStr">
        <is>
          <t>GOTLAND</t>
        </is>
      </c>
      <c r="G399" t="n">
        <v>1.9</v>
      </c>
      <c r="H399" t="n">
        <v>0</v>
      </c>
      <c r="I399" t="n">
        <v>0</v>
      </c>
      <c r="J399" t="n">
        <v>0</v>
      </c>
      <c r="K399" t="n">
        <v>0</v>
      </c>
      <c r="L399" t="n">
        <v>0</v>
      </c>
      <c r="M399" t="n">
        <v>0</v>
      </c>
      <c r="N399" t="n">
        <v>0</v>
      </c>
      <c r="O399" t="n">
        <v>0</v>
      </c>
      <c r="P399" t="n">
        <v>0</v>
      </c>
      <c r="Q399" t="n">
        <v>0</v>
      </c>
      <c r="R399" s="2" t="inlineStr"/>
    </row>
    <row r="400" ht="15" customHeight="1">
      <c r="A400" t="inlineStr">
        <is>
          <t>A 56799-2025</t>
        </is>
      </c>
      <c r="B400" s="1" t="n">
        <v>45978.43392361111</v>
      </c>
      <c r="C400" s="1" t="n">
        <v>46091</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4990-2025</t>
        </is>
      </c>
      <c r="B401" s="1" t="n">
        <v>45691</v>
      </c>
      <c r="C401" s="1" t="n">
        <v>46091</v>
      </c>
      <c r="D401" t="inlineStr">
        <is>
          <t>GOTLANDS LÄN</t>
        </is>
      </c>
      <c r="E401" t="inlineStr">
        <is>
          <t>GOTLAND</t>
        </is>
      </c>
      <c r="G401" t="n">
        <v>7.7</v>
      </c>
      <c r="H401" t="n">
        <v>0</v>
      </c>
      <c r="I401" t="n">
        <v>0</v>
      </c>
      <c r="J401" t="n">
        <v>0</v>
      </c>
      <c r="K401" t="n">
        <v>0</v>
      </c>
      <c r="L401" t="n">
        <v>0</v>
      </c>
      <c r="M401" t="n">
        <v>0</v>
      </c>
      <c r="N401" t="n">
        <v>0</v>
      </c>
      <c r="O401" t="n">
        <v>0</v>
      </c>
      <c r="P401" t="n">
        <v>0</v>
      </c>
      <c r="Q401" t="n">
        <v>0</v>
      </c>
      <c r="R401" s="2" t="inlineStr"/>
    </row>
    <row r="402" ht="15" customHeight="1">
      <c r="A402" t="inlineStr">
        <is>
          <t>A 18742-2025</t>
        </is>
      </c>
      <c r="B402" s="1" t="n">
        <v>45763</v>
      </c>
      <c r="C402" s="1" t="n">
        <v>46091</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35129-2025</t>
        </is>
      </c>
      <c r="B403" s="1" t="n">
        <v>45852.63224537037</v>
      </c>
      <c r="C403" s="1" t="n">
        <v>46091</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56688-2025</t>
        </is>
      </c>
      <c r="B404" s="1" t="n">
        <v>45975.84331018518</v>
      </c>
      <c r="C404" s="1" t="n">
        <v>46091</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43081-2022</t>
        </is>
      </c>
      <c r="B405" s="1" t="n">
        <v>44833</v>
      </c>
      <c r="C405" s="1" t="n">
        <v>46091</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32958-2021</t>
        </is>
      </c>
      <c r="B406" s="1" t="n">
        <v>44376</v>
      </c>
      <c r="C406" s="1" t="n">
        <v>46091</v>
      </c>
      <c r="D406" t="inlineStr">
        <is>
          <t>GOTLANDS LÄN</t>
        </is>
      </c>
      <c r="E406" t="inlineStr">
        <is>
          <t>GOTLAND</t>
        </is>
      </c>
      <c r="G406" t="n">
        <v>2.2</v>
      </c>
      <c r="H406" t="n">
        <v>0</v>
      </c>
      <c r="I406" t="n">
        <v>0</v>
      </c>
      <c r="J406" t="n">
        <v>0</v>
      </c>
      <c r="K406" t="n">
        <v>0</v>
      </c>
      <c r="L406" t="n">
        <v>0</v>
      </c>
      <c r="M406" t="n">
        <v>0</v>
      </c>
      <c r="N406" t="n">
        <v>0</v>
      </c>
      <c r="O406" t="n">
        <v>0</v>
      </c>
      <c r="P406" t="n">
        <v>0</v>
      </c>
      <c r="Q406" t="n">
        <v>0</v>
      </c>
      <c r="R406" s="2" t="inlineStr"/>
    </row>
    <row r="407" ht="15" customHeight="1">
      <c r="A407" t="inlineStr">
        <is>
          <t>A 5884-2025</t>
        </is>
      </c>
      <c r="B407" s="1" t="n">
        <v>45695.37482638889</v>
      </c>
      <c r="C407" s="1" t="n">
        <v>46091</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5897-2025</t>
        </is>
      </c>
      <c r="B408" s="1" t="n">
        <v>45695.39273148148</v>
      </c>
      <c r="C408" s="1" t="n">
        <v>46091</v>
      </c>
      <c r="D408" t="inlineStr">
        <is>
          <t>GOTLANDS LÄN</t>
        </is>
      </c>
      <c r="E408" t="inlineStr">
        <is>
          <t>GOTLAND</t>
        </is>
      </c>
      <c r="G408" t="n">
        <v>3.7</v>
      </c>
      <c r="H408" t="n">
        <v>0</v>
      </c>
      <c r="I408" t="n">
        <v>0</v>
      </c>
      <c r="J408" t="n">
        <v>0</v>
      </c>
      <c r="K408" t="n">
        <v>0</v>
      </c>
      <c r="L408" t="n">
        <v>0</v>
      </c>
      <c r="M408" t="n">
        <v>0</v>
      </c>
      <c r="N408" t="n">
        <v>0</v>
      </c>
      <c r="O408" t="n">
        <v>0</v>
      </c>
      <c r="P408" t="n">
        <v>0</v>
      </c>
      <c r="Q408" t="n">
        <v>0</v>
      </c>
      <c r="R408" s="2" t="inlineStr"/>
    </row>
    <row r="409" ht="15" customHeight="1">
      <c r="A409" t="inlineStr">
        <is>
          <t>A 49693-2023</t>
        </is>
      </c>
      <c r="B409" s="1" t="n">
        <v>45212.38138888889</v>
      </c>
      <c r="C409" s="1" t="n">
        <v>46091</v>
      </c>
      <c r="D409" t="inlineStr">
        <is>
          <t>GOTLANDS LÄN</t>
        </is>
      </c>
      <c r="E409" t="inlineStr">
        <is>
          <t>GOTLAND</t>
        </is>
      </c>
      <c r="G409" t="n">
        <v>2.4</v>
      </c>
      <c r="H409" t="n">
        <v>0</v>
      </c>
      <c r="I409" t="n">
        <v>0</v>
      </c>
      <c r="J409" t="n">
        <v>0</v>
      </c>
      <c r="K409" t="n">
        <v>0</v>
      </c>
      <c r="L409" t="n">
        <v>0</v>
      </c>
      <c r="M409" t="n">
        <v>0</v>
      </c>
      <c r="N409" t="n">
        <v>0</v>
      </c>
      <c r="O409" t="n">
        <v>0</v>
      </c>
      <c r="P409" t="n">
        <v>0</v>
      </c>
      <c r="Q409" t="n">
        <v>0</v>
      </c>
      <c r="R409" s="2" t="inlineStr"/>
    </row>
    <row r="410" ht="15" customHeight="1">
      <c r="A410" t="inlineStr">
        <is>
          <t>A 49697-2023</t>
        </is>
      </c>
      <c r="B410" s="1" t="n">
        <v>45212.38909722222</v>
      </c>
      <c r="C410" s="1" t="n">
        <v>46091</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17901-2023</t>
        </is>
      </c>
      <c r="B411" s="1" t="n">
        <v>45039</v>
      </c>
      <c r="C411" s="1" t="n">
        <v>46091</v>
      </c>
      <c r="D411" t="inlineStr">
        <is>
          <t>GOTLANDS LÄN</t>
        </is>
      </c>
      <c r="E411" t="inlineStr">
        <is>
          <t>GOTLAND</t>
        </is>
      </c>
      <c r="F411" t="inlineStr">
        <is>
          <t>Kyrkan</t>
        </is>
      </c>
      <c r="G411" t="n">
        <v>0.6</v>
      </c>
      <c r="H411" t="n">
        <v>0</v>
      </c>
      <c r="I411" t="n">
        <v>0</v>
      </c>
      <c r="J411" t="n">
        <v>0</v>
      </c>
      <c r="K411" t="n">
        <v>0</v>
      </c>
      <c r="L411" t="n">
        <v>0</v>
      </c>
      <c r="M411" t="n">
        <v>0</v>
      </c>
      <c r="N411" t="n">
        <v>0</v>
      </c>
      <c r="O411" t="n">
        <v>0</v>
      </c>
      <c r="P411" t="n">
        <v>0</v>
      </c>
      <c r="Q411" t="n">
        <v>0</v>
      </c>
      <c r="R411" s="2" t="inlineStr"/>
    </row>
    <row r="412" ht="15" customHeight="1">
      <c r="A412" t="inlineStr">
        <is>
          <t>A 52892-2021</t>
        </is>
      </c>
      <c r="B412" s="1" t="n">
        <v>44467.49048611111</v>
      </c>
      <c r="C412" s="1" t="n">
        <v>46091</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6108-2025</t>
        </is>
      </c>
      <c r="B413" s="1" t="n">
        <v>45698.29880787037</v>
      </c>
      <c r="C413" s="1" t="n">
        <v>46091</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21142-2025</t>
        </is>
      </c>
      <c r="B414" s="1" t="n">
        <v>45779</v>
      </c>
      <c r="C414" s="1" t="n">
        <v>46091</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17343-2025</t>
        </is>
      </c>
      <c r="B415" s="1" t="n">
        <v>45756.6687037037</v>
      </c>
      <c r="C415" s="1" t="n">
        <v>46091</v>
      </c>
      <c r="D415" t="inlineStr">
        <is>
          <t>GOTLANDS LÄN</t>
        </is>
      </c>
      <c r="E415" t="inlineStr">
        <is>
          <t>GOTLAND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46396-2023</t>
        </is>
      </c>
      <c r="B416" s="1" t="n">
        <v>45197</v>
      </c>
      <c r="C416" s="1" t="n">
        <v>46091</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18938-2025</t>
        </is>
      </c>
      <c r="B417" s="1" t="n">
        <v>45764.49172453704</v>
      </c>
      <c r="C417" s="1" t="n">
        <v>46091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30489-2025</t>
        </is>
      </c>
      <c r="B418" s="1" t="n">
        <v>45830</v>
      </c>
      <c r="C418" s="1" t="n">
        <v>46091</v>
      </c>
      <c r="D418" t="inlineStr">
        <is>
          <t>GOTLANDS LÄN</t>
        </is>
      </c>
      <c r="E418" t="inlineStr">
        <is>
          <t>GOTLAND</t>
        </is>
      </c>
      <c r="G418" t="n">
        <v>4.6</v>
      </c>
      <c r="H418" t="n">
        <v>0</v>
      </c>
      <c r="I418" t="n">
        <v>0</v>
      </c>
      <c r="J418" t="n">
        <v>0</v>
      </c>
      <c r="K418" t="n">
        <v>0</v>
      </c>
      <c r="L418" t="n">
        <v>0</v>
      </c>
      <c r="M418" t="n">
        <v>0</v>
      </c>
      <c r="N418" t="n">
        <v>0</v>
      </c>
      <c r="O418" t="n">
        <v>0</v>
      </c>
      <c r="P418" t="n">
        <v>0</v>
      </c>
      <c r="Q418" t="n">
        <v>0</v>
      </c>
      <c r="R418" s="2" t="inlineStr"/>
    </row>
    <row r="419" ht="15" customHeight="1">
      <c r="A419" t="inlineStr">
        <is>
          <t>A 20307-2025</t>
        </is>
      </c>
      <c r="B419" s="1" t="n">
        <v>45774.95546296296</v>
      </c>
      <c r="C419" s="1" t="n">
        <v>46091</v>
      </c>
      <c r="D419" t="inlineStr">
        <is>
          <t>GOTLANDS LÄN</t>
        </is>
      </c>
      <c r="E419" t="inlineStr">
        <is>
          <t>GOTLAND</t>
        </is>
      </c>
      <c r="G419" t="n">
        <v>6.8</v>
      </c>
      <c r="H419" t="n">
        <v>0</v>
      </c>
      <c r="I419" t="n">
        <v>0</v>
      </c>
      <c r="J419" t="n">
        <v>0</v>
      </c>
      <c r="K419" t="n">
        <v>0</v>
      </c>
      <c r="L419" t="n">
        <v>0</v>
      </c>
      <c r="M419" t="n">
        <v>0</v>
      </c>
      <c r="N419" t="n">
        <v>0</v>
      </c>
      <c r="O419" t="n">
        <v>0</v>
      </c>
      <c r="P419" t="n">
        <v>0</v>
      </c>
      <c r="Q419" t="n">
        <v>0</v>
      </c>
      <c r="R419" s="2" t="inlineStr"/>
    </row>
    <row r="420" ht="15" customHeight="1">
      <c r="A420" t="inlineStr">
        <is>
          <t>A 17724-2024</t>
        </is>
      </c>
      <c r="B420" s="1" t="n">
        <v>45418.55096064815</v>
      </c>
      <c r="C420" s="1" t="n">
        <v>46091</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34312-2024</t>
        </is>
      </c>
      <c r="B421" s="1" t="n">
        <v>45524.69703703704</v>
      </c>
      <c r="C421" s="1" t="n">
        <v>46091</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46091</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7638-2025</t>
        </is>
      </c>
      <c r="B423" s="1" t="n">
        <v>45705.77306712963</v>
      </c>
      <c r="C423" s="1" t="n">
        <v>46091</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50482-2024</t>
        </is>
      </c>
      <c r="B424" s="1" t="n">
        <v>45601.48114583334</v>
      </c>
      <c r="C424" s="1" t="n">
        <v>46091</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46091</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59197-2025</t>
        </is>
      </c>
      <c r="B426" s="1" t="n">
        <v>45988.59846064815</v>
      </c>
      <c r="C426" s="1" t="n">
        <v>46091</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46091</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45670.36319444444</v>
      </c>
      <c r="C428" s="1" t="n">
        <v>46091</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25129-2023</t>
        </is>
      </c>
      <c r="B429" s="1" t="n">
        <v>45086.44261574074</v>
      </c>
      <c r="C429" s="1" t="n">
        <v>46091</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46091</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36319-2025</t>
        </is>
      </c>
      <c r="B431" s="1" t="n">
        <v>45868</v>
      </c>
      <c r="C431" s="1" t="n">
        <v>46091</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5386-2023</t>
        </is>
      </c>
      <c r="B432" s="1" t="n">
        <v>44959</v>
      </c>
      <c r="C432" s="1" t="n">
        <v>46091</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7026-2023</t>
        </is>
      </c>
      <c r="B433" s="1" t="n">
        <v>44968.30340277778</v>
      </c>
      <c r="C433" s="1" t="n">
        <v>46091</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20855-2023</t>
        </is>
      </c>
      <c r="B434" s="1" t="n">
        <v>45058.82172453704</v>
      </c>
      <c r="C434" s="1" t="n">
        <v>46091</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1000-2024</t>
        </is>
      </c>
      <c r="B435" s="1" t="n">
        <v>45301.63371527778</v>
      </c>
      <c r="C435" s="1" t="n">
        <v>46091</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1010-2024</t>
        </is>
      </c>
      <c r="B436" s="1" t="n">
        <v>45301</v>
      </c>
      <c r="C436" s="1" t="n">
        <v>46091</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47762-2023</t>
        </is>
      </c>
      <c r="B437" s="1" t="n">
        <v>45203.86256944444</v>
      </c>
      <c r="C437" s="1" t="n">
        <v>46091</v>
      </c>
      <c r="D437" t="inlineStr">
        <is>
          <t>GOTLANDS LÄN</t>
        </is>
      </c>
      <c r="E437" t="inlineStr">
        <is>
          <t>GOTLAND</t>
        </is>
      </c>
      <c r="G437" t="n">
        <v>1.3</v>
      </c>
      <c r="H437" t="n">
        <v>0</v>
      </c>
      <c r="I437" t="n">
        <v>0</v>
      </c>
      <c r="J437" t="n">
        <v>0</v>
      </c>
      <c r="K437" t="n">
        <v>0</v>
      </c>
      <c r="L437" t="n">
        <v>0</v>
      </c>
      <c r="M437" t="n">
        <v>0</v>
      </c>
      <c r="N437" t="n">
        <v>0</v>
      </c>
      <c r="O437" t="n">
        <v>0</v>
      </c>
      <c r="P437" t="n">
        <v>0</v>
      </c>
      <c r="Q437" t="n">
        <v>0</v>
      </c>
      <c r="R437" s="2" t="inlineStr"/>
    </row>
    <row r="438" ht="15" customHeight="1">
      <c r="A438" t="inlineStr">
        <is>
          <t>A 46545-2024</t>
        </is>
      </c>
      <c r="B438" s="1" t="n">
        <v>45582.65831018519</v>
      </c>
      <c r="C438" s="1" t="n">
        <v>46091</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60086-2022</t>
        </is>
      </c>
      <c r="B439" s="1" t="n">
        <v>44909</v>
      </c>
      <c r="C439" s="1" t="n">
        <v>46091</v>
      </c>
      <c r="D439" t="inlineStr">
        <is>
          <t>GOTLANDS LÄN</t>
        </is>
      </c>
      <c r="E439" t="inlineStr">
        <is>
          <t>GOTLAND</t>
        </is>
      </c>
      <c r="G439" t="n">
        <v>2.1</v>
      </c>
      <c r="H439" t="n">
        <v>0</v>
      </c>
      <c r="I439" t="n">
        <v>0</v>
      </c>
      <c r="J439" t="n">
        <v>0</v>
      </c>
      <c r="K439" t="n">
        <v>0</v>
      </c>
      <c r="L439" t="n">
        <v>0</v>
      </c>
      <c r="M439" t="n">
        <v>0</v>
      </c>
      <c r="N439" t="n">
        <v>0</v>
      </c>
      <c r="O439" t="n">
        <v>0</v>
      </c>
      <c r="P439" t="n">
        <v>0</v>
      </c>
      <c r="Q439" t="n">
        <v>0</v>
      </c>
      <c r="R439" s="2" t="inlineStr"/>
    </row>
    <row r="440" ht="15" customHeight="1">
      <c r="A440" t="inlineStr">
        <is>
          <t>A 28480-2023</t>
        </is>
      </c>
      <c r="B440" s="1" t="n">
        <v>45103</v>
      </c>
      <c r="C440" s="1" t="n">
        <v>46091</v>
      </c>
      <c r="D440" t="inlineStr">
        <is>
          <t>GOTLANDS LÄN</t>
        </is>
      </c>
      <c r="E440" t="inlineStr">
        <is>
          <t>GOTLAND</t>
        </is>
      </c>
      <c r="G440" t="n">
        <v>5.7</v>
      </c>
      <c r="H440" t="n">
        <v>0</v>
      </c>
      <c r="I440" t="n">
        <v>0</v>
      </c>
      <c r="J440" t="n">
        <v>0</v>
      </c>
      <c r="K440" t="n">
        <v>0</v>
      </c>
      <c r="L440" t="n">
        <v>0</v>
      </c>
      <c r="M440" t="n">
        <v>0</v>
      </c>
      <c r="N440" t="n">
        <v>0</v>
      </c>
      <c r="O440" t="n">
        <v>0</v>
      </c>
      <c r="P440" t="n">
        <v>0</v>
      </c>
      <c r="Q440" t="n">
        <v>0</v>
      </c>
      <c r="R440" s="2" t="inlineStr"/>
    </row>
    <row r="441" ht="15" customHeight="1">
      <c r="A441" t="inlineStr">
        <is>
          <t>A 28485-2023</t>
        </is>
      </c>
      <c r="B441" s="1" t="n">
        <v>45103.43731481482</v>
      </c>
      <c r="C441" s="1" t="n">
        <v>46091</v>
      </c>
      <c r="D441" t="inlineStr">
        <is>
          <t>GOTLANDS LÄN</t>
        </is>
      </c>
      <c r="E441" t="inlineStr">
        <is>
          <t>GOTLAND</t>
        </is>
      </c>
      <c r="G441" t="n">
        <v>2.3</v>
      </c>
      <c r="H441" t="n">
        <v>0</v>
      </c>
      <c r="I441" t="n">
        <v>0</v>
      </c>
      <c r="J441" t="n">
        <v>0</v>
      </c>
      <c r="K441" t="n">
        <v>0</v>
      </c>
      <c r="L441" t="n">
        <v>0</v>
      </c>
      <c r="M441" t="n">
        <v>0</v>
      </c>
      <c r="N441" t="n">
        <v>0</v>
      </c>
      <c r="O441" t="n">
        <v>0</v>
      </c>
      <c r="P441" t="n">
        <v>0</v>
      </c>
      <c r="Q441" t="n">
        <v>0</v>
      </c>
      <c r="R441" s="2" t="inlineStr"/>
    </row>
    <row r="442" ht="15" customHeight="1">
      <c r="A442" t="inlineStr">
        <is>
          <t>A 62915-2021</t>
        </is>
      </c>
      <c r="B442" s="1" t="n">
        <v>44504</v>
      </c>
      <c r="C442" s="1" t="n">
        <v>46091</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44949-2023</t>
        </is>
      </c>
      <c r="B443" s="1" t="n">
        <v>45190.69520833333</v>
      </c>
      <c r="C443" s="1" t="n">
        <v>46091</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37222-2021</t>
        </is>
      </c>
      <c r="B444" s="1" t="n">
        <v>44396</v>
      </c>
      <c r="C444" s="1" t="n">
        <v>46091</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62066-2025</t>
        </is>
      </c>
      <c r="B445" s="1" t="n">
        <v>46006.34738425926</v>
      </c>
      <c r="C445" s="1" t="n">
        <v>46091</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62103-2025</t>
        </is>
      </c>
      <c r="B446" s="1" t="n">
        <v>46006</v>
      </c>
      <c r="C446" s="1" t="n">
        <v>46091</v>
      </c>
      <c r="D446" t="inlineStr">
        <is>
          <t>GOTLANDS LÄN</t>
        </is>
      </c>
      <c r="E446" t="inlineStr">
        <is>
          <t>GOTLAND</t>
        </is>
      </c>
      <c r="F446" t="inlineStr">
        <is>
          <t>Övriga Aktiebolag</t>
        </is>
      </c>
      <c r="G446" t="n">
        <v>1.7</v>
      </c>
      <c r="H446" t="n">
        <v>0</v>
      </c>
      <c r="I446" t="n">
        <v>0</v>
      </c>
      <c r="J446" t="n">
        <v>0</v>
      </c>
      <c r="K446" t="n">
        <v>0</v>
      </c>
      <c r="L446" t="n">
        <v>0</v>
      </c>
      <c r="M446" t="n">
        <v>0</v>
      </c>
      <c r="N446" t="n">
        <v>0</v>
      </c>
      <c r="O446" t="n">
        <v>0</v>
      </c>
      <c r="P446" t="n">
        <v>0</v>
      </c>
      <c r="Q446" t="n">
        <v>0</v>
      </c>
      <c r="R446" s="2" t="inlineStr"/>
    </row>
    <row r="447" ht="15" customHeight="1">
      <c r="A447" t="inlineStr">
        <is>
          <t>A 3964-2024</t>
        </is>
      </c>
      <c r="B447" s="1" t="n">
        <v>45322</v>
      </c>
      <c r="C447" s="1" t="n">
        <v>46091</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45084-2024</t>
        </is>
      </c>
      <c r="B448" s="1" t="n">
        <v>45575</v>
      </c>
      <c r="C448" s="1" t="n">
        <v>46091</v>
      </c>
      <c r="D448" t="inlineStr">
        <is>
          <t>GOTLANDS LÄN</t>
        </is>
      </c>
      <c r="E448" t="inlineStr">
        <is>
          <t>GOTLAND</t>
        </is>
      </c>
      <c r="G448" t="n">
        <v>6.8</v>
      </c>
      <c r="H448" t="n">
        <v>0</v>
      </c>
      <c r="I448" t="n">
        <v>0</v>
      </c>
      <c r="J448" t="n">
        <v>0</v>
      </c>
      <c r="K448" t="n">
        <v>0</v>
      </c>
      <c r="L448" t="n">
        <v>0</v>
      </c>
      <c r="M448" t="n">
        <v>0</v>
      </c>
      <c r="N448" t="n">
        <v>0</v>
      </c>
      <c r="O448" t="n">
        <v>0</v>
      </c>
      <c r="P448" t="n">
        <v>0</v>
      </c>
      <c r="Q448" t="n">
        <v>0</v>
      </c>
      <c r="R448" s="2" t="inlineStr"/>
    </row>
    <row r="449" ht="15" customHeight="1">
      <c r="A449" t="inlineStr">
        <is>
          <t>A 47147-2025</t>
        </is>
      </c>
      <c r="B449" s="1" t="n">
        <v>45929</v>
      </c>
      <c r="C449" s="1" t="n">
        <v>46091</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5217-2023</t>
        </is>
      </c>
      <c r="B450" s="1" t="n">
        <v>44959.39582175926</v>
      </c>
      <c r="C450" s="1" t="n">
        <v>46091</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1677-2023</t>
        </is>
      </c>
      <c r="B451" s="1" t="n">
        <v>44938</v>
      </c>
      <c r="C451" s="1" t="n">
        <v>46091</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5863-2026</t>
        </is>
      </c>
      <c r="B452" s="1" t="n">
        <v>46052.36697916667</v>
      </c>
      <c r="C452" s="1" t="n">
        <v>46091</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63002-2025</t>
        </is>
      </c>
      <c r="B453" s="1" t="n">
        <v>46009.56564814815</v>
      </c>
      <c r="C453" s="1" t="n">
        <v>46091</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45244-2024</t>
        </is>
      </c>
      <c r="B454" s="1" t="n">
        <v>45576</v>
      </c>
      <c r="C454" s="1" t="n">
        <v>46091</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6218-2026</t>
        </is>
      </c>
      <c r="B455" s="1" t="n">
        <v>46055.42859953704</v>
      </c>
      <c r="C455" s="1" t="n">
        <v>46091</v>
      </c>
      <c r="D455" t="inlineStr">
        <is>
          <t>GOTLANDS LÄN</t>
        </is>
      </c>
      <c r="E455" t="inlineStr">
        <is>
          <t>GOTLAND</t>
        </is>
      </c>
      <c r="G455" t="n">
        <v>4.3</v>
      </c>
      <c r="H455" t="n">
        <v>0</v>
      </c>
      <c r="I455" t="n">
        <v>0</v>
      </c>
      <c r="J455" t="n">
        <v>0</v>
      </c>
      <c r="K455" t="n">
        <v>0</v>
      </c>
      <c r="L455" t="n">
        <v>0</v>
      </c>
      <c r="M455" t="n">
        <v>0</v>
      </c>
      <c r="N455" t="n">
        <v>0</v>
      </c>
      <c r="O455" t="n">
        <v>0</v>
      </c>
      <c r="P455" t="n">
        <v>0</v>
      </c>
      <c r="Q455" t="n">
        <v>0</v>
      </c>
      <c r="R455" s="2" t="inlineStr"/>
    </row>
    <row r="456" ht="15" customHeight="1">
      <c r="A456" t="inlineStr">
        <is>
          <t>A 8260-2023</t>
        </is>
      </c>
      <c r="B456" s="1" t="n">
        <v>44974.61608796296</v>
      </c>
      <c r="C456" s="1" t="n">
        <v>46091</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64969-2023</t>
        </is>
      </c>
      <c r="B457" s="1" t="n">
        <v>45284.54009259259</v>
      </c>
      <c r="C457" s="1" t="n">
        <v>46091</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48843-2024</t>
        </is>
      </c>
      <c r="B458" s="1" t="n">
        <v>45593</v>
      </c>
      <c r="C458" s="1" t="n">
        <v>46091</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17541-2024</t>
        </is>
      </c>
      <c r="B459" s="1" t="n">
        <v>45415</v>
      </c>
      <c r="C459" s="1" t="n">
        <v>46091</v>
      </c>
      <c r="D459" t="inlineStr">
        <is>
          <t>GOTLANDS LÄN</t>
        </is>
      </c>
      <c r="E459" t="inlineStr">
        <is>
          <t>GOTLAND</t>
        </is>
      </c>
      <c r="G459" t="n">
        <v>2.6</v>
      </c>
      <c r="H459" t="n">
        <v>0</v>
      </c>
      <c r="I459" t="n">
        <v>0</v>
      </c>
      <c r="J459" t="n">
        <v>0</v>
      </c>
      <c r="K459" t="n">
        <v>0</v>
      </c>
      <c r="L459" t="n">
        <v>0</v>
      </c>
      <c r="M459" t="n">
        <v>0</v>
      </c>
      <c r="N459" t="n">
        <v>0</v>
      </c>
      <c r="O459" t="n">
        <v>0</v>
      </c>
      <c r="P459" t="n">
        <v>0</v>
      </c>
      <c r="Q459" t="n">
        <v>0</v>
      </c>
      <c r="R459" s="2" t="inlineStr"/>
    </row>
    <row r="460" ht="15" customHeight="1">
      <c r="A460" t="inlineStr">
        <is>
          <t>A 54584-2025</t>
        </is>
      </c>
      <c r="B460" s="1" t="n">
        <v>45965.71788194445</v>
      </c>
      <c r="C460" s="1" t="n">
        <v>46091</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6207-2026</t>
        </is>
      </c>
      <c r="B461" s="1" t="n">
        <v>46055.42083333333</v>
      </c>
      <c r="C461" s="1" t="n">
        <v>46091</v>
      </c>
      <c r="D461" t="inlineStr">
        <is>
          <t>GOTLANDS LÄN</t>
        </is>
      </c>
      <c r="E461" t="inlineStr">
        <is>
          <t>GOTLAND</t>
        </is>
      </c>
      <c r="G461" t="n">
        <v>7.6</v>
      </c>
      <c r="H461" t="n">
        <v>0</v>
      </c>
      <c r="I461" t="n">
        <v>0</v>
      </c>
      <c r="J461" t="n">
        <v>0</v>
      </c>
      <c r="K461" t="n">
        <v>0</v>
      </c>
      <c r="L461" t="n">
        <v>0</v>
      </c>
      <c r="M461" t="n">
        <v>0</v>
      </c>
      <c r="N461" t="n">
        <v>0</v>
      </c>
      <c r="O461" t="n">
        <v>0</v>
      </c>
      <c r="P461" t="n">
        <v>0</v>
      </c>
      <c r="Q461" t="n">
        <v>0</v>
      </c>
      <c r="R461" s="2" t="inlineStr"/>
    </row>
    <row r="462" ht="15" customHeight="1">
      <c r="A462" t="inlineStr">
        <is>
          <t>A 2241-2025</t>
        </is>
      </c>
      <c r="B462" s="1" t="n">
        <v>45673.48710648148</v>
      </c>
      <c r="C462" s="1" t="n">
        <v>46091</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6960-2026</t>
        </is>
      </c>
      <c r="B463" s="1" t="n">
        <v>46057.58105324074</v>
      </c>
      <c r="C463" s="1" t="n">
        <v>46091</v>
      </c>
      <c r="D463" t="inlineStr">
        <is>
          <t>GOTLANDS LÄN</t>
        </is>
      </c>
      <c r="E463" t="inlineStr">
        <is>
          <t>GOTLAND</t>
        </is>
      </c>
      <c r="F463" t="inlineStr">
        <is>
          <t>Kyrkan</t>
        </is>
      </c>
      <c r="G463" t="n">
        <v>2.4</v>
      </c>
      <c r="H463" t="n">
        <v>0</v>
      </c>
      <c r="I463" t="n">
        <v>0</v>
      </c>
      <c r="J463" t="n">
        <v>0</v>
      </c>
      <c r="K463" t="n">
        <v>0</v>
      </c>
      <c r="L463" t="n">
        <v>0</v>
      </c>
      <c r="M463" t="n">
        <v>0</v>
      </c>
      <c r="N463" t="n">
        <v>0</v>
      </c>
      <c r="O463" t="n">
        <v>0</v>
      </c>
      <c r="P463" t="n">
        <v>0</v>
      </c>
      <c r="Q463" t="n">
        <v>0</v>
      </c>
      <c r="R463" s="2" t="inlineStr"/>
    </row>
    <row r="464" ht="15" customHeight="1">
      <c r="A464" t="inlineStr">
        <is>
          <t>A 6959-2026</t>
        </is>
      </c>
      <c r="B464" s="1" t="n">
        <v>46057.580625</v>
      </c>
      <c r="C464" s="1" t="n">
        <v>46091</v>
      </c>
      <c r="D464" t="inlineStr">
        <is>
          <t>GOTLANDS LÄN</t>
        </is>
      </c>
      <c r="E464" t="inlineStr">
        <is>
          <t>GOTLAND</t>
        </is>
      </c>
      <c r="F464" t="inlineStr">
        <is>
          <t>Kyrkan</t>
        </is>
      </c>
      <c r="G464" t="n">
        <v>1.2</v>
      </c>
      <c r="H464" t="n">
        <v>0</v>
      </c>
      <c r="I464" t="n">
        <v>0</v>
      </c>
      <c r="J464" t="n">
        <v>0</v>
      </c>
      <c r="K464" t="n">
        <v>0</v>
      </c>
      <c r="L464" t="n">
        <v>0</v>
      </c>
      <c r="M464" t="n">
        <v>0</v>
      </c>
      <c r="N464" t="n">
        <v>0</v>
      </c>
      <c r="O464" t="n">
        <v>0</v>
      </c>
      <c r="P464" t="n">
        <v>0</v>
      </c>
      <c r="Q464" t="n">
        <v>0</v>
      </c>
      <c r="R464" s="2" t="inlineStr"/>
    </row>
    <row r="465" ht="15" customHeight="1">
      <c r="A465" t="inlineStr">
        <is>
          <t>A 15434-2024</t>
        </is>
      </c>
      <c r="B465" s="1" t="n">
        <v>45401.38836805556</v>
      </c>
      <c r="C465" s="1" t="n">
        <v>46091</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5943-2024</t>
        </is>
      </c>
      <c r="B466" s="1" t="n">
        <v>45336</v>
      </c>
      <c r="C466" s="1" t="n">
        <v>46091</v>
      </c>
      <c r="D466" t="inlineStr">
        <is>
          <t>GOTLANDS LÄN</t>
        </is>
      </c>
      <c r="E466" t="inlineStr">
        <is>
          <t>GOTLAND</t>
        </is>
      </c>
      <c r="G466" t="n">
        <v>4.3</v>
      </c>
      <c r="H466" t="n">
        <v>0</v>
      </c>
      <c r="I466" t="n">
        <v>0</v>
      </c>
      <c r="J466" t="n">
        <v>0</v>
      </c>
      <c r="K466" t="n">
        <v>0</v>
      </c>
      <c r="L466" t="n">
        <v>0</v>
      </c>
      <c r="M466" t="n">
        <v>0</v>
      </c>
      <c r="N466" t="n">
        <v>0</v>
      </c>
      <c r="O466" t="n">
        <v>0</v>
      </c>
      <c r="P466" t="n">
        <v>0</v>
      </c>
      <c r="Q466" t="n">
        <v>0</v>
      </c>
      <c r="R466" s="2" t="inlineStr"/>
    </row>
    <row r="467" ht="15" customHeight="1">
      <c r="A467" t="inlineStr">
        <is>
          <t>A 54073-2022</t>
        </is>
      </c>
      <c r="B467" s="1" t="n">
        <v>44881.50380787037</v>
      </c>
      <c r="C467" s="1" t="n">
        <v>46091</v>
      </c>
      <c r="D467" t="inlineStr">
        <is>
          <t>GOTLANDS LÄN</t>
        </is>
      </c>
      <c r="E467" t="inlineStr">
        <is>
          <t>GOTLAND</t>
        </is>
      </c>
      <c r="G467" t="n">
        <v>3.8</v>
      </c>
      <c r="H467" t="n">
        <v>0</v>
      </c>
      <c r="I467" t="n">
        <v>0</v>
      </c>
      <c r="J467" t="n">
        <v>0</v>
      </c>
      <c r="K467" t="n">
        <v>0</v>
      </c>
      <c r="L467" t="n">
        <v>0</v>
      </c>
      <c r="M467" t="n">
        <v>0</v>
      </c>
      <c r="N467" t="n">
        <v>0</v>
      </c>
      <c r="O467" t="n">
        <v>0</v>
      </c>
      <c r="P467" t="n">
        <v>0</v>
      </c>
      <c r="Q467" t="n">
        <v>0</v>
      </c>
      <c r="R467" s="2" t="inlineStr"/>
    </row>
    <row r="468" ht="15" customHeight="1">
      <c r="A468" t="inlineStr">
        <is>
          <t>A 16361-2024</t>
        </is>
      </c>
      <c r="B468" s="1" t="n">
        <v>45407</v>
      </c>
      <c r="C468" s="1" t="n">
        <v>46091</v>
      </c>
      <c r="D468" t="inlineStr">
        <is>
          <t>GOTLANDS LÄN</t>
        </is>
      </c>
      <c r="E468" t="inlineStr">
        <is>
          <t>GOTLAND</t>
        </is>
      </c>
      <c r="G468" t="n">
        <v>6</v>
      </c>
      <c r="H468" t="n">
        <v>0</v>
      </c>
      <c r="I468" t="n">
        <v>0</v>
      </c>
      <c r="J468" t="n">
        <v>0</v>
      </c>
      <c r="K468" t="n">
        <v>0</v>
      </c>
      <c r="L468" t="n">
        <v>0</v>
      </c>
      <c r="M468" t="n">
        <v>0</v>
      </c>
      <c r="N468" t="n">
        <v>0</v>
      </c>
      <c r="O468" t="n">
        <v>0</v>
      </c>
      <c r="P468" t="n">
        <v>0</v>
      </c>
      <c r="Q468" t="n">
        <v>0</v>
      </c>
      <c r="R468" s="2" t="inlineStr"/>
    </row>
    <row r="469" ht="15" customHeight="1">
      <c r="A469" t="inlineStr">
        <is>
          <t>A 38649-2025</t>
        </is>
      </c>
      <c r="B469" s="1" t="n">
        <v>45884</v>
      </c>
      <c r="C469" s="1" t="n">
        <v>46091</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41038-2023</t>
        </is>
      </c>
      <c r="B470" s="1" t="n">
        <v>45173.60959490741</v>
      </c>
      <c r="C470" s="1" t="n">
        <v>46091</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61078-2025</t>
        </is>
      </c>
      <c r="B471" s="1" t="n">
        <v>46000</v>
      </c>
      <c r="C471" s="1" t="n">
        <v>46091</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7625-2026</t>
        </is>
      </c>
      <c r="B472" s="1" t="n">
        <v>46062.35135416667</v>
      </c>
      <c r="C472" s="1" t="n">
        <v>46091</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7627-2026</t>
        </is>
      </c>
      <c r="B473" s="1" t="n">
        <v>46062.35465277778</v>
      </c>
      <c r="C473" s="1" t="n">
        <v>46091</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14427-2024</t>
        </is>
      </c>
      <c r="B474" s="1" t="n">
        <v>45394</v>
      </c>
      <c r="C474" s="1" t="n">
        <v>46091</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31802-2024</t>
        </is>
      </c>
      <c r="B475" s="1" t="n">
        <v>45509</v>
      </c>
      <c r="C475" s="1" t="n">
        <v>46091</v>
      </c>
      <c r="D475" t="inlineStr">
        <is>
          <t>GOTLANDS LÄN</t>
        </is>
      </c>
      <c r="E475" t="inlineStr">
        <is>
          <t>GOTLAND</t>
        </is>
      </c>
      <c r="G475" t="n">
        <v>2.8</v>
      </c>
      <c r="H475" t="n">
        <v>0</v>
      </c>
      <c r="I475" t="n">
        <v>0</v>
      </c>
      <c r="J475" t="n">
        <v>0</v>
      </c>
      <c r="K475" t="n">
        <v>0</v>
      </c>
      <c r="L475" t="n">
        <v>0</v>
      </c>
      <c r="M475" t="n">
        <v>0</v>
      </c>
      <c r="N475" t="n">
        <v>0</v>
      </c>
      <c r="O475" t="n">
        <v>0</v>
      </c>
      <c r="P475" t="n">
        <v>0</v>
      </c>
      <c r="Q475" t="n">
        <v>0</v>
      </c>
      <c r="R475" s="2" t="inlineStr"/>
    </row>
    <row r="476" ht="15" customHeight="1">
      <c r="A476" t="inlineStr">
        <is>
          <t>A 8036-2022</t>
        </is>
      </c>
      <c r="B476" s="1" t="n">
        <v>44609.44362268518</v>
      </c>
      <c r="C476" s="1" t="n">
        <v>46091</v>
      </c>
      <c r="D476" t="inlineStr">
        <is>
          <t>GOTLANDS LÄN</t>
        </is>
      </c>
      <c r="E476" t="inlineStr">
        <is>
          <t>GOTLAND</t>
        </is>
      </c>
      <c r="G476" t="n">
        <v>6.1</v>
      </c>
      <c r="H476" t="n">
        <v>0</v>
      </c>
      <c r="I476" t="n">
        <v>0</v>
      </c>
      <c r="J476" t="n">
        <v>0</v>
      </c>
      <c r="K476" t="n">
        <v>0</v>
      </c>
      <c r="L476" t="n">
        <v>0</v>
      </c>
      <c r="M476" t="n">
        <v>0</v>
      </c>
      <c r="N476" t="n">
        <v>0</v>
      </c>
      <c r="O476" t="n">
        <v>0</v>
      </c>
      <c r="P476" t="n">
        <v>0</v>
      </c>
      <c r="Q476" t="n">
        <v>0</v>
      </c>
      <c r="R476" s="2" t="inlineStr"/>
    </row>
    <row r="477" ht="15" customHeight="1">
      <c r="A477" t="inlineStr">
        <is>
          <t>A 12846-2025</t>
        </is>
      </c>
      <c r="B477" s="1" t="n">
        <v>45733.65049768519</v>
      </c>
      <c r="C477" s="1" t="n">
        <v>46091</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36-2026</t>
        </is>
      </c>
      <c r="B478" s="1" t="n">
        <v>46024.38886574074</v>
      </c>
      <c r="C478" s="1" t="n">
        <v>46091</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62674-2025</t>
        </is>
      </c>
      <c r="B479" s="1" t="n">
        <v>46008</v>
      </c>
      <c r="C479" s="1" t="n">
        <v>46091</v>
      </c>
      <c r="D479" t="inlineStr">
        <is>
          <t>GOTLANDS LÄN</t>
        </is>
      </c>
      <c r="E479" t="inlineStr">
        <is>
          <t>GOTLAND</t>
        </is>
      </c>
      <c r="G479" t="n">
        <v>5</v>
      </c>
      <c r="H479" t="n">
        <v>0</v>
      </c>
      <c r="I479" t="n">
        <v>0</v>
      </c>
      <c r="J479" t="n">
        <v>0</v>
      </c>
      <c r="K479" t="n">
        <v>0</v>
      </c>
      <c r="L479" t="n">
        <v>0</v>
      </c>
      <c r="M479" t="n">
        <v>0</v>
      </c>
      <c r="N479" t="n">
        <v>0</v>
      </c>
      <c r="O479" t="n">
        <v>0</v>
      </c>
      <c r="P479" t="n">
        <v>0</v>
      </c>
      <c r="Q479" t="n">
        <v>0</v>
      </c>
      <c r="R479" s="2" t="inlineStr"/>
    </row>
    <row r="480" ht="15" customHeight="1">
      <c r="A480" t="inlineStr">
        <is>
          <t>A 46949-2024</t>
        </is>
      </c>
      <c r="B480" s="1" t="n">
        <v>45585</v>
      </c>
      <c r="C480" s="1" t="n">
        <v>46091</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44624.57945601852</v>
      </c>
      <c r="C481" s="1" t="n">
        <v>46091</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9543-2026</t>
        </is>
      </c>
      <c r="B482" s="1" t="n">
        <v>46071.62486111111</v>
      </c>
      <c r="C482" s="1" t="n">
        <v>46091</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9521-2026</t>
        </is>
      </c>
      <c r="B483" s="1" t="n">
        <v>46071.59969907408</v>
      </c>
      <c r="C483" s="1" t="n">
        <v>46091</v>
      </c>
      <c r="D483" t="inlineStr">
        <is>
          <t>GOTLANDS LÄN</t>
        </is>
      </c>
      <c r="E483" t="inlineStr">
        <is>
          <t>GOTLAND</t>
        </is>
      </c>
      <c r="G483" t="n">
        <v>3.9</v>
      </c>
      <c r="H483" t="n">
        <v>0</v>
      </c>
      <c r="I483" t="n">
        <v>0</v>
      </c>
      <c r="J483" t="n">
        <v>0</v>
      </c>
      <c r="K483" t="n">
        <v>0</v>
      </c>
      <c r="L483" t="n">
        <v>0</v>
      </c>
      <c r="M483" t="n">
        <v>0</v>
      </c>
      <c r="N483" t="n">
        <v>0</v>
      </c>
      <c r="O483" t="n">
        <v>0</v>
      </c>
      <c r="P483" t="n">
        <v>0</v>
      </c>
      <c r="Q483" t="n">
        <v>0</v>
      </c>
      <c r="R483" s="2" t="inlineStr"/>
    </row>
    <row r="484" ht="15" customHeight="1">
      <c r="A484" t="inlineStr">
        <is>
          <t>A 9524-2026</t>
        </is>
      </c>
      <c r="B484" s="1" t="n">
        <v>46071.60108796296</v>
      </c>
      <c r="C484" s="1" t="n">
        <v>46091</v>
      </c>
      <c r="D484" t="inlineStr">
        <is>
          <t>GOTLANDS LÄN</t>
        </is>
      </c>
      <c r="E484" t="inlineStr">
        <is>
          <t>GOTLAND</t>
        </is>
      </c>
      <c r="G484" t="n">
        <v>2.5</v>
      </c>
      <c r="H484" t="n">
        <v>0</v>
      </c>
      <c r="I484" t="n">
        <v>0</v>
      </c>
      <c r="J484" t="n">
        <v>0</v>
      </c>
      <c r="K484" t="n">
        <v>0</v>
      </c>
      <c r="L484" t="n">
        <v>0</v>
      </c>
      <c r="M484" t="n">
        <v>0</v>
      </c>
      <c r="N484" t="n">
        <v>0</v>
      </c>
      <c r="O484" t="n">
        <v>0</v>
      </c>
      <c r="P484" t="n">
        <v>0</v>
      </c>
      <c r="Q484" t="n">
        <v>0</v>
      </c>
      <c r="R484" s="2" t="inlineStr"/>
    </row>
    <row r="485" ht="15" customHeight="1">
      <c r="A485" t="inlineStr">
        <is>
          <t>A 11634-2024</t>
        </is>
      </c>
      <c r="B485" s="1" t="n">
        <v>45373</v>
      </c>
      <c r="C485" s="1" t="n">
        <v>46091</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9518-2026</t>
        </is>
      </c>
      <c r="B486" s="1" t="n">
        <v>46071.59653935185</v>
      </c>
      <c r="C486" s="1" t="n">
        <v>46091</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1351-2025</t>
        </is>
      </c>
      <c r="B487" s="1" t="n">
        <v>45667.62246527777</v>
      </c>
      <c r="C487" s="1" t="n">
        <v>46091</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39496-2022</t>
        </is>
      </c>
      <c r="B488" s="1" t="n">
        <v>44818</v>
      </c>
      <c r="C488" s="1" t="n">
        <v>46091</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9519-2026</t>
        </is>
      </c>
      <c r="B489" s="1" t="n">
        <v>46071.59820601852</v>
      </c>
      <c r="C489" s="1" t="n">
        <v>46091</v>
      </c>
      <c r="D489" t="inlineStr">
        <is>
          <t>GOTLANDS LÄN</t>
        </is>
      </c>
      <c r="E489" t="inlineStr">
        <is>
          <t>GOTLAND</t>
        </is>
      </c>
      <c r="G489" t="n">
        <v>4</v>
      </c>
      <c r="H489" t="n">
        <v>0</v>
      </c>
      <c r="I489" t="n">
        <v>0</v>
      </c>
      <c r="J489" t="n">
        <v>0</v>
      </c>
      <c r="K489" t="n">
        <v>0</v>
      </c>
      <c r="L489" t="n">
        <v>0</v>
      </c>
      <c r="M489" t="n">
        <v>0</v>
      </c>
      <c r="N489" t="n">
        <v>0</v>
      </c>
      <c r="O489" t="n">
        <v>0</v>
      </c>
      <c r="P489" t="n">
        <v>0</v>
      </c>
      <c r="Q489" t="n">
        <v>0</v>
      </c>
      <c r="R489" s="2" t="inlineStr"/>
    </row>
    <row r="490" ht="15" customHeight="1">
      <c r="A490" t="inlineStr">
        <is>
          <t>A 9540-2026</t>
        </is>
      </c>
      <c r="B490" s="1" t="n">
        <v>46071.61961805556</v>
      </c>
      <c r="C490" s="1" t="n">
        <v>46091</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49874-2024</t>
        </is>
      </c>
      <c r="B491" s="1" t="n">
        <v>45597.49274305555</v>
      </c>
      <c r="C491" s="1" t="n">
        <v>46091</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9504-2026</t>
        </is>
      </c>
      <c r="B492" s="1" t="n">
        <v>46071.57730324074</v>
      </c>
      <c r="C492" s="1" t="n">
        <v>46091</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63105-2025</t>
        </is>
      </c>
      <c r="B493" s="1" t="n">
        <v>46009</v>
      </c>
      <c r="C493" s="1" t="n">
        <v>46091</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63152-2025</t>
        </is>
      </c>
      <c r="B494" s="1" t="n">
        <v>46010</v>
      </c>
      <c r="C494" s="1" t="n">
        <v>46091</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42201-2023</t>
        </is>
      </c>
      <c r="B495" s="1" t="n">
        <v>45179</v>
      </c>
      <c r="C495" s="1" t="n">
        <v>46091</v>
      </c>
      <c r="D495" t="inlineStr">
        <is>
          <t>GOTLANDS LÄN</t>
        </is>
      </c>
      <c r="E495" t="inlineStr">
        <is>
          <t>GOTLAND</t>
        </is>
      </c>
      <c r="G495" t="n">
        <v>11.9</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46091</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46091</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9901-2026</t>
        </is>
      </c>
      <c r="B498" s="1" t="n">
        <v>46073.40391203704</v>
      </c>
      <c r="C498" s="1" t="n">
        <v>46091</v>
      </c>
      <c r="D498" t="inlineStr">
        <is>
          <t>GOTLANDS LÄN</t>
        </is>
      </c>
      <c r="E498" t="inlineStr">
        <is>
          <t>GOTLAND</t>
        </is>
      </c>
      <c r="F498" t="inlineStr">
        <is>
          <t>Kyrkan</t>
        </is>
      </c>
      <c r="G498" t="n">
        <v>0.9</v>
      </c>
      <c r="H498" t="n">
        <v>0</v>
      </c>
      <c r="I498" t="n">
        <v>0</v>
      </c>
      <c r="J498" t="n">
        <v>0</v>
      </c>
      <c r="K498" t="n">
        <v>0</v>
      </c>
      <c r="L498" t="n">
        <v>0</v>
      </c>
      <c r="M498" t="n">
        <v>0</v>
      </c>
      <c r="N498" t="n">
        <v>0</v>
      </c>
      <c r="O498" t="n">
        <v>0</v>
      </c>
      <c r="P498" t="n">
        <v>0</v>
      </c>
      <c r="Q498" t="n">
        <v>0</v>
      </c>
      <c r="R498" s="2" t="inlineStr"/>
    </row>
    <row r="499" ht="15" customHeight="1">
      <c r="A499" t="inlineStr">
        <is>
          <t>A 21164-2024</t>
        </is>
      </c>
      <c r="B499" s="1" t="n">
        <v>45440</v>
      </c>
      <c r="C499" s="1" t="n">
        <v>46091</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46091</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1355-2026</t>
        </is>
      </c>
      <c r="B501" s="1" t="n">
        <v>46031.59909722222</v>
      </c>
      <c r="C501" s="1" t="n">
        <v>46091</v>
      </c>
      <c r="D501" t="inlineStr">
        <is>
          <t>GOTLANDS LÄN</t>
        </is>
      </c>
      <c r="E501" t="inlineStr">
        <is>
          <t>GOTLAND</t>
        </is>
      </c>
      <c r="G501" t="n">
        <v>3.1</v>
      </c>
      <c r="H501" t="n">
        <v>0</v>
      </c>
      <c r="I501" t="n">
        <v>0</v>
      </c>
      <c r="J501" t="n">
        <v>0</v>
      </c>
      <c r="K501" t="n">
        <v>0</v>
      </c>
      <c r="L501" t="n">
        <v>0</v>
      </c>
      <c r="M501" t="n">
        <v>0</v>
      </c>
      <c r="N501" t="n">
        <v>0</v>
      </c>
      <c r="O501" t="n">
        <v>0</v>
      </c>
      <c r="P501" t="n">
        <v>0</v>
      </c>
      <c r="Q501" t="n">
        <v>0</v>
      </c>
      <c r="R501" s="2" t="inlineStr"/>
    </row>
    <row r="502" ht="15" customHeight="1">
      <c r="A502" t="inlineStr">
        <is>
          <t>A 22897-2023</t>
        </is>
      </c>
      <c r="B502" s="1" t="n">
        <v>45072.55239583334</v>
      </c>
      <c r="C502" s="1" t="n">
        <v>46091</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10486-2026</t>
        </is>
      </c>
      <c r="B503" s="1" t="n">
        <v>46077.51425925926</v>
      </c>
      <c r="C503" s="1" t="n">
        <v>46091</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61897-2024</t>
        </is>
      </c>
      <c r="B504" s="1" t="n">
        <v>45652.75685185185</v>
      </c>
      <c r="C504" s="1" t="n">
        <v>46091</v>
      </c>
      <c r="D504" t="inlineStr">
        <is>
          <t>GOTLANDS LÄN</t>
        </is>
      </c>
      <c r="E504" t="inlineStr">
        <is>
          <t>GOTLAND</t>
        </is>
      </c>
      <c r="G504" t="n">
        <v>6.4</v>
      </c>
      <c r="H504" t="n">
        <v>0</v>
      </c>
      <c r="I504" t="n">
        <v>0</v>
      </c>
      <c r="J504" t="n">
        <v>0</v>
      </c>
      <c r="K504" t="n">
        <v>0</v>
      </c>
      <c r="L504" t="n">
        <v>0</v>
      </c>
      <c r="M504" t="n">
        <v>0</v>
      </c>
      <c r="N504" t="n">
        <v>0</v>
      </c>
      <c r="O504" t="n">
        <v>0</v>
      </c>
      <c r="P504" t="n">
        <v>0</v>
      </c>
      <c r="Q504" t="n">
        <v>0</v>
      </c>
      <c r="R504" s="2" t="inlineStr"/>
    </row>
    <row r="505" ht="15" customHeight="1">
      <c r="A505" t="inlineStr">
        <is>
          <t>A 49962-2023</t>
        </is>
      </c>
      <c r="B505" s="1" t="n">
        <v>45215.38775462963</v>
      </c>
      <c r="C505" s="1" t="n">
        <v>46091</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62836-2025</t>
        </is>
      </c>
      <c r="B506" s="1" t="n">
        <v>46008</v>
      </c>
      <c r="C506" s="1" t="n">
        <v>46091</v>
      </c>
      <c r="D506" t="inlineStr">
        <is>
          <t>GOTLANDS LÄN</t>
        </is>
      </c>
      <c r="E506" t="inlineStr">
        <is>
          <t>GOTLAND</t>
        </is>
      </c>
      <c r="G506" t="n">
        <v>6.5</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44698.49854166667</v>
      </c>
      <c r="C507" s="1" t="n">
        <v>46091</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2135-2026</t>
        </is>
      </c>
      <c r="B508" s="1" t="n">
        <v>46036</v>
      </c>
      <c r="C508" s="1" t="n">
        <v>46091</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46091</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10284-2026</t>
        </is>
      </c>
      <c r="B510" s="1" t="n">
        <v>46076</v>
      </c>
      <c r="C510" s="1" t="n">
        <v>46091</v>
      </c>
      <c r="D510" t="inlineStr">
        <is>
          <t>GOTLANDS LÄN</t>
        </is>
      </c>
      <c r="E510" t="inlineStr">
        <is>
          <t>GOTLAND</t>
        </is>
      </c>
      <c r="G510" t="n">
        <v>5.2</v>
      </c>
      <c r="H510" t="n">
        <v>0</v>
      </c>
      <c r="I510" t="n">
        <v>0</v>
      </c>
      <c r="J510" t="n">
        <v>0</v>
      </c>
      <c r="K510" t="n">
        <v>0</v>
      </c>
      <c r="L510" t="n">
        <v>0</v>
      </c>
      <c r="M510" t="n">
        <v>0</v>
      </c>
      <c r="N510" t="n">
        <v>0</v>
      </c>
      <c r="O510" t="n">
        <v>0</v>
      </c>
      <c r="P510" t="n">
        <v>0</v>
      </c>
      <c r="Q510" t="n">
        <v>0</v>
      </c>
      <c r="R510" s="2" t="inlineStr"/>
    </row>
    <row r="511" ht="15" customHeight="1">
      <c r="A511" t="inlineStr">
        <is>
          <t>A 12032-2025</t>
        </is>
      </c>
      <c r="B511" s="1" t="n">
        <v>45728.64472222222</v>
      </c>
      <c r="C511" s="1" t="n">
        <v>46091</v>
      </c>
      <c r="D511" t="inlineStr">
        <is>
          <t>GOTLANDS LÄN</t>
        </is>
      </c>
      <c r="E511" t="inlineStr">
        <is>
          <t>GOTLAND</t>
        </is>
      </c>
      <c r="G511" t="n">
        <v>1.4</v>
      </c>
      <c r="H511" t="n">
        <v>0</v>
      </c>
      <c r="I511" t="n">
        <v>0</v>
      </c>
      <c r="J511" t="n">
        <v>0</v>
      </c>
      <c r="K511" t="n">
        <v>0</v>
      </c>
      <c r="L511" t="n">
        <v>0</v>
      </c>
      <c r="M511" t="n">
        <v>0</v>
      </c>
      <c r="N511" t="n">
        <v>0</v>
      </c>
      <c r="O511" t="n">
        <v>0</v>
      </c>
      <c r="P511" t="n">
        <v>0</v>
      </c>
      <c r="Q511" t="n">
        <v>0</v>
      </c>
      <c r="R511" s="2" t="inlineStr"/>
    </row>
    <row r="512" ht="15" customHeight="1">
      <c r="A512" t="inlineStr">
        <is>
          <t>A 1898-2026</t>
        </is>
      </c>
      <c r="B512" s="1" t="n">
        <v>46035.52024305556</v>
      </c>
      <c r="C512" s="1" t="n">
        <v>46091</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38787-2023</t>
        </is>
      </c>
      <c r="B513" s="1" t="n">
        <v>45163</v>
      </c>
      <c r="C513" s="1" t="n">
        <v>46091</v>
      </c>
      <c r="D513" t="inlineStr">
        <is>
          <t>GOTLANDS LÄN</t>
        </is>
      </c>
      <c r="E513" t="inlineStr">
        <is>
          <t>GOTLAND</t>
        </is>
      </c>
      <c r="G513" t="n">
        <v>0.4</v>
      </c>
      <c r="H513" t="n">
        <v>0</v>
      </c>
      <c r="I513" t="n">
        <v>0</v>
      </c>
      <c r="J513" t="n">
        <v>0</v>
      </c>
      <c r="K513" t="n">
        <v>0</v>
      </c>
      <c r="L513" t="n">
        <v>0</v>
      </c>
      <c r="M513" t="n">
        <v>0</v>
      </c>
      <c r="N513" t="n">
        <v>0</v>
      </c>
      <c r="O513" t="n">
        <v>0</v>
      </c>
      <c r="P513" t="n">
        <v>0</v>
      </c>
      <c r="Q513" t="n">
        <v>0</v>
      </c>
      <c r="R513" s="2" t="inlineStr"/>
    </row>
    <row r="514" ht="15" customHeight="1">
      <c r="A514" t="inlineStr">
        <is>
          <t>A 2134-2026</t>
        </is>
      </c>
      <c r="B514" s="1" t="n">
        <v>46036</v>
      </c>
      <c r="C514" s="1" t="n">
        <v>46091</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43231-2023</t>
        </is>
      </c>
      <c r="B515" s="1" t="n">
        <v>45183.47025462963</v>
      </c>
      <c r="C515" s="1" t="n">
        <v>46091</v>
      </c>
      <c r="D515" t="inlineStr">
        <is>
          <t>GOTLANDS LÄN</t>
        </is>
      </c>
      <c r="E515" t="inlineStr">
        <is>
          <t>GOTLAND</t>
        </is>
      </c>
      <c r="G515" t="n">
        <v>3.6</v>
      </c>
      <c r="H515" t="n">
        <v>0</v>
      </c>
      <c r="I515" t="n">
        <v>0</v>
      </c>
      <c r="J515" t="n">
        <v>0</v>
      </c>
      <c r="K515" t="n">
        <v>0</v>
      </c>
      <c r="L515" t="n">
        <v>0</v>
      </c>
      <c r="M515" t="n">
        <v>0</v>
      </c>
      <c r="N515" t="n">
        <v>0</v>
      </c>
      <c r="O515" t="n">
        <v>0</v>
      </c>
      <c r="P515" t="n">
        <v>0</v>
      </c>
      <c r="Q515" t="n">
        <v>0</v>
      </c>
      <c r="R515" s="2" t="inlineStr"/>
    </row>
    <row r="516" ht="15" customHeight="1">
      <c r="A516" t="inlineStr">
        <is>
          <t>A 17532-2024</t>
        </is>
      </c>
      <c r="B516" s="1" t="n">
        <v>45415</v>
      </c>
      <c r="C516" s="1" t="n">
        <v>46091</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3935-2025</t>
        </is>
      </c>
      <c r="B517" s="1" t="n">
        <v>45684.46070601852</v>
      </c>
      <c r="C517" s="1" t="n">
        <v>46091</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2415-2026</t>
        </is>
      </c>
      <c r="B518" s="1" t="n">
        <v>46036.76203703704</v>
      </c>
      <c r="C518" s="1" t="n">
        <v>46091</v>
      </c>
      <c r="D518" t="inlineStr">
        <is>
          <t>GOTLANDS LÄN</t>
        </is>
      </c>
      <c r="E518" t="inlineStr">
        <is>
          <t>GOTLAND</t>
        </is>
      </c>
      <c r="G518" t="n">
        <v>6.9</v>
      </c>
      <c r="H518" t="n">
        <v>0</v>
      </c>
      <c r="I518" t="n">
        <v>0</v>
      </c>
      <c r="J518" t="n">
        <v>0</v>
      </c>
      <c r="K518" t="n">
        <v>0</v>
      </c>
      <c r="L518" t="n">
        <v>0</v>
      </c>
      <c r="M518" t="n">
        <v>0</v>
      </c>
      <c r="N518" t="n">
        <v>0</v>
      </c>
      <c r="O518" t="n">
        <v>0</v>
      </c>
      <c r="P518" t="n">
        <v>0</v>
      </c>
      <c r="Q518" t="n">
        <v>0</v>
      </c>
      <c r="R518" s="2" t="inlineStr"/>
    </row>
    <row r="519" ht="15" customHeight="1">
      <c r="A519" t="inlineStr">
        <is>
          <t>A 20225-2025</t>
        </is>
      </c>
      <c r="B519" s="1" t="n">
        <v>45772.65802083333</v>
      </c>
      <c r="C519" s="1" t="n">
        <v>46091</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883-2025</t>
        </is>
      </c>
      <c r="B520" s="1" t="n">
        <v>45665</v>
      </c>
      <c r="C520" s="1" t="n">
        <v>46091</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11414-2026</t>
        </is>
      </c>
      <c r="B521" s="1" t="n">
        <v>46083.46336805556</v>
      </c>
      <c r="C521" s="1" t="n">
        <v>46091</v>
      </c>
      <c r="D521" t="inlineStr">
        <is>
          <t>GOTLANDS LÄN</t>
        </is>
      </c>
      <c r="E521" t="inlineStr">
        <is>
          <t>GOTLAND</t>
        </is>
      </c>
      <c r="G521" t="n">
        <v>4.9</v>
      </c>
      <c r="H521" t="n">
        <v>0</v>
      </c>
      <c r="I521" t="n">
        <v>0</v>
      </c>
      <c r="J521" t="n">
        <v>0</v>
      </c>
      <c r="K521" t="n">
        <v>0</v>
      </c>
      <c r="L521" t="n">
        <v>0</v>
      </c>
      <c r="M521" t="n">
        <v>0</v>
      </c>
      <c r="N521" t="n">
        <v>0</v>
      </c>
      <c r="O521" t="n">
        <v>0</v>
      </c>
      <c r="P521" t="n">
        <v>0</v>
      </c>
      <c r="Q521" t="n">
        <v>0</v>
      </c>
      <c r="R521" s="2" t="inlineStr"/>
    </row>
    <row r="522" ht="15" customHeight="1">
      <c r="A522" t="inlineStr">
        <is>
          <t>A 11424-2026</t>
        </is>
      </c>
      <c r="B522" s="1" t="n">
        <v>46083.48068287037</v>
      </c>
      <c r="C522" s="1" t="n">
        <v>46091</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1066-2024</t>
        </is>
      </c>
      <c r="B523" s="1" t="n">
        <v>45302.285</v>
      </c>
      <c r="C523" s="1" t="n">
        <v>46091</v>
      </c>
      <c r="D523" t="inlineStr">
        <is>
          <t>GOTLANDS LÄN</t>
        </is>
      </c>
      <c r="E523" t="inlineStr">
        <is>
          <t>GOTLAND</t>
        </is>
      </c>
      <c r="G523" t="n">
        <v>1.4</v>
      </c>
      <c r="H523" t="n">
        <v>0</v>
      </c>
      <c r="I523" t="n">
        <v>0</v>
      </c>
      <c r="J523" t="n">
        <v>0</v>
      </c>
      <c r="K523" t="n">
        <v>0</v>
      </c>
      <c r="L523" t="n">
        <v>0</v>
      </c>
      <c r="M523" t="n">
        <v>0</v>
      </c>
      <c r="N523" t="n">
        <v>0</v>
      </c>
      <c r="O523" t="n">
        <v>0</v>
      </c>
      <c r="P523" t="n">
        <v>0</v>
      </c>
      <c r="Q523" t="n">
        <v>0</v>
      </c>
      <c r="R523" s="2" t="inlineStr"/>
    </row>
    <row r="524" ht="15" customHeight="1">
      <c r="A524" t="inlineStr">
        <is>
          <t>A 17144-2025</t>
        </is>
      </c>
      <c r="B524" s="1" t="n">
        <v>45755.9499537037</v>
      </c>
      <c r="C524" s="1" t="n">
        <v>46091</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53587-2025</t>
        </is>
      </c>
      <c r="B525" s="1" t="n">
        <v>45960.43681712963</v>
      </c>
      <c r="C525" s="1" t="n">
        <v>46091</v>
      </c>
      <c r="D525" t="inlineStr">
        <is>
          <t>GOTLANDS LÄN</t>
        </is>
      </c>
      <c r="E525" t="inlineStr">
        <is>
          <t>GOTLAND</t>
        </is>
      </c>
      <c r="F525" t="inlineStr">
        <is>
          <t>Övriga Aktiebolag</t>
        </is>
      </c>
      <c r="G525" t="n">
        <v>1.7</v>
      </c>
      <c r="H525" t="n">
        <v>0</v>
      </c>
      <c r="I525" t="n">
        <v>0</v>
      </c>
      <c r="J525" t="n">
        <v>0</v>
      </c>
      <c r="K525" t="n">
        <v>0</v>
      </c>
      <c r="L525" t="n">
        <v>0</v>
      </c>
      <c r="M525" t="n">
        <v>0</v>
      </c>
      <c r="N525" t="n">
        <v>0</v>
      </c>
      <c r="O525" t="n">
        <v>0</v>
      </c>
      <c r="P525" t="n">
        <v>0</v>
      </c>
      <c r="Q525" t="n">
        <v>0</v>
      </c>
      <c r="R525" s="2" t="inlineStr"/>
    </row>
    <row r="526" ht="15" customHeight="1">
      <c r="A526" t="inlineStr">
        <is>
          <t>A 3067-2026</t>
        </is>
      </c>
      <c r="B526" s="1" t="n">
        <v>46040.59025462963</v>
      </c>
      <c r="C526" s="1" t="n">
        <v>46091</v>
      </c>
      <c r="D526" t="inlineStr">
        <is>
          <t>GOTLANDS LÄN</t>
        </is>
      </c>
      <c r="E526" t="inlineStr">
        <is>
          <t>GOTLAND</t>
        </is>
      </c>
      <c r="G526" t="n">
        <v>7.8</v>
      </c>
      <c r="H526" t="n">
        <v>0</v>
      </c>
      <c r="I526" t="n">
        <v>0</v>
      </c>
      <c r="J526" t="n">
        <v>0</v>
      </c>
      <c r="K526" t="n">
        <v>0</v>
      </c>
      <c r="L526" t="n">
        <v>0</v>
      </c>
      <c r="M526" t="n">
        <v>0</v>
      </c>
      <c r="N526" t="n">
        <v>0</v>
      </c>
      <c r="O526" t="n">
        <v>0</v>
      </c>
      <c r="P526" t="n">
        <v>0</v>
      </c>
      <c r="Q526" t="n">
        <v>0</v>
      </c>
      <c r="R526" s="2" t="inlineStr"/>
    </row>
    <row r="527" ht="15" customHeight="1">
      <c r="A527" t="inlineStr">
        <is>
          <t>A 53561-2025</t>
        </is>
      </c>
      <c r="B527" s="1" t="n">
        <v>45960.4059375</v>
      </c>
      <c r="C527" s="1" t="n">
        <v>46091</v>
      </c>
      <c r="D527" t="inlineStr">
        <is>
          <t>GOTLANDS LÄN</t>
        </is>
      </c>
      <c r="E527" t="inlineStr">
        <is>
          <t>GOTLAND</t>
        </is>
      </c>
      <c r="F527" t="inlineStr">
        <is>
          <t>Övriga Aktiebolag</t>
        </is>
      </c>
      <c r="G527" t="n">
        <v>2.4</v>
      </c>
      <c r="H527" t="n">
        <v>0</v>
      </c>
      <c r="I527" t="n">
        <v>0</v>
      </c>
      <c r="J527" t="n">
        <v>0</v>
      </c>
      <c r="K527" t="n">
        <v>0</v>
      </c>
      <c r="L527" t="n">
        <v>0</v>
      </c>
      <c r="M527" t="n">
        <v>0</v>
      </c>
      <c r="N527" t="n">
        <v>0</v>
      </c>
      <c r="O527" t="n">
        <v>0</v>
      </c>
      <c r="P527" t="n">
        <v>0</v>
      </c>
      <c r="Q527" t="n">
        <v>0</v>
      </c>
      <c r="R527" s="2" t="inlineStr"/>
    </row>
    <row r="528" ht="15" customHeight="1">
      <c r="A528" t="inlineStr">
        <is>
          <t>A 3253-2026</t>
        </is>
      </c>
      <c r="B528" s="1" t="n">
        <v>46041.58902777778</v>
      </c>
      <c r="C528" s="1" t="n">
        <v>46091</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56009-2024</t>
        </is>
      </c>
      <c r="B529" s="1" t="n">
        <v>45623.80864583333</v>
      </c>
      <c r="C529" s="1" t="n">
        <v>46091</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42338-2023</t>
        </is>
      </c>
      <c r="B530" s="1" t="n">
        <v>45180</v>
      </c>
      <c r="C530" s="1" t="n">
        <v>46091</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11982-2026</t>
        </is>
      </c>
      <c r="B531" s="1" t="n">
        <v>46085.6434375</v>
      </c>
      <c r="C531" s="1" t="n">
        <v>46091</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1854-2026</t>
        </is>
      </c>
      <c r="B532" s="1" t="n">
        <v>46035.4171875</v>
      </c>
      <c r="C532" s="1" t="n">
        <v>46091</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12135-2026</t>
        </is>
      </c>
      <c r="B533" s="1" t="n">
        <v>46086</v>
      </c>
      <c r="C533" s="1" t="n">
        <v>46091</v>
      </c>
      <c r="D533" t="inlineStr">
        <is>
          <t>GOTLANDS LÄN</t>
        </is>
      </c>
      <c r="E533" t="inlineStr">
        <is>
          <t>GOTLAND</t>
        </is>
      </c>
      <c r="G533" t="n">
        <v>3</v>
      </c>
      <c r="H533" t="n">
        <v>0</v>
      </c>
      <c r="I533" t="n">
        <v>0</v>
      </c>
      <c r="J533" t="n">
        <v>0</v>
      </c>
      <c r="K533" t="n">
        <v>0</v>
      </c>
      <c r="L533" t="n">
        <v>0</v>
      </c>
      <c r="M533" t="n">
        <v>0</v>
      </c>
      <c r="N533" t="n">
        <v>0</v>
      </c>
      <c r="O533" t="n">
        <v>0</v>
      </c>
      <c r="P533" t="n">
        <v>0</v>
      </c>
      <c r="Q533" t="n">
        <v>0</v>
      </c>
      <c r="R533" s="2" t="inlineStr"/>
    </row>
    <row r="534" ht="15" customHeight="1">
      <c r="A534" t="inlineStr">
        <is>
          <t>A 4646-2026</t>
        </is>
      </c>
      <c r="B534" s="1" t="n">
        <v>46048.40357638889</v>
      </c>
      <c r="C534" s="1" t="n">
        <v>46091</v>
      </c>
      <c r="D534" t="inlineStr">
        <is>
          <t>GOTLANDS LÄN</t>
        </is>
      </c>
      <c r="E534" t="inlineStr">
        <is>
          <t>GOTLAND</t>
        </is>
      </c>
      <c r="G534" t="n">
        <v>2.7</v>
      </c>
      <c r="H534" t="n">
        <v>0</v>
      </c>
      <c r="I534" t="n">
        <v>0</v>
      </c>
      <c r="J534" t="n">
        <v>0</v>
      </c>
      <c r="K534" t="n">
        <v>0</v>
      </c>
      <c r="L534" t="n">
        <v>0</v>
      </c>
      <c r="M534" t="n">
        <v>0</v>
      </c>
      <c r="N534" t="n">
        <v>0</v>
      </c>
      <c r="O534" t="n">
        <v>0</v>
      </c>
      <c r="P534" t="n">
        <v>0</v>
      </c>
      <c r="Q534" t="n">
        <v>0</v>
      </c>
      <c r="R534" s="2" t="inlineStr"/>
    </row>
    <row r="535" ht="15" customHeight="1">
      <c r="A535" t="inlineStr">
        <is>
          <t>A 63000-2025</t>
        </is>
      </c>
      <c r="B535" s="1" t="n">
        <v>46009</v>
      </c>
      <c r="C535" s="1" t="n">
        <v>46091</v>
      </c>
      <c r="D535" t="inlineStr">
        <is>
          <t>GOTLANDS LÄN</t>
        </is>
      </c>
      <c r="E535" t="inlineStr">
        <is>
          <t>GOTLAND</t>
        </is>
      </c>
      <c r="F535" t="inlineStr">
        <is>
          <t>Övriga Aktiebolag</t>
        </is>
      </c>
      <c r="G535" t="n">
        <v>1.7</v>
      </c>
      <c r="H535" t="n">
        <v>0</v>
      </c>
      <c r="I535" t="n">
        <v>0</v>
      </c>
      <c r="J535" t="n">
        <v>0</v>
      </c>
      <c r="K535" t="n">
        <v>0</v>
      </c>
      <c r="L535" t="n">
        <v>0</v>
      </c>
      <c r="M535" t="n">
        <v>0</v>
      </c>
      <c r="N535" t="n">
        <v>0</v>
      </c>
      <c r="O535" t="n">
        <v>0</v>
      </c>
      <c r="P535" t="n">
        <v>0</v>
      </c>
      <c r="Q535" t="n">
        <v>0</v>
      </c>
      <c r="R535" s="2" t="inlineStr"/>
    </row>
    <row r="536" ht="15" customHeight="1">
      <c r="A536" t="inlineStr">
        <is>
          <t>A 4662-2026</t>
        </is>
      </c>
      <c r="B536" s="1" t="n">
        <v>46048.40949074074</v>
      </c>
      <c r="C536" s="1" t="n">
        <v>46091</v>
      </c>
      <c r="D536" t="inlineStr">
        <is>
          <t>GOTLANDS LÄN</t>
        </is>
      </c>
      <c r="E536" t="inlineStr">
        <is>
          <t>GOTLAND</t>
        </is>
      </c>
      <c r="G536" t="n">
        <v>7.6</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46091</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62751-2025</t>
        </is>
      </c>
      <c r="B538" s="1" t="n">
        <v>46008</v>
      </c>
      <c r="C538" s="1" t="n">
        <v>46091</v>
      </c>
      <c r="D538" t="inlineStr">
        <is>
          <t>GOTLANDS LÄN</t>
        </is>
      </c>
      <c r="E538" t="inlineStr">
        <is>
          <t>GOTLAND</t>
        </is>
      </c>
      <c r="F538" t="inlineStr">
        <is>
          <t>Övriga Aktiebolag</t>
        </is>
      </c>
      <c r="G538" t="n">
        <v>7.8</v>
      </c>
      <c r="H538" t="n">
        <v>0</v>
      </c>
      <c r="I538" t="n">
        <v>0</v>
      </c>
      <c r="J538" t="n">
        <v>0</v>
      </c>
      <c r="K538" t="n">
        <v>0</v>
      </c>
      <c r="L538" t="n">
        <v>0</v>
      </c>
      <c r="M538" t="n">
        <v>0</v>
      </c>
      <c r="N538" t="n">
        <v>0</v>
      </c>
      <c r="O538" t="n">
        <v>0</v>
      </c>
      <c r="P538" t="n">
        <v>0</v>
      </c>
      <c r="Q538" t="n">
        <v>0</v>
      </c>
      <c r="R538" s="2" t="inlineStr"/>
    </row>
    <row r="539" ht="15" customHeight="1">
      <c r="A539" t="inlineStr">
        <is>
          <t>A 61386-2023</t>
        </is>
      </c>
      <c r="B539" s="1" t="n">
        <v>45264</v>
      </c>
      <c r="C539" s="1" t="n">
        <v>46091</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4639-2026</t>
        </is>
      </c>
      <c r="B540" s="1" t="n">
        <v>46048.39880787037</v>
      </c>
      <c r="C540" s="1" t="n">
        <v>46091</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1839-2026</t>
        </is>
      </c>
      <c r="B541" s="1" t="n">
        <v>46035.3942824074</v>
      </c>
      <c r="C541" s="1" t="n">
        <v>46091</v>
      </c>
      <c r="D541" t="inlineStr">
        <is>
          <t>GOTLANDS LÄN</t>
        </is>
      </c>
      <c r="E541" t="inlineStr">
        <is>
          <t>GOTLAND</t>
        </is>
      </c>
      <c r="G541" t="n">
        <v>3.5</v>
      </c>
      <c r="H541" t="n">
        <v>0</v>
      </c>
      <c r="I541" t="n">
        <v>0</v>
      </c>
      <c r="J541" t="n">
        <v>0</v>
      </c>
      <c r="K541" t="n">
        <v>0</v>
      </c>
      <c r="L541" t="n">
        <v>0</v>
      </c>
      <c r="M541" t="n">
        <v>0</v>
      </c>
      <c r="N541" t="n">
        <v>0</v>
      </c>
      <c r="O541" t="n">
        <v>0</v>
      </c>
      <c r="P541" t="n">
        <v>0</v>
      </c>
      <c r="Q541" t="n">
        <v>0</v>
      </c>
      <c r="R541" s="2" t="inlineStr"/>
    </row>
    <row r="542" ht="15" customHeight="1">
      <c r="A542" t="inlineStr">
        <is>
          <t>A 873-2024</t>
        </is>
      </c>
      <c r="B542" s="1" t="n">
        <v>45301</v>
      </c>
      <c r="C542" s="1" t="n">
        <v>46091</v>
      </c>
      <c r="D542" t="inlineStr">
        <is>
          <t>GOTLANDS LÄN</t>
        </is>
      </c>
      <c r="E542" t="inlineStr">
        <is>
          <t>GOTLAND</t>
        </is>
      </c>
      <c r="G542" t="n">
        <v>2.7</v>
      </c>
      <c r="H542" t="n">
        <v>0</v>
      </c>
      <c r="I542" t="n">
        <v>0</v>
      </c>
      <c r="J542" t="n">
        <v>0</v>
      </c>
      <c r="K542" t="n">
        <v>0</v>
      </c>
      <c r="L542" t="n">
        <v>0</v>
      </c>
      <c r="M542" t="n">
        <v>0</v>
      </c>
      <c r="N542" t="n">
        <v>0</v>
      </c>
      <c r="O542" t="n">
        <v>0</v>
      </c>
      <c r="P542" t="n">
        <v>0</v>
      </c>
      <c r="Q542" t="n">
        <v>0</v>
      </c>
      <c r="R542" s="2" t="inlineStr"/>
    </row>
    <row r="543" ht="15" customHeight="1">
      <c r="A543" t="inlineStr">
        <is>
          <t>A 49411-2023</t>
        </is>
      </c>
      <c r="B543" s="1" t="n">
        <v>45205</v>
      </c>
      <c r="C543" s="1" t="n">
        <v>46091</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60384-2025</t>
        </is>
      </c>
      <c r="B544" s="1" t="n">
        <v>45995</v>
      </c>
      <c r="C544" s="1" t="n">
        <v>46091</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22275-2023</t>
        </is>
      </c>
      <c r="B545" s="1" t="n">
        <v>45070.39875</v>
      </c>
      <c r="C545" s="1" t="n">
        <v>46091</v>
      </c>
      <c r="D545" t="inlineStr">
        <is>
          <t>GOTLANDS LÄN</t>
        </is>
      </c>
      <c r="E545" t="inlineStr">
        <is>
          <t>GOTLAND</t>
        </is>
      </c>
      <c r="G545" t="n">
        <v>7.2</v>
      </c>
      <c r="H545" t="n">
        <v>0</v>
      </c>
      <c r="I545" t="n">
        <v>0</v>
      </c>
      <c r="J545" t="n">
        <v>0</v>
      </c>
      <c r="K545" t="n">
        <v>0</v>
      </c>
      <c r="L545" t="n">
        <v>0</v>
      </c>
      <c r="M545" t="n">
        <v>0</v>
      </c>
      <c r="N545" t="n">
        <v>0</v>
      </c>
      <c r="O545" t="n">
        <v>0</v>
      </c>
      <c r="P545" t="n">
        <v>0</v>
      </c>
      <c r="Q545" t="n">
        <v>0</v>
      </c>
      <c r="R545" s="2" t="inlineStr"/>
    </row>
    <row r="546" ht="15" customHeight="1">
      <c r="A546" t="inlineStr">
        <is>
          <t>A 12322-2025</t>
        </is>
      </c>
      <c r="B546" s="1" t="n">
        <v>45730</v>
      </c>
      <c r="C546" s="1" t="n">
        <v>46091</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4634-2026</t>
        </is>
      </c>
      <c r="B547" s="1" t="n">
        <v>46048.39304398148</v>
      </c>
      <c r="C547" s="1" t="n">
        <v>46091</v>
      </c>
      <c r="D547" t="inlineStr">
        <is>
          <t>GOTLANDS LÄN</t>
        </is>
      </c>
      <c r="E547" t="inlineStr">
        <is>
          <t>GOTLAND</t>
        </is>
      </c>
      <c r="G547" t="n">
        <v>7.8</v>
      </c>
      <c r="H547" t="n">
        <v>0</v>
      </c>
      <c r="I547" t="n">
        <v>0</v>
      </c>
      <c r="J547" t="n">
        <v>0</v>
      </c>
      <c r="K547" t="n">
        <v>0</v>
      </c>
      <c r="L547" t="n">
        <v>0</v>
      </c>
      <c r="M547" t="n">
        <v>0</v>
      </c>
      <c r="N547" t="n">
        <v>0</v>
      </c>
      <c r="O547" t="n">
        <v>0</v>
      </c>
      <c r="P547" t="n">
        <v>0</v>
      </c>
      <c r="Q547" t="n">
        <v>0</v>
      </c>
      <c r="R547" s="2" t="inlineStr"/>
    </row>
    <row r="548" ht="15" customHeight="1">
      <c r="A548" t="inlineStr">
        <is>
          <t>A 14797-2024</t>
        </is>
      </c>
      <c r="B548" s="1" t="n">
        <v>45397.87030092593</v>
      </c>
      <c r="C548" s="1" t="n">
        <v>46091</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999-2024</t>
        </is>
      </c>
      <c r="B549" s="1" t="n">
        <v>45301</v>
      </c>
      <c r="C549" s="1" t="n">
        <v>46091</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61596-2023</t>
        </is>
      </c>
      <c r="B550" s="1" t="n">
        <v>45265</v>
      </c>
      <c r="C550" s="1" t="n">
        <v>46091</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4670-2026</t>
        </is>
      </c>
      <c r="B551" s="1" t="n">
        <v>46048.41733796296</v>
      </c>
      <c r="C551" s="1" t="n">
        <v>46091</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14638-2025</t>
        </is>
      </c>
      <c r="B552" s="1" t="n">
        <v>45742</v>
      </c>
      <c r="C552" s="1" t="n">
        <v>46091</v>
      </c>
      <c r="D552" t="inlineStr">
        <is>
          <t>GOTLANDS LÄN</t>
        </is>
      </c>
      <c r="E552" t="inlineStr">
        <is>
          <t>GOTLAND</t>
        </is>
      </c>
      <c r="G552" t="n">
        <v>13.4</v>
      </c>
      <c r="H552" t="n">
        <v>0</v>
      </c>
      <c r="I552" t="n">
        <v>0</v>
      </c>
      <c r="J552" t="n">
        <v>0</v>
      </c>
      <c r="K552" t="n">
        <v>0</v>
      </c>
      <c r="L552" t="n">
        <v>0</v>
      </c>
      <c r="M552" t="n">
        <v>0</v>
      </c>
      <c r="N552" t="n">
        <v>0</v>
      </c>
      <c r="O552" t="n">
        <v>0</v>
      </c>
      <c r="P552" t="n">
        <v>0</v>
      </c>
      <c r="Q552" t="n">
        <v>0</v>
      </c>
      <c r="R552" s="2" t="inlineStr"/>
    </row>
    <row r="553" ht="15" customHeight="1">
      <c r="A553" t="inlineStr">
        <is>
          <t>A 60675-2021</t>
        </is>
      </c>
      <c r="B553" s="1" t="n">
        <v>44496.64855324074</v>
      </c>
      <c r="C553" s="1" t="n">
        <v>46091</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62754-2025</t>
        </is>
      </c>
      <c r="B554" s="1" t="n">
        <v>46008</v>
      </c>
      <c r="C554" s="1" t="n">
        <v>46091</v>
      </c>
      <c r="D554" t="inlineStr">
        <is>
          <t>GOTLANDS LÄN</t>
        </is>
      </c>
      <c r="E554" t="inlineStr">
        <is>
          <t>GOTLAND</t>
        </is>
      </c>
      <c r="F554" t="inlineStr">
        <is>
          <t>Övriga Aktiebolag</t>
        </is>
      </c>
      <c r="G554" t="n">
        <v>2.9</v>
      </c>
      <c r="H554" t="n">
        <v>0</v>
      </c>
      <c r="I554" t="n">
        <v>0</v>
      </c>
      <c r="J554" t="n">
        <v>0</v>
      </c>
      <c r="K554" t="n">
        <v>0</v>
      </c>
      <c r="L554" t="n">
        <v>0</v>
      </c>
      <c r="M554" t="n">
        <v>0</v>
      </c>
      <c r="N554" t="n">
        <v>0</v>
      </c>
      <c r="O554" t="n">
        <v>0</v>
      </c>
      <c r="P554" t="n">
        <v>0</v>
      </c>
      <c r="Q554" t="n">
        <v>0</v>
      </c>
      <c r="R554" s="2" t="inlineStr"/>
    </row>
    <row r="555" ht="15" customHeight="1">
      <c r="A555" t="inlineStr">
        <is>
          <t>A 37728-2024</t>
        </is>
      </c>
      <c r="B555" s="1" t="n">
        <v>45541</v>
      </c>
      <c r="C555" s="1" t="n">
        <v>46091</v>
      </c>
      <c r="D555" t="inlineStr">
        <is>
          <t>GOTLANDS LÄN</t>
        </is>
      </c>
      <c r="E555" t="inlineStr">
        <is>
          <t>GOTLAND</t>
        </is>
      </c>
      <c r="G555" t="n">
        <v>0.4</v>
      </c>
      <c r="H555" t="n">
        <v>0</v>
      </c>
      <c r="I555" t="n">
        <v>0</v>
      </c>
      <c r="J555" t="n">
        <v>0</v>
      </c>
      <c r="K555" t="n">
        <v>0</v>
      </c>
      <c r="L555" t="n">
        <v>0</v>
      </c>
      <c r="M555" t="n">
        <v>0</v>
      </c>
      <c r="N555" t="n">
        <v>0</v>
      </c>
      <c r="O555" t="n">
        <v>0</v>
      </c>
      <c r="P555" t="n">
        <v>0</v>
      </c>
      <c r="Q555" t="n">
        <v>0</v>
      </c>
      <c r="R555" s="2" t="inlineStr"/>
    </row>
    <row r="556" ht="15" customHeight="1">
      <c r="A556" t="inlineStr">
        <is>
          <t>A 22287-2022</t>
        </is>
      </c>
      <c r="B556" s="1" t="n">
        <v>44712</v>
      </c>
      <c r="C556" s="1" t="n">
        <v>46091</v>
      </c>
      <c r="D556" t="inlineStr">
        <is>
          <t>GOTLANDS LÄN</t>
        </is>
      </c>
      <c r="E556" t="inlineStr">
        <is>
          <t>GOTLAND</t>
        </is>
      </c>
      <c r="G556" t="n">
        <v>6.1</v>
      </c>
      <c r="H556" t="n">
        <v>0</v>
      </c>
      <c r="I556" t="n">
        <v>0</v>
      </c>
      <c r="J556" t="n">
        <v>0</v>
      </c>
      <c r="K556" t="n">
        <v>0</v>
      </c>
      <c r="L556" t="n">
        <v>0</v>
      </c>
      <c r="M556" t="n">
        <v>0</v>
      </c>
      <c r="N556" t="n">
        <v>0</v>
      </c>
      <c r="O556" t="n">
        <v>0</v>
      </c>
      <c r="P556" t="n">
        <v>0</v>
      </c>
      <c r="Q556" t="n">
        <v>0</v>
      </c>
      <c r="R556" s="2" t="inlineStr"/>
    </row>
    <row r="557" ht="15" customHeight="1">
      <c r="A557" t="inlineStr">
        <is>
          <t>A 54074-2022</t>
        </is>
      </c>
      <c r="B557" s="1" t="n">
        <v>44881</v>
      </c>
      <c r="C557" s="1" t="n">
        <v>46091</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65249-2023</t>
        </is>
      </c>
      <c r="B558" s="1" t="n">
        <v>45290</v>
      </c>
      <c r="C558" s="1" t="n">
        <v>46091</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13910-2025</t>
        </is>
      </c>
      <c r="B559" s="1" t="n">
        <v>45737</v>
      </c>
      <c r="C559" s="1" t="n">
        <v>46091</v>
      </c>
      <c r="D559" t="inlineStr">
        <is>
          <t>GOTLANDS LÄN</t>
        </is>
      </c>
      <c r="E559" t="inlineStr">
        <is>
          <t>GOTLAND</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17780-2022</t>
        </is>
      </c>
      <c r="B560" s="1" t="n">
        <v>44682.82622685185</v>
      </c>
      <c r="C560" s="1" t="n">
        <v>46091</v>
      </c>
      <c r="D560" t="inlineStr">
        <is>
          <t>GOTLANDS LÄN</t>
        </is>
      </c>
      <c r="E560" t="inlineStr">
        <is>
          <t>GOTLAND</t>
        </is>
      </c>
      <c r="G560" t="n">
        <v>2.2</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46091</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14536-2021</t>
        </is>
      </c>
      <c r="B562" s="1" t="n">
        <v>44279.66168981481</v>
      </c>
      <c r="C562" s="1" t="n">
        <v>46091</v>
      </c>
      <c r="D562" t="inlineStr">
        <is>
          <t>GOTLANDS LÄN</t>
        </is>
      </c>
      <c r="E562" t="inlineStr">
        <is>
          <t>GOTLAND</t>
        </is>
      </c>
      <c r="G562" t="n">
        <v>8.5</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46091</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42041-2024</t>
        </is>
      </c>
      <c r="B564" s="1" t="n">
        <v>45561</v>
      </c>
      <c r="C564" s="1" t="n">
        <v>46091</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46091</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46091</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46091</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14804-2021</t>
        </is>
      </c>
      <c r="B568" s="1" t="n">
        <v>44280</v>
      </c>
      <c r="C568" s="1" t="n">
        <v>46091</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999-2023</t>
        </is>
      </c>
      <c r="B569" s="1" t="n">
        <v>44935</v>
      </c>
      <c r="C569" s="1" t="n">
        <v>46091</v>
      </c>
      <c r="D569" t="inlineStr">
        <is>
          <t>GOTLANDS LÄN</t>
        </is>
      </c>
      <c r="E569" t="inlineStr">
        <is>
          <t>GOTLAND</t>
        </is>
      </c>
      <c r="G569" t="n">
        <v>4.7</v>
      </c>
      <c r="H569" t="n">
        <v>0</v>
      </c>
      <c r="I569" t="n">
        <v>0</v>
      </c>
      <c r="J569" t="n">
        <v>0</v>
      </c>
      <c r="K569" t="n">
        <v>0</v>
      </c>
      <c r="L569" t="n">
        <v>0</v>
      </c>
      <c r="M569" t="n">
        <v>0</v>
      </c>
      <c r="N569" t="n">
        <v>0</v>
      </c>
      <c r="O569" t="n">
        <v>0</v>
      </c>
      <c r="P569" t="n">
        <v>0</v>
      </c>
      <c r="Q569" t="n">
        <v>0</v>
      </c>
      <c r="R569" s="2" t="inlineStr"/>
    </row>
    <row r="570" ht="15" customHeight="1">
      <c r="A570" t="inlineStr">
        <is>
          <t>A 27602-2023</t>
        </is>
      </c>
      <c r="B570" s="1" t="n">
        <v>45097</v>
      </c>
      <c r="C570" s="1" t="n">
        <v>46091</v>
      </c>
      <c r="D570" t="inlineStr">
        <is>
          <t>GOTLANDS LÄN</t>
        </is>
      </c>
      <c r="E570" t="inlineStr">
        <is>
          <t>GOTLAND</t>
        </is>
      </c>
      <c r="G570" t="n">
        <v>2.7</v>
      </c>
      <c r="H570" t="n">
        <v>0</v>
      </c>
      <c r="I570" t="n">
        <v>0</v>
      </c>
      <c r="J570" t="n">
        <v>0</v>
      </c>
      <c r="K570" t="n">
        <v>0</v>
      </c>
      <c r="L570" t="n">
        <v>0</v>
      </c>
      <c r="M570" t="n">
        <v>0</v>
      </c>
      <c r="N570" t="n">
        <v>0</v>
      </c>
      <c r="O570" t="n">
        <v>0</v>
      </c>
      <c r="P570" t="n">
        <v>0</v>
      </c>
      <c r="Q570" t="n">
        <v>0</v>
      </c>
      <c r="R570" s="2" t="inlineStr"/>
    </row>
    <row r="571" ht="15" customHeight="1">
      <c r="A571" t="inlineStr">
        <is>
          <t>A 4377-2023</t>
        </is>
      </c>
      <c r="B571" s="1" t="n">
        <v>44955.5502662037</v>
      </c>
      <c r="C571" s="1" t="n">
        <v>46091</v>
      </c>
      <c r="D571" t="inlineStr">
        <is>
          <t>GOTLANDS LÄN</t>
        </is>
      </c>
      <c r="E571" t="inlineStr">
        <is>
          <t>GOTLAND</t>
        </is>
      </c>
      <c r="F571" t="inlineStr">
        <is>
          <t>Kyrkan</t>
        </is>
      </c>
      <c r="G571" t="n">
        <v>0.6</v>
      </c>
      <c r="H571" t="n">
        <v>0</v>
      </c>
      <c r="I571" t="n">
        <v>0</v>
      </c>
      <c r="J571" t="n">
        <v>0</v>
      </c>
      <c r="K571" t="n">
        <v>0</v>
      </c>
      <c r="L571" t="n">
        <v>0</v>
      </c>
      <c r="M571" t="n">
        <v>0</v>
      </c>
      <c r="N571" t="n">
        <v>0</v>
      </c>
      <c r="O571" t="n">
        <v>0</v>
      </c>
      <c r="P571" t="n">
        <v>0</v>
      </c>
      <c r="Q571" t="n">
        <v>0</v>
      </c>
      <c r="R571" s="2" t="inlineStr"/>
    </row>
    <row r="572" ht="15" customHeight="1">
      <c r="A572" t="inlineStr">
        <is>
          <t>A 4387-2023</t>
        </is>
      </c>
      <c r="B572" s="1" t="n">
        <v>44955.73359953704</v>
      </c>
      <c r="C572" s="1" t="n">
        <v>46091</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39479-2022</t>
        </is>
      </c>
      <c r="B573" s="1" t="n">
        <v>44818</v>
      </c>
      <c r="C573" s="1" t="n">
        <v>46091</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51963-2024</t>
        </is>
      </c>
      <c r="B574" s="1" t="n">
        <v>45607.64833333333</v>
      </c>
      <c r="C574" s="1" t="n">
        <v>46091</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811-2023</t>
        </is>
      </c>
      <c r="B575" s="1" t="n">
        <v>44931</v>
      </c>
      <c r="C575" s="1" t="n">
        <v>46091</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46389-2021</t>
        </is>
      </c>
      <c r="B576" s="1" t="n">
        <v>44443</v>
      </c>
      <c r="C576" s="1" t="n">
        <v>46091</v>
      </c>
      <c r="D576" t="inlineStr">
        <is>
          <t>GOTLANDS LÄN</t>
        </is>
      </c>
      <c r="E576" t="inlineStr">
        <is>
          <t>GOTLAND</t>
        </is>
      </c>
      <c r="F576" t="inlineStr">
        <is>
          <t>Kyrkan</t>
        </is>
      </c>
      <c r="G576" t="n">
        <v>2.1</v>
      </c>
      <c r="H576" t="n">
        <v>0</v>
      </c>
      <c r="I576" t="n">
        <v>0</v>
      </c>
      <c r="J576" t="n">
        <v>0</v>
      </c>
      <c r="K576" t="n">
        <v>0</v>
      </c>
      <c r="L576" t="n">
        <v>0</v>
      </c>
      <c r="M576" t="n">
        <v>0</v>
      </c>
      <c r="N576" t="n">
        <v>0</v>
      </c>
      <c r="O576" t="n">
        <v>0</v>
      </c>
      <c r="P576" t="n">
        <v>0</v>
      </c>
      <c r="Q576" t="n">
        <v>0</v>
      </c>
      <c r="R576" s="2" t="inlineStr"/>
    </row>
    <row r="577" ht="15" customHeight="1">
      <c r="A577" t="inlineStr">
        <is>
          <t>A 26810-2021</t>
        </is>
      </c>
      <c r="B577" s="1" t="n">
        <v>44349.55087962963</v>
      </c>
      <c r="C577" s="1" t="n">
        <v>46091</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5923-2023</t>
        </is>
      </c>
      <c r="B578" s="1" t="n">
        <v>44963.69503472222</v>
      </c>
      <c r="C578" s="1" t="n">
        <v>46091</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33853-2024</t>
        </is>
      </c>
      <c r="B579" s="1" t="n">
        <v>45520.64298611111</v>
      </c>
      <c r="C579" s="1" t="n">
        <v>46091</v>
      </c>
      <c r="D579" t="inlineStr">
        <is>
          <t>GOTLANDS LÄN</t>
        </is>
      </c>
      <c r="E579" t="inlineStr">
        <is>
          <t>GOTLAND</t>
        </is>
      </c>
      <c r="G579" t="n">
        <v>3.9</v>
      </c>
      <c r="H579" t="n">
        <v>0</v>
      </c>
      <c r="I579" t="n">
        <v>0</v>
      </c>
      <c r="J579" t="n">
        <v>0</v>
      </c>
      <c r="K579" t="n">
        <v>0</v>
      </c>
      <c r="L579" t="n">
        <v>0</v>
      </c>
      <c r="M579" t="n">
        <v>0</v>
      </c>
      <c r="N579" t="n">
        <v>0</v>
      </c>
      <c r="O579" t="n">
        <v>0</v>
      </c>
      <c r="P579" t="n">
        <v>0</v>
      </c>
      <c r="Q579" t="n">
        <v>0</v>
      </c>
      <c r="R579" s="2" t="inlineStr"/>
    </row>
    <row r="580" ht="15" customHeight="1">
      <c r="A580" t="inlineStr">
        <is>
          <t>A 18918-2025</t>
        </is>
      </c>
      <c r="B580" s="1" t="n">
        <v>45764</v>
      </c>
      <c r="C580" s="1" t="n">
        <v>46091</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46091</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44988.49543981482</v>
      </c>
      <c r="C582" s="1" t="n">
        <v>46091</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2719-2023</t>
        </is>
      </c>
      <c r="B583" s="1" t="n">
        <v>44944.55361111111</v>
      </c>
      <c r="C583" s="1" t="n">
        <v>46091</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26891-2024</t>
        </is>
      </c>
      <c r="B584" s="1" t="n">
        <v>45470.65540509259</v>
      </c>
      <c r="C584" s="1" t="n">
        <v>46091</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42007-2023</t>
        </is>
      </c>
      <c r="B585" s="1" t="n">
        <v>45177</v>
      </c>
      <c r="C585" s="1" t="n">
        <v>46091</v>
      </c>
      <c r="D585" t="inlineStr">
        <is>
          <t>GOTLANDS LÄN</t>
        </is>
      </c>
      <c r="E585" t="inlineStr">
        <is>
          <t>GOTLAND</t>
        </is>
      </c>
      <c r="G585" t="n">
        <v>0.8</v>
      </c>
      <c r="H585" t="n">
        <v>0</v>
      </c>
      <c r="I585" t="n">
        <v>0</v>
      </c>
      <c r="J585" t="n">
        <v>0</v>
      </c>
      <c r="K585" t="n">
        <v>0</v>
      </c>
      <c r="L585" t="n">
        <v>0</v>
      </c>
      <c r="M585" t="n">
        <v>0</v>
      </c>
      <c r="N585" t="n">
        <v>0</v>
      </c>
      <c r="O585" t="n">
        <v>0</v>
      </c>
      <c r="P585" t="n">
        <v>0</v>
      </c>
      <c r="Q585" t="n">
        <v>0</v>
      </c>
      <c r="R585" s="2" t="inlineStr"/>
    </row>
    <row r="586" ht="15" customHeight="1">
      <c r="A586" t="inlineStr">
        <is>
          <t>A 9887-2025</t>
        </is>
      </c>
      <c r="B586" s="1" t="n">
        <v>45716</v>
      </c>
      <c r="C586" s="1" t="n">
        <v>46091</v>
      </c>
      <c r="D586" t="inlineStr">
        <is>
          <t>GOTLANDS LÄN</t>
        </is>
      </c>
      <c r="E586" t="inlineStr">
        <is>
          <t>GOTLAND</t>
        </is>
      </c>
      <c r="G586" t="n">
        <v>7.5</v>
      </c>
      <c r="H586" t="n">
        <v>0</v>
      </c>
      <c r="I586" t="n">
        <v>0</v>
      </c>
      <c r="J586" t="n">
        <v>0</v>
      </c>
      <c r="K586" t="n">
        <v>0</v>
      </c>
      <c r="L586" t="n">
        <v>0</v>
      </c>
      <c r="M586" t="n">
        <v>0</v>
      </c>
      <c r="N586" t="n">
        <v>0</v>
      </c>
      <c r="O586" t="n">
        <v>0</v>
      </c>
      <c r="P586" t="n">
        <v>0</v>
      </c>
      <c r="Q586" t="n">
        <v>0</v>
      </c>
      <c r="R586" s="2" t="inlineStr"/>
    </row>
    <row r="587" ht="15" customHeight="1">
      <c r="A587" t="inlineStr">
        <is>
          <t>A 38165-2023</t>
        </is>
      </c>
      <c r="B587" s="1" t="n">
        <v>45161</v>
      </c>
      <c r="C587" s="1" t="n">
        <v>46091</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27596-2023</t>
        </is>
      </c>
      <c r="B588" s="1" t="n">
        <v>45097</v>
      </c>
      <c r="C588" s="1" t="n">
        <v>46091</v>
      </c>
      <c r="D588" t="inlineStr">
        <is>
          <t>GOTLANDS LÄN</t>
        </is>
      </c>
      <c r="E588" t="inlineStr">
        <is>
          <t>GOTLAND</t>
        </is>
      </c>
      <c r="G588" t="n">
        <v>3.6</v>
      </c>
      <c r="H588" t="n">
        <v>0</v>
      </c>
      <c r="I588" t="n">
        <v>0</v>
      </c>
      <c r="J588" t="n">
        <v>0</v>
      </c>
      <c r="K588" t="n">
        <v>0</v>
      </c>
      <c r="L588" t="n">
        <v>0</v>
      </c>
      <c r="M588" t="n">
        <v>0</v>
      </c>
      <c r="N588" t="n">
        <v>0</v>
      </c>
      <c r="O588" t="n">
        <v>0</v>
      </c>
      <c r="P588" t="n">
        <v>0</v>
      </c>
      <c r="Q588" t="n">
        <v>0</v>
      </c>
      <c r="R588" s="2" t="inlineStr"/>
    </row>
    <row r="589" ht="15" customHeight="1">
      <c r="A589" t="inlineStr">
        <is>
          <t>A 24825-2024</t>
        </is>
      </c>
      <c r="B589" s="1" t="n">
        <v>45461</v>
      </c>
      <c r="C589" s="1" t="n">
        <v>46091</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6696-2023</t>
        </is>
      </c>
      <c r="B590" s="1" t="n">
        <v>44966.66425925926</v>
      </c>
      <c r="C590" s="1" t="n">
        <v>46091</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21247-2022</t>
        </is>
      </c>
      <c r="B591" s="1" t="n">
        <v>44705.38832175926</v>
      </c>
      <c r="C591" s="1" t="n">
        <v>46091</v>
      </c>
      <c r="D591" t="inlineStr">
        <is>
          <t>GOTLANDS LÄN</t>
        </is>
      </c>
      <c r="E591" t="inlineStr">
        <is>
          <t>GOTLAND</t>
        </is>
      </c>
      <c r="G591" t="n">
        <v>16.2</v>
      </c>
      <c r="H591" t="n">
        <v>0</v>
      </c>
      <c r="I591" t="n">
        <v>0</v>
      </c>
      <c r="J591" t="n">
        <v>0</v>
      </c>
      <c r="K591" t="n">
        <v>0</v>
      </c>
      <c r="L591" t="n">
        <v>0</v>
      </c>
      <c r="M591" t="n">
        <v>0</v>
      </c>
      <c r="N591" t="n">
        <v>0</v>
      </c>
      <c r="O591" t="n">
        <v>0</v>
      </c>
      <c r="P591" t="n">
        <v>0</v>
      </c>
      <c r="Q591" t="n">
        <v>0</v>
      </c>
      <c r="R591" s="2" t="inlineStr"/>
    </row>
    <row r="592" ht="15" customHeight="1">
      <c r="A592" t="inlineStr">
        <is>
          <t>A 456-2023</t>
        </is>
      </c>
      <c r="B592" s="1" t="n">
        <v>44929.87122685185</v>
      </c>
      <c r="C592" s="1" t="n">
        <v>46091</v>
      </c>
      <c r="D592" t="inlineStr">
        <is>
          <t>GOTLANDS LÄN</t>
        </is>
      </c>
      <c r="E592" t="inlineStr">
        <is>
          <t>GOTLAND</t>
        </is>
      </c>
      <c r="G592" t="n">
        <v>3.2</v>
      </c>
      <c r="H592" t="n">
        <v>0</v>
      </c>
      <c r="I592" t="n">
        <v>0</v>
      </c>
      <c r="J592" t="n">
        <v>0</v>
      </c>
      <c r="K592" t="n">
        <v>0</v>
      </c>
      <c r="L592" t="n">
        <v>0</v>
      </c>
      <c r="M592" t="n">
        <v>0</v>
      </c>
      <c r="N592" t="n">
        <v>0</v>
      </c>
      <c r="O592" t="n">
        <v>0</v>
      </c>
      <c r="P592" t="n">
        <v>0</v>
      </c>
      <c r="Q592" t="n">
        <v>0</v>
      </c>
      <c r="R592" s="2" t="inlineStr"/>
    </row>
    <row r="593" ht="15" customHeight="1">
      <c r="A593" t="inlineStr">
        <is>
          <t>A 2714-2023</t>
        </is>
      </c>
      <c r="B593" s="1" t="n">
        <v>44944.54896990741</v>
      </c>
      <c r="C593" s="1" t="n">
        <v>46091</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4421-2024</t>
        </is>
      </c>
      <c r="B594" s="1" t="n">
        <v>45327.45173611111</v>
      </c>
      <c r="C594" s="1" t="n">
        <v>46091</v>
      </c>
      <c r="D594" t="inlineStr">
        <is>
          <t>GOTLANDS LÄN</t>
        </is>
      </c>
      <c r="E594" t="inlineStr">
        <is>
          <t>GOTLAND</t>
        </is>
      </c>
      <c r="G594" t="n">
        <v>5.1</v>
      </c>
      <c r="H594" t="n">
        <v>0</v>
      </c>
      <c r="I594" t="n">
        <v>0</v>
      </c>
      <c r="J594" t="n">
        <v>0</v>
      </c>
      <c r="K594" t="n">
        <v>0</v>
      </c>
      <c r="L594" t="n">
        <v>0</v>
      </c>
      <c r="M594" t="n">
        <v>0</v>
      </c>
      <c r="N594" t="n">
        <v>0</v>
      </c>
      <c r="O594" t="n">
        <v>0</v>
      </c>
      <c r="P594" t="n">
        <v>0</v>
      </c>
      <c r="Q594" t="n">
        <v>0</v>
      </c>
      <c r="R594" s="2" t="inlineStr"/>
    </row>
    <row r="595" ht="15" customHeight="1">
      <c r="A595" t="inlineStr">
        <is>
          <t>A 51782-2023</t>
        </is>
      </c>
      <c r="B595" s="1" t="n">
        <v>45222.80952546297</v>
      </c>
      <c r="C595" s="1" t="n">
        <v>46091</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54268-2022</t>
        </is>
      </c>
      <c r="B596" s="1" t="n">
        <v>44882</v>
      </c>
      <c r="C596" s="1" t="n">
        <v>46091</v>
      </c>
      <c r="D596" t="inlineStr">
        <is>
          <t>GOTLANDS LÄN</t>
        </is>
      </c>
      <c r="E596" t="inlineStr">
        <is>
          <t>GOTLAND</t>
        </is>
      </c>
      <c r="G596" t="n">
        <v>2.7</v>
      </c>
      <c r="H596" t="n">
        <v>0</v>
      </c>
      <c r="I596" t="n">
        <v>0</v>
      </c>
      <c r="J596" t="n">
        <v>0</v>
      </c>
      <c r="K596" t="n">
        <v>0</v>
      </c>
      <c r="L596" t="n">
        <v>0</v>
      </c>
      <c r="M596" t="n">
        <v>0</v>
      </c>
      <c r="N596" t="n">
        <v>0</v>
      </c>
      <c r="O596" t="n">
        <v>0</v>
      </c>
      <c r="P596" t="n">
        <v>0</v>
      </c>
      <c r="Q596" t="n">
        <v>0</v>
      </c>
      <c r="R596" s="2" t="inlineStr"/>
    </row>
    <row r="597" ht="15" customHeight="1">
      <c r="A597" t="inlineStr">
        <is>
          <t>A 57534-2022</t>
        </is>
      </c>
      <c r="B597" s="1" t="n">
        <v>44896</v>
      </c>
      <c r="C597" s="1" t="n">
        <v>46091</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25866-2022</t>
        </is>
      </c>
      <c r="B598" s="1" t="n">
        <v>44733</v>
      </c>
      <c r="C598" s="1" t="n">
        <v>46091</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43229-2023</t>
        </is>
      </c>
      <c r="B599" s="1" t="n">
        <v>45183.46704861111</v>
      </c>
      <c r="C599" s="1" t="n">
        <v>46091</v>
      </c>
      <c r="D599" t="inlineStr">
        <is>
          <t>GOTLANDS LÄN</t>
        </is>
      </c>
      <c r="E599" t="inlineStr">
        <is>
          <t>GOTLAND</t>
        </is>
      </c>
      <c r="G599" t="n">
        <v>7.1</v>
      </c>
      <c r="H599" t="n">
        <v>0</v>
      </c>
      <c r="I599" t="n">
        <v>0</v>
      </c>
      <c r="J599" t="n">
        <v>0</v>
      </c>
      <c r="K599" t="n">
        <v>0</v>
      </c>
      <c r="L599" t="n">
        <v>0</v>
      </c>
      <c r="M599" t="n">
        <v>0</v>
      </c>
      <c r="N599" t="n">
        <v>0</v>
      </c>
      <c r="O599" t="n">
        <v>0</v>
      </c>
      <c r="P599" t="n">
        <v>0</v>
      </c>
      <c r="Q599" t="n">
        <v>0</v>
      </c>
      <c r="R599" s="2" t="inlineStr"/>
    </row>
    <row r="600" ht="15" customHeight="1">
      <c r="A600" t="inlineStr">
        <is>
          <t>A 1175-2025</t>
        </is>
      </c>
      <c r="B600" s="1" t="n">
        <v>45667.34449074074</v>
      </c>
      <c r="C600" s="1" t="n">
        <v>46091</v>
      </c>
      <c r="D600" t="inlineStr">
        <is>
          <t>GOTLANDS LÄN</t>
        </is>
      </c>
      <c r="E600" t="inlineStr">
        <is>
          <t>GOTLAND</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27095-2022</t>
        </is>
      </c>
      <c r="B601" s="1" t="n">
        <v>44741</v>
      </c>
      <c r="C601" s="1" t="n">
        <v>46091</v>
      </c>
      <c r="D601" t="inlineStr">
        <is>
          <t>GOTLANDS LÄN</t>
        </is>
      </c>
      <c r="E601" t="inlineStr">
        <is>
          <t>GOTLAND</t>
        </is>
      </c>
      <c r="F601" t="inlineStr">
        <is>
          <t>Övriga Aktiebolag</t>
        </is>
      </c>
      <c r="G601" t="n">
        <v>2.9</v>
      </c>
      <c r="H601" t="n">
        <v>0</v>
      </c>
      <c r="I601" t="n">
        <v>0</v>
      </c>
      <c r="J601" t="n">
        <v>0</v>
      </c>
      <c r="K601" t="n">
        <v>0</v>
      </c>
      <c r="L601" t="n">
        <v>0</v>
      </c>
      <c r="M601" t="n">
        <v>0</v>
      </c>
      <c r="N601" t="n">
        <v>0</v>
      </c>
      <c r="O601" t="n">
        <v>0</v>
      </c>
      <c r="P601" t="n">
        <v>0</v>
      </c>
      <c r="Q601" t="n">
        <v>0</v>
      </c>
      <c r="R601" s="2" t="inlineStr"/>
    </row>
    <row r="602" ht="15" customHeight="1">
      <c r="A602" t="inlineStr">
        <is>
          <t>A 22899-2023</t>
        </is>
      </c>
      <c r="B602" s="1" t="n">
        <v>45072</v>
      </c>
      <c r="C602" s="1" t="n">
        <v>46091</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23978-2023</t>
        </is>
      </c>
      <c r="B603" s="1" t="n">
        <v>45078</v>
      </c>
      <c r="C603" s="1" t="n">
        <v>46091</v>
      </c>
      <c r="D603" t="inlineStr">
        <is>
          <t>GOTLANDS LÄN</t>
        </is>
      </c>
      <c r="E603" t="inlineStr">
        <is>
          <t>GOTLAND</t>
        </is>
      </c>
      <c r="F603" t="inlineStr">
        <is>
          <t>Naturvårdsverket</t>
        </is>
      </c>
      <c r="G603" t="n">
        <v>1.7</v>
      </c>
      <c r="H603" t="n">
        <v>0</v>
      </c>
      <c r="I603" t="n">
        <v>0</v>
      </c>
      <c r="J603" t="n">
        <v>0</v>
      </c>
      <c r="K603" t="n">
        <v>0</v>
      </c>
      <c r="L603" t="n">
        <v>0</v>
      </c>
      <c r="M603" t="n">
        <v>0</v>
      </c>
      <c r="N603" t="n">
        <v>0</v>
      </c>
      <c r="O603" t="n">
        <v>0</v>
      </c>
      <c r="P603" t="n">
        <v>0</v>
      </c>
      <c r="Q603" t="n">
        <v>0</v>
      </c>
      <c r="R603" s="2" t="inlineStr"/>
    </row>
    <row r="604" ht="15" customHeight="1">
      <c r="A604" t="inlineStr">
        <is>
          <t>A 34407-2023</t>
        </is>
      </c>
      <c r="B604" s="1" t="n">
        <v>45132</v>
      </c>
      <c r="C604" s="1" t="n">
        <v>46091</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11013-2024</t>
        </is>
      </c>
      <c r="B605" s="1" t="n">
        <v>45370</v>
      </c>
      <c r="C605" s="1" t="n">
        <v>46091</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27694-2024</t>
        </is>
      </c>
      <c r="B606" s="1" t="n">
        <v>45475</v>
      </c>
      <c r="C606" s="1" t="n">
        <v>46091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15083-2025</t>
        </is>
      </c>
      <c r="B607" s="1" t="n">
        <v>45743</v>
      </c>
      <c r="C607" s="1" t="n">
        <v>46091</v>
      </c>
      <c r="D607" t="inlineStr">
        <is>
          <t>GOTLANDS LÄN</t>
        </is>
      </c>
      <c r="E607" t="inlineStr">
        <is>
          <t>GOTLAND</t>
        </is>
      </c>
      <c r="G607" t="n">
        <v>2.3</v>
      </c>
      <c r="H607" t="n">
        <v>0</v>
      </c>
      <c r="I607" t="n">
        <v>0</v>
      </c>
      <c r="J607" t="n">
        <v>0</v>
      </c>
      <c r="K607" t="n">
        <v>0</v>
      </c>
      <c r="L607" t="n">
        <v>0</v>
      </c>
      <c r="M607" t="n">
        <v>0</v>
      </c>
      <c r="N607" t="n">
        <v>0</v>
      </c>
      <c r="O607" t="n">
        <v>0</v>
      </c>
      <c r="P607" t="n">
        <v>0</v>
      </c>
      <c r="Q607" t="n">
        <v>0</v>
      </c>
      <c r="R607" s="2" t="inlineStr"/>
    </row>
    <row r="608" ht="15" customHeight="1">
      <c r="A608" t="inlineStr">
        <is>
          <t>A 13037-2025</t>
        </is>
      </c>
      <c r="B608" s="1" t="n">
        <v>45734</v>
      </c>
      <c r="C608" s="1" t="n">
        <v>46091</v>
      </c>
      <c r="D608" t="inlineStr">
        <is>
          <t>GOTLANDS LÄN</t>
        </is>
      </c>
      <c r="E608" t="inlineStr">
        <is>
          <t>GOTLAND</t>
        </is>
      </c>
      <c r="G608" t="n">
        <v>9.5</v>
      </c>
      <c r="H608" t="n">
        <v>0</v>
      </c>
      <c r="I608" t="n">
        <v>0</v>
      </c>
      <c r="J608" t="n">
        <v>0</v>
      </c>
      <c r="K608" t="n">
        <v>0</v>
      </c>
      <c r="L608" t="n">
        <v>0</v>
      </c>
      <c r="M608" t="n">
        <v>0</v>
      </c>
      <c r="N608" t="n">
        <v>0</v>
      </c>
      <c r="O608" t="n">
        <v>0</v>
      </c>
      <c r="P608" t="n">
        <v>0</v>
      </c>
      <c r="Q608" t="n">
        <v>0</v>
      </c>
      <c r="R608" s="2" t="inlineStr"/>
    </row>
    <row r="609" ht="15" customHeight="1">
      <c r="A609" t="inlineStr">
        <is>
          <t>A 458-2023</t>
        </is>
      </c>
      <c r="B609" s="1" t="n">
        <v>44929</v>
      </c>
      <c r="C609" s="1" t="n">
        <v>46091</v>
      </c>
      <c r="D609" t="inlineStr">
        <is>
          <t>GOTLANDS LÄN</t>
        </is>
      </c>
      <c r="E609" t="inlineStr">
        <is>
          <t>GOTLAND</t>
        </is>
      </c>
      <c r="G609" t="n">
        <v>3.6</v>
      </c>
      <c r="H609" t="n">
        <v>0</v>
      </c>
      <c r="I609" t="n">
        <v>0</v>
      </c>
      <c r="J609" t="n">
        <v>0</v>
      </c>
      <c r="K609" t="n">
        <v>0</v>
      </c>
      <c r="L609" t="n">
        <v>0</v>
      </c>
      <c r="M609" t="n">
        <v>0</v>
      </c>
      <c r="N609" t="n">
        <v>0</v>
      </c>
      <c r="O609" t="n">
        <v>0</v>
      </c>
      <c r="P609" t="n">
        <v>0</v>
      </c>
      <c r="Q609" t="n">
        <v>0</v>
      </c>
      <c r="R609" s="2" t="inlineStr"/>
    </row>
    <row r="610" ht="15" customHeight="1">
      <c r="A610" t="inlineStr">
        <is>
          <t>A 44228-2022</t>
        </is>
      </c>
      <c r="B610" s="1" t="n">
        <v>44839.51599537037</v>
      </c>
      <c r="C610" s="1" t="n">
        <v>46091</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58132-2023</t>
        </is>
      </c>
      <c r="B611" s="1" t="n">
        <v>45250</v>
      </c>
      <c r="C611" s="1" t="n">
        <v>46091</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49884-2023</t>
        </is>
      </c>
      <c r="B612" s="1" t="n">
        <v>45213</v>
      </c>
      <c r="C612" s="1" t="n">
        <v>46091</v>
      </c>
      <c r="D612" t="inlineStr">
        <is>
          <t>GOTLANDS LÄN</t>
        </is>
      </c>
      <c r="E612" t="inlineStr">
        <is>
          <t>GOTLAND</t>
        </is>
      </c>
      <c r="G612" t="n">
        <v>8.9</v>
      </c>
      <c r="H612" t="n">
        <v>0</v>
      </c>
      <c r="I612" t="n">
        <v>0</v>
      </c>
      <c r="J612" t="n">
        <v>0</v>
      </c>
      <c r="K612" t="n">
        <v>0</v>
      </c>
      <c r="L612" t="n">
        <v>0</v>
      </c>
      <c r="M612" t="n">
        <v>0</v>
      </c>
      <c r="N612" t="n">
        <v>0</v>
      </c>
      <c r="O612" t="n">
        <v>0</v>
      </c>
      <c r="P612" t="n">
        <v>0</v>
      </c>
      <c r="Q612" t="n">
        <v>0</v>
      </c>
      <c r="R612" s="2" t="inlineStr"/>
    </row>
    <row r="613" ht="15" customHeight="1">
      <c r="A613" t="inlineStr">
        <is>
          <t>A 876-2024</t>
        </is>
      </c>
      <c r="B613" s="1" t="n">
        <v>45301</v>
      </c>
      <c r="C613" s="1" t="n">
        <v>46091</v>
      </c>
      <c r="D613" t="inlineStr">
        <is>
          <t>GOTLANDS LÄN</t>
        </is>
      </c>
      <c r="E613" t="inlineStr">
        <is>
          <t>GOTLAND</t>
        </is>
      </c>
      <c r="G613" t="n">
        <v>5.3</v>
      </c>
      <c r="H613" t="n">
        <v>0</v>
      </c>
      <c r="I613" t="n">
        <v>0</v>
      </c>
      <c r="J613" t="n">
        <v>0</v>
      </c>
      <c r="K613" t="n">
        <v>0</v>
      </c>
      <c r="L613" t="n">
        <v>0</v>
      </c>
      <c r="M613" t="n">
        <v>0</v>
      </c>
      <c r="N613" t="n">
        <v>0</v>
      </c>
      <c r="O613" t="n">
        <v>0</v>
      </c>
      <c r="P613" t="n">
        <v>0</v>
      </c>
      <c r="Q613" t="n">
        <v>0</v>
      </c>
      <c r="R613" s="2" t="inlineStr"/>
    </row>
    <row r="614" ht="15" customHeight="1">
      <c r="A614" t="inlineStr">
        <is>
          <t>A 22704-2023</t>
        </is>
      </c>
      <c r="B614" s="1" t="n">
        <v>45071</v>
      </c>
      <c r="C614" s="1" t="n">
        <v>46091</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28425-2023</t>
        </is>
      </c>
      <c r="B615" s="1" t="n">
        <v>45102</v>
      </c>
      <c r="C615" s="1" t="n">
        <v>46091</v>
      </c>
      <c r="D615" t="inlineStr">
        <is>
          <t>GOTLANDS LÄN</t>
        </is>
      </c>
      <c r="E615" t="inlineStr">
        <is>
          <t>GOTLAND</t>
        </is>
      </c>
      <c r="G615" t="n">
        <v>0.5</v>
      </c>
      <c r="H615" t="n">
        <v>0</v>
      </c>
      <c r="I615" t="n">
        <v>0</v>
      </c>
      <c r="J615" t="n">
        <v>0</v>
      </c>
      <c r="K615" t="n">
        <v>0</v>
      </c>
      <c r="L615" t="n">
        <v>0</v>
      </c>
      <c r="M615" t="n">
        <v>0</v>
      </c>
      <c r="N615" t="n">
        <v>0</v>
      </c>
      <c r="O615" t="n">
        <v>0</v>
      </c>
      <c r="P615" t="n">
        <v>0</v>
      </c>
      <c r="Q615" t="n">
        <v>0</v>
      </c>
      <c r="R615" s="2" t="inlineStr"/>
    </row>
    <row r="616" ht="15" customHeight="1">
      <c r="A616" t="inlineStr">
        <is>
          <t>A 58476-2022</t>
        </is>
      </c>
      <c r="B616" s="1" t="n">
        <v>44902</v>
      </c>
      <c r="C616" s="1" t="n">
        <v>46091</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43200-2023</t>
        </is>
      </c>
      <c r="B617" s="1" t="n">
        <v>45183</v>
      </c>
      <c r="C617" s="1" t="n">
        <v>46091</v>
      </c>
      <c r="D617" t="inlineStr">
        <is>
          <t>GOTLANDS LÄN</t>
        </is>
      </c>
      <c r="E617" t="inlineStr">
        <is>
          <t>GOTLAND</t>
        </is>
      </c>
      <c r="G617" t="n">
        <v>0.5</v>
      </c>
      <c r="H617" t="n">
        <v>0</v>
      </c>
      <c r="I617" t="n">
        <v>0</v>
      </c>
      <c r="J617" t="n">
        <v>0</v>
      </c>
      <c r="K617" t="n">
        <v>0</v>
      </c>
      <c r="L617" t="n">
        <v>0</v>
      </c>
      <c r="M617" t="n">
        <v>0</v>
      </c>
      <c r="N617" t="n">
        <v>0</v>
      </c>
      <c r="O617" t="n">
        <v>0</v>
      </c>
      <c r="P617" t="n">
        <v>0</v>
      </c>
      <c r="Q617" t="n">
        <v>0</v>
      </c>
      <c r="R617" s="2" t="inlineStr"/>
    </row>
    <row r="618" ht="15" customHeight="1">
      <c r="A618" t="inlineStr">
        <is>
          <t>A 43223-2023</t>
        </is>
      </c>
      <c r="B618" s="1" t="n">
        <v>45183.45642361111</v>
      </c>
      <c r="C618" s="1" t="n">
        <v>46091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12327-2025</t>
        </is>
      </c>
      <c r="B619" s="1" t="n">
        <v>45730</v>
      </c>
      <c r="C619" s="1" t="n">
        <v>46091</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3431-2025</t>
        </is>
      </c>
      <c r="B620" s="1" t="n">
        <v>45680.42935185185</v>
      </c>
      <c r="C620" s="1" t="n">
        <v>46091</v>
      </c>
      <c r="D620" t="inlineStr">
        <is>
          <t>GOTLANDS LÄN</t>
        </is>
      </c>
      <c r="E620" t="inlineStr">
        <is>
          <t>GOTLAND</t>
        </is>
      </c>
      <c r="G620" t="n">
        <v>4.8</v>
      </c>
      <c r="H620" t="n">
        <v>0</v>
      </c>
      <c r="I620" t="n">
        <v>0</v>
      </c>
      <c r="J620" t="n">
        <v>0</v>
      </c>
      <c r="K620" t="n">
        <v>0</v>
      </c>
      <c r="L620" t="n">
        <v>0</v>
      </c>
      <c r="M620" t="n">
        <v>0</v>
      </c>
      <c r="N620" t="n">
        <v>0</v>
      </c>
      <c r="O620" t="n">
        <v>0</v>
      </c>
      <c r="P620" t="n">
        <v>0</v>
      </c>
      <c r="Q620" t="n">
        <v>0</v>
      </c>
      <c r="R620" s="2" t="inlineStr"/>
    </row>
    <row r="621" ht="15" customHeight="1">
      <c r="A621" t="inlineStr">
        <is>
          <t>A 12209-2024</t>
        </is>
      </c>
      <c r="B621" s="1" t="n">
        <v>45378</v>
      </c>
      <c r="C621" s="1" t="n">
        <v>46091</v>
      </c>
      <c r="D621" t="inlineStr">
        <is>
          <t>GOTLANDS LÄN</t>
        </is>
      </c>
      <c r="E621" t="inlineStr">
        <is>
          <t>GOTLAND</t>
        </is>
      </c>
      <c r="G621" t="n">
        <v>5.3</v>
      </c>
      <c r="H621" t="n">
        <v>0</v>
      </c>
      <c r="I621" t="n">
        <v>0</v>
      </c>
      <c r="J621" t="n">
        <v>0</v>
      </c>
      <c r="K621" t="n">
        <v>0</v>
      </c>
      <c r="L621" t="n">
        <v>0</v>
      </c>
      <c r="M621" t="n">
        <v>0</v>
      </c>
      <c r="N621" t="n">
        <v>0</v>
      </c>
      <c r="O621" t="n">
        <v>0</v>
      </c>
      <c r="P621" t="n">
        <v>0</v>
      </c>
      <c r="Q621" t="n">
        <v>0</v>
      </c>
      <c r="R621" s="2" t="inlineStr"/>
    </row>
    <row r="622" ht="15" customHeight="1">
      <c r="A622" t="inlineStr">
        <is>
          <t>A 12210-2024</t>
        </is>
      </c>
      <c r="B622" s="1" t="n">
        <v>45378</v>
      </c>
      <c r="C622" s="1" t="n">
        <v>46091</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1364-2025</t>
        </is>
      </c>
      <c r="B623" s="1" t="n">
        <v>45667.63929398148</v>
      </c>
      <c r="C623" s="1" t="n">
        <v>46091</v>
      </c>
      <c r="D623" t="inlineStr">
        <is>
          <t>GOTLANDS LÄN</t>
        </is>
      </c>
      <c r="E623" t="inlineStr">
        <is>
          <t>GOTLAND</t>
        </is>
      </c>
      <c r="G623" t="n">
        <v>1.2</v>
      </c>
      <c r="H623" t="n">
        <v>0</v>
      </c>
      <c r="I623" t="n">
        <v>0</v>
      </c>
      <c r="J623" t="n">
        <v>0</v>
      </c>
      <c r="K623" t="n">
        <v>0</v>
      </c>
      <c r="L623" t="n">
        <v>0</v>
      </c>
      <c r="M623" t="n">
        <v>0</v>
      </c>
      <c r="N623" t="n">
        <v>0</v>
      </c>
      <c r="O623" t="n">
        <v>0</v>
      </c>
      <c r="P623" t="n">
        <v>0</v>
      </c>
      <c r="Q623" t="n">
        <v>0</v>
      </c>
      <c r="R623" s="2" t="inlineStr"/>
    </row>
    <row r="624" ht="15" customHeight="1">
      <c r="A624" t="inlineStr">
        <is>
          <t>A 15042-2025</t>
        </is>
      </c>
      <c r="B624" s="1" t="n">
        <v>45743</v>
      </c>
      <c r="C624" s="1" t="n">
        <v>46091</v>
      </c>
      <c r="D624" t="inlineStr">
        <is>
          <t>GOTLANDS LÄN</t>
        </is>
      </c>
      <c r="E624" t="inlineStr">
        <is>
          <t>GOTLAND</t>
        </is>
      </c>
      <c r="G624" t="n">
        <v>8.5</v>
      </c>
      <c r="H624" t="n">
        <v>0</v>
      </c>
      <c r="I624" t="n">
        <v>0</v>
      </c>
      <c r="J624" t="n">
        <v>0</v>
      </c>
      <c r="K624" t="n">
        <v>0</v>
      </c>
      <c r="L624" t="n">
        <v>0</v>
      </c>
      <c r="M624" t="n">
        <v>0</v>
      </c>
      <c r="N624" t="n">
        <v>0</v>
      </c>
      <c r="O624" t="n">
        <v>0</v>
      </c>
      <c r="P624" t="n">
        <v>0</v>
      </c>
      <c r="Q624" t="n">
        <v>0</v>
      </c>
      <c r="R624" s="2" t="inlineStr"/>
    </row>
    <row r="625" ht="15" customHeight="1">
      <c r="A625" t="inlineStr">
        <is>
          <t>A 2180-2025</t>
        </is>
      </c>
      <c r="B625" s="1" t="n">
        <v>45673</v>
      </c>
      <c r="C625" s="1" t="n">
        <v>46091</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15436-2025</t>
        </is>
      </c>
      <c r="B626" s="1" t="n">
        <v>45747.47462962963</v>
      </c>
      <c r="C626" s="1" t="n">
        <v>46091</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49257-2024</t>
        </is>
      </c>
      <c r="B627" s="1" t="n">
        <v>45595.47627314815</v>
      </c>
      <c r="C627" s="1" t="n">
        <v>46091</v>
      </c>
      <c r="D627" t="inlineStr">
        <is>
          <t>GOTLANDS LÄN</t>
        </is>
      </c>
      <c r="E627" t="inlineStr">
        <is>
          <t>GOTLAND</t>
        </is>
      </c>
      <c r="G627" t="n">
        <v>6.3</v>
      </c>
      <c r="H627" t="n">
        <v>0</v>
      </c>
      <c r="I627" t="n">
        <v>0</v>
      </c>
      <c r="J627" t="n">
        <v>0</v>
      </c>
      <c r="K627" t="n">
        <v>0</v>
      </c>
      <c r="L627" t="n">
        <v>0</v>
      </c>
      <c r="M627" t="n">
        <v>0</v>
      </c>
      <c r="N627" t="n">
        <v>0</v>
      </c>
      <c r="O627" t="n">
        <v>0</v>
      </c>
      <c r="P627" t="n">
        <v>0</v>
      </c>
      <c r="Q627" t="n">
        <v>0</v>
      </c>
      <c r="R627" s="2" t="inlineStr"/>
    </row>
    <row r="628" ht="15" customHeight="1">
      <c r="A628" t="inlineStr">
        <is>
          <t>A 37202-2024</t>
        </is>
      </c>
      <c r="B628" s="1" t="n">
        <v>45539.67310185185</v>
      </c>
      <c r="C628" s="1" t="n">
        <v>46091</v>
      </c>
      <c r="D628" t="inlineStr">
        <is>
          <t>GOTLANDS LÄN</t>
        </is>
      </c>
      <c r="E628" t="inlineStr">
        <is>
          <t>GOTLAND</t>
        </is>
      </c>
      <c r="G628" t="n">
        <v>0.3</v>
      </c>
      <c r="H628" t="n">
        <v>0</v>
      </c>
      <c r="I628" t="n">
        <v>0</v>
      </c>
      <c r="J628" t="n">
        <v>0</v>
      </c>
      <c r="K628" t="n">
        <v>0</v>
      </c>
      <c r="L628" t="n">
        <v>0</v>
      </c>
      <c r="M628" t="n">
        <v>0</v>
      </c>
      <c r="N628" t="n">
        <v>0</v>
      </c>
      <c r="O628" t="n">
        <v>0</v>
      </c>
      <c r="P628" t="n">
        <v>0</v>
      </c>
      <c r="Q628" t="n">
        <v>0</v>
      </c>
      <c r="R628" s="2" t="inlineStr"/>
    </row>
    <row r="629" ht="15" customHeight="1">
      <c r="A629" t="inlineStr">
        <is>
          <t>A 56115-2023</t>
        </is>
      </c>
      <c r="B629" s="1" t="n">
        <v>45236</v>
      </c>
      <c r="C629" s="1" t="n">
        <v>46091</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2774-2024</t>
        </is>
      </c>
      <c r="B630" s="1" t="n">
        <v>45314.62375</v>
      </c>
      <c r="C630" s="1" t="n">
        <v>46091</v>
      </c>
      <c r="D630" t="inlineStr">
        <is>
          <t>GOTLANDS LÄN</t>
        </is>
      </c>
      <c r="E630" t="inlineStr">
        <is>
          <t>GOTLAND</t>
        </is>
      </c>
      <c r="G630" t="n">
        <v>1</v>
      </c>
      <c r="H630" t="n">
        <v>0</v>
      </c>
      <c r="I630" t="n">
        <v>0</v>
      </c>
      <c r="J630" t="n">
        <v>0</v>
      </c>
      <c r="K630" t="n">
        <v>0</v>
      </c>
      <c r="L630" t="n">
        <v>0</v>
      </c>
      <c r="M630" t="n">
        <v>0</v>
      </c>
      <c r="N630" t="n">
        <v>0</v>
      </c>
      <c r="O630" t="n">
        <v>0</v>
      </c>
      <c r="P630" t="n">
        <v>0</v>
      </c>
      <c r="Q630" t="n">
        <v>0</v>
      </c>
      <c r="R630" s="2" t="inlineStr"/>
    </row>
    <row r="631" ht="15" customHeight="1">
      <c r="A631" t="inlineStr">
        <is>
          <t>A 60709-2023</t>
        </is>
      </c>
      <c r="B631" s="1" t="n">
        <v>45260</v>
      </c>
      <c r="C631" s="1" t="n">
        <v>46091</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64208-2021</t>
        </is>
      </c>
      <c r="B632" s="1" t="n">
        <v>44510</v>
      </c>
      <c r="C632" s="1" t="n">
        <v>46091</v>
      </c>
      <c r="D632" t="inlineStr">
        <is>
          <t>GOTLANDS LÄN</t>
        </is>
      </c>
      <c r="E632" t="inlineStr">
        <is>
          <t>GOTLAND</t>
        </is>
      </c>
      <c r="G632" t="n">
        <v>4.7</v>
      </c>
      <c r="H632" t="n">
        <v>0</v>
      </c>
      <c r="I632" t="n">
        <v>0</v>
      </c>
      <c r="J632" t="n">
        <v>0</v>
      </c>
      <c r="K632" t="n">
        <v>0</v>
      </c>
      <c r="L632" t="n">
        <v>0</v>
      </c>
      <c r="M632" t="n">
        <v>0</v>
      </c>
      <c r="N632" t="n">
        <v>0</v>
      </c>
      <c r="O632" t="n">
        <v>0</v>
      </c>
      <c r="P632" t="n">
        <v>0</v>
      </c>
      <c r="Q632" t="n">
        <v>0</v>
      </c>
      <c r="R632" s="2" t="inlineStr"/>
    </row>
    <row r="633" ht="15" customHeight="1">
      <c r="A633" t="inlineStr">
        <is>
          <t>A 39764-2022</t>
        </is>
      </c>
      <c r="B633" s="1" t="n">
        <v>44819</v>
      </c>
      <c r="C633" s="1" t="n">
        <v>46091</v>
      </c>
      <c r="D633" t="inlineStr">
        <is>
          <t>GOTLANDS LÄN</t>
        </is>
      </c>
      <c r="E633" t="inlineStr">
        <is>
          <t>GOTLAND</t>
        </is>
      </c>
      <c r="F633" t="inlineStr">
        <is>
          <t>Kyrkan</t>
        </is>
      </c>
      <c r="G633" t="n">
        <v>3.7</v>
      </c>
      <c r="H633" t="n">
        <v>0</v>
      </c>
      <c r="I633" t="n">
        <v>0</v>
      </c>
      <c r="J633" t="n">
        <v>0</v>
      </c>
      <c r="K633" t="n">
        <v>0</v>
      </c>
      <c r="L633" t="n">
        <v>0</v>
      </c>
      <c r="M633" t="n">
        <v>0</v>
      </c>
      <c r="N633" t="n">
        <v>0</v>
      </c>
      <c r="O633" t="n">
        <v>0</v>
      </c>
      <c r="P633" t="n">
        <v>0</v>
      </c>
      <c r="Q633" t="n">
        <v>0</v>
      </c>
      <c r="R633" s="2" t="inlineStr"/>
    </row>
    <row r="634" ht="15" customHeight="1">
      <c r="A634" t="inlineStr">
        <is>
          <t>A 58211-2024</t>
        </is>
      </c>
      <c r="B634" s="1" t="n">
        <v>45632.49292824074</v>
      </c>
      <c r="C634" s="1" t="n">
        <v>46091</v>
      </c>
      <c r="D634" t="inlineStr">
        <is>
          <t>GOTLANDS LÄN</t>
        </is>
      </c>
      <c r="E634" t="inlineStr">
        <is>
          <t>GOTLAND</t>
        </is>
      </c>
      <c r="G634" t="n">
        <v>5.4</v>
      </c>
      <c r="H634" t="n">
        <v>0</v>
      </c>
      <c r="I634" t="n">
        <v>0</v>
      </c>
      <c r="J634" t="n">
        <v>0</v>
      </c>
      <c r="K634" t="n">
        <v>0</v>
      </c>
      <c r="L634" t="n">
        <v>0</v>
      </c>
      <c r="M634" t="n">
        <v>0</v>
      </c>
      <c r="N634" t="n">
        <v>0</v>
      </c>
      <c r="O634" t="n">
        <v>0</v>
      </c>
      <c r="P634" t="n">
        <v>0</v>
      </c>
      <c r="Q634" t="n">
        <v>0</v>
      </c>
      <c r="R634" s="2" t="inlineStr"/>
    </row>
    <row r="635" ht="15" customHeight="1">
      <c r="A635" t="inlineStr">
        <is>
          <t>A 30956-2024</t>
        </is>
      </c>
      <c r="B635" s="1" t="n">
        <v>45499.42527777778</v>
      </c>
      <c r="C635" s="1" t="n">
        <v>46091</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30892-2024</t>
        </is>
      </c>
      <c r="B636" s="1" t="n">
        <v>45491</v>
      </c>
      <c r="C636" s="1" t="n">
        <v>46091</v>
      </c>
      <c r="D636" t="inlineStr">
        <is>
          <t>GOTLANDS LÄN</t>
        </is>
      </c>
      <c r="E636" t="inlineStr">
        <is>
          <t>GOTLAND</t>
        </is>
      </c>
      <c r="G636" t="n">
        <v>6.1</v>
      </c>
      <c r="H636" t="n">
        <v>0</v>
      </c>
      <c r="I636" t="n">
        <v>0</v>
      </c>
      <c r="J636" t="n">
        <v>0</v>
      </c>
      <c r="K636" t="n">
        <v>0</v>
      </c>
      <c r="L636" t="n">
        <v>0</v>
      </c>
      <c r="M636" t="n">
        <v>0</v>
      </c>
      <c r="N636" t="n">
        <v>0</v>
      </c>
      <c r="O636" t="n">
        <v>0</v>
      </c>
      <c r="P636" t="n">
        <v>0</v>
      </c>
      <c r="Q636" t="n">
        <v>0</v>
      </c>
      <c r="R636" s="2" t="inlineStr"/>
    </row>
    <row r="637" ht="15" customHeight="1">
      <c r="A637" t="inlineStr">
        <is>
          <t>A 14635-2023</t>
        </is>
      </c>
      <c r="B637" s="1" t="n">
        <v>45013.69365740741</v>
      </c>
      <c r="C637" s="1" t="n">
        <v>46091</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59469-2024</t>
        </is>
      </c>
      <c r="B638" s="1" t="n">
        <v>45638</v>
      </c>
      <c r="C638" s="1" t="n">
        <v>46091</v>
      </c>
      <c r="D638" t="inlineStr">
        <is>
          <t>GOTLANDS LÄN</t>
        </is>
      </c>
      <c r="E638" t="inlineStr">
        <is>
          <t>GOTLAND</t>
        </is>
      </c>
      <c r="G638" t="n">
        <v>0.4</v>
      </c>
      <c r="H638" t="n">
        <v>0</v>
      </c>
      <c r="I638" t="n">
        <v>0</v>
      </c>
      <c r="J638" t="n">
        <v>0</v>
      </c>
      <c r="K638" t="n">
        <v>0</v>
      </c>
      <c r="L638" t="n">
        <v>0</v>
      </c>
      <c r="M638" t="n">
        <v>0</v>
      </c>
      <c r="N638" t="n">
        <v>0</v>
      </c>
      <c r="O638" t="n">
        <v>0</v>
      </c>
      <c r="P638" t="n">
        <v>0</v>
      </c>
      <c r="Q638" t="n">
        <v>0</v>
      </c>
      <c r="R638" s="2" t="inlineStr"/>
    </row>
    <row r="639" ht="15" customHeight="1">
      <c r="A639" t="inlineStr">
        <is>
          <t>A 7858-2025</t>
        </is>
      </c>
      <c r="B639" s="1" t="n">
        <v>45706.68633101852</v>
      </c>
      <c r="C639" s="1" t="n">
        <v>46091</v>
      </c>
      <c r="D639" t="inlineStr">
        <is>
          <t>GOTLANDS LÄN</t>
        </is>
      </c>
      <c r="E639" t="inlineStr">
        <is>
          <t>GOTLAND</t>
        </is>
      </c>
      <c r="G639" t="n">
        <v>3</v>
      </c>
      <c r="H639" t="n">
        <v>0</v>
      </c>
      <c r="I639" t="n">
        <v>0</v>
      </c>
      <c r="J639" t="n">
        <v>0</v>
      </c>
      <c r="K639" t="n">
        <v>0</v>
      </c>
      <c r="L639" t="n">
        <v>0</v>
      </c>
      <c r="M639" t="n">
        <v>0</v>
      </c>
      <c r="N639" t="n">
        <v>0</v>
      </c>
      <c r="O639" t="n">
        <v>0</v>
      </c>
      <c r="P639" t="n">
        <v>0</v>
      </c>
      <c r="Q639" t="n">
        <v>0</v>
      </c>
      <c r="R639" s="2" t="inlineStr"/>
    </row>
    <row r="640" ht="15" customHeight="1">
      <c r="A640" t="inlineStr">
        <is>
          <t>A 53935-2024</t>
        </is>
      </c>
      <c r="B640" s="1" t="n">
        <v>45615</v>
      </c>
      <c r="C640" s="1" t="n">
        <v>46091</v>
      </c>
      <c r="D640" t="inlineStr">
        <is>
          <t>GOTLANDS LÄN</t>
        </is>
      </c>
      <c r="E640" t="inlineStr">
        <is>
          <t>GOTLAND</t>
        </is>
      </c>
      <c r="G640" t="n">
        <v>1.2</v>
      </c>
      <c r="H640" t="n">
        <v>0</v>
      </c>
      <c r="I640" t="n">
        <v>0</v>
      </c>
      <c r="J640" t="n">
        <v>0</v>
      </c>
      <c r="K640" t="n">
        <v>0</v>
      </c>
      <c r="L640" t="n">
        <v>0</v>
      </c>
      <c r="M640" t="n">
        <v>0</v>
      </c>
      <c r="N640" t="n">
        <v>0</v>
      </c>
      <c r="O640" t="n">
        <v>0</v>
      </c>
      <c r="P640" t="n">
        <v>0</v>
      </c>
      <c r="Q640" t="n">
        <v>0</v>
      </c>
      <c r="R640" s="2" t="inlineStr"/>
    </row>
    <row r="641" ht="15" customHeight="1">
      <c r="A641" t="inlineStr">
        <is>
          <t>A 18223-2025</t>
        </is>
      </c>
      <c r="B641" s="1" t="n">
        <v>45761</v>
      </c>
      <c r="C641" s="1" t="n">
        <v>46091</v>
      </c>
      <c r="D641" t="inlineStr">
        <is>
          <t>GOTLANDS LÄN</t>
        </is>
      </c>
      <c r="E641" t="inlineStr">
        <is>
          <t>GOTLAND</t>
        </is>
      </c>
      <c r="G641" t="n">
        <v>0.7</v>
      </c>
      <c r="H641" t="n">
        <v>0</v>
      </c>
      <c r="I641" t="n">
        <v>0</v>
      </c>
      <c r="J641" t="n">
        <v>0</v>
      </c>
      <c r="K641" t="n">
        <v>0</v>
      </c>
      <c r="L641" t="n">
        <v>0</v>
      </c>
      <c r="M641" t="n">
        <v>0</v>
      </c>
      <c r="N641" t="n">
        <v>0</v>
      </c>
      <c r="O641" t="n">
        <v>0</v>
      </c>
      <c r="P641" t="n">
        <v>0</v>
      </c>
      <c r="Q641" t="n">
        <v>0</v>
      </c>
      <c r="R641" s="2" t="inlineStr"/>
    </row>
    <row r="642" ht="15" customHeight="1">
      <c r="A642" t="inlineStr">
        <is>
          <t>A 4420-2025</t>
        </is>
      </c>
      <c r="B642" s="1" t="n">
        <v>45686.47157407407</v>
      </c>
      <c r="C642" s="1" t="n">
        <v>46091</v>
      </c>
      <c r="D642" t="inlineStr">
        <is>
          <t>GOTLANDS LÄN</t>
        </is>
      </c>
      <c r="E642" t="inlineStr">
        <is>
          <t>GOTLAND</t>
        </is>
      </c>
      <c r="G642" t="n">
        <v>1.6</v>
      </c>
      <c r="H642" t="n">
        <v>0</v>
      </c>
      <c r="I642" t="n">
        <v>0</v>
      </c>
      <c r="J642" t="n">
        <v>0</v>
      </c>
      <c r="K642" t="n">
        <v>0</v>
      </c>
      <c r="L642" t="n">
        <v>0</v>
      </c>
      <c r="M642" t="n">
        <v>0</v>
      </c>
      <c r="N642" t="n">
        <v>0</v>
      </c>
      <c r="O642" t="n">
        <v>0</v>
      </c>
      <c r="P642" t="n">
        <v>0</v>
      </c>
      <c r="Q642" t="n">
        <v>0</v>
      </c>
      <c r="R642" s="2" t="inlineStr"/>
    </row>
    <row r="643" ht="15" customHeight="1">
      <c r="A643" t="inlineStr">
        <is>
          <t>A 5891-2025</t>
        </is>
      </c>
      <c r="B643" s="1" t="n">
        <v>45695.38327546296</v>
      </c>
      <c r="C643" s="1" t="n">
        <v>46091</v>
      </c>
      <c r="D643" t="inlineStr">
        <is>
          <t>GOTLANDS LÄN</t>
        </is>
      </c>
      <c r="E643" t="inlineStr">
        <is>
          <t>GOTLAND</t>
        </is>
      </c>
      <c r="G643" t="n">
        <v>0.8</v>
      </c>
      <c r="H643" t="n">
        <v>0</v>
      </c>
      <c r="I643" t="n">
        <v>0</v>
      </c>
      <c r="J643" t="n">
        <v>0</v>
      </c>
      <c r="K643" t="n">
        <v>0</v>
      </c>
      <c r="L643" t="n">
        <v>0</v>
      </c>
      <c r="M643" t="n">
        <v>0</v>
      </c>
      <c r="N643" t="n">
        <v>0</v>
      </c>
      <c r="O643" t="n">
        <v>0</v>
      </c>
      <c r="P643" t="n">
        <v>0</v>
      </c>
      <c r="Q643" t="n">
        <v>0</v>
      </c>
      <c r="R643" s="2" t="inlineStr"/>
    </row>
    <row r="644" ht="15" customHeight="1">
      <c r="A644" t="inlineStr">
        <is>
          <t>A 7835-2024</t>
        </is>
      </c>
      <c r="B644" s="1" t="n">
        <v>45349.83138888889</v>
      </c>
      <c r="C644" s="1" t="n">
        <v>46091</v>
      </c>
      <c r="D644" t="inlineStr">
        <is>
          <t>GOTLANDS LÄN</t>
        </is>
      </c>
      <c r="E644" t="inlineStr">
        <is>
          <t>GOTLAND</t>
        </is>
      </c>
      <c r="G644" t="n">
        <v>3.8</v>
      </c>
      <c r="H644" t="n">
        <v>0</v>
      </c>
      <c r="I644" t="n">
        <v>0</v>
      </c>
      <c r="J644" t="n">
        <v>0</v>
      </c>
      <c r="K644" t="n">
        <v>0</v>
      </c>
      <c r="L644" t="n">
        <v>0</v>
      </c>
      <c r="M644" t="n">
        <v>0</v>
      </c>
      <c r="N644" t="n">
        <v>0</v>
      </c>
      <c r="O644" t="n">
        <v>0</v>
      </c>
      <c r="P644" t="n">
        <v>0</v>
      </c>
      <c r="Q644" t="n">
        <v>0</v>
      </c>
      <c r="R644" s="2" t="inlineStr"/>
    </row>
    <row r="645" ht="15" customHeight="1">
      <c r="A645" t="inlineStr">
        <is>
          <t>A 20794-2025</t>
        </is>
      </c>
      <c r="B645" s="1" t="n">
        <v>45776</v>
      </c>
      <c r="C645" s="1" t="n">
        <v>46091</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c r="A646" t="inlineStr">
        <is>
          <t>A 20805-2025</t>
        </is>
      </c>
      <c r="B646" s="1" t="n">
        <v>45776</v>
      </c>
      <c r="C646" s="1" t="n">
        <v>46091</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2026-03-10T11:16:40Z</dcterms:created>
  <dcterms:modified xmlns:dcterms="http://purl.org/dc/terms/" xmlns:xsi="http://www.w3.org/2001/XMLSchema-instance" xsi:type="dcterms:W3CDTF">2026-03-10T11:16:40Z</dcterms:modified>
</cp:coreProperties>
</file>