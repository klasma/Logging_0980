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45976</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45976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45976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45976</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45976</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45976</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45976</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45976</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45976</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45976</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45976</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45976</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45976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45976</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45976</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17762-2024</t>
        </is>
      </c>
      <c r="B29" s="1" t="n">
        <v>45418</v>
      </c>
      <c r="C29" s="1" t="n">
        <v>45976</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15629-2024</t>
        </is>
      </c>
      <c r="B30" s="1" t="n">
        <v>45402.78372685185</v>
      </c>
      <c r="C30" s="1" t="n">
        <v>45976</v>
      </c>
      <c r="D30" t="inlineStr">
        <is>
          <t>GOTLANDS LÄN</t>
        </is>
      </c>
      <c r="E30" t="inlineStr">
        <is>
          <t>GOTLAND</t>
        </is>
      </c>
      <c r="G30" t="n">
        <v>6.3</v>
      </c>
      <c r="H30" t="n">
        <v>6</v>
      </c>
      <c r="I30" t="n">
        <v>3</v>
      </c>
      <c r="J30" t="n">
        <v>9</v>
      </c>
      <c r="K30" t="n">
        <v>0</v>
      </c>
      <c r="L30" t="n">
        <v>0</v>
      </c>
      <c r="M30" t="n">
        <v>0</v>
      </c>
      <c r="N30" t="n">
        <v>0</v>
      </c>
      <c r="O30" t="n">
        <v>9</v>
      </c>
      <c r="P30" t="n">
        <v>0</v>
      </c>
      <c r="Q30" t="n">
        <v>15</v>
      </c>
      <c r="R30" s="2" t="inlineStr">
        <is>
          <t>Apollofjäril
Axveronika
Backtimjan
Jordtistel
Kalkkoppmossa
Orellia scorzonerae
Solvända
Spillkråka
Svinrot
Blåmossa
Kattfotslav
Nästrot
Sankt pers nycklar
Blåsippa
Gullviva</t>
        </is>
      </c>
      <c r="S30">
        <f>HYPERLINK("https://klasma.github.io/Logging_0980/artfynd/A 15629-2024 artfynd.xlsx", "A 15629-2024")</f>
        <v/>
      </c>
      <c r="T30">
        <f>HYPERLINK("https://klasma.github.io/Logging_0980/kartor/A 15629-2024 karta.png", "A 15629-2024")</f>
        <v/>
      </c>
      <c r="V30">
        <f>HYPERLINK("https://klasma.github.io/Logging_0980/klagomål/A 15629-2024 FSC-klagomål.docx", "A 15629-2024")</f>
        <v/>
      </c>
      <c r="W30">
        <f>HYPERLINK("https://klasma.github.io/Logging_0980/klagomålsmail/A 15629-2024 FSC-klagomål mail.docx", "A 15629-2024")</f>
        <v/>
      </c>
      <c r="X30">
        <f>HYPERLINK("https://klasma.github.io/Logging_0980/tillsyn/A 15629-2024 tillsynsbegäran.docx", "A 15629-2024")</f>
        <v/>
      </c>
      <c r="Y30">
        <f>HYPERLINK("https://klasma.github.io/Logging_0980/tillsynsmail/A 15629-2024 tillsynsbegäran mail.docx", "A 15629-2024")</f>
        <v/>
      </c>
      <c r="Z30">
        <f>HYPERLINK("https://klasma.github.io/Logging_0980/fåglar/A 15629-2024 prioriterade fågelarter.docx", "A 15629-2024")</f>
        <v/>
      </c>
    </row>
    <row r="31" ht="15" customHeight="1">
      <c r="A31" t="inlineStr">
        <is>
          <t>A 62132-2023</t>
        </is>
      </c>
      <c r="B31" s="1" t="n">
        <v>45267</v>
      </c>
      <c r="C31" s="1" t="n">
        <v>45976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45976</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45976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2804-2023</t>
        </is>
      </c>
      <c r="B36" s="1" t="n">
        <v>44944</v>
      </c>
      <c r="C36" s="1" t="n">
        <v>45976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445-2023</t>
        </is>
      </c>
      <c r="B37" s="1" t="n">
        <v>44929</v>
      </c>
      <c r="C37" s="1" t="n">
        <v>45976</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45976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45976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45976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33153-2024</t>
        </is>
      </c>
      <c r="B48" s="1" t="n">
        <v>45518</v>
      </c>
      <c r="C48" s="1" t="n">
        <v>45976</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584-2023</t>
        </is>
      </c>
      <c r="B49" s="1" t="n">
        <v>44930</v>
      </c>
      <c r="C49" s="1" t="n">
        <v>45976</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17766-2024</t>
        </is>
      </c>
      <c r="B50" s="1" t="n">
        <v>45418</v>
      </c>
      <c r="C50" s="1" t="n">
        <v>45976</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14354-2024</t>
        </is>
      </c>
      <c r="B51" s="1" t="n">
        <v>45393</v>
      </c>
      <c r="C51" s="1" t="n">
        <v>45976</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45976</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22404-2024</t>
        </is>
      </c>
      <c r="B53" s="1" t="n">
        <v>45446</v>
      </c>
      <c r="C53" s="1" t="n">
        <v>45976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45976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45976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7039-2023</t>
        </is>
      </c>
      <c r="B56" s="1" t="n">
        <v>44968</v>
      </c>
      <c r="C56" s="1" t="n">
        <v>45976</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45976</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45976</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45976</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34142-2024</t>
        </is>
      </c>
      <c r="B61" s="1" t="n">
        <v>45524.36521990741</v>
      </c>
      <c r="C61" s="1" t="n">
        <v>45976</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18541-2024</t>
        </is>
      </c>
      <c r="B62" s="1" t="n">
        <v>45425</v>
      </c>
      <c r="C62" s="1" t="n">
        <v>45976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45248-2024</t>
        </is>
      </c>
      <c r="B63" s="1" t="n">
        <v>45576</v>
      </c>
      <c r="C63" s="1" t="n">
        <v>45976</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4984-2025</t>
        </is>
      </c>
      <c r="B64" s="1" t="n">
        <v>45691.29891203704</v>
      </c>
      <c r="C64" s="1" t="n">
        <v>45976</v>
      </c>
      <c r="D64" t="inlineStr">
        <is>
          <t>GOTLANDS LÄN</t>
        </is>
      </c>
      <c r="E64" t="inlineStr">
        <is>
          <t>GOTLAND</t>
        </is>
      </c>
      <c r="G64" t="n">
        <v>1.3</v>
      </c>
      <c r="H64" t="n">
        <v>4</v>
      </c>
      <c r="I64" t="n">
        <v>2</v>
      </c>
      <c r="J64" t="n">
        <v>3</v>
      </c>
      <c r="K64" t="n">
        <v>0</v>
      </c>
      <c r="L64" t="n">
        <v>0</v>
      </c>
      <c r="M64" t="n">
        <v>0</v>
      </c>
      <c r="N64" t="n">
        <v>0</v>
      </c>
      <c r="O64" t="n">
        <v>3</v>
      </c>
      <c r="P64" t="n">
        <v>0</v>
      </c>
      <c r="Q64" t="n">
        <v>7</v>
      </c>
      <c r="R64" s="2" t="inlineStr">
        <is>
          <t>Gulsparv
Jordtistel
Svinrot
Grönpyrola
Tvåblad
Kärrknipprot
Nattviol</t>
        </is>
      </c>
      <c r="S64">
        <f>HYPERLINK("https://klasma.github.io/Logging_0980/artfynd/A 4984-2025 artfynd.xlsx", "A 4984-2025")</f>
        <v/>
      </c>
      <c r="T64">
        <f>HYPERLINK("https://klasma.github.io/Logging_0980/kartor/A 4984-2025 karta.png", "A 4984-2025")</f>
        <v/>
      </c>
      <c r="V64">
        <f>HYPERLINK("https://klasma.github.io/Logging_0980/klagomål/A 4984-2025 FSC-klagomål.docx", "A 4984-2025")</f>
        <v/>
      </c>
      <c r="W64">
        <f>HYPERLINK("https://klasma.github.io/Logging_0980/klagomålsmail/A 4984-2025 FSC-klagomål mail.docx", "A 4984-2025")</f>
        <v/>
      </c>
      <c r="X64">
        <f>HYPERLINK("https://klasma.github.io/Logging_0980/tillsyn/A 4984-2025 tillsynsbegäran.docx", "A 4984-2025")</f>
        <v/>
      </c>
      <c r="Y64">
        <f>HYPERLINK("https://klasma.github.io/Logging_0980/tillsynsmail/A 4984-2025 tillsynsbegäran mail.docx", "A 4984-2025")</f>
        <v/>
      </c>
      <c r="Z64">
        <f>HYPERLINK("https://klasma.github.io/Logging_0980/fåglar/A 4984-2025 prioriterade fågelarter.docx", "A 4984-2025")</f>
        <v/>
      </c>
    </row>
    <row r="65" ht="15" customHeight="1">
      <c r="A65" t="inlineStr">
        <is>
          <t>A 10419-2025</t>
        </is>
      </c>
      <c r="B65" s="1" t="n">
        <v>45720</v>
      </c>
      <c r="C65" s="1" t="n">
        <v>45976</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27280-2023</t>
        </is>
      </c>
      <c r="B66" s="1" t="n">
        <v>45096</v>
      </c>
      <c r="C66" s="1" t="n">
        <v>45976</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25205-2021</t>
        </is>
      </c>
      <c r="B67" s="1" t="n">
        <v>44342</v>
      </c>
      <c r="C67" s="1" t="n">
        <v>45976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45976</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65819-2020</t>
        </is>
      </c>
      <c r="B69" s="1" t="n">
        <v>44174</v>
      </c>
      <c r="C69" s="1" t="n">
        <v>45976</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7038-2023</t>
        </is>
      </c>
      <c r="B70" s="1" t="n">
        <v>44968</v>
      </c>
      <c r="C70" s="1" t="n">
        <v>45976</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45976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45976</v>
      </c>
      <c r="D72" t="inlineStr">
        <is>
          <t>GOTLANDS LÄN</t>
        </is>
      </c>
      <c r="E72" t="inlineStr">
        <is>
          <t>GOTLAND</t>
        </is>
      </c>
      <c r="F72" t="inlineStr">
        <is>
          <t>Övriga Aktiebolag</t>
        </is>
      </c>
      <c r="G72" t="n">
        <v>18.1</v>
      </c>
      <c r="H72" t="n">
        <v>3</v>
      </c>
      <c r="I72" t="n">
        <v>0</v>
      </c>
      <c r="J72" t="n">
        <v>4</v>
      </c>
      <c r="K72" t="n">
        <v>0</v>
      </c>
      <c r="L72" t="n">
        <v>0</v>
      </c>
      <c r="M72" t="n">
        <v>0</v>
      </c>
      <c r="N72" t="n">
        <v>0</v>
      </c>
      <c r="O72" t="n">
        <v>4</v>
      </c>
      <c r="P72" t="n">
        <v>0</v>
      </c>
      <c r="Q72" t="n">
        <v>6</v>
      </c>
      <c r="R72" s="2" t="inlineStr">
        <is>
          <t>Apollofjäril
Jordtistel
Klasefibbla
Majviva
Gråkråka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row>
    <row r="73" ht="15" customHeight="1">
      <c r="A73" t="inlineStr">
        <is>
          <t>A 446-2023</t>
        </is>
      </c>
      <c r="B73" s="1" t="n">
        <v>44929</v>
      </c>
      <c r="C73" s="1" t="n">
        <v>45976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16823-2024</t>
        </is>
      </c>
      <c r="B74" s="1" t="n">
        <v>45411</v>
      </c>
      <c r="C74" s="1" t="n">
        <v>45976</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45976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66091-2021</t>
        </is>
      </c>
      <c r="B76" s="1" t="n">
        <v>44517</v>
      </c>
      <c r="C76" s="1" t="n">
        <v>45976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45976</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39425-2023</t>
        </is>
      </c>
      <c r="B78" s="1" t="n">
        <v>45166</v>
      </c>
      <c r="C78" s="1" t="n">
        <v>45976</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44944-2022</t>
        </is>
      </c>
      <c r="B79" s="1" t="n">
        <v>44841</v>
      </c>
      <c r="C79" s="1" t="n">
        <v>45976</v>
      </c>
      <c r="D79" t="inlineStr">
        <is>
          <t>GOTLANDS LÄN</t>
        </is>
      </c>
      <c r="E79" t="inlineStr">
        <is>
          <t>GOTLAND</t>
        </is>
      </c>
      <c r="G79" t="n">
        <v>2.8</v>
      </c>
      <c r="H79" t="n">
        <v>0</v>
      </c>
      <c r="I79" t="n">
        <v>3</v>
      </c>
      <c r="J79" t="n">
        <v>2</v>
      </c>
      <c r="K79" t="n">
        <v>0</v>
      </c>
      <c r="L79" t="n">
        <v>0</v>
      </c>
      <c r="M79" t="n">
        <v>0</v>
      </c>
      <c r="N79" t="n">
        <v>0</v>
      </c>
      <c r="O79" t="n">
        <v>2</v>
      </c>
      <c r="P79" t="n">
        <v>0</v>
      </c>
      <c r="Q79" t="n">
        <v>5</v>
      </c>
      <c r="R79" s="2" t="inlineStr">
        <is>
          <t>Denisespindling
Odörspindling
Anisspindling
Fjällig taggsvamp s.str.
Rödgul trumpetsvamp</t>
        </is>
      </c>
      <c r="S79">
        <f>HYPERLINK("https://klasma.github.io/Logging_0980/artfynd/A 44944-2022 artfynd.xlsx", "A 44944-2022")</f>
        <v/>
      </c>
      <c r="T79">
        <f>HYPERLINK("https://klasma.github.io/Logging_0980/kartor/A 44944-2022 karta.png", "A 44944-2022")</f>
        <v/>
      </c>
      <c r="V79">
        <f>HYPERLINK("https://klasma.github.io/Logging_0980/klagomål/A 44944-2022 FSC-klagomål.docx", "A 44944-2022")</f>
        <v/>
      </c>
      <c r="W79">
        <f>HYPERLINK("https://klasma.github.io/Logging_0980/klagomålsmail/A 44944-2022 FSC-klagomål mail.docx", "A 44944-2022")</f>
        <v/>
      </c>
      <c r="X79">
        <f>HYPERLINK("https://klasma.github.io/Logging_0980/tillsyn/A 44944-2022 tillsynsbegäran.docx", "A 44944-2022")</f>
        <v/>
      </c>
      <c r="Y79">
        <f>HYPERLINK("https://klasma.github.io/Logging_0980/tillsynsmail/A 44944-2022 tillsynsbegäran mail.docx", "A 44944-2022")</f>
        <v/>
      </c>
    </row>
    <row r="80" ht="15" customHeight="1">
      <c r="A80" t="inlineStr">
        <is>
          <t>A 2213-2023</t>
        </is>
      </c>
      <c r="B80" s="1" t="n">
        <v>44942</v>
      </c>
      <c r="C80" s="1" t="n">
        <v>45976</v>
      </c>
      <c r="D80" t="inlineStr">
        <is>
          <t>GOTLANDS LÄN</t>
        </is>
      </c>
      <c r="E80" t="inlineStr">
        <is>
          <t>GOTLAND</t>
        </is>
      </c>
      <c r="G80" t="n">
        <v>2.7</v>
      </c>
      <c r="H80" t="n">
        <v>1</v>
      </c>
      <c r="I80" t="n">
        <v>0</v>
      </c>
      <c r="J80" t="n">
        <v>4</v>
      </c>
      <c r="K80" t="n">
        <v>1</v>
      </c>
      <c r="L80" t="n">
        <v>0</v>
      </c>
      <c r="M80" t="n">
        <v>0</v>
      </c>
      <c r="N80" t="n">
        <v>0</v>
      </c>
      <c r="O80" t="n">
        <v>5</v>
      </c>
      <c r="P80" t="n">
        <v>1</v>
      </c>
      <c r="Q80" t="n">
        <v>5</v>
      </c>
      <c r="R80" s="2" t="inlineStr">
        <is>
          <t>Garderönn
Backtimjan
Odörspindling
Smedbock
Svinrot</t>
        </is>
      </c>
      <c r="S80">
        <f>HYPERLINK("https://klasma.github.io/Logging_0980/artfynd/A 2213-2023 artfynd.xlsx", "A 2213-2023")</f>
        <v/>
      </c>
      <c r="T80">
        <f>HYPERLINK("https://klasma.github.io/Logging_0980/kartor/A 2213-2023 karta.png", "A 2213-2023")</f>
        <v/>
      </c>
      <c r="V80">
        <f>HYPERLINK("https://klasma.github.io/Logging_0980/klagomål/A 2213-2023 FSC-klagomål.docx", "A 2213-2023")</f>
        <v/>
      </c>
      <c r="W80">
        <f>HYPERLINK("https://klasma.github.io/Logging_0980/klagomålsmail/A 2213-2023 FSC-klagomål mail.docx", "A 2213-2023")</f>
        <v/>
      </c>
      <c r="X80">
        <f>HYPERLINK("https://klasma.github.io/Logging_0980/tillsyn/A 2213-2023 tillsynsbegäran.docx", "A 2213-2023")</f>
        <v/>
      </c>
      <c r="Y80">
        <f>HYPERLINK("https://klasma.github.io/Logging_0980/tillsynsmail/A 2213-2023 tillsynsbegäran mail.docx", "A 2213-2023")</f>
        <v/>
      </c>
    </row>
    <row r="81" ht="15" customHeight="1">
      <c r="A81" t="inlineStr">
        <is>
          <t>A 16375-2025</t>
        </is>
      </c>
      <c r="B81" s="1" t="n">
        <v>45751.41064814815</v>
      </c>
      <c r="C81" s="1" t="n">
        <v>45976</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35293-2025</t>
        </is>
      </c>
      <c r="B82" s="1" t="n">
        <v>45854.39438657407</v>
      </c>
      <c r="C82" s="1" t="n">
        <v>45976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42936-2024</t>
        </is>
      </c>
      <c r="B83" s="1" t="n">
        <v>45567</v>
      </c>
      <c r="C83" s="1" t="n">
        <v>45976</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45976</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29331-2021</t>
        </is>
      </c>
      <c r="B85" s="1" t="n">
        <v>44361</v>
      </c>
      <c r="C85" s="1" t="n">
        <v>45976</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20833-2024</t>
        </is>
      </c>
      <c r="B86" s="1" t="n">
        <v>45439</v>
      </c>
      <c r="C86" s="1" t="n">
        <v>45976</v>
      </c>
      <c r="D86" t="inlineStr">
        <is>
          <t>GOTLANDS LÄN</t>
        </is>
      </c>
      <c r="E86" t="inlineStr">
        <is>
          <t>GOTLAND</t>
        </is>
      </c>
      <c r="G86" t="n">
        <v>0.9</v>
      </c>
      <c r="H86" t="n">
        <v>3</v>
      </c>
      <c r="I86" t="n">
        <v>1</v>
      </c>
      <c r="J86" t="n">
        <v>3</v>
      </c>
      <c r="K86" t="n">
        <v>0</v>
      </c>
      <c r="L86" t="n">
        <v>0</v>
      </c>
      <c r="M86" t="n">
        <v>0</v>
      </c>
      <c r="N86" t="n">
        <v>0</v>
      </c>
      <c r="O86" t="n">
        <v>3</v>
      </c>
      <c r="P86" t="n">
        <v>0</v>
      </c>
      <c r="Q86" t="n">
        <v>4</v>
      </c>
      <c r="R86" s="2" t="inlineStr">
        <is>
          <t>Dårgräsfjäril
Spillkråka
Svinrot
Skogsknipprot</t>
        </is>
      </c>
      <c r="S86">
        <f>HYPERLINK("https://klasma.github.io/Logging_0980/artfynd/A 20833-2024 artfynd.xlsx", "A 20833-2024")</f>
        <v/>
      </c>
      <c r="T86">
        <f>HYPERLINK("https://klasma.github.io/Logging_0980/kartor/A 20833-2024 karta.png", "A 20833-2024")</f>
        <v/>
      </c>
      <c r="V86">
        <f>HYPERLINK("https://klasma.github.io/Logging_0980/klagomål/A 20833-2024 FSC-klagomål.docx", "A 20833-2024")</f>
        <v/>
      </c>
      <c r="W86">
        <f>HYPERLINK("https://klasma.github.io/Logging_0980/klagomålsmail/A 20833-2024 FSC-klagomål mail.docx", "A 20833-2024")</f>
        <v/>
      </c>
      <c r="X86">
        <f>HYPERLINK("https://klasma.github.io/Logging_0980/tillsyn/A 20833-2024 tillsynsbegäran.docx", "A 20833-2024")</f>
        <v/>
      </c>
      <c r="Y86">
        <f>HYPERLINK("https://klasma.github.io/Logging_0980/tillsynsmail/A 20833-2024 tillsynsbegäran mail.docx", "A 20833-2024")</f>
        <v/>
      </c>
      <c r="Z86">
        <f>HYPERLINK("https://klasma.github.io/Logging_0980/fåglar/A 20833-2024 prioriterade fågelarter.docx", "A 20833-2024")</f>
        <v/>
      </c>
    </row>
    <row r="87" ht="15" customHeight="1">
      <c r="A87" t="inlineStr">
        <is>
          <t>A 8265-2023</t>
        </is>
      </c>
      <c r="B87" s="1" t="n">
        <v>44974</v>
      </c>
      <c r="C87" s="1" t="n">
        <v>45976</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54523-2023</t>
        </is>
      </c>
      <c r="B88" s="1" t="n">
        <v>45233</v>
      </c>
      <c r="C88" s="1" t="n">
        <v>45976</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5904-2024</t>
        </is>
      </c>
      <c r="B89" s="1" t="n">
        <v>45335</v>
      </c>
      <c r="C89" s="1" t="n">
        <v>45976</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2485-2025</t>
        </is>
      </c>
      <c r="B90" s="1" t="n">
        <v>45673</v>
      </c>
      <c r="C90" s="1" t="n">
        <v>45976</v>
      </c>
      <c r="D90" t="inlineStr">
        <is>
          <t>GOTLANDS LÄN</t>
        </is>
      </c>
      <c r="E90" t="inlineStr">
        <is>
          <t>GOTLAND</t>
        </is>
      </c>
      <c r="G90" t="n">
        <v>5</v>
      </c>
      <c r="H90" t="n">
        <v>2</v>
      </c>
      <c r="I90" t="n">
        <v>2</v>
      </c>
      <c r="J90" t="n">
        <v>0</v>
      </c>
      <c r="K90" t="n">
        <v>2</v>
      </c>
      <c r="L90" t="n">
        <v>0</v>
      </c>
      <c r="M90" t="n">
        <v>0</v>
      </c>
      <c r="N90" t="n">
        <v>0</v>
      </c>
      <c r="O90" t="n">
        <v>2</v>
      </c>
      <c r="P90" t="n">
        <v>2</v>
      </c>
      <c r="Q90" t="n">
        <v>4</v>
      </c>
      <c r="R90" s="2" t="inlineStr">
        <is>
          <t>Gotlandsmåra
Skogskorn
Nästrot
Skogsknipprot</t>
        </is>
      </c>
      <c r="S90">
        <f>HYPERLINK("https://klasma.github.io/Logging_0980/artfynd/A 2485-2025 artfynd.xlsx", "A 2485-2025")</f>
        <v/>
      </c>
      <c r="T90">
        <f>HYPERLINK("https://klasma.github.io/Logging_0980/kartor/A 2485-2025 karta.png", "A 2485-2025")</f>
        <v/>
      </c>
      <c r="V90">
        <f>HYPERLINK("https://klasma.github.io/Logging_0980/klagomål/A 2485-2025 FSC-klagomål.docx", "A 2485-2025")</f>
        <v/>
      </c>
      <c r="W90">
        <f>HYPERLINK("https://klasma.github.io/Logging_0980/klagomålsmail/A 2485-2025 FSC-klagomål mail.docx", "A 2485-2025")</f>
        <v/>
      </c>
      <c r="X90">
        <f>HYPERLINK("https://klasma.github.io/Logging_0980/tillsyn/A 2485-2025 tillsynsbegäran.docx", "A 2485-2025")</f>
        <v/>
      </c>
      <c r="Y90">
        <f>HYPERLINK("https://klasma.github.io/Logging_0980/tillsynsmail/A 2485-2025 tillsynsbegäran mail.docx", "A 2485-2025")</f>
        <v/>
      </c>
    </row>
    <row r="91" ht="15" customHeight="1">
      <c r="A91" t="inlineStr">
        <is>
          <t>A 6159-2023</t>
        </is>
      </c>
      <c r="B91" s="1" t="n">
        <v>44964</v>
      </c>
      <c r="C91" s="1" t="n">
        <v>45976</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45976</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40099-2025</t>
        </is>
      </c>
      <c r="B93" s="1" t="n">
        <v>45894.48462962963</v>
      </c>
      <c r="C93" s="1" t="n">
        <v>45976</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44933-2022</t>
        </is>
      </c>
      <c r="B94" s="1" t="n">
        <v>44841</v>
      </c>
      <c r="C94" s="1" t="n">
        <v>45976</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56717-2024</t>
        </is>
      </c>
      <c r="B95" s="1" t="n">
        <v>45628.3166550926</v>
      </c>
      <c r="C95" s="1" t="n">
        <v>45976</v>
      </c>
      <c r="D95" t="inlineStr">
        <is>
          <t>GOTLANDS LÄN</t>
        </is>
      </c>
      <c r="E95" t="inlineStr">
        <is>
          <t>GOTLAND</t>
        </is>
      </c>
      <c r="G95" t="n">
        <v>9.699999999999999</v>
      </c>
      <c r="H95" t="n">
        <v>0</v>
      </c>
      <c r="I95" t="n">
        <v>2</v>
      </c>
      <c r="J95" t="n">
        <v>2</v>
      </c>
      <c r="K95" t="n">
        <v>0</v>
      </c>
      <c r="L95" t="n">
        <v>0</v>
      </c>
      <c r="M95" t="n">
        <v>0</v>
      </c>
      <c r="N95" t="n">
        <v>0</v>
      </c>
      <c r="O95" t="n">
        <v>2</v>
      </c>
      <c r="P95" t="n">
        <v>0</v>
      </c>
      <c r="Q95" t="n">
        <v>4</v>
      </c>
      <c r="R95" s="2" t="inlineStr">
        <is>
          <t>Ekvaxskivling
Odörspindling
Fjällig taggsvamp s.str.
Kattfotslav</t>
        </is>
      </c>
      <c r="S95">
        <f>HYPERLINK("https://klasma.github.io/Logging_0980/artfynd/A 56717-2024 artfynd.xlsx", "A 56717-2024")</f>
        <v/>
      </c>
      <c r="T95">
        <f>HYPERLINK("https://klasma.github.io/Logging_0980/kartor/A 56717-2024 karta.png", "A 56717-2024")</f>
        <v/>
      </c>
      <c r="V95">
        <f>HYPERLINK("https://klasma.github.io/Logging_0980/klagomål/A 56717-2024 FSC-klagomål.docx", "A 56717-2024")</f>
        <v/>
      </c>
      <c r="W95">
        <f>HYPERLINK("https://klasma.github.io/Logging_0980/klagomålsmail/A 56717-2024 FSC-klagomål mail.docx", "A 56717-2024")</f>
        <v/>
      </c>
      <c r="X95">
        <f>HYPERLINK("https://klasma.github.io/Logging_0980/tillsyn/A 56717-2024 tillsynsbegäran.docx", "A 56717-2024")</f>
        <v/>
      </c>
      <c r="Y95">
        <f>HYPERLINK("https://klasma.github.io/Logging_0980/tillsynsmail/A 56717-2024 tillsynsbegäran mail.docx", "A 56717-2024")</f>
        <v/>
      </c>
    </row>
    <row r="96" ht="15" customHeight="1">
      <c r="A96" t="inlineStr">
        <is>
          <t>A 64378-2020</t>
        </is>
      </c>
      <c r="B96" s="1" t="n">
        <v>44168</v>
      </c>
      <c r="C96" s="1" t="n">
        <v>45976</v>
      </c>
      <c r="D96" t="inlineStr">
        <is>
          <t>GOTLANDS LÄN</t>
        </is>
      </c>
      <c r="E96" t="inlineStr">
        <is>
          <t>GOTLAND</t>
        </is>
      </c>
      <c r="G96" t="n">
        <v>2.1</v>
      </c>
      <c r="H96" t="n">
        <v>0</v>
      </c>
      <c r="I96" t="n">
        <v>1</v>
      </c>
      <c r="J96" t="n">
        <v>0</v>
      </c>
      <c r="K96" t="n">
        <v>2</v>
      </c>
      <c r="L96" t="n">
        <v>1</v>
      </c>
      <c r="M96" t="n">
        <v>0</v>
      </c>
      <c r="N96" t="n">
        <v>0</v>
      </c>
      <c r="O96" t="n">
        <v>3</v>
      </c>
      <c r="P96" t="n">
        <v>3</v>
      </c>
      <c r="Q96" t="n">
        <v>4</v>
      </c>
      <c r="R96" s="2" t="inlineStr">
        <is>
          <t>Sienamusseron
Bitter taggsvamp
Duvspindling
Fjällig taggsvamp s.str.</t>
        </is>
      </c>
      <c r="S96">
        <f>HYPERLINK("https://klasma.github.io/Logging_0980/artfynd/A 64378-2020 artfynd.xlsx", "A 64378-2020")</f>
        <v/>
      </c>
      <c r="T96">
        <f>HYPERLINK("https://klasma.github.io/Logging_0980/kartor/A 64378-2020 karta.png", "A 64378-2020")</f>
        <v/>
      </c>
      <c r="V96">
        <f>HYPERLINK("https://klasma.github.io/Logging_0980/klagomål/A 64378-2020 FSC-klagomål.docx", "A 64378-2020")</f>
        <v/>
      </c>
      <c r="W96">
        <f>HYPERLINK("https://klasma.github.io/Logging_0980/klagomålsmail/A 64378-2020 FSC-klagomål mail.docx", "A 64378-2020")</f>
        <v/>
      </c>
      <c r="X96">
        <f>HYPERLINK("https://klasma.github.io/Logging_0980/tillsyn/A 64378-2020 tillsynsbegäran.docx", "A 64378-2020")</f>
        <v/>
      </c>
      <c r="Y96">
        <f>HYPERLINK("https://klasma.github.io/Logging_0980/tillsynsmail/A 64378-2020 tillsynsbegäran mail.docx", "A 64378-2020")</f>
        <v/>
      </c>
    </row>
    <row r="97" ht="15" customHeight="1">
      <c r="A97" t="inlineStr">
        <is>
          <t>A 52309-2025</t>
        </is>
      </c>
      <c r="B97" s="1" t="n">
        <v>45953.64381944444</v>
      </c>
      <c r="C97" s="1" t="n">
        <v>45976</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1971-2023</t>
        </is>
      </c>
      <c r="B98" s="1" t="n">
        <v>44939</v>
      </c>
      <c r="C98" s="1" t="n">
        <v>45976</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52250-2025</t>
        </is>
      </c>
      <c r="B99" s="1" t="n">
        <v>45953.48998842593</v>
      </c>
      <c r="C99" s="1" t="n">
        <v>45976</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186-2023</t>
        </is>
      </c>
      <c r="B100" s="1" t="n">
        <v>44928</v>
      </c>
      <c r="C100" s="1" t="n">
        <v>45976</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65537-2020</t>
        </is>
      </c>
      <c r="B101" s="1" t="n">
        <v>44173</v>
      </c>
      <c r="C101" s="1" t="n">
        <v>45976</v>
      </c>
      <c r="D101" t="inlineStr">
        <is>
          <t>GOTLANDS LÄN</t>
        </is>
      </c>
      <c r="E101" t="inlineStr">
        <is>
          <t>GOTLAND</t>
        </is>
      </c>
      <c r="G101" t="n">
        <v>1.6</v>
      </c>
      <c r="H101" t="n">
        <v>0</v>
      </c>
      <c r="I101" t="n">
        <v>0</v>
      </c>
      <c r="J101" t="n">
        <v>3</v>
      </c>
      <c r="K101" t="n">
        <v>0</v>
      </c>
      <c r="L101" t="n">
        <v>0</v>
      </c>
      <c r="M101" t="n">
        <v>0</v>
      </c>
      <c r="N101" t="n">
        <v>0</v>
      </c>
      <c r="O101" t="n">
        <v>3</v>
      </c>
      <c r="P101" t="n">
        <v>0</v>
      </c>
      <c r="Q101" t="n">
        <v>3</v>
      </c>
      <c r="R101" s="2" t="inlineStr">
        <is>
          <t>Axveronika
Backtimjan
Solvända</t>
        </is>
      </c>
      <c r="S101">
        <f>HYPERLINK("https://klasma.github.io/Logging_0980/artfynd/A 65537-2020 artfynd.xlsx", "A 65537-2020")</f>
        <v/>
      </c>
      <c r="T101">
        <f>HYPERLINK("https://klasma.github.io/Logging_0980/kartor/A 65537-2020 karta.png", "A 65537-2020")</f>
        <v/>
      </c>
      <c r="V101">
        <f>HYPERLINK("https://klasma.github.io/Logging_0980/klagomål/A 65537-2020 FSC-klagomål.docx", "A 65537-2020")</f>
        <v/>
      </c>
      <c r="W101">
        <f>HYPERLINK("https://klasma.github.io/Logging_0980/klagomålsmail/A 65537-2020 FSC-klagomål mail.docx", "A 65537-2020")</f>
        <v/>
      </c>
      <c r="X101">
        <f>HYPERLINK("https://klasma.github.io/Logging_0980/tillsyn/A 65537-2020 tillsynsbegäran.docx", "A 65537-2020")</f>
        <v/>
      </c>
      <c r="Y101">
        <f>HYPERLINK("https://klasma.github.io/Logging_0980/tillsynsmail/A 65537-2020 tillsynsbegäran mail.docx", "A 65537-2020")</f>
        <v/>
      </c>
    </row>
    <row r="102" ht="15" customHeight="1">
      <c r="A102" t="inlineStr">
        <is>
          <t>A 44323-2021</t>
        </is>
      </c>
      <c r="B102" s="1" t="n">
        <v>44434</v>
      </c>
      <c r="C102" s="1" t="n">
        <v>45976</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45976</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12519-2021</t>
        </is>
      </c>
      <c r="B104" s="1" t="n">
        <v>44269</v>
      </c>
      <c r="C104" s="1" t="n">
        <v>45976</v>
      </c>
      <c r="D104" t="inlineStr">
        <is>
          <t>GOTLANDS LÄN</t>
        </is>
      </c>
      <c r="E104" t="inlineStr">
        <is>
          <t>GOTLAND</t>
        </is>
      </c>
      <c r="F104" t="inlineStr">
        <is>
          <t>Kyrkan</t>
        </is>
      </c>
      <c r="G104" t="n">
        <v>3.4</v>
      </c>
      <c r="H104" t="n">
        <v>0</v>
      </c>
      <c r="I104" t="n">
        <v>2</v>
      </c>
      <c r="J104" t="n">
        <v>1</v>
      </c>
      <c r="K104" t="n">
        <v>0</v>
      </c>
      <c r="L104" t="n">
        <v>0</v>
      </c>
      <c r="M104" t="n">
        <v>0</v>
      </c>
      <c r="N104" t="n">
        <v>0</v>
      </c>
      <c r="O104" t="n">
        <v>1</v>
      </c>
      <c r="P104" t="n">
        <v>0</v>
      </c>
      <c r="Q104" t="n">
        <v>3</v>
      </c>
      <c r="R104" s="2" t="inlineStr">
        <is>
          <t>Loppstarr
Rödgul trumpetsvamp
Vågbandad barkbock</t>
        </is>
      </c>
      <c r="S104">
        <f>HYPERLINK("https://klasma.github.io/Logging_0980/artfynd/A 12519-2021 artfynd.xlsx", "A 12519-2021")</f>
        <v/>
      </c>
      <c r="T104">
        <f>HYPERLINK("https://klasma.github.io/Logging_0980/kartor/A 12519-2021 karta.png", "A 12519-2021")</f>
        <v/>
      </c>
      <c r="V104">
        <f>HYPERLINK("https://klasma.github.io/Logging_0980/klagomål/A 12519-2021 FSC-klagomål.docx", "A 12519-2021")</f>
        <v/>
      </c>
      <c r="W104">
        <f>HYPERLINK("https://klasma.github.io/Logging_0980/klagomålsmail/A 12519-2021 FSC-klagomål mail.docx", "A 12519-2021")</f>
        <v/>
      </c>
      <c r="X104">
        <f>HYPERLINK("https://klasma.github.io/Logging_0980/tillsyn/A 12519-2021 tillsynsbegäran.docx", "A 12519-2021")</f>
        <v/>
      </c>
      <c r="Y104">
        <f>HYPERLINK("https://klasma.github.io/Logging_0980/tillsynsmail/A 12519-2021 tillsynsbegäran mail.docx", "A 12519-2021")</f>
        <v/>
      </c>
    </row>
    <row r="105" ht="15" customHeight="1">
      <c r="A105" t="inlineStr">
        <is>
          <t>A 2332-2021</t>
        </is>
      </c>
      <c r="B105" s="1" t="n">
        <v>44214</v>
      </c>
      <c r="C105" s="1" t="n">
        <v>45976</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45976</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73144-2021</t>
        </is>
      </c>
      <c r="B107" s="1" t="n">
        <v>44550</v>
      </c>
      <c r="C107" s="1" t="n">
        <v>45976</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32718-2021</t>
        </is>
      </c>
      <c r="B108" s="1" t="n">
        <v>44375</v>
      </c>
      <c r="C108" s="1" t="n">
        <v>45976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20831-2024</t>
        </is>
      </c>
      <c r="B109" s="1" t="n">
        <v>45439</v>
      </c>
      <c r="C109" s="1" t="n">
        <v>45976</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13499-2022</t>
        </is>
      </c>
      <c r="B110" s="1" t="n">
        <v>44647.79203703703</v>
      </c>
      <c r="C110" s="1" t="n">
        <v>45976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45976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17975-2024</t>
        </is>
      </c>
      <c r="B112" s="1" t="n">
        <v>45419.85546296297</v>
      </c>
      <c r="C112" s="1" t="n">
        <v>45976</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62326-2020</t>
        </is>
      </c>
      <c r="B113" s="1" t="n">
        <v>44160</v>
      </c>
      <c r="C113" s="1" t="n">
        <v>45976</v>
      </c>
      <c r="D113" t="inlineStr">
        <is>
          <t>GOTLANDS LÄN</t>
        </is>
      </c>
      <c r="E113" t="inlineStr">
        <is>
          <t>GOTLAND</t>
        </is>
      </c>
      <c r="G113" t="n">
        <v>7.4</v>
      </c>
      <c r="H113" t="n">
        <v>1</v>
      </c>
      <c r="I113" t="n">
        <v>3</v>
      </c>
      <c r="J113" t="n">
        <v>0</v>
      </c>
      <c r="K113" t="n">
        <v>0</v>
      </c>
      <c r="L113" t="n">
        <v>0</v>
      </c>
      <c r="M113" t="n">
        <v>0</v>
      </c>
      <c r="N113" t="n">
        <v>0</v>
      </c>
      <c r="O113" t="n">
        <v>0</v>
      </c>
      <c r="P113" t="n">
        <v>0</v>
      </c>
      <c r="Q113" t="n">
        <v>3</v>
      </c>
      <c r="R113" s="2" t="inlineStr">
        <is>
          <t>Anisspindling
Blåmossa
Skogsknipprot</t>
        </is>
      </c>
      <c r="S113">
        <f>HYPERLINK("https://klasma.github.io/Logging_0980/artfynd/A 62326-2020 artfynd.xlsx", "A 62326-2020")</f>
        <v/>
      </c>
      <c r="T113">
        <f>HYPERLINK("https://klasma.github.io/Logging_0980/kartor/A 62326-2020 karta.png", "A 62326-2020")</f>
        <v/>
      </c>
      <c r="V113">
        <f>HYPERLINK("https://klasma.github.io/Logging_0980/klagomål/A 62326-2020 FSC-klagomål.docx", "A 62326-2020")</f>
        <v/>
      </c>
      <c r="W113">
        <f>HYPERLINK("https://klasma.github.io/Logging_0980/klagomålsmail/A 62326-2020 FSC-klagomål mail.docx", "A 62326-2020")</f>
        <v/>
      </c>
      <c r="X113">
        <f>HYPERLINK("https://klasma.github.io/Logging_0980/tillsyn/A 62326-2020 tillsynsbegäran.docx", "A 62326-2020")</f>
        <v/>
      </c>
      <c r="Y113">
        <f>HYPERLINK("https://klasma.github.io/Logging_0980/tillsynsmail/A 62326-2020 tillsynsbegäran mail.docx", "A 62326-2020")</f>
        <v/>
      </c>
    </row>
    <row r="114" ht="15" customHeight="1">
      <c r="A114" t="inlineStr">
        <is>
          <t>A 49709-2025</t>
        </is>
      </c>
      <c r="B114" s="1" t="n">
        <v>45939.68228009259</v>
      </c>
      <c r="C114" s="1" t="n">
        <v>45976</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48126-2022</t>
        </is>
      </c>
      <c r="B115" s="1" t="n">
        <v>44857</v>
      </c>
      <c r="C115" s="1" t="n">
        <v>45976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17982-2023</t>
        </is>
      </c>
      <c r="B116" s="1" t="n">
        <v>45040</v>
      </c>
      <c r="C116" s="1" t="n">
        <v>45976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55334-2024</t>
        </is>
      </c>
      <c r="B117" s="1" t="n">
        <v>45621</v>
      </c>
      <c r="C117" s="1" t="n">
        <v>45976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45976</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53552-2021</t>
        </is>
      </c>
      <c r="B119" s="1" t="n">
        <v>44468</v>
      </c>
      <c r="C119" s="1" t="n">
        <v>45976</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12315-2024</t>
        </is>
      </c>
      <c r="B120" s="1" t="n">
        <v>45378.6434837963</v>
      </c>
      <c r="C120" s="1" t="n">
        <v>45976</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29870-2021</t>
        </is>
      </c>
      <c r="B121" s="1" t="n">
        <v>44362</v>
      </c>
      <c r="C121" s="1" t="n">
        <v>45976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45976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45976</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45976</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45976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45976</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60665-2021</t>
        </is>
      </c>
      <c r="B127" s="1" t="n">
        <v>44496</v>
      </c>
      <c r="C127" s="1" t="n">
        <v>45976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64263-2020</t>
        </is>
      </c>
      <c r="B128" s="1" t="n">
        <v>44168</v>
      </c>
      <c r="C128" s="1" t="n">
        <v>45976</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55649-2024</t>
        </is>
      </c>
      <c r="B129" s="1" t="n">
        <v>45622.63053240741</v>
      </c>
      <c r="C129" s="1" t="n">
        <v>45976</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12914-2025</t>
        </is>
      </c>
      <c r="B130" s="1" t="n">
        <v>45733</v>
      </c>
      <c r="C130" s="1" t="n">
        <v>45976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43219-2023</t>
        </is>
      </c>
      <c r="B131" s="1" t="n">
        <v>45183</v>
      </c>
      <c r="C131" s="1" t="n">
        <v>45976</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28276-2024</t>
        </is>
      </c>
      <c r="B132" s="1" t="n">
        <v>45477</v>
      </c>
      <c r="C132" s="1" t="n">
        <v>45976</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28276-2024 artfynd.xlsx", "A 28276-2024")</f>
        <v/>
      </c>
      <c r="T132">
        <f>HYPERLINK("https://klasma.github.io/Logging_0980/kartor/A 28276-2024 karta.png", "A 28276-2024")</f>
        <v/>
      </c>
      <c r="V132">
        <f>HYPERLINK("https://klasma.github.io/Logging_0980/klagomål/A 28276-2024 FSC-klagomål.docx", "A 28276-2024")</f>
        <v/>
      </c>
      <c r="W132">
        <f>HYPERLINK("https://klasma.github.io/Logging_0980/klagomålsmail/A 28276-2024 FSC-klagomål mail.docx", "A 28276-2024")</f>
        <v/>
      </c>
      <c r="X132">
        <f>HYPERLINK("https://klasma.github.io/Logging_0980/tillsyn/A 28276-2024 tillsynsbegäran.docx", "A 28276-2024")</f>
        <v/>
      </c>
      <c r="Y132">
        <f>HYPERLINK("https://klasma.github.io/Logging_0980/tillsynsmail/A 28276-2024 tillsynsbegäran mail.docx", "A 28276-2024")</f>
        <v/>
      </c>
    </row>
    <row r="133" ht="15" customHeight="1">
      <c r="A133" t="inlineStr">
        <is>
          <t>A 54357-2024</t>
        </is>
      </c>
      <c r="B133" s="1" t="n">
        <v>45617.40662037037</v>
      </c>
      <c r="C133" s="1" t="n">
        <v>45976</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45976</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7070-2022</t>
        </is>
      </c>
      <c r="B135" s="1" t="n">
        <v>44603</v>
      </c>
      <c r="C135" s="1" t="n">
        <v>45976</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45976</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52245-2025</t>
        </is>
      </c>
      <c r="B137" s="1" t="n">
        <v>45953.47115740741</v>
      </c>
      <c r="C137" s="1" t="n">
        <v>45976</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26077-2024</t>
        </is>
      </c>
      <c r="B138" s="1" t="n">
        <v>45467</v>
      </c>
      <c r="C138" s="1" t="n">
        <v>45976</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24-2021</t>
        </is>
      </c>
      <c r="B139" s="1" t="n">
        <v>44197</v>
      </c>
      <c r="C139" s="1" t="n">
        <v>45976</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45976</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45976</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45976</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24245-2022</t>
        </is>
      </c>
      <c r="B145" s="1" t="n">
        <v>44725</v>
      </c>
      <c r="C145" s="1" t="n">
        <v>45976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22883-2024</t>
        </is>
      </c>
      <c r="B146" s="1" t="n">
        <v>45448.66368055555</v>
      </c>
      <c r="C146" s="1" t="n">
        <v>45976</v>
      </c>
      <c r="D146" t="inlineStr">
        <is>
          <t>GOTLANDS LÄN</t>
        </is>
      </c>
      <c r="E146" t="inlineStr">
        <is>
          <t>GOTLAND</t>
        </is>
      </c>
      <c r="G146" t="n">
        <v>0.5</v>
      </c>
      <c r="H146" t="n">
        <v>0</v>
      </c>
      <c r="I146" t="n">
        <v>0</v>
      </c>
      <c r="J146" t="n">
        <v>0</v>
      </c>
      <c r="K146" t="n">
        <v>1</v>
      </c>
      <c r="L146" t="n">
        <v>0</v>
      </c>
      <c r="M146" t="n">
        <v>0</v>
      </c>
      <c r="N146" t="n">
        <v>0</v>
      </c>
      <c r="O146" t="n">
        <v>1</v>
      </c>
      <c r="P146" t="n">
        <v>1</v>
      </c>
      <c r="Q146" t="n">
        <v>1</v>
      </c>
      <c r="R146" s="2" t="inlineStr">
        <is>
          <t>Gotlandsmåra</t>
        </is>
      </c>
      <c r="S146">
        <f>HYPERLINK("https://klasma.github.io/Logging_0980/artfynd/A 22883-2024 artfynd.xlsx", "A 22883-2024")</f>
        <v/>
      </c>
      <c r="T146">
        <f>HYPERLINK("https://klasma.github.io/Logging_0980/kartor/A 22883-2024 karta.png", "A 22883-2024")</f>
        <v/>
      </c>
      <c r="V146">
        <f>HYPERLINK("https://klasma.github.io/Logging_0980/klagomål/A 22883-2024 FSC-klagomål.docx", "A 22883-2024")</f>
        <v/>
      </c>
      <c r="W146">
        <f>HYPERLINK("https://klasma.github.io/Logging_0980/klagomålsmail/A 22883-2024 FSC-klagomål mail.docx", "A 22883-2024")</f>
        <v/>
      </c>
      <c r="X146">
        <f>HYPERLINK("https://klasma.github.io/Logging_0980/tillsyn/A 22883-2024 tillsynsbegäran.docx", "A 22883-2024")</f>
        <v/>
      </c>
      <c r="Y146">
        <f>HYPERLINK("https://klasma.github.io/Logging_0980/tillsynsmail/A 22883-2024 tillsynsbegäran mail.docx", "A 22883-2024")</f>
        <v/>
      </c>
    </row>
    <row r="147" ht="15" customHeight="1">
      <c r="A147" t="inlineStr">
        <is>
          <t>A 64700-2021</t>
        </is>
      </c>
      <c r="B147" s="1" t="n">
        <v>44511</v>
      </c>
      <c r="C147" s="1" t="n">
        <v>45976</v>
      </c>
      <c r="D147" t="inlineStr">
        <is>
          <t>GOTLANDS LÄN</t>
        </is>
      </c>
      <c r="E147" t="inlineStr">
        <is>
          <t>GOTLAND</t>
        </is>
      </c>
      <c r="F147" t="inlineStr">
        <is>
          <t>Naturvårdsverket</t>
        </is>
      </c>
      <c r="G147" t="n">
        <v>2.4</v>
      </c>
      <c r="H147" t="n">
        <v>1</v>
      </c>
      <c r="I147" t="n">
        <v>0</v>
      </c>
      <c r="J147" t="n">
        <v>0</v>
      </c>
      <c r="K147" t="n">
        <v>1</v>
      </c>
      <c r="L147" t="n">
        <v>0</v>
      </c>
      <c r="M147" t="n">
        <v>0</v>
      </c>
      <c r="N147" t="n">
        <v>0</v>
      </c>
      <c r="O147" t="n">
        <v>1</v>
      </c>
      <c r="P147" t="n">
        <v>1</v>
      </c>
      <c r="Q147" t="n">
        <v>1</v>
      </c>
      <c r="R147" s="2" t="inlineStr">
        <is>
          <t>Kalkdån</t>
        </is>
      </c>
      <c r="S147">
        <f>HYPERLINK("https://klasma.github.io/Logging_0980/artfynd/A 64700-2021 artfynd.xlsx", "A 64700-2021")</f>
        <v/>
      </c>
      <c r="T147">
        <f>HYPERLINK("https://klasma.github.io/Logging_0980/kartor/A 64700-2021 karta.png", "A 64700-2021")</f>
        <v/>
      </c>
      <c r="V147">
        <f>HYPERLINK("https://klasma.github.io/Logging_0980/klagomål/A 64700-2021 FSC-klagomål.docx", "A 64700-2021")</f>
        <v/>
      </c>
      <c r="W147">
        <f>HYPERLINK("https://klasma.github.io/Logging_0980/klagomålsmail/A 64700-2021 FSC-klagomål mail.docx", "A 64700-2021")</f>
        <v/>
      </c>
      <c r="X147">
        <f>HYPERLINK("https://klasma.github.io/Logging_0980/tillsyn/A 64700-2021 tillsynsbegäran.docx", "A 64700-2021")</f>
        <v/>
      </c>
      <c r="Y147">
        <f>HYPERLINK("https://klasma.github.io/Logging_0980/tillsynsmail/A 64700-2021 tillsynsbegäran mail.docx", "A 64700-2021")</f>
        <v/>
      </c>
    </row>
    <row r="148" ht="15" customHeight="1">
      <c r="A148" t="inlineStr">
        <is>
          <t>A 65927-2021</t>
        </is>
      </c>
      <c r="B148" s="1" t="n">
        <v>44516</v>
      </c>
      <c r="C148" s="1" t="n">
        <v>45976</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35574-2024</t>
        </is>
      </c>
      <c r="B149" s="1" t="n">
        <v>45531</v>
      </c>
      <c r="C149" s="1" t="n">
        <v>45976</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947-2023</t>
        </is>
      </c>
      <c r="B150" s="1" t="n">
        <v>44934</v>
      </c>
      <c r="C150" s="1" t="n">
        <v>45976</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37591-2023</t>
        </is>
      </c>
      <c r="B151" s="1" t="n">
        <v>45159</v>
      </c>
      <c r="C151" s="1" t="n">
        <v>45976</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15637-2024</t>
        </is>
      </c>
      <c r="B152" s="1" t="n">
        <v>45403.6684837963</v>
      </c>
      <c r="C152" s="1" t="n">
        <v>45976</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12924-2025</t>
        </is>
      </c>
      <c r="B153" s="1" t="n">
        <v>45734</v>
      </c>
      <c r="C153" s="1" t="n">
        <v>45976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61561-2023</t>
        </is>
      </c>
      <c r="B154" s="1" t="n">
        <v>45265</v>
      </c>
      <c r="C154" s="1" t="n">
        <v>45976</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13939-2021</t>
        </is>
      </c>
      <c r="B155" s="1" t="n">
        <v>44277</v>
      </c>
      <c r="C155" s="1" t="n">
        <v>45976</v>
      </c>
      <c r="D155" t="inlineStr">
        <is>
          <t>GOTLANDS LÄN</t>
        </is>
      </c>
      <c r="E155" t="inlineStr">
        <is>
          <t>GOTLAND</t>
        </is>
      </c>
      <c r="G155" t="n">
        <v>1</v>
      </c>
      <c r="H155" t="n">
        <v>0</v>
      </c>
      <c r="I155" t="n">
        <v>0</v>
      </c>
      <c r="J155" t="n">
        <v>1</v>
      </c>
      <c r="K155" t="n">
        <v>0</v>
      </c>
      <c r="L155" t="n">
        <v>0</v>
      </c>
      <c r="M155" t="n">
        <v>0</v>
      </c>
      <c r="N155" t="n">
        <v>0</v>
      </c>
      <c r="O155" t="n">
        <v>1</v>
      </c>
      <c r="P155" t="n">
        <v>0</v>
      </c>
      <c r="Q155" t="n">
        <v>1</v>
      </c>
      <c r="R155" s="2" t="inlineStr">
        <is>
          <t>Axveronika</t>
        </is>
      </c>
      <c r="S155">
        <f>HYPERLINK("https://klasma.github.io/Logging_0980/artfynd/A 13939-2021 artfynd.xlsx", "A 13939-2021")</f>
        <v/>
      </c>
      <c r="T155">
        <f>HYPERLINK("https://klasma.github.io/Logging_0980/kartor/A 13939-2021 karta.png", "A 13939-2021")</f>
        <v/>
      </c>
      <c r="V155">
        <f>HYPERLINK("https://klasma.github.io/Logging_0980/klagomål/A 13939-2021 FSC-klagomål.docx", "A 13939-2021")</f>
        <v/>
      </c>
      <c r="W155">
        <f>HYPERLINK("https://klasma.github.io/Logging_0980/klagomålsmail/A 13939-2021 FSC-klagomål mail.docx", "A 13939-2021")</f>
        <v/>
      </c>
      <c r="X155">
        <f>HYPERLINK("https://klasma.github.io/Logging_0980/tillsyn/A 13939-2021 tillsynsbegäran.docx", "A 13939-2021")</f>
        <v/>
      </c>
      <c r="Y155">
        <f>HYPERLINK("https://klasma.github.io/Logging_0980/tillsynsmail/A 13939-2021 tillsynsbegäran mail.docx", "A 13939-2021")</f>
        <v/>
      </c>
    </row>
    <row r="156" ht="15" customHeight="1">
      <c r="A156" t="inlineStr">
        <is>
          <t>A 63299-2020</t>
        </is>
      </c>
      <c r="B156" s="1" t="n">
        <v>44165</v>
      </c>
      <c r="C156" s="1" t="n">
        <v>45976</v>
      </c>
      <c r="D156" t="inlineStr">
        <is>
          <t>GOTLANDS LÄN</t>
        </is>
      </c>
      <c r="E156" t="inlineStr">
        <is>
          <t>GOTLAND</t>
        </is>
      </c>
      <c r="G156" t="n">
        <v>12.9</v>
      </c>
      <c r="H156" t="n">
        <v>1</v>
      </c>
      <c r="I156" t="n">
        <v>0</v>
      </c>
      <c r="J156" t="n">
        <v>1</v>
      </c>
      <c r="K156" t="n">
        <v>0</v>
      </c>
      <c r="L156" t="n">
        <v>0</v>
      </c>
      <c r="M156" t="n">
        <v>0</v>
      </c>
      <c r="N156" t="n">
        <v>0</v>
      </c>
      <c r="O156" t="n">
        <v>1</v>
      </c>
      <c r="P156" t="n">
        <v>0</v>
      </c>
      <c r="Q156" t="n">
        <v>1</v>
      </c>
      <c r="R156" s="2" t="inlineStr">
        <is>
          <t>Svartfläckig blåvinge</t>
        </is>
      </c>
      <c r="S156">
        <f>HYPERLINK("https://klasma.github.io/Logging_0980/artfynd/A 63299-2020 artfynd.xlsx", "A 63299-2020")</f>
        <v/>
      </c>
      <c r="T156">
        <f>HYPERLINK("https://klasma.github.io/Logging_0980/kartor/A 63299-2020 karta.png", "A 63299-2020")</f>
        <v/>
      </c>
      <c r="V156">
        <f>HYPERLINK("https://klasma.github.io/Logging_0980/klagomål/A 63299-2020 FSC-klagomål.docx", "A 63299-2020")</f>
        <v/>
      </c>
      <c r="W156">
        <f>HYPERLINK("https://klasma.github.io/Logging_0980/klagomålsmail/A 63299-2020 FSC-klagomål mail.docx", "A 63299-2020")</f>
        <v/>
      </c>
      <c r="X156">
        <f>HYPERLINK("https://klasma.github.io/Logging_0980/tillsyn/A 63299-2020 tillsynsbegäran.docx", "A 63299-2020")</f>
        <v/>
      </c>
      <c r="Y156">
        <f>HYPERLINK("https://klasma.github.io/Logging_0980/tillsynsmail/A 63299-2020 tillsynsbegäran mail.docx", "A 63299-2020")</f>
        <v/>
      </c>
    </row>
    <row r="157" ht="15" customHeight="1">
      <c r="A157" t="inlineStr">
        <is>
          <t>A 20429-2025</t>
        </is>
      </c>
      <c r="B157" s="1" t="n">
        <v>45775.47728009259</v>
      </c>
      <c r="C157" s="1" t="n">
        <v>45976</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49847-2023</t>
        </is>
      </c>
      <c r="B158" s="1" t="n">
        <v>45212</v>
      </c>
      <c r="C158" s="1" t="n">
        <v>45976</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39812-2025</t>
        </is>
      </c>
      <c r="B159" s="1" t="n">
        <v>45891</v>
      </c>
      <c r="C159" s="1" t="n">
        <v>45976</v>
      </c>
      <c r="D159" t="inlineStr">
        <is>
          <t>GOTLANDS LÄN</t>
        </is>
      </c>
      <c r="E159" t="inlineStr">
        <is>
          <t>GOTLAND</t>
        </is>
      </c>
      <c r="G159" t="n">
        <v>6</v>
      </c>
      <c r="H159" t="n">
        <v>1</v>
      </c>
      <c r="I159" t="n">
        <v>0</v>
      </c>
      <c r="J159" t="n">
        <v>0</v>
      </c>
      <c r="K159" t="n">
        <v>0</v>
      </c>
      <c r="L159" t="n">
        <v>1</v>
      </c>
      <c r="M159" t="n">
        <v>0</v>
      </c>
      <c r="N159" t="n">
        <v>0</v>
      </c>
      <c r="O159" t="n">
        <v>1</v>
      </c>
      <c r="P159" t="n">
        <v>1</v>
      </c>
      <c r="Q159" t="n">
        <v>1</v>
      </c>
      <c r="R159" s="2" t="inlineStr">
        <is>
          <t>Nålkörvel</t>
        </is>
      </c>
      <c r="S159">
        <f>HYPERLINK("https://klasma.github.io/Logging_0980/artfynd/A 39812-2025 artfynd.xlsx", "A 39812-2025")</f>
        <v/>
      </c>
      <c r="T159">
        <f>HYPERLINK("https://klasma.github.io/Logging_0980/kartor/A 39812-2025 karta.png", "A 39812-2025")</f>
        <v/>
      </c>
      <c r="V159">
        <f>HYPERLINK("https://klasma.github.io/Logging_0980/klagomål/A 39812-2025 FSC-klagomål.docx", "A 39812-2025")</f>
        <v/>
      </c>
      <c r="W159">
        <f>HYPERLINK("https://klasma.github.io/Logging_0980/klagomålsmail/A 39812-2025 FSC-klagomål mail.docx", "A 39812-2025")</f>
        <v/>
      </c>
      <c r="X159">
        <f>HYPERLINK("https://klasma.github.io/Logging_0980/tillsyn/A 39812-2025 tillsynsbegäran.docx", "A 39812-2025")</f>
        <v/>
      </c>
      <c r="Y159">
        <f>HYPERLINK("https://klasma.github.io/Logging_0980/tillsynsmail/A 39812-2025 tillsynsbegäran mail.docx", "A 39812-2025")</f>
        <v/>
      </c>
    </row>
    <row r="160" ht="15" customHeight="1">
      <c r="A160" t="inlineStr">
        <is>
          <t>A 12324-2025</t>
        </is>
      </c>
      <c r="B160" s="1" t="n">
        <v>45730</v>
      </c>
      <c r="C160" s="1" t="n">
        <v>45976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44308-2021</t>
        </is>
      </c>
      <c r="B161" s="1" t="n">
        <v>44434</v>
      </c>
      <c r="C161" s="1" t="n">
        <v>45976</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46527-2023</t>
        </is>
      </c>
      <c r="B162" s="1" t="n">
        <v>45197</v>
      </c>
      <c r="C162" s="1" t="n">
        <v>45976</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49726-2025</t>
        </is>
      </c>
      <c r="B163" s="1" t="n">
        <v>45939.84466435185</v>
      </c>
      <c r="C163" s="1" t="n">
        <v>45976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17723-2021</t>
        </is>
      </c>
      <c r="B164" s="1" t="n">
        <v>44300</v>
      </c>
      <c r="C164" s="1" t="n">
        <v>45976</v>
      </c>
      <c r="D164" t="inlineStr">
        <is>
          <t>GOTLANDS LÄN</t>
        </is>
      </c>
      <c r="E164" t="inlineStr">
        <is>
          <t>GOTLAND</t>
        </is>
      </c>
      <c r="G164" t="n">
        <v>1.5</v>
      </c>
      <c r="H164" t="n">
        <v>1</v>
      </c>
      <c r="I164" t="n">
        <v>1</v>
      </c>
      <c r="J164" t="n">
        <v>0</v>
      </c>
      <c r="K164" t="n">
        <v>0</v>
      </c>
      <c r="L164" t="n">
        <v>0</v>
      </c>
      <c r="M164" t="n">
        <v>0</v>
      </c>
      <c r="N164" t="n">
        <v>0</v>
      </c>
      <c r="O164" t="n">
        <v>0</v>
      </c>
      <c r="P164" t="n">
        <v>0</v>
      </c>
      <c r="Q164" t="n">
        <v>1</v>
      </c>
      <c r="R164" s="2" t="inlineStr">
        <is>
          <t>Vit skogslilja</t>
        </is>
      </c>
      <c r="S164">
        <f>HYPERLINK("https://klasma.github.io/Logging_0980/artfynd/A 17723-2021 artfynd.xlsx", "A 17723-2021")</f>
        <v/>
      </c>
      <c r="T164">
        <f>HYPERLINK("https://klasma.github.io/Logging_0980/kartor/A 17723-2021 karta.png", "A 17723-2021")</f>
        <v/>
      </c>
      <c r="V164">
        <f>HYPERLINK("https://klasma.github.io/Logging_0980/klagomål/A 17723-2021 FSC-klagomål.docx", "A 17723-2021")</f>
        <v/>
      </c>
      <c r="W164">
        <f>HYPERLINK("https://klasma.github.io/Logging_0980/klagomålsmail/A 17723-2021 FSC-klagomål mail.docx", "A 17723-2021")</f>
        <v/>
      </c>
      <c r="X164">
        <f>HYPERLINK("https://klasma.github.io/Logging_0980/tillsyn/A 17723-2021 tillsynsbegäran.docx", "A 17723-2021")</f>
        <v/>
      </c>
      <c r="Y164">
        <f>HYPERLINK("https://klasma.github.io/Logging_0980/tillsynsmail/A 17723-2021 tillsynsbegäran mail.docx", "A 17723-2021")</f>
        <v/>
      </c>
    </row>
    <row r="165" ht="15" customHeight="1">
      <c r="A165" t="inlineStr">
        <is>
          <t>A 2476-2025</t>
        </is>
      </c>
      <c r="B165" s="1" t="n">
        <v>45673</v>
      </c>
      <c r="C165" s="1" t="n">
        <v>45976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447-2023</t>
        </is>
      </c>
      <c r="B166" s="1" t="n">
        <v>44929</v>
      </c>
      <c r="C166" s="1" t="n">
        <v>45976</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10995-2023</t>
        </is>
      </c>
      <c r="B167" s="1" t="n">
        <v>44986</v>
      </c>
      <c r="C167" s="1" t="n">
        <v>45976</v>
      </c>
      <c r="D167" t="inlineStr">
        <is>
          <t>GOTLANDS LÄN</t>
        </is>
      </c>
      <c r="E167" t="inlineStr">
        <is>
          <t>GOTLAND</t>
        </is>
      </c>
      <c r="G167" t="n">
        <v>2.8</v>
      </c>
      <c r="H167" t="n">
        <v>0</v>
      </c>
      <c r="I167" t="n">
        <v>0</v>
      </c>
      <c r="J167" t="n">
        <v>0</v>
      </c>
      <c r="K167" t="n">
        <v>1</v>
      </c>
      <c r="L167" t="n">
        <v>0</v>
      </c>
      <c r="M167" t="n">
        <v>0</v>
      </c>
      <c r="N167" t="n">
        <v>0</v>
      </c>
      <c r="O167" t="n">
        <v>1</v>
      </c>
      <c r="P167" t="n">
        <v>1</v>
      </c>
      <c r="Q167" t="n">
        <v>1</v>
      </c>
      <c r="R167" s="2" t="inlineStr">
        <is>
          <t>Violettfläckig spindling</t>
        </is>
      </c>
      <c r="S167">
        <f>HYPERLINK("https://klasma.github.io/Logging_0980/artfynd/A 10995-2023 artfynd.xlsx", "A 10995-2023")</f>
        <v/>
      </c>
      <c r="T167">
        <f>HYPERLINK("https://klasma.github.io/Logging_0980/kartor/A 10995-2023 karta.png", "A 10995-2023")</f>
        <v/>
      </c>
      <c r="V167">
        <f>HYPERLINK("https://klasma.github.io/Logging_0980/klagomål/A 10995-2023 FSC-klagomål.docx", "A 10995-2023")</f>
        <v/>
      </c>
      <c r="W167">
        <f>HYPERLINK("https://klasma.github.io/Logging_0980/klagomålsmail/A 10995-2023 FSC-klagomål mail.docx", "A 10995-2023")</f>
        <v/>
      </c>
      <c r="X167">
        <f>HYPERLINK("https://klasma.github.io/Logging_0980/tillsyn/A 10995-2023 tillsynsbegäran.docx", "A 10995-2023")</f>
        <v/>
      </c>
      <c r="Y167">
        <f>HYPERLINK("https://klasma.github.io/Logging_0980/tillsynsmail/A 10995-2023 tillsynsbegäran mail.docx", "A 10995-2023")</f>
        <v/>
      </c>
    </row>
    <row r="168" ht="15" customHeight="1">
      <c r="A168" t="inlineStr">
        <is>
          <t>A 63576-2021</t>
        </is>
      </c>
      <c r="B168" s="1" t="n">
        <v>44508</v>
      </c>
      <c r="C168" s="1" t="n">
        <v>45976</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6303-2024</t>
        </is>
      </c>
      <c r="B169" s="1" t="n">
        <v>45338.35376157407</v>
      </c>
      <c r="C169" s="1" t="n">
        <v>45976</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Strävlosta</t>
        </is>
      </c>
      <c r="S169">
        <f>HYPERLINK("https://klasma.github.io/Logging_0980/artfynd/A 6303-2024 artfynd.xlsx", "A 6303-2024")</f>
        <v/>
      </c>
      <c r="T169">
        <f>HYPERLINK("https://klasma.github.io/Logging_0980/kartor/A 6303-2024 karta.png", "A 6303-2024")</f>
        <v/>
      </c>
      <c r="V169">
        <f>HYPERLINK("https://klasma.github.io/Logging_0980/klagomål/A 6303-2024 FSC-klagomål.docx", "A 6303-2024")</f>
        <v/>
      </c>
      <c r="W169">
        <f>HYPERLINK("https://klasma.github.io/Logging_0980/klagomålsmail/A 6303-2024 FSC-klagomål mail.docx", "A 6303-2024")</f>
        <v/>
      </c>
      <c r="X169">
        <f>HYPERLINK("https://klasma.github.io/Logging_0980/tillsyn/A 6303-2024 tillsynsbegäran.docx", "A 6303-2024")</f>
        <v/>
      </c>
      <c r="Y169">
        <f>HYPERLINK("https://klasma.github.io/Logging_0980/tillsynsmail/A 6303-2024 tillsynsbegäran mail.docx", "A 6303-2024")</f>
        <v/>
      </c>
    </row>
    <row r="170" ht="15" customHeight="1">
      <c r="A170" t="inlineStr">
        <is>
          <t>A 62552-2022</t>
        </is>
      </c>
      <c r="B170" s="1" t="n">
        <v>44924</v>
      </c>
      <c r="C170" s="1" t="n">
        <v>45976</v>
      </c>
      <c r="D170" t="inlineStr">
        <is>
          <t>GOTLANDS LÄN</t>
        </is>
      </c>
      <c r="E170" t="inlineStr">
        <is>
          <t>GOTLAND</t>
        </is>
      </c>
      <c r="G170" t="n">
        <v>1.6</v>
      </c>
      <c r="H170" t="n">
        <v>0</v>
      </c>
      <c r="I170" t="n">
        <v>0</v>
      </c>
      <c r="J170" t="n">
        <v>1</v>
      </c>
      <c r="K170" t="n">
        <v>0</v>
      </c>
      <c r="L170" t="n">
        <v>0</v>
      </c>
      <c r="M170" t="n">
        <v>0</v>
      </c>
      <c r="N170" t="n">
        <v>0</v>
      </c>
      <c r="O170" t="n">
        <v>1</v>
      </c>
      <c r="P170" t="n">
        <v>0</v>
      </c>
      <c r="Q170" t="n">
        <v>1</v>
      </c>
      <c r="R170" s="2" t="inlineStr">
        <is>
          <t>Äggspindling</t>
        </is>
      </c>
      <c r="S170">
        <f>HYPERLINK("https://klasma.github.io/Logging_0980/artfynd/A 62552-2022 artfynd.xlsx", "A 62552-2022")</f>
        <v/>
      </c>
      <c r="T170">
        <f>HYPERLINK("https://klasma.github.io/Logging_0980/kartor/A 62552-2022 karta.png", "A 62552-2022")</f>
        <v/>
      </c>
      <c r="V170">
        <f>HYPERLINK("https://klasma.github.io/Logging_0980/klagomål/A 62552-2022 FSC-klagomål.docx", "A 62552-2022")</f>
        <v/>
      </c>
      <c r="W170">
        <f>HYPERLINK("https://klasma.github.io/Logging_0980/klagomålsmail/A 62552-2022 FSC-klagomål mail.docx", "A 62552-2022")</f>
        <v/>
      </c>
      <c r="X170">
        <f>HYPERLINK("https://klasma.github.io/Logging_0980/tillsyn/A 62552-2022 tillsynsbegäran.docx", "A 62552-2022")</f>
        <v/>
      </c>
      <c r="Y170">
        <f>HYPERLINK("https://klasma.github.io/Logging_0980/tillsynsmail/A 62552-2022 tillsynsbegäran mail.docx", "A 62552-2022")</f>
        <v/>
      </c>
    </row>
    <row r="171" ht="15" customHeight="1">
      <c r="A171" t="inlineStr">
        <is>
          <t>A 27168-2022</t>
        </is>
      </c>
      <c r="B171" s="1" t="n">
        <v>44741</v>
      </c>
      <c r="C171" s="1" t="n">
        <v>45976</v>
      </c>
      <c r="D171" t="inlineStr">
        <is>
          <t>GOTLANDS LÄN</t>
        </is>
      </c>
      <c r="E171" t="inlineStr">
        <is>
          <t>GOTLAND</t>
        </is>
      </c>
      <c r="G171" t="n">
        <v>2.2</v>
      </c>
      <c r="H171" t="n">
        <v>1</v>
      </c>
      <c r="I171" t="n">
        <v>1</v>
      </c>
      <c r="J171" t="n">
        <v>0</v>
      </c>
      <c r="K171" t="n">
        <v>0</v>
      </c>
      <c r="L171" t="n">
        <v>0</v>
      </c>
      <c r="M171" t="n">
        <v>0</v>
      </c>
      <c r="N171" t="n">
        <v>0</v>
      </c>
      <c r="O171" t="n">
        <v>0</v>
      </c>
      <c r="P171" t="n">
        <v>0</v>
      </c>
      <c r="Q171" t="n">
        <v>1</v>
      </c>
      <c r="R171" s="2" t="inlineStr">
        <is>
          <t>Purpurknipprot</t>
        </is>
      </c>
      <c r="S171">
        <f>HYPERLINK("https://klasma.github.io/Logging_0980/artfynd/A 27168-2022 artfynd.xlsx", "A 27168-2022")</f>
        <v/>
      </c>
      <c r="T171">
        <f>HYPERLINK("https://klasma.github.io/Logging_0980/kartor/A 27168-2022 karta.png", "A 27168-2022")</f>
        <v/>
      </c>
      <c r="V171">
        <f>HYPERLINK("https://klasma.github.io/Logging_0980/klagomål/A 27168-2022 FSC-klagomål.docx", "A 27168-2022")</f>
        <v/>
      </c>
      <c r="W171">
        <f>HYPERLINK("https://klasma.github.io/Logging_0980/klagomålsmail/A 27168-2022 FSC-klagomål mail.docx", "A 27168-2022")</f>
        <v/>
      </c>
      <c r="X171">
        <f>HYPERLINK("https://klasma.github.io/Logging_0980/tillsyn/A 27168-2022 tillsynsbegäran.docx", "A 27168-2022")</f>
        <v/>
      </c>
      <c r="Y171">
        <f>HYPERLINK("https://klasma.github.io/Logging_0980/tillsynsmail/A 27168-2022 tillsynsbegäran mail.docx", "A 27168-2022")</f>
        <v/>
      </c>
    </row>
    <row r="172" ht="15" customHeight="1">
      <c r="A172" t="inlineStr">
        <is>
          <t>A 25977-2024</t>
        </is>
      </c>
      <c r="B172" s="1" t="n">
        <v>45467.69356481481</v>
      </c>
      <c r="C172" s="1" t="n">
        <v>45976</v>
      </c>
      <c r="D172" t="inlineStr">
        <is>
          <t>GOTLANDS LÄN</t>
        </is>
      </c>
      <c r="E172" t="inlineStr">
        <is>
          <t>GOTLAND</t>
        </is>
      </c>
      <c r="G172" t="n">
        <v>3</v>
      </c>
      <c r="H172" t="n">
        <v>1</v>
      </c>
      <c r="I172" t="n">
        <v>0</v>
      </c>
      <c r="J172" t="n">
        <v>0</v>
      </c>
      <c r="K172" t="n">
        <v>0</v>
      </c>
      <c r="L172" t="n">
        <v>0</v>
      </c>
      <c r="M172" t="n">
        <v>0</v>
      </c>
      <c r="N172" t="n">
        <v>0</v>
      </c>
      <c r="O172" t="n">
        <v>0</v>
      </c>
      <c r="P172" t="n">
        <v>0</v>
      </c>
      <c r="Q172" t="n">
        <v>1</v>
      </c>
      <c r="R172" s="2" t="inlineStr">
        <is>
          <t>Nattviol</t>
        </is>
      </c>
      <c r="S172">
        <f>HYPERLINK("https://klasma.github.io/Logging_0980/artfynd/A 25977-2024 artfynd.xlsx", "A 25977-2024")</f>
        <v/>
      </c>
      <c r="T172">
        <f>HYPERLINK("https://klasma.github.io/Logging_0980/kartor/A 25977-2024 karta.png", "A 25977-2024")</f>
        <v/>
      </c>
      <c r="V172">
        <f>HYPERLINK("https://klasma.github.io/Logging_0980/klagomål/A 25977-2024 FSC-klagomål.docx", "A 25977-2024")</f>
        <v/>
      </c>
      <c r="W172">
        <f>HYPERLINK("https://klasma.github.io/Logging_0980/klagomålsmail/A 25977-2024 FSC-klagomål mail.docx", "A 25977-2024")</f>
        <v/>
      </c>
      <c r="X172">
        <f>HYPERLINK("https://klasma.github.io/Logging_0980/tillsyn/A 25977-2024 tillsynsbegäran.docx", "A 25977-2024")</f>
        <v/>
      </c>
      <c r="Y172">
        <f>HYPERLINK("https://klasma.github.io/Logging_0980/tillsynsmail/A 25977-2024 tillsynsbegäran mail.docx", "A 25977-2024")</f>
        <v/>
      </c>
    </row>
    <row r="173" ht="15" customHeight="1">
      <c r="A173" t="inlineStr">
        <is>
          <t>A 27589-2023</t>
        </is>
      </c>
      <c r="B173" s="1" t="n">
        <v>45097</v>
      </c>
      <c r="C173" s="1" t="n">
        <v>45976</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21466-2025</t>
        </is>
      </c>
      <c r="B174" s="1" t="n">
        <v>45782</v>
      </c>
      <c r="C174" s="1" t="n">
        <v>45976</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34809-2024</t>
        </is>
      </c>
      <c r="B175" s="1" t="n">
        <v>45526</v>
      </c>
      <c r="C175" s="1" t="n">
        <v>45976</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35467-2021</t>
        </is>
      </c>
      <c r="B176" s="1" t="n">
        <v>44385</v>
      </c>
      <c r="C176" s="1" t="n">
        <v>45976</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45976</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49304-2024</t>
        </is>
      </c>
      <c r="B178" s="1" t="n">
        <v>45595.54996527778</v>
      </c>
      <c r="C178" s="1" t="n">
        <v>45976</v>
      </c>
      <c r="D178" t="inlineStr">
        <is>
          <t>GOTLANDS LÄN</t>
        </is>
      </c>
      <c r="E178" t="inlineStr">
        <is>
          <t>GOTLAND</t>
        </is>
      </c>
      <c r="G178" t="n">
        <v>10.8</v>
      </c>
      <c r="H178" t="n">
        <v>0</v>
      </c>
      <c r="I178" t="n">
        <v>0</v>
      </c>
      <c r="J178" t="n">
        <v>1</v>
      </c>
      <c r="K178" t="n">
        <v>0</v>
      </c>
      <c r="L178" t="n">
        <v>0</v>
      </c>
      <c r="M178" t="n">
        <v>0</v>
      </c>
      <c r="N178" t="n">
        <v>0</v>
      </c>
      <c r="O178" t="n">
        <v>1</v>
      </c>
      <c r="P178" t="n">
        <v>0</v>
      </c>
      <c r="Q178" t="n">
        <v>1</v>
      </c>
      <c r="R178" s="2" t="inlineStr">
        <is>
          <t>Åkerranunkel</t>
        </is>
      </c>
      <c r="S178">
        <f>HYPERLINK("https://klasma.github.io/Logging_0980/artfynd/A 49304-2024 artfynd.xlsx", "A 49304-2024")</f>
        <v/>
      </c>
      <c r="T178">
        <f>HYPERLINK("https://klasma.github.io/Logging_0980/kartor/A 49304-2024 karta.png", "A 49304-2024")</f>
        <v/>
      </c>
      <c r="V178">
        <f>HYPERLINK("https://klasma.github.io/Logging_0980/klagomål/A 49304-2024 FSC-klagomål.docx", "A 49304-2024")</f>
        <v/>
      </c>
      <c r="W178">
        <f>HYPERLINK("https://klasma.github.io/Logging_0980/klagomålsmail/A 49304-2024 FSC-klagomål mail.docx", "A 49304-2024")</f>
        <v/>
      </c>
      <c r="X178">
        <f>HYPERLINK("https://klasma.github.io/Logging_0980/tillsyn/A 49304-2024 tillsynsbegäran.docx", "A 49304-2024")</f>
        <v/>
      </c>
      <c r="Y178">
        <f>HYPERLINK("https://klasma.github.io/Logging_0980/tillsynsmail/A 49304-2024 tillsynsbegäran mail.docx", "A 49304-2024")</f>
        <v/>
      </c>
    </row>
    <row r="179" ht="15" customHeight="1">
      <c r="A179" t="inlineStr">
        <is>
          <t>A 10440-2024</t>
        </is>
      </c>
      <c r="B179" s="1" t="n">
        <v>45366.32818287037</v>
      </c>
      <c r="C179" s="1" t="n">
        <v>45976</v>
      </c>
      <c r="D179" t="inlineStr">
        <is>
          <t>GOTLANDS LÄN</t>
        </is>
      </c>
      <c r="E179" t="inlineStr">
        <is>
          <t>GOTLAND</t>
        </is>
      </c>
      <c r="G179" t="n">
        <v>2.5</v>
      </c>
      <c r="H179" t="n">
        <v>1</v>
      </c>
      <c r="I179" t="n">
        <v>0</v>
      </c>
      <c r="J179" t="n">
        <v>1</v>
      </c>
      <c r="K179" t="n">
        <v>0</v>
      </c>
      <c r="L179" t="n">
        <v>0</v>
      </c>
      <c r="M179" t="n">
        <v>0</v>
      </c>
      <c r="N179" t="n">
        <v>0</v>
      </c>
      <c r="O179" t="n">
        <v>1</v>
      </c>
      <c r="P179" t="n">
        <v>0</v>
      </c>
      <c r="Q179" t="n">
        <v>1</v>
      </c>
      <c r="R179" s="2" t="inlineStr">
        <is>
          <t>Mindre hackspett</t>
        </is>
      </c>
      <c r="S179">
        <f>HYPERLINK("https://klasma.github.io/Logging_0980/artfynd/A 10440-2024 artfynd.xlsx", "A 10440-2024")</f>
        <v/>
      </c>
      <c r="T179">
        <f>HYPERLINK("https://klasma.github.io/Logging_0980/kartor/A 10440-2024 karta.png", "A 10440-2024")</f>
        <v/>
      </c>
      <c r="V179">
        <f>HYPERLINK("https://klasma.github.io/Logging_0980/klagomål/A 10440-2024 FSC-klagomål.docx", "A 10440-2024")</f>
        <v/>
      </c>
      <c r="W179">
        <f>HYPERLINK("https://klasma.github.io/Logging_0980/klagomålsmail/A 10440-2024 FSC-klagomål mail.docx", "A 10440-2024")</f>
        <v/>
      </c>
      <c r="X179">
        <f>HYPERLINK("https://klasma.github.io/Logging_0980/tillsyn/A 10440-2024 tillsynsbegäran.docx", "A 10440-2024")</f>
        <v/>
      </c>
      <c r="Y179">
        <f>HYPERLINK("https://klasma.github.io/Logging_0980/tillsynsmail/A 10440-2024 tillsynsbegäran mail.docx", "A 10440-2024")</f>
        <v/>
      </c>
      <c r="Z179">
        <f>HYPERLINK("https://klasma.github.io/Logging_0980/fåglar/A 10440-2024 prioriterade fågelarter.docx", "A 10440-2024")</f>
        <v/>
      </c>
    </row>
    <row r="180" ht="15" customHeight="1">
      <c r="A180" t="inlineStr">
        <is>
          <t>A 22782-2023</t>
        </is>
      </c>
      <c r="B180" s="1" t="n">
        <v>45072</v>
      </c>
      <c r="C180" s="1" t="n">
        <v>45976</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44088-2022</t>
        </is>
      </c>
      <c r="B181" s="1" t="n">
        <v>44839</v>
      </c>
      <c r="C181" s="1" t="n">
        <v>45976</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26461-2025</t>
        </is>
      </c>
      <c r="B182" s="1" t="n">
        <v>45807.43337962963</v>
      </c>
      <c r="C182" s="1" t="n">
        <v>45976</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56687-2025</t>
        </is>
      </c>
      <c r="B183" s="1" t="n">
        <v>45975.84065972222</v>
      </c>
      <c r="C183" s="1" t="n">
        <v>45976</v>
      </c>
      <c r="D183" t="inlineStr">
        <is>
          <t>GOTLANDS LÄN</t>
        </is>
      </c>
      <c r="E183" t="inlineStr">
        <is>
          <t>GOTLAND</t>
        </is>
      </c>
      <c r="G183" t="n">
        <v>2.4</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56687-2025 artfynd.xlsx", "A 56687-2025")</f>
        <v/>
      </c>
      <c r="T183">
        <f>HYPERLINK("https://klasma.github.io/Logging_0980/kartor/A 56687-2025 karta.png", "A 56687-2025")</f>
        <v/>
      </c>
      <c r="V183">
        <f>HYPERLINK("https://klasma.github.io/Logging_0980/klagomål/A 56687-2025 FSC-klagomål.docx", "A 56687-2025")</f>
        <v/>
      </c>
      <c r="W183">
        <f>HYPERLINK("https://klasma.github.io/Logging_0980/klagomålsmail/A 56687-2025 FSC-klagomål mail.docx", "A 56687-2025")</f>
        <v/>
      </c>
      <c r="X183">
        <f>HYPERLINK("https://klasma.github.io/Logging_0980/tillsyn/A 56687-2025 tillsynsbegäran.docx", "A 56687-2025")</f>
        <v/>
      </c>
      <c r="Y183">
        <f>HYPERLINK("https://klasma.github.io/Logging_0980/tillsynsmail/A 56687-2025 tillsynsbegäran mail.docx", "A 56687-2025")</f>
        <v/>
      </c>
    </row>
    <row r="184" ht="15" customHeight="1">
      <c r="A184" t="inlineStr">
        <is>
          <t>A 1477-2024</t>
        </is>
      </c>
      <c r="B184" s="1" t="n">
        <v>45305.37987268518</v>
      </c>
      <c r="C184" s="1" t="n">
        <v>45976</v>
      </c>
      <c r="D184" t="inlineStr">
        <is>
          <t>GOTLANDS LÄN</t>
        </is>
      </c>
      <c r="E184" t="inlineStr">
        <is>
          <t>GOTLAND</t>
        </is>
      </c>
      <c r="G184" t="n">
        <v>6.9</v>
      </c>
      <c r="H184" t="n">
        <v>0</v>
      </c>
      <c r="I184" t="n">
        <v>0</v>
      </c>
      <c r="J184" t="n">
        <v>1</v>
      </c>
      <c r="K184" t="n">
        <v>0</v>
      </c>
      <c r="L184" t="n">
        <v>0</v>
      </c>
      <c r="M184" t="n">
        <v>0</v>
      </c>
      <c r="N184" t="n">
        <v>0</v>
      </c>
      <c r="O184" t="n">
        <v>1</v>
      </c>
      <c r="P184" t="n">
        <v>0</v>
      </c>
      <c r="Q184" t="n">
        <v>1</v>
      </c>
      <c r="R184" s="2" t="inlineStr">
        <is>
          <t>Igelkott</t>
        </is>
      </c>
      <c r="S184">
        <f>HYPERLINK("https://klasma.github.io/Logging_0980/artfynd/A 1477-2024 artfynd.xlsx", "A 1477-2024")</f>
        <v/>
      </c>
      <c r="T184">
        <f>HYPERLINK("https://klasma.github.io/Logging_0980/kartor/A 1477-2024 karta.png", "A 1477-2024")</f>
        <v/>
      </c>
      <c r="V184">
        <f>HYPERLINK("https://klasma.github.io/Logging_0980/klagomål/A 1477-2024 FSC-klagomål.docx", "A 1477-2024")</f>
        <v/>
      </c>
      <c r="W184">
        <f>HYPERLINK("https://klasma.github.io/Logging_0980/klagomålsmail/A 1477-2024 FSC-klagomål mail.docx", "A 1477-2024")</f>
        <v/>
      </c>
      <c r="X184">
        <f>HYPERLINK("https://klasma.github.io/Logging_0980/tillsyn/A 1477-2024 tillsynsbegäran.docx", "A 1477-2024")</f>
        <v/>
      </c>
      <c r="Y184">
        <f>HYPERLINK("https://klasma.github.io/Logging_0980/tillsynsmail/A 1477-2024 tillsynsbegäran mail.docx", "A 1477-2024")</f>
        <v/>
      </c>
    </row>
    <row r="185" ht="15" customHeight="1">
      <c r="A185" t="inlineStr">
        <is>
          <t>A 9862-2024</t>
        </is>
      </c>
      <c r="B185" s="1" t="n">
        <v>45363</v>
      </c>
      <c r="C185" s="1" t="n">
        <v>45976</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45976</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7637-2025</t>
        </is>
      </c>
      <c r="B187" s="1" t="n">
        <v>45705.77181712963</v>
      </c>
      <c r="C187" s="1" t="n">
        <v>45976</v>
      </c>
      <c r="D187" t="inlineStr">
        <is>
          <t>GOTLANDS LÄN</t>
        </is>
      </c>
      <c r="E187" t="inlineStr">
        <is>
          <t>GOTLAND</t>
        </is>
      </c>
      <c r="G187" t="n">
        <v>3.7</v>
      </c>
      <c r="H187" t="n">
        <v>0</v>
      </c>
      <c r="I187" t="n">
        <v>0</v>
      </c>
      <c r="J187" t="n">
        <v>0</v>
      </c>
      <c r="K187" t="n">
        <v>0</v>
      </c>
      <c r="L187" t="n">
        <v>0</v>
      </c>
      <c r="M187" t="n">
        <v>1</v>
      </c>
      <c r="N187" t="n">
        <v>0</v>
      </c>
      <c r="O187" t="n">
        <v>1</v>
      </c>
      <c r="P187" t="n">
        <v>1</v>
      </c>
      <c r="Q187" t="n">
        <v>1</v>
      </c>
      <c r="R187" s="2" t="inlineStr">
        <is>
          <t>Skogsalm</t>
        </is>
      </c>
      <c r="S187">
        <f>HYPERLINK("https://klasma.github.io/Logging_0980/artfynd/A 7637-2025 artfynd.xlsx", "A 7637-2025")</f>
        <v/>
      </c>
      <c r="T187">
        <f>HYPERLINK("https://klasma.github.io/Logging_0980/kartor/A 7637-2025 karta.png", "A 7637-2025")</f>
        <v/>
      </c>
      <c r="V187">
        <f>HYPERLINK("https://klasma.github.io/Logging_0980/klagomål/A 7637-2025 FSC-klagomål.docx", "A 7637-2025")</f>
        <v/>
      </c>
      <c r="W187">
        <f>HYPERLINK("https://klasma.github.io/Logging_0980/klagomålsmail/A 7637-2025 FSC-klagomål mail.docx", "A 7637-2025")</f>
        <v/>
      </c>
      <c r="X187">
        <f>HYPERLINK("https://klasma.github.io/Logging_0980/tillsyn/A 7637-2025 tillsynsbegäran.docx", "A 7637-2025")</f>
        <v/>
      </c>
      <c r="Y187">
        <f>HYPERLINK("https://klasma.github.io/Logging_0980/tillsynsmail/A 7637-2025 tillsynsbegäran mail.docx", "A 7637-2025")</f>
        <v/>
      </c>
    </row>
    <row r="188" ht="15" customHeight="1">
      <c r="A188" t="inlineStr">
        <is>
          <t>A 61796-2022</t>
        </is>
      </c>
      <c r="B188" s="1" t="n">
        <v>44917</v>
      </c>
      <c r="C188" s="1" t="n">
        <v>45976</v>
      </c>
      <c r="D188" t="inlineStr">
        <is>
          <t>GOTLANDS LÄN</t>
        </is>
      </c>
      <c r="E188" t="inlineStr">
        <is>
          <t>GOTLAND</t>
        </is>
      </c>
      <c r="G188" t="n">
        <v>1.5</v>
      </c>
      <c r="H188" t="n">
        <v>1</v>
      </c>
      <c r="I188" t="n">
        <v>0</v>
      </c>
      <c r="J188" t="n">
        <v>0</v>
      </c>
      <c r="K188" t="n">
        <v>0</v>
      </c>
      <c r="L188" t="n">
        <v>0</v>
      </c>
      <c r="M188" t="n">
        <v>0</v>
      </c>
      <c r="N188" t="n">
        <v>0</v>
      </c>
      <c r="O188" t="n">
        <v>0</v>
      </c>
      <c r="P188" t="n">
        <v>0</v>
      </c>
      <c r="Q188" t="n">
        <v>1</v>
      </c>
      <c r="R188" s="2" t="inlineStr">
        <is>
          <t>Skogsduva</t>
        </is>
      </c>
      <c r="S188">
        <f>HYPERLINK("https://klasma.github.io/Logging_0980/artfynd/A 61796-2022 artfynd.xlsx", "A 61796-2022")</f>
        <v/>
      </c>
      <c r="T188">
        <f>HYPERLINK("https://klasma.github.io/Logging_0980/kartor/A 61796-2022 karta.png", "A 61796-2022")</f>
        <v/>
      </c>
      <c r="V188">
        <f>HYPERLINK("https://klasma.github.io/Logging_0980/klagomål/A 61796-2022 FSC-klagomål.docx", "A 61796-2022")</f>
        <v/>
      </c>
      <c r="W188">
        <f>HYPERLINK("https://klasma.github.io/Logging_0980/klagomålsmail/A 61796-2022 FSC-klagomål mail.docx", "A 61796-2022")</f>
        <v/>
      </c>
      <c r="X188">
        <f>HYPERLINK("https://klasma.github.io/Logging_0980/tillsyn/A 61796-2022 tillsynsbegäran.docx", "A 61796-2022")</f>
        <v/>
      </c>
      <c r="Y188">
        <f>HYPERLINK("https://klasma.github.io/Logging_0980/tillsynsmail/A 61796-2022 tillsynsbegäran mail.docx", "A 61796-2022")</f>
        <v/>
      </c>
      <c r="Z188">
        <f>HYPERLINK("https://klasma.github.io/Logging_0980/fåglar/A 61796-2022 prioriterade fågelarter.docx", "A 61796-2022")</f>
        <v/>
      </c>
    </row>
    <row r="189" ht="15" customHeight="1">
      <c r="A189" t="inlineStr">
        <is>
          <t>A 19901-2021</t>
        </is>
      </c>
      <c r="B189" s="1" t="n">
        <v>44312</v>
      </c>
      <c r="C189" s="1" t="n">
        <v>45976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45976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45976</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45976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45976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45976</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45976</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45976</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45976</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45976</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45976</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45976</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45976</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45976</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45976</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45976</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45976</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45976</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45976</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45976</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45976</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45976</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45976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45976</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45976</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45976</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45976</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17354-2022</t>
        </is>
      </c>
      <c r="B233" s="1" t="n">
        <v>44678</v>
      </c>
      <c r="C233" s="1" t="n">
        <v>45976</v>
      </c>
      <c r="D233" t="inlineStr">
        <is>
          <t>GOTLANDS LÄN</t>
        </is>
      </c>
      <c r="E233" t="inlineStr">
        <is>
          <t>GOTLAND</t>
        </is>
      </c>
      <c r="G233" t="n">
        <v>7.1</v>
      </c>
      <c r="H233" t="n">
        <v>0</v>
      </c>
      <c r="I233" t="n">
        <v>0</v>
      </c>
      <c r="J233" t="n">
        <v>0</v>
      </c>
      <c r="K233" t="n">
        <v>0</v>
      </c>
      <c r="L233" t="n">
        <v>0</v>
      </c>
      <c r="M233" t="n">
        <v>0</v>
      </c>
      <c r="N233" t="n">
        <v>0</v>
      </c>
      <c r="O233" t="n">
        <v>0</v>
      </c>
      <c r="P233" t="n">
        <v>0</v>
      </c>
      <c r="Q233" t="n">
        <v>0</v>
      </c>
      <c r="R233" s="2" t="inlineStr"/>
    </row>
    <row r="234" ht="15" customHeight="1">
      <c r="A234" t="inlineStr">
        <is>
          <t>A 71010-2021</t>
        </is>
      </c>
      <c r="B234" s="1" t="n">
        <v>44538.63775462963</v>
      </c>
      <c r="C234" s="1" t="n">
        <v>45976</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45976</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45976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14413-2022</t>
        </is>
      </c>
      <c r="B237" s="1" t="n">
        <v>44652</v>
      </c>
      <c r="C237" s="1" t="n">
        <v>45976</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22495-2022</t>
        </is>
      </c>
      <c r="B238" s="1" t="n">
        <v>44713.6452199074</v>
      </c>
      <c r="C238" s="1" t="n">
        <v>45976</v>
      </c>
      <c r="D238" t="inlineStr">
        <is>
          <t>GOTLANDS LÄN</t>
        </is>
      </c>
      <c r="E238" t="inlineStr">
        <is>
          <t>GOTLAND</t>
        </is>
      </c>
      <c r="G238" t="n">
        <v>0.5</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45976</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1229-2021</t>
        </is>
      </c>
      <c r="B240" s="1" t="n">
        <v>44208</v>
      </c>
      <c r="C240" s="1" t="n">
        <v>45976</v>
      </c>
      <c r="D240" t="inlineStr">
        <is>
          <t>GOTLANDS LÄN</t>
        </is>
      </c>
      <c r="E240" t="inlineStr">
        <is>
          <t>GOTLAND</t>
        </is>
      </c>
      <c r="G240" t="n">
        <v>5.3</v>
      </c>
      <c r="H240" t="n">
        <v>0</v>
      </c>
      <c r="I240" t="n">
        <v>0</v>
      </c>
      <c r="J240" t="n">
        <v>0</v>
      </c>
      <c r="K240" t="n">
        <v>0</v>
      </c>
      <c r="L240" t="n">
        <v>0</v>
      </c>
      <c r="M240" t="n">
        <v>0</v>
      </c>
      <c r="N240" t="n">
        <v>0</v>
      </c>
      <c r="O240" t="n">
        <v>0</v>
      </c>
      <c r="P240" t="n">
        <v>0</v>
      </c>
      <c r="Q240" t="n">
        <v>0</v>
      </c>
      <c r="R240" s="2" t="inlineStr"/>
    </row>
    <row r="241" ht="15" customHeight="1">
      <c r="A241" t="inlineStr">
        <is>
          <t>A 62120-2020</t>
        </is>
      </c>
      <c r="B241" s="1" t="n">
        <v>44158</v>
      </c>
      <c r="C241" s="1" t="n">
        <v>45976</v>
      </c>
      <c r="D241" t="inlineStr">
        <is>
          <t>GOTLANDS LÄN</t>
        </is>
      </c>
      <c r="E241" t="inlineStr">
        <is>
          <t>GOTLAND</t>
        </is>
      </c>
      <c r="G241" t="n">
        <v>2.3</v>
      </c>
      <c r="H241" t="n">
        <v>0</v>
      </c>
      <c r="I241" t="n">
        <v>0</v>
      </c>
      <c r="J241" t="n">
        <v>0</v>
      </c>
      <c r="K241" t="n">
        <v>0</v>
      </c>
      <c r="L241" t="n">
        <v>0</v>
      </c>
      <c r="M241" t="n">
        <v>0</v>
      </c>
      <c r="N241" t="n">
        <v>0</v>
      </c>
      <c r="O241" t="n">
        <v>0</v>
      </c>
      <c r="P241" t="n">
        <v>0</v>
      </c>
      <c r="Q241" t="n">
        <v>0</v>
      </c>
      <c r="R241" s="2" t="inlineStr"/>
    </row>
    <row r="242" ht="15" customHeight="1">
      <c r="A242" t="inlineStr">
        <is>
          <t>A 40294-2022</t>
        </is>
      </c>
      <c r="B242" s="1" t="n">
        <v>44821</v>
      </c>
      <c r="C242" s="1" t="n">
        <v>45976</v>
      </c>
      <c r="D242" t="inlineStr">
        <is>
          <t>GOTLANDS LÄN</t>
        </is>
      </c>
      <c r="E242" t="inlineStr">
        <is>
          <t>GOTLAND</t>
        </is>
      </c>
      <c r="G242" t="n">
        <v>1.6</v>
      </c>
      <c r="H242" t="n">
        <v>0</v>
      </c>
      <c r="I242" t="n">
        <v>0</v>
      </c>
      <c r="J242" t="n">
        <v>0</v>
      </c>
      <c r="K242" t="n">
        <v>0</v>
      </c>
      <c r="L242" t="n">
        <v>0</v>
      </c>
      <c r="M242" t="n">
        <v>0</v>
      </c>
      <c r="N242" t="n">
        <v>0</v>
      </c>
      <c r="O242" t="n">
        <v>0</v>
      </c>
      <c r="P242" t="n">
        <v>0</v>
      </c>
      <c r="Q242" t="n">
        <v>0</v>
      </c>
      <c r="R242" s="2" t="inlineStr"/>
    </row>
    <row r="243" ht="15" customHeight="1">
      <c r="A243" t="inlineStr">
        <is>
          <t>A 27602-2023</t>
        </is>
      </c>
      <c r="B243" s="1" t="n">
        <v>45097</v>
      </c>
      <c r="C243" s="1" t="n">
        <v>45976</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45976</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12322-2025</t>
        </is>
      </c>
      <c r="B246" s="1" t="n">
        <v>45730</v>
      </c>
      <c r="C246" s="1" t="n">
        <v>45976</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44942-2022</t>
        </is>
      </c>
      <c r="B247" s="1" t="n">
        <v>44841</v>
      </c>
      <c r="C247" s="1" t="n">
        <v>45976</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10655-2023</t>
        </is>
      </c>
      <c r="B248" s="1" t="n">
        <v>44988.49543981482</v>
      </c>
      <c r="C248" s="1" t="n">
        <v>45976</v>
      </c>
      <c r="D248" t="inlineStr">
        <is>
          <t>GOTLANDS LÄN</t>
        </is>
      </c>
      <c r="E248" t="inlineStr">
        <is>
          <t>GOTLAND</t>
        </is>
      </c>
      <c r="F248" t="inlineStr">
        <is>
          <t>Kyrkan</t>
        </is>
      </c>
      <c r="G248" t="n">
        <v>2</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45976</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61596-2023</t>
        </is>
      </c>
      <c r="B250" s="1" t="n">
        <v>45265</v>
      </c>
      <c r="C250" s="1" t="n">
        <v>45976</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53225-2022</t>
        </is>
      </c>
      <c r="B251" s="1" t="n">
        <v>44876</v>
      </c>
      <c r="C251" s="1" t="n">
        <v>45976</v>
      </c>
      <c r="D251" t="inlineStr">
        <is>
          <t>GOTLANDS LÄN</t>
        </is>
      </c>
      <c r="E251" t="inlineStr">
        <is>
          <t>GOTLAND</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45976</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44839.51599537037</v>
      </c>
      <c r="C253" s="1" t="n">
        <v>45976</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30055-2021</t>
        </is>
      </c>
      <c r="B254" s="1" t="n">
        <v>44363</v>
      </c>
      <c r="C254" s="1" t="n">
        <v>45976</v>
      </c>
      <c r="D254" t="inlineStr">
        <is>
          <t>GOTLANDS LÄN</t>
        </is>
      </c>
      <c r="E254" t="inlineStr">
        <is>
          <t>GOTLAND</t>
        </is>
      </c>
      <c r="G254" t="n">
        <v>1.8</v>
      </c>
      <c r="H254" t="n">
        <v>0</v>
      </c>
      <c r="I254" t="n">
        <v>0</v>
      </c>
      <c r="J254" t="n">
        <v>0</v>
      </c>
      <c r="K254" t="n">
        <v>0</v>
      </c>
      <c r="L254" t="n">
        <v>0</v>
      </c>
      <c r="M254" t="n">
        <v>0</v>
      </c>
      <c r="N254" t="n">
        <v>0</v>
      </c>
      <c r="O254" t="n">
        <v>0</v>
      </c>
      <c r="P254" t="n">
        <v>0</v>
      </c>
      <c r="Q254" t="n">
        <v>0</v>
      </c>
      <c r="R254" s="2" t="inlineStr"/>
    </row>
    <row r="255" ht="15" customHeight="1">
      <c r="A255" t="inlineStr">
        <is>
          <t>A 44649-2021</t>
        </is>
      </c>
      <c r="B255" s="1" t="n">
        <v>44437</v>
      </c>
      <c r="C255" s="1" t="n">
        <v>45976</v>
      </c>
      <c r="D255" t="inlineStr">
        <is>
          <t>GOTLANDS LÄN</t>
        </is>
      </c>
      <c r="E255" t="inlineStr">
        <is>
          <t>GOTLAND</t>
        </is>
      </c>
      <c r="G255" t="n">
        <v>8.1</v>
      </c>
      <c r="H255" t="n">
        <v>0</v>
      </c>
      <c r="I255" t="n">
        <v>0</v>
      </c>
      <c r="J255" t="n">
        <v>0</v>
      </c>
      <c r="K255" t="n">
        <v>0</v>
      </c>
      <c r="L255" t="n">
        <v>0</v>
      </c>
      <c r="M255" t="n">
        <v>0</v>
      </c>
      <c r="N255" t="n">
        <v>0</v>
      </c>
      <c r="O255" t="n">
        <v>0</v>
      </c>
      <c r="P255" t="n">
        <v>0</v>
      </c>
      <c r="Q255" t="n">
        <v>0</v>
      </c>
      <c r="R255" s="2" t="inlineStr"/>
    </row>
    <row r="256" ht="15" customHeight="1">
      <c r="A256" t="inlineStr">
        <is>
          <t>A 61386-2023</t>
        </is>
      </c>
      <c r="B256" s="1" t="n">
        <v>45264</v>
      </c>
      <c r="C256" s="1" t="n">
        <v>45976</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24192-2023</t>
        </is>
      </c>
      <c r="B257" s="1" t="n">
        <v>45079</v>
      </c>
      <c r="C257" s="1" t="n">
        <v>45976</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30282-2022</t>
        </is>
      </c>
      <c r="B258" s="1" t="n">
        <v>44760</v>
      </c>
      <c r="C258" s="1" t="n">
        <v>45976</v>
      </c>
      <c r="D258" t="inlineStr">
        <is>
          <t>GOTLANDS LÄN</t>
        </is>
      </c>
      <c r="E258" t="inlineStr">
        <is>
          <t>GOTLAND</t>
        </is>
      </c>
      <c r="G258" t="n">
        <v>2.6</v>
      </c>
      <c r="H258" t="n">
        <v>0</v>
      </c>
      <c r="I258" t="n">
        <v>0</v>
      </c>
      <c r="J258" t="n">
        <v>0</v>
      </c>
      <c r="K258" t="n">
        <v>0</v>
      </c>
      <c r="L258" t="n">
        <v>0</v>
      </c>
      <c r="M258" t="n">
        <v>0</v>
      </c>
      <c r="N258" t="n">
        <v>0</v>
      </c>
      <c r="O258" t="n">
        <v>0</v>
      </c>
      <c r="P258" t="n">
        <v>0</v>
      </c>
      <c r="Q258" t="n">
        <v>0</v>
      </c>
      <c r="R258" s="2" t="inlineStr"/>
    </row>
    <row r="259" ht="15" customHeight="1">
      <c r="A259" t="inlineStr">
        <is>
          <t>A 8484-2025</t>
        </is>
      </c>
      <c r="B259" s="1" t="n">
        <v>45709</v>
      </c>
      <c r="C259" s="1" t="n">
        <v>45976</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7835-2024</t>
        </is>
      </c>
      <c r="B260" s="1" t="n">
        <v>45349.83138888889</v>
      </c>
      <c r="C260" s="1" t="n">
        <v>45976</v>
      </c>
      <c r="D260" t="inlineStr">
        <is>
          <t>GOTLANDS LÄN</t>
        </is>
      </c>
      <c r="E260" t="inlineStr">
        <is>
          <t>GOTLAND</t>
        </is>
      </c>
      <c r="G260" t="n">
        <v>3.8</v>
      </c>
      <c r="H260" t="n">
        <v>0</v>
      </c>
      <c r="I260" t="n">
        <v>0</v>
      </c>
      <c r="J260" t="n">
        <v>0</v>
      </c>
      <c r="K260" t="n">
        <v>0</v>
      </c>
      <c r="L260" t="n">
        <v>0</v>
      </c>
      <c r="M260" t="n">
        <v>0</v>
      </c>
      <c r="N260" t="n">
        <v>0</v>
      </c>
      <c r="O260" t="n">
        <v>0</v>
      </c>
      <c r="P260" t="n">
        <v>0</v>
      </c>
      <c r="Q260" t="n">
        <v>0</v>
      </c>
      <c r="R260" s="2" t="inlineStr"/>
    </row>
    <row r="261" ht="15" customHeight="1">
      <c r="A261" t="inlineStr">
        <is>
          <t>A 65393-2021</t>
        </is>
      </c>
      <c r="B261" s="1" t="n">
        <v>44515</v>
      </c>
      <c r="C261" s="1" t="n">
        <v>45976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10650-2022</t>
        </is>
      </c>
      <c r="B262" s="1" t="n">
        <v>44624.57945601852</v>
      </c>
      <c r="C262" s="1" t="n">
        <v>45976</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26810-2021</t>
        </is>
      </c>
      <c r="B263" s="1" t="n">
        <v>44349.55087962963</v>
      </c>
      <c r="C263" s="1" t="n">
        <v>45976</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27593-2023</t>
        </is>
      </c>
      <c r="B264" s="1" t="n">
        <v>45097</v>
      </c>
      <c r="C264" s="1" t="n">
        <v>45976</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25129-2023</t>
        </is>
      </c>
      <c r="B265" s="1" t="n">
        <v>45086.44261574074</v>
      </c>
      <c r="C265" s="1" t="n">
        <v>45976</v>
      </c>
      <c r="D265" t="inlineStr">
        <is>
          <t>GOTLANDS LÄN</t>
        </is>
      </c>
      <c r="E265" t="inlineStr">
        <is>
          <t>GOTLAND</t>
        </is>
      </c>
      <c r="G265" t="n">
        <v>1.5</v>
      </c>
      <c r="H265" t="n">
        <v>0</v>
      </c>
      <c r="I265" t="n">
        <v>0</v>
      </c>
      <c r="J265" t="n">
        <v>0</v>
      </c>
      <c r="K265" t="n">
        <v>0</v>
      </c>
      <c r="L265" t="n">
        <v>0</v>
      </c>
      <c r="M265" t="n">
        <v>0</v>
      </c>
      <c r="N265" t="n">
        <v>0</v>
      </c>
      <c r="O265" t="n">
        <v>0</v>
      </c>
      <c r="P265" t="n">
        <v>0</v>
      </c>
      <c r="Q265" t="n">
        <v>0</v>
      </c>
      <c r="R265" s="2" t="inlineStr"/>
    </row>
    <row r="266" ht="15" customHeight="1">
      <c r="A266" t="inlineStr">
        <is>
          <t>A 28425-2023</t>
        </is>
      </c>
      <c r="B266" s="1" t="n">
        <v>45102</v>
      </c>
      <c r="C266" s="1" t="n">
        <v>45976</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49962-2023</t>
        </is>
      </c>
      <c r="B267" s="1" t="n">
        <v>45215.38775462963</v>
      </c>
      <c r="C267" s="1" t="n">
        <v>45976</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13037-2025</t>
        </is>
      </c>
      <c r="B268" s="1" t="n">
        <v>45734</v>
      </c>
      <c r="C268" s="1" t="n">
        <v>45976</v>
      </c>
      <c r="D268" t="inlineStr">
        <is>
          <t>GOTLANDS LÄN</t>
        </is>
      </c>
      <c r="E268" t="inlineStr">
        <is>
          <t>GOTLAND</t>
        </is>
      </c>
      <c r="G268" t="n">
        <v>9.5</v>
      </c>
      <c r="H268" t="n">
        <v>0</v>
      </c>
      <c r="I268" t="n">
        <v>0</v>
      </c>
      <c r="J268" t="n">
        <v>0</v>
      </c>
      <c r="K268" t="n">
        <v>0</v>
      </c>
      <c r="L268" t="n">
        <v>0</v>
      </c>
      <c r="M268" t="n">
        <v>0</v>
      </c>
      <c r="N268" t="n">
        <v>0</v>
      </c>
      <c r="O268" t="n">
        <v>0</v>
      </c>
      <c r="P268" t="n">
        <v>0</v>
      </c>
      <c r="Q268" t="n">
        <v>0</v>
      </c>
      <c r="R268" s="2" t="inlineStr"/>
    </row>
    <row r="269" ht="15" customHeight="1">
      <c r="A269" t="inlineStr">
        <is>
          <t>A 50744-2024</t>
        </is>
      </c>
      <c r="B269" s="1" t="n">
        <v>45602.4187037037</v>
      </c>
      <c r="C269" s="1" t="n">
        <v>45976</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45244-2024</t>
        </is>
      </c>
      <c r="B270" s="1" t="n">
        <v>45576</v>
      </c>
      <c r="C270" s="1" t="n">
        <v>45976</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38787-2023</t>
        </is>
      </c>
      <c r="B271" s="1" t="n">
        <v>45163</v>
      </c>
      <c r="C271" s="1" t="n">
        <v>45976</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30489-2025</t>
        </is>
      </c>
      <c r="B272" s="1" t="n">
        <v>45830</v>
      </c>
      <c r="C272" s="1" t="n">
        <v>45976</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21142-2025</t>
        </is>
      </c>
      <c r="B273" s="1" t="n">
        <v>45779</v>
      </c>
      <c r="C273" s="1" t="n">
        <v>45976</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2714-2023</t>
        </is>
      </c>
      <c r="B274" s="1" t="n">
        <v>44944.54896990741</v>
      </c>
      <c r="C274" s="1" t="n">
        <v>45976</v>
      </c>
      <c r="D274" t="inlineStr">
        <is>
          <t>GOTLANDS LÄN</t>
        </is>
      </c>
      <c r="E274" t="inlineStr">
        <is>
          <t>GOTLAND</t>
        </is>
      </c>
      <c r="G274" t="n">
        <v>0.7</v>
      </c>
      <c r="H274" t="n">
        <v>0</v>
      </c>
      <c r="I274" t="n">
        <v>0</v>
      </c>
      <c r="J274" t="n">
        <v>0</v>
      </c>
      <c r="K274" t="n">
        <v>0</v>
      </c>
      <c r="L274" t="n">
        <v>0</v>
      </c>
      <c r="M274" t="n">
        <v>0</v>
      </c>
      <c r="N274" t="n">
        <v>0</v>
      </c>
      <c r="O274" t="n">
        <v>0</v>
      </c>
      <c r="P274" t="n">
        <v>0</v>
      </c>
      <c r="Q274" t="n">
        <v>0</v>
      </c>
      <c r="R274" s="2" t="inlineStr"/>
    </row>
    <row r="275" ht="15" customHeight="1">
      <c r="A275" t="inlineStr">
        <is>
          <t>A 6108-2025</t>
        </is>
      </c>
      <c r="B275" s="1" t="n">
        <v>45698.29880787037</v>
      </c>
      <c r="C275" s="1" t="n">
        <v>45976</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22897-2023</t>
        </is>
      </c>
      <c r="B276" s="1" t="n">
        <v>45072.55239583334</v>
      </c>
      <c r="C276" s="1" t="n">
        <v>45976</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10746-2025</t>
        </is>
      </c>
      <c r="B277" s="1" t="n">
        <v>45722.42766203704</v>
      </c>
      <c r="C277" s="1" t="n">
        <v>45976</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4568-2025</t>
        </is>
      </c>
      <c r="B278" s="1" t="n">
        <v>45687</v>
      </c>
      <c r="C278" s="1" t="n">
        <v>45976</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45976</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17343-2025</t>
        </is>
      </c>
      <c r="B280" s="1" t="n">
        <v>45756.6687037037</v>
      </c>
      <c r="C280" s="1" t="n">
        <v>45976</v>
      </c>
      <c r="D280" t="inlineStr">
        <is>
          <t>GOTLANDS LÄN</t>
        </is>
      </c>
      <c r="E280" t="inlineStr">
        <is>
          <t>GOTLAND</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18938-2025</t>
        </is>
      </c>
      <c r="B281" s="1" t="n">
        <v>45764.49172453704</v>
      </c>
      <c r="C281" s="1" t="n">
        <v>45976</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20307-2025</t>
        </is>
      </c>
      <c r="B282" s="1" t="n">
        <v>45774.95546296296</v>
      </c>
      <c r="C282" s="1" t="n">
        <v>45976</v>
      </c>
      <c r="D282" t="inlineStr">
        <is>
          <t>GOTLANDS LÄN</t>
        </is>
      </c>
      <c r="E282" t="inlineStr">
        <is>
          <t>GOTLAND</t>
        </is>
      </c>
      <c r="G282" t="n">
        <v>6.8</v>
      </c>
      <c r="H282" t="n">
        <v>0</v>
      </c>
      <c r="I282" t="n">
        <v>0</v>
      </c>
      <c r="J282" t="n">
        <v>0</v>
      </c>
      <c r="K282" t="n">
        <v>0</v>
      </c>
      <c r="L282" t="n">
        <v>0</v>
      </c>
      <c r="M282" t="n">
        <v>0</v>
      </c>
      <c r="N282" t="n">
        <v>0</v>
      </c>
      <c r="O282" t="n">
        <v>0</v>
      </c>
      <c r="P282" t="n">
        <v>0</v>
      </c>
      <c r="Q282" t="n">
        <v>0</v>
      </c>
      <c r="R282" s="2" t="inlineStr"/>
    </row>
    <row r="283" ht="15" customHeight="1">
      <c r="A283" t="inlineStr">
        <is>
          <t>A 42338-2023</t>
        </is>
      </c>
      <c r="B283" s="1" t="n">
        <v>45180</v>
      </c>
      <c r="C283" s="1" t="n">
        <v>45976</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11013-2024</t>
        </is>
      </c>
      <c r="B285" s="1" t="n">
        <v>45370</v>
      </c>
      <c r="C285" s="1" t="n">
        <v>45976</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45084-2024</t>
        </is>
      </c>
      <c r="B286" s="1" t="n">
        <v>45575</v>
      </c>
      <c r="C286" s="1" t="n">
        <v>45976</v>
      </c>
      <c r="D286" t="inlineStr">
        <is>
          <t>GOTLANDS LÄN</t>
        </is>
      </c>
      <c r="E286" t="inlineStr">
        <is>
          <t>GOTLAND</t>
        </is>
      </c>
      <c r="G286" t="n">
        <v>6.8</v>
      </c>
      <c r="H286" t="n">
        <v>0</v>
      </c>
      <c r="I286" t="n">
        <v>0</v>
      </c>
      <c r="J286" t="n">
        <v>0</v>
      </c>
      <c r="K286" t="n">
        <v>0</v>
      </c>
      <c r="L286" t="n">
        <v>0</v>
      </c>
      <c r="M286" t="n">
        <v>0</v>
      </c>
      <c r="N286" t="n">
        <v>0</v>
      </c>
      <c r="O286" t="n">
        <v>0</v>
      </c>
      <c r="P286" t="n">
        <v>0</v>
      </c>
      <c r="Q286" t="n">
        <v>0</v>
      </c>
      <c r="R286" s="2" t="inlineStr"/>
    </row>
    <row r="287" ht="15" customHeight="1">
      <c r="A287" t="inlineStr">
        <is>
          <t>A 20356-2022</t>
        </is>
      </c>
      <c r="B287" s="1" t="n">
        <v>44699</v>
      </c>
      <c r="C287" s="1" t="n">
        <v>45976</v>
      </c>
      <c r="D287" t="inlineStr">
        <is>
          <t>GOTLANDS LÄN</t>
        </is>
      </c>
      <c r="E287" t="inlineStr">
        <is>
          <t>GOTLAND</t>
        </is>
      </c>
      <c r="F287" t="inlineStr">
        <is>
          <t>Övriga Aktiebolag</t>
        </is>
      </c>
      <c r="G287" t="n">
        <v>4.4</v>
      </c>
      <c r="H287" t="n">
        <v>0</v>
      </c>
      <c r="I287" t="n">
        <v>0</v>
      </c>
      <c r="J287" t="n">
        <v>0</v>
      </c>
      <c r="K287" t="n">
        <v>0</v>
      </c>
      <c r="L287" t="n">
        <v>0</v>
      </c>
      <c r="M287" t="n">
        <v>0</v>
      </c>
      <c r="N287" t="n">
        <v>0</v>
      </c>
      <c r="O287" t="n">
        <v>0</v>
      </c>
      <c r="P287" t="n">
        <v>0</v>
      </c>
      <c r="Q287" t="n">
        <v>0</v>
      </c>
      <c r="R287" s="2" t="inlineStr"/>
    </row>
    <row r="288" ht="15" customHeight="1">
      <c r="A288" t="inlineStr">
        <is>
          <t>A 4868-2024</t>
        </is>
      </c>
      <c r="B288" s="1" t="n">
        <v>45329</v>
      </c>
      <c r="C288" s="1" t="n">
        <v>45976</v>
      </c>
      <c r="D288" t="inlineStr">
        <is>
          <t>GOTLANDS LÄN</t>
        </is>
      </c>
      <c r="E288" t="inlineStr">
        <is>
          <t>GOTLAND</t>
        </is>
      </c>
      <c r="G288" t="n">
        <v>7.1</v>
      </c>
      <c r="H288" t="n">
        <v>0</v>
      </c>
      <c r="I288" t="n">
        <v>0</v>
      </c>
      <c r="J288" t="n">
        <v>0</v>
      </c>
      <c r="K288" t="n">
        <v>0</v>
      </c>
      <c r="L288" t="n">
        <v>0</v>
      </c>
      <c r="M288" t="n">
        <v>0</v>
      </c>
      <c r="N288" t="n">
        <v>0</v>
      </c>
      <c r="O288" t="n">
        <v>0</v>
      </c>
      <c r="P288" t="n">
        <v>0</v>
      </c>
      <c r="Q288" t="n">
        <v>0</v>
      </c>
      <c r="R288" s="2" t="inlineStr"/>
    </row>
    <row r="289" ht="15" customHeight="1">
      <c r="A289" t="inlineStr">
        <is>
          <t>A 9613-2025</t>
        </is>
      </c>
      <c r="B289" s="1" t="n">
        <v>45715</v>
      </c>
      <c r="C289" s="1" t="n">
        <v>45976</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18993-2025</t>
        </is>
      </c>
      <c r="B290" s="1" t="n">
        <v>45764</v>
      </c>
      <c r="C290" s="1" t="n">
        <v>45976</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45976</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56009-2024</t>
        </is>
      </c>
      <c r="B292" s="1" t="n">
        <v>45623.80864583333</v>
      </c>
      <c r="C292" s="1" t="n">
        <v>45976</v>
      </c>
      <c r="D292" t="inlineStr">
        <is>
          <t>GOTLANDS LÄN</t>
        </is>
      </c>
      <c r="E292" t="inlineStr">
        <is>
          <t>GOTLAND</t>
        </is>
      </c>
      <c r="G292" t="n">
        <v>2.8</v>
      </c>
      <c r="H292" t="n">
        <v>0</v>
      </c>
      <c r="I292" t="n">
        <v>0</v>
      </c>
      <c r="J292" t="n">
        <v>0</v>
      </c>
      <c r="K292" t="n">
        <v>0</v>
      </c>
      <c r="L292" t="n">
        <v>0</v>
      </c>
      <c r="M292" t="n">
        <v>0</v>
      </c>
      <c r="N292" t="n">
        <v>0</v>
      </c>
      <c r="O292" t="n">
        <v>0</v>
      </c>
      <c r="P292" t="n">
        <v>0</v>
      </c>
      <c r="Q292" t="n">
        <v>0</v>
      </c>
      <c r="R292" s="2" t="inlineStr"/>
    </row>
    <row r="293" ht="15" customHeight="1">
      <c r="A293" t="inlineStr">
        <is>
          <t>A 54073-2022</t>
        </is>
      </c>
      <c r="B293" s="1" t="n">
        <v>44881.50380787037</v>
      </c>
      <c r="C293" s="1" t="n">
        <v>45976</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5386-2023</t>
        </is>
      </c>
      <c r="B294" s="1" t="n">
        <v>44959</v>
      </c>
      <c r="C294" s="1" t="n">
        <v>45976</v>
      </c>
      <c r="D294" t="inlineStr">
        <is>
          <t>GOTLANDS LÄN</t>
        </is>
      </c>
      <c r="E294" t="inlineStr">
        <is>
          <t>GOTLAND</t>
        </is>
      </c>
      <c r="G294" t="n">
        <v>5.4</v>
      </c>
      <c r="H294" t="n">
        <v>0</v>
      </c>
      <c r="I294" t="n">
        <v>0</v>
      </c>
      <c r="J294" t="n">
        <v>0</v>
      </c>
      <c r="K294" t="n">
        <v>0</v>
      </c>
      <c r="L294" t="n">
        <v>0</v>
      </c>
      <c r="M294" t="n">
        <v>0</v>
      </c>
      <c r="N294" t="n">
        <v>0</v>
      </c>
      <c r="O294" t="n">
        <v>0</v>
      </c>
      <c r="P294" t="n">
        <v>0</v>
      </c>
      <c r="Q294" t="n">
        <v>0</v>
      </c>
      <c r="R294" s="2" t="inlineStr"/>
    </row>
    <row r="295" ht="15" customHeight="1">
      <c r="A295" t="inlineStr">
        <is>
          <t>A 43229-2023</t>
        </is>
      </c>
      <c r="B295" s="1" t="n">
        <v>45183.46704861111</v>
      </c>
      <c r="C295" s="1" t="n">
        <v>45976</v>
      </c>
      <c r="D295" t="inlineStr">
        <is>
          <t>GOTLANDS LÄN</t>
        </is>
      </c>
      <c r="E295" t="inlineStr">
        <is>
          <t>GOTLAND</t>
        </is>
      </c>
      <c r="G295" t="n">
        <v>7.1</v>
      </c>
      <c r="H295" t="n">
        <v>0</v>
      </c>
      <c r="I295" t="n">
        <v>0</v>
      </c>
      <c r="J295" t="n">
        <v>0</v>
      </c>
      <c r="K295" t="n">
        <v>0</v>
      </c>
      <c r="L295" t="n">
        <v>0</v>
      </c>
      <c r="M295" t="n">
        <v>0</v>
      </c>
      <c r="N295" t="n">
        <v>0</v>
      </c>
      <c r="O295" t="n">
        <v>0</v>
      </c>
      <c r="P295" t="n">
        <v>0</v>
      </c>
      <c r="Q295" t="n">
        <v>0</v>
      </c>
      <c r="R295" s="2" t="inlineStr"/>
    </row>
    <row r="296" ht="15" customHeight="1">
      <c r="A296" t="inlineStr">
        <is>
          <t>A 3964-2024</t>
        </is>
      </c>
      <c r="B296" s="1" t="n">
        <v>45322</v>
      </c>
      <c r="C296" s="1" t="n">
        <v>45976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41038-2023</t>
        </is>
      </c>
      <c r="B297" s="1" t="n">
        <v>45173.60959490741</v>
      </c>
      <c r="C297" s="1" t="n">
        <v>45976</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58211-2024</t>
        </is>
      </c>
      <c r="B298" s="1" t="n">
        <v>45632.49292824074</v>
      </c>
      <c r="C298" s="1" t="n">
        <v>45976</v>
      </c>
      <c r="D298" t="inlineStr">
        <is>
          <t>GOTLANDS LÄN</t>
        </is>
      </c>
      <c r="E298" t="inlineStr">
        <is>
          <t>GOTLAND</t>
        </is>
      </c>
      <c r="G298" t="n">
        <v>5.4</v>
      </c>
      <c r="H298" t="n">
        <v>0</v>
      </c>
      <c r="I298" t="n">
        <v>0</v>
      </c>
      <c r="J298" t="n">
        <v>0</v>
      </c>
      <c r="K298" t="n">
        <v>0</v>
      </c>
      <c r="L298" t="n">
        <v>0</v>
      </c>
      <c r="M298" t="n">
        <v>0</v>
      </c>
      <c r="N298" t="n">
        <v>0</v>
      </c>
      <c r="O298" t="n">
        <v>0</v>
      </c>
      <c r="P298" t="n">
        <v>0</v>
      </c>
      <c r="Q298" t="n">
        <v>0</v>
      </c>
      <c r="R298" s="2" t="inlineStr"/>
    </row>
    <row r="299" ht="15" customHeight="1">
      <c r="A299" t="inlineStr">
        <is>
          <t>A 45106-2024</t>
        </is>
      </c>
      <c r="B299" s="1" t="n">
        <v>45575</v>
      </c>
      <c r="C299" s="1" t="n">
        <v>45976</v>
      </c>
      <c r="D299" t="inlineStr">
        <is>
          <t>GOTLANDS LÄN</t>
        </is>
      </c>
      <c r="E299" t="inlineStr">
        <is>
          <t>GOTLAND</t>
        </is>
      </c>
      <c r="G299" t="n">
        <v>10</v>
      </c>
      <c r="H299" t="n">
        <v>0</v>
      </c>
      <c r="I299" t="n">
        <v>0</v>
      </c>
      <c r="J299" t="n">
        <v>0</v>
      </c>
      <c r="K299" t="n">
        <v>0</v>
      </c>
      <c r="L299" t="n">
        <v>0</v>
      </c>
      <c r="M299" t="n">
        <v>0</v>
      </c>
      <c r="N299" t="n">
        <v>0</v>
      </c>
      <c r="O299" t="n">
        <v>0</v>
      </c>
      <c r="P299" t="n">
        <v>0</v>
      </c>
      <c r="Q299" t="n">
        <v>0</v>
      </c>
      <c r="R299" s="2" t="inlineStr"/>
    </row>
    <row r="300" ht="15" customHeight="1">
      <c r="A300" t="inlineStr">
        <is>
          <t>A 45112-2024</t>
        </is>
      </c>
      <c r="B300" s="1" t="n">
        <v>45575</v>
      </c>
      <c r="C300" s="1" t="n">
        <v>45976</v>
      </c>
      <c r="D300" t="inlineStr">
        <is>
          <t>GOTLANDS LÄN</t>
        </is>
      </c>
      <c r="E300" t="inlineStr">
        <is>
          <t>GOTLAND</t>
        </is>
      </c>
      <c r="G300" t="n">
        <v>5.1</v>
      </c>
      <c r="H300" t="n">
        <v>0</v>
      </c>
      <c r="I300" t="n">
        <v>0</v>
      </c>
      <c r="J300" t="n">
        <v>0</v>
      </c>
      <c r="K300" t="n">
        <v>0</v>
      </c>
      <c r="L300" t="n">
        <v>0</v>
      </c>
      <c r="M300" t="n">
        <v>0</v>
      </c>
      <c r="N300" t="n">
        <v>0</v>
      </c>
      <c r="O300" t="n">
        <v>0</v>
      </c>
      <c r="P300" t="n">
        <v>0</v>
      </c>
      <c r="Q300" t="n">
        <v>0</v>
      </c>
      <c r="R300" s="2" t="inlineStr"/>
    </row>
    <row r="301" ht="15" customHeight="1">
      <c r="A301" t="inlineStr">
        <is>
          <t>A 11634-2024</t>
        </is>
      </c>
      <c r="B301" s="1" t="n">
        <v>45373</v>
      </c>
      <c r="C301" s="1" t="n">
        <v>45976</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12599-2025</t>
        </is>
      </c>
      <c r="B302" s="1" t="n">
        <v>45733.29546296296</v>
      </c>
      <c r="C302" s="1" t="n">
        <v>45976</v>
      </c>
      <c r="D302" t="inlineStr">
        <is>
          <t>GOTLANDS LÄN</t>
        </is>
      </c>
      <c r="E302" t="inlineStr">
        <is>
          <t>GOTLAND</t>
        </is>
      </c>
      <c r="G302" t="n">
        <v>4.7</v>
      </c>
      <c r="H302" t="n">
        <v>0</v>
      </c>
      <c r="I302" t="n">
        <v>0</v>
      </c>
      <c r="J302" t="n">
        <v>0</v>
      </c>
      <c r="K302" t="n">
        <v>0</v>
      </c>
      <c r="L302" t="n">
        <v>0</v>
      </c>
      <c r="M302" t="n">
        <v>0</v>
      </c>
      <c r="N302" t="n">
        <v>0</v>
      </c>
      <c r="O302" t="n">
        <v>0</v>
      </c>
      <c r="P302" t="n">
        <v>0</v>
      </c>
      <c r="Q302" t="n">
        <v>0</v>
      </c>
      <c r="R302" s="2" t="inlineStr"/>
    </row>
    <row r="303" ht="15" customHeight="1">
      <c r="A303" t="inlineStr">
        <is>
          <t>A 5884-2025</t>
        </is>
      </c>
      <c r="B303" s="1" t="n">
        <v>45695.37482638889</v>
      </c>
      <c r="C303" s="1" t="n">
        <v>45976</v>
      </c>
      <c r="D303" t="inlineStr">
        <is>
          <t>GOTLANDS LÄN</t>
        </is>
      </c>
      <c r="E303" t="inlineStr">
        <is>
          <t>GOTLAND</t>
        </is>
      </c>
      <c r="G303" t="n">
        <v>2.1</v>
      </c>
      <c r="H303" t="n">
        <v>0</v>
      </c>
      <c r="I303" t="n">
        <v>0</v>
      </c>
      <c r="J303" t="n">
        <v>0</v>
      </c>
      <c r="K303" t="n">
        <v>0</v>
      </c>
      <c r="L303" t="n">
        <v>0</v>
      </c>
      <c r="M303" t="n">
        <v>0</v>
      </c>
      <c r="N303" t="n">
        <v>0</v>
      </c>
      <c r="O303" t="n">
        <v>0</v>
      </c>
      <c r="P303" t="n">
        <v>0</v>
      </c>
      <c r="Q303" t="n">
        <v>0</v>
      </c>
      <c r="R303" s="2" t="inlineStr"/>
    </row>
    <row r="304" ht="15" customHeight="1">
      <c r="A304" t="inlineStr">
        <is>
          <t>A 5897-2025</t>
        </is>
      </c>
      <c r="B304" s="1" t="n">
        <v>45695.39273148148</v>
      </c>
      <c r="C304" s="1" t="n">
        <v>45976</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5909-2025</t>
        </is>
      </c>
      <c r="B305" s="1" t="n">
        <v>45695.40634259259</v>
      </c>
      <c r="C305" s="1" t="n">
        <v>45976</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60086-2022</t>
        </is>
      </c>
      <c r="B306" s="1" t="n">
        <v>44909</v>
      </c>
      <c r="C306" s="1" t="n">
        <v>45976</v>
      </c>
      <c r="D306" t="inlineStr">
        <is>
          <t>GOTLANDS LÄN</t>
        </is>
      </c>
      <c r="E306" t="inlineStr">
        <is>
          <t>GOTLAND</t>
        </is>
      </c>
      <c r="G306" t="n">
        <v>2.1</v>
      </c>
      <c r="H306" t="n">
        <v>0</v>
      </c>
      <c r="I306" t="n">
        <v>0</v>
      </c>
      <c r="J306" t="n">
        <v>0</v>
      </c>
      <c r="K306" t="n">
        <v>0</v>
      </c>
      <c r="L306" t="n">
        <v>0</v>
      </c>
      <c r="M306" t="n">
        <v>0</v>
      </c>
      <c r="N306" t="n">
        <v>0</v>
      </c>
      <c r="O306" t="n">
        <v>0</v>
      </c>
      <c r="P306" t="n">
        <v>0</v>
      </c>
      <c r="Q306" t="n">
        <v>0</v>
      </c>
      <c r="R306" s="2" t="inlineStr"/>
    </row>
    <row r="307" ht="15" customHeight="1">
      <c r="A307" t="inlineStr">
        <is>
          <t>A 22704-2023</t>
        </is>
      </c>
      <c r="B307" s="1" t="n">
        <v>45071</v>
      </c>
      <c r="C307" s="1" t="n">
        <v>45976</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7026-2023</t>
        </is>
      </c>
      <c r="B308" s="1" t="n">
        <v>44968.30340277778</v>
      </c>
      <c r="C308" s="1" t="n">
        <v>45976</v>
      </c>
      <c r="D308" t="inlineStr">
        <is>
          <t>GOTLANDS LÄN</t>
        </is>
      </c>
      <c r="E308" t="inlineStr">
        <is>
          <t>GOTLAND</t>
        </is>
      </c>
      <c r="G308" t="n">
        <v>2.9</v>
      </c>
      <c r="H308" t="n">
        <v>0</v>
      </c>
      <c r="I308" t="n">
        <v>0</v>
      </c>
      <c r="J308" t="n">
        <v>0</v>
      </c>
      <c r="K308" t="n">
        <v>0</v>
      </c>
      <c r="L308" t="n">
        <v>0</v>
      </c>
      <c r="M308" t="n">
        <v>0</v>
      </c>
      <c r="N308" t="n">
        <v>0</v>
      </c>
      <c r="O308" t="n">
        <v>0</v>
      </c>
      <c r="P308" t="n">
        <v>0</v>
      </c>
      <c r="Q308" t="n">
        <v>0</v>
      </c>
      <c r="R308" s="2" t="inlineStr"/>
    </row>
    <row r="309" ht="15" customHeight="1">
      <c r="A309" t="inlineStr">
        <is>
          <t>A 24966-2023</t>
        </is>
      </c>
      <c r="B309" s="1" t="n">
        <v>45085</v>
      </c>
      <c r="C309" s="1" t="n">
        <v>45976</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57652-2023</t>
        </is>
      </c>
      <c r="B310" s="1" t="n">
        <v>45246</v>
      </c>
      <c r="C310" s="1" t="n">
        <v>45976</v>
      </c>
      <c r="D310" t="inlineStr">
        <is>
          <t>GOTLANDS LÄN</t>
        </is>
      </c>
      <c r="E310" t="inlineStr">
        <is>
          <t>GOTLAND</t>
        </is>
      </c>
      <c r="G310" t="n">
        <v>7.2</v>
      </c>
      <c r="H310" t="n">
        <v>0</v>
      </c>
      <c r="I310" t="n">
        <v>0</v>
      </c>
      <c r="J310" t="n">
        <v>0</v>
      </c>
      <c r="K310" t="n">
        <v>0</v>
      </c>
      <c r="L310" t="n">
        <v>0</v>
      </c>
      <c r="M310" t="n">
        <v>0</v>
      </c>
      <c r="N310" t="n">
        <v>0</v>
      </c>
      <c r="O310" t="n">
        <v>0</v>
      </c>
      <c r="P310" t="n">
        <v>0</v>
      </c>
      <c r="Q310" t="n">
        <v>0</v>
      </c>
      <c r="R310" s="2" t="inlineStr"/>
    </row>
    <row r="311" ht="15" customHeight="1">
      <c r="A311" t="inlineStr">
        <is>
          <t>A 20356-2022</t>
        </is>
      </c>
      <c r="B311" s="1" t="n">
        <v>44699</v>
      </c>
      <c r="C311" s="1" t="n">
        <v>45976</v>
      </c>
      <c r="D311" t="inlineStr">
        <is>
          <t>GOTLANDS LÄN</t>
        </is>
      </c>
      <c r="E311" t="inlineStr">
        <is>
          <t>GOTLAND</t>
        </is>
      </c>
      <c r="F311" t="inlineStr">
        <is>
          <t>Övriga Aktiebolag</t>
        </is>
      </c>
      <c r="G311" t="n">
        <v>4.4</v>
      </c>
      <c r="H311" t="n">
        <v>0</v>
      </c>
      <c r="I311" t="n">
        <v>0</v>
      </c>
      <c r="J311" t="n">
        <v>0</v>
      </c>
      <c r="K311" t="n">
        <v>0</v>
      </c>
      <c r="L311" t="n">
        <v>0</v>
      </c>
      <c r="M311" t="n">
        <v>0</v>
      </c>
      <c r="N311" t="n">
        <v>0</v>
      </c>
      <c r="O311" t="n">
        <v>0</v>
      </c>
      <c r="P311" t="n">
        <v>0</v>
      </c>
      <c r="Q311" t="n">
        <v>0</v>
      </c>
      <c r="R311" s="2" t="inlineStr"/>
    </row>
    <row r="312" ht="15" customHeight="1">
      <c r="A312" t="inlineStr">
        <is>
          <t>A 46189-2022</t>
        </is>
      </c>
      <c r="B312" s="1" t="n">
        <v>44847</v>
      </c>
      <c r="C312" s="1" t="n">
        <v>45976</v>
      </c>
      <c r="D312" t="inlineStr">
        <is>
          <t>GOTLANDS LÄN</t>
        </is>
      </c>
      <c r="E312" t="inlineStr">
        <is>
          <t>GOTLAND</t>
        </is>
      </c>
      <c r="G312" t="n">
        <v>0.4</v>
      </c>
      <c r="H312" t="n">
        <v>0</v>
      </c>
      <c r="I312" t="n">
        <v>0</v>
      </c>
      <c r="J312" t="n">
        <v>0</v>
      </c>
      <c r="K312" t="n">
        <v>0</v>
      </c>
      <c r="L312" t="n">
        <v>0</v>
      </c>
      <c r="M312" t="n">
        <v>0</v>
      </c>
      <c r="N312" t="n">
        <v>0</v>
      </c>
      <c r="O312" t="n">
        <v>0</v>
      </c>
      <c r="P312" t="n">
        <v>0</v>
      </c>
      <c r="Q312" t="n">
        <v>0</v>
      </c>
      <c r="R312" s="2" t="inlineStr"/>
    </row>
    <row r="313" ht="15" customHeight="1">
      <c r="A313" t="inlineStr">
        <is>
          <t>A 25866-2022</t>
        </is>
      </c>
      <c r="B313" s="1" t="n">
        <v>44733</v>
      </c>
      <c r="C313" s="1" t="n">
        <v>45976</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57522-2022</t>
        </is>
      </c>
      <c r="B314" s="1" t="n">
        <v>44896</v>
      </c>
      <c r="C314" s="1" t="n">
        <v>45976</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52892-2021</t>
        </is>
      </c>
      <c r="B315" s="1" t="n">
        <v>44467.49048611111</v>
      </c>
      <c r="C315" s="1" t="n">
        <v>45976</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14797-2024</t>
        </is>
      </c>
      <c r="B316" s="1" t="n">
        <v>45397.87030092593</v>
      </c>
      <c r="C316" s="1" t="n">
        <v>45976</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1351-2025</t>
        </is>
      </c>
      <c r="B317" s="1" t="n">
        <v>45667.62246527777</v>
      </c>
      <c r="C317" s="1" t="n">
        <v>45976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2292-2021</t>
        </is>
      </c>
      <c r="B318" s="1" t="n">
        <v>44212</v>
      </c>
      <c r="C318" s="1" t="n">
        <v>45976</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35142-2025</t>
        </is>
      </c>
      <c r="B319" s="1" t="n">
        <v>45852.65532407408</v>
      </c>
      <c r="C319" s="1" t="n">
        <v>45976</v>
      </c>
      <c r="D319" t="inlineStr">
        <is>
          <t>GOTLANDS LÄN</t>
        </is>
      </c>
      <c r="E319" t="inlineStr">
        <is>
          <t>GOTLAND</t>
        </is>
      </c>
      <c r="G319" t="n">
        <v>2.4</v>
      </c>
      <c r="H319" t="n">
        <v>0</v>
      </c>
      <c r="I319" t="n">
        <v>0</v>
      </c>
      <c r="J319" t="n">
        <v>0</v>
      </c>
      <c r="K319" t="n">
        <v>0</v>
      </c>
      <c r="L319" t="n">
        <v>0</v>
      </c>
      <c r="M319" t="n">
        <v>0</v>
      </c>
      <c r="N319" t="n">
        <v>0</v>
      </c>
      <c r="O319" t="n">
        <v>0</v>
      </c>
      <c r="P319" t="n">
        <v>0</v>
      </c>
      <c r="Q319" t="n">
        <v>0</v>
      </c>
      <c r="R319" s="2" t="inlineStr"/>
    </row>
    <row r="320" ht="15" customHeight="1">
      <c r="A320" t="inlineStr">
        <is>
          <t>A 7837-2024</t>
        </is>
      </c>
      <c r="B320" s="1" t="n">
        <v>45349.83787037037</v>
      </c>
      <c r="C320" s="1" t="n">
        <v>45976</v>
      </c>
      <c r="D320" t="inlineStr">
        <is>
          <t>GOTLANDS LÄN</t>
        </is>
      </c>
      <c r="E320" t="inlineStr">
        <is>
          <t>GOTLAND</t>
        </is>
      </c>
      <c r="G320" t="n">
        <v>5</v>
      </c>
      <c r="H320" t="n">
        <v>0</v>
      </c>
      <c r="I320" t="n">
        <v>0</v>
      </c>
      <c r="J320" t="n">
        <v>0</v>
      </c>
      <c r="K320" t="n">
        <v>0</v>
      </c>
      <c r="L320" t="n">
        <v>0</v>
      </c>
      <c r="M320" t="n">
        <v>0</v>
      </c>
      <c r="N320" t="n">
        <v>0</v>
      </c>
      <c r="O320" t="n">
        <v>0</v>
      </c>
      <c r="P320" t="n">
        <v>0</v>
      </c>
      <c r="Q320" t="n">
        <v>0</v>
      </c>
      <c r="R320" s="2" t="inlineStr"/>
    </row>
    <row r="321" ht="15" customHeight="1">
      <c r="A321" t="inlineStr">
        <is>
          <t>A 35141-2025</t>
        </is>
      </c>
      <c r="B321" s="1" t="n">
        <v>45852.65206018519</v>
      </c>
      <c r="C321" s="1" t="n">
        <v>45976</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9887-2025</t>
        </is>
      </c>
      <c r="B322" s="1" t="n">
        <v>45716</v>
      </c>
      <c r="C322" s="1" t="n">
        <v>45976</v>
      </c>
      <c r="D322" t="inlineStr">
        <is>
          <t>GOTLANDS LÄN</t>
        </is>
      </c>
      <c r="E322" t="inlineStr">
        <is>
          <t>GOTLAND</t>
        </is>
      </c>
      <c r="G322" t="n">
        <v>7.5</v>
      </c>
      <c r="H322" t="n">
        <v>0</v>
      </c>
      <c r="I322" t="n">
        <v>0</v>
      </c>
      <c r="J322" t="n">
        <v>0</v>
      </c>
      <c r="K322" t="n">
        <v>0</v>
      </c>
      <c r="L322" t="n">
        <v>0</v>
      </c>
      <c r="M322" t="n">
        <v>0</v>
      </c>
      <c r="N322" t="n">
        <v>0</v>
      </c>
      <c r="O322" t="n">
        <v>0</v>
      </c>
      <c r="P322" t="n">
        <v>0</v>
      </c>
      <c r="Q322" t="n">
        <v>0</v>
      </c>
      <c r="R322" s="2" t="inlineStr"/>
    </row>
    <row r="323" ht="15" customHeight="1">
      <c r="A323" t="inlineStr">
        <is>
          <t>A 12209-2024</t>
        </is>
      </c>
      <c r="B323" s="1" t="n">
        <v>45378</v>
      </c>
      <c r="C323" s="1" t="n">
        <v>45976</v>
      </c>
      <c r="D323" t="inlineStr">
        <is>
          <t>GOTLANDS LÄN</t>
        </is>
      </c>
      <c r="E323" t="inlineStr">
        <is>
          <t>GOTLAND</t>
        </is>
      </c>
      <c r="G323" t="n">
        <v>5.3</v>
      </c>
      <c r="H323" t="n">
        <v>0</v>
      </c>
      <c r="I323" t="n">
        <v>0</v>
      </c>
      <c r="J323" t="n">
        <v>0</v>
      </c>
      <c r="K323" t="n">
        <v>0</v>
      </c>
      <c r="L323" t="n">
        <v>0</v>
      </c>
      <c r="M323" t="n">
        <v>0</v>
      </c>
      <c r="N323" t="n">
        <v>0</v>
      </c>
      <c r="O323" t="n">
        <v>0</v>
      </c>
      <c r="P323" t="n">
        <v>0</v>
      </c>
      <c r="Q323" t="n">
        <v>0</v>
      </c>
      <c r="R323" s="2" t="inlineStr"/>
    </row>
    <row r="324" ht="15" customHeight="1">
      <c r="A324" t="inlineStr">
        <is>
          <t>A 12210-2024</t>
        </is>
      </c>
      <c r="B324" s="1" t="n">
        <v>45378</v>
      </c>
      <c r="C324" s="1" t="n">
        <v>45976</v>
      </c>
      <c r="D324" t="inlineStr">
        <is>
          <t>GOTLANDS LÄN</t>
        </is>
      </c>
      <c r="E324" t="inlineStr">
        <is>
          <t>GOTLAND</t>
        </is>
      </c>
      <c r="G324" t="n">
        <v>4.1</v>
      </c>
      <c r="H324" t="n">
        <v>0</v>
      </c>
      <c r="I324" t="n">
        <v>0</v>
      </c>
      <c r="J324" t="n">
        <v>0</v>
      </c>
      <c r="K324" t="n">
        <v>0</v>
      </c>
      <c r="L324" t="n">
        <v>0</v>
      </c>
      <c r="M324" t="n">
        <v>0</v>
      </c>
      <c r="N324" t="n">
        <v>0</v>
      </c>
      <c r="O324" t="n">
        <v>0</v>
      </c>
      <c r="P324" t="n">
        <v>0</v>
      </c>
      <c r="Q324" t="n">
        <v>0</v>
      </c>
      <c r="R324" s="2" t="inlineStr"/>
    </row>
    <row r="325" ht="15" customHeight="1">
      <c r="A325" t="inlineStr">
        <is>
          <t>A 49874-2024</t>
        </is>
      </c>
      <c r="B325" s="1" t="n">
        <v>45597.49274305555</v>
      </c>
      <c r="C325" s="1" t="n">
        <v>45976</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59986-2022</t>
        </is>
      </c>
      <c r="B326" s="1" t="n">
        <v>44909</v>
      </c>
      <c r="C326" s="1" t="n">
        <v>45976</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1394-2023</t>
        </is>
      </c>
      <c r="B327" s="1" t="n">
        <v>44936.72997685185</v>
      </c>
      <c r="C327" s="1" t="n">
        <v>45976</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2676-2023</t>
        </is>
      </c>
      <c r="B328" s="1" t="n">
        <v>44944</v>
      </c>
      <c r="C328" s="1" t="n">
        <v>45976</v>
      </c>
      <c r="D328" t="inlineStr">
        <is>
          <t>GOTLANDS LÄN</t>
        </is>
      </c>
      <c r="E328" t="inlineStr">
        <is>
          <t>GOTLAND</t>
        </is>
      </c>
      <c r="G328" t="n">
        <v>0.7</v>
      </c>
      <c r="H328" t="n">
        <v>0</v>
      </c>
      <c r="I328" t="n">
        <v>0</v>
      </c>
      <c r="J328" t="n">
        <v>0</v>
      </c>
      <c r="K328" t="n">
        <v>0</v>
      </c>
      <c r="L328" t="n">
        <v>0</v>
      </c>
      <c r="M328" t="n">
        <v>0</v>
      </c>
      <c r="N328" t="n">
        <v>0</v>
      </c>
      <c r="O328" t="n">
        <v>0</v>
      </c>
      <c r="P328" t="n">
        <v>0</v>
      </c>
      <c r="Q328" t="n">
        <v>0</v>
      </c>
      <c r="R328" s="2" t="inlineStr"/>
    </row>
    <row r="329" ht="15" customHeight="1">
      <c r="A329" t="inlineStr">
        <is>
          <t>A 4387-2023</t>
        </is>
      </c>
      <c r="B329" s="1" t="n">
        <v>44955.73359953704</v>
      </c>
      <c r="C329" s="1" t="n">
        <v>45976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49411-2023</t>
        </is>
      </c>
      <c r="B330" s="1" t="n">
        <v>45205</v>
      </c>
      <c r="C330" s="1" t="n">
        <v>45976</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37728-2024</t>
        </is>
      </c>
      <c r="B331" s="1" t="n">
        <v>45541</v>
      </c>
      <c r="C331" s="1" t="n">
        <v>45976</v>
      </c>
      <c r="D331" t="inlineStr">
        <is>
          <t>GOTLANDS LÄN</t>
        </is>
      </c>
      <c r="E331" t="inlineStr">
        <is>
          <t>GOTLAND</t>
        </is>
      </c>
      <c r="G331" t="n">
        <v>0.4</v>
      </c>
      <c r="H331" t="n">
        <v>0</v>
      </c>
      <c r="I331" t="n">
        <v>0</v>
      </c>
      <c r="J331" t="n">
        <v>0</v>
      </c>
      <c r="K331" t="n">
        <v>0</v>
      </c>
      <c r="L331" t="n">
        <v>0</v>
      </c>
      <c r="M331" t="n">
        <v>0</v>
      </c>
      <c r="N331" t="n">
        <v>0</v>
      </c>
      <c r="O331" t="n">
        <v>0</v>
      </c>
      <c r="P331" t="n">
        <v>0</v>
      </c>
      <c r="Q331" t="n">
        <v>0</v>
      </c>
      <c r="R331" s="2" t="inlineStr"/>
    </row>
    <row r="332" ht="15" customHeight="1">
      <c r="A332" t="inlineStr">
        <is>
          <t>A 31802-2024</t>
        </is>
      </c>
      <c r="B332" s="1" t="n">
        <v>45509</v>
      </c>
      <c r="C332" s="1" t="n">
        <v>45976</v>
      </c>
      <c r="D332" t="inlineStr">
        <is>
          <t>GOTLANDS LÄN</t>
        </is>
      </c>
      <c r="E332" t="inlineStr">
        <is>
          <t>GOTLAND</t>
        </is>
      </c>
      <c r="G332" t="n">
        <v>2.8</v>
      </c>
      <c r="H332" t="n">
        <v>0</v>
      </c>
      <c r="I332" t="n">
        <v>0</v>
      </c>
      <c r="J332" t="n">
        <v>0</v>
      </c>
      <c r="K332" t="n">
        <v>0</v>
      </c>
      <c r="L332" t="n">
        <v>0</v>
      </c>
      <c r="M332" t="n">
        <v>0</v>
      </c>
      <c r="N332" t="n">
        <v>0</v>
      </c>
      <c r="O332" t="n">
        <v>0</v>
      </c>
      <c r="P332" t="n">
        <v>0</v>
      </c>
      <c r="Q332" t="n">
        <v>0</v>
      </c>
      <c r="R332" s="2" t="inlineStr"/>
    </row>
    <row r="333" ht="15" customHeight="1">
      <c r="A333" t="inlineStr">
        <is>
          <t>A 2241-2025</t>
        </is>
      </c>
      <c r="B333" s="1" t="n">
        <v>45673.48710648148</v>
      </c>
      <c r="C333" s="1" t="n">
        <v>45976</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39849-2025</t>
        </is>
      </c>
      <c r="B334" s="1" t="n">
        <v>45891.58502314815</v>
      </c>
      <c r="C334" s="1" t="n">
        <v>45976</v>
      </c>
      <c r="D334" t="inlineStr">
        <is>
          <t>GOTLANDS LÄN</t>
        </is>
      </c>
      <c r="E334" t="inlineStr">
        <is>
          <t>GOTLAND</t>
        </is>
      </c>
      <c r="G334" t="n">
        <v>6.1</v>
      </c>
      <c r="H334" t="n">
        <v>0</v>
      </c>
      <c r="I334" t="n">
        <v>0</v>
      </c>
      <c r="J334" t="n">
        <v>0</v>
      </c>
      <c r="K334" t="n">
        <v>0</v>
      </c>
      <c r="L334" t="n">
        <v>0</v>
      </c>
      <c r="M334" t="n">
        <v>0</v>
      </c>
      <c r="N334" t="n">
        <v>0</v>
      </c>
      <c r="O334" t="n">
        <v>0</v>
      </c>
      <c r="P334" t="n">
        <v>0</v>
      </c>
      <c r="Q334" t="n">
        <v>0</v>
      </c>
      <c r="R334" s="2" t="inlineStr"/>
    </row>
    <row r="335" ht="15" customHeight="1">
      <c r="A335" t="inlineStr">
        <is>
          <t>A 20993-2023</t>
        </is>
      </c>
      <c r="B335" s="1" t="n">
        <v>45056</v>
      </c>
      <c r="C335" s="1" t="n">
        <v>45976</v>
      </c>
      <c r="D335" t="inlineStr">
        <is>
          <t>GOTLANDS LÄN</t>
        </is>
      </c>
      <c r="E335" t="inlineStr">
        <is>
          <t>GOTLAND</t>
        </is>
      </c>
      <c r="G335" t="n">
        <v>7.1</v>
      </c>
      <c r="H335" t="n">
        <v>0</v>
      </c>
      <c r="I335" t="n">
        <v>0</v>
      </c>
      <c r="J335" t="n">
        <v>0</v>
      </c>
      <c r="K335" t="n">
        <v>0</v>
      </c>
      <c r="L335" t="n">
        <v>0</v>
      </c>
      <c r="M335" t="n">
        <v>0</v>
      </c>
      <c r="N335" t="n">
        <v>0</v>
      </c>
      <c r="O335" t="n">
        <v>0</v>
      </c>
      <c r="P335" t="n">
        <v>0</v>
      </c>
      <c r="Q335" t="n">
        <v>0</v>
      </c>
      <c r="R335" s="2" t="inlineStr"/>
    </row>
    <row r="336" ht="15" customHeight="1">
      <c r="A336" t="inlineStr">
        <is>
          <t>A 15042-2025</t>
        </is>
      </c>
      <c r="B336" s="1" t="n">
        <v>45743</v>
      </c>
      <c r="C336" s="1" t="n">
        <v>45976</v>
      </c>
      <c r="D336" t="inlineStr">
        <is>
          <t>GOTLANDS LÄN</t>
        </is>
      </c>
      <c r="E336" t="inlineStr">
        <is>
          <t>GOTLAND</t>
        </is>
      </c>
      <c r="G336" t="n">
        <v>8.5</v>
      </c>
      <c r="H336" t="n">
        <v>0</v>
      </c>
      <c r="I336" t="n">
        <v>0</v>
      </c>
      <c r="J336" t="n">
        <v>0</v>
      </c>
      <c r="K336" t="n">
        <v>0</v>
      </c>
      <c r="L336" t="n">
        <v>0</v>
      </c>
      <c r="M336" t="n">
        <v>0</v>
      </c>
      <c r="N336" t="n">
        <v>0</v>
      </c>
      <c r="O336" t="n">
        <v>0</v>
      </c>
      <c r="P336" t="n">
        <v>0</v>
      </c>
      <c r="Q336" t="n">
        <v>0</v>
      </c>
      <c r="R336" s="2" t="inlineStr"/>
    </row>
    <row r="337" ht="15" customHeight="1">
      <c r="A337" t="inlineStr">
        <is>
          <t>A 39814-2025</t>
        </is>
      </c>
      <c r="B337" s="1" t="n">
        <v>45891.52694444444</v>
      </c>
      <c r="C337" s="1" t="n">
        <v>45976</v>
      </c>
      <c r="D337" t="inlineStr">
        <is>
          <t>GOTLANDS LÄN</t>
        </is>
      </c>
      <c r="E337" t="inlineStr">
        <is>
          <t>GOTLAND</t>
        </is>
      </c>
      <c r="G337" t="n">
        <v>4.5</v>
      </c>
      <c r="H337" t="n">
        <v>0</v>
      </c>
      <c r="I337" t="n">
        <v>0</v>
      </c>
      <c r="J337" t="n">
        <v>0</v>
      </c>
      <c r="K337" t="n">
        <v>0</v>
      </c>
      <c r="L337" t="n">
        <v>0</v>
      </c>
      <c r="M337" t="n">
        <v>0</v>
      </c>
      <c r="N337" t="n">
        <v>0</v>
      </c>
      <c r="O337" t="n">
        <v>0</v>
      </c>
      <c r="P337" t="n">
        <v>0</v>
      </c>
      <c r="Q337" t="n">
        <v>0</v>
      </c>
      <c r="R337" s="2" t="inlineStr"/>
    </row>
    <row r="338" ht="15" customHeight="1">
      <c r="A338" t="inlineStr">
        <is>
          <t>A 39819-2025</t>
        </is>
      </c>
      <c r="B338" s="1" t="n">
        <v>45891.53418981482</v>
      </c>
      <c r="C338" s="1" t="n">
        <v>45976</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12327-2025</t>
        </is>
      </c>
      <c r="B339" s="1" t="n">
        <v>45730</v>
      </c>
      <c r="C339" s="1" t="n">
        <v>45976</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45976</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45976</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45976</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4420-2025</t>
        </is>
      </c>
      <c r="B343" s="1" t="n">
        <v>45686.47157407407</v>
      </c>
      <c r="C343" s="1" t="n">
        <v>45976</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22275-2023</t>
        </is>
      </c>
      <c r="B344" s="1" t="n">
        <v>45070.39875</v>
      </c>
      <c r="C344" s="1" t="n">
        <v>45976</v>
      </c>
      <c r="D344" t="inlineStr">
        <is>
          <t>GOTLANDS LÄN</t>
        </is>
      </c>
      <c r="E344" t="inlineStr">
        <is>
          <t>GOTLAND</t>
        </is>
      </c>
      <c r="G344" t="n">
        <v>7.2</v>
      </c>
      <c r="H344" t="n">
        <v>0</v>
      </c>
      <c r="I344" t="n">
        <v>0</v>
      </c>
      <c r="J344" t="n">
        <v>0</v>
      </c>
      <c r="K344" t="n">
        <v>0</v>
      </c>
      <c r="L344" t="n">
        <v>0</v>
      </c>
      <c r="M344" t="n">
        <v>0</v>
      </c>
      <c r="N344" t="n">
        <v>0</v>
      </c>
      <c r="O344" t="n">
        <v>0</v>
      </c>
      <c r="P344" t="n">
        <v>0</v>
      </c>
      <c r="Q344" t="n">
        <v>0</v>
      </c>
      <c r="R344" s="2" t="inlineStr"/>
    </row>
    <row r="345" ht="15" customHeight="1">
      <c r="A345" t="inlineStr">
        <is>
          <t>A 51782-2023</t>
        </is>
      </c>
      <c r="B345" s="1" t="n">
        <v>45222.80952546297</v>
      </c>
      <c r="C345" s="1" t="n">
        <v>45976</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40373-2025</t>
        </is>
      </c>
      <c r="B346" s="1" t="n">
        <v>45895.51821759259</v>
      </c>
      <c r="C346" s="1" t="n">
        <v>45976</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45976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45976</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60675-2021</t>
        </is>
      </c>
      <c r="B349" s="1" t="n">
        <v>44496.64855324074</v>
      </c>
      <c r="C349" s="1" t="n">
        <v>45976</v>
      </c>
      <c r="D349" t="inlineStr">
        <is>
          <t>GOTLANDS LÄN</t>
        </is>
      </c>
      <c r="E349" t="inlineStr">
        <is>
          <t>GOTLAND</t>
        </is>
      </c>
      <c r="G349" t="n">
        <v>4.6</v>
      </c>
      <c r="H349" t="n">
        <v>0</v>
      </c>
      <c r="I349" t="n">
        <v>0</v>
      </c>
      <c r="J349" t="n">
        <v>0</v>
      </c>
      <c r="K349" t="n">
        <v>0</v>
      </c>
      <c r="L349" t="n">
        <v>0</v>
      </c>
      <c r="M349" t="n">
        <v>0</v>
      </c>
      <c r="N349" t="n">
        <v>0</v>
      </c>
      <c r="O349" t="n">
        <v>0</v>
      </c>
      <c r="P349" t="n">
        <v>0</v>
      </c>
      <c r="Q349" t="n">
        <v>0</v>
      </c>
      <c r="R349" s="2" t="inlineStr"/>
    </row>
    <row r="350" ht="15" customHeight="1">
      <c r="A350" t="inlineStr">
        <is>
          <t>A 7635-2025</t>
        </is>
      </c>
      <c r="B350" s="1" t="n">
        <v>45705</v>
      </c>
      <c r="C350" s="1" t="n">
        <v>45976</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7636-2025</t>
        </is>
      </c>
      <c r="B351" s="1" t="n">
        <v>45705.7687962963</v>
      </c>
      <c r="C351" s="1" t="n">
        <v>45976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7639-2025</t>
        </is>
      </c>
      <c r="B352" s="1" t="n">
        <v>45705.77465277778</v>
      </c>
      <c r="C352" s="1" t="n">
        <v>45976</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5217-2023</t>
        </is>
      </c>
      <c r="B353" s="1" t="n">
        <v>44959.39582175926</v>
      </c>
      <c r="C353" s="1" t="n">
        <v>45976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14427-2024</t>
        </is>
      </c>
      <c r="B354" s="1" t="n">
        <v>45394</v>
      </c>
      <c r="C354" s="1" t="n">
        <v>45976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14638-2025</t>
        </is>
      </c>
      <c r="B355" s="1" t="n">
        <v>45742</v>
      </c>
      <c r="C355" s="1" t="n">
        <v>45976</v>
      </c>
      <c r="D355" t="inlineStr">
        <is>
          <t>GOTLANDS LÄN</t>
        </is>
      </c>
      <c r="E355" t="inlineStr">
        <is>
          <t>GOTLAND</t>
        </is>
      </c>
      <c r="G355" t="n">
        <v>13.4</v>
      </c>
      <c r="H355" t="n">
        <v>0</v>
      </c>
      <c r="I355" t="n">
        <v>0</v>
      </c>
      <c r="J355" t="n">
        <v>0</v>
      </c>
      <c r="K355" t="n">
        <v>0</v>
      </c>
      <c r="L355" t="n">
        <v>0</v>
      </c>
      <c r="M355" t="n">
        <v>0</v>
      </c>
      <c r="N355" t="n">
        <v>0</v>
      </c>
      <c r="O355" t="n">
        <v>0</v>
      </c>
      <c r="P355" t="n">
        <v>0</v>
      </c>
      <c r="Q355" t="n">
        <v>0</v>
      </c>
      <c r="R355" s="2" t="inlineStr"/>
    </row>
    <row r="356" ht="15" customHeight="1">
      <c r="A356" t="inlineStr">
        <is>
          <t>A 61682-2024</t>
        </is>
      </c>
      <c r="B356" s="1" t="n">
        <v>45647.48824074074</v>
      </c>
      <c r="C356" s="1" t="n">
        <v>45976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4421-2024</t>
        </is>
      </c>
      <c r="B357" s="1" t="n">
        <v>45327.45173611111</v>
      </c>
      <c r="C357" s="1" t="n">
        <v>45976</v>
      </c>
      <c r="D357" t="inlineStr">
        <is>
          <t>GOTLANDS LÄN</t>
        </is>
      </c>
      <c r="E357" t="inlineStr">
        <is>
          <t>GOTLAND</t>
        </is>
      </c>
      <c r="G357" t="n">
        <v>5.1</v>
      </c>
      <c r="H357" t="n">
        <v>0</v>
      </c>
      <c r="I357" t="n">
        <v>0</v>
      </c>
      <c r="J357" t="n">
        <v>0</v>
      </c>
      <c r="K357" t="n">
        <v>0</v>
      </c>
      <c r="L357" t="n">
        <v>0</v>
      </c>
      <c r="M357" t="n">
        <v>0</v>
      </c>
      <c r="N357" t="n">
        <v>0</v>
      </c>
      <c r="O357" t="n">
        <v>0</v>
      </c>
      <c r="P357" t="n">
        <v>0</v>
      </c>
      <c r="Q357" t="n">
        <v>0</v>
      </c>
      <c r="R357" s="2" t="inlineStr"/>
    </row>
    <row r="358" ht="15" customHeight="1">
      <c r="A358" t="inlineStr">
        <is>
          <t>A 15434-2024</t>
        </is>
      </c>
      <c r="B358" s="1" t="n">
        <v>45401.38836805556</v>
      </c>
      <c r="C358" s="1" t="n">
        <v>45976</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7034-2023</t>
        </is>
      </c>
      <c r="B359" s="1" t="n">
        <v>44968.32108796296</v>
      </c>
      <c r="C359" s="1" t="n">
        <v>45976</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7042-2023</t>
        </is>
      </c>
      <c r="B360" s="1" t="n">
        <v>44968</v>
      </c>
      <c r="C360" s="1" t="n">
        <v>45976</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20165-2022</t>
        </is>
      </c>
      <c r="B361" s="1" t="n">
        <v>44698.49854166667</v>
      </c>
      <c r="C361" s="1" t="n">
        <v>45976</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2180-2025</t>
        </is>
      </c>
      <c r="B362" s="1" t="n">
        <v>45673</v>
      </c>
      <c r="C362" s="1" t="n">
        <v>45976</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45976</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33876-2024</t>
        </is>
      </c>
      <c r="B364" s="1" t="n">
        <v>45521.87988425926</v>
      </c>
      <c r="C364" s="1" t="n">
        <v>45976</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43223-2023</t>
        </is>
      </c>
      <c r="B365" s="1" t="n">
        <v>45183.45642361111</v>
      </c>
      <c r="C365" s="1" t="n">
        <v>45976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45976</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27930-2021</t>
        </is>
      </c>
      <c r="B367" s="1" t="n">
        <v>44354</v>
      </c>
      <c r="C367" s="1" t="n">
        <v>45976</v>
      </c>
      <c r="D367" t="inlineStr">
        <is>
          <t>GOTLANDS LÄN</t>
        </is>
      </c>
      <c r="E367" t="inlineStr">
        <is>
          <t>GOTLAND</t>
        </is>
      </c>
      <c r="G367" t="n">
        <v>2.5</v>
      </c>
      <c r="H367" t="n">
        <v>0</v>
      </c>
      <c r="I367" t="n">
        <v>0</v>
      </c>
      <c r="J367" t="n">
        <v>0</v>
      </c>
      <c r="K367" t="n">
        <v>0</v>
      </c>
      <c r="L367" t="n">
        <v>0</v>
      </c>
      <c r="M367" t="n">
        <v>0</v>
      </c>
      <c r="N367" t="n">
        <v>0</v>
      </c>
      <c r="O367" t="n">
        <v>0</v>
      </c>
      <c r="P367" t="n">
        <v>0</v>
      </c>
      <c r="Q367" t="n">
        <v>0</v>
      </c>
      <c r="R367" s="2" t="inlineStr"/>
    </row>
    <row r="368" ht="15" customHeight="1">
      <c r="A368" t="inlineStr">
        <is>
          <t>A 59469-2024</t>
        </is>
      </c>
      <c r="B368" s="1" t="n">
        <v>45638</v>
      </c>
      <c r="C368" s="1" t="n">
        <v>45976</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54074-2022</t>
        </is>
      </c>
      <c r="B369" s="1" t="n">
        <v>44881</v>
      </c>
      <c r="C369" s="1" t="n">
        <v>45976</v>
      </c>
      <c r="D369" t="inlineStr">
        <is>
          <t>GOTLANDS LÄN</t>
        </is>
      </c>
      <c r="E369" t="inlineStr">
        <is>
          <t>GOTLAND</t>
        </is>
      </c>
      <c r="G369" t="n">
        <v>0.9</v>
      </c>
      <c r="H369" t="n">
        <v>0</v>
      </c>
      <c r="I369" t="n">
        <v>0</v>
      </c>
      <c r="J369" t="n">
        <v>0</v>
      </c>
      <c r="K369" t="n">
        <v>0</v>
      </c>
      <c r="L369" t="n">
        <v>0</v>
      </c>
      <c r="M369" t="n">
        <v>0</v>
      </c>
      <c r="N369" t="n">
        <v>0</v>
      </c>
      <c r="O369" t="n">
        <v>0</v>
      </c>
      <c r="P369" t="n">
        <v>0</v>
      </c>
      <c r="Q369" t="n">
        <v>0</v>
      </c>
      <c r="R369" s="2" t="inlineStr"/>
    </row>
    <row r="370" ht="15" customHeight="1">
      <c r="A370" t="inlineStr">
        <is>
          <t>A 61694-2023</t>
        </is>
      </c>
      <c r="B370" s="1" t="n">
        <v>45264</v>
      </c>
      <c r="C370" s="1" t="n">
        <v>45976</v>
      </c>
      <c r="D370" t="inlineStr">
        <is>
          <t>GOTLANDS LÄN</t>
        </is>
      </c>
      <c r="E370" t="inlineStr">
        <is>
          <t>GOTLAND</t>
        </is>
      </c>
      <c r="G370" t="n">
        <v>4.6</v>
      </c>
      <c r="H370" t="n">
        <v>0</v>
      </c>
      <c r="I370" t="n">
        <v>0</v>
      </c>
      <c r="J370" t="n">
        <v>0</v>
      </c>
      <c r="K370" t="n">
        <v>0</v>
      </c>
      <c r="L370" t="n">
        <v>0</v>
      </c>
      <c r="M370" t="n">
        <v>0</v>
      </c>
      <c r="N370" t="n">
        <v>0</v>
      </c>
      <c r="O370" t="n">
        <v>0</v>
      </c>
      <c r="P370" t="n">
        <v>0</v>
      </c>
      <c r="Q370" t="n">
        <v>0</v>
      </c>
      <c r="R370" s="2" t="inlineStr"/>
    </row>
    <row r="371" ht="15" customHeight="1">
      <c r="A371" t="inlineStr">
        <is>
          <t>A 49257-2024</t>
        </is>
      </c>
      <c r="B371" s="1" t="n">
        <v>45595.47627314815</v>
      </c>
      <c r="C371" s="1" t="n">
        <v>45976</v>
      </c>
      <c r="D371" t="inlineStr">
        <is>
          <t>GOTLANDS LÄN</t>
        </is>
      </c>
      <c r="E371" t="inlineStr">
        <is>
          <t>GOTLAND</t>
        </is>
      </c>
      <c r="G371" t="n">
        <v>6.3</v>
      </c>
      <c r="H371" t="n">
        <v>0</v>
      </c>
      <c r="I371" t="n">
        <v>0</v>
      </c>
      <c r="J371" t="n">
        <v>0</v>
      </c>
      <c r="K371" t="n">
        <v>0</v>
      </c>
      <c r="L371" t="n">
        <v>0</v>
      </c>
      <c r="M371" t="n">
        <v>0</v>
      </c>
      <c r="N371" t="n">
        <v>0</v>
      </c>
      <c r="O371" t="n">
        <v>0</v>
      </c>
      <c r="P371" t="n">
        <v>0</v>
      </c>
      <c r="Q371" t="n">
        <v>0</v>
      </c>
      <c r="R371" s="2" t="inlineStr"/>
    </row>
    <row r="372" ht="15" customHeight="1">
      <c r="A372" t="inlineStr">
        <is>
          <t>A 40103-2025</t>
        </is>
      </c>
      <c r="B372" s="1" t="n">
        <v>45894.4880324074</v>
      </c>
      <c r="C372" s="1" t="n">
        <v>45976</v>
      </c>
      <c r="D372" t="inlineStr">
        <is>
          <t>GOTLANDS LÄN</t>
        </is>
      </c>
      <c r="E372" t="inlineStr">
        <is>
          <t>GOTLAND</t>
        </is>
      </c>
      <c r="G372" t="n">
        <v>0.9</v>
      </c>
      <c r="H372" t="n">
        <v>0</v>
      </c>
      <c r="I372" t="n">
        <v>0</v>
      </c>
      <c r="J372" t="n">
        <v>0</v>
      </c>
      <c r="K372" t="n">
        <v>0</v>
      </c>
      <c r="L372" t="n">
        <v>0</v>
      </c>
      <c r="M372" t="n">
        <v>0</v>
      </c>
      <c r="N372" t="n">
        <v>0</v>
      </c>
      <c r="O372" t="n">
        <v>0</v>
      </c>
      <c r="P372" t="n">
        <v>0</v>
      </c>
      <c r="Q372" t="n">
        <v>0</v>
      </c>
      <c r="R372" s="2" t="inlineStr"/>
    </row>
    <row r="373" ht="15" customHeight="1">
      <c r="A373" t="inlineStr">
        <is>
          <t>A 64208-2021</t>
        </is>
      </c>
      <c r="B373" s="1" t="n">
        <v>44510</v>
      </c>
      <c r="C373" s="1" t="n">
        <v>45976</v>
      </c>
      <c r="D373" t="inlineStr">
        <is>
          <t>GOTLANDS LÄN</t>
        </is>
      </c>
      <c r="E373" t="inlineStr">
        <is>
          <t>GOTLAND</t>
        </is>
      </c>
      <c r="G373" t="n">
        <v>4.7</v>
      </c>
      <c r="H373" t="n">
        <v>0</v>
      </c>
      <c r="I373" t="n">
        <v>0</v>
      </c>
      <c r="J373" t="n">
        <v>0</v>
      </c>
      <c r="K373" t="n">
        <v>0</v>
      </c>
      <c r="L373" t="n">
        <v>0</v>
      </c>
      <c r="M373" t="n">
        <v>0</v>
      </c>
      <c r="N373" t="n">
        <v>0</v>
      </c>
      <c r="O373" t="n">
        <v>0</v>
      </c>
      <c r="P373" t="n">
        <v>0</v>
      </c>
      <c r="Q373" t="n">
        <v>0</v>
      </c>
      <c r="R373" s="2" t="inlineStr"/>
    </row>
    <row r="374" ht="15" customHeight="1">
      <c r="A374" t="inlineStr">
        <is>
          <t>A 38649-2025</t>
        </is>
      </c>
      <c r="B374" s="1" t="n">
        <v>45884</v>
      </c>
      <c r="C374" s="1" t="n">
        <v>45976</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49315-2024</t>
        </is>
      </c>
      <c r="B375" s="1" t="n">
        <v>45595</v>
      </c>
      <c r="C375" s="1" t="n">
        <v>45976</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54268-2022</t>
        </is>
      </c>
      <c r="B376" s="1" t="n">
        <v>44882</v>
      </c>
      <c r="C376" s="1" t="n">
        <v>45976</v>
      </c>
      <c r="D376" t="inlineStr">
        <is>
          <t>GOTLANDS LÄN</t>
        </is>
      </c>
      <c r="E376" t="inlineStr">
        <is>
          <t>GOTLAND</t>
        </is>
      </c>
      <c r="G376" t="n">
        <v>2.7</v>
      </c>
      <c r="H376" t="n">
        <v>0</v>
      </c>
      <c r="I376" t="n">
        <v>0</v>
      </c>
      <c r="J376" t="n">
        <v>0</v>
      </c>
      <c r="K376" t="n">
        <v>0</v>
      </c>
      <c r="L376" t="n">
        <v>0</v>
      </c>
      <c r="M376" t="n">
        <v>0</v>
      </c>
      <c r="N376" t="n">
        <v>0</v>
      </c>
      <c r="O376" t="n">
        <v>0</v>
      </c>
      <c r="P376" t="n">
        <v>0</v>
      </c>
      <c r="Q376" t="n">
        <v>0</v>
      </c>
      <c r="R376" s="2" t="inlineStr"/>
    </row>
    <row r="377" ht="15" customHeight="1">
      <c r="A377" t="inlineStr">
        <is>
          <t>A 1446-2025</t>
        </is>
      </c>
      <c r="B377" s="1" t="n">
        <v>45669.86035879629</v>
      </c>
      <c r="C377" s="1" t="n">
        <v>45976</v>
      </c>
      <c r="D377" t="inlineStr">
        <is>
          <t>GOTLANDS LÄN</t>
        </is>
      </c>
      <c r="E377" t="inlineStr">
        <is>
          <t>GOTLAND</t>
        </is>
      </c>
      <c r="G377" t="n">
        <v>3.1</v>
      </c>
      <c r="H377" t="n">
        <v>0</v>
      </c>
      <c r="I377" t="n">
        <v>0</v>
      </c>
      <c r="J377" t="n">
        <v>0</v>
      </c>
      <c r="K377" t="n">
        <v>0</v>
      </c>
      <c r="L377" t="n">
        <v>0</v>
      </c>
      <c r="M377" t="n">
        <v>0</v>
      </c>
      <c r="N377" t="n">
        <v>0</v>
      </c>
      <c r="O377" t="n">
        <v>0</v>
      </c>
      <c r="P377" t="n">
        <v>0</v>
      </c>
      <c r="Q377" t="n">
        <v>0</v>
      </c>
      <c r="R377" s="2" t="inlineStr"/>
    </row>
    <row r="378" ht="15" customHeight="1">
      <c r="A378" t="inlineStr">
        <is>
          <t>A 1462-2025</t>
        </is>
      </c>
      <c r="B378" s="1" t="n">
        <v>45670.36319444444</v>
      </c>
      <c r="C378" s="1" t="n">
        <v>45976</v>
      </c>
      <c r="D378" t="inlineStr">
        <is>
          <t>GOTLANDS LÄN</t>
        </is>
      </c>
      <c r="E378" t="inlineStr">
        <is>
          <t>GOTLAND</t>
        </is>
      </c>
      <c r="G378" t="n">
        <v>2.8</v>
      </c>
      <c r="H378" t="n">
        <v>0</v>
      </c>
      <c r="I378" t="n">
        <v>0</v>
      </c>
      <c r="J378" t="n">
        <v>0</v>
      </c>
      <c r="K378" t="n">
        <v>0</v>
      </c>
      <c r="L378" t="n">
        <v>0</v>
      </c>
      <c r="M378" t="n">
        <v>0</v>
      </c>
      <c r="N378" t="n">
        <v>0</v>
      </c>
      <c r="O378" t="n">
        <v>0</v>
      </c>
      <c r="P378" t="n">
        <v>0</v>
      </c>
      <c r="Q378" t="n">
        <v>0</v>
      </c>
      <c r="R378" s="2" t="inlineStr"/>
    </row>
    <row r="379" ht="15" customHeight="1">
      <c r="A379" t="inlineStr">
        <is>
          <t>A 57685-2022</t>
        </is>
      </c>
      <c r="B379" s="1" t="n">
        <v>44897.4777662037</v>
      </c>
      <c r="C379" s="1" t="n">
        <v>45976</v>
      </c>
      <c r="D379" t="inlineStr">
        <is>
          <t>GOTLANDS LÄN</t>
        </is>
      </c>
      <c r="E379" t="inlineStr">
        <is>
          <t>GOTLAND</t>
        </is>
      </c>
      <c r="G379" t="n">
        <v>3.7</v>
      </c>
      <c r="H379" t="n">
        <v>0</v>
      </c>
      <c r="I379" t="n">
        <v>0</v>
      </c>
      <c r="J379" t="n">
        <v>0</v>
      </c>
      <c r="K379" t="n">
        <v>0</v>
      </c>
      <c r="L379" t="n">
        <v>0</v>
      </c>
      <c r="M379" t="n">
        <v>0</v>
      </c>
      <c r="N379" t="n">
        <v>0</v>
      </c>
      <c r="O379" t="n">
        <v>0</v>
      </c>
      <c r="P379" t="n">
        <v>0</v>
      </c>
      <c r="Q379" t="n">
        <v>0</v>
      </c>
      <c r="R379" s="2" t="inlineStr"/>
    </row>
    <row r="380" ht="15" customHeight="1">
      <c r="A380" t="inlineStr">
        <is>
          <t>A 811-2023</t>
        </is>
      </c>
      <c r="B380" s="1" t="n">
        <v>44931</v>
      </c>
      <c r="C380" s="1" t="n">
        <v>45976</v>
      </c>
      <c r="D380" t="inlineStr">
        <is>
          <t>GOTLANDS LÄN</t>
        </is>
      </c>
      <c r="E380" t="inlineStr">
        <is>
          <t>GOTLAND</t>
        </is>
      </c>
      <c r="G380" t="n">
        <v>0.6</v>
      </c>
      <c r="H380" t="n">
        <v>0</v>
      </c>
      <c r="I380" t="n">
        <v>0</v>
      </c>
      <c r="J380" t="n">
        <v>0</v>
      </c>
      <c r="K380" t="n">
        <v>0</v>
      </c>
      <c r="L380" t="n">
        <v>0</v>
      </c>
      <c r="M380" t="n">
        <v>0</v>
      </c>
      <c r="N380" t="n">
        <v>0</v>
      </c>
      <c r="O380" t="n">
        <v>0</v>
      </c>
      <c r="P380" t="n">
        <v>0</v>
      </c>
      <c r="Q380" t="n">
        <v>0</v>
      </c>
      <c r="R380" s="2" t="inlineStr"/>
    </row>
    <row r="381" ht="15" customHeight="1">
      <c r="A381" t="inlineStr">
        <is>
          <t>A 5751-2024</t>
        </is>
      </c>
      <c r="B381" s="1" t="n">
        <v>45335.32702546296</v>
      </c>
      <c r="C381" s="1" t="n">
        <v>45976</v>
      </c>
      <c r="D381" t="inlineStr">
        <is>
          <t>GOTLANDS LÄN</t>
        </is>
      </c>
      <c r="E381" t="inlineStr">
        <is>
          <t>GOTLAND</t>
        </is>
      </c>
      <c r="G381" t="n">
        <v>4.2</v>
      </c>
      <c r="H381" t="n">
        <v>0</v>
      </c>
      <c r="I381" t="n">
        <v>0</v>
      </c>
      <c r="J381" t="n">
        <v>0</v>
      </c>
      <c r="K381" t="n">
        <v>0</v>
      </c>
      <c r="L381" t="n">
        <v>0</v>
      </c>
      <c r="M381" t="n">
        <v>0</v>
      </c>
      <c r="N381" t="n">
        <v>0</v>
      </c>
      <c r="O381" t="n">
        <v>0</v>
      </c>
      <c r="P381" t="n">
        <v>0</v>
      </c>
      <c r="Q381" t="n">
        <v>0</v>
      </c>
      <c r="R381" s="2" t="inlineStr"/>
    </row>
    <row r="382" ht="15" customHeight="1">
      <c r="A382" t="inlineStr">
        <is>
          <t>A 6696-2023</t>
        </is>
      </c>
      <c r="B382" s="1" t="n">
        <v>44966.66425925926</v>
      </c>
      <c r="C382" s="1" t="n">
        <v>45976</v>
      </c>
      <c r="D382" t="inlineStr">
        <is>
          <t>GOTLANDS LÄN</t>
        </is>
      </c>
      <c r="E382" t="inlineStr">
        <is>
          <t>GOTLAND</t>
        </is>
      </c>
      <c r="G382" t="n">
        <v>1.5</v>
      </c>
      <c r="H382" t="n">
        <v>0</v>
      </c>
      <c r="I382" t="n">
        <v>0</v>
      </c>
      <c r="J382" t="n">
        <v>0</v>
      </c>
      <c r="K382" t="n">
        <v>0</v>
      </c>
      <c r="L382" t="n">
        <v>0</v>
      </c>
      <c r="M382" t="n">
        <v>0</v>
      </c>
      <c r="N382" t="n">
        <v>0</v>
      </c>
      <c r="O382" t="n">
        <v>0</v>
      </c>
      <c r="P382" t="n">
        <v>0</v>
      </c>
      <c r="Q382" t="n">
        <v>0</v>
      </c>
      <c r="R382" s="2" t="inlineStr"/>
    </row>
    <row r="383" ht="15" customHeight="1">
      <c r="A383" t="inlineStr">
        <is>
          <t>A 28480-2023</t>
        </is>
      </c>
      <c r="B383" s="1" t="n">
        <v>45103</v>
      </c>
      <c r="C383" s="1" t="n">
        <v>45976</v>
      </c>
      <c r="D383" t="inlineStr">
        <is>
          <t>GOTLANDS LÄN</t>
        </is>
      </c>
      <c r="E383" t="inlineStr">
        <is>
          <t>GOTLAND</t>
        </is>
      </c>
      <c r="G383" t="n">
        <v>5.7</v>
      </c>
      <c r="H383" t="n">
        <v>0</v>
      </c>
      <c r="I383" t="n">
        <v>0</v>
      </c>
      <c r="J383" t="n">
        <v>0</v>
      </c>
      <c r="K383" t="n">
        <v>0</v>
      </c>
      <c r="L383" t="n">
        <v>0</v>
      </c>
      <c r="M383" t="n">
        <v>0</v>
      </c>
      <c r="N383" t="n">
        <v>0</v>
      </c>
      <c r="O383" t="n">
        <v>0</v>
      </c>
      <c r="P383" t="n">
        <v>0</v>
      </c>
      <c r="Q383" t="n">
        <v>0</v>
      </c>
      <c r="R383" s="2" t="inlineStr"/>
    </row>
    <row r="384" ht="15" customHeight="1">
      <c r="A384" t="inlineStr">
        <is>
          <t>A 28485-2023</t>
        </is>
      </c>
      <c r="B384" s="1" t="n">
        <v>45103.43731481482</v>
      </c>
      <c r="C384" s="1" t="n">
        <v>45976</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4990-2025</t>
        </is>
      </c>
      <c r="B385" s="1" t="n">
        <v>45691</v>
      </c>
      <c r="C385" s="1" t="n">
        <v>45976</v>
      </c>
      <c r="D385" t="inlineStr">
        <is>
          <t>GOTLANDS LÄN</t>
        </is>
      </c>
      <c r="E385" t="inlineStr">
        <is>
          <t>GOTLAND</t>
        </is>
      </c>
      <c r="G385" t="n">
        <v>7.7</v>
      </c>
      <c r="H385" t="n">
        <v>0</v>
      </c>
      <c r="I385" t="n">
        <v>0</v>
      </c>
      <c r="J385" t="n">
        <v>0</v>
      </c>
      <c r="K385" t="n">
        <v>0</v>
      </c>
      <c r="L385" t="n">
        <v>0</v>
      </c>
      <c r="M385" t="n">
        <v>0</v>
      </c>
      <c r="N385" t="n">
        <v>0</v>
      </c>
      <c r="O385" t="n">
        <v>0</v>
      </c>
      <c r="P385" t="n">
        <v>0</v>
      </c>
      <c r="Q385" t="n">
        <v>0</v>
      </c>
      <c r="R385" s="2" t="inlineStr"/>
    </row>
    <row r="386" ht="15" customHeight="1">
      <c r="A386" t="inlineStr">
        <is>
          <t>A 38165-2023</t>
        </is>
      </c>
      <c r="B386" s="1" t="n">
        <v>45161</v>
      </c>
      <c r="C386" s="1" t="n">
        <v>45976</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40499-2025</t>
        </is>
      </c>
      <c r="B387" s="1" t="n">
        <v>45896.32517361111</v>
      </c>
      <c r="C387" s="1" t="n">
        <v>45976</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45976</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45976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49724-2025</t>
        </is>
      </c>
      <c r="B390" s="1" t="n">
        <v>45939.83730324074</v>
      </c>
      <c r="C390" s="1" t="n">
        <v>45976</v>
      </c>
      <c r="D390" t="inlineStr">
        <is>
          <t>GOTLANDS LÄN</t>
        </is>
      </c>
      <c r="E390" t="inlineStr">
        <is>
          <t>GOTLAND</t>
        </is>
      </c>
      <c r="F390" t="inlineStr">
        <is>
          <t>Kyrkan</t>
        </is>
      </c>
      <c r="G390" t="n">
        <v>3.1</v>
      </c>
      <c r="H390" t="n">
        <v>0</v>
      </c>
      <c r="I390" t="n">
        <v>0</v>
      </c>
      <c r="J390" t="n">
        <v>0</v>
      </c>
      <c r="K390" t="n">
        <v>0</v>
      </c>
      <c r="L390" t="n">
        <v>0</v>
      </c>
      <c r="M390" t="n">
        <v>0</v>
      </c>
      <c r="N390" t="n">
        <v>0</v>
      </c>
      <c r="O390" t="n">
        <v>0</v>
      </c>
      <c r="P390" t="n">
        <v>0</v>
      </c>
      <c r="Q390" t="n">
        <v>0</v>
      </c>
      <c r="R390" s="2" t="inlineStr"/>
    </row>
    <row r="391" ht="15" customHeight="1">
      <c r="A391" t="inlineStr">
        <is>
          <t>A 49730-2025</t>
        </is>
      </c>
      <c r="B391" s="1" t="n">
        <v>45939.87613425926</v>
      </c>
      <c r="C391" s="1" t="n">
        <v>45976</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3431-2025</t>
        </is>
      </c>
      <c r="B392" s="1" t="n">
        <v>45680.42935185185</v>
      </c>
      <c r="C392" s="1" t="n">
        <v>45976</v>
      </c>
      <c r="D392" t="inlineStr">
        <is>
          <t>GOTLANDS LÄN</t>
        </is>
      </c>
      <c r="E392" t="inlineStr">
        <is>
          <t>GOTLAND</t>
        </is>
      </c>
      <c r="G392" t="n">
        <v>4.8</v>
      </c>
      <c r="H392" t="n">
        <v>0</v>
      </c>
      <c r="I392" t="n">
        <v>0</v>
      </c>
      <c r="J392" t="n">
        <v>0</v>
      </c>
      <c r="K392" t="n">
        <v>0</v>
      </c>
      <c r="L392" t="n">
        <v>0</v>
      </c>
      <c r="M392" t="n">
        <v>0</v>
      </c>
      <c r="N392" t="n">
        <v>0</v>
      </c>
      <c r="O392" t="n">
        <v>0</v>
      </c>
      <c r="P392" t="n">
        <v>0</v>
      </c>
      <c r="Q392" t="n">
        <v>0</v>
      </c>
      <c r="R392" s="2" t="inlineStr"/>
    </row>
    <row r="393" ht="15" customHeight="1">
      <c r="A393" t="inlineStr">
        <is>
          <t>A 34407-2023</t>
        </is>
      </c>
      <c r="B393" s="1" t="n">
        <v>45132</v>
      </c>
      <c r="C393" s="1" t="n">
        <v>45976</v>
      </c>
      <c r="D393" t="inlineStr">
        <is>
          <t>GOTLANDS LÄN</t>
        </is>
      </c>
      <c r="E393" t="inlineStr">
        <is>
          <t>GOTLAND</t>
        </is>
      </c>
      <c r="G393" t="n">
        <v>4.4</v>
      </c>
      <c r="H393" t="n">
        <v>0</v>
      </c>
      <c r="I393" t="n">
        <v>0</v>
      </c>
      <c r="J393" t="n">
        <v>0</v>
      </c>
      <c r="K393" t="n">
        <v>0</v>
      </c>
      <c r="L393" t="n">
        <v>0</v>
      </c>
      <c r="M393" t="n">
        <v>0</v>
      </c>
      <c r="N393" t="n">
        <v>0</v>
      </c>
      <c r="O393" t="n">
        <v>0</v>
      </c>
      <c r="P393" t="n">
        <v>0</v>
      </c>
      <c r="Q393" t="n">
        <v>0</v>
      </c>
      <c r="R393" s="2" t="inlineStr"/>
    </row>
    <row r="394" ht="15" customHeight="1">
      <c r="A394" t="inlineStr">
        <is>
          <t>A 30892-2024</t>
        </is>
      </c>
      <c r="B394" s="1" t="n">
        <v>45491</v>
      </c>
      <c r="C394" s="1" t="n">
        <v>45976</v>
      </c>
      <c r="D394" t="inlineStr">
        <is>
          <t>GOTLANDS LÄN</t>
        </is>
      </c>
      <c r="E394" t="inlineStr">
        <is>
          <t>GOTLAND</t>
        </is>
      </c>
      <c r="G394" t="n">
        <v>6.1</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45976</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49693-2023</t>
        </is>
      </c>
      <c r="B396" s="1" t="n">
        <v>45212.38138888889</v>
      </c>
      <c r="C396" s="1" t="n">
        <v>45976</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49697-2023</t>
        </is>
      </c>
      <c r="B397" s="1" t="n">
        <v>45212.38909722222</v>
      </c>
      <c r="C397" s="1" t="n">
        <v>45976</v>
      </c>
      <c r="D397" t="inlineStr">
        <is>
          <t>GOTLANDS LÄN</t>
        </is>
      </c>
      <c r="E397" t="inlineStr">
        <is>
          <t>GOTLAND</t>
        </is>
      </c>
      <c r="G397" t="n">
        <v>4.4</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45976</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48503-2023</t>
        </is>
      </c>
      <c r="B399" s="1" t="n">
        <v>45207</v>
      </c>
      <c r="C399" s="1" t="n">
        <v>45976</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7858-2025</t>
        </is>
      </c>
      <c r="B400" s="1" t="n">
        <v>45706.68633101852</v>
      </c>
      <c r="C400" s="1" t="n">
        <v>45976</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46545-2024</t>
        </is>
      </c>
      <c r="B401" s="1" t="n">
        <v>45582.65831018519</v>
      </c>
      <c r="C401" s="1" t="n">
        <v>45976</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41551-2025</t>
        </is>
      </c>
      <c r="B402" s="1" t="n">
        <v>45901.58854166666</v>
      </c>
      <c r="C402" s="1" t="n">
        <v>45976</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999-2023</t>
        </is>
      </c>
      <c r="B403" s="1" t="n">
        <v>44935</v>
      </c>
      <c r="C403" s="1" t="n">
        <v>45976</v>
      </c>
      <c r="D403" t="inlineStr">
        <is>
          <t>GOTLANDS LÄN</t>
        </is>
      </c>
      <c r="E403" t="inlineStr">
        <is>
          <t>GOTLAND</t>
        </is>
      </c>
      <c r="G403" t="n">
        <v>4.7</v>
      </c>
      <c r="H403" t="n">
        <v>0</v>
      </c>
      <c r="I403" t="n">
        <v>0</v>
      </c>
      <c r="J403" t="n">
        <v>0</v>
      </c>
      <c r="K403" t="n">
        <v>0</v>
      </c>
      <c r="L403" t="n">
        <v>0</v>
      </c>
      <c r="M403" t="n">
        <v>0</v>
      </c>
      <c r="N403" t="n">
        <v>0</v>
      </c>
      <c r="O403" t="n">
        <v>0</v>
      </c>
      <c r="P403" t="n">
        <v>0</v>
      </c>
      <c r="Q403" t="n">
        <v>0</v>
      </c>
      <c r="R403" s="2" t="inlineStr"/>
    </row>
    <row r="404" ht="15" customHeight="1">
      <c r="A404" t="inlineStr">
        <is>
          <t>A 24825-2024</t>
        </is>
      </c>
      <c r="B404" s="1" t="n">
        <v>45461</v>
      </c>
      <c r="C404" s="1" t="n">
        <v>45976</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1364-2025</t>
        </is>
      </c>
      <c r="B405" s="1" t="n">
        <v>45667.63929398148</v>
      </c>
      <c r="C405" s="1" t="n">
        <v>45976</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2125-2025</t>
        </is>
      </c>
      <c r="B406" s="1" t="n">
        <v>45672.64940972222</v>
      </c>
      <c r="C406" s="1" t="n">
        <v>45976</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27596-2023</t>
        </is>
      </c>
      <c r="B407" s="1" t="n">
        <v>45097</v>
      </c>
      <c r="C407" s="1" t="n">
        <v>45976</v>
      </c>
      <c r="D407" t="inlineStr">
        <is>
          <t>GOTLANDS LÄN</t>
        </is>
      </c>
      <c r="E407" t="inlineStr">
        <is>
          <t>GOTLAND</t>
        </is>
      </c>
      <c r="G407" t="n">
        <v>3.6</v>
      </c>
      <c r="H407" t="n">
        <v>0</v>
      </c>
      <c r="I407" t="n">
        <v>0</v>
      </c>
      <c r="J407" t="n">
        <v>0</v>
      </c>
      <c r="K407" t="n">
        <v>0</v>
      </c>
      <c r="L407" t="n">
        <v>0</v>
      </c>
      <c r="M407" t="n">
        <v>0</v>
      </c>
      <c r="N407" t="n">
        <v>0</v>
      </c>
      <c r="O407" t="n">
        <v>0</v>
      </c>
      <c r="P407" t="n">
        <v>0</v>
      </c>
      <c r="Q407" t="n">
        <v>0</v>
      </c>
      <c r="R407" s="2" t="inlineStr"/>
    </row>
    <row r="408" ht="15" customHeight="1">
      <c r="A408" t="inlineStr">
        <is>
          <t>A 56115-2023</t>
        </is>
      </c>
      <c r="B408" s="1" t="n">
        <v>45236</v>
      </c>
      <c r="C408" s="1" t="n">
        <v>45976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64969-2023</t>
        </is>
      </c>
      <c r="B409" s="1" t="n">
        <v>45284.54009259259</v>
      </c>
      <c r="C409" s="1" t="n">
        <v>45976</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22031-2024</t>
        </is>
      </c>
      <c r="B410" s="1" t="n">
        <v>45443.60075231481</v>
      </c>
      <c r="C410" s="1" t="n">
        <v>45976</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17688-2024</t>
        </is>
      </c>
      <c r="B411" s="1" t="n">
        <v>45418.43575231481</v>
      </c>
      <c r="C411" s="1" t="n">
        <v>45976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39278-2025</t>
        </is>
      </c>
      <c r="B412" s="1" t="n">
        <v>45889</v>
      </c>
      <c r="C412" s="1" t="n">
        <v>45976</v>
      </c>
      <c r="D412" t="inlineStr">
        <is>
          <t>GOTLANDS LÄN</t>
        </is>
      </c>
      <c r="E412" t="inlineStr">
        <is>
          <t>GOTLAND</t>
        </is>
      </c>
      <c r="G412" t="n">
        <v>3.7</v>
      </c>
      <c r="H412" t="n">
        <v>0</v>
      </c>
      <c r="I412" t="n">
        <v>0</v>
      </c>
      <c r="J412" t="n">
        <v>0</v>
      </c>
      <c r="K412" t="n">
        <v>0</v>
      </c>
      <c r="L412" t="n">
        <v>0</v>
      </c>
      <c r="M412" t="n">
        <v>0</v>
      </c>
      <c r="N412" t="n">
        <v>0</v>
      </c>
      <c r="O412" t="n">
        <v>0</v>
      </c>
      <c r="P412" t="n">
        <v>0</v>
      </c>
      <c r="Q412" t="n">
        <v>0</v>
      </c>
      <c r="R412" s="2" t="inlineStr"/>
    </row>
    <row r="413" ht="15" customHeight="1">
      <c r="A413" t="inlineStr">
        <is>
          <t>A 14141-2024</t>
        </is>
      </c>
      <c r="B413" s="1" t="n">
        <v>45392.85193287037</v>
      </c>
      <c r="C413" s="1" t="n">
        <v>45976</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33853-2024</t>
        </is>
      </c>
      <c r="B414" s="1" t="n">
        <v>45520.64298611111</v>
      </c>
      <c r="C414" s="1" t="n">
        <v>45976</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12155-2023</t>
        </is>
      </c>
      <c r="B415" s="1" t="n">
        <v>44998.49106481481</v>
      </c>
      <c r="C415" s="1" t="n">
        <v>45976</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33011-2025</t>
        </is>
      </c>
      <c r="B416" s="1" t="n">
        <v>45840</v>
      </c>
      <c r="C416" s="1" t="n">
        <v>45976</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27694-2024</t>
        </is>
      </c>
      <c r="B417" s="1" t="n">
        <v>45475</v>
      </c>
      <c r="C417" s="1" t="n">
        <v>45976</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18223-2025</t>
        </is>
      </c>
      <c r="B418" s="1" t="n">
        <v>45761</v>
      </c>
      <c r="C418" s="1" t="n">
        <v>45976</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41435-2025</t>
        </is>
      </c>
      <c r="B419" s="1" t="n">
        <v>45901.39974537037</v>
      </c>
      <c r="C419" s="1" t="n">
        <v>45976</v>
      </c>
      <c r="D419" t="inlineStr">
        <is>
          <t>GOTLANDS LÄN</t>
        </is>
      </c>
      <c r="E419" t="inlineStr">
        <is>
          <t>GOTLAND</t>
        </is>
      </c>
      <c r="G419" t="n">
        <v>4.9</v>
      </c>
      <c r="H419" t="n">
        <v>0</v>
      </c>
      <c r="I419" t="n">
        <v>0</v>
      </c>
      <c r="J419" t="n">
        <v>0</v>
      </c>
      <c r="K419" t="n">
        <v>0</v>
      </c>
      <c r="L419" t="n">
        <v>0</v>
      </c>
      <c r="M419" t="n">
        <v>0</v>
      </c>
      <c r="N419" t="n">
        <v>0</v>
      </c>
      <c r="O419" t="n">
        <v>0</v>
      </c>
      <c r="P419" t="n">
        <v>0</v>
      </c>
      <c r="Q419" t="n">
        <v>0</v>
      </c>
      <c r="R419" s="2" t="inlineStr"/>
    </row>
    <row r="420" ht="15" customHeight="1">
      <c r="A420" t="inlineStr">
        <is>
          <t>A 46949-2024</t>
        </is>
      </c>
      <c r="B420" s="1" t="n">
        <v>45585</v>
      </c>
      <c r="C420" s="1" t="n">
        <v>45976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50421-2025</t>
        </is>
      </c>
      <c r="B421" s="1" t="n">
        <v>45944.66049768519</v>
      </c>
      <c r="C421" s="1" t="n">
        <v>45976</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2774-2024</t>
        </is>
      </c>
      <c r="B422" s="1" t="n">
        <v>45314.62375</v>
      </c>
      <c r="C422" s="1" t="n">
        <v>45976</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24001-2021</t>
        </is>
      </c>
      <c r="B423" s="1" t="n">
        <v>44335</v>
      </c>
      <c r="C423" s="1" t="n">
        <v>45976</v>
      </c>
      <c r="D423" t="inlineStr">
        <is>
          <t>GOTLANDS LÄN</t>
        </is>
      </c>
      <c r="E423" t="inlineStr">
        <is>
          <t>GOTLAND</t>
        </is>
      </c>
      <c r="G423" t="n">
        <v>3.4</v>
      </c>
      <c r="H423" t="n">
        <v>0</v>
      </c>
      <c r="I423" t="n">
        <v>0</v>
      </c>
      <c r="J423" t="n">
        <v>0</v>
      </c>
      <c r="K423" t="n">
        <v>0</v>
      </c>
      <c r="L423" t="n">
        <v>0</v>
      </c>
      <c r="M423" t="n">
        <v>0</v>
      </c>
      <c r="N423" t="n">
        <v>0</v>
      </c>
      <c r="O423" t="n">
        <v>0</v>
      </c>
      <c r="P423" t="n">
        <v>0</v>
      </c>
      <c r="Q423" t="n">
        <v>0</v>
      </c>
      <c r="R423" s="2" t="inlineStr"/>
    </row>
    <row r="424" ht="15" customHeight="1">
      <c r="A424" t="inlineStr">
        <is>
          <t>A 50431-2025</t>
        </is>
      </c>
      <c r="B424" s="1" t="n">
        <v>45944.68453703704</v>
      </c>
      <c r="C424" s="1" t="n">
        <v>45976</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39479-2022</t>
        </is>
      </c>
      <c r="B425" s="1" t="n">
        <v>44818</v>
      </c>
      <c r="C425" s="1" t="n">
        <v>45976</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39496-2022</t>
        </is>
      </c>
      <c r="B426" s="1" t="n">
        <v>44818</v>
      </c>
      <c r="C426" s="1" t="n">
        <v>45976</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9947-2024</t>
        </is>
      </c>
      <c r="B427" s="1" t="n">
        <v>45363</v>
      </c>
      <c r="C427" s="1" t="n">
        <v>45976</v>
      </c>
      <c r="D427" t="inlineStr">
        <is>
          <t>GOTLANDS LÄN</t>
        </is>
      </c>
      <c r="E427" t="inlineStr">
        <is>
          <t>GOTLAND</t>
        </is>
      </c>
      <c r="G427" t="n">
        <v>2</v>
      </c>
      <c r="H427" t="n">
        <v>0</v>
      </c>
      <c r="I427" t="n">
        <v>0</v>
      </c>
      <c r="J427" t="n">
        <v>0</v>
      </c>
      <c r="K427" t="n">
        <v>0</v>
      </c>
      <c r="L427" t="n">
        <v>0</v>
      </c>
      <c r="M427" t="n">
        <v>0</v>
      </c>
      <c r="N427" t="n">
        <v>0</v>
      </c>
      <c r="O427" t="n">
        <v>0</v>
      </c>
      <c r="P427" t="n">
        <v>0</v>
      </c>
      <c r="Q427" t="n">
        <v>0</v>
      </c>
      <c r="R427" s="2" t="inlineStr"/>
    </row>
    <row r="428" ht="15" customHeight="1">
      <c r="A428" t="inlineStr">
        <is>
          <t>A 42007-2023</t>
        </is>
      </c>
      <c r="B428" s="1" t="n">
        <v>45177</v>
      </c>
      <c r="C428" s="1" t="n">
        <v>45976</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39764-2022</t>
        </is>
      </c>
      <c r="B429" s="1" t="n">
        <v>44819</v>
      </c>
      <c r="C429" s="1" t="n">
        <v>45976</v>
      </c>
      <c r="D429" t="inlineStr">
        <is>
          <t>GOTLANDS LÄN</t>
        </is>
      </c>
      <c r="E429" t="inlineStr">
        <is>
          <t>GOTLAND</t>
        </is>
      </c>
      <c r="F429" t="inlineStr">
        <is>
          <t>Kyrkan</t>
        </is>
      </c>
      <c r="G429" t="n">
        <v>3.7</v>
      </c>
      <c r="H429" t="n">
        <v>0</v>
      </c>
      <c r="I429" t="n">
        <v>0</v>
      </c>
      <c r="J429" t="n">
        <v>0</v>
      </c>
      <c r="K429" t="n">
        <v>0</v>
      </c>
      <c r="L429" t="n">
        <v>0</v>
      </c>
      <c r="M429" t="n">
        <v>0</v>
      </c>
      <c r="N429" t="n">
        <v>0</v>
      </c>
      <c r="O429" t="n">
        <v>0</v>
      </c>
      <c r="P429" t="n">
        <v>0</v>
      </c>
      <c r="Q429" t="n">
        <v>0</v>
      </c>
      <c r="R429" s="2" t="inlineStr"/>
    </row>
    <row r="430" ht="15" customHeight="1">
      <c r="A430" t="inlineStr">
        <is>
          <t>A 6099-2024</t>
        </is>
      </c>
      <c r="B430" s="1" t="n">
        <v>45337</v>
      </c>
      <c r="C430" s="1" t="n">
        <v>45976</v>
      </c>
      <c r="D430" t="inlineStr">
        <is>
          <t>GOTLANDS LÄN</t>
        </is>
      </c>
      <c r="E430" t="inlineStr">
        <is>
          <t>GOTLAND</t>
        </is>
      </c>
      <c r="G430" t="n">
        <v>12.6</v>
      </c>
      <c r="H430" t="n">
        <v>0</v>
      </c>
      <c r="I430" t="n">
        <v>0</v>
      </c>
      <c r="J430" t="n">
        <v>0</v>
      </c>
      <c r="K430" t="n">
        <v>0</v>
      </c>
      <c r="L430" t="n">
        <v>0</v>
      </c>
      <c r="M430" t="n">
        <v>0</v>
      </c>
      <c r="N430" t="n">
        <v>0</v>
      </c>
      <c r="O430" t="n">
        <v>0</v>
      </c>
      <c r="P430" t="n">
        <v>0</v>
      </c>
      <c r="Q430" t="n">
        <v>0</v>
      </c>
      <c r="R430" s="2" t="inlineStr"/>
    </row>
    <row r="431" ht="15" customHeight="1">
      <c r="A431" t="inlineStr">
        <is>
          <t>A 46389-2021</t>
        </is>
      </c>
      <c r="B431" s="1" t="n">
        <v>44443</v>
      </c>
      <c r="C431" s="1" t="n">
        <v>45976</v>
      </c>
      <c r="D431" t="inlineStr">
        <is>
          <t>GOTLANDS LÄN</t>
        </is>
      </c>
      <c r="E431" t="inlineStr">
        <is>
          <t>GOTLAND</t>
        </is>
      </c>
      <c r="F431" t="inlineStr">
        <is>
          <t>Kyrkan</t>
        </is>
      </c>
      <c r="G431" t="n">
        <v>2.1</v>
      </c>
      <c r="H431" t="n">
        <v>0</v>
      </c>
      <c r="I431" t="n">
        <v>0</v>
      </c>
      <c r="J431" t="n">
        <v>0</v>
      </c>
      <c r="K431" t="n">
        <v>0</v>
      </c>
      <c r="L431" t="n">
        <v>0</v>
      </c>
      <c r="M431" t="n">
        <v>0</v>
      </c>
      <c r="N431" t="n">
        <v>0</v>
      </c>
      <c r="O431" t="n">
        <v>0</v>
      </c>
      <c r="P431" t="n">
        <v>0</v>
      </c>
      <c r="Q431" t="n">
        <v>0</v>
      </c>
      <c r="R431" s="2" t="inlineStr"/>
    </row>
    <row r="432" ht="15" customHeight="1">
      <c r="A432" t="inlineStr">
        <is>
          <t>A 50928-2025</t>
        </is>
      </c>
      <c r="B432" s="1" t="n">
        <v>45946.67896990741</v>
      </c>
      <c r="C432" s="1" t="n">
        <v>45976</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44949-2023</t>
        </is>
      </c>
      <c r="B433" s="1" t="n">
        <v>45190.69520833333</v>
      </c>
      <c r="C433" s="1" t="n">
        <v>45976</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45976</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42608-2025</t>
        </is>
      </c>
      <c r="B435" s="1" t="n">
        <v>45905</v>
      </c>
      <c r="C435" s="1" t="n">
        <v>45976</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44304-2021</t>
        </is>
      </c>
      <c r="B436" s="1" t="n">
        <v>44434</v>
      </c>
      <c r="C436" s="1" t="n">
        <v>45976</v>
      </c>
      <c r="D436" t="inlineStr">
        <is>
          <t>GOTLANDS LÄN</t>
        </is>
      </c>
      <c r="E436" t="inlineStr">
        <is>
          <t>GOTLAND</t>
        </is>
      </c>
      <c r="G436" t="n">
        <v>5.8</v>
      </c>
      <c r="H436" t="n">
        <v>0</v>
      </c>
      <c r="I436" t="n">
        <v>0</v>
      </c>
      <c r="J436" t="n">
        <v>0</v>
      </c>
      <c r="K436" t="n">
        <v>0</v>
      </c>
      <c r="L436" t="n">
        <v>0</v>
      </c>
      <c r="M436" t="n">
        <v>0</v>
      </c>
      <c r="N436" t="n">
        <v>0</v>
      </c>
      <c r="O436" t="n">
        <v>0</v>
      </c>
      <c r="P436" t="n">
        <v>0</v>
      </c>
      <c r="Q436" t="n">
        <v>0</v>
      </c>
      <c r="R436" s="2" t="inlineStr"/>
    </row>
    <row r="437" ht="15" customHeight="1">
      <c r="A437" t="inlineStr">
        <is>
          <t>A 17682-2024</t>
        </is>
      </c>
      <c r="B437" s="1" t="n">
        <v>45418.42966435185</v>
      </c>
      <c r="C437" s="1" t="n">
        <v>45976</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61897-2024</t>
        </is>
      </c>
      <c r="B438" s="1" t="n">
        <v>45652.75685185185</v>
      </c>
      <c r="C438" s="1" t="n">
        <v>45976</v>
      </c>
      <c r="D438" t="inlineStr">
        <is>
          <t>GOTLANDS LÄN</t>
        </is>
      </c>
      <c r="E438" t="inlineStr">
        <is>
          <t>GOTLAND</t>
        </is>
      </c>
      <c r="G438" t="n">
        <v>6.4</v>
      </c>
      <c r="H438" t="n">
        <v>0</v>
      </c>
      <c r="I438" t="n">
        <v>0</v>
      </c>
      <c r="J438" t="n">
        <v>0</v>
      </c>
      <c r="K438" t="n">
        <v>0</v>
      </c>
      <c r="L438" t="n">
        <v>0</v>
      </c>
      <c r="M438" t="n">
        <v>0</v>
      </c>
      <c r="N438" t="n">
        <v>0</v>
      </c>
      <c r="O438" t="n">
        <v>0</v>
      </c>
      <c r="P438" t="n">
        <v>0</v>
      </c>
      <c r="Q438" t="n">
        <v>0</v>
      </c>
      <c r="R438" s="2" t="inlineStr"/>
    </row>
    <row r="439" ht="15" customHeight="1">
      <c r="A439" t="inlineStr">
        <is>
          <t>A 12032-2025</t>
        </is>
      </c>
      <c r="B439" s="1" t="n">
        <v>45728.64472222222</v>
      </c>
      <c r="C439" s="1" t="n">
        <v>45976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15083-2025</t>
        </is>
      </c>
      <c r="B440" s="1" t="n">
        <v>45743</v>
      </c>
      <c r="C440" s="1" t="n">
        <v>45976</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15595-2024</t>
        </is>
      </c>
      <c r="B441" s="1" t="n">
        <v>45401.81480324074</v>
      </c>
      <c r="C441" s="1" t="n">
        <v>45976</v>
      </c>
      <c r="D441" t="inlineStr">
        <is>
          <t>GOTLANDS LÄN</t>
        </is>
      </c>
      <c r="E441" t="inlineStr">
        <is>
          <t>GOTLAND</t>
        </is>
      </c>
      <c r="G441" t="n">
        <v>6.4</v>
      </c>
      <c r="H441" t="n">
        <v>0</v>
      </c>
      <c r="I441" t="n">
        <v>0</v>
      </c>
      <c r="J441" t="n">
        <v>0</v>
      </c>
      <c r="K441" t="n">
        <v>0</v>
      </c>
      <c r="L441" t="n">
        <v>0</v>
      </c>
      <c r="M441" t="n">
        <v>0</v>
      </c>
      <c r="N441" t="n">
        <v>0</v>
      </c>
      <c r="O441" t="n">
        <v>0</v>
      </c>
      <c r="P441" t="n">
        <v>0</v>
      </c>
      <c r="Q441" t="n">
        <v>0</v>
      </c>
      <c r="R441" s="2" t="inlineStr"/>
    </row>
    <row r="442" ht="15" customHeight="1">
      <c r="A442" t="inlineStr">
        <is>
          <t>A 16373-2025</t>
        </is>
      </c>
      <c r="B442" s="1" t="n">
        <v>45751</v>
      </c>
      <c r="C442" s="1" t="n">
        <v>45976</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51262-2025</t>
        </is>
      </c>
      <c r="B443" s="1" t="n">
        <v>45949.49872685185</v>
      </c>
      <c r="C443" s="1" t="n">
        <v>45976</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22287-2022</t>
        </is>
      </c>
      <c r="B444" s="1" t="n">
        <v>44712</v>
      </c>
      <c r="C444" s="1" t="n">
        <v>45976</v>
      </c>
      <c r="D444" t="inlineStr">
        <is>
          <t>GOTLANDS LÄN</t>
        </is>
      </c>
      <c r="E444" t="inlineStr">
        <is>
          <t>GOTLAND</t>
        </is>
      </c>
      <c r="G444" t="n">
        <v>6.1</v>
      </c>
      <c r="H444" t="n">
        <v>0</v>
      </c>
      <c r="I444" t="n">
        <v>0</v>
      </c>
      <c r="J444" t="n">
        <v>0</v>
      </c>
      <c r="K444" t="n">
        <v>0</v>
      </c>
      <c r="L444" t="n">
        <v>0</v>
      </c>
      <c r="M444" t="n">
        <v>0</v>
      </c>
      <c r="N444" t="n">
        <v>0</v>
      </c>
      <c r="O444" t="n">
        <v>0</v>
      </c>
      <c r="P444" t="n">
        <v>0</v>
      </c>
      <c r="Q444" t="n">
        <v>0</v>
      </c>
      <c r="R444" s="2" t="inlineStr"/>
    </row>
    <row r="445" ht="15" customHeight="1">
      <c r="A445" t="inlineStr">
        <is>
          <t>A 57534-2022</t>
        </is>
      </c>
      <c r="B445" s="1" t="n">
        <v>44896</v>
      </c>
      <c r="C445" s="1" t="n">
        <v>45976</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21164-2024</t>
        </is>
      </c>
      <c r="B446" s="1" t="n">
        <v>45440</v>
      </c>
      <c r="C446" s="1" t="n">
        <v>45976</v>
      </c>
      <c r="D446" t="inlineStr">
        <is>
          <t>GOTLANDS LÄN</t>
        </is>
      </c>
      <c r="E446" t="inlineStr">
        <is>
          <t>GOTLAND</t>
        </is>
      </c>
      <c r="G446" t="n">
        <v>6.3</v>
      </c>
      <c r="H446" t="n">
        <v>0</v>
      </c>
      <c r="I446" t="n">
        <v>0</v>
      </c>
      <c r="J446" t="n">
        <v>0</v>
      </c>
      <c r="K446" t="n">
        <v>0</v>
      </c>
      <c r="L446" t="n">
        <v>0</v>
      </c>
      <c r="M446" t="n">
        <v>0</v>
      </c>
      <c r="N446" t="n">
        <v>0</v>
      </c>
      <c r="O446" t="n">
        <v>0</v>
      </c>
      <c r="P446" t="n">
        <v>0</v>
      </c>
      <c r="Q446" t="n">
        <v>0</v>
      </c>
      <c r="R446" s="2" t="inlineStr"/>
    </row>
    <row r="447" ht="15" customHeight="1">
      <c r="A447" t="inlineStr">
        <is>
          <t>A 64660-2023</t>
        </is>
      </c>
      <c r="B447" s="1" t="n">
        <v>45281.60122685185</v>
      </c>
      <c r="C447" s="1" t="n">
        <v>45976</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17541-2024</t>
        </is>
      </c>
      <c r="B448" s="1" t="n">
        <v>45415</v>
      </c>
      <c r="C448" s="1" t="n">
        <v>45976</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883-2025</t>
        </is>
      </c>
      <c r="B449" s="1" t="n">
        <v>45665</v>
      </c>
      <c r="C449" s="1" t="n">
        <v>45976</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13910-2025</t>
        </is>
      </c>
      <c r="B450" s="1" t="n">
        <v>45737</v>
      </c>
      <c r="C450" s="1" t="n">
        <v>45976</v>
      </c>
      <c r="D450" t="inlineStr">
        <is>
          <t>GOTLANDS LÄN</t>
        </is>
      </c>
      <c r="E450" t="inlineStr">
        <is>
          <t>GOTLAND</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1066-2024</t>
        </is>
      </c>
      <c r="B451" s="1" t="n">
        <v>45302.285</v>
      </c>
      <c r="C451" s="1" t="n">
        <v>45976</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45976</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20794-2025</t>
        </is>
      </c>
      <c r="B453" s="1" t="n">
        <v>45776</v>
      </c>
      <c r="C453" s="1" t="n">
        <v>45976</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20855-2023</t>
        </is>
      </c>
      <c r="B454" s="1" t="n">
        <v>45058.82172453704</v>
      </c>
      <c r="C454" s="1" t="n">
        <v>45976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10158-2025</t>
        </is>
      </c>
      <c r="B455" s="1" t="n">
        <v>45719</v>
      </c>
      <c r="C455" s="1" t="n">
        <v>45976</v>
      </c>
      <c r="D455" t="inlineStr">
        <is>
          <t>GOTLANDS LÄN</t>
        </is>
      </c>
      <c r="E455" t="inlineStr">
        <is>
          <t>GOTLAND</t>
        </is>
      </c>
      <c r="G455" t="n">
        <v>3.5</v>
      </c>
      <c r="H455" t="n">
        <v>0</v>
      </c>
      <c r="I455" t="n">
        <v>0</v>
      </c>
      <c r="J455" t="n">
        <v>0</v>
      </c>
      <c r="K455" t="n">
        <v>0</v>
      </c>
      <c r="L455" t="n">
        <v>0</v>
      </c>
      <c r="M455" t="n">
        <v>0</v>
      </c>
      <c r="N455" t="n">
        <v>0</v>
      </c>
      <c r="O455" t="n">
        <v>0</v>
      </c>
      <c r="P455" t="n">
        <v>0</v>
      </c>
      <c r="Q455" t="n">
        <v>0</v>
      </c>
      <c r="R455" s="2" t="inlineStr"/>
    </row>
    <row r="456" ht="15" customHeight="1">
      <c r="A456" t="inlineStr">
        <is>
          <t>A 20805-2025</t>
        </is>
      </c>
      <c r="B456" s="1" t="n">
        <v>45776</v>
      </c>
      <c r="C456" s="1" t="n">
        <v>45976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52249-2025</t>
        </is>
      </c>
      <c r="B457" s="1" t="n">
        <v>45953.48637731482</v>
      </c>
      <c r="C457" s="1" t="n">
        <v>45976</v>
      </c>
      <c r="D457" t="inlineStr">
        <is>
          <t>GOTLANDS LÄN</t>
        </is>
      </c>
      <c r="E457" t="inlineStr">
        <is>
          <t>GOTLAND</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21389-2025</t>
        </is>
      </c>
      <c r="B458" s="1" t="n">
        <v>45782</v>
      </c>
      <c r="C458" s="1" t="n">
        <v>45976</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45976</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1000-2024</t>
        </is>
      </c>
      <c r="B460" s="1" t="n">
        <v>45301.63371527778</v>
      </c>
      <c r="C460" s="1" t="n">
        <v>45976</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1010-2024</t>
        </is>
      </c>
      <c r="B461" s="1" t="n">
        <v>45301</v>
      </c>
      <c r="C461" s="1" t="n">
        <v>45976</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65249-2023</t>
        </is>
      </c>
      <c r="B462" s="1" t="n">
        <v>45290</v>
      </c>
      <c r="C462" s="1" t="n">
        <v>45976</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30815-2023</t>
        </is>
      </c>
      <c r="B463" s="1" t="n">
        <v>45112</v>
      </c>
      <c r="C463" s="1" t="n">
        <v>45976</v>
      </c>
      <c r="D463" t="inlineStr">
        <is>
          <t>GOTLANDS LÄN</t>
        </is>
      </c>
      <c r="E463" t="inlineStr">
        <is>
          <t>GOTLAND</t>
        </is>
      </c>
      <c r="G463" t="n">
        <v>6</v>
      </c>
      <c r="H463" t="n">
        <v>0</v>
      </c>
      <c r="I463" t="n">
        <v>0</v>
      </c>
      <c r="J463" t="n">
        <v>0</v>
      </c>
      <c r="K463" t="n">
        <v>0</v>
      </c>
      <c r="L463" t="n">
        <v>0</v>
      </c>
      <c r="M463" t="n">
        <v>0</v>
      </c>
      <c r="N463" t="n">
        <v>0</v>
      </c>
      <c r="O463" t="n">
        <v>0</v>
      </c>
      <c r="P463" t="n">
        <v>0</v>
      </c>
      <c r="Q463" t="n">
        <v>0</v>
      </c>
      <c r="R463" s="2" t="inlineStr"/>
    </row>
    <row r="464" ht="15" customHeight="1">
      <c r="A464" t="inlineStr">
        <is>
          <t>A 30956-2024</t>
        </is>
      </c>
      <c r="B464" s="1" t="n">
        <v>45499.42527777778</v>
      </c>
      <c r="C464" s="1" t="n">
        <v>45976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12596-2023</t>
        </is>
      </c>
      <c r="B465" s="1" t="n">
        <v>45000.43310185185</v>
      </c>
      <c r="C465" s="1" t="n">
        <v>45976</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46400-2023</t>
        </is>
      </c>
      <c r="B466" s="1" t="n">
        <v>45197.49290509259</v>
      </c>
      <c r="C466" s="1" t="n">
        <v>45976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8045-2022</t>
        </is>
      </c>
      <c r="B467" s="1" t="n">
        <v>44609</v>
      </c>
      <c r="C467" s="1" t="n">
        <v>45976</v>
      </c>
      <c r="D467" t="inlineStr">
        <is>
          <t>GOTLANDS LÄN</t>
        </is>
      </c>
      <c r="E467" t="inlineStr">
        <is>
          <t>GOTLAND</t>
        </is>
      </c>
      <c r="G467" t="n">
        <v>7</v>
      </c>
      <c r="H467" t="n">
        <v>0</v>
      </c>
      <c r="I467" t="n">
        <v>0</v>
      </c>
      <c r="J467" t="n">
        <v>0</v>
      </c>
      <c r="K467" t="n">
        <v>0</v>
      </c>
      <c r="L467" t="n">
        <v>0</v>
      </c>
      <c r="M467" t="n">
        <v>0</v>
      </c>
      <c r="N467" t="n">
        <v>0</v>
      </c>
      <c r="O467" t="n">
        <v>0</v>
      </c>
      <c r="P467" t="n">
        <v>0</v>
      </c>
      <c r="Q467" t="n">
        <v>0</v>
      </c>
      <c r="R467" s="2" t="inlineStr"/>
    </row>
    <row r="468" ht="15" customHeight="1">
      <c r="A468" t="inlineStr">
        <is>
          <t>A 10492-2023</t>
        </is>
      </c>
      <c r="B468" s="1" t="n">
        <v>44987</v>
      </c>
      <c r="C468" s="1" t="n">
        <v>45976</v>
      </c>
      <c r="D468" t="inlineStr">
        <is>
          <t>GOTLANDS LÄN</t>
        </is>
      </c>
      <c r="E468" t="inlineStr">
        <is>
          <t>GOTLAND</t>
        </is>
      </c>
      <c r="G468" t="n">
        <v>1</v>
      </c>
      <c r="H468" t="n">
        <v>0</v>
      </c>
      <c r="I468" t="n">
        <v>0</v>
      </c>
      <c r="J468" t="n">
        <v>0</v>
      </c>
      <c r="K468" t="n">
        <v>0</v>
      </c>
      <c r="L468" t="n">
        <v>0</v>
      </c>
      <c r="M468" t="n">
        <v>0</v>
      </c>
      <c r="N468" t="n">
        <v>0</v>
      </c>
      <c r="O468" t="n">
        <v>0</v>
      </c>
      <c r="P468" t="n">
        <v>0</v>
      </c>
      <c r="Q468" t="n">
        <v>0</v>
      </c>
      <c r="R468" s="2" t="inlineStr"/>
    </row>
    <row r="469" ht="15" customHeight="1">
      <c r="A469" t="inlineStr">
        <is>
          <t>A 43911-2025</t>
        </is>
      </c>
      <c r="B469" s="1" t="n">
        <v>45914.3881712963</v>
      </c>
      <c r="C469" s="1" t="n">
        <v>45976</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21651-2025</t>
        </is>
      </c>
      <c r="B470" s="1" t="n">
        <v>45783</v>
      </c>
      <c r="C470" s="1" t="n">
        <v>45976</v>
      </c>
      <c r="D470" t="inlineStr">
        <is>
          <t>GOTLANDS LÄN</t>
        </is>
      </c>
      <c r="E470" t="inlineStr">
        <is>
          <t>GOTLAND</t>
        </is>
      </c>
      <c r="G470" t="n">
        <v>4.2</v>
      </c>
      <c r="H470" t="n">
        <v>0</v>
      </c>
      <c r="I470" t="n">
        <v>0</v>
      </c>
      <c r="J470" t="n">
        <v>0</v>
      </c>
      <c r="K470" t="n">
        <v>0</v>
      </c>
      <c r="L470" t="n">
        <v>0</v>
      </c>
      <c r="M470" t="n">
        <v>0</v>
      </c>
      <c r="N470" t="n">
        <v>0</v>
      </c>
      <c r="O470" t="n">
        <v>0</v>
      </c>
      <c r="P470" t="n">
        <v>0</v>
      </c>
      <c r="Q470" t="n">
        <v>0</v>
      </c>
      <c r="R470" s="2" t="inlineStr"/>
    </row>
    <row r="471" ht="15" customHeight="1">
      <c r="A471" t="inlineStr">
        <is>
          <t>A 999-2024</t>
        </is>
      </c>
      <c r="B471" s="1" t="n">
        <v>45301</v>
      </c>
      <c r="C471" s="1" t="n">
        <v>45976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65901-2021</t>
        </is>
      </c>
      <c r="B472" s="1" t="n">
        <v>44516</v>
      </c>
      <c r="C472" s="1" t="n">
        <v>45976</v>
      </c>
      <c r="D472" t="inlineStr">
        <is>
          <t>GOTLANDS LÄN</t>
        </is>
      </c>
      <c r="E472" t="inlineStr">
        <is>
          <t>GOTLAND</t>
        </is>
      </c>
      <c r="G472" t="n">
        <v>4.9</v>
      </c>
      <c r="H472" t="n">
        <v>0</v>
      </c>
      <c r="I472" t="n">
        <v>0</v>
      </c>
      <c r="J472" t="n">
        <v>0</v>
      </c>
      <c r="K472" t="n">
        <v>0</v>
      </c>
      <c r="L472" t="n">
        <v>0</v>
      </c>
      <c r="M472" t="n">
        <v>0</v>
      </c>
      <c r="N472" t="n">
        <v>0</v>
      </c>
      <c r="O472" t="n">
        <v>0</v>
      </c>
      <c r="P472" t="n">
        <v>0</v>
      </c>
      <c r="Q472" t="n">
        <v>0</v>
      </c>
      <c r="R472" s="2" t="inlineStr"/>
    </row>
    <row r="473" ht="15" customHeight="1">
      <c r="A473" t="inlineStr">
        <is>
          <t>A 47762-2023</t>
        </is>
      </c>
      <c r="B473" s="1" t="n">
        <v>45203.86256944444</v>
      </c>
      <c r="C473" s="1" t="n">
        <v>45976</v>
      </c>
      <c r="D473" t="inlineStr">
        <is>
          <t>GOTLANDS LÄN</t>
        </is>
      </c>
      <c r="E473" t="inlineStr">
        <is>
          <t>GOTLAND</t>
        </is>
      </c>
      <c r="G473" t="n">
        <v>1.3</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45976</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45976</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45976</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458-2023</t>
        </is>
      </c>
      <c r="B477" s="1" t="n">
        <v>44929</v>
      </c>
      <c r="C477" s="1" t="n">
        <v>45976</v>
      </c>
      <c r="D477" t="inlineStr">
        <is>
          <t>GOTLANDS LÄN</t>
        </is>
      </c>
      <c r="E477" t="inlineStr">
        <is>
          <t>GOTLAND</t>
        </is>
      </c>
      <c r="G477" t="n">
        <v>3.6</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44936.47561342592</v>
      </c>
      <c r="C478" s="1" t="n">
        <v>45976</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43951-2025</t>
        </is>
      </c>
      <c r="B479" s="1" t="n">
        <v>45915.38119212963</v>
      </c>
      <c r="C479" s="1" t="n">
        <v>45976</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52637-2025</t>
        </is>
      </c>
      <c r="B480" s="1" t="n">
        <v>45954.75099537037</v>
      </c>
      <c r="C480" s="1" t="n">
        <v>45976</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32330-2024</t>
        </is>
      </c>
      <c r="B481" s="1" t="n">
        <v>45512</v>
      </c>
      <c r="C481" s="1" t="n">
        <v>45976</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44410-2025</t>
        </is>
      </c>
      <c r="B482" s="1" t="n">
        <v>45916.53699074074</v>
      </c>
      <c r="C482" s="1" t="n">
        <v>45976</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5891-2025</t>
        </is>
      </c>
      <c r="B483" s="1" t="n">
        <v>45695.38327546296</v>
      </c>
      <c r="C483" s="1" t="n">
        <v>45976</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14804-2021</t>
        </is>
      </c>
      <c r="B484" s="1" t="n">
        <v>44280</v>
      </c>
      <c r="C484" s="1" t="n">
        <v>45976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44405-2025</t>
        </is>
      </c>
      <c r="B485" s="1" t="n">
        <v>45916.52405092592</v>
      </c>
      <c r="C485" s="1" t="n">
        <v>45976</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44944.55361111111</v>
      </c>
      <c r="C486" s="1" t="n">
        <v>45976</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17144-2025</t>
        </is>
      </c>
      <c r="B487" s="1" t="n">
        <v>45755.9499537037</v>
      </c>
      <c r="C487" s="1" t="n">
        <v>45976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49314-2024</t>
        </is>
      </c>
      <c r="B488" s="1" t="n">
        <v>45595.55893518519</v>
      </c>
      <c r="C488" s="1" t="n">
        <v>45976</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9875-2025</t>
        </is>
      </c>
      <c r="B489" s="1" t="n">
        <v>45716</v>
      </c>
      <c r="C489" s="1" t="n">
        <v>45976</v>
      </c>
      <c r="D489" t="inlineStr">
        <is>
          <t>GOTLANDS LÄN</t>
        </is>
      </c>
      <c r="E489" t="inlineStr">
        <is>
          <t>GOTLAND</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44755.8713425926</v>
      </c>
      <c r="C490" s="1" t="n">
        <v>45976</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21420-2024</t>
        </is>
      </c>
      <c r="B491" s="1" t="n">
        <v>45441.38293981482</v>
      </c>
      <c r="C491" s="1" t="n">
        <v>45976</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10656-2024</t>
        </is>
      </c>
      <c r="B492" s="1" t="n">
        <v>45368</v>
      </c>
      <c r="C492" s="1" t="n">
        <v>45976</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57356-2023</t>
        </is>
      </c>
      <c r="B493" s="1" t="n">
        <v>45240</v>
      </c>
      <c r="C493" s="1" t="n">
        <v>45976</v>
      </c>
      <c r="D493" t="inlineStr">
        <is>
          <t>GOTLANDS LÄN</t>
        </is>
      </c>
      <c r="E493" t="inlineStr">
        <is>
          <t>GOTLAND</t>
        </is>
      </c>
      <c r="G493" t="n">
        <v>6.4</v>
      </c>
      <c r="H493" t="n">
        <v>0</v>
      </c>
      <c r="I493" t="n">
        <v>0</v>
      </c>
      <c r="J493" t="n">
        <v>0</v>
      </c>
      <c r="K493" t="n">
        <v>0</v>
      </c>
      <c r="L493" t="n">
        <v>0</v>
      </c>
      <c r="M493" t="n">
        <v>0</v>
      </c>
      <c r="N493" t="n">
        <v>0</v>
      </c>
      <c r="O493" t="n">
        <v>0</v>
      </c>
      <c r="P493" t="n">
        <v>0</v>
      </c>
      <c r="Q493" t="n">
        <v>0</v>
      </c>
      <c r="R493" s="2" t="inlineStr"/>
    </row>
    <row r="494" ht="15" customHeight="1">
      <c r="A494" t="inlineStr">
        <is>
          <t>A 28506-2023</t>
        </is>
      </c>
      <c r="B494" s="1" t="n">
        <v>45103</v>
      </c>
      <c r="C494" s="1" t="n">
        <v>45976</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53587-2025</t>
        </is>
      </c>
      <c r="B495" s="1" t="n">
        <v>45960.43681712963</v>
      </c>
      <c r="C495" s="1" t="n">
        <v>45976</v>
      </c>
      <c r="D495" t="inlineStr">
        <is>
          <t>GOTLANDS LÄN</t>
        </is>
      </c>
      <c r="E495" t="inlineStr">
        <is>
          <t>GOTLAND</t>
        </is>
      </c>
      <c r="F495" t="inlineStr">
        <is>
          <t>Övriga Aktiebolag</t>
        </is>
      </c>
      <c r="G495" t="n">
        <v>1.7</v>
      </c>
      <c r="H495" t="n">
        <v>0</v>
      </c>
      <c r="I495" t="n">
        <v>0</v>
      </c>
      <c r="J495" t="n">
        <v>0</v>
      </c>
      <c r="K495" t="n">
        <v>0</v>
      </c>
      <c r="L495" t="n">
        <v>0</v>
      </c>
      <c r="M495" t="n">
        <v>0</v>
      </c>
      <c r="N495" t="n">
        <v>0</v>
      </c>
      <c r="O495" t="n">
        <v>0</v>
      </c>
      <c r="P495" t="n">
        <v>0</v>
      </c>
      <c r="Q495" t="n">
        <v>0</v>
      </c>
      <c r="R495" s="2" t="inlineStr"/>
    </row>
    <row r="496" ht="15" customHeight="1">
      <c r="A496" t="inlineStr">
        <is>
          <t>A 23188-2025</t>
        </is>
      </c>
      <c r="B496" s="1" t="n">
        <v>45791</v>
      </c>
      <c r="C496" s="1" t="n">
        <v>45976</v>
      </c>
      <c r="D496" t="inlineStr">
        <is>
          <t>GOTLANDS LÄN</t>
        </is>
      </c>
      <c r="E496" t="inlineStr">
        <is>
          <t>GOTLAND</t>
        </is>
      </c>
      <c r="G496" t="n">
        <v>6.2</v>
      </c>
      <c r="H496" t="n">
        <v>0</v>
      </c>
      <c r="I496" t="n">
        <v>0</v>
      </c>
      <c r="J496" t="n">
        <v>0</v>
      </c>
      <c r="K496" t="n">
        <v>0</v>
      </c>
      <c r="L496" t="n">
        <v>0</v>
      </c>
      <c r="M496" t="n">
        <v>0</v>
      </c>
      <c r="N496" t="n">
        <v>0</v>
      </c>
      <c r="O496" t="n">
        <v>0</v>
      </c>
      <c r="P496" t="n">
        <v>0</v>
      </c>
      <c r="Q496" t="n">
        <v>0</v>
      </c>
      <c r="R496" s="2" t="inlineStr"/>
    </row>
    <row r="497" ht="15" customHeight="1">
      <c r="A497" t="inlineStr">
        <is>
          <t>A 53561-2025</t>
        </is>
      </c>
      <c r="B497" s="1" t="n">
        <v>45960.4059375</v>
      </c>
      <c r="C497" s="1" t="n">
        <v>45976</v>
      </c>
      <c r="D497" t="inlineStr">
        <is>
          <t>GOTLANDS LÄN</t>
        </is>
      </c>
      <c r="E497" t="inlineStr">
        <is>
          <t>GOTLAND</t>
        </is>
      </c>
      <c r="F497" t="inlineStr">
        <is>
          <t>Övriga Aktiebolag</t>
        </is>
      </c>
      <c r="G497" t="n">
        <v>2.4</v>
      </c>
      <c r="H497" t="n">
        <v>0</v>
      </c>
      <c r="I497" t="n">
        <v>0</v>
      </c>
      <c r="J497" t="n">
        <v>0</v>
      </c>
      <c r="K497" t="n">
        <v>0</v>
      </c>
      <c r="L497" t="n">
        <v>0</v>
      </c>
      <c r="M497" t="n">
        <v>0</v>
      </c>
      <c r="N497" t="n">
        <v>0</v>
      </c>
      <c r="O497" t="n">
        <v>0</v>
      </c>
      <c r="P497" t="n">
        <v>0</v>
      </c>
      <c r="Q497" t="n">
        <v>0</v>
      </c>
      <c r="R497" s="2" t="inlineStr"/>
    </row>
    <row r="498" ht="15" customHeight="1">
      <c r="A498" t="inlineStr">
        <is>
          <t>A 53569-2025</t>
        </is>
      </c>
      <c r="B498" s="1" t="n">
        <v>45960.41155092593</v>
      </c>
      <c r="C498" s="1" t="n">
        <v>45976</v>
      </c>
      <c r="D498" t="inlineStr">
        <is>
          <t>GOTLANDS LÄN</t>
        </is>
      </c>
      <c r="E498" t="inlineStr">
        <is>
          <t>GOTLAND</t>
        </is>
      </c>
      <c r="F498" t="inlineStr">
        <is>
          <t>Övriga Aktiebolag</t>
        </is>
      </c>
      <c r="G498" t="n">
        <v>11.3</v>
      </c>
      <c r="H498" t="n">
        <v>0</v>
      </c>
      <c r="I498" t="n">
        <v>0</v>
      </c>
      <c r="J498" t="n">
        <v>0</v>
      </c>
      <c r="K498" t="n">
        <v>0</v>
      </c>
      <c r="L498" t="n">
        <v>0</v>
      </c>
      <c r="M498" t="n">
        <v>0</v>
      </c>
      <c r="N498" t="n">
        <v>0</v>
      </c>
      <c r="O498" t="n">
        <v>0</v>
      </c>
      <c r="P498" t="n">
        <v>0</v>
      </c>
      <c r="Q498" t="n">
        <v>0</v>
      </c>
      <c r="R498" s="2" t="inlineStr"/>
    </row>
    <row r="499" ht="15" customHeight="1">
      <c r="A499" t="inlineStr">
        <is>
          <t>A 53577-2025</t>
        </is>
      </c>
      <c r="B499" s="1" t="n">
        <v>45960.42224537037</v>
      </c>
      <c r="C499" s="1" t="n">
        <v>45976</v>
      </c>
      <c r="D499" t="inlineStr">
        <is>
          <t>GOTLANDS LÄN</t>
        </is>
      </c>
      <c r="E499" t="inlineStr">
        <is>
          <t>GOTLAND</t>
        </is>
      </c>
      <c r="F499" t="inlineStr">
        <is>
          <t>Övriga Aktiebolag</t>
        </is>
      </c>
      <c r="G499" t="n">
        <v>3.3</v>
      </c>
      <c r="H499" t="n">
        <v>0</v>
      </c>
      <c r="I499" t="n">
        <v>0</v>
      </c>
      <c r="J499" t="n">
        <v>0</v>
      </c>
      <c r="K499" t="n">
        <v>0</v>
      </c>
      <c r="L499" t="n">
        <v>0</v>
      </c>
      <c r="M499" t="n">
        <v>0</v>
      </c>
      <c r="N499" t="n">
        <v>0</v>
      </c>
      <c r="O499" t="n">
        <v>0</v>
      </c>
      <c r="P499" t="n">
        <v>0</v>
      </c>
      <c r="Q499" t="n">
        <v>0</v>
      </c>
      <c r="R499" s="2" t="inlineStr"/>
    </row>
    <row r="500" ht="15" customHeight="1">
      <c r="A500" t="inlineStr">
        <is>
          <t>A 16361-2024</t>
        </is>
      </c>
      <c r="B500" s="1" t="n">
        <v>45407</v>
      </c>
      <c r="C500" s="1" t="n">
        <v>45976</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43081-2022</t>
        </is>
      </c>
      <c r="B501" s="1" t="n">
        <v>44833</v>
      </c>
      <c r="C501" s="1" t="n">
        <v>45976</v>
      </c>
      <c r="D501" t="inlineStr">
        <is>
          <t>GOTLANDS LÄN</t>
        </is>
      </c>
      <c r="E501" t="inlineStr">
        <is>
          <t>GOTLAND</t>
        </is>
      </c>
      <c r="G501" t="n">
        <v>6.8</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45667.34449074074</v>
      </c>
      <c r="C502" s="1" t="n">
        <v>45976</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23856-2025</t>
        </is>
      </c>
      <c r="B503" s="1" t="n">
        <v>45793</v>
      </c>
      <c r="C503" s="1" t="n">
        <v>45976</v>
      </c>
      <c r="D503" t="inlineStr">
        <is>
          <t>GOTLANDS LÄN</t>
        </is>
      </c>
      <c r="E503" t="inlineStr">
        <is>
          <t>GOTLAND</t>
        </is>
      </c>
      <c r="G503" t="n">
        <v>4.4</v>
      </c>
      <c r="H503" t="n">
        <v>0</v>
      </c>
      <c r="I503" t="n">
        <v>0</v>
      </c>
      <c r="J503" t="n">
        <v>0</v>
      </c>
      <c r="K503" t="n">
        <v>0</v>
      </c>
      <c r="L503" t="n">
        <v>0</v>
      </c>
      <c r="M503" t="n">
        <v>0</v>
      </c>
      <c r="N503" t="n">
        <v>0</v>
      </c>
      <c r="O503" t="n">
        <v>0</v>
      </c>
      <c r="P503" t="n">
        <v>0</v>
      </c>
      <c r="Q503" t="n">
        <v>0</v>
      </c>
      <c r="R503" s="2" t="inlineStr"/>
    </row>
    <row r="504" ht="15" customHeight="1">
      <c r="A504" t="inlineStr">
        <is>
          <t>A 23473-2025</t>
        </is>
      </c>
      <c r="B504" s="1" t="n">
        <v>45792</v>
      </c>
      <c r="C504" s="1" t="n">
        <v>45976</v>
      </c>
      <c r="D504" t="inlineStr">
        <is>
          <t>GOTLANDS LÄN</t>
        </is>
      </c>
      <c r="E504" t="inlineStr">
        <is>
          <t>GOTLAND</t>
        </is>
      </c>
      <c r="G504" t="n">
        <v>3.6</v>
      </c>
      <c r="H504" t="n">
        <v>0</v>
      </c>
      <c r="I504" t="n">
        <v>0</v>
      </c>
      <c r="J504" t="n">
        <v>0</v>
      </c>
      <c r="K504" t="n">
        <v>0</v>
      </c>
      <c r="L504" t="n">
        <v>0</v>
      </c>
      <c r="M504" t="n">
        <v>0</v>
      </c>
      <c r="N504" t="n">
        <v>0</v>
      </c>
      <c r="O504" t="n">
        <v>0</v>
      </c>
      <c r="P504" t="n">
        <v>0</v>
      </c>
      <c r="Q504" t="n">
        <v>0</v>
      </c>
      <c r="R504" s="2" t="inlineStr"/>
    </row>
    <row r="505" ht="15" customHeight="1">
      <c r="A505" t="inlineStr">
        <is>
          <t>A 42201-2023</t>
        </is>
      </c>
      <c r="B505" s="1" t="n">
        <v>45179</v>
      </c>
      <c r="C505" s="1" t="n">
        <v>45976</v>
      </c>
      <c r="D505" t="inlineStr">
        <is>
          <t>GOTLANDS LÄN</t>
        </is>
      </c>
      <c r="E505" t="inlineStr">
        <is>
          <t>GOTLAND</t>
        </is>
      </c>
      <c r="G505" t="n">
        <v>11.9</v>
      </c>
      <c r="H505" t="n">
        <v>0</v>
      </c>
      <c r="I505" t="n">
        <v>0</v>
      </c>
      <c r="J505" t="n">
        <v>0</v>
      </c>
      <c r="K505" t="n">
        <v>0</v>
      </c>
      <c r="L505" t="n">
        <v>0</v>
      </c>
      <c r="M505" t="n">
        <v>0</v>
      </c>
      <c r="N505" t="n">
        <v>0</v>
      </c>
      <c r="O505" t="n">
        <v>0</v>
      </c>
      <c r="P505" t="n">
        <v>0</v>
      </c>
      <c r="Q505" t="n">
        <v>0</v>
      </c>
      <c r="R505" s="2" t="inlineStr"/>
    </row>
    <row r="506" ht="15" customHeight="1">
      <c r="A506" t="inlineStr">
        <is>
          <t>A 23698-2025</t>
        </is>
      </c>
      <c r="B506" s="1" t="n">
        <v>45793</v>
      </c>
      <c r="C506" s="1" t="n">
        <v>45976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3150-2025</t>
        </is>
      </c>
      <c r="B507" s="1" t="n">
        <v>45679.28974537037</v>
      </c>
      <c r="C507" s="1" t="n">
        <v>45976</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15073-2025</t>
        </is>
      </c>
      <c r="B508" s="1" t="n">
        <v>45743</v>
      </c>
      <c r="C508" s="1" t="n">
        <v>45976</v>
      </c>
      <c r="D508" t="inlineStr">
        <is>
          <t>GOTLANDS LÄN</t>
        </is>
      </c>
      <c r="E508" t="inlineStr">
        <is>
          <t>GOTLAND</t>
        </is>
      </c>
      <c r="G508" t="n">
        <v>12.1</v>
      </c>
      <c r="H508" t="n">
        <v>0</v>
      </c>
      <c r="I508" t="n">
        <v>0</v>
      </c>
      <c r="J508" t="n">
        <v>0</v>
      </c>
      <c r="K508" t="n">
        <v>0</v>
      </c>
      <c r="L508" t="n">
        <v>0</v>
      </c>
      <c r="M508" t="n">
        <v>0</v>
      </c>
      <c r="N508" t="n">
        <v>0</v>
      </c>
      <c r="O508" t="n">
        <v>0</v>
      </c>
      <c r="P508" t="n">
        <v>0</v>
      </c>
      <c r="Q508" t="n">
        <v>0</v>
      </c>
      <c r="R508" s="2" t="inlineStr"/>
    </row>
    <row r="509" ht="15" customHeight="1">
      <c r="A509" t="inlineStr">
        <is>
          <t>A 54584-2025</t>
        </is>
      </c>
      <c r="B509" s="1" t="n">
        <v>45965.71788194445</v>
      </c>
      <c r="C509" s="1" t="n">
        <v>45976</v>
      </c>
      <c r="D509" t="inlineStr">
        <is>
          <t>GOTLANDS LÄN</t>
        </is>
      </c>
      <c r="E509" t="inlineStr">
        <is>
          <t>GOTLAND</t>
        </is>
      </c>
      <c r="G509" t="n">
        <v>3.5</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45976</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6749-2025</t>
        </is>
      </c>
      <c r="B511" s="1" t="n">
        <v>45700</v>
      </c>
      <c r="C511" s="1" t="n">
        <v>45976</v>
      </c>
      <c r="D511" t="inlineStr">
        <is>
          <t>GOTLANDS LÄN</t>
        </is>
      </c>
      <c r="E511" t="inlineStr">
        <is>
          <t>GOTLAND</t>
        </is>
      </c>
      <c r="G511" t="n">
        <v>4.5</v>
      </c>
      <c r="H511" t="n">
        <v>0</v>
      </c>
      <c r="I511" t="n">
        <v>0</v>
      </c>
      <c r="J511" t="n">
        <v>0</v>
      </c>
      <c r="K511" t="n">
        <v>0</v>
      </c>
      <c r="L511" t="n">
        <v>0</v>
      </c>
      <c r="M511" t="n">
        <v>0</v>
      </c>
      <c r="N511" t="n">
        <v>0</v>
      </c>
      <c r="O511" t="n">
        <v>0</v>
      </c>
      <c r="P511" t="n">
        <v>0</v>
      </c>
      <c r="Q511" t="n">
        <v>0</v>
      </c>
      <c r="R511" s="2" t="inlineStr"/>
    </row>
    <row r="512" ht="15" customHeight="1">
      <c r="A512" t="inlineStr">
        <is>
          <t>A 5462-2025</t>
        </is>
      </c>
      <c r="B512" s="1" t="n">
        <v>45693.29331018519</v>
      </c>
      <c r="C512" s="1" t="n">
        <v>45976</v>
      </c>
      <c r="D512" t="inlineStr">
        <is>
          <t>GOTLANDS LÄN</t>
        </is>
      </c>
      <c r="E512" t="inlineStr">
        <is>
          <t>GOTLAND</t>
        </is>
      </c>
      <c r="G512" t="n">
        <v>2.6</v>
      </c>
      <c r="H512" t="n">
        <v>0</v>
      </c>
      <c r="I512" t="n">
        <v>0</v>
      </c>
      <c r="J512" t="n">
        <v>0</v>
      </c>
      <c r="K512" t="n">
        <v>0</v>
      </c>
      <c r="L512" t="n">
        <v>0</v>
      </c>
      <c r="M512" t="n">
        <v>0</v>
      </c>
      <c r="N512" t="n">
        <v>0</v>
      </c>
      <c r="O512" t="n">
        <v>0</v>
      </c>
      <c r="P512" t="n">
        <v>0</v>
      </c>
      <c r="Q512" t="n">
        <v>0</v>
      </c>
      <c r="R512" s="2" t="inlineStr"/>
    </row>
    <row r="513" ht="15" customHeight="1">
      <c r="A513" t="inlineStr">
        <is>
          <t>A 15436-2025</t>
        </is>
      </c>
      <c r="B513" s="1" t="n">
        <v>45747.47462962963</v>
      </c>
      <c r="C513" s="1" t="n">
        <v>45976</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21247-2022</t>
        </is>
      </c>
      <c r="B514" s="1" t="n">
        <v>44705.38832175926</v>
      </c>
      <c r="C514" s="1" t="n">
        <v>45976</v>
      </c>
      <c r="D514" t="inlineStr">
        <is>
          <t>GOTLANDS LÄN</t>
        </is>
      </c>
      <c r="E514" t="inlineStr">
        <is>
          <t>GOTLAND</t>
        </is>
      </c>
      <c r="G514" t="n">
        <v>16.2</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44682.82622685185</v>
      </c>
      <c r="C515" s="1" t="n">
        <v>45976</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63516-2023</t>
        </is>
      </c>
      <c r="B516" s="1" t="n">
        <v>45274</v>
      </c>
      <c r="C516" s="1" t="n">
        <v>45976</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45976</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25796-2025</t>
        </is>
      </c>
      <c r="B518" s="1" t="n">
        <v>45804.39543981481</v>
      </c>
      <c r="C518" s="1" t="n">
        <v>45976</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47147-2025</t>
        </is>
      </c>
      <c r="B519" s="1" t="n">
        <v>45929</v>
      </c>
      <c r="C519" s="1" t="n">
        <v>45976</v>
      </c>
      <c r="D519" t="inlineStr">
        <is>
          <t>GOTLANDS LÄN</t>
        </is>
      </c>
      <c r="E519" t="inlineStr">
        <is>
          <t>GOTLAND</t>
        </is>
      </c>
      <c r="G519" t="n">
        <v>2.3</v>
      </c>
      <c r="H519" t="n">
        <v>0</v>
      </c>
      <c r="I519" t="n">
        <v>0</v>
      </c>
      <c r="J519" t="n">
        <v>0</v>
      </c>
      <c r="K519" t="n">
        <v>0</v>
      </c>
      <c r="L519" t="n">
        <v>0</v>
      </c>
      <c r="M519" t="n">
        <v>0</v>
      </c>
      <c r="N519" t="n">
        <v>0</v>
      </c>
      <c r="O519" t="n">
        <v>0</v>
      </c>
      <c r="P519" t="n">
        <v>0</v>
      </c>
      <c r="Q519" t="n">
        <v>0</v>
      </c>
      <c r="R519" s="2" t="inlineStr"/>
    </row>
    <row r="520" ht="15" customHeight="1">
      <c r="A520" t="inlineStr">
        <is>
          <t>A 53935-2024</t>
        </is>
      </c>
      <c r="B520" s="1" t="n">
        <v>45615</v>
      </c>
      <c r="C520" s="1" t="n">
        <v>45976</v>
      </c>
      <c r="D520" t="inlineStr">
        <is>
          <t>GOTLANDS LÄN</t>
        </is>
      </c>
      <c r="E520" t="inlineStr">
        <is>
          <t>GOTLAND</t>
        </is>
      </c>
      <c r="G520" t="n">
        <v>1.2</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45976</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69112-2021</t>
        </is>
      </c>
      <c r="B522" s="1" t="n">
        <v>44530</v>
      </c>
      <c r="C522" s="1" t="n">
        <v>45976</v>
      </c>
      <c r="D522" t="inlineStr">
        <is>
          <t>GOTLANDS LÄN</t>
        </is>
      </c>
      <c r="E522" t="inlineStr">
        <is>
          <t>GOTLAND</t>
        </is>
      </c>
      <c r="G522" t="n">
        <v>4.2</v>
      </c>
      <c r="H522" t="n">
        <v>0</v>
      </c>
      <c r="I522" t="n">
        <v>0</v>
      </c>
      <c r="J522" t="n">
        <v>0</v>
      </c>
      <c r="K522" t="n">
        <v>0</v>
      </c>
      <c r="L522" t="n">
        <v>0</v>
      </c>
      <c r="M522" t="n">
        <v>0</v>
      </c>
      <c r="N522" t="n">
        <v>0</v>
      </c>
      <c r="O522" t="n">
        <v>0</v>
      </c>
      <c r="P522" t="n">
        <v>0</v>
      </c>
      <c r="Q522" t="n">
        <v>0</v>
      </c>
      <c r="R522" s="2" t="inlineStr"/>
    </row>
    <row r="523" ht="15" customHeight="1">
      <c r="A523" t="inlineStr">
        <is>
          <t>A 26457-2025</t>
        </is>
      </c>
      <c r="B523" s="1" t="n">
        <v>45807.42773148148</v>
      </c>
      <c r="C523" s="1" t="n">
        <v>45976</v>
      </c>
      <c r="D523" t="inlineStr">
        <is>
          <t>GOTLANDS LÄN</t>
        </is>
      </c>
      <c r="E523" t="inlineStr">
        <is>
          <t>GOTLAND</t>
        </is>
      </c>
      <c r="G523" t="n">
        <v>5.7</v>
      </c>
      <c r="H523" t="n">
        <v>0</v>
      </c>
      <c r="I523" t="n">
        <v>0</v>
      </c>
      <c r="J523" t="n">
        <v>0</v>
      </c>
      <c r="K523" t="n">
        <v>0</v>
      </c>
      <c r="L523" t="n">
        <v>0</v>
      </c>
      <c r="M523" t="n">
        <v>0</v>
      </c>
      <c r="N523" t="n">
        <v>0</v>
      </c>
      <c r="O523" t="n">
        <v>0</v>
      </c>
      <c r="P523" t="n">
        <v>0</v>
      </c>
      <c r="Q523" t="n">
        <v>0</v>
      </c>
      <c r="R523" s="2" t="inlineStr"/>
    </row>
    <row r="524" ht="15" customHeight="1">
      <c r="A524" t="inlineStr">
        <is>
          <t>A 26467-2025</t>
        </is>
      </c>
      <c r="B524" s="1" t="n">
        <v>45807.44640046296</v>
      </c>
      <c r="C524" s="1" t="n">
        <v>45976</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46836-2025</t>
        </is>
      </c>
      <c r="B525" s="1" t="n">
        <v>45928.31511574074</v>
      </c>
      <c r="C525" s="1" t="n">
        <v>45976</v>
      </c>
      <c r="D525" t="inlineStr">
        <is>
          <t>GOTLANDS LÄN</t>
        </is>
      </c>
      <c r="E525" t="inlineStr">
        <is>
          <t>GOTLAND</t>
        </is>
      </c>
      <c r="G525" t="n">
        <v>2.8</v>
      </c>
      <c r="H525" t="n">
        <v>0</v>
      </c>
      <c r="I525" t="n">
        <v>0</v>
      </c>
      <c r="J525" t="n">
        <v>0</v>
      </c>
      <c r="K525" t="n">
        <v>0</v>
      </c>
      <c r="L525" t="n">
        <v>0</v>
      </c>
      <c r="M525" t="n">
        <v>0</v>
      </c>
      <c r="N525" t="n">
        <v>0</v>
      </c>
      <c r="O525" t="n">
        <v>0</v>
      </c>
      <c r="P525" t="n">
        <v>0</v>
      </c>
      <c r="Q525" t="n">
        <v>0</v>
      </c>
      <c r="R525" s="2" t="inlineStr"/>
    </row>
    <row r="526" ht="15" customHeight="1">
      <c r="A526" t="inlineStr">
        <is>
          <t>A 48734-2022</t>
        </is>
      </c>
      <c r="B526" s="1" t="n">
        <v>44855</v>
      </c>
      <c r="C526" s="1" t="n">
        <v>45976</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23516-2023</t>
        </is>
      </c>
      <c r="B527" s="1" t="n">
        <v>45076.93391203704</v>
      </c>
      <c r="C527" s="1" t="n">
        <v>45976</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43231-2023</t>
        </is>
      </c>
      <c r="B528" s="1" t="n">
        <v>45183.47025462963</v>
      </c>
      <c r="C528" s="1" t="n">
        <v>45976</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58230-2024</t>
        </is>
      </c>
      <c r="B529" s="1" t="n">
        <v>45632.51625</v>
      </c>
      <c r="C529" s="1" t="n">
        <v>45976</v>
      </c>
      <c r="D529" t="inlineStr">
        <is>
          <t>GOTLANDS LÄN</t>
        </is>
      </c>
      <c r="E529" t="inlineStr">
        <is>
          <t>GOTLAND</t>
        </is>
      </c>
      <c r="G529" t="n">
        <v>7.3</v>
      </c>
      <c r="H529" t="n">
        <v>0</v>
      </c>
      <c r="I529" t="n">
        <v>0</v>
      </c>
      <c r="J529" t="n">
        <v>0</v>
      </c>
      <c r="K529" t="n">
        <v>0</v>
      </c>
      <c r="L529" t="n">
        <v>0</v>
      </c>
      <c r="M529" t="n">
        <v>0</v>
      </c>
      <c r="N529" t="n">
        <v>0</v>
      </c>
      <c r="O529" t="n">
        <v>0</v>
      </c>
      <c r="P529" t="n">
        <v>0</v>
      </c>
      <c r="Q529" t="n">
        <v>0</v>
      </c>
      <c r="R529" s="2" t="inlineStr"/>
    </row>
    <row r="530" ht="15" customHeight="1">
      <c r="A530" t="inlineStr">
        <is>
          <t>A 64555-2023</t>
        </is>
      </c>
      <c r="B530" s="1" t="n">
        <v>45281</v>
      </c>
      <c r="C530" s="1" t="n">
        <v>45976</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44929.87238425926</v>
      </c>
      <c r="C531" s="1" t="n">
        <v>45976</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44929.87423611111</v>
      </c>
      <c r="C532" s="1" t="n">
        <v>45976</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26660-2025</t>
        </is>
      </c>
      <c r="B533" s="1" t="n">
        <v>45810.39737268518</v>
      </c>
      <c r="C533" s="1" t="n">
        <v>45976</v>
      </c>
      <c r="D533" t="inlineStr">
        <is>
          <t>GOTLANDS LÄN</t>
        </is>
      </c>
      <c r="E533" t="inlineStr">
        <is>
          <t>GOTLAND</t>
        </is>
      </c>
      <c r="G533" t="n">
        <v>1.8</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45976</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47637-2025</t>
        </is>
      </c>
      <c r="B535" s="1" t="n">
        <v>45931.49753472222</v>
      </c>
      <c r="C535" s="1" t="n">
        <v>45976</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27355-2025</t>
        </is>
      </c>
      <c r="B536" s="1" t="n">
        <v>45812</v>
      </c>
      <c r="C536" s="1" t="n">
        <v>45976</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45976</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27371-2025</t>
        </is>
      </c>
      <c r="B538" s="1" t="n">
        <v>45812</v>
      </c>
      <c r="C538" s="1" t="n">
        <v>45976</v>
      </c>
      <c r="D538" t="inlineStr">
        <is>
          <t>GOTLANDS LÄN</t>
        </is>
      </c>
      <c r="E538" t="inlineStr">
        <is>
          <t>GOTLAND</t>
        </is>
      </c>
      <c r="G538" t="n">
        <v>8</v>
      </c>
      <c r="H538" t="n">
        <v>0</v>
      </c>
      <c r="I538" t="n">
        <v>0</v>
      </c>
      <c r="J538" t="n">
        <v>0</v>
      </c>
      <c r="K538" t="n">
        <v>0</v>
      </c>
      <c r="L538" t="n">
        <v>0</v>
      </c>
      <c r="M538" t="n">
        <v>0</v>
      </c>
      <c r="N538" t="n">
        <v>0</v>
      </c>
      <c r="O538" t="n">
        <v>0</v>
      </c>
      <c r="P538" t="n">
        <v>0</v>
      </c>
      <c r="Q538" t="n">
        <v>0</v>
      </c>
      <c r="R538" s="2" t="inlineStr"/>
    </row>
    <row r="539" ht="15" customHeight="1">
      <c r="A539" t="inlineStr">
        <is>
          <t>A 14536-2021</t>
        </is>
      </c>
      <c r="B539" s="1" t="n">
        <v>44279.66168981481</v>
      </c>
      <c r="C539" s="1" t="n">
        <v>45976</v>
      </c>
      <c r="D539" t="inlineStr">
        <is>
          <t>GOTLANDS LÄN</t>
        </is>
      </c>
      <c r="E539" t="inlineStr">
        <is>
          <t>GOTLAND</t>
        </is>
      </c>
      <c r="G539" t="n">
        <v>8.5</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45976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50482-2024</t>
        </is>
      </c>
      <c r="B541" s="1" t="n">
        <v>45601.48114583334</v>
      </c>
      <c r="C541" s="1" t="n">
        <v>45976</v>
      </c>
      <c r="D541" t="inlineStr">
        <is>
          <t>GOTLANDS LÄN</t>
        </is>
      </c>
      <c r="E541" t="inlineStr">
        <is>
          <t>GOTLAND</t>
        </is>
      </c>
      <c r="G541" t="n">
        <v>2.3</v>
      </c>
      <c r="H541" t="n">
        <v>0</v>
      </c>
      <c r="I541" t="n">
        <v>0</v>
      </c>
      <c r="J541" t="n">
        <v>0</v>
      </c>
      <c r="K541" t="n">
        <v>0</v>
      </c>
      <c r="L541" t="n">
        <v>0</v>
      </c>
      <c r="M541" t="n">
        <v>0</v>
      </c>
      <c r="N541" t="n">
        <v>0</v>
      </c>
      <c r="O541" t="n">
        <v>0</v>
      </c>
      <c r="P541" t="n">
        <v>0</v>
      </c>
      <c r="Q541" t="n">
        <v>0</v>
      </c>
      <c r="R541" s="2" t="inlineStr"/>
    </row>
    <row r="542" ht="15" customHeight="1">
      <c r="A542" t="inlineStr">
        <is>
          <t>A 5943-2024</t>
        </is>
      </c>
      <c r="B542" s="1" t="n">
        <v>45336</v>
      </c>
      <c r="C542" s="1" t="n">
        <v>45976</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7850-2025</t>
        </is>
      </c>
      <c r="B543" s="1" t="n">
        <v>45706</v>
      </c>
      <c r="C543" s="1" t="n">
        <v>45976</v>
      </c>
      <c r="D543" t="inlineStr">
        <is>
          <t>GOTLANDS LÄN</t>
        </is>
      </c>
      <c r="E543" t="inlineStr">
        <is>
          <t>GOTLAND</t>
        </is>
      </c>
      <c r="G543" t="n">
        <v>0.5</v>
      </c>
      <c r="H543" t="n">
        <v>0</v>
      </c>
      <c r="I543" t="n">
        <v>0</v>
      </c>
      <c r="J543" t="n">
        <v>0</v>
      </c>
      <c r="K543" t="n">
        <v>0</v>
      </c>
      <c r="L543" t="n">
        <v>0</v>
      </c>
      <c r="M543" t="n">
        <v>0</v>
      </c>
      <c r="N543" t="n">
        <v>0</v>
      </c>
      <c r="O543" t="n">
        <v>0</v>
      </c>
      <c r="P543" t="n">
        <v>0</v>
      </c>
      <c r="Q543" t="n">
        <v>0</v>
      </c>
      <c r="R543" s="2" t="inlineStr"/>
    </row>
    <row r="544" ht="15" customHeight="1">
      <c r="A544" t="inlineStr">
        <is>
          <t>A 38234-2023</t>
        </is>
      </c>
      <c r="B544" s="1" t="n">
        <v>45161.56663194444</v>
      </c>
      <c r="C544" s="1" t="n">
        <v>45976</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6739-2025</t>
        </is>
      </c>
      <c r="B545" s="1" t="n">
        <v>45700</v>
      </c>
      <c r="C545" s="1" t="n">
        <v>45976</v>
      </c>
      <c r="D545" t="inlineStr">
        <is>
          <t>GOTLANDS LÄN</t>
        </is>
      </c>
      <c r="E545" t="inlineStr">
        <is>
          <t>GOTLAND</t>
        </is>
      </c>
      <c r="G545" t="n">
        <v>4.5</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45976</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56688-2025</t>
        </is>
      </c>
      <c r="B547" s="1" t="n">
        <v>45975.84331018518</v>
      </c>
      <c r="C547" s="1" t="n">
        <v>45976</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8444-2025</t>
        </is>
      </c>
      <c r="B548" s="1" t="n">
        <v>45709</v>
      </c>
      <c r="C548" s="1" t="n">
        <v>45976</v>
      </c>
      <c r="D548" t="inlineStr">
        <is>
          <t>GOTLANDS LÄN</t>
        </is>
      </c>
      <c r="E548" t="inlineStr">
        <is>
          <t>GOTLAND</t>
        </is>
      </c>
      <c r="G548" t="n">
        <v>5.2</v>
      </c>
      <c r="H548" t="n">
        <v>0</v>
      </c>
      <c r="I548" t="n">
        <v>0</v>
      </c>
      <c r="J548" t="n">
        <v>0</v>
      </c>
      <c r="K548" t="n">
        <v>0</v>
      </c>
      <c r="L548" t="n">
        <v>0</v>
      </c>
      <c r="M548" t="n">
        <v>0</v>
      </c>
      <c r="N548" t="n">
        <v>0</v>
      </c>
      <c r="O548" t="n">
        <v>0</v>
      </c>
      <c r="P548" t="n">
        <v>0</v>
      </c>
      <c r="Q548" t="n">
        <v>0</v>
      </c>
      <c r="R548" s="2" t="inlineStr"/>
    </row>
    <row r="549" ht="15" customHeight="1">
      <c r="A549" t="inlineStr">
        <is>
          <t>A 19905-2025</t>
        </is>
      </c>
      <c r="B549" s="1" t="n">
        <v>45771</v>
      </c>
      <c r="C549" s="1" t="n">
        <v>45976</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47578-2025</t>
        </is>
      </c>
      <c r="B550" s="1" t="n">
        <v>45931</v>
      </c>
      <c r="C550" s="1" t="n">
        <v>45976</v>
      </c>
      <c r="D550" t="inlineStr">
        <is>
          <t>GOTLANDS LÄN</t>
        </is>
      </c>
      <c r="E550" t="inlineStr">
        <is>
          <t>GOTLAND</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32378-2025</t>
        </is>
      </c>
      <c r="B551" s="1" t="n">
        <v>45837</v>
      </c>
      <c r="C551" s="1" t="n">
        <v>45976</v>
      </c>
      <c r="D551" t="inlineStr">
        <is>
          <t>GOTLANDS LÄN</t>
        </is>
      </c>
      <c r="E551" t="inlineStr">
        <is>
          <t>GOTLAND</t>
        </is>
      </c>
      <c r="G551" t="n">
        <v>4.1</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45976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45976</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45976</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29207-2025</t>
        </is>
      </c>
      <c r="B555" s="1" t="n">
        <v>45823</v>
      </c>
      <c r="C555" s="1" t="n">
        <v>45976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29196-2025</t>
        </is>
      </c>
      <c r="B556" s="1" t="n">
        <v>45822</v>
      </c>
      <c r="C556" s="1" t="n">
        <v>45976</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12846-2025</t>
        </is>
      </c>
      <c r="B557" s="1" t="n">
        <v>45733.65049768519</v>
      </c>
      <c r="C557" s="1" t="n">
        <v>45976</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43200-2023</t>
        </is>
      </c>
      <c r="B558" s="1" t="n">
        <v>45183</v>
      </c>
      <c r="C558" s="1" t="n">
        <v>45976</v>
      </c>
      <c r="D558" t="inlineStr">
        <is>
          <t>GOTLANDS LÄN</t>
        </is>
      </c>
      <c r="E558" t="inlineStr">
        <is>
          <t>GOTLAND</t>
        </is>
      </c>
      <c r="G558" t="n">
        <v>0.5</v>
      </c>
      <c r="H558" t="n">
        <v>0</v>
      </c>
      <c r="I558" t="n">
        <v>0</v>
      </c>
      <c r="J558" t="n">
        <v>0</v>
      </c>
      <c r="K558" t="n">
        <v>0</v>
      </c>
      <c r="L558" t="n">
        <v>0</v>
      </c>
      <c r="M558" t="n">
        <v>0</v>
      </c>
      <c r="N558" t="n">
        <v>0</v>
      </c>
      <c r="O558" t="n">
        <v>0</v>
      </c>
      <c r="P558" t="n">
        <v>0</v>
      </c>
      <c r="Q558" t="n">
        <v>0</v>
      </c>
      <c r="R558" s="2" t="inlineStr"/>
    </row>
    <row r="559" ht="15" customHeight="1">
      <c r="A559" t="inlineStr">
        <is>
          <t>A 35550-2025</t>
        </is>
      </c>
      <c r="B559" s="1" t="n">
        <v>45856.49324074074</v>
      </c>
      <c r="C559" s="1" t="n">
        <v>45976</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3935-2025</t>
        </is>
      </c>
      <c r="B560" s="1" t="n">
        <v>45684.46070601852</v>
      </c>
      <c r="C560" s="1" t="n">
        <v>45976</v>
      </c>
      <c r="D560" t="inlineStr">
        <is>
          <t>GOTLANDS LÄN</t>
        </is>
      </c>
      <c r="E560" t="inlineStr">
        <is>
          <t>GOTLAND</t>
        </is>
      </c>
      <c r="G560" t="n">
        <v>2.6</v>
      </c>
      <c r="H560" t="n">
        <v>0</v>
      </c>
      <c r="I560" t="n">
        <v>0</v>
      </c>
      <c r="J560" t="n">
        <v>0</v>
      </c>
      <c r="K560" t="n">
        <v>0</v>
      </c>
      <c r="L560" t="n">
        <v>0</v>
      </c>
      <c r="M560" t="n">
        <v>0</v>
      </c>
      <c r="N560" t="n">
        <v>0</v>
      </c>
      <c r="O560" t="n">
        <v>0</v>
      </c>
      <c r="P560" t="n">
        <v>0</v>
      </c>
      <c r="Q560" t="n">
        <v>0</v>
      </c>
      <c r="R560" s="2" t="inlineStr"/>
    </row>
    <row r="561" ht="15" customHeight="1">
      <c r="A561" t="inlineStr">
        <is>
          <t>A 30061-2025</t>
        </is>
      </c>
      <c r="B561" s="1" t="n">
        <v>45826.61488425926</v>
      </c>
      <c r="C561" s="1" t="n">
        <v>45976</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21792-2024</t>
        </is>
      </c>
      <c r="B562" s="1" t="n">
        <v>45442.64326388889</v>
      </c>
      <c r="C562" s="1" t="n">
        <v>45976</v>
      </c>
      <c r="D562" t="inlineStr">
        <is>
          <t>GOTLANDS LÄN</t>
        </is>
      </c>
      <c r="E562" t="inlineStr">
        <is>
          <t>GOTLAND</t>
        </is>
      </c>
      <c r="G562" t="n">
        <v>1</v>
      </c>
      <c r="H562" t="n">
        <v>0</v>
      </c>
      <c r="I562" t="n">
        <v>0</v>
      </c>
      <c r="J562" t="n">
        <v>0</v>
      </c>
      <c r="K562" t="n">
        <v>0</v>
      </c>
      <c r="L562" t="n">
        <v>0</v>
      </c>
      <c r="M562" t="n">
        <v>0</v>
      </c>
      <c r="N562" t="n">
        <v>0</v>
      </c>
      <c r="O562" t="n">
        <v>0</v>
      </c>
      <c r="P562" t="n">
        <v>0</v>
      </c>
      <c r="Q562" t="n">
        <v>0</v>
      </c>
      <c r="R562" s="2" t="inlineStr"/>
    </row>
    <row r="563" ht="15" customHeight="1">
      <c r="A563" t="inlineStr">
        <is>
          <t>A 58160-2024</t>
        </is>
      </c>
      <c r="B563" s="1" t="n">
        <v>45632.44927083333</v>
      </c>
      <c r="C563" s="1" t="n">
        <v>45976</v>
      </c>
      <c r="D563" t="inlineStr">
        <is>
          <t>GOTLANDS LÄN</t>
        </is>
      </c>
      <c r="E563" t="inlineStr">
        <is>
          <t>GOTLAND</t>
        </is>
      </c>
      <c r="G563" t="n">
        <v>5.6</v>
      </c>
      <c r="H563" t="n">
        <v>0</v>
      </c>
      <c r="I563" t="n">
        <v>0</v>
      </c>
      <c r="J563" t="n">
        <v>0</v>
      </c>
      <c r="K563" t="n">
        <v>0</v>
      </c>
      <c r="L563" t="n">
        <v>0</v>
      </c>
      <c r="M563" t="n">
        <v>0</v>
      </c>
      <c r="N563" t="n">
        <v>0</v>
      </c>
      <c r="O563" t="n">
        <v>0</v>
      </c>
      <c r="P563" t="n">
        <v>0</v>
      </c>
      <c r="Q563" t="n">
        <v>0</v>
      </c>
      <c r="R563" s="2" t="inlineStr"/>
    </row>
    <row r="564" ht="15" customHeight="1">
      <c r="A564" t="inlineStr">
        <is>
          <t>A 48843-2024</t>
        </is>
      </c>
      <c r="B564" s="1" t="n">
        <v>45593</v>
      </c>
      <c r="C564" s="1" t="n">
        <v>45976</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10653-2023</t>
        </is>
      </c>
      <c r="B565" s="1" t="n">
        <v>44988.48859953704</v>
      </c>
      <c r="C565" s="1" t="n">
        <v>45976</v>
      </c>
      <c r="D565" t="inlineStr">
        <is>
          <t>GOTLANDS LÄN</t>
        </is>
      </c>
      <c r="E565" t="inlineStr">
        <is>
          <t>GOTLAND</t>
        </is>
      </c>
      <c r="F565" t="inlineStr">
        <is>
          <t>Kyrkan</t>
        </is>
      </c>
      <c r="G565" t="n">
        <v>3</v>
      </c>
      <c r="H565" t="n">
        <v>0</v>
      </c>
      <c r="I565" t="n">
        <v>0</v>
      </c>
      <c r="J565" t="n">
        <v>0</v>
      </c>
      <c r="K565" t="n">
        <v>0</v>
      </c>
      <c r="L565" t="n">
        <v>0</v>
      </c>
      <c r="M565" t="n">
        <v>0</v>
      </c>
      <c r="N565" t="n">
        <v>0</v>
      </c>
      <c r="O565" t="n">
        <v>0</v>
      </c>
      <c r="P565" t="n">
        <v>0</v>
      </c>
      <c r="Q565" t="n">
        <v>0</v>
      </c>
      <c r="R565" s="2" t="inlineStr"/>
    </row>
    <row r="566" ht="15" customHeight="1">
      <c r="A566" t="inlineStr">
        <is>
          <t>A 35512-2023</t>
        </is>
      </c>
      <c r="B566" s="1" t="n">
        <v>45147.25623842593</v>
      </c>
      <c r="C566" s="1" t="n">
        <v>45976</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16109-2025</t>
        </is>
      </c>
      <c r="B567" s="1" t="n">
        <v>45750</v>
      </c>
      <c r="C567" s="1" t="n">
        <v>45976</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32467-2025</t>
        </is>
      </c>
      <c r="B568" s="1" t="n">
        <v>45838.42111111111</v>
      </c>
      <c r="C568" s="1" t="n">
        <v>45976</v>
      </c>
      <c r="D568" t="inlineStr">
        <is>
          <t>GOTLANDS LÄN</t>
        </is>
      </c>
      <c r="E568" t="inlineStr">
        <is>
          <t>GOTLAND</t>
        </is>
      </c>
      <c r="G568" t="n">
        <v>4.3</v>
      </c>
      <c r="H568" t="n">
        <v>0</v>
      </c>
      <c r="I568" t="n">
        <v>0</v>
      </c>
      <c r="J568" t="n">
        <v>0</v>
      </c>
      <c r="K568" t="n">
        <v>0</v>
      </c>
      <c r="L568" t="n">
        <v>0</v>
      </c>
      <c r="M568" t="n">
        <v>0</v>
      </c>
      <c r="N568" t="n">
        <v>0</v>
      </c>
      <c r="O568" t="n">
        <v>0</v>
      </c>
      <c r="P568" t="n">
        <v>0</v>
      </c>
      <c r="Q568" t="n">
        <v>0</v>
      </c>
      <c r="R568" s="2" t="inlineStr"/>
    </row>
    <row r="569" ht="15" customHeight="1">
      <c r="A569" t="inlineStr">
        <is>
          <t>A 32379-2025</t>
        </is>
      </c>
      <c r="B569" s="1" t="n">
        <v>45837</v>
      </c>
      <c r="C569" s="1" t="n">
        <v>45976</v>
      </c>
      <c r="D569" t="inlineStr">
        <is>
          <t>GOTLANDS LÄN</t>
        </is>
      </c>
      <c r="E569" t="inlineStr">
        <is>
          <t>GOTLAND</t>
        </is>
      </c>
      <c r="G569" t="n">
        <v>1</v>
      </c>
      <c r="H569" t="n">
        <v>0</v>
      </c>
      <c r="I569" t="n">
        <v>0</v>
      </c>
      <c r="J569" t="n">
        <v>0</v>
      </c>
      <c r="K569" t="n">
        <v>0</v>
      </c>
      <c r="L569" t="n">
        <v>0</v>
      </c>
      <c r="M569" t="n">
        <v>0</v>
      </c>
      <c r="N569" t="n">
        <v>0</v>
      </c>
      <c r="O569" t="n">
        <v>0</v>
      </c>
      <c r="P569" t="n">
        <v>0</v>
      </c>
      <c r="Q569" t="n">
        <v>0</v>
      </c>
      <c r="R569" s="2" t="inlineStr"/>
    </row>
    <row r="570" ht="15" customHeight="1">
      <c r="A570" t="inlineStr">
        <is>
          <t>A 11874-2024</t>
        </is>
      </c>
      <c r="B570" s="1" t="n">
        <v>45376.46956018519</v>
      </c>
      <c r="C570" s="1" t="n">
        <v>45976</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33007-2025</t>
        </is>
      </c>
      <c r="B571" s="1" t="n">
        <v>45840</v>
      </c>
      <c r="C571" s="1" t="n">
        <v>45976</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20225-2025</t>
        </is>
      </c>
      <c r="B572" s="1" t="n">
        <v>45772.65802083333</v>
      </c>
      <c r="C572" s="1" t="n">
        <v>45976</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45976</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64831-2023</t>
        </is>
      </c>
      <c r="B574" s="1" t="n">
        <v>45282.44924768519</v>
      </c>
      <c r="C574" s="1" t="n">
        <v>45976</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8036-2022</t>
        </is>
      </c>
      <c r="B575" s="1" t="n">
        <v>44609.44362268518</v>
      </c>
      <c r="C575" s="1" t="n">
        <v>45976</v>
      </c>
      <c r="D575" t="inlineStr">
        <is>
          <t>GOTLANDS LÄN</t>
        </is>
      </c>
      <c r="E575" t="inlineStr">
        <is>
          <t>GOTLAND</t>
        </is>
      </c>
      <c r="G575" t="n">
        <v>6.1</v>
      </c>
      <c r="H575" t="n">
        <v>0</v>
      </c>
      <c r="I575" t="n">
        <v>0</v>
      </c>
      <c r="J575" t="n">
        <v>0</v>
      </c>
      <c r="K575" t="n">
        <v>0</v>
      </c>
      <c r="L575" t="n">
        <v>0</v>
      </c>
      <c r="M575" t="n">
        <v>0</v>
      </c>
      <c r="N575" t="n">
        <v>0</v>
      </c>
      <c r="O575" t="n">
        <v>0</v>
      </c>
      <c r="P575" t="n">
        <v>0</v>
      </c>
      <c r="Q575" t="n">
        <v>0</v>
      </c>
      <c r="R575" s="2" t="inlineStr"/>
    </row>
    <row r="576" ht="15" customHeight="1">
      <c r="A576" t="inlineStr">
        <is>
          <t>A 46375-2024</t>
        </is>
      </c>
      <c r="B576" s="1" t="n">
        <v>45582</v>
      </c>
      <c r="C576" s="1" t="n">
        <v>45976</v>
      </c>
      <c r="D576" t="inlineStr">
        <is>
          <t>GOTLANDS LÄN</t>
        </is>
      </c>
      <c r="E576" t="inlineStr">
        <is>
          <t>GOTLAND</t>
        </is>
      </c>
      <c r="G576" t="n">
        <v>3</v>
      </c>
      <c r="H576" t="n">
        <v>0</v>
      </c>
      <c r="I576" t="n">
        <v>0</v>
      </c>
      <c r="J576" t="n">
        <v>0</v>
      </c>
      <c r="K576" t="n">
        <v>0</v>
      </c>
      <c r="L576" t="n">
        <v>0</v>
      </c>
      <c r="M576" t="n">
        <v>0</v>
      </c>
      <c r="N576" t="n">
        <v>0</v>
      </c>
      <c r="O576" t="n">
        <v>0</v>
      </c>
      <c r="P576" t="n">
        <v>0</v>
      </c>
      <c r="Q576" t="n">
        <v>0</v>
      </c>
      <c r="R576" s="2" t="inlineStr"/>
    </row>
    <row r="577" ht="15" customHeight="1">
      <c r="A577" t="inlineStr">
        <is>
          <t>A 62915-2021</t>
        </is>
      </c>
      <c r="B577" s="1" t="n">
        <v>44504</v>
      </c>
      <c r="C577" s="1" t="n">
        <v>45976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15413-2025</t>
        </is>
      </c>
      <c r="B578" s="1" t="n">
        <v>45747.451875</v>
      </c>
      <c r="C578" s="1" t="n">
        <v>45976</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7638-2025</t>
        </is>
      </c>
      <c r="B579" s="1" t="n">
        <v>45705.77306712963</v>
      </c>
      <c r="C579" s="1" t="n">
        <v>45976</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35096-2025</t>
        </is>
      </c>
      <c r="B580" s="1" t="n">
        <v>45852.54356481481</v>
      </c>
      <c r="C580" s="1" t="n">
        <v>45976</v>
      </c>
      <c r="D580" t="inlineStr">
        <is>
          <t>GOTLANDS LÄN</t>
        </is>
      </c>
      <c r="E580" t="inlineStr">
        <is>
          <t>GOTLAND</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35123-2025</t>
        </is>
      </c>
      <c r="B581" s="1" t="n">
        <v>45852.614375</v>
      </c>
      <c r="C581" s="1" t="n">
        <v>45976</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44955.5502662037</v>
      </c>
      <c r="C582" s="1" t="n">
        <v>45976</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35290-2025</t>
        </is>
      </c>
      <c r="B583" s="1" t="n">
        <v>45854.38502314815</v>
      </c>
      <c r="C583" s="1" t="n">
        <v>45976</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30104-2025</t>
        </is>
      </c>
      <c r="B584" s="1" t="n">
        <v>45826.68806712963</v>
      </c>
      <c r="C584" s="1" t="n">
        <v>45976</v>
      </c>
      <c r="D584" t="inlineStr">
        <is>
          <t>GOTLANDS LÄN</t>
        </is>
      </c>
      <c r="E584" t="inlineStr">
        <is>
          <t>GOTLAND</t>
        </is>
      </c>
      <c r="G584" t="n">
        <v>15.4</v>
      </c>
      <c r="H584" t="n">
        <v>0</v>
      </c>
      <c r="I584" t="n">
        <v>0</v>
      </c>
      <c r="J584" t="n">
        <v>0</v>
      </c>
      <c r="K584" t="n">
        <v>0</v>
      </c>
      <c r="L584" t="n">
        <v>0</v>
      </c>
      <c r="M584" t="n">
        <v>0</v>
      </c>
      <c r="N584" t="n">
        <v>0</v>
      </c>
      <c r="O584" t="n">
        <v>0</v>
      </c>
      <c r="P584" t="n">
        <v>0</v>
      </c>
      <c r="Q584" t="n">
        <v>0</v>
      </c>
      <c r="R584" s="2" t="inlineStr"/>
    </row>
    <row r="585" ht="15" customHeight="1">
      <c r="A585" t="inlineStr">
        <is>
          <t>A 32669-2024</t>
        </is>
      </c>
      <c r="B585" s="1" t="n">
        <v>45514</v>
      </c>
      <c r="C585" s="1" t="n">
        <v>45976</v>
      </c>
      <c r="D585" t="inlineStr">
        <is>
          <t>GOTLANDS LÄN</t>
        </is>
      </c>
      <c r="E585" t="inlineStr">
        <is>
          <t>GOTLAND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35537-2025</t>
        </is>
      </c>
      <c r="B586" s="1" t="n">
        <v>45856</v>
      </c>
      <c r="C586" s="1" t="n">
        <v>45976</v>
      </c>
      <c r="D586" t="inlineStr">
        <is>
          <t>GOTLANDS LÄN</t>
        </is>
      </c>
      <c r="E586" t="inlineStr">
        <is>
          <t>GOTLAND</t>
        </is>
      </c>
      <c r="G586" t="n">
        <v>16.8</v>
      </c>
      <c r="H586" t="n">
        <v>0</v>
      </c>
      <c r="I586" t="n">
        <v>0</v>
      </c>
      <c r="J586" t="n">
        <v>0</v>
      </c>
      <c r="K586" t="n">
        <v>0</v>
      </c>
      <c r="L586" t="n">
        <v>0</v>
      </c>
      <c r="M586" t="n">
        <v>0</v>
      </c>
      <c r="N586" t="n">
        <v>0</v>
      </c>
      <c r="O586" t="n">
        <v>0</v>
      </c>
      <c r="P586" t="n">
        <v>0</v>
      </c>
      <c r="Q586" t="n">
        <v>0</v>
      </c>
      <c r="R586" s="2" t="inlineStr"/>
    </row>
    <row r="587" ht="15" customHeight="1">
      <c r="A587" t="inlineStr">
        <is>
          <t>A 43901-2023</t>
        </is>
      </c>
      <c r="B587" s="1" t="n">
        <v>45187</v>
      </c>
      <c r="C587" s="1" t="n">
        <v>45976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17532-2024</t>
        </is>
      </c>
      <c r="B588" s="1" t="n">
        <v>45415</v>
      </c>
      <c r="C588" s="1" t="n">
        <v>45976</v>
      </c>
      <c r="D588" t="inlineStr">
        <is>
          <t>GOTLANDS LÄN</t>
        </is>
      </c>
      <c r="E588" t="inlineStr">
        <is>
          <t>GOTLAND</t>
        </is>
      </c>
      <c r="G588" t="n">
        <v>4.3</v>
      </c>
      <c r="H588" t="n">
        <v>0</v>
      </c>
      <c r="I588" t="n">
        <v>0</v>
      </c>
      <c r="J588" t="n">
        <v>0</v>
      </c>
      <c r="K588" t="n">
        <v>0</v>
      </c>
      <c r="L588" t="n">
        <v>0</v>
      </c>
      <c r="M588" t="n">
        <v>0</v>
      </c>
      <c r="N588" t="n">
        <v>0</v>
      </c>
      <c r="O588" t="n">
        <v>0</v>
      </c>
      <c r="P588" t="n">
        <v>0</v>
      </c>
      <c r="Q588" t="n">
        <v>0</v>
      </c>
      <c r="R588" s="2" t="inlineStr"/>
    </row>
    <row r="589" ht="15" customHeight="1">
      <c r="A589" t="inlineStr">
        <is>
          <t>A 45692-2023</t>
        </is>
      </c>
      <c r="B589" s="1" t="n">
        <v>45195</v>
      </c>
      <c r="C589" s="1" t="n">
        <v>45976</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37222-2021</t>
        </is>
      </c>
      <c r="B590" s="1" t="n">
        <v>44396</v>
      </c>
      <c r="C590" s="1" t="n">
        <v>45976</v>
      </c>
      <c r="D590" t="inlineStr">
        <is>
          <t>GOTLANDS LÄN</t>
        </is>
      </c>
      <c r="E590" t="inlineStr">
        <is>
          <t>GOTLAND</t>
        </is>
      </c>
      <c r="G590" t="n">
        <v>3</v>
      </c>
      <c r="H590" t="n">
        <v>0</v>
      </c>
      <c r="I590" t="n">
        <v>0</v>
      </c>
      <c r="J590" t="n">
        <v>0</v>
      </c>
      <c r="K590" t="n">
        <v>0</v>
      </c>
      <c r="L590" t="n">
        <v>0</v>
      </c>
      <c r="M590" t="n">
        <v>0</v>
      </c>
      <c r="N590" t="n">
        <v>0</v>
      </c>
      <c r="O590" t="n">
        <v>0</v>
      </c>
      <c r="P590" t="n">
        <v>0</v>
      </c>
      <c r="Q590" t="n">
        <v>0</v>
      </c>
      <c r="R590" s="2" t="inlineStr"/>
    </row>
    <row r="591" ht="15" customHeight="1">
      <c r="A591" t="inlineStr">
        <is>
          <t>A 46396-2023</t>
        </is>
      </c>
      <c r="B591" s="1" t="n">
        <v>45197</v>
      </c>
      <c r="C591" s="1" t="n">
        <v>45976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30488-2025</t>
        </is>
      </c>
      <c r="B592" s="1" t="n">
        <v>45830</v>
      </c>
      <c r="C592" s="1" t="n">
        <v>45976</v>
      </c>
      <c r="D592" t="inlineStr">
        <is>
          <t>GOTLANDS LÄN</t>
        </is>
      </c>
      <c r="E592" t="inlineStr">
        <is>
          <t>GOTLAND</t>
        </is>
      </c>
      <c r="F592" t="inlineStr">
        <is>
          <t>Kyrkan</t>
        </is>
      </c>
      <c r="G592" t="n">
        <v>3.9</v>
      </c>
      <c r="H592" t="n">
        <v>0</v>
      </c>
      <c r="I592" t="n">
        <v>0</v>
      </c>
      <c r="J592" t="n">
        <v>0</v>
      </c>
      <c r="K592" t="n">
        <v>0</v>
      </c>
      <c r="L592" t="n">
        <v>0</v>
      </c>
      <c r="M592" t="n">
        <v>0</v>
      </c>
      <c r="N592" t="n">
        <v>0</v>
      </c>
      <c r="O592" t="n">
        <v>0</v>
      </c>
      <c r="P592" t="n">
        <v>0</v>
      </c>
      <c r="Q592" t="n">
        <v>0</v>
      </c>
      <c r="R592" s="2" t="inlineStr"/>
    </row>
    <row r="593" ht="15" customHeight="1">
      <c r="A593" t="inlineStr">
        <is>
          <t>A 15216-2025</t>
        </is>
      </c>
      <c r="B593" s="1" t="n">
        <v>45744</v>
      </c>
      <c r="C593" s="1" t="n">
        <v>45976</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58388-2022</t>
        </is>
      </c>
      <c r="B594" s="1" t="n">
        <v>44894</v>
      </c>
      <c r="C594" s="1" t="n">
        <v>45976</v>
      </c>
      <c r="D594" t="inlineStr">
        <is>
          <t>GOTLANDS LÄN</t>
        </is>
      </c>
      <c r="E594" t="inlineStr">
        <is>
          <t>GOTLAND</t>
        </is>
      </c>
      <c r="F594" t="inlineStr">
        <is>
          <t>Övriga statliga verk och myndigheter</t>
        </is>
      </c>
      <c r="G594" t="n">
        <v>3.1</v>
      </c>
      <c r="H594" t="n">
        <v>0</v>
      </c>
      <c r="I594" t="n">
        <v>0</v>
      </c>
      <c r="J594" t="n">
        <v>0</v>
      </c>
      <c r="K594" t="n">
        <v>0</v>
      </c>
      <c r="L594" t="n">
        <v>0</v>
      </c>
      <c r="M594" t="n">
        <v>0</v>
      </c>
      <c r="N594" t="n">
        <v>0</v>
      </c>
      <c r="O594" t="n">
        <v>0</v>
      </c>
      <c r="P594" t="n">
        <v>0</v>
      </c>
      <c r="Q594" t="n">
        <v>0</v>
      </c>
      <c r="R594" s="2" t="inlineStr"/>
    </row>
    <row r="595" ht="15" customHeight="1">
      <c r="A595" t="inlineStr">
        <is>
          <t>A 15001-2025</t>
        </is>
      </c>
      <c r="B595" s="1" t="n">
        <v>45743</v>
      </c>
      <c r="C595" s="1" t="n">
        <v>45976</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43790-2024</t>
        </is>
      </c>
      <c r="B596" s="1" t="n">
        <v>45571</v>
      </c>
      <c r="C596" s="1" t="n">
        <v>45976</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17847-2025</t>
        </is>
      </c>
      <c r="B597" s="1" t="n">
        <v>45758</v>
      </c>
      <c r="C597" s="1" t="n">
        <v>45976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36319-2025</t>
        </is>
      </c>
      <c r="B598" s="1" t="n">
        <v>45868</v>
      </c>
      <c r="C598" s="1" t="n">
        <v>45976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18742-2025</t>
        </is>
      </c>
      <c r="B599" s="1" t="n">
        <v>45763</v>
      </c>
      <c r="C599" s="1" t="n">
        <v>45976</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35129-2025</t>
        </is>
      </c>
      <c r="B600" s="1" t="n">
        <v>45852.63224537037</v>
      </c>
      <c r="C600" s="1" t="n">
        <v>45976</v>
      </c>
      <c r="D600" t="inlineStr">
        <is>
          <t>GOTLANDS LÄN</t>
        </is>
      </c>
      <c r="E600" t="inlineStr">
        <is>
          <t>GOTLAND</t>
        </is>
      </c>
      <c r="G600" t="n">
        <v>3.2</v>
      </c>
      <c r="H600" t="n">
        <v>0</v>
      </c>
      <c r="I600" t="n">
        <v>0</v>
      </c>
      <c r="J600" t="n">
        <v>0</v>
      </c>
      <c r="K600" t="n">
        <v>0</v>
      </c>
      <c r="L600" t="n">
        <v>0</v>
      </c>
      <c r="M600" t="n">
        <v>0</v>
      </c>
      <c r="N600" t="n">
        <v>0</v>
      </c>
      <c r="O600" t="n">
        <v>0</v>
      </c>
      <c r="P600" t="n">
        <v>0</v>
      </c>
      <c r="Q600" t="n">
        <v>0</v>
      </c>
      <c r="R600" s="2" t="inlineStr"/>
    </row>
    <row r="601" ht="15" customHeight="1">
      <c r="A601" t="inlineStr">
        <is>
          <t>A 53934-2024</t>
        </is>
      </c>
      <c r="B601" s="1" t="n">
        <v>45615</v>
      </c>
      <c r="C601" s="1" t="n">
        <v>45976</v>
      </c>
      <c r="D601" t="inlineStr">
        <is>
          <t>GOTLANDS LÄN</t>
        </is>
      </c>
      <c r="E601" t="inlineStr">
        <is>
          <t>GOTLAND</t>
        </is>
      </c>
      <c r="G601" t="n">
        <v>5</v>
      </c>
      <c r="H601" t="n">
        <v>0</v>
      </c>
      <c r="I601" t="n">
        <v>0</v>
      </c>
      <c r="J601" t="n">
        <v>0</v>
      </c>
      <c r="K601" t="n">
        <v>0</v>
      </c>
      <c r="L601" t="n">
        <v>0</v>
      </c>
      <c r="M601" t="n">
        <v>0</v>
      </c>
      <c r="N601" t="n">
        <v>0</v>
      </c>
      <c r="O601" t="n">
        <v>0</v>
      </c>
      <c r="P601" t="n">
        <v>0</v>
      </c>
      <c r="Q601" t="n">
        <v>0</v>
      </c>
      <c r="R601" s="2" t="inlineStr"/>
    </row>
    <row r="602" ht="15" customHeight="1">
      <c r="A602" t="inlineStr">
        <is>
          <t>A 58132-2023</t>
        </is>
      </c>
      <c r="B602" s="1" t="n">
        <v>45250</v>
      </c>
      <c r="C602" s="1" t="n">
        <v>45976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22899-2023</t>
        </is>
      </c>
      <c r="B603" s="1" t="n">
        <v>45072</v>
      </c>
      <c r="C603" s="1" t="n">
        <v>45976</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28285-2024</t>
        </is>
      </c>
      <c r="B604" s="1" t="n">
        <v>45477</v>
      </c>
      <c r="C604" s="1" t="n">
        <v>45976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51963-2024</t>
        </is>
      </c>
      <c r="B605" s="1" t="n">
        <v>45607.64833333333</v>
      </c>
      <c r="C605" s="1" t="n">
        <v>45976</v>
      </c>
      <c r="D605" t="inlineStr">
        <is>
          <t>GOTLANDS LÄN</t>
        </is>
      </c>
      <c r="E605" t="inlineStr">
        <is>
          <t>GOTLAND</t>
        </is>
      </c>
      <c r="G605" t="n">
        <v>2.4</v>
      </c>
      <c r="H605" t="n">
        <v>0</v>
      </c>
      <c r="I605" t="n">
        <v>0</v>
      </c>
      <c r="J605" t="n">
        <v>0</v>
      </c>
      <c r="K605" t="n">
        <v>0</v>
      </c>
      <c r="L605" t="n">
        <v>0</v>
      </c>
      <c r="M605" t="n">
        <v>0</v>
      </c>
      <c r="N605" t="n">
        <v>0</v>
      </c>
      <c r="O605" t="n">
        <v>0</v>
      </c>
      <c r="P605" t="n">
        <v>0</v>
      </c>
      <c r="Q605" t="n">
        <v>0</v>
      </c>
      <c r="R605" s="2" t="inlineStr"/>
    </row>
    <row r="606" ht="15" customHeight="1">
      <c r="A606" t="inlineStr">
        <is>
          <t>A 1734-2025</t>
        </is>
      </c>
      <c r="B606" s="1" t="n">
        <v>45671.3840625</v>
      </c>
      <c r="C606" s="1" t="n">
        <v>45976</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30365-2024</t>
        </is>
      </c>
      <c r="B607" s="1" t="n">
        <v>45491.3716087963</v>
      </c>
      <c r="C607" s="1" t="n">
        <v>45976</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2674-2023</t>
        </is>
      </c>
      <c r="B608" s="1" t="n">
        <v>44944</v>
      </c>
      <c r="C608" s="1" t="n">
        <v>45976</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61100-2022</t>
        </is>
      </c>
      <c r="B609" s="1" t="n">
        <v>44915</v>
      </c>
      <c r="C609" s="1" t="n">
        <v>45976</v>
      </c>
      <c r="D609" t="inlineStr">
        <is>
          <t>GOTLANDS LÄN</t>
        </is>
      </c>
      <c r="E609" t="inlineStr">
        <is>
          <t>GOTLAND</t>
        </is>
      </c>
      <c r="G609" t="n">
        <v>1.4</v>
      </c>
      <c r="H609" t="n">
        <v>0</v>
      </c>
      <c r="I609" t="n">
        <v>0</v>
      </c>
      <c r="J609" t="n">
        <v>0</v>
      </c>
      <c r="K609" t="n">
        <v>0</v>
      </c>
      <c r="L609" t="n">
        <v>0</v>
      </c>
      <c r="M609" t="n">
        <v>0</v>
      </c>
      <c r="N609" t="n">
        <v>0</v>
      </c>
      <c r="O609" t="n">
        <v>0</v>
      </c>
      <c r="P609" t="n">
        <v>0</v>
      </c>
      <c r="Q609" t="n">
        <v>0</v>
      </c>
      <c r="R609" s="2" t="inlineStr"/>
    </row>
    <row r="610">
      <c r="A610" t="inlineStr">
        <is>
          <t>A 581-2023</t>
        </is>
      </c>
      <c r="B610" s="1" t="n">
        <v>44930</v>
      </c>
      <c r="C610" s="1" t="n">
        <v>45976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2025-11-15T10:14:22Z</dcterms:created>
  <dcterms:modified xmlns:dcterms="http://purl.org/dc/terms/" xmlns:xsi="http://www.w3.org/2001/XMLSchema-instance" xsi:type="dcterms:W3CDTF">2025-11-15T10:14:23Z</dcterms:modified>
</cp:coreProperties>
</file>