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15850-2025</t>
        </is>
      </c>
      <c r="B45" s="1" t="n">
        <v>45749</v>
      </c>
      <c r="C45" s="1" t="n">
        <v>45811</v>
      </c>
      <c r="D45" t="inlineStr">
        <is>
          <t>GOTLANDS LÄN</t>
        </is>
      </c>
      <c r="E45" t="inlineStr">
        <is>
          <t>GOTLAND</t>
        </is>
      </c>
      <c r="G45" t="n">
        <v>5.1</v>
      </c>
      <c r="H45" t="n">
        <v>4</v>
      </c>
      <c r="I45" t="n">
        <v>3</v>
      </c>
      <c r="J45" t="n">
        <v>4</v>
      </c>
      <c r="K45" t="n">
        <v>2</v>
      </c>
      <c r="L45" t="n">
        <v>0</v>
      </c>
      <c r="M45" t="n">
        <v>0</v>
      </c>
      <c r="N45" t="n">
        <v>0</v>
      </c>
      <c r="O45" t="n">
        <v>7</v>
      </c>
      <c r="P45" t="n">
        <v>2</v>
      </c>
      <c r="Q45" t="n">
        <v>11</v>
      </c>
      <c r="R45" s="2" t="inlineStr">
        <is>
          <t>Gulsträngad fagerspindling
Tvillingspindling
Gulsparv
Odörspindling
Spillkråka
Svinrot
Trollspindling
Anisspindling
Mindre märgborre
Skogsknipprot
Sankt pers nycklar</t>
        </is>
      </c>
      <c r="S45">
        <f>HYPERLINK("https://klasma.github.io/Logging_090980/artfynd/A 15850-2025 artfynd.xlsx", "A 15850-2025")</f>
        <v/>
      </c>
      <c r="T45">
        <f>HYPERLINK("https://klasma.github.io/Logging_090980/kartor/A 15850-2025 karta.png", "A 15850-2025")</f>
        <v/>
      </c>
      <c r="V45">
        <f>HYPERLINK("https://klasma.github.io/Logging_090980/klagomål/A 15850-2025 FSC-klagomål.docx", "A 15850-2025")</f>
        <v/>
      </c>
      <c r="W45">
        <f>HYPERLINK("https://klasma.github.io/Logging_090980/klagomålsmail/A 15850-2025 FSC-klagomål mail.docx", "A 15850-2025")</f>
        <v/>
      </c>
      <c r="X45">
        <f>HYPERLINK("https://klasma.github.io/Logging_090980/tillsyn/A 15850-2025 tillsynsbegäran.docx", "A 15850-2025")</f>
        <v/>
      </c>
      <c r="Y45">
        <f>HYPERLINK("https://klasma.github.io/Logging_090980/tillsynsmail/A 15850-2025 tillsynsbegäran mail.docx", "A 15850-2025")</f>
        <v/>
      </c>
      <c r="Z45">
        <f>HYPERLINK("https://klasma.github.io/Logging_090980/fåglar/A 15850-2025 prioriterade fågelarter.docx", "A 15850-2025")</f>
        <v/>
      </c>
    </row>
    <row r="46" ht="15" customHeight="1">
      <c r="A46" t="inlineStr">
        <is>
          <t>A 64683-2023</t>
        </is>
      </c>
      <c r="B46" s="1" t="n">
        <v>45281</v>
      </c>
      <c r="C46" s="1" t="n">
        <v>45811</v>
      </c>
      <c r="D46" t="inlineStr">
        <is>
          <t>GOTLANDS LÄN</t>
        </is>
      </c>
      <c r="E46" t="inlineStr">
        <is>
          <t>GOTLAND</t>
        </is>
      </c>
      <c r="G46" t="n">
        <v>6.3</v>
      </c>
      <c r="H46" t="n">
        <v>0</v>
      </c>
      <c r="I46" t="n">
        <v>7</v>
      </c>
      <c r="J46" t="n">
        <v>1</v>
      </c>
      <c r="K46" t="n">
        <v>2</v>
      </c>
      <c r="L46" t="n">
        <v>0</v>
      </c>
      <c r="M46" t="n">
        <v>0</v>
      </c>
      <c r="N46" t="n">
        <v>0</v>
      </c>
      <c r="O46" t="n">
        <v>3</v>
      </c>
      <c r="P46" t="n">
        <v>2</v>
      </c>
      <c r="Q46" t="n">
        <v>10</v>
      </c>
      <c r="R46" s="2" t="inlineStr">
        <is>
          <t>Gulsträngad fagerspindling
Violettfläckig spindling
Odörspindling
Anisspindling
Blomkålssvamp
Blå slemspindling
Grönpyrola
Olivspindling
Rödgul trumpetsvamp
Rökmusseron</t>
        </is>
      </c>
      <c r="S46">
        <f>HYPERLINK("https://klasma.github.io/Logging_0980/artfynd/A 64683-2023 artfynd.xlsx", "A 64683-2023")</f>
        <v/>
      </c>
      <c r="T46">
        <f>HYPERLINK("https://klasma.github.io/Logging_0980/kartor/A 64683-2023 karta.png", "A 64683-2023")</f>
        <v/>
      </c>
      <c r="V46">
        <f>HYPERLINK("https://klasma.github.io/Logging_0980/klagomål/A 64683-2023 FSC-klagomål.docx", "A 64683-2023")</f>
        <v/>
      </c>
      <c r="W46">
        <f>HYPERLINK("https://klasma.github.io/Logging_0980/klagomålsmail/A 64683-2023 FSC-klagomål mail.docx", "A 64683-2023")</f>
        <v/>
      </c>
      <c r="X46">
        <f>HYPERLINK("https://klasma.github.io/Logging_0980/tillsyn/A 64683-2023 tillsynsbegäran.docx", "A 64683-2023")</f>
        <v/>
      </c>
      <c r="Y46">
        <f>HYPERLINK("https://klasma.github.io/Logging_0980/tillsynsmail/A 64683-2023 tillsynsbegäran mail.docx", "A 64683-2023")</f>
        <v/>
      </c>
    </row>
    <row r="47" ht="15" customHeight="1">
      <c r="A47" t="inlineStr">
        <is>
          <t>A 17739-2024</t>
        </is>
      </c>
      <c r="B47" s="1" t="n">
        <v>45418</v>
      </c>
      <c r="C47" s="1" t="n">
        <v>45811</v>
      </c>
      <c r="D47" t="inlineStr">
        <is>
          <t>GOTLANDS LÄN</t>
        </is>
      </c>
      <c r="E47" t="inlineStr">
        <is>
          <t>GOTLAND</t>
        </is>
      </c>
      <c r="G47" t="n">
        <v>14.3</v>
      </c>
      <c r="H47" t="n">
        <v>3</v>
      </c>
      <c r="I47" t="n">
        <v>2</v>
      </c>
      <c r="J47" t="n">
        <v>6</v>
      </c>
      <c r="K47" t="n">
        <v>1</v>
      </c>
      <c r="L47" t="n">
        <v>0</v>
      </c>
      <c r="M47" t="n">
        <v>0</v>
      </c>
      <c r="N47" t="n">
        <v>0</v>
      </c>
      <c r="O47" t="n">
        <v>7</v>
      </c>
      <c r="P47" t="n">
        <v>1</v>
      </c>
      <c r="Q47" t="n">
        <v>10</v>
      </c>
      <c r="R47" s="2" t="inlineStr">
        <is>
          <t>Ljungsnärja
Axveronika
Backtimjan
Flentimotej
Havsörn
Jordtistel
Solvända
Blåmossa
Tvåblad
Blåsippa</t>
        </is>
      </c>
      <c r="S47">
        <f>HYPERLINK("https://klasma.github.io/Logging_0980/artfynd/A 17739-2024 artfynd.xlsx", "A 17739-2024")</f>
        <v/>
      </c>
      <c r="T47">
        <f>HYPERLINK("https://klasma.github.io/Logging_0980/kartor/A 17739-2024 karta.png", "A 17739-2024")</f>
        <v/>
      </c>
      <c r="V47">
        <f>HYPERLINK("https://klasma.github.io/Logging_0980/klagomål/A 17739-2024 FSC-klagomål.docx", "A 17739-2024")</f>
        <v/>
      </c>
      <c r="W47">
        <f>HYPERLINK("https://klasma.github.io/Logging_0980/klagomålsmail/A 17739-2024 FSC-klagomål mail.docx", "A 17739-2024")</f>
        <v/>
      </c>
      <c r="X47">
        <f>HYPERLINK("https://klasma.github.io/Logging_0980/tillsyn/A 17739-2024 tillsynsbegäran.docx", "A 17739-2024")</f>
        <v/>
      </c>
      <c r="Y47">
        <f>HYPERLINK("https://klasma.github.io/Logging_0980/tillsynsmail/A 17739-2024 tillsynsbegäran mail.docx", "A 17739-2024")</f>
        <v/>
      </c>
      <c r="Z47">
        <f>HYPERLINK("https://klasma.github.io/Logging_0980/fåglar/A 17739-2024 prioriterade fågelarter.docx", "A 17739-2024")</f>
        <v/>
      </c>
    </row>
    <row r="48" ht="15" customHeight="1">
      <c r="A48" t="inlineStr">
        <is>
          <t>A 17766-2024</t>
        </is>
      </c>
      <c r="B48" s="1" t="n">
        <v>45418</v>
      </c>
      <c r="C48" s="1" t="n">
        <v>45811</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45811</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45811</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1719-2025</t>
        </is>
      </c>
      <c r="B51" s="1" t="n">
        <v>45671</v>
      </c>
      <c r="C51" s="1" t="n">
        <v>45811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3475-2025</t>
        </is>
      </c>
      <c r="B52" s="1" t="n">
        <v>45680</v>
      </c>
      <c r="C52" s="1" t="n">
        <v>45811</v>
      </c>
      <c r="D52" t="inlineStr">
        <is>
          <t>GOTLANDS LÄN</t>
        </is>
      </c>
      <c r="E52" t="inlineStr">
        <is>
          <t>GOTLAND</t>
        </is>
      </c>
      <c r="G52" t="n">
        <v>4.6</v>
      </c>
      <c r="H52" t="n">
        <v>3</v>
      </c>
      <c r="I52" t="n">
        <v>3</v>
      </c>
      <c r="J52" t="n">
        <v>3</v>
      </c>
      <c r="K52" t="n">
        <v>2</v>
      </c>
      <c r="L52" t="n">
        <v>0</v>
      </c>
      <c r="M52" t="n">
        <v>0</v>
      </c>
      <c r="N52" t="n">
        <v>0</v>
      </c>
      <c r="O52" t="n">
        <v>6</v>
      </c>
      <c r="P52" t="n">
        <v>2</v>
      </c>
      <c r="Q52" t="n">
        <v>10</v>
      </c>
      <c r="R52" s="2" t="inlineStr">
        <is>
          <t>Gulsträngad fagerspindling
Tvillingspindling
Gulsparv
Odörspindling
Svinrot
Trollspindling
Anisspindling
Mindre märgborre
Skogsknipprot
Sankt pers nycklar</t>
        </is>
      </c>
      <c r="S52">
        <f>HYPERLINK("https://klasma.github.io/Logging_0980/artfynd/A 3475-2025 artfynd.xlsx", "A 3475-2025")</f>
        <v/>
      </c>
      <c r="T52">
        <f>HYPERLINK("https://klasma.github.io/Logging_0980/kartor/A 3475-2025 karta.png", "A 3475-2025")</f>
        <v/>
      </c>
      <c r="V52">
        <f>HYPERLINK("https://klasma.github.io/Logging_0980/klagomål/A 3475-2025 FSC-klagomål.docx", "A 3475-2025")</f>
        <v/>
      </c>
      <c r="W52">
        <f>HYPERLINK("https://klasma.github.io/Logging_0980/klagomålsmail/A 3475-2025 FSC-klagomål mail.docx", "A 3475-2025")</f>
        <v/>
      </c>
      <c r="X52">
        <f>HYPERLINK("https://klasma.github.io/Logging_0980/tillsyn/A 3475-2025 tillsynsbegäran.docx", "A 3475-2025")</f>
        <v/>
      </c>
      <c r="Y52">
        <f>HYPERLINK("https://klasma.github.io/Logging_0980/tillsynsmail/A 3475-2025 tillsynsbegäran mail.docx", "A 3475-2025")</f>
        <v/>
      </c>
      <c r="Z52">
        <f>HYPERLINK("https://klasma.github.io/Logging_0980/fåglar/A 3475-2025 prioriterade fågelarter.docx", "A 3475-2025")</f>
        <v/>
      </c>
    </row>
    <row r="53" ht="15" customHeight="1">
      <c r="A53" t="inlineStr">
        <is>
          <t>A 8915-2023</t>
        </is>
      </c>
      <c r="B53" s="1" t="n">
        <v>44973</v>
      </c>
      <c r="C53" s="1" t="n">
        <v>45811</v>
      </c>
      <c r="D53" t="inlineStr">
        <is>
          <t>GOTLANDS LÄN</t>
        </is>
      </c>
      <c r="E53" t="inlineStr">
        <is>
          <t>GOTLAND</t>
        </is>
      </c>
      <c r="G53" t="n">
        <v>3.3</v>
      </c>
      <c r="H53" t="n">
        <v>0</v>
      </c>
      <c r="I53" t="n">
        <v>3</v>
      </c>
      <c r="J53" t="n">
        <v>3</v>
      </c>
      <c r="K53" t="n">
        <v>3</v>
      </c>
      <c r="L53" t="n">
        <v>0</v>
      </c>
      <c r="M53" t="n">
        <v>0</v>
      </c>
      <c r="N53" t="n">
        <v>0</v>
      </c>
      <c r="O53" t="n">
        <v>6</v>
      </c>
      <c r="P53" t="n">
        <v>3</v>
      </c>
      <c r="Q53" t="n">
        <v>9</v>
      </c>
      <c r="R53" s="2" t="inlineStr">
        <is>
          <t>Gul lammticka
Lammticka
Tvillingspindling
Mjölsvärting
Odörspindling
Svart taggsvamp
Blå slemspindling
Fransig jordstjärna
Skarp dropptaggsvamp</t>
        </is>
      </c>
      <c r="S53">
        <f>HYPERLINK("https://klasma.github.io/Logging_0980/artfynd/A 8915-2023 artfynd.xlsx", "A 8915-2023")</f>
        <v/>
      </c>
      <c r="T53">
        <f>HYPERLINK("https://klasma.github.io/Logging_0980/kartor/A 8915-2023 karta.png", "A 8915-2023")</f>
        <v/>
      </c>
      <c r="V53">
        <f>HYPERLINK("https://klasma.github.io/Logging_0980/klagomål/A 8915-2023 FSC-klagomål.docx", "A 8915-2023")</f>
        <v/>
      </c>
      <c r="W53">
        <f>HYPERLINK("https://klasma.github.io/Logging_0980/klagomålsmail/A 8915-2023 FSC-klagomål mail.docx", "A 8915-2023")</f>
        <v/>
      </c>
      <c r="X53">
        <f>HYPERLINK("https://klasma.github.io/Logging_0980/tillsyn/A 8915-2023 tillsynsbegäran.docx", "A 8915-2023")</f>
        <v/>
      </c>
      <c r="Y53">
        <f>HYPERLINK("https://klasma.github.io/Logging_0980/tillsynsmail/A 8915-2023 tillsynsbegäran mail.docx", "A 8915-2023")</f>
        <v/>
      </c>
    </row>
    <row r="54" ht="15" customHeight="1">
      <c r="A54" t="inlineStr">
        <is>
          <t>A 39376-2023</t>
        </is>
      </c>
      <c r="B54" s="1" t="n">
        <v>45166</v>
      </c>
      <c r="C54" s="1" t="n">
        <v>45811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32876-2024</t>
        </is>
      </c>
      <c r="B55" s="1" t="n">
        <v>45516</v>
      </c>
      <c r="C55" s="1" t="n">
        <v>45811</v>
      </c>
      <c r="D55" t="inlineStr">
        <is>
          <t>GOTLANDS LÄN</t>
        </is>
      </c>
      <c r="E55" t="inlineStr">
        <is>
          <t>GOTLAND</t>
        </is>
      </c>
      <c r="G55" t="n">
        <v>1.8</v>
      </c>
      <c r="H55" t="n">
        <v>0</v>
      </c>
      <c r="I55" t="n">
        <v>4</v>
      </c>
      <c r="J55" t="n">
        <v>3</v>
      </c>
      <c r="K55" t="n">
        <v>2</v>
      </c>
      <c r="L55" t="n">
        <v>0</v>
      </c>
      <c r="M55" t="n">
        <v>0</v>
      </c>
      <c r="N55" t="n">
        <v>0</v>
      </c>
      <c r="O55" t="n">
        <v>5</v>
      </c>
      <c r="P55" t="n">
        <v>2</v>
      </c>
      <c r="Q55" t="n">
        <v>9</v>
      </c>
      <c r="R55" s="2" t="inlineStr">
        <is>
          <t>Gulsträngad fagerspindling
Svartgrön spindling
Denisespindling
Odörspindling
Svinrot
Anisspindling
Kattfotslav
Rödgul trumpetsvamp
Svavelriska</t>
        </is>
      </c>
      <c r="S55">
        <f>HYPERLINK("https://klasma.github.io/Logging_0980/artfynd/A 32876-2024 artfynd.xlsx", "A 32876-2024")</f>
        <v/>
      </c>
      <c r="T55">
        <f>HYPERLINK("https://klasma.github.io/Logging_0980/kartor/A 32876-2024 karta.png", "A 32876-2024")</f>
        <v/>
      </c>
      <c r="V55">
        <f>HYPERLINK("https://klasma.github.io/Logging_0980/klagomål/A 32876-2024 FSC-klagomål.docx", "A 32876-2024")</f>
        <v/>
      </c>
      <c r="W55">
        <f>HYPERLINK("https://klasma.github.io/Logging_0980/klagomålsmail/A 32876-2024 FSC-klagomål mail.docx", "A 32876-2024")</f>
        <v/>
      </c>
      <c r="X55">
        <f>HYPERLINK("https://klasma.github.io/Logging_0980/tillsyn/A 32876-2024 tillsynsbegäran.docx", "A 32876-2024")</f>
        <v/>
      </c>
      <c r="Y55">
        <f>HYPERLINK("https://klasma.github.io/Logging_0980/tillsynsmail/A 32876-2024 tillsynsbegäran mail.docx", "A 32876-2024")</f>
        <v/>
      </c>
    </row>
    <row r="56" ht="15" customHeight="1">
      <c r="A56" t="inlineStr">
        <is>
          <t>A 49418-2024</t>
        </is>
      </c>
      <c r="B56" s="1" t="n">
        <v>45595</v>
      </c>
      <c r="C56" s="1" t="n">
        <v>45811</v>
      </c>
      <c r="D56" t="inlineStr">
        <is>
          <t>GOTLANDS LÄN</t>
        </is>
      </c>
      <c r="E56" t="inlineStr">
        <is>
          <t>GOTLAND</t>
        </is>
      </c>
      <c r="G56" t="n">
        <v>39.8</v>
      </c>
      <c r="H56" t="n">
        <v>5</v>
      </c>
      <c r="I56" t="n">
        <v>2</v>
      </c>
      <c r="J56" t="n">
        <v>3</v>
      </c>
      <c r="K56" t="n">
        <v>0</v>
      </c>
      <c r="L56" t="n">
        <v>0</v>
      </c>
      <c r="M56" t="n">
        <v>0</v>
      </c>
      <c r="N56" t="n">
        <v>0</v>
      </c>
      <c r="O56" t="n">
        <v>3</v>
      </c>
      <c r="P56" t="n">
        <v>0</v>
      </c>
      <c r="Q56" t="n">
        <v>9</v>
      </c>
      <c r="R56" s="2" t="inlineStr">
        <is>
          <t>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59132-2024</t>
        </is>
      </c>
      <c r="B57" s="1" t="n">
        <v>45637</v>
      </c>
      <c r="C57" s="1" t="n">
        <v>45811</v>
      </c>
      <c r="D57" t="inlineStr">
        <is>
          <t>GOTLANDS LÄN</t>
        </is>
      </c>
      <c r="E57" t="inlineStr">
        <is>
          <t>GOTLAND</t>
        </is>
      </c>
      <c r="G57" t="n">
        <v>3.5</v>
      </c>
      <c r="H57" t="n">
        <v>0</v>
      </c>
      <c r="I57" t="n">
        <v>1</v>
      </c>
      <c r="J57" t="n">
        <v>4</v>
      </c>
      <c r="K57" t="n">
        <v>3</v>
      </c>
      <c r="L57" t="n">
        <v>0</v>
      </c>
      <c r="M57" t="n">
        <v>0</v>
      </c>
      <c r="N57" t="n">
        <v>0</v>
      </c>
      <c r="O57" t="n">
        <v>8</v>
      </c>
      <c r="P57" t="n">
        <v>3</v>
      </c>
      <c r="Q57" t="n">
        <v>9</v>
      </c>
      <c r="R57" s="2" t="inlineStr">
        <is>
          <t>Almlav
Mörk kraterlav
Pälsticka
Korskovall
Slåtterfibbla
Solvända
Vippärt
Amphisphaeria umbrina
Underviol</t>
        </is>
      </c>
      <c r="S57">
        <f>HYPERLINK("https://klasma.github.io/Logging_0980/artfynd/A 59132-2024 artfynd.xlsx", "A 59132-2024")</f>
        <v/>
      </c>
      <c r="T57">
        <f>HYPERLINK("https://klasma.github.io/Logging_0980/kartor/A 59132-2024 karta.png", "A 59132-2024")</f>
        <v/>
      </c>
      <c r="V57">
        <f>HYPERLINK("https://klasma.github.io/Logging_0980/klagomål/A 59132-2024 FSC-klagomål.docx", "A 59132-2024")</f>
        <v/>
      </c>
      <c r="W57">
        <f>HYPERLINK("https://klasma.github.io/Logging_0980/klagomålsmail/A 59132-2024 FSC-klagomål mail.docx", "A 59132-2024")</f>
        <v/>
      </c>
      <c r="X57">
        <f>HYPERLINK("https://klasma.github.io/Logging_0980/tillsyn/A 59132-2024 tillsynsbegäran.docx", "A 59132-2024")</f>
        <v/>
      </c>
      <c r="Y57">
        <f>HYPERLINK("https://klasma.github.io/Logging_0980/tillsynsmail/A 59132-2024 tillsynsbegäran mail.docx", "A 59132-2024")</f>
        <v/>
      </c>
    </row>
    <row r="58" ht="15" customHeight="1">
      <c r="A58" t="inlineStr">
        <is>
          <t>A 32960-2019</t>
        </is>
      </c>
      <c r="B58" s="1" t="n">
        <v>43648</v>
      </c>
      <c r="C58" s="1" t="n">
        <v>45811</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45811</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45811</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45811</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45811</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45811</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45811</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45811</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45811</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45811</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45811</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45811</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45811</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45811</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45811</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45811</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45811</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45811</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45811</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45811</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45811</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45811</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45811</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45811</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45811</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45811</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45811</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45811</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45811</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45811</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45811</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45811</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45811</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45811</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45811</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45811</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45811</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45811</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45811</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45811</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45811</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45811</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45811</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45811</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45811</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45811</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45811</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45811</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45811</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45811</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45811</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45811</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45811</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45811</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45811</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45811</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45811</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45811</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45811</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45811</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45811</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45811</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45811</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45811</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45811</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45811</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45811</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45811</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45811</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45811</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45811</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45811</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45811</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45811</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45811</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45811</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45811</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45811</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45811</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45811</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45811</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45811</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45811</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45811</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45811</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45811</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45811</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45811</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45811</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45811</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45811</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45811</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45811</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45811</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45811</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45811</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45811</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45811</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45811</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45811</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45811</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45811</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45811</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45811</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45811</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45811</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45811</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45811</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45811</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45811</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45811</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45811</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45811</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45811</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45811</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45811</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45811</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45811</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45811</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45811</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45811</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45811</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45811</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45811</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45811</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45811</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45811</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45811</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45811</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45811</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45811</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45811</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45811</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45811</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45811</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45811</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45811</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45811</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45811</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45811</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45811</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45811</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45811</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45811</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45811</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45811</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45811</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45811</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45811</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45811</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45811</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45811</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45811</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45811</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45811</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45811</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45811</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45811</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45811</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45811</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45811</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45811</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45811</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45811</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45811</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45811</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45811</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45811</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45811</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45811</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45811</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45811</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45811</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45811</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45811</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45811</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45811</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45811</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45811</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45811</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45811</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45811</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45811</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45811</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45811</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45811</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45811</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45811</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45811</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45811</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45811</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45811</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45811</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45811</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45811</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45811</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45811</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45811</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45811</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45811</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45811</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45811</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45811</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45811</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45811</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45811</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45811</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45811</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45811</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45811</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45811</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45811</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45811</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45811</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45811</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45811</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45811</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45811</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45811</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45811</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45811</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45811</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45811</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45811</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45811</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45811</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45811</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45811</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45811</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45811</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45811</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45811</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45811</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45811</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45811</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45811</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45811</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45811</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45811</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45811</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45811</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45811</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45811</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45811</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45811</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45811</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45811</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45811</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45811</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45811</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45811</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45811</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45811</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45811</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45811</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45811</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45811</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45811</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45811</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45811</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45811</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45811</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45811</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45811</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45811</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45811</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45811</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45811</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45811</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45811</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45811</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45811</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45811</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45811</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45811</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45811</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45811</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45811</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45811</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45811</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45811</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45811</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45811</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45811</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45811</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45811</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45811</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45811</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45811</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45811</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45811</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45811</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45811</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45811</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45811</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45811</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45811</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45811</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45811</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45811</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45811</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45811</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45811</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45811</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45811</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45811</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45811</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45811</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45811</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45811</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45811</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45811</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45811</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45811</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45811</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45811</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45811</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45811</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45811</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45811</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45811</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45811</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45811</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45811</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45811</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45811</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45811</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45811</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45811</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45811</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45811</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45811</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45811</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45811</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45811</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45811</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45811</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45811</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45811</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45811</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45811</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45811</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45811</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45811</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45811</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45811</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45811</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45811</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45811</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45811</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45811</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45811</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45811</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45811</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45811</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45811</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45811</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45811</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45811</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45811</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45811</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45811</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45811</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45811</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45811</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45811</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45811</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45811</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45811</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45811</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45811</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45811</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45811</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45811</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45811</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45811</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45811</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45811</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45811</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45811</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45811</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45811</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45811</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45811</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45811</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45811</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45811</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45811</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45811</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45811</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45811</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45811</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45811</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45811</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45811</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45811</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45811</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45811</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45811</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45811</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45811</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45811</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45811</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45811</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45811</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45811</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45811</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45811</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45811</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45811</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45811</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45811</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45811</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45811</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45811</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45811</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45811</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45811</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45811</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45811</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45811</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45811</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45811</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45811</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45811</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45811</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45811</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45811</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45811</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45811</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45811</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45811</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45811</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45811</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45811</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45811</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45811</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45811</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45811</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45811</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45811</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45811</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45811</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45811</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45811</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45811</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45811</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45811</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45811</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45811</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45811</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45811</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45811</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45811</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45811</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45811</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45811</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45811</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45811</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45811</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45811</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45811</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45811</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45811</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45811</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45811</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45811</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45811</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45811</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45811</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45811</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45811</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45811</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45811</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45811</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45811</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45811</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45811</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45811</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45811</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45811</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45811</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45811</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45811</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45811</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45811</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45811</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45811</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45811</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45811</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45811</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45811</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45811</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45811</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45811</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45811</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45811</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45811</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45811</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45811</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45811</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45811</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45811</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45811</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45811</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45811</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45811</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45811</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45811</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45811</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45811</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45811</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45811</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45811</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45811</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45811</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45811</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45811</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45811</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45811</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45811</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45811</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45811</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45811</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45811</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45811</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45811</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45811</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45811</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45811</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45811</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45811</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45811</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45811</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45811</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45811</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45811</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45811</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45811</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45811</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45811</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45811</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45811</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45811</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45811</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45811</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45811</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45811</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45811</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45811</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45811</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45811</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45811</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45811</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45811</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45811</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45811</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45811</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45811</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45811</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45811</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45811</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45811</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45811</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45811</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45811</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45811</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45811</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45811</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45811</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45811</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45811</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45811</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45811</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45811</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45811</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45811</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45811</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45811</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45811</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45811</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45811</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45811</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45811</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45811</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45811</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45811</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45811</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45811</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45811</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45811</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45811</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45811</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45811</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45811</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45811</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45811</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45811</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45811</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45811</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45811</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45811</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45811</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45811</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45811</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45811</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45811</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45811</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45811</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45811</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45811</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45811</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45811</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45811</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45811</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45811</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45811</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45811</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45811</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45811</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45811</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45811</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45811</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45811</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45811</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45811</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45811</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45811</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45811</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45811</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45811</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45811</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45811</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45811</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45811</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45811</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45811</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45811</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45811</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45811</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45811</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45811</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45811</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45811</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45811</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45811</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45811</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45811</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45811</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45811</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45811</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45811</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45811</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45811</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45811</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45811</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45811</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45811</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45811</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45811</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45811</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45811</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45811</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45811</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45811</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45811</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45811</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45811</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45811</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45811</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45811</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45811</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45811</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45811</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45811</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45811</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45811</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45811</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45811</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45811</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45811</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45811</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45811</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45811</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45811</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45811</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45811</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45811</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45811</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45811</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45811</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45811</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45811</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45811</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45811</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45811</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45811</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45811</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45811</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45811</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45811</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45811</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45811</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45811</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45811</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45811</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45811</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45811</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45811</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45811</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45811</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45811</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45811</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45811</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45811</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45811</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45811</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45811</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45811</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45811</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45811</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45811</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45811</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45811</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45811</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45811</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45811</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45811</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45811</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45811</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45811</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45811</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45811</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45811</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45811</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45811</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45811</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45811</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45811</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45811</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45811</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45811</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45811</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45811</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45811</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45811</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45811</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45811</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45811</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45811</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45811</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45811</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45811</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45811</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45811</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45811</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45811</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45811</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45811</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45811</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45811</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45811</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45811</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45811</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45811</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45811</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45811</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45811</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45811</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45811</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45811</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45811</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45811</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45811</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45811</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45811</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45811</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45811</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45811</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45811</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45811</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45811</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45811</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45811</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45811</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45811</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45811</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45811</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45811</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45811</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45811</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45811</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45811</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45811</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45811</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45811</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45811</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45811</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45811</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45811</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45811</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45811</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45811</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45811</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45811</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45811</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45811</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45811</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45811</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45811</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45811</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45811</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45811</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45811</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45811</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45811</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45811</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45811</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45811</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45811</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45811</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45811</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45811</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45811</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45811</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45811</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45811</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45811</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45811</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45811</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45811</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45811</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45811</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45811</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45811</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45811</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45811</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45811</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45811</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45811</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45811</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45811</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45811</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45811</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45811</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45811</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45811</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45811</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45811</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45811</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45811</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45811</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45811</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45811</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45811</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45811</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45811</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45811</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45811</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45811</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45811</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45811</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45811</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45811</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45811</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45811</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45811</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45811</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45811</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45811</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45811</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45811</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45811</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45811</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45811</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45811</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45811</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45811</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45811</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45811</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45811</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45811</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45811</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45811</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45811</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45811</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45811</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45811</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45811</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45811</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45811</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45811</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45811</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45811</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45811</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45811</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45811</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45811</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45811</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45811</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45811</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45811</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45811</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45811</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45811</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45811</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45811</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45811</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45811</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45811</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45811</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45811</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45811</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45811</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45811</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45811</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45811</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45811</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45811</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45811</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45811</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45811</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45811</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45811</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45811</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45811</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45811</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45811</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45811</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45811</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45811</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45811</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45811</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45811</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45811</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45811</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45811</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45811</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45811</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45811</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45811</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45811</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45811</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45811</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45811</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45811</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45811</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45811</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45811</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45811</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45811</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45811</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45811</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45811</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45811</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45811</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45811</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45811</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45811</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45811</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45811</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45811</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45811</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45811</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45811</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45811</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45811</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45811</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45811</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45811</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45811</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45811</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45811</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45811</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45811</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45811</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45811</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45811</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45811</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45811</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45811</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45811</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45811</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45811</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45811</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45811</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45811</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45811</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26457-2025</t>
        </is>
      </c>
      <c r="B1141" s="1" t="n">
        <v>45807</v>
      </c>
      <c r="C1141" s="1" t="n">
        <v>45811</v>
      </c>
      <c r="D1141" t="inlineStr">
        <is>
          <t>GOTLANDS LÄN</t>
        </is>
      </c>
      <c r="E1141" t="inlineStr">
        <is>
          <t>GOTLAND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45811</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c r="A1143" t="inlineStr">
        <is>
          <t>A 26660-2025</t>
        </is>
      </c>
      <c r="B1143" s="1" t="n">
        <v>45810</v>
      </c>
      <c r="C1143" s="1" t="n">
        <v>45811</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2025-06-03T18:04:27Z</dcterms:created>
  <dcterms:modified xmlns:dcterms="http://purl.org/dc/terms/" xmlns:xsi="http://www.w3.org/2001/XMLSchema-instance" xsi:type="dcterms:W3CDTF">2025-06-03T18:04:28Z</dcterms:modified>
</cp:coreProperties>
</file>