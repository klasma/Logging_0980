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46193</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46193</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46193</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46193</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46193</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46193</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46193</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46193</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46193</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46193</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46193</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46193</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46193</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46193</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46193</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46193</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46193</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46193</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569-2023</t>
        </is>
      </c>
      <c r="B20" s="1" t="n">
        <v>44930</v>
      </c>
      <c r="C20" s="1" t="n">
        <v>46193</v>
      </c>
      <c r="D20" t="inlineStr">
        <is>
          <t>GOTLANDS LÄN</t>
        </is>
      </c>
      <c r="E20" t="inlineStr">
        <is>
          <t>GOTLAND</t>
        </is>
      </c>
      <c r="G20" t="n">
        <v>12.8</v>
      </c>
      <c r="H20" t="n">
        <v>2</v>
      </c>
      <c r="I20" t="n">
        <v>4</v>
      </c>
      <c r="J20" t="n">
        <v>9</v>
      </c>
      <c r="K20" t="n">
        <v>5</v>
      </c>
      <c r="L20" t="n">
        <v>0</v>
      </c>
      <c r="M20" t="n">
        <v>0</v>
      </c>
      <c r="N20" t="n">
        <v>0</v>
      </c>
      <c r="O20" t="n">
        <v>14</v>
      </c>
      <c r="P20" t="n">
        <v>5</v>
      </c>
      <c r="Q20" t="n">
        <v>19</v>
      </c>
      <c r="R20"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24575-2025</t>
        </is>
      </c>
      <c r="B21" s="1" t="n">
        <v>45798</v>
      </c>
      <c r="C21" s="1" t="n">
        <v>46193</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46193</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46193</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46193</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46193</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46193</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46193</v>
      </c>
      <c r="D27" t="inlineStr">
        <is>
          <t>GOTLANDS LÄN</t>
        </is>
      </c>
      <c r="E27" t="inlineStr">
        <is>
          <t>GOTLAND</t>
        </is>
      </c>
      <c r="G27" t="n">
        <v>13.9</v>
      </c>
      <c r="H27" t="n">
        <v>5</v>
      </c>
      <c r="I27" t="n">
        <v>4</v>
      </c>
      <c r="J27" t="n">
        <v>7</v>
      </c>
      <c r="K27" t="n">
        <v>4</v>
      </c>
      <c r="L27" t="n">
        <v>0</v>
      </c>
      <c r="M27" t="n">
        <v>0</v>
      </c>
      <c r="N27" t="n">
        <v>0</v>
      </c>
      <c r="O27" t="n">
        <v>11</v>
      </c>
      <c r="P27" t="n">
        <v>4</v>
      </c>
      <c r="Q27" t="n">
        <v>17</v>
      </c>
      <c r="R27" s="2" t="inlineStr">
        <is>
          <t>Granrotspindling
Gulsträngad fagerspindling
Källnate
Vit taggsvamp
Backtimjan
Blå slemspindling
Dårgräsfjäril
Jordtistel
Odörspindling
Solvända
Äggspindling
Blåmossa
Mindre märgborre
Nästrot
Skogsknipprot
Spillkråka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46193</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35141-2022</t>
        </is>
      </c>
      <c r="B29" s="1" t="n">
        <v>44797</v>
      </c>
      <c r="C29" s="1" t="n">
        <v>46193</v>
      </c>
      <c r="D29" t="inlineStr">
        <is>
          <t>GOTLANDS LÄN</t>
        </is>
      </c>
      <c r="E29" t="inlineStr">
        <is>
          <t>GOTLAND</t>
        </is>
      </c>
      <c r="G29" t="n">
        <v>1.8</v>
      </c>
      <c r="H29" t="n">
        <v>1</v>
      </c>
      <c r="I29" t="n">
        <v>8</v>
      </c>
      <c r="J29" t="n">
        <v>4</v>
      </c>
      <c r="K29" t="n">
        <v>4</v>
      </c>
      <c r="L29" t="n">
        <v>0</v>
      </c>
      <c r="M29" t="n">
        <v>0</v>
      </c>
      <c r="N29" t="n">
        <v>0</v>
      </c>
      <c r="O29" t="n">
        <v>8</v>
      </c>
      <c r="P29" t="n">
        <v>4</v>
      </c>
      <c r="Q29" t="n">
        <v>16</v>
      </c>
      <c r="R2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2213-2023</t>
        </is>
      </c>
      <c r="B30" s="1" t="n">
        <v>44942</v>
      </c>
      <c r="C30" s="1" t="n">
        <v>46193</v>
      </c>
      <c r="D30" t="inlineStr">
        <is>
          <t>GOTLANDS LÄN</t>
        </is>
      </c>
      <c r="E30" t="inlineStr">
        <is>
          <t>GOTLAND</t>
        </is>
      </c>
      <c r="G30" t="n">
        <v>2.7</v>
      </c>
      <c r="H30" t="n">
        <v>1</v>
      </c>
      <c r="I30" t="n">
        <v>2</v>
      </c>
      <c r="J30" t="n">
        <v>10</v>
      </c>
      <c r="K30" t="n">
        <v>4</v>
      </c>
      <c r="L30" t="n">
        <v>0</v>
      </c>
      <c r="M30" t="n">
        <v>0</v>
      </c>
      <c r="N30" t="n">
        <v>0</v>
      </c>
      <c r="O30" t="n">
        <v>14</v>
      </c>
      <c r="P30" t="n">
        <v>4</v>
      </c>
      <c r="Q30" t="n">
        <v>16</v>
      </c>
      <c r="R3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0">
        <f>HYPERLINK("https://klasma.github.io/Logging_0980/artfynd/A 2213-2023 artfynd.xlsx", "A 2213-2023")</f>
        <v/>
      </c>
      <c r="T30">
        <f>HYPERLINK("https://klasma.github.io/Logging_0980/kartor/A 2213-2023 karta.png", "A 2213-2023")</f>
        <v/>
      </c>
      <c r="V30">
        <f>HYPERLINK("https://klasma.github.io/Logging_0980/klagomål/A 2213-2023 FSC-klagomål.docx", "A 2213-2023")</f>
        <v/>
      </c>
      <c r="W30">
        <f>HYPERLINK("https://klasma.github.io/Logging_0980/klagomålsmail/A 2213-2023 FSC-klagomål mail.docx", "A 2213-2023")</f>
        <v/>
      </c>
      <c r="X30">
        <f>HYPERLINK("https://klasma.github.io/Logging_0980/tillsyn/A 2213-2023 tillsynsbegäran.docx", "A 2213-2023")</f>
        <v/>
      </c>
      <c r="Y30">
        <f>HYPERLINK("https://klasma.github.io/Logging_0980/tillsynsmail/A 2213-2023 tillsynsbegäran mail.docx", "A 2213-2023")</f>
        <v/>
      </c>
    </row>
    <row r="31" ht="15" customHeight="1">
      <c r="A31" t="inlineStr">
        <is>
          <t>A 25779-2022</t>
        </is>
      </c>
      <c r="B31" s="1" t="n">
        <v>44733</v>
      </c>
      <c r="C31" s="1" t="n">
        <v>46193</v>
      </c>
      <c r="D31" t="inlineStr">
        <is>
          <t>GOTLANDS LÄN</t>
        </is>
      </c>
      <c r="E31" t="inlineStr">
        <is>
          <t>GOTLAND</t>
        </is>
      </c>
      <c r="G31" t="n">
        <v>12.6</v>
      </c>
      <c r="H31" t="n">
        <v>4</v>
      </c>
      <c r="I31" t="n">
        <v>8</v>
      </c>
      <c r="J31" t="n">
        <v>5</v>
      </c>
      <c r="K31" t="n">
        <v>2</v>
      </c>
      <c r="L31" t="n">
        <v>1</v>
      </c>
      <c r="M31" t="n">
        <v>0</v>
      </c>
      <c r="N31" t="n">
        <v>0</v>
      </c>
      <c r="O31" t="n">
        <v>8</v>
      </c>
      <c r="P31" t="n">
        <v>3</v>
      </c>
      <c r="Q31" t="n">
        <v>16</v>
      </c>
      <c r="R31" s="2" t="inlineStr">
        <is>
          <t>Ruttaggsvamp
Duvspindling
Knärot
Blå slemspindling
Flattoppad klubbsvamp
Jordtistel
Odörspindling
Solvända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6153-2024</t>
        </is>
      </c>
      <c r="B32" s="1" t="n">
        <v>45337</v>
      </c>
      <c r="C32" s="1" t="n">
        <v>46193</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63872-2021</t>
        </is>
      </c>
      <c r="B33" s="1" t="n">
        <v>44509</v>
      </c>
      <c r="C33" s="1" t="n">
        <v>46193</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43201-2023</t>
        </is>
      </c>
      <c r="B34" s="1" t="n">
        <v>45183</v>
      </c>
      <c r="C34" s="1" t="n">
        <v>46193</v>
      </c>
      <c r="D34" t="inlineStr">
        <is>
          <t>GOTLANDS LÄN</t>
        </is>
      </c>
      <c r="E34" t="inlineStr">
        <is>
          <t>GOTLAND</t>
        </is>
      </c>
      <c r="G34" t="n">
        <v>5.6</v>
      </c>
      <c r="H34" t="n">
        <v>0</v>
      </c>
      <c r="I34" t="n">
        <v>6</v>
      </c>
      <c r="J34" t="n">
        <v>4</v>
      </c>
      <c r="K34" t="n">
        <v>3</v>
      </c>
      <c r="L34" t="n">
        <v>2</v>
      </c>
      <c r="M34" t="n">
        <v>0</v>
      </c>
      <c r="N34" t="n">
        <v>0</v>
      </c>
      <c r="O34" t="n">
        <v>9</v>
      </c>
      <c r="P34" t="n">
        <v>5</v>
      </c>
      <c r="Q34" t="n">
        <v>15</v>
      </c>
      <c r="R34" s="2" t="inlineStr">
        <is>
          <t>Almlav
Mörk lundlav
Blek kraterlav
Mörk kraterlav
Ädellav
Hjälmbrosklav
Lunglav
Rosa skärelav
Skuggorangelav
Guldlockmossa
Gulpudrad spiklav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27759-2026</t>
        </is>
      </c>
      <c r="B35" s="1" t="n">
        <v>46191</v>
      </c>
      <c r="C35" s="1" t="n">
        <v>46193</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c r="Z35">
        <f>HYPERLINK("https://klasma.github.io/Logging_0980/fåglar/A 27759-2026 prioriterade fågelarter.docx", "A 27759-2026")</f>
        <v/>
      </c>
    </row>
    <row r="36" ht="15" customHeight="1">
      <c r="A36" t="inlineStr">
        <is>
          <t>A 44928-2022</t>
        </is>
      </c>
      <c r="B36" s="1" t="n">
        <v>44841</v>
      </c>
      <c r="C36" s="1" t="n">
        <v>46193</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33153-2024</t>
        </is>
      </c>
      <c r="B37" s="1" t="n">
        <v>45518</v>
      </c>
      <c r="C37" s="1" t="n">
        <v>46193</v>
      </c>
      <c r="D37" t="inlineStr">
        <is>
          <t>GOTLANDS LÄN</t>
        </is>
      </c>
      <c r="E37" t="inlineStr">
        <is>
          <t>GOTLAND</t>
        </is>
      </c>
      <c r="G37" t="n">
        <v>10.3</v>
      </c>
      <c r="H37" t="n">
        <v>3</v>
      </c>
      <c r="I37" t="n">
        <v>8</v>
      </c>
      <c r="J37" t="n">
        <v>5</v>
      </c>
      <c r="K37" t="n">
        <v>1</v>
      </c>
      <c r="L37" t="n">
        <v>0</v>
      </c>
      <c r="M37" t="n">
        <v>0</v>
      </c>
      <c r="N37" t="n">
        <v>0</v>
      </c>
      <c r="O37" t="n">
        <v>6</v>
      </c>
      <c r="P37" t="n">
        <v>1</v>
      </c>
      <c r="Q37" t="n">
        <v>14</v>
      </c>
      <c r="R37" s="2" t="inlineStr">
        <is>
          <t>Duvspindling
Blå slemspindling
Flattoppad klubbsvamp
Jordtistel
Odörspindling
Solvända
Nästrot
Rödgul trumpetsvamp
Skogsknipprot
Strimspindling
Strävlosta
Svavelriska
Vit skogslilja
Zontaggsvamp</t>
        </is>
      </c>
      <c r="S37">
        <f>HYPERLINK("https://klasma.github.io/Logging_0980/artfynd/A 33153-2024 artfynd.xlsx", "A 33153-2024")</f>
        <v/>
      </c>
      <c r="T37">
        <f>HYPERLINK("https://klasma.github.io/Logging_0980/kartor/A 33153-2024 karta.png", "A 33153-2024")</f>
        <v/>
      </c>
      <c r="U37">
        <f>HYPERLINK("https://klasma.github.io/Logging_0980/knärot/A 33153-2024 karta knärot.png", "A 33153-2024")</f>
        <v/>
      </c>
      <c r="V37">
        <f>HYPERLINK("https://klasma.github.io/Logging_0980/klagomål/A 33153-2024 FSC-klagomål.docx", "A 33153-2024")</f>
        <v/>
      </c>
      <c r="W37">
        <f>HYPERLINK("https://klasma.github.io/Logging_0980/klagomålsmail/A 33153-2024 FSC-klagomål mail.docx", "A 33153-2024")</f>
        <v/>
      </c>
      <c r="X37">
        <f>HYPERLINK("https://klasma.github.io/Logging_0980/tillsyn/A 33153-2024 tillsynsbegäran.docx", "A 33153-2024")</f>
        <v/>
      </c>
      <c r="Y37">
        <f>HYPERLINK("https://klasma.github.io/Logging_0980/tillsynsmail/A 33153-2024 tillsynsbegäran mail.docx", "A 33153-2024")</f>
        <v/>
      </c>
    </row>
    <row r="38" ht="15" customHeight="1">
      <c r="A38" t="inlineStr">
        <is>
          <t>A 11176-2024</t>
        </is>
      </c>
      <c r="B38" s="1" t="n">
        <v>45371</v>
      </c>
      <c r="C38" s="1" t="n">
        <v>46193</v>
      </c>
      <c r="D38" t="inlineStr">
        <is>
          <t>GOTLANDS LÄN</t>
        </is>
      </c>
      <c r="E38" t="inlineStr">
        <is>
          <t>GOTLAND</t>
        </is>
      </c>
      <c r="G38" t="n">
        <v>1.7</v>
      </c>
      <c r="H38" t="n">
        <v>0</v>
      </c>
      <c r="I38" t="n">
        <v>4</v>
      </c>
      <c r="J38" t="n">
        <v>3</v>
      </c>
      <c r="K38" t="n">
        <v>7</v>
      </c>
      <c r="L38" t="n">
        <v>0</v>
      </c>
      <c r="M38" t="n">
        <v>0</v>
      </c>
      <c r="N38" t="n">
        <v>0</v>
      </c>
      <c r="O38" t="n">
        <v>10</v>
      </c>
      <c r="P38" t="n">
        <v>7</v>
      </c>
      <c r="Q38" t="n">
        <v>14</v>
      </c>
      <c r="R38" s="2" t="inlineStr">
        <is>
          <t>Granrotspindling
Gul lammticka
Gulsträngad fagerspindling
Svartgrön spindling
Tvillingspindling
Violettfläckig spindling
Vit taggsvamp
Bittermusseron
Blå slemspindling
Odörspindling
Anisspindling
Olivspindling
Rödbrun jordstjärna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44204-2022</t>
        </is>
      </c>
      <c r="B39" s="1" t="n">
        <v>44839</v>
      </c>
      <c r="C39" s="1" t="n">
        <v>46193</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27168-2022</t>
        </is>
      </c>
      <c r="B40" s="1" t="n">
        <v>44741</v>
      </c>
      <c r="C40" s="1" t="n">
        <v>46193</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46193</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28287-2024</t>
        </is>
      </c>
      <c r="B42" s="1" t="n">
        <v>45477</v>
      </c>
      <c r="C42" s="1" t="n">
        <v>46193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6052-2024</t>
        </is>
      </c>
      <c r="B43" s="1" t="n">
        <v>45336</v>
      </c>
      <c r="C43" s="1" t="n">
        <v>46193</v>
      </c>
      <c r="D43" t="inlineStr">
        <is>
          <t>GOTLANDS LÄN</t>
        </is>
      </c>
      <c r="E43" t="inlineStr">
        <is>
          <t>GOTLAND</t>
        </is>
      </c>
      <c r="G43" t="n">
        <v>10.3</v>
      </c>
      <c r="H43" t="n">
        <v>1</v>
      </c>
      <c r="I43" t="n">
        <v>3</v>
      </c>
      <c r="J43" t="n">
        <v>7</v>
      </c>
      <c r="K43" t="n">
        <v>2</v>
      </c>
      <c r="L43" t="n">
        <v>0</v>
      </c>
      <c r="M43" t="n">
        <v>0</v>
      </c>
      <c r="N43" t="n">
        <v>0</v>
      </c>
      <c r="O43" t="n">
        <v>9</v>
      </c>
      <c r="P43" t="n">
        <v>2</v>
      </c>
      <c r="Q43" t="n">
        <v>12</v>
      </c>
      <c r="R43" s="2" t="inlineStr">
        <is>
          <t>Lansettfibbla
Narrspindling
Ladlav
Odörspindling
Smedbock
Svinrot
Tallticka
Vippärt
Vårärt
Anisspindling
Nästrot
Olivspindling</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3324-2023</t>
        </is>
      </c>
      <c r="B44" s="1" t="n">
        <v>44949</v>
      </c>
      <c r="C44" s="1" t="n">
        <v>46193</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17766-2024</t>
        </is>
      </c>
      <c r="B45" s="1" t="n">
        <v>45418</v>
      </c>
      <c r="C45" s="1" t="n">
        <v>46193</v>
      </c>
      <c r="D45" t="inlineStr">
        <is>
          <t>GOTLANDS LÄN</t>
        </is>
      </c>
      <c r="E45" t="inlineStr">
        <is>
          <t>GOTLAND</t>
        </is>
      </c>
      <c r="G45" t="n">
        <v>1.3</v>
      </c>
      <c r="H45" t="n">
        <v>2</v>
      </c>
      <c r="I45" t="n">
        <v>3</v>
      </c>
      <c r="J45" t="n">
        <v>3</v>
      </c>
      <c r="K45" t="n">
        <v>5</v>
      </c>
      <c r="L45" t="n">
        <v>1</v>
      </c>
      <c r="M45" t="n">
        <v>0</v>
      </c>
      <c r="N45" t="n">
        <v>0</v>
      </c>
      <c r="O45" t="n">
        <v>9</v>
      </c>
      <c r="P45" t="n">
        <v>6</v>
      </c>
      <c r="Q45" t="n">
        <v>12</v>
      </c>
      <c r="R45" s="2" t="inlineStr">
        <is>
          <t>Svartnande fingersvamp
Bredbrämad bastardsvärmare
Gråfingerört
Gulsträngad fagerspindling
Naveljordstjärna
Svartfläckig blåvinge
Fyrflikig jordstjärna
Timjansnyltrot
Vippärt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46193</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46193</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46193</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46193</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46193</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46193</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4984-2025</t>
        </is>
      </c>
      <c r="B52" s="1" t="n">
        <v>45691</v>
      </c>
      <c r="C52" s="1" t="n">
        <v>46193</v>
      </c>
      <c r="D52" t="inlineStr">
        <is>
          <t>GOTLANDS LÄN</t>
        </is>
      </c>
      <c r="E52" t="inlineStr">
        <is>
          <t>GOTLAND</t>
        </is>
      </c>
      <c r="G52" t="n">
        <v>1.3</v>
      </c>
      <c r="H52" t="n">
        <v>6</v>
      </c>
      <c r="I52" t="n">
        <v>2</v>
      </c>
      <c r="J52" t="n">
        <v>4</v>
      </c>
      <c r="K52" t="n">
        <v>0</v>
      </c>
      <c r="L52" t="n">
        <v>0</v>
      </c>
      <c r="M52" t="n">
        <v>0</v>
      </c>
      <c r="N52" t="n">
        <v>0</v>
      </c>
      <c r="O52" t="n">
        <v>4</v>
      </c>
      <c r="P52" t="n">
        <v>0</v>
      </c>
      <c r="Q52" t="n">
        <v>10</v>
      </c>
      <c r="R52" s="2" t="inlineStr">
        <is>
          <t>Gulsparv
Jordtistel
Sminkrot
Svinrot
Grönpyrola
Tvåblad
Ärtsångare
Brudsporre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46193</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186-2023</t>
        </is>
      </c>
      <c r="B54" s="1" t="n">
        <v>44928</v>
      </c>
      <c r="C54" s="1" t="n">
        <v>46193</v>
      </c>
      <c r="D54" t="inlineStr">
        <is>
          <t>GOTLANDS LÄN</t>
        </is>
      </c>
      <c r="E54" t="inlineStr">
        <is>
          <t>GOTLAND</t>
        </is>
      </c>
      <c r="G54" t="n">
        <v>2.2</v>
      </c>
      <c r="H54" t="n">
        <v>2</v>
      </c>
      <c r="I54" t="n">
        <v>4</v>
      </c>
      <c r="J54" t="n">
        <v>4</v>
      </c>
      <c r="K54" t="n">
        <v>2</v>
      </c>
      <c r="L54" t="n">
        <v>0</v>
      </c>
      <c r="M54" t="n">
        <v>0</v>
      </c>
      <c r="N54" t="n">
        <v>0</v>
      </c>
      <c r="O54" t="n">
        <v>6</v>
      </c>
      <c r="P54" t="n">
        <v>2</v>
      </c>
      <c r="Q54" t="n">
        <v>10</v>
      </c>
      <c r="R54" s="2" t="inlineStr">
        <is>
          <t>Svartgrön spindling
Vit taggsvamp
Blå slemspindling
Bronspraktbagge
Odörspindling
Smedbock
Anisspindling
Mindre märgborre
Nästrot
Skogsknipprot</t>
        </is>
      </c>
      <c r="S54">
        <f>HYPERLINK("https://klasma.github.io/Logging_0980/artfynd/A 186-2023 artfynd.xlsx", "A 186-2023")</f>
        <v/>
      </c>
      <c r="T54">
        <f>HYPERLINK("https://klasma.github.io/Logging_0980/kartor/A 186-2023 karta.png", "A 186-2023")</f>
        <v/>
      </c>
      <c r="V54">
        <f>HYPERLINK("https://klasma.github.io/Logging_0980/klagomål/A 186-2023 FSC-klagomål.docx", "A 186-2023")</f>
        <v/>
      </c>
      <c r="W54">
        <f>HYPERLINK("https://klasma.github.io/Logging_0980/klagomålsmail/A 186-2023 FSC-klagomål mail.docx", "A 186-2023")</f>
        <v/>
      </c>
      <c r="X54">
        <f>HYPERLINK("https://klasma.github.io/Logging_0980/tillsyn/A 186-2023 tillsynsbegäran.docx", "A 186-2023")</f>
        <v/>
      </c>
      <c r="Y54">
        <f>HYPERLINK("https://klasma.github.io/Logging_0980/tillsynsmail/A 186-2023 tillsynsbegäran mail.docx", "A 186-2023")</f>
        <v/>
      </c>
    </row>
    <row r="55" ht="15" customHeight="1">
      <c r="A55" t="inlineStr">
        <is>
          <t>A 32326-2024</t>
        </is>
      </c>
      <c r="B55" s="1" t="n">
        <v>45512</v>
      </c>
      <c r="C55" s="1" t="n">
        <v>46193</v>
      </c>
      <c r="D55" t="inlineStr">
        <is>
          <t>GOTLANDS LÄN</t>
        </is>
      </c>
      <c r="E55" t="inlineStr">
        <is>
          <t>GOTLAND</t>
        </is>
      </c>
      <c r="G55" t="n">
        <v>9.199999999999999</v>
      </c>
      <c r="H55" t="n">
        <v>4</v>
      </c>
      <c r="I55" t="n">
        <v>2</v>
      </c>
      <c r="J55" t="n">
        <v>5</v>
      </c>
      <c r="K55" t="n">
        <v>1</v>
      </c>
      <c r="L55" t="n">
        <v>0</v>
      </c>
      <c r="M55" t="n">
        <v>0</v>
      </c>
      <c r="N55" t="n">
        <v>0</v>
      </c>
      <c r="O55" t="n">
        <v>6</v>
      </c>
      <c r="P55" t="n">
        <v>1</v>
      </c>
      <c r="Q55" t="n">
        <v>10</v>
      </c>
      <c r="R55" s="2" t="inlineStr">
        <is>
          <t>Tallgångbagge
Backruta
Backtimjan
Jordtistel
Svinrot
Säfferot
Purpurknipprot
Skogsknipprot
Nattskärra
Brudsporre</t>
        </is>
      </c>
      <c r="S55">
        <f>HYPERLINK("https://klasma.github.io/Logging_0980/artfynd/A 32326-2024 artfynd.xlsx", "A 32326-2024")</f>
        <v/>
      </c>
      <c r="T55">
        <f>HYPERLINK("https://klasma.github.io/Logging_0980/kartor/A 32326-2024 karta.png", "A 32326-2024")</f>
        <v/>
      </c>
      <c r="V55">
        <f>HYPERLINK("https://klasma.github.io/Logging_0980/klagomål/A 32326-2024 FSC-klagomål.docx", "A 32326-2024")</f>
        <v/>
      </c>
      <c r="W55">
        <f>HYPERLINK("https://klasma.github.io/Logging_0980/klagomålsmail/A 32326-2024 FSC-klagomål mail.docx", "A 32326-2024")</f>
        <v/>
      </c>
      <c r="X55">
        <f>HYPERLINK("https://klasma.github.io/Logging_0980/tillsyn/A 32326-2024 tillsynsbegäran.docx", "A 32326-2024")</f>
        <v/>
      </c>
      <c r="Y55">
        <f>HYPERLINK("https://klasma.github.io/Logging_0980/tillsynsmail/A 32326-2024 tillsynsbegäran mail.docx", "A 32326-2024")</f>
        <v/>
      </c>
      <c r="Z55">
        <f>HYPERLINK("https://klasma.github.io/Logging_0980/fåglar/A 32326-2024 prioriterade fågelarter.docx", "A 32326-2024")</f>
        <v/>
      </c>
    </row>
    <row r="56" ht="15" customHeight="1">
      <c r="A56" t="inlineStr">
        <is>
          <t>A 44944-2022</t>
        </is>
      </c>
      <c r="B56" s="1" t="n">
        <v>44841</v>
      </c>
      <c r="C56" s="1" t="n">
        <v>46193</v>
      </c>
      <c r="D56" t="inlineStr">
        <is>
          <t>GOTLANDS LÄN</t>
        </is>
      </c>
      <c r="E56" t="inlineStr">
        <is>
          <t>GOTLAND</t>
        </is>
      </c>
      <c r="G56" t="n">
        <v>2.8</v>
      </c>
      <c r="H56" t="n">
        <v>0</v>
      </c>
      <c r="I56" t="n">
        <v>3</v>
      </c>
      <c r="J56" t="n">
        <v>4</v>
      </c>
      <c r="K56" t="n">
        <v>2</v>
      </c>
      <c r="L56" t="n">
        <v>1</v>
      </c>
      <c r="M56" t="n">
        <v>0</v>
      </c>
      <c r="N56" t="n">
        <v>0</v>
      </c>
      <c r="O56" t="n">
        <v>7</v>
      </c>
      <c r="P56" t="n">
        <v>3</v>
      </c>
      <c r="Q56" t="n">
        <v>10</v>
      </c>
      <c r="R56" s="2" t="inlineStr">
        <is>
          <t>Sienamusseron
Bredbrämad bastardsvärmare
Gotlandsmåra
Axveronika
Denisespindling
Fjällig taggsvamp s.str.
Odörspindling
Anisspindling
Olivspindling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22404-2024</t>
        </is>
      </c>
      <c r="B57" s="1" t="n">
        <v>45446</v>
      </c>
      <c r="C57" s="1" t="n">
        <v>46193</v>
      </c>
      <c r="D57" t="inlineStr">
        <is>
          <t>GOTLANDS LÄN</t>
        </is>
      </c>
      <c r="E57" t="inlineStr">
        <is>
          <t>GOTLAND</t>
        </is>
      </c>
      <c r="G57" t="n">
        <v>11.4</v>
      </c>
      <c r="H57" t="n">
        <v>3</v>
      </c>
      <c r="I57" t="n">
        <v>5</v>
      </c>
      <c r="J57" t="n">
        <v>2</v>
      </c>
      <c r="K57" t="n">
        <v>3</v>
      </c>
      <c r="L57" t="n">
        <v>0</v>
      </c>
      <c r="M57" t="n">
        <v>0</v>
      </c>
      <c r="N57" t="n">
        <v>0</v>
      </c>
      <c r="O57" t="n">
        <v>5</v>
      </c>
      <c r="P57" t="n">
        <v>3</v>
      </c>
      <c r="Q57" t="n">
        <v>10</v>
      </c>
      <c r="R57" s="2" t="inlineStr">
        <is>
          <t>Blåfotad fagerspindling
Bullspindling
Vit taggsvamp
Barrfagerspindling
Blå slemspindling
Flugblomster
Purpurknipprot
Rödgul trumpetsvamp
Svavelriska
Tvåblad</t>
        </is>
      </c>
      <c r="S57">
        <f>HYPERLINK("https://klasma.github.io/Logging_0980/artfynd/A 22404-2024 artfynd.xlsx", "A 22404-2024")</f>
        <v/>
      </c>
      <c r="T57">
        <f>HYPERLINK("https://klasma.github.io/Logging_0980/kartor/A 22404-2024 karta.png", "A 22404-2024")</f>
        <v/>
      </c>
      <c r="V57">
        <f>HYPERLINK("https://klasma.github.io/Logging_0980/klagomål/A 22404-2024 FSC-klagomål.docx", "A 22404-2024")</f>
        <v/>
      </c>
      <c r="W57">
        <f>HYPERLINK("https://klasma.github.io/Logging_0980/klagomålsmail/A 22404-2024 FSC-klagomål mail.docx", "A 22404-2024")</f>
        <v/>
      </c>
      <c r="X57">
        <f>HYPERLINK("https://klasma.github.io/Logging_0980/tillsyn/A 22404-2024 tillsynsbegäran.docx", "A 22404-2024")</f>
        <v/>
      </c>
      <c r="Y57">
        <f>HYPERLINK("https://klasma.github.io/Logging_0980/tillsynsmail/A 22404-2024 tillsynsbegäran mail.docx", "A 22404-2024")</f>
        <v/>
      </c>
    </row>
    <row r="58" ht="15" customHeight="1">
      <c r="A58" t="inlineStr">
        <is>
          <t>A 45248-2024</t>
        </is>
      </c>
      <c r="B58" s="1" t="n">
        <v>45576</v>
      </c>
      <c r="C58" s="1" t="n">
        <v>46193</v>
      </c>
      <c r="D58" t="inlineStr">
        <is>
          <t>GOTLANDS LÄN</t>
        </is>
      </c>
      <c r="E58" t="inlineStr">
        <is>
          <t>GOTLAND</t>
        </is>
      </c>
      <c r="G58" t="n">
        <v>9.4</v>
      </c>
      <c r="H58" t="n">
        <v>0</v>
      </c>
      <c r="I58" t="n">
        <v>5</v>
      </c>
      <c r="J58" t="n">
        <v>3</v>
      </c>
      <c r="K58" t="n">
        <v>0</v>
      </c>
      <c r="L58" t="n">
        <v>2</v>
      </c>
      <c r="M58" t="n">
        <v>0</v>
      </c>
      <c r="N58" t="n">
        <v>0</v>
      </c>
      <c r="O58" t="n">
        <v>5</v>
      </c>
      <c r="P58" t="n">
        <v>2</v>
      </c>
      <c r="Q58" t="n">
        <v>10</v>
      </c>
      <c r="R58" s="2" t="inlineStr">
        <is>
          <t>Ask
Lundalm
Blå slemspindling
Mjölspindling
Oxtungssvamp
Bolmörtsskivling
Myskmadra
Stinkbrosking
Toppvaxing
Underviol</t>
        </is>
      </c>
      <c r="S58">
        <f>HYPERLINK("https://klasma.github.io/Logging_0980/artfynd/A 45248-2024 artfynd.xlsx", "A 45248-2024")</f>
        <v/>
      </c>
      <c r="T58">
        <f>HYPERLINK("https://klasma.github.io/Logging_0980/kartor/A 45248-2024 karta.png", "A 45248-2024")</f>
        <v/>
      </c>
      <c r="V58">
        <f>HYPERLINK("https://klasma.github.io/Logging_0980/klagomål/A 45248-2024 FSC-klagomål.docx", "A 45248-2024")</f>
        <v/>
      </c>
      <c r="W58">
        <f>HYPERLINK("https://klasma.github.io/Logging_0980/klagomålsmail/A 45248-2024 FSC-klagomål mail.docx", "A 45248-2024")</f>
        <v/>
      </c>
      <c r="X58">
        <f>HYPERLINK("https://klasma.github.io/Logging_0980/tillsyn/A 45248-2024 tillsynsbegäran.docx", "A 45248-2024")</f>
        <v/>
      </c>
      <c r="Y58">
        <f>HYPERLINK("https://klasma.github.io/Logging_0980/tillsynsmail/A 45248-2024 tillsynsbegäran mail.docx", "A 45248-2024")</f>
        <v/>
      </c>
    </row>
    <row r="59" ht="15" customHeight="1">
      <c r="A59" t="inlineStr">
        <is>
          <t>A 55649-2024</t>
        </is>
      </c>
      <c r="B59" s="1" t="n">
        <v>45622</v>
      </c>
      <c r="C59" s="1" t="n">
        <v>46193</v>
      </c>
      <c r="D59" t="inlineStr">
        <is>
          <t>GOTLANDS LÄN</t>
        </is>
      </c>
      <c r="E59" t="inlineStr">
        <is>
          <t>GOTLAND</t>
        </is>
      </c>
      <c r="G59" t="n">
        <v>4.6</v>
      </c>
      <c r="H59" t="n">
        <v>3</v>
      </c>
      <c r="I59" t="n">
        <v>1</v>
      </c>
      <c r="J59" t="n">
        <v>6</v>
      </c>
      <c r="K59" t="n">
        <v>0</v>
      </c>
      <c r="L59" t="n">
        <v>0</v>
      </c>
      <c r="M59" t="n">
        <v>0</v>
      </c>
      <c r="N59" t="n">
        <v>0</v>
      </c>
      <c r="O59" t="n">
        <v>6</v>
      </c>
      <c r="P59" t="n">
        <v>0</v>
      </c>
      <c r="Q59" t="n">
        <v>10</v>
      </c>
      <c r="R59" s="2" t="inlineStr">
        <is>
          <t>Backtimjan
Jordtistel
Jungfrulin
Solvända
Svinrot
Ängsnätfjäril
Guldlockmossa
Blåsippa
Sankt pers nycklar
Gullviva</t>
        </is>
      </c>
      <c r="S59">
        <f>HYPERLINK("https://klasma.github.io/Logging_0980/artfynd/A 55649-2024 artfynd.xlsx", "A 55649-2024")</f>
        <v/>
      </c>
      <c r="T59">
        <f>HYPERLINK("https://klasma.github.io/Logging_0980/kartor/A 55649-2024 karta.png", "A 55649-2024")</f>
        <v/>
      </c>
      <c r="V59">
        <f>HYPERLINK("https://klasma.github.io/Logging_0980/klagomål/A 55649-2024 FSC-klagomål.docx", "A 55649-2024")</f>
        <v/>
      </c>
      <c r="W59">
        <f>HYPERLINK("https://klasma.github.io/Logging_0980/klagomålsmail/A 55649-2024 FSC-klagomål mail.docx", "A 55649-2024")</f>
        <v/>
      </c>
      <c r="X59">
        <f>HYPERLINK("https://klasma.github.io/Logging_0980/tillsyn/A 55649-2024 tillsynsbegäran.docx", "A 55649-2024")</f>
        <v/>
      </c>
      <c r="Y59">
        <f>HYPERLINK("https://klasma.github.io/Logging_0980/tillsynsmail/A 55649-2024 tillsynsbegäran mail.docx", "A 55649-2024")</f>
        <v/>
      </c>
    </row>
    <row r="60" ht="15" customHeight="1">
      <c r="A60" t="inlineStr">
        <is>
          <t>A 63149-2025</t>
        </is>
      </c>
      <c r="B60" s="1" t="n">
        <v>46010</v>
      </c>
      <c r="C60" s="1" t="n">
        <v>46193</v>
      </c>
      <c r="D60" t="inlineStr">
        <is>
          <t>GOTLANDS LÄN</t>
        </is>
      </c>
      <c r="E60" t="inlineStr">
        <is>
          <t>GOTLAND</t>
        </is>
      </c>
      <c r="G60" t="n">
        <v>4.3</v>
      </c>
      <c r="H60" t="n">
        <v>4</v>
      </c>
      <c r="I60" t="n">
        <v>2</v>
      </c>
      <c r="J60" t="n">
        <v>5</v>
      </c>
      <c r="K60" t="n">
        <v>0</v>
      </c>
      <c r="L60" t="n">
        <v>0</v>
      </c>
      <c r="M60" t="n">
        <v>0</v>
      </c>
      <c r="N60" t="n">
        <v>0</v>
      </c>
      <c r="O60" t="n">
        <v>5</v>
      </c>
      <c r="P60" t="n">
        <v>0</v>
      </c>
      <c r="Q60" t="n">
        <v>10</v>
      </c>
      <c r="R60" s="2" t="inlineStr">
        <is>
          <t>Backtimjan
Berggräsfjäril
Gulsparv
Solvända
Svinrot
Anisspindling
Skogsknipprot
Ormbär
Spillkråka
Sankt pers nycklar</t>
        </is>
      </c>
      <c r="S60">
        <f>HYPERLINK("https://klasma.github.io/Logging_0980/artfynd/A 63149-2025 artfynd.xlsx", "A 63149-2025")</f>
        <v/>
      </c>
      <c r="T60">
        <f>HYPERLINK("https://klasma.github.io/Logging_0980/kartor/A 63149-2025 karta.png", "A 63149-2025")</f>
        <v/>
      </c>
      <c r="V60">
        <f>HYPERLINK("https://klasma.github.io/Logging_0980/klagomål/A 63149-2025 FSC-klagomål.docx", "A 63149-2025")</f>
        <v/>
      </c>
      <c r="W60">
        <f>HYPERLINK("https://klasma.github.io/Logging_0980/klagomålsmail/A 63149-2025 FSC-klagomål mail.docx", "A 63149-2025")</f>
        <v/>
      </c>
      <c r="X60">
        <f>HYPERLINK("https://klasma.github.io/Logging_0980/tillsyn/A 63149-2025 tillsynsbegäran.docx", "A 63149-2025")</f>
        <v/>
      </c>
      <c r="Y60">
        <f>HYPERLINK("https://klasma.github.io/Logging_0980/tillsynsmail/A 63149-2025 tillsynsbegäran mail.docx", "A 63149-2025")</f>
        <v/>
      </c>
      <c r="Z60">
        <f>HYPERLINK("https://klasma.github.io/Logging_0980/fåglar/A 63149-2025 prioriterade fågelarter.docx", "A 63149-2025")</f>
        <v/>
      </c>
    </row>
    <row r="61" ht="15" customHeight="1">
      <c r="A61" t="inlineStr">
        <is>
          <t>A 1769-2022</t>
        </is>
      </c>
      <c r="B61" s="1" t="n">
        <v>44574</v>
      </c>
      <c r="C61" s="1" t="n">
        <v>46193</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46193</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7039-2023</t>
        </is>
      </c>
      <c r="B63" s="1" t="n">
        <v>44968</v>
      </c>
      <c r="C63" s="1" t="n">
        <v>46193</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46193</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1971-2023</t>
        </is>
      </c>
      <c r="B65" s="1" t="n">
        <v>44939</v>
      </c>
      <c r="C65" s="1" t="n">
        <v>46193</v>
      </c>
      <c r="D65" t="inlineStr">
        <is>
          <t>GOTLANDS LÄN</t>
        </is>
      </c>
      <c r="E65" t="inlineStr">
        <is>
          <t>GOTLAND</t>
        </is>
      </c>
      <c r="G65" t="n">
        <v>5.5</v>
      </c>
      <c r="H65" t="n">
        <v>0</v>
      </c>
      <c r="I65" t="n">
        <v>3</v>
      </c>
      <c r="J65" t="n">
        <v>3</v>
      </c>
      <c r="K65" t="n">
        <v>2</v>
      </c>
      <c r="L65" t="n">
        <v>0</v>
      </c>
      <c r="M65" t="n">
        <v>0</v>
      </c>
      <c r="N65" t="n">
        <v>0</v>
      </c>
      <c r="O65" t="n">
        <v>5</v>
      </c>
      <c r="P65" t="n">
        <v>2</v>
      </c>
      <c r="Q65" t="n">
        <v>8</v>
      </c>
      <c r="R65" s="2" t="inlineStr">
        <is>
          <t>Granrotspindling
Gulsträngad fagerspindling
Fjällig taggsvamp s.str.
Sandviol
Svinrot
Blomkålssvamp
Olivspindling
Rödbrun jordstjärna</t>
        </is>
      </c>
      <c r="S65">
        <f>HYPERLINK("https://klasma.github.io/Logging_0980/artfynd/A 1971-2023 artfynd.xlsx", "A 1971-2023")</f>
        <v/>
      </c>
      <c r="T65">
        <f>HYPERLINK("https://klasma.github.io/Logging_0980/kartor/A 1971-2023 karta.png", "A 1971-2023")</f>
        <v/>
      </c>
      <c r="V65">
        <f>HYPERLINK("https://klasma.github.io/Logging_0980/klagomål/A 1971-2023 FSC-klagomål.docx", "A 1971-2023")</f>
        <v/>
      </c>
      <c r="W65">
        <f>HYPERLINK("https://klasma.github.io/Logging_0980/klagomålsmail/A 1971-2023 FSC-klagomål mail.docx", "A 1971-2023")</f>
        <v/>
      </c>
      <c r="X65">
        <f>HYPERLINK("https://klasma.github.io/Logging_0980/tillsyn/A 1971-2023 tillsynsbegäran.docx", "A 1971-2023")</f>
        <v/>
      </c>
      <c r="Y65">
        <f>HYPERLINK("https://klasma.github.io/Logging_0980/tillsynsmail/A 1971-2023 tillsynsbegäran mail.docx", "A 1971-2023")</f>
        <v/>
      </c>
    </row>
    <row r="66" ht="15" customHeight="1">
      <c r="A66" t="inlineStr">
        <is>
          <t>A 54527-2023</t>
        </is>
      </c>
      <c r="B66" s="1" t="n">
        <v>45233</v>
      </c>
      <c r="C66" s="1" t="n">
        <v>46193</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44308-2021</t>
        </is>
      </c>
      <c r="B67" s="1" t="n">
        <v>44434</v>
      </c>
      <c r="C67" s="1" t="n">
        <v>46193</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46193</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7038-2023</t>
        </is>
      </c>
      <c r="B69" s="1" t="n">
        <v>44968</v>
      </c>
      <c r="C69" s="1" t="n">
        <v>46193</v>
      </c>
      <c r="D69" t="inlineStr">
        <is>
          <t>GOTLANDS LÄN</t>
        </is>
      </c>
      <c r="E69" t="inlineStr">
        <is>
          <t>GOTLAND</t>
        </is>
      </c>
      <c r="G69" t="n">
        <v>5.2</v>
      </c>
      <c r="H69" t="n">
        <v>1</v>
      </c>
      <c r="I69" t="n">
        <v>2</v>
      </c>
      <c r="J69" t="n">
        <v>1</v>
      </c>
      <c r="K69" t="n">
        <v>2</v>
      </c>
      <c r="L69" t="n">
        <v>1</v>
      </c>
      <c r="M69" t="n">
        <v>0</v>
      </c>
      <c r="N69" t="n">
        <v>0</v>
      </c>
      <c r="O69" t="n">
        <v>6</v>
      </c>
      <c r="P69" t="n">
        <v>3</v>
      </c>
      <c r="Q69" t="n">
        <v>8</v>
      </c>
      <c r="R69" s="2" t="inlineStr">
        <is>
          <t>Liten ädellav
Tät korallorangelav
Ädellav
Dårgräsfjäril
Blemlavsklotter
Frostig asplav
Guldlockmossa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57773-2025</t>
        </is>
      </c>
      <c r="B70" s="1" t="n">
        <v>45981</v>
      </c>
      <c r="C70" s="1" t="n">
        <v>46193</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20831-2024</t>
        </is>
      </c>
      <c r="B71" s="1" t="n">
        <v>45439</v>
      </c>
      <c r="C71" s="1" t="n">
        <v>46193</v>
      </c>
      <c r="D71" t="inlineStr">
        <is>
          <t>GOTLANDS LÄN</t>
        </is>
      </c>
      <c r="E71" t="inlineStr">
        <is>
          <t>GOTLAND</t>
        </is>
      </c>
      <c r="G71" t="n">
        <v>2.9</v>
      </c>
      <c r="H71" t="n">
        <v>2</v>
      </c>
      <c r="I71" t="n">
        <v>1</v>
      </c>
      <c r="J71" t="n">
        <v>6</v>
      </c>
      <c r="K71" t="n">
        <v>1</v>
      </c>
      <c r="L71" t="n">
        <v>0</v>
      </c>
      <c r="M71" t="n">
        <v>0</v>
      </c>
      <c r="N71" t="n">
        <v>0</v>
      </c>
      <c r="O71" t="n">
        <v>7</v>
      </c>
      <c r="P71" t="n">
        <v>1</v>
      </c>
      <c r="Q71" t="n">
        <v>8</v>
      </c>
      <c r="R71" s="2" t="inlineStr">
        <is>
          <t>Vit taggsvamp
Axveronika
Backtimjan
Dårgräsfjäril
Jordtistel
Solvända
Svinrot
Skogsknipprot</t>
        </is>
      </c>
      <c r="S71">
        <f>HYPERLINK("https://klasma.github.io/Logging_0980/artfynd/A 20831-2024 artfynd.xlsx", "A 20831-2024")</f>
        <v/>
      </c>
      <c r="T71">
        <f>HYPERLINK("https://klasma.github.io/Logging_0980/kartor/A 20831-2024 karta.png", "A 20831-2024")</f>
        <v/>
      </c>
      <c r="V71">
        <f>HYPERLINK("https://klasma.github.io/Logging_0980/klagomål/A 20831-2024 FSC-klagomål.docx", "A 20831-2024")</f>
        <v/>
      </c>
      <c r="W71">
        <f>HYPERLINK("https://klasma.github.io/Logging_0980/klagomålsmail/A 20831-2024 FSC-klagomål mail.docx", "A 20831-2024")</f>
        <v/>
      </c>
      <c r="X71">
        <f>HYPERLINK("https://klasma.github.io/Logging_0980/tillsyn/A 20831-2024 tillsynsbegäran.docx", "A 20831-2024")</f>
        <v/>
      </c>
      <c r="Y71">
        <f>HYPERLINK("https://klasma.github.io/Logging_0980/tillsynsmail/A 20831-2024 tillsynsbegäran mail.docx", "A 20831-2024")</f>
        <v/>
      </c>
    </row>
    <row r="72" ht="15" customHeight="1">
      <c r="A72" t="inlineStr">
        <is>
          <t>A 6836-2026</t>
        </is>
      </c>
      <c r="B72" s="1" t="n">
        <v>46057</v>
      </c>
      <c r="C72" s="1" t="n">
        <v>46193</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51737-2021</t>
        </is>
      </c>
      <c r="B73" s="1" t="n">
        <v>44462</v>
      </c>
      <c r="C73" s="1" t="n">
        <v>46193</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46193</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6159-2023</t>
        </is>
      </c>
      <c r="B75" s="1" t="n">
        <v>44964</v>
      </c>
      <c r="C75" s="1" t="n">
        <v>46193</v>
      </c>
      <c r="D75" t="inlineStr">
        <is>
          <t>GOTLANDS LÄN</t>
        </is>
      </c>
      <c r="E75" t="inlineStr">
        <is>
          <t>GOTLAND</t>
        </is>
      </c>
      <c r="G75" t="n">
        <v>2</v>
      </c>
      <c r="H75" t="n">
        <v>0</v>
      </c>
      <c r="I75" t="n">
        <v>2</v>
      </c>
      <c r="J75" t="n">
        <v>2</v>
      </c>
      <c r="K75" t="n">
        <v>1</v>
      </c>
      <c r="L75" t="n">
        <v>1</v>
      </c>
      <c r="M75" t="n">
        <v>1</v>
      </c>
      <c r="N75" t="n">
        <v>0</v>
      </c>
      <c r="O75" t="n">
        <v>5</v>
      </c>
      <c r="P75" t="n">
        <v>3</v>
      </c>
      <c r="Q75" t="n">
        <v>7</v>
      </c>
      <c r="R75" s="2" t="inlineStr">
        <is>
          <t>Coniocarpon fallax
Knölig taggsvamp
Gyllenspindling
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10419-2025</t>
        </is>
      </c>
      <c r="B76" s="1" t="n">
        <v>45720</v>
      </c>
      <c r="C76" s="1" t="n">
        <v>46193</v>
      </c>
      <c r="D76" t="inlineStr">
        <is>
          <t>GOTLANDS LÄN</t>
        </is>
      </c>
      <c r="E76" t="inlineStr">
        <is>
          <t>GOTLAND</t>
        </is>
      </c>
      <c r="G76" t="n">
        <v>1.2</v>
      </c>
      <c r="H76" t="n">
        <v>0</v>
      </c>
      <c r="I76" t="n">
        <v>2</v>
      </c>
      <c r="J76" t="n">
        <v>3</v>
      </c>
      <c r="K76" t="n">
        <v>2</v>
      </c>
      <c r="L76" t="n">
        <v>0</v>
      </c>
      <c r="M76" t="n">
        <v>0</v>
      </c>
      <c r="N76" t="n">
        <v>0</v>
      </c>
      <c r="O76" t="n">
        <v>5</v>
      </c>
      <c r="P76" t="n">
        <v>2</v>
      </c>
      <c r="Q76" t="n">
        <v>7</v>
      </c>
      <c r="R76" s="2" t="inlineStr">
        <is>
          <t>Mörkfjällig olivspindling
Violettfläckig spindling
Blå slemspindling
Fjällig taggsvamp s.str.
Kryddspindling
Anisspindling
Olivspindling</t>
        </is>
      </c>
      <c r="S76">
        <f>HYPERLINK("https://klasma.github.io/Logging_0980/artfynd/A 10419-2025 artfynd.xlsx", "A 10419-2025")</f>
        <v/>
      </c>
      <c r="T76">
        <f>HYPERLINK("https://klasma.github.io/Logging_0980/kartor/A 10419-2025 karta.png", "A 10419-2025")</f>
        <v/>
      </c>
      <c r="V76">
        <f>HYPERLINK("https://klasma.github.io/Logging_0980/klagomål/A 10419-2025 FSC-klagomål.docx", "A 10419-2025")</f>
        <v/>
      </c>
      <c r="W76">
        <f>HYPERLINK("https://klasma.github.io/Logging_0980/klagomålsmail/A 10419-2025 FSC-klagomål mail.docx", "A 10419-2025")</f>
        <v/>
      </c>
      <c r="X76">
        <f>HYPERLINK("https://klasma.github.io/Logging_0980/tillsyn/A 10419-2025 tillsynsbegäran.docx", "A 10419-2025")</f>
        <v/>
      </c>
      <c r="Y76">
        <f>HYPERLINK("https://klasma.github.io/Logging_0980/tillsynsmail/A 10419-2025 tillsynsbegäran mail.docx", "A 10419-2025")</f>
        <v/>
      </c>
    </row>
    <row r="77" ht="15" customHeight="1">
      <c r="A77" t="inlineStr">
        <is>
          <t>A 26987-2026</t>
        </is>
      </c>
      <c r="B77" s="1" t="n">
        <v>46185</v>
      </c>
      <c r="C77" s="1" t="n">
        <v>46193</v>
      </c>
      <c r="D77" t="inlineStr">
        <is>
          <t>GOTLANDS LÄN</t>
        </is>
      </c>
      <c r="E77" t="inlineStr">
        <is>
          <t>GOTLAND</t>
        </is>
      </c>
      <c r="G77" t="n">
        <v>4.6</v>
      </c>
      <c r="H77" t="n">
        <v>1</v>
      </c>
      <c r="I77" t="n">
        <v>1</v>
      </c>
      <c r="J77" t="n">
        <v>4</v>
      </c>
      <c r="K77" t="n">
        <v>1</v>
      </c>
      <c r="L77" t="n">
        <v>0</v>
      </c>
      <c r="M77" t="n">
        <v>0</v>
      </c>
      <c r="N77" t="n">
        <v>0</v>
      </c>
      <c r="O77" t="n">
        <v>5</v>
      </c>
      <c r="P77" t="n">
        <v>1</v>
      </c>
      <c r="Q77" t="n">
        <v>7</v>
      </c>
      <c r="R77" s="2" t="inlineStr">
        <is>
          <t>Granrotspindling
Backtimjan
Blå slemspindling
Odörspindling
Solvända
Svavelriska
Spillkråka</t>
        </is>
      </c>
      <c r="S77">
        <f>HYPERLINK("https://klasma.github.io/Logging_0980/artfynd/A 26987-2026 artfynd.xlsx", "A 26987-2026")</f>
        <v/>
      </c>
      <c r="T77">
        <f>HYPERLINK("https://klasma.github.io/Logging_0980/kartor/A 26987-2026 karta.png", "A 26987-2026")</f>
        <v/>
      </c>
      <c r="V77">
        <f>HYPERLINK("https://klasma.github.io/Logging_0980/klagomål/A 26987-2026 FSC-klagomål.docx", "A 26987-2026")</f>
        <v/>
      </c>
      <c r="W77">
        <f>HYPERLINK("https://klasma.github.io/Logging_0980/klagomålsmail/A 26987-2026 FSC-klagomål mail.docx", "A 26987-2026")</f>
        <v/>
      </c>
      <c r="X77">
        <f>HYPERLINK("https://klasma.github.io/Logging_0980/tillsyn/A 26987-2026 tillsynsbegäran.docx", "A 26987-2026")</f>
        <v/>
      </c>
      <c r="Y77">
        <f>HYPERLINK("https://klasma.github.io/Logging_0980/tillsynsmail/A 26987-2026 tillsynsbegäran mail.docx", "A 26987-2026")</f>
        <v/>
      </c>
      <c r="Z77">
        <f>HYPERLINK("https://klasma.github.io/Logging_0980/fåglar/A 26987-2026 prioriterade fågelarter.docx", "A 26987-2026")</f>
        <v/>
      </c>
    </row>
    <row r="78" ht="15" customHeight="1">
      <c r="A78" t="inlineStr">
        <is>
          <t>A 35293-2025</t>
        </is>
      </c>
      <c r="B78" s="1" t="n">
        <v>45854</v>
      </c>
      <c r="C78" s="1" t="n">
        <v>46193</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34142-2024</t>
        </is>
      </c>
      <c r="B79" s="1" t="n">
        <v>45524</v>
      </c>
      <c r="C79" s="1" t="n">
        <v>46193</v>
      </c>
      <c r="D79" t="inlineStr">
        <is>
          <t>GOTLANDS LÄN</t>
        </is>
      </c>
      <c r="E79" t="inlineStr">
        <is>
          <t>GOTLAND</t>
        </is>
      </c>
      <c r="G79" t="n">
        <v>6</v>
      </c>
      <c r="H79" t="n">
        <v>1</v>
      </c>
      <c r="I79" t="n">
        <v>2</v>
      </c>
      <c r="J79" t="n">
        <v>3</v>
      </c>
      <c r="K79" t="n">
        <v>2</v>
      </c>
      <c r="L79" t="n">
        <v>0</v>
      </c>
      <c r="M79" t="n">
        <v>0</v>
      </c>
      <c r="N79" t="n">
        <v>0</v>
      </c>
      <c r="O79" t="n">
        <v>5</v>
      </c>
      <c r="P79" t="n">
        <v>2</v>
      </c>
      <c r="Q79" t="n">
        <v>7</v>
      </c>
      <c r="R79" s="2" t="inlineStr">
        <is>
          <t>Duvspindling
Igelkott
Blå slemspindling
Odörspindling
Rödfläckig zontaggsvamp
Anisspindling
Nästrot</t>
        </is>
      </c>
      <c r="S79">
        <f>HYPERLINK("https://klasma.github.io/Logging_0980/artfynd/A 34142-2024 artfynd.xlsx", "A 34142-2024")</f>
        <v/>
      </c>
      <c r="T79">
        <f>HYPERLINK("https://klasma.github.io/Logging_0980/kartor/A 34142-2024 karta.png", "A 34142-2024")</f>
        <v/>
      </c>
      <c r="V79">
        <f>HYPERLINK("https://klasma.github.io/Logging_0980/klagomål/A 34142-2024 FSC-klagomål.docx", "A 34142-2024")</f>
        <v/>
      </c>
      <c r="W79">
        <f>HYPERLINK("https://klasma.github.io/Logging_0980/klagomålsmail/A 34142-2024 FSC-klagomål mail.docx", "A 34142-2024")</f>
        <v/>
      </c>
      <c r="X79">
        <f>HYPERLINK("https://klasma.github.io/Logging_0980/tillsyn/A 34142-2024 tillsynsbegäran.docx", "A 34142-2024")</f>
        <v/>
      </c>
      <c r="Y79">
        <f>HYPERLINK("https://klasma.github.io/Logging_0980/tillsynsmail/A 34142-2024 tillsynsbegäran mail.docx", "A 34142-2024")</f>
        <v/>
      </c>
    </row>
    <row r="80" ht="15" customHeight="1">
      <c r="A80" t="inlineStr">
        <is>
          <t>A 48126-2022</t>
        </is>
      </c>
      <c r="B80" s="1" t="n">
        <v>44857</v>
      </c>
      <c r="C80" s="1" t="n">
        <v>46193</v>
      </c>
      <c r="D80" t="inlineStr">
        <is>
          <t>GOTLANDS LÄN</t>
        </is>
      </c>
      <c r="E80" t="inlineStr">
        <is>
          <t>GOTLAND</t>
        </is>
      </c>
      <c r="G80" t="n">
        <v>9.800000000000001</v>
      </c>
      <c r="H80" t="n">
        <v>3</v>
      </c>
      <c r="I80" t="n">
        <v>0</v>
      </c>
      <c r="J80" t="n">
        <v>3</v>
      </c>
      <c r="K80" t="n">
        <v>0</v>
      </c>
      <c r="L80" t="n">
        <v>0</v>
      </c>
      <c r="M80" t="n">
        <v>0</v>
      </c>
      <c r="N80" t="n">
        <v>0</v>
      </c>
      <c r="O80" t="n">
        <v>3</v>
      </c>
      <c r="P80" t="n">
        <v>0</v>
      </c>
      <c r="Q80" t="n">
        <v>6</v>
      </c>
      <c r="R80" s="2" t="inlineStr">
        <is>
          <t>Jordtistel
Jungfrulin
Svinrot
Spillkråka
Näktergal
Skogsduva</t>
        </is>
      </c>
      <c r="S80">
        <f>HYPERLINK("https://klasma.github.io/Logging_0980/artfynd/A 48126-2022 artfynd.xlsx", "A 48126-2022")</f>
        <v/>
      </c>
      <c r="T80">
        <f>HYPERLINK("https://klasma.github.io/Logging_0980/kartor/A 48126-2022 karta.png", "A 48126-2022")</f>
        <v/>
      </c>
      <c r="V80">
        <f>HYPERLINK("https://klasma.github.io/Logging_0980/klagomål/A 48126-2022 FSC-klagomål.docx", "A 48126-2022")</f>
        <v/>
      </c>
      <c r="W80">
        <f>HYPERLINK("https://klasma.github.io/Logging_0980/klagomålsmail/A 48126-2022 FSC-klagomål mail.docx", "A 48126-2022")</f>
        <v/>
      </c>
      <c r="X80">
        <f>HYPERLINK("https://klasma.github.io/Logging_0980/tillsyn/A 48126-2022 tillsynsbegäran.docx", "A 48126-2022")</f>
        <v/>
      </c>
      <c r="Y80">
        <f>HYPERLINK("https://klasma.github.io/Logging_0980/tillsynsmail/A 48126-2022 tillsynsbegäran mail.docx", "A 48126-2022")</f>
        <v/>
      </c>
      <c r="Z80">
        <f>HYPERLINK("https://klasma.github.io/Logging_0980/fåglar/A 48126-2022 prioriterade fågelarter.docx", "A 48126-2022")</f>
        <v/>
      </c>
    </row>
    <row r="81" ht="15" customHeight="1">
      <c r="A81" t="inlineStr">
        <is>
          <t>A 43200-2023</t>
        </is>
      </c>
      <c r="B81" s="1" t="n">
        <v>45183</v>
      </c>
      <c r="C81" s="1" t="n">
        <v>46193</v>
      </c>
      <c r="D81" t="inlineStr">
        <is>
          <t>GOTLANDS LÄN</t>
        </is>
      </c>
      <c r="E81" t="inlineStr">
        <is>
          <t>GOTLAND</t>
        </is>
      </c>
      <c r="G81" t="n">
        <v>0.5</v>
      </c>
      <c r="H81" t="n">
        <v>2</v>
      </c>
      <c r="I81" t="n">
        <v>3</v>
      </c>
      <c r="J81" t="n">
        <v>3</v>
      </c>
      <c r="K81" t="n">
        <v>0</v>
      </c>
      <c r="L81" t="n">
        <v>0</v>
      </c>
      <c r="M81" t="n">
        <v>0</v>
      </c>
      <c r="N81" t="n">
        <v>0</v>
      </c>
      <c r="O81" t="n">
        <v>3</v>
      </c>
      <c r="P81" t="n">
        <v>0</v>
      </c>
      <c r="Q81" t="n">
        <v>6</v>
      </c>
      <c r="R81" s="2" t="inlineStr">
        <is>
          <t>Kattfotslav
Sårläka
Vårärt
Kalktallört
Nästrot
Skogsknipprot</t>
        </is>
      </c>
      <c r="S81">
        <f>HYPERLINK("https://klasma.github.io/Logging_0980/artfynd/A 43200-2023 artfynd.xlsx", "A 43200-2023")</f>
        <v/>
      </c>
      <c r="T81">
        <f>HYPERLINK("https://klasma.github.io/Logging_0980/kartor/A 43200-2023 karta.png", "A 43200-2023")</f>
        <v/>
      </c>
      <c r="V81">
        <f>HYPERLINK("https://klasma.github.io/Logging_0980/klagomål/A 43200-2023 FSC-klagomål.docx", "A 43200-2023")</f>
        <v/>
      </c>
      <c r="W81">
        <f>HYPERLINK("https://klasma.github.io/Logging_0980/klagomålsmail/A 43200-2023 FSC-klagomål mail.docx", "A 43200-2023")</f>
        <v/>
      </c>
      <c r="X81">
        <f>HYPERLINK("https://klasma.github.io/Logging_0980/tillsyn/A 43200-2023 tillsynsbegäran.docx", "A 43200-2023")</f>
        <v/>
      </c>
      <c r="Y81">
        <f>HYPERLINK("https://klasma.github.io/Logging_0980/tillsynsmail/A 43200-2023 tillsynsbegäran mail.docx", "A 43200-2023")</f>
        <v/>
      </c>
    </row>
    <row r="82" ht="15" customHeight="1">
      <c r="A82" t="inlineStr">
        <is>
          <t>A 64208-2021</t>
        </is>
      </c>
      <c r="B82" s="1" t="n">
        <v>44510</v>
      </c>
      <c r="C82" s="1" t="n">
        <v>46193</v>
      </c>
      <c r="D82" t="inlineStr">
        <is>
          <t>GOTLANDS LÄN</t>
        </is>
      </c>
      <c r="E82" t="inlineStr">
        <is>
          <t>GOTLAND</t>
        </is>
      </c>
      <c r="G82" t="n">
        <v>4.7</v>
      </c>
      <c r="H82" t="n">
        <v>2</v>
      </c>
      <c r="I82" t="n">
        <v>0</v>
      </c>
      <c r="J82" t="n">
        <v>4</v>
      </c>
      <c r="K82" t="n">
        <v>1</v>
      </c>
      <c r="L82" t="n">
        <v>0</v>
      </c>
      <c r="M82" t="n">
        <v>0</v>
      </c>
      <c r="N82" t="n">
        <v>0</v>
      </c>
      <c r="O82" t="n">
        <v>5</v>
      </c>
      <c r="P82" t="n">
        <v>1</v>
      </c>
      <c r="Q82" t="n">
        <v>6</v>
      </c>
      <c r="R82" s="2" t="inlineStr">
        <is>
          <t>Svartfläckig blåvinge
Axveronika
Backtimjan
Jordtistel
Solvända
Alvarstånds</t>
        </is>
      </c>
      <c r="S82">
        <f>HYPERLINK("https://klasma.github.io/Logging_0980/artfynd/A 64208-2021 artfynd.xlsx", "A 64208-2021")</f>
        <v/>
      </c>
      <c r="T82">
        <f>HYPERLINK("https://klasma.github.io/Logging_0980/kartor/A 64208-2021 karta.png", "A 64208-2021")</f>
        <v/>
      </c>
      <c r="V82">
        <f>HYPERLINK("https://klasma.github.io/Logging_0980/klagomål/A 64208-2021 FSC-klagomål.docx", "A 64208-2021")</f>
        <v/>
      </c>
      <c r="W82">
        <f>HYPERLINK("https://klasma.github.io/Logging_0980/klagomålsmail/A 64208-2021 FSC-klagomål mail.docx", "A 64208-2021")</f>
        <v/>
      </c>
      <c r="X82">
        <f>HYPERLINK("https://klasma.github.io/Logging_0980/tillsyn/A 64208-2021 tillsynsbegäran.docx", "A 64208-2021")</f>
        <v/>
      </c>
      <c r="Y82">
        <f>HYPERLINK("https://klasma.github.io/Logging_0980/tillsynsmail/A 64208-2021 tillsynsbegäran mail.docx", "A 64208-2021")</f>
        <v/>
      </c>
    </row>
    <row r="83" ht="15" customHeight="1">
      <c r="A83" t="inlineStr">
        <is>
          <t>A 49709-2025</t>
        </is>
      </c>
      <c r="B83" s="1" t="n">
        <v>45939</v>
      </c>
      <c r="C83" s="1" t="n">
        <v>46193</v>
      </c>
      <c r="D83" t="inlineStr">
        <is>
          <t>GOTLANDS LÄN</t>
        </is>
      </c>
      <c r="E83" t="inlineStr">
        <is>
          <t>GOTLAND</t>
        </is>
      </c>
      <c r="G83" t="n">
        <v>10.2</v>
      </c>
      <c r="H83" t="n">
        <v>1</v>
      </c>
      <c r="I83" t="n">
        <v>3</v>
      </c>
      <c r="J83" t="n">
        <v>3</v>
      </c>
      <c r="K83" t="n">
        <v>0</v>
      </c>
      <c r="L83" t="n">
        <v>0</v>
      </c>
      <c r="M83" t="n">
        <v>0</v>
      </c>
      <c r="N83" t="n">
        <v>0</v>
      </c>
      <c r="O83" t="n">
        <v>3</v>
      </c>
      <c r="P83" t="n">
        <v>0</v>
      </c>
      <c r="Q83" t="n">
        <v>6</v>
      </c>
      <c r="R83" s="2" t="inlineStr">
        <is>
          <t>Mindre hackspett
Mörk dunört
Tallticka
Blåmossa
Grovticka
Kambräken</t>
        </is>
      </c>
      <c r="S83">
        <f>HYPERLINK("https://klasma.github.io/Logging_0980/artfynd/A 49709-2025 artfynd.xlsx", "A 49709-2025")</f>
        <v/>
      </c>
      <c r="T83">
        <f>HYPERLINK("https://klasma.github.io/Logging_0980/kartor/A 49709-2025 karta.png", "A 49709-2025")</f>
        <v/>
      </c>
      <c r="V83">
        <f>HYPERLINK("https://klasma.github.io/Logging_0980/klagomål/A 49709-2025 FSC-klagomål.docx", "A 49709-2025")</f>
        <v/>
      </c>
      <c r="W83">
        <f>HYPERLINK("https://klasma.github.io/Logging_0980/klagomålsmail/A 49709-2025 FSC-klagomål mail.docx", "A 49709-2025")</f>
        <v/>
      </c>
      <c r="X83">
        <f>HYPERLINK("https://klasma.github.io/Logging_0980/tillsyn/A 49709-2025 tillsynsbegäran.docx", "A 49709-2025")</f>
        <v/>
      </c>
      <c r="Y83">
        <f>HYPERLINK("https://klasma.github.io/Logging_0980/tillsynsmail/A 49709-2025 tillsynsbegäran mail.docx", "A 49709-2025")</f>
        <v/>
      </c>
      <c r="Z83">
        <f>HYPERLINK("https://klasma.github.io/Logging_0980/fåglar/A 49709-2025 prioriterade fågelarter.docx", "A 49709-2025")</f>
        <v/>
      </c>
    </row>
    <row r="84" ht="15" customHeight="1">
      <c r="A84" t="inlineStr">
        <is>
          <t>A 16823-2024</t>
        </is>
      </c>
      <c r="B84" s="1" t="n">
        <v>45411</v>
      </c>
      <c r="C84" s="1" t="n">
        <v>46193</v>
      </c>
      <c r="D84" t="inlineStr">
        <is>
          <t>GOTLANDS LÄN</t>
        </is>
      </c>
      <c r="E84" t="inlineStr">
        <is>
          <t>GOTLAND</t>
        </is>
      </c>
      <c r="G84" t="n">
        <v>25.4</v>
      </c>
      <c r="H84" t="n">
        <v>5</v>
      </c>
      <c r="I84" t="n">
        <v>1</v>
      </c>
      <c r="J84" t="n">
        <v>2</v>
      </c>
      <c r="K84" t="n">
        <v>0</v>
      </c>
      <c r="L84" t="n">
        <v>0</v>
      </c>
      <c r="M84" t="n">
        <v>0</v>
      </c>
      <c r="N84" t="n">
        <v>0</v>
      </c>
      <c r="O84" t="n">
        <v>2</v>
      </c>
      <c r="P84" t="n">
        <v>0</v>
      </c>
      <c r="Q84" t="n">
        <v>6</v>
      </c>
      <c r="R84" s="2" t="inlineStr">
        <is>
          <t>Gulsparv
Jordtistel
Flugblomster
Brudsporre
Johannesnycklar
Sankt pers nycklar</t>
        </is>
      </c>
      <c r="S84">
        <f>HYPERLINK("https://klasma.github.io/Logging_0980/artfynd/A 16823-2024 artfynd.xlsx", "A 16823-2024")</f>
        <v/>
      </c>
      <c r="T84">
        <f>HYPERLINK("https://klasma.github.io/Logging_0980/kartor/A 16823-2024 karta.png", "A 16823-2024")</f>
        <v/>
      </c>
      <c r="V84">
        <f>HYPERLINK("https://klasma.github.io/Logging_0980/klagomål/A 16823-2024 FSC-klagomål.docx", "A 16823-2024")</f>
        <v/>
      </c>
      <c r="W84">
        <f>HYPERLINK("https://klasma.github.io/Logging_0980/klagomålsmail/A 16823-2024 FSC-klagomål mail.docx", "A 16823-2024")</f>
        <v/>
      </c>
      <c r="X84">
        <f>HYPERLINK("https://klasma.github.io/Logging_0980/tillsyn/A 16823-2024 tillsynsbegäran.docx", "A 16823-2024")</f>
        <v/>
      </c>
      <c r="Y84">
        <f>HYPERLINK("https://klasma.github.io/Logging_0980/tillsynsmail/A 16823-2024 tillsynsbegäran mail.docx", "A 16823-2024")</f>
        <v/>
      </c>
      <c r="Z84">
        <f>HYPERLINK("https://klasma.github.io/Logging_0980/fåglar/A 16823-2024 prioriterade fågelarter.docx", "A 16823-2024")</f>
        <v/>
      </c>
    </row>
    <row r="85" ht="15" customHeight="1">
      <c r="A85" t="inlineStr">
        <is>
          <t>A 63152-2025</t>
        </is>
      </c>
      <c r="B85" s="1" t="n">
        <v>46010</v>
      </c>
      <c r="C85" s="1" t="n">
        <v>46193</v>
      </c>
      <c r="D85" t="inlineStr">
        <is>
          <t>GOTLANDS LÄN</t>
        </is>
      </c>
      <c r="E85" t="inlineStr">
        <is>
          <t>GOTLAND</t>
        </is>
      </c>
      <c r="G85" t="n">
        <v>1.5</v>
      </c>
      <c r="H85" t="n">
        <v>3</v>
      </c>
      <c r="I85" t="n">
        <v>1</v>
      </c>
      <c r="J85" t="n">
        <v>2</v>
      </c>
      <c r="K85" t="n">
        <v>0</v>
      </c>
      <c r="L85" t="n">
        <v>0</v>
      </c>
      <c r="M85" t="n">
        <v>0</v>
      </c>
      <c r="N85" t="n">
        <v>0</v>
      </c>
      <c r="O85" t="n">
        <v>2</v>
      </c>
      <c r="P85" t="n">
        <v>0</v>
      </c>
      <c r="Q85" t="n">
        <v>6</v>
      </c>
      <c r="R85" s="2" t="inlineStr">
        <is>
          <t>Berggräsfjäril
Svinrot
Nästrot
Spillkråka
Sälg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43197-2023</t>
        </is>
      </c>
      <c r="B86" s="1" t="n">
        <v>45183</v>
      </c>
      <c r="C86" s="1" t="n">
        <v>46193</v>
      </c>
      <c r="D86" t="inlineStr">
        <is>
          <t>GOTLANDS LÄN</t>
        </is>
      </c>
      <c r="E86" t="inlineStr">
        <is>
          <t>GOTLAND</t>
        </is>
      </c>
      <c r="G86" t="n">
        <v>3.7</v>
      </c>
      <c r="H86" t="n">
        <v>2</v>
      </c>
      <c r="I86" t="n">
        <v>1</v>
      </c>
      <c r="J86" t="n">
        <v>1</v>
      </c>
      <c r="K86" t="n">
        <v>1</v>
      </c>
      <c r="L86" t="n">
        <v>1</v>
      </c>
      <c r="M86" t="n">
        <v>0</v>
      </c>
      <c r="N86" t="n">
        <v>0</v>
      </c>
      <c r="O86" t="n">
        <v>3</v>
      </c>
      <c r="P86" t="n">
        <v>2</v>
      </c>
      <c r="Q86" t="n">
        <v>5</v>
      </c>
      <c r="R86" s="2" t="inlineStr">
        <is>
          <t>Ask
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42936-2024</t>
        </is>
      </c>
      <c r="B87" s="1" t="n">
        <v>45567</v>
      </c>
      <c r="C87" s="1" t="n">
        <v>46193</v>
      </c>
      <c r="D87" t="inlineStr">
        <is>
          <t>GOTLANDS LÄN</t>
        </is>
      </c>
      <c r="E87" t="inlineStr">
        <is>
          <t>GOTLAND</t>
        </is>
      </c>
      <c r="G87" t="n">
        <v>3.4</v>
      </c>
      <c r="H87" t="n">
        <v>0</v>
      </c>
      <c r="I87" t="n">
        <v>1</v>
      </c>
      <c r="J87" t="n">
        <v>3</v>
      </c>
      <c r="K87" t="n">
        <v>1</v>
      </c>
      <c r="L87" t="n">
        <v>0</v>
      </c>
      <c r="M87" t="n">
        <v>0</v>
      </c>
      <c r="N87" t="n">
        <v>0</v>
      </c>
      <c r="O87" t="n">
        <v>4</v>
      </c>
      <c r="P87" t="n">
        <v>1</v>
      </c>
      <c r="Q87" t="n">
        <v>5</v>
      </c>
      <c r="R87" s="2" t="inlineStr">
        <is>
          <t>Vit taggsvamp
Barrfagerspindling
Blå slemspindling
Äggspindling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5904-2024</t>
        </is>
      </c>
      <c r="B88" s="1" t="n">
        <v>45335</v>
      </c>
      <c r="C88" s="1" t="n">
        <v>46193</v>
      </c>
      <c r="D88" t="inlineStr">
        <is>
          <t>GOTLANDS LÄN</t>
        </is>
      </c>
      <c r="E88" t="inlineStr">
        <is>
          <t>GOTLAND</t>
        </is>
      </c>
      <c r="G88" t="n">
        <v>6.4</v>
      </c>
      <c r="H88" t="n">
        <v>1</v>
      </c>
      <c r="I88" t="n">
        <v>1</v>
      </c>
      <c r="J88" t="n">
        <v>3</v>
      </c>
      <c r="K88" t="n">
        <v>0</v>
      </c>
      <c r="L88" t="n">
        <v>0</v>
      </c>
      <c r="M88" t="n">
        <v>0</v>
      </c>
      <c r="N88" t="n">
        <v>0</v>
      </c>
      <c r="O88" t="n">
        <v>3</v>
      </c>
      <c r="P88" t="n">
        <v>0</v>
      </c>
      <c r="Q88" t="n">
        <v>5</v>
      </c>
      <c r="R88" s="2" t="inlineStr">
        <is>
          <t>Backstarr
Backtimjan
Kattfotslav
Blåmossa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8265-2023</t>
        </is>
      </c>
      <c r="B89" s="1" t="n">
        <v>44974</v>
      </c>
      <c r="C89" s="1" t="n">
        <v>46193</v>
      </c>
      <c r="D89" t="inlineStr">
        <is>
          <t>GOTLANDS LÄN</t>
        </is>
      </c>
      <c r="E89" t="inlineStr">
        <is>
          <t>GOTLAND</t>
        </is>
      </c>
      <c r="G89" t="n">
        <v>3.3</v>
      </c>
      <c r="H89" t="n">
        <v>4</v>
      </c>
      <c r="I89" t="n">
        <v>3</v>
      </c>
      <c r="J89" t="n">
        <v>1</v>
      </c>
      <c r="K89" t="n">
        <v>0</v>
      </c>
      <c r="L89" t="n">
        <v>0</v>
      </c>
      <c r="M89" t="n">
        <v>0</v>
      </c>
      <c r="N89" t="n">
        <v>0</v>
      </c>
      <c r="O89" t="n">
        <v>1</v>
      </c>
      <c r="P89" t="n">
        <v>0</v>
      </c>
      <c r="Q89" t="n">
        <v>5</v>
      </c>
      <c r="R89" s="2" t="inlineStr">
        <is>
          <t>Säfferot
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73144-2021</t>
        </is>
      </c>
      <c r="B90" s="1" t="n">
        <v>44550</v>
      </c>
      <c r="C90" s="1" t="n">
        <v>46193</v>
      </c>
      <c r="D90" t="inlineStr">
        <is>
          <t>GOTLANDS LÄN</t>
        </is>
      </c>
      <c r="E90" t="inlineStr">
        <is>
          <t>GOTLAND</t>
        </is>
      </c>
      <c r="G90" t="n">
        <v>1.9</v>
      </c>
      <c r="H90" t="n">
        <v>0</v>
      </c>
      <c r="I90" t="n">
        <v>1</v>
      </c>
      <c r="J90" t="n">
        <v>1</v>
      </c>
      <c r="K90" t="n">
        <v>3</v>
      </c>
      <c r="L90" t="n">
        <v>0</v>
      </c>
      <c r="M90" t="n">
        <v>0</v>
      </c>
      <c r="N90" t="n">
        <v>0</v>
      </c>
      <c r="O90" t="n">
        <v>4</v>
      </c>
      <c r="P90" t="n">
        <v>3</v>
      </c>
      <c r="Q90" t="n">
        <v>5</v>
      </c>
      <c r="R90" s="2" t="inlineStr">
        <is>
          <t>Igelkott
Skogskorn
Svartgrön spindling
Äggspindling
Kambräken</t>
        </is>
      </c>
      <c r="S90">
        <f>HYPERLINK("https://klasma.github.io/Logging_0980/artfynd/A 73144-2021 artfynd.xlsx", "A 73144-2021")</f>
        <v/>
      </c>
      <c r="T90">
        <f>HYPERLINK("https://klasma.github.io/Logging_0980/kartor/A 73144-2021 karta.png", "A 73144-2021")</f>
        <v/>
      </c>
      <c r="V90">
        <f>HYPERLINK("https://klasma.github.io/Logging_0980/klagomål/A 73144-2021 FSC-klagomål.docx", "A 73144-2021")</f>
        <v/>
      </c>
      <c r="W90">
        <f>HYPERLINK("https://klasma.github.io/Logging_0980/klagomålsmail/A 73144-2021 FSC-klagomål mail.docx", "A 73144-2021")</f>
        <v/>
      </c>
      <c r="X90">
        <f>HYPERLINK("https://klasma.github.io/Logging_0980/tillsyn/A 73144-2021 tillsynsbegäran.docx", "A 73144-2021")</f>
        <v/>
      </c>
      <c r="Y90">
        <f>HYPERLINK("https://klasma.github.io/Logging_0980/tillsynsmail/A 73144-2021 tillsynsbegäran mail.docx", "A 73144-2021")</f>
        <v/>
      </c>
    </row>
    <row r="91" ht="15" customHeight="1">
      <c r="A91" t="inlineStr">
        <is>
          <t>A 54055-2022</t>
        </is>
      </c>
      <c r="B91" s="1" t="n">
        <v>44881</v>
      </c>
      <c r="C91" s="1" t="n">
        <v>46193</v>
      </c>
      <c r="D91" t="inlineStr">
        <is>
          <t>GOTLANDS LÄN</t>
        </is>
      </c>
      <c r="E91" t="inlineStr">
        <is>
          <t>GOTLAND</t>
        </is>
      </c>
      <c r="G91" t="n">
        <v>4.6</v>
      </c>
      <c r="H91" t="n">
        <v>0</v>
      </c>
      <c r="I91" t="n">
        <v>2</v>
      </c>
      <c r="J91" t="n">
        <v>2</v>
      </c>
      <c r="K91" t="n">
        <v>1</v>
      </c>
      <c r="L91" t="n">
        <v>0</v>
      </c>
      <c r="M91" t="n">
        <v>0</v>
      </c>
      <c r="N91" t="n">
        <v>0</v>
      </c>
      <c r="O91" t="n">
        <v>3</v>
      </c>
      <c r="P91" t="n">
        <v>1</v>
      </c>
      <c r="Q91" t="n">
        <v>5</v>
      </c>
      <c r="R91" s="2" t="inlineStr">
        <is>
          <t>Duvspindling
Kryddspindling
Odörspindling
Diskvaxskivling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20838-2024</t>
        </is>
      </c>
      <c r="B92" s="1" t="n">
        <v>45439</v>
      </c>
      <c r="C92" s="1" t="n">
        <v>46193</v>
      </c>
      <c r="D92" t="inlineStr">
        <is>
          <t>GOTLANDS LÄN</t>
        </is>
      </c>
      <c r="E92" t="inlineStr">
        <is>
          <t>GOTLAND</t>
        </is>
      </c>
      <c r="G92" t="n">
        <v>0.7</v>
      </c>
      <c r="H92" t="n">
        <v>3</v>
      </c>
      <c r="I92" t="n">
        <v>2</v>
      </c>
      <c r="J92" t="n">
        <v>2</v>
      </c>
      <c r="K92" t="n">
        <v>0</v>
      </c>
      <c r="L92" t="n">
        <v>0</v>
      </c>
      <c r="M92" t="n">
        <v>0</v>
      </c>
      <c r="N92" t="n">
        <v>0</v>
      </c>
      <c r="O92" t="n">
        <v>2</v>
      </c>
      <c r="P92" t="n">
        <v>0</v>
      </c>
      <c r="Q92" t="n">
        <v>5</v>
      </c>
      <c r="R92" s="2" t="inlineStr">
        <is>
          <t>Backtimjan
Solvända
Skogsknipprot
Tvåblad
Spillkråka</t>
        </is>
      </c>
      <c r="S92">
        <f>HYPERLINK("https://klasma.github.io/Logging_0980/artfynd/A 20838-2024 artfynd.xlsx", "A 20838-2024")</f>
        <v/>
      </c>
      <c r="T92">
        <f>HYPERLINK("https://klasma.github.io/Logging_0980/kartor/A 20838-2024 karta.png", "A 20838-2024")</f>
        <v/>
      </c>
      <c r="V92">
        <f>HYPERLINK("https://klasma.github.io/Logging_0980/klagomål/A 20838-2024 FSC-klagomål.docx", "A 20838-2024")</f>
        <v/>
      </c>
      <c r="W92">
        <f>HYPERLINK("https://klasma.github.io/Logging_0980/klagomålsmail/A 20838-2024 FSC-klagomål mail.docx", "A 20838-2024")</f>
        <v/>
      </c>
      <c r="X92">
        <f>HYPERLINK("https://klasma.github.io/Logging_0980/tillsyn/A 20838-2024 tillsynsbegäran.docx", "A 20838-2024")</f>
        <v/>
      </c>
      <c r="Y92">
        <f>HYPERLINK("https://klasma.github.io/Logging_0980/tillsynsmail/A 20838-2024 tillsynsbegäran mail.docx", "A 20838-2024")</f>
        <v/>
      </c>
      <c r="Z92">
        <f>HYPERLINK("https://klasma.github.io/Logging_0980/fåglar/A 20838-2024 prioriterade fågelarter.docx", "A 20838-2024")</f>
        <v/>
      </c>
    </row>
    <row r="93" ht="15" customHeight="1">
      <c r="A93" t="inlineStr">
        <is>
          <t>A 446-2023</t>
        </is>
      </c>
      <c r="B93" s="1" t="n">
        <v>44929</v>
      </c>
      <c r="C93" s="1" t="n">
        <v>46193</v>
      </c>
      <c r="D93" t="inlineStr">
        <is>
          <t>GOTLANDS LÄN</t>
        </is>
      </c>
      <c r="E93" t="inlineStr">
        <is>
          <t>GOTLAND</t>
        </is>
      </c>
      <c r="G93" t="n">
        <v>7.1</v>
      </c>
      <c r="H93" t="n">
        <v>2</v>
      </c>
      <c r="I93" t="n">
        <v>2</v>
      </c>
      <c r="J93" t="n">
        <v>1</v>
      </c>
      <c r="K93" t="n">
        <v>1</v>
      </c>
      <c r="L93" t="n">
        <v>0</v>
      </c>
      <c r="M93" t="n">
        <v>0</v>
      </c>
      <c r="N93" t="n">
        <v>0</v>
      </c>
      <c r="O93" t="n">
        <v>2</v>
      </c>
      <c r="P93" t="n">
        <v>1</v>
      </c>
      <c r="Q93" t="n">
        <v>5</v>
      </c>
      <c r="R93" s="2" t="inlineStr">
        <is>
          <t>Svartgrön spindling
Äggspindling
Skogsknipprot
Svavelriska
Spillkråka</t>
        </is>
      </c>
      <c r="S93">
        <f>HYPERLINK("https://klasma.github.io/Logging_0980/artfynd/A 446-2023 artfynd.xlsx", "A 446-2023")</f>
        <v/>
      </c>
      <c r="T93">
        <f>HYPERLINK("https://klasma.github.io/Logging_0980/kartor/A 446-2023 karta.png", "A 446-2023")</f>
        <v/>
      </c>
      <c r="V93">
        <f>HYPERLINK("https://klasma.github.io/Logging_0980/klagomål/A 446-2023 FSC-klagomål.docx", "A 446-2023")</f>
        <v/>
      </c>
      <c r="W93">
        <f>HYPERLINK("https://klasma.github.io/Logging_0980/klagomålsmail/A 446-2023 FSC-klagomål mail.docx", "A 446-2023")</f>
        <v/>
      </c>
      <c r="X93">
        <f>HYPERLINK("https://klasma.github.io/Logging_0980/tillsyn/A 446-2023 tillsynsbegäran.docx", "A 446-2023")</f>
        <v/>
      </c>
      <c r="Y93">
        <f>HYPERLINK("https://klasma.github.io/Logging_0980/tillsynsmail/A 446-2023 tillsynsbegäran mail.docx", "A 446-2023")</f>
        <v/>
      </c>
      <c r="Z93">
        <f>HYPERLINK("https://klasma.github.io/Logging_0980/fåglar/A 446-2023 prioriterade fågelarter.docx", "A 446-2023")</f>
        <v/>
      </c>
    </row>
    <row r="94" ht="15" customHeight="1">
      <c r="A94" t="inlineStr">
        <is>
          <t>A 39425-2023</t>
        </is>
      </c>
      <c r="B94" s="1" t="n">
        <v>45166</v>
      </c>
      <c r="C94" s="1" t="n">
        <v>46193</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57463-2025</t>
        </is>
      </c>
      <c r="B95" s="1" t="n">
        <v>45980</v>
      </c>
      <c r="C95" s="1" t="n">
        <v>46193</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44323-2021</t>
        </is>
      </c>
      <c r="B96" s="1" t="n">
        <v>44434</v>
      </c>
      <c r="C96" s="1" t="n">
        <v>46193</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c r="Z96">
        <f>HYPERLINK("https://klasma.github.io/Logging_0980/fåglar/A 44323-2021 prioriterade fågelarter.docx", "A 44323-2021")</f>
        <v/>
      </c>
    </row>
    <row r="97" ht="15" customHeight="1">
      <c r="A97" t="inlineStr">
        <is>
          <t>A 1273-2023</t>
        </is>
      </c>
      <c r="B97" s="1" t="n">
        <v>44936</v>
      </c>
      <c r="C97" s="1" t="n">
        <v>46193</v>
      </c>
      <c r="D97" t="inlineStr">
        <is>
          <t>GOTLANDS LÄN</t>
        </is>
      </c>
      <c r="E97" t="inlineStr">
        <is>
          <t>GOTLAND</t>
        </is>
      </c>
      <c r="G97" t="n">
        <v>4.5</v>
      </c>
      <c r="H97" t="n">
        <v>2</v>
      </c>
      <c r="I97" t="n">
        <v>1</v>
      </c>
      <c r="J97" t="n">
        <v>2</v>
      </c>
      <c r="K97" t="n">
        <v>1</v>
      </c>
      <c r="L97" t="n">
        <v>0</v>
      </c>
      <c r="M97" t="n">
        <v>0</v>
      </c>
      <c r="N97" t="n">
        <v>0</v>
      </c>
      <c r="O97" t="n">
        <v>3</v>
      </c>
      <c r="P97" t="n">
        <v>1</v>
      </c>
      <c r="Q97" t="n">
        <v>4</v>
      </c>
      <c r="R97" s="2" t="inlineStr">
        <is>
          <t>Garderönn
Svinrot
Vårärt
Skogsknipprot</t>
        </is>
      </c>
      <c r="S97">
        <f>HYPERLINK("https://klasma.github.io/Logging_0980/artfynd/A 1273-2023 artfynd.xlsx", "A 1273-2023")</f>
        <v/>
      </c>
      <c r="T97">
        <f>HYPERLINK("https://klasma.github.io/Logging_0980/kartor/A 1273-2023 karta.png", "A 1273-2023")</f>
        <v/>
      </c>
      <c r="V97">
        <f>HYPERLINK("https://klasma.github.io/Logging_0980/klagomål/A 1273-2023 FSC-klagomål.docx", "A 1273-2023")</f>
        <v/>
      </c>
      <c r="W97">
        <f>HYPERLINK("https://klasma.github.io/Logging_0980/klagomålsmail/A 1273-2023 FSC-klagomål mail.docx", "A 1273-2023")</f>
        <v/>
      </c>
      <c r="X97">
        <f>HYPERLINK("https://klasma.github.io/Logging_0980/tillsyn/A 1273-2023 tillsynsbegäran.docx", "A 1273-2023")</f>
        <v/>
      </c>
      <c r="Y97">
        <f>HYPERLINK("https://klasma.github.io/Logging_0980/tillsynsmail/A 1273-2023 tillsynsbegäran mail.docx", "A 1273-2023")</f>
        <v/>
      </c>
    </row>
    <row r="98" ht="15" customHeight="1">
      <c r="A98" t="inlineStr">
        <is>
          <t>A 61100-2022</t>
        </is>
      </c>
      <c r="B98" s="1" t="n">
        <v>44915</v>
      </c>
      <c r="C98" s="1" t="n">
        <v>46193</v>
      </c>
      <c r="D98" t="inlineStr">
        <is>
          <t>GOTLANDS LÄN</t>
        </is>
      </c>
      <c r="E98" t="inlineStr">
        <is>
          <t>GOTLAND</t>
        </is>
      </c>
      <c r="G98" t="n">
        <v>1.4</v>
      </c>
      <c r="H98" t="n">
        <v>3</v>
      </c>
      <c r="I98" t="n">
        <v>0</v>
      </c>
      <c r="J98" t="n">
        <v>2</v>
      </c>
      <c r="K98" t="n">
        <v>1</v>
      </c>
      <c r="L98" t="n">
        <v>0</v>
      </c>
      <c r="M98" t="n">
        <v>0</v>
      </c>
      <c r="N98" t="n">
        <v>0</v>
      </c>
      <c r="O98" t="n">
        <v>3</v>
      </c>
      <c r="P98" t="n">
        <v>1</v>
      </c>
      <c r="Q98" t="n">
        <v>4</v>
      </c>
      <c r="R98" s="2" t="inlineStr">
        <is>
          <t>Garderönn
Dårgräsfjäril
Solvända
Gullviva</t>
        </is>
      </c>
      <c r="S98">
        <f>HYPERLINK("https://klasma.github.io/Logging_0980/artfynd/A 61100-2022 artfynd.xlsx", "A 61100-2022")</f>
        <v/>
      </c>
      <c r="T98">
        <f>HYPERLINK("https://klasma.github.io/Logging_0980/kartor/A 61100-2022 karta.png", "A 61100-2022")</f>
        <v/>
      </c>
      <c r="V98">
        <f>HYPERLINK("https://klasma.github.io/Logging_0980/klagomål/A 61100-2022 FSC-klagomål.docx", "A 61100-2022")</f>
        <v/>
      </c>
      <c r="W98">
        <f>HYPERLINK("https://klasma.github.io/Logging_0980/klagomålsmail/A 61100-2022 FSC-klagomål mail.docx", "A 61100-2022")</f>
        <v/>
      </c>
      <c r="X98">
        <f>HYPERLINK("https://klasma.github.io/Logging_0980/tillsyn/A 61100-2022 tillsynsbegäran.docx", "A 61100-2022")</f>
        <v/>
      </c>
      <c r="Y98">
        <f>HYPERLINK("https://klasma.github.io/Logging_0980/tillsynsmail/A 61100-2022 tillsynsbegäran mail.docx", "A 61100-2022")</f>
        <v/>
      </c>
    </row>
    <row r="99" ht="15" customHeight="1">
      <c r="A99" t="inlineStr">
        <is>
          <t>A 44304-2021</t>
        </is>
      </c>
      <c r="B99" s="1" t="n">
        <v>44434</v>
      </c>
      <c r="C99" s="1" t="n">
        <v>46193</v>
      </c>
      <c r="D99" t="inlineStr">
        <is>
          <t>GOTLANDS LÄN</t>
        </is>
      </c>
      <c r="E99" t="inlineStr">
        <is>
          <t>GOTLAND</t>
        </is>
      </c>
      <c r="G99" t="n">
        <v>5.8</v>
      </c>
      <c r="H99" t="n">
        <v>2</v>
      </c>
      <c r="I99" t="n">
        <v>0</v>
      </c>
      <c r="J99" t="n">
        <v>2</v>
      </c>
      <c r="K99" t="n">
        <v>0</v>
      </c>
      <c r="L99" t="n">
        <v>0</v>
      </c>
      <c r="M99" t="n">
        <v>0</v>
      </c>
      <c r="N99" t="n">
        <v>0</v>
      </c>
      <c r="O99" t="n">
        <v>2</v>
      </c>
      <c r="P99" t="n">
        <v>0</v>
      </c>
      <c r="Q99" t="n">
        <v>4</v>
      </c>
      <c r="R99" s="2" t="inlineStr">
        <is>
          <t>Majviva
Svinrot
Blåsippa
Nattviol</t>
        </is>
      </c>
      <c r="S99">
        <f>HYPERLINK("https://klasma.github.io/Logging_0980/artfynd/A 44304-2021 artfynd.xlsx", "A 44304-2021")</f>
        <v/>
      </c>
      <c r="T99">
        <f>HYPERLINK("https://klasma.github.io/Logging_0980/kartor/A 44304-2021 karta.png", "A 44304-2021")</f>
        <v/>
      </c>
      <c r="V99">
        <f>HYPERLINK("https://klasma.github.io/Logging_0980/klagomål/A 44304-2021 FSC-klagomål.docx", "A 44304-2021")</f>
        <v/>
      </c>
      <c r="W99">
        <f>HYPERLINK("https://klasma.github.io/Logging_0980/klagomålsmail/A 44304-2021 FSC-klagomål mail.docx", "A 44304-2021")</f>
        <v/>
      </c>
      <c r="X99">
        <f>HYPERLINK("https://klasma.github.io/Logging_0980/tillsyn/A 44304-2021 tillsynsbegäran.docx", "A 44304-2021")</f>
        <v/>
      </c>
      <c r="Y99">
        <f>HYPERLINK("https://klasma.github.io/Logging_0980/tillsynsmail/A 44304-2021 tillsynsbegäran mail.docx", "A 44304-2021")</f>
        <v/>
      </c>
    </row>
    <row r="100" ht="15" customHeight="1">
      <c r="A100" t="inlineStr">
        <is>
          <t>A 56717-2024</t>
        </is>
      </c>
      <c r="B100" s="1" t="n">
        <v>45628</v>
      </c>
      <c r="C100" s="1" t="n">
        <v>46193</v>
      </c>
      <c r="D100" t="inlineStr">
        <is>
          <t>GOTLANDS LÄN</t>
        </is>
      </c>
      <c r="E100" t="inlineStr">
        <is>
          <t>GOTLAND</t>
        </is>
      </c>
      <c r="G100" t="n">
        <v>9.699999999999999</v>
      </c>
      <c r="H100" t="n">
        <v>0</v>
      </c>
      <c r="I100" t="n">
        <v>1</v>
      </c>
      <c r="J100" t="n">
        <v>3</v>
      </c>
      <c r="K100" t="n">
        <v>0</v>
      </c>
      <c r="L100" t="n">
        <v>0</v>
      </c>
      <c r="M100" t="n">
        <v>0</v>
      </c>
      <c r="N100" t="n">
        <v>0</v>
      </c>
      <c r="O100" t="n">
        <v>3</v>
      </c>
      <c r="P100" t="n">
        <v>0</v>
      </c>
      <c r="Q100" t="n">
        <v>4</v>
      </c>
      <c r="R100" s="2" t="inlineStr">
        <is>
          <t>Fjällig taggsvamp s.str.
Kattfotslav
Odörspindling
Havstulpanlav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37591-2023</t>
        </is>
      </c>
      <c r="B101" s="1" t="n">
        <v>45159</v>
      </c>
      <c r="C101" s="1" t="n">
        <v>46193</v>
      </c>
      <c r="D101" t="inlineStr">
        <is>
          <t>GOTLANDS LÄN</t>
        </is>
      </c>
      <c r="E101" t="inlineStr">
        <is>
          <t>GOTLAND</t>
        </is>
      </c>
      <c r="G101" t="n">
        <v>8.300000000000001</v>
      </c>
      <c r="H101" t="n">
        <v>1</v>
      </c>
      <c r="I101" t="n">
        <v>0</v>
      </c>
      <c r="J101" t="n">
        <v>3</v>
      </c>
      <c r="K101" t="n">
        <v>0</v>
      </c>
      <c r="L101" t="n">
        <v>0</v>
      </c>
      <c r="M101" t="n">
        <v>0</v>
      </c>
      <c r="N101" t="n">
        <v>0</v>
      </c>
      <c r="O101" t="n">
        <v>3</v>
      </c>
      <c r="P101" t="n">
        <v>0</v>
      </c>
      <c r="Q101" t="n">
        <v>4</v>
      </c>
      <c r="R101" s="2" t="inlineStr">
        <is>
          <t>Bergjohannesört
Solvända
Ängsstarr
Vanlig snok</t>
        </is>
      </c>
      <c r="S101">
        <f>HYPERLINK("https://klasma.github.io/Logging_0980/artfynd/A 37591-2023 artfynd.xlsx", "A 37591-2023")</f>
        <v/>
      </c>
      <c r="T101">
        <f>HYPERLINK("https://klasma.github.io/Logging_0980/kartor/A 37591-2023 karta.png", "A 37591-2023")</f>
        <v/>
      </c>
      <c r="V101">
        <f>HYPERLINK("https://klasma.github.io/Logging_0980/klagomål/A 37591-2023 FSC-klagomål.docx", "A 37591-2023")</f>
        <v/>
      </c>
      <c r="W101">
        <f>HYPERLINK("https://klasma.github.io/Logging_0980/klagomålsmail/A 37591-2023 FSC-klagomål mail.docx", "A 37591-2023")</f>
        <v/>
      </c>
      <c r="X101">
        <f>HYPERLINK("https://klasma.github.io/Logging_0980/tillsyn/A 37591-2023 tillsynsbegäran.docx", "A 37591-2023")</f>
        <v/>
      </c>
      <c r="Y101">
        <f>HYPERLINK("https://klasma.github.io/Logging_0980/tillsynsmail/A 37591-2023 tillsynsbegäran mail.docx", "A 37591-2023")</f>
        <v/>
      </c>
    </row>
    <row r="102" ht="15" customHeight="1">
      <c r="A102" t="inlineStr">
        <is>
          <t>A 54523-2023</t>
        </is>
      </c>
      <c r="B102" s="1" t="n">
        <v>45233</v>
      </c>
      <c r="C102" s="1" t="n">
        <v>46193</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2485-2025</t>
        </is>
      </c>
      <c r="B103" s="1" t="n">
        <v>45673</v>
      </c>
      <c r="C103" s="1" t="n">
        <v>46193</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61386-2023</t>
        </is>
      </c>
      <c r="B104" s="1" t="n">
        <v>45264</v>
      </c>
      <c r="C104" s="1" t="n">
        <v>46193</v>
      </c>
      <c r="D104" t="inlineStr">
        <is>
          <t>GOTLANDS LÄN</t>
        </is>
      </c>
      <c r="E104" t="inlineStr">
        <is>
          <t>GOTLAND</t>
        </is>
      </c>
      <c r="G104" t="n">
        <v>0.7</v>
      </c>
      <c r="H104" t="n">
        <v>0</v>
      </c>
      <c r="I104" t="n">
        <v>3</v>
      </c>
      <c r="J104" t="n">
        <v>0</v>
      </c>
      <c r="K104" t="n">
        <v>1</v>
      </c>
      <c r="L104" t="n">
        <v>0</v>
      </c>
      <c r="M104" t="n">
        <v>0</v>
      </c>
      <c r="N104" t="n">
        <v>0</v>
      </c>
      <c r="O104" t="n">
        <v>1</v>
      </c>
      <c r="P104" t="n">
        <v>1</v>
      </c>
      <c r="Q104" t="n">
        <v>4</v>
      </c>
      <c r="R104" s="2" t="inlineStr">
        <is>
          <t>Ädellav
Korallblylav
Lönnlav
Rikfruktig blemlav</t>
        </is>
      </c>
      <c r="S104">
        <f>HYPERLINK("https://klasma.github.io/Logging_0980/artfynd/A 61386-2023 artfynd.xlsx", "A 61386-2023")</f>
        <v/>
      </c>
      <c r="T104">
        <f>HYPERLINK("https://klasma.github.io/Logging_0980/kartor/A 61386-2023 karta.png", "A 61386-2023")</f>
        <v/>
      </c>
      <c r="V104">
        <f>HYPERLINK("https://klasma.github.io/Logging_0980/klagomål/A 61386-2023 FSC-klagomål.docx", "A 61386-2023")</f>
        <v/>
      </c>
      <c r="W104">
        <f>HYPERLINK("https://klasma.github.io/Logging_0980/klagomålsmail/A 61386-2023 FSC-klagomål mail.docx", "A 61386-2023")</f>
        <v/>
      </c>
      <c r="X104">
        <f>HYPERLINK("https://klasma.github.io/Logging_0980/tillsyn/A 61386-2023 tillsynsbegäran.docx", "A 61386-2023")</f>
        <v/>
      </c>
      <c r="Y104">
        <f>HYPERLINK("https://klasma.github.io/Logging_0980/tillsynsmail/A 61386-2023 tillsynsbegäran mail.docx", "A 61386-2023")</f>
        <v/>
      </c>
    </row>
    <row r="105" ht="15" customHeight="1">
      <c r="A105" t="inlineStr">
        <is>
          <t>A 16997-2026</t>
        </is>
      </c>
      <c r="B105" s="1" t="n">
        <v>46114</v>
      </c>
      <c r="C105" s="1" t="n">
        <v>46193</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46193</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32666-2021</t>
        </is>
      </c>
      <c r="B107" s="1" t="n">
        <v>44375</v>
      </c>
      <c r="C107" s="1" t="n">
        <v>46193</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46193</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65927-2021</t>
        </is>
      </c>
      <c r="B109" s="1" t="n">
        <v>44516</v>
      </c>
      <c r="C109" s="1" t="n">
        <v>46193</v>
      </c>
      <c r="D109" t="inlineStr">
        <is>
          <t>GOTLANDS LÄN</t>
        </is>
      </c>
      <c r="E109" t="inlineStr">
        <is>
          <t>GOTLAND</t>
        </is>
      </c>
      <c r="G109" t="n">
        <v>3.1</v>
      </c>
      <c r="H109" t="n">
        <v>2</v>
      </c>
      <c r="I109" t="n">
        <v>0</v>
      </c>
      <c r="J109" t="n">
        <v>2</v>
      </c>
      <c r="K109" t="n">
        <v>0</v>
      </c>
      <c r="L109" t="n">
        <v>0</v>
      </c>
      <c r="M109" t="n">
        <v>0</v>
      </c>
      <c r="N109" t="n">
        <v>0</v>
      </c>
      <c r="O109" t="n">
        <v>2</v>
      </c>
      <c r="P109" t="n">
        <v>0</v>
      </c>
      <c r="Q109" t="n">
        <v>3</v>
      </c>
      <c r="R109" s="2" t="inlineStr">
        <is>
          <t>Grenigt kungsljus
Åkerkulla
Gullviva</t>
        </is>
      </c>
      <c r="S109">
        <f>HYPERLINK("https://klasma.github.io/Logging_0980/artfynd/A 65927-2021 artfynd.xlsx", "A 65927-2021")</f>
        <v/>
      </c>
      <c r="T109">
        <f>HYPERLINK("https://klasma.github.io/Logging_0980/kartor/A 65927-2021 karta.png", "A 65927-2021")</f>
        <v/>
      </c>
      <c r="V109">
        <f>HYPERLINK("https://klasma.github.io/Logging_0980/klagomål/A 65927-2021 FSC-klagomål.docx", "A 65927-2021")</f>
        <v/>
      </c>
      <c r="W109">
        <f>HYPERLINK("https://klasma.github.io/Logging_0980/klagomålsmail/A 65927-2021 FSC-klagomål mail.docx", "A 65927-2021")</f>
        <v/>
      </c>
      <c r="X109">
        <f>HYPERLINK("https://klasma.github.io/Logging_0980/tillsyn/A 65927-2021 tillsynsbegäran.docx", "A 65927-2021")</f>
        <v/>
      </c>
      <c r="Y109">
        <f>HYPERLINK("https://klasma.github.io/Logging_0980/tillsynsmail/A 65927-2021 tillsynsbegäran mail.docx", "A 65927-2021")</f>
        <v/>
      </c>
    </row>
    <row r="110" ht="15" customHeight="1">
      <c r="A110" t="inlineStr">
        <is>
          <t>A 2476-2025</t>
        </is>
      </c>
      <c r="B110" s="1" t="n">
        <v>45673</v>
      </c>
      <c r="C110" s="1" t="n">
        <v>46193</v>
      </c>
      <c r="D110" t="inlineStr">
        <is>
          <t>GOTLANDS LÄN</t>
        </is>
      </c>
      <c r="E110" t="inlineStr">
        <is>
          <t>GOTLAND</t>
        </is>
      </c>
      <c r="G110" t="n">
        <v>3.1</v>
      </c>
      <c r="H110" t="n">
        <v>0</v>
      </c>
      <c r="I110" t="n">
        <v>1</v>
      </c>
      <c r="J110" t="n">
        <v>2</v>
      </c>
      <c r="K110" t="n">
        <v>0</v>
      </c>
      <c r="L110" t="n">
        <v>0</v>
      </c>
      <c r="M110" t="n">
        <v>0</v>
      </c>
      <c r="N110" t="n">
        <v>0</v>
      </c>
      <c r="O110" t="n">
        <v>2</v>
      </c>
      <c r="P110" t="n">
        <v>0</v>
      </c>
      <c r="Q110" t="n">
        <v>3</v>
      </c>
      <c r="R110" s="2" t="inlineStr">
        <is>
          <t>Barrviolspindling
Kryddspindling
Strimspindling</t>
        </is>
      </c>
      <c r="S110">
        <f>HYPERLINK("https://klasma.github.io/Logging_0980/artfynd/A 2476-2025 artfynd.xlsx", "A 2476-2025")</f>
        <v/>
      </c>
      <c r="T110">
        <f>HYPERLINK("https://klasma.github.io/Logging_0980/kartor/A 2476-2025 karta.png", "A 2476-2025")</f>
        <v/>
      </c>
      <c r="V110">
        <f>HYPERLINK("https://klasma.github.io/Logging_0980/klagomål/A 2476-2025 FSC-klagomål.docx", "A 2476-2025")</f>
        <v/>
      </c>
      <c r="W110">
        <f>HYPERLINK("https://klasma.github.io/Logging_0980/klagomålsmail/A 2476-2025 FSC-klagomål mail.docx", "A 2476-2025")</f>
        <v/>
      </c>
      <c r="X110">
        <f>HYPERLINK("https://klasma.github.io/Logging_0980/tillsyn/A 2476-2025 tillsynsbegäran.docx", "A 2476-2025")</f>
        <v/>
      </c>
      <c r="Y110">
        <f>HYPERLINK("https://klasma.github.io/Logging_0980/tillsynsmail/A 2476-2025 tillsynsbegäran mail.docx", "A 2476-2025")</f>
        <v/>
      </c>
    </row>
    <row r="111" ht="15" customHeight="1">
      <c r="A111" t="inlineStr">
        <is>
          <t>A 43013-2022</t>
        </is>
      </c>
      <c r="B111" s="1" t="n">
        <v>44833</v>
      </c>
      <c r="C111" s="1" t="n">
        <v>46193</v>
      </c>
      <c r="D111" t="inlineStr">
        <is>
          <t>GOTLANDS LÄN</t>
        </is>
      </c>
      <c r="E111" t="inlineStr">
        <is>
          <t>GOTLAND</t>
        </is>
      </c>
      <c r="G111" t="n">
        <v>9.300000000000001</v>
      </c>
      <c r="H111" t="n">
        <v>0</v>
      </c>
      <c r="I111" t="n">
        <v>1</v>
      </c>
      <c r="J111" t="n">
        <v>1</v>
      </c>
      <c r="K111" t="n">
        <v>1</v>
      </c>
      <c r="L111" t="n">
        <v>0</v>
      </c>
      <c r="M111" t="n">
        <v>0</v>
      </c>
      <c r="N111" t="n">
        <v>0</v>
      </c>
      <c r="O111" t="n">
        <v>2</v>
      </c>
      <c r="P111" t="n">
        <v>1</v>
      </c>
      <c r="Q111" t="n">
        <v>3</v>
      </c>
      <c r="R111" s="2" t="inlineStr">
        <is>
          <t>Violettfläckig spindling
Blå slemspindling
Anisspindling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v>
      </c>
      <c r="C112" s="1" t="n">
        <v>46193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46193</v>
      </c>
      <c r="D113" t="inlineStr">
        <is>
          <t>GOTLANDS LÄN</t>
        </is>
      </c>
      <c r="E113" t="inlineStr">
        <is>
          <t>GOTLAND</t>
        </is>
      </c>
      <c r="G113" t="n">
        <v>6.2</v>
      </c>
      <c r="H113" t="n">
        <v>2</v>
      </c>
      <c r="I113" t="n">
        <v>0</v>
      </c>
      <c r="J113" t="n">
        <v>0</v>
      </c>
      <c r="K113" t="n">
        <v>1</v>
      </c>
      <c r="L113" t="n">
        <v>0</v>
      </c>
      <c r="M113" t="n">
        <v>0</v>
      </c>
      <c r="N113" t="n">
        <v>0</v>
      </c>
      <c r="O113" t="n">
        <v>1</v>
      </c>
      <c r="P113" t="n">
        <v>1</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10440-2024</t>
        </is>
      </c>
      <c r="B114" s="1" t="n">
        <v>45366</v>
      </c>
      <c r="C114" s="1" t="n">
        <v>46193</v>
      </c>
      <c r="D114" t="inlineStr">
        <is>
          <t>GOTLANDS LÄN</t>
        </is>
      </c>
      <c r="E114" t="inlineStr">
        <is>
          <t>GOTLAND</t>
        </is>
      </c>
      <c r="G114" t="n">
        <v>2.5</v>
      </c>
      <c r="H114" t="n">
        <v>2</v>
      </c>
      <c r="I114" t="n">
        <v>1</v>
      </c>
      <c r="J114" t="n">
        <v>1</v>
      </c>
      <c r="K114" t="n">
        <v>0</v>
      </c>
      <c r="L114" t="n">
        <v>0</v>
      </c>
      <c r="M114" t="n">
        <v>0</v>
      </c>
      <c r="N114" t="n">
        <v>0</v>
      </c>
      <c r="O114" t="n">
        <v>1</v>
      </c>
      <c r="P114" t="n">
        <v>0</v>
      </c>
      <c r="Q114" t="n">
        <v>3</v>
      </c>
      <c r="R114" s="2" t="inlineStr">
        <is>
          <t>Mindre hackspett
Blåmossa
Blåsippa</t>
        </is>
      </c>
      <c r="S114">
        <f>HYPERLINK("https://klasma.github.io/Logging_0980/artfynd/A 10440-2024 artfynd.xlsx", "A 10440-2024")</f>
        <v/>
      </c>
      <c r="T114">
        <f>HYPERLINK("https://klasma.github.io/Logging_0980/kartor/A 10440-2024 karta.png", "A 10440-2024")</f>
        <v/>
      </c>
      <c r="V114">
        <f>HYPERLINK("https://klasma.github.io/Logging_0980/klagomål/A 10440-2024 FSC-klagomål.docx", "A 10440-2024")</f>
        <v/>
      </c>
      <c r="W114">
        <f>HYPERLINK("https://klasma.github.io/Logging_0980/klagomålsmail/A 10440-2024 FSC-klagomål mail.docx", "A 10440-2024")</f>
        <v/>
      </c>
      <c r="X114">
        <f>HYPERLINK("https://klasma.github.io/Logging_0980/tillsyn/A 10440-2024 tillsynsbegäran.docx", "A 10440-2024")</f>
        <v/>
      </c>
      <c r="Y114">
        <f>HYPERLINK("https://klasma.github.io/Logging_0980/tillsynsmail/A 10440-2024 tillsynsbegäran mail.docx", "A 10440-2024")</f>
        <v/>
      </c>
      <c r="Z114">
        <f>HYPERLINK("https://klasma.github.io/Logging_0980/fåglar/A 10440-2024 prioriterade fågelarter.docx", "A 10440-2024")</f>
        <v/>
      </c>
    </row>
    <row r="115" ht="15" customHeight="1">
      <c r="A115" t="inlineStr">
        <is>
          <t>A 34312-2024</t>
        </is>
      </c>
      <c r="B115" s="1" t="n">
        <v>45524</v>
      </c>
      <c r="C115" s="1" t="n">
        <v>46193</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63576-2021</t>
        </is>
      </c>
      <c r="B116" s="1" t="n">
        <v>44508</v>
      </c>
      <c r="C116" s="1" t="n">
        <v>46193</v>
      </c>
      <c r="D116" t="inlineStr">
        <is>
          <t>GOTLANDS LÄN</t>
        </is>
      </c>
      <c r="E116" t="inlineStr">
        <is>
          <t>GOTLAND</t>
        </is>
      </c>
      <c r="F116" t="inlineStr">
        <is>
          <t>Kyrkan</t>
        </is>
      </c>
      <c r="G116" t="n">
        <v>4.1</v>
      </c>
      <c r="H116" t="n">
        <v>1</v>
      </c>
      <c r="I116" t="n">
        <v>1</v>
      </c>
      <c r="J116" t="n">
        <v>2</v>
      </c>
      <c r="K116" t="n">
        <v>0</v>
      </c>
      <c r="L116" t="n">
        <v>0</v>
      </c>
      <c r="M116" t="n">
        <v>0</v>
      </c>
      <c r="N116" t="n">
        <v>0</v>
      </c>
      <c r="O116" t="n">
        <v>2</v>
      </c>
      <c r="P116" t="n">
        <v>0</v>
      </c>
      <c r="Q116" t="n">
        <v>3</v>
      </c>
      <c r="R116" s="2" t="inlineStr">
        <is>
          <t>Dårgräsfjäril
Loppstarr
Stubbspretmossa</t>
        </is>
      </c>
      <c r="S116">
        <f>HYPERLINK("https://klasma.github.io/Logging_0980/artfynd/A 63576-2021 artfynd.xlsx", "A 63576-2021")</f>
        <v/>
      </c>
      <c r="T116">
        <f>HYPERLINK("https://klasma.github.io/Logging_0980/kartor/A 63576-2021 karta.png", "A 63576-2021")</f>
        <v/>
      </c>
      <c r="V116">
        <f>HYPERLINK("https://klasma.github.io/Logging_0980/klagomål/A 63576-2021 FSC-klagomål.docx", "A 63576-2021")</f>
        <v/>
      </c>
      <c r="W116">
        <f>HYPERLINK("https://klasma.github.io/Logging_0980/klagomålsmail/A 63576-2021 FSC-klagomål mail.docx", "A 63576-2021")</f>
        <v/>
      </c>
      <c r="X116">
        <f>HYPERLINK("https://klasma.github.io/Logging_0980/tillsyn/A 63576-2021 tillsynsbegäran.docx", "A 63576-2021")</f>
        <v/>
      </c>
      <c r="Y116">
        <f>HYPERLINK("https://klasma.github.io/Logging_0980/tillsynsmail/A 63576-2021 tillsynsbegäran mail.docx", "A 63576-2021")</f>
        <v/>
      </c>
    </row>
    <row r="117" ht="15" customHeight="1">
      <c r="A117" t="inlineStr">
        <is>
          <t>A 26992-2026</t>
        </is>
      </c>
      <c r="B117" s="1" t="n">
        <v>46185</v>
      </c>
      <c r="C117" s="1" t="n">
        <v>46193</v>
      </c>
      <c r="D117" t="inlineStr">
        <is>
          <t>GOTLANDS LÄN</t>
        </is>
      </c>
      <c r="E117" t="inlineStr">
        <is>
          <t>GOTLAND</t>
        </is>
      </c>
      <c r="G117" t="n">
        <v>0.8</v>
      </c>
      <c r="H117" t="n">
        <v>2</v>
      </c>
      <c r="I117" t="n">
        <v>1</v>
      </c>
      <c r="J117" t="n">
        <v>1</v>
      </c>
      <c r="K117" t="n">
        <v>0</v>
      </c>
      <c r="L117" t="n">
        <v>0</v>
      </c>
      <c r="M117" t="n">
        <v>0</v>
      </c>
      <c r="N117" t="n">
        <v>0</v>
      </c>
      <c r="O117" t="n">
        <v>1</v>
      </c>
      <c r="P117" t="n">
        <v>0</v>
      </c>
      <c r="Q117" t="n">
        <v>3</v>
      </c>
      <c r="R117" s="2" t="inlineStr">
        <is>
          <t>Svinrot
Nästrot
Blåsippa</t>
        </is>
      </c>
      <c r="S117">
        <f>HYPERLINK("https://klasma.github.io/Logging_0980/artfynd/A 26992-2026 artfynd.xlsx", "A 26992-2026")</f>
        <v/>
      </c>
      <c r="T117">
        <f>HYPERLINK("https://klasma.github.io/Logging_0980/kartor/A 26992-2026 karta.png", "A 26992-2026")</f>
        <v/>
      </c>
      <c r="V117">
        <f>HYPERLINK("https://klasma.github.io/Logging_0980/klagomål/A 26992-2026 FSC-klagomål.docx", "A 26992-2026")</f>
        <v/>
      </c>
      <c r="W117">
        <f>HYPERLINK("https://klasma.github.io/Logging_0980/klagomålsmail/A 26992-2026 FSC-klagomål mail.docx", "A 26992-2026")</f>
        <v/>
      </c>
      <c r="X117">
        <f>HYPERLINK("https://klasma.github.io/Logging_0980/tillsyn/A 26992-2026 tillsynsbegäran.docx", "A 26992-2026")</f>
        <v/>
      </c>
      <c r="Y117">
        <f>HYPERLINK("https://klasma.github.io/Logging_0980/tillsynsmail/A 26992-2026 tillsynsbegäran mail.docx", "A 26992-2026")</f>
        <v/>
      </c>
    </row>
    <row r="118" ht="15" customHeight="1">
      <c r="A118" t="inlineStr">
        <is>
          <t>A 37222-2021</t>
        </is>
      </c>
      <c r="B118" s="1" t="n">
        <v>44396</v>
      </c>
      <c r="C118" s="1" t="n">
        <v>46193</v>
      </c>
      <c r="D118" t="inlineStr">
        <is>
          <t>GOTLANDS LÄN</t>
        </is>
      </c>
      <c r="E118" t="inlineStr">
        <is>
          <t>GOTLAND</t>
        </is>
      </c>
      <c r="G118" t="n">
        <v>3</v>
      </c>
      <c r="H118" t="n">
        <v>3</v>
      </c>
      <c r="I118" t="n">
        <v>1</v>
      </c>
      <c r="J118" t="n">
        <v>1</v>
      </c>
      <c r="K118" t="n">
        <v>0</v>
      </c>
      <c r="L118" t="n">
        <v>0</v>
      </c>
      <c r="M118" t="n">
        <v>0</v>
      </c>
      <c r="N118" t="n">
        <v>0</v>
      </c>
      <c r="O118" t="n">
        <v>1</v>
      </c>
      <c r="P118" t="n">
        <v>0</v>
      </c>
      <c r="Q118" t="n">
        <v>3</v>
      </c>
      <c r="R118" s="2" t="inlineStr">
        <is>
          <t>Mindre hackspett
Skogsknipprot
Bergfink</t>
        </is>
      </c>
      <c r="S118">
        <f>HYPERLINK("https://klasma.github.io/Logging_0980/artfynd/A 37222-2021 artfynd.xlsx", "A 37222-2021")</f>
        <v/>
      </c>
      <c r="T118">
        <f>HYPERLINK("https://klasma.github.io/Logging_0980/kartor/A 37222-2021 karta.png", "A 37222-2021")</f>
        <v/>
      </c>
      <c r="V118">
        <f>HYPERLINK("https://klasma.github.io/Logging_0980/klagomål/A 37222-2021 FSC-klagomål.docx", "A 37222-2021")</f>
        <v/>
      </c>
      <c r="W118">
        <f>HYPERLINK("https://klasma.github.io/Logging_0980/klagomålsmail/A 37222-2021 FSC-klagomål mail.docx", "A 37222-2021")</f>
        <v/>
      </c>
      <c r="X118">
        <f>HYPERLINK("https://klasma.github.io/Logging_0980/tillsyn/A 37222-2021 tillsynsbegäran.docx", "A 37222-2021")</f>
        <v/>
      </c>
      <c r="Y118">
        <f>HYPERLINK("https://klasma.github.io/Logging_0980/tillsynsmail/A 37222-2021 tillsynsbegäran mail.docx", "A 37222-2021")</f>
        <v/>
      </c>
      <c r="Z118">
        <f>HYPERLINK("https://klasma.github.io/Logging_0980/fåglar/A 37222-2021 prioriterade fågelarter.docx", "A 37222-2021")</f>
        <v/>
      </c>
    </row>
    <row r="119" ht="15" customHeight="1">
      <c r="A119" t="inlineStr">
        <is>
          <t>A 35574-2024</t>
        </is>
      </c>
      <c r="B119" s="1" t="n">
        <v>45531</v>
      </c>
      <c r="C119" s="1" t="n">
        <v>46193</v>
      </c>
      <c r="D119" t="inlineStr">
        <is>
          <t>GOTLANDS LÄN</t>
        </is>
      </c>
      <c r="E119" t="inlineStr">
        <is>
          <t>GOTLAND</t>
        </is>
      </c>
      <c r="G119" t="n">
        <v>5.7</v>
      </c>
      <c r="H119" t="n">
        <v>0</v>
      </c>
      <c r="I119" t="n">
        <v>2</v>
      </c>
      <c r="J119" t="n">
        <v>1</v>
      </c>
      <c r="K119" t="n">
        <v>0</v>
      </c>
      <c r="L119" t="n">
        <v>0</v>
      </c>
      <c r="M119" t="n">
        <v>0</v>
      </c>
      <c r="N119" t="n">
        <v>0</v>
      </c>
      <c r="O119" t="n">
        <v>1</v>
      </c>
      <c r="P119" t="n">
        <v>0</v>
      </c>
      <c r="Q119" t="n">
        <v>3</v>
      </c>
      <c r="R119" s="2" t="inlineStr">
        <is>
          <t>Svinrot
Kambräken
Murgröna</t>
        </is>
      </c>
      <c r="S119">
        <f>HYPERLINK("https://klasma.github.io/Logging_0980/artfynd/A 35574-2024 artfynd.xlsx", "A 35574-2024")</f>
        <v/>
      </c>
      <c r="T119">
        <f>HYPERLINK("https://klasma.github.io/Logging_0980/kartor/A 35574-2024 karta.png", "A 35574-2024")</f>
        <v/>
      </c>
      <c r="V119">
        <f>HYPERLINK("https://klasma.github.io/Logging_0980/klagomål/A 35574-2024 FSC-klagomål.docx", "A 35574-2024")</f>
        <v/>
      </c>
      <c r="W119">
        <f>HYPERLINK("https://klasma.github.io/Logging_0980/klagomålsmail/A 35574-2024 FSC-klagomål mail.docx", "A 35574-2024")</f>
        <v/>
      </c>
      <c r="X119">
        <f>HYPERLINK("https://klasma.github.io/Logging_0980/tillsyn/A 35574-2024 tillsynsbegäran.docx", "A 35574-2024")</f>
        <v/>
      </c>
      <c r="Y119">
        <f>HYPERLINK("https://klasma.github.io/Logging_0980/tillsynsmail/A 35574-2024 tillsynsbegäran mail.docx", "A 35574-2024")</f>
        <v/>
      </c>
    </row>
    <row r="120" ht="15" customHeight="1">
      <c r="A120" t="inlineStr">
        <is>
          <t>A 17982-2023</t>
        </is>
      </c>
      <c r="B120" s="1" t="n">
        <v>45040</v>
      </c>
      <c r="C120" s="1" t="n">
        <v>46193</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54357-2024</t>
        </is>
      </c>
      <c r="B121" s="1" t="n">
        <v>45617</v>
      </c>
      <c r="C121" s="1" t="n">
        <v>46193</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46193</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13499-2022</t>
        </is>
      </c>
      <c r="B123" s="1" t="n">
        <v>44647</v>
      </c>
      <c r="C123" s="1" t="n">
        <v>46193</v>
      </c>
      <c r="D123" t="inlineStr">
        <is>
          <t>GOTLANDS LÄN</t>
        </is>
      </c>
      <c r="E123" t="inlineStr">
        <is>
          <t>GOTLAND</t>
        </is>
      </c>
      <c r="G123" t="n">
        <v>6.8</v>
      </c>
      <c r="H123" t="n">
        <v>3</v>
      </c>
      <c r="I123" t="n">
        <v>0</v>
      </c>
      <c r="J123" t="n">
        <v>0</v>
      </c>
      <c r="K123" t="n">
        <v>0</v>
      </c>
      <c r="L123" t="n">
        <v>0</v>
      </c>
      <c r="M123" t="n">
        <v>0</v>
      </c>
      <c r="N123" t="n">
        <v>0</v>
      </c>
      <c r="O123" t="n">
        <v>0</v>
      </c>
      <c r="P123" t="n">
        <v>0</v>
      </c>
      <c r="Q123" t="n">
        <v>3</v>
      </c>
      <c r="R123" s="2" t="inlineStr">
        <is>
          <t>Blåsippa
Spillkråka
Sankt pers nycklar</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43219-2023</t>
        </is>
      </c>
      <c r="B124" s="1" t="n">
        <v>45183</v>
      </c>
      <c r="C124" s="1" t="n">
        <v>46193</v>
      </c>
      <c r="D124" t="inlineStr">
        <is>
          <t>GOTLANDS LÄN</t>
        </is>
      </c>
      <c r="E124" t="inlineStr">
        <is>
          <t>GOTLAND</t>
        </is>
      </c>
      <c r="G124" t="n">
        <v>3.6</v>
      </c>
      <c r="H124" t="n">
        <v>1</v>
      </c>
      <c r="I124" t="n">
        <v>0</v>
      </c>
      <c r="J124" t="n">
        <v>1</v>
      </c>
      <c r="K124" t="n">
        <v>1</v>
      </c>
      <c r="L124" t="n">
        <v>0</v>
      </c>
      <c r="M124" t="n">
        <v>0</v>
      </c>
      <c r="N124" t="n">
        <v>0</v>
      </c>
      <c r="O124" t="n">
        <v>2</v>
      </c>
      <c r="P124" t="n">
        <v>1</v>
      </c>
      <c r="Q124" t="n">
        <v>3</v>
      </c>
      <c r="R124" s="2" t="inlineStr">
        <is>
          <t>Gotlandsmåra
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12315-2024</t>
        </is>
      </c>
      <c r="B125" s="1" t="n">
        <v>45378</v>
      </c>
      <c r="C125" s="1" t="n">
        <v>46193</v>
      </c>
      <c r="D125" t="inlineStr">
        <is>
          <t>GOTLANDS LÄN</t>
        </is>
      </c>
      <c r="E125" t="inlineStr">
        <is>
          <t>GOTLAND</t>
        </is>
      </c>
      <c r="G125" t="n">
        <v>6</v>
      </c>
      <c r="H125" t="n">
        <v>3</v>
      </c>
      <c r="I125" t="n">
        <v>1</v>
      </c>
      <c r="J125" t="n">
        <v>0</v>
      </c>
      <c r="K125" t="n">
        <v>0</v>
      </c>
      <c r="L125" t="n">
        <v>0</v>
      </c>
      <c r="M125" t="n">
        <v>0</v>
      </c>
      <c r="N125" t="n">
        <v>0</v>
      </c>
      <c r="O125" t="n">
        <v>0</v>
      </c>
      <c r="P125" t="n">
        <v>0</v>
      </c>
      <c r="Q125" t="n">
        <v>3</v>
      </c>
      <c r="R125" s="2" t="inlineStr">
        <is>
          <t>Tvåblad
Buskskvätta
Fläcknycklar</t>
        </is>
      </c>
      <c r="S125">
        <f>HYPERLINK("https://klasma.github.io/Logging_0980/artfynd/A 12315-2024 artfynd.xlsx", "A 12315-2024")</f>
        <v/>
      </c>
      <c r="T125">
        <f>HYPERLINK("https://klasma.github.io/Logging_0980/kartor/A 12315-2024 karta.png", "A 12315-2024")</f>
        <v/>
      </c>
      <c r="V125">
        <f>HYPERLINK("https://klasma.github.io/Logging_0980/klagomål/A 12315-2024 FSC-klagomål.docx", "A 12315-2024")</f>
        <v/>
      </c>
      <c r="W125">
        <f>HYPERLINK("https://klasma.github.io/Logging_0980/klagomålsmail/A 12315-2024 FSC-klagomål mail.docx", "A 12315-2024")</f>
        <v/>
      </c>
      <c r="X125">
        <f>HYPERLINK("https://klasma.github.io/Logging_0980/tillsyn/A 12315-2024 tillsynsbegäran.docx", "A 12315-2024")</f>
        <v/>
      </c>
      <c r="Y125">
        <f>HYPERLINK("https://klasma.github.io/Logging_0980/tillsynsmail/A 12315-2024 tillsynsbegäran mail.docx", "A 12315-2024")</f>
        <v/>
      </c>
      <c r="Z125">
        <f>HYPERLINK("https://klasma.github.io/Logging_0980/fåglar/A 12315-2024 prioriterade fågelarter.docx", "A 12315-2024")</f>
        <v/>
      </c>
    </row>
    <row r="126" ht="15" customHeight="1">
      <c r="A126" t="inlineStr">
        <is>
          <t>A 61561-2023</t>
        </is>
      </c>
      <c r="B126" s="1" t="n">
        <v>45265</v>
      </c>
      <c r="C126" s="1" t="n">
        <v>46193</v>
      </c>
      <c r="D126" t="inlineStr">
        <is>
          <t>GOTLANDS LÄN</t>
        </is>
      </c>
      <c r="E126" t="inlineStr">
        <is>
          <t>GOTLAND</t>
        </is>
      </c>
      <c r="G126" t="n">
        <v>7.4</v>
      </c>
      <c r="H126" t="n">
        <v>0</v>
      </c>
      <c r="I126" t="n">
        <v>0</v>
      </c>
      <c r="J126" t="n">
        <v>3</v>
      </c>
      <c r="K126" t="n">
        <v>0</v>
      </c>
      <c r="L126" t="n">
        <v>0</v>
      </c>
      <c r="M126" t="n">
        <v>0</v>
      </c>
      <c r="N126" t="n">
        <v>0</v>
      </c>
      <c r="O126" t="n">
        <v>3</v>
      </c>
      <c r="P126" t="n">
        <v>0</v>
      </c>
      <c r="Q126" t="n">
        <v>3</v>
      </c>
      <c r="R126" s="2" t="inlineStr">
        <is>
          <t>Jordtistel
Loppstarr
Solvända</t>
        </is>
      </c>
      <c r="S126">
        <f>HYPERLINK("https://klasma.github.io/Logging_0980/artfynd/A 61561-2023 artfynd.xlsx", "A 61561-2023")</f>
        <v/>
      </c>
      <c r="T126">
        <f>HYPERLINK("https://klasma.github.io/Logging_0980/kartor/A 61561-2023 karta.png", "A 61561-2023")</f>
        <v/>
      </c>
      <c r="V126">
        <f>HYPERLINK("https://klasma.github.io/Logging_0980/klagomål/A 61561-2023 FSC-klagomål.docx", "A 61561-2023")</f>
        <v/>
      </c>
      <c r="W126">
        <f>HYPERLINK("https://klasma.github.io/Logging_0980/klagomålsmail/A 61561-2023 FSC-klagomål mail.docx", "A 61561-2023")</f>
        <v/>
      </c>
      <c r="X126">
        <f>HYPERLINK("https://klasma.github.io/Logging_0980/tillsyn/A 61561-2023 tillsynsbegäran.docx", "A 61561-2023")</f>
        <v/>
      </c>
      <c r="Y126">
        <f>HYPERLINK("https://klasma.github.io/Logging_0980/tillsynsmail/A 61561-2023 tillsynsbegäran mail.docx", "A 61561-2023")</f>
        <v/>
      </c>
    </row>
    <row r="127" ht="15" customHeight="1">
      <c r="A127" t="inlineStr">
        <is>
          <t>A 7625-2026</t>
        </is>
      </c>
      <c r="B127" s="1" t="n">
        <v>46062</v>
      </c>
      <c r="C127" s="1" t="n">
        <v>46193</v>
      </c>
      <c r="D127" t="inlineStr">
        <is>
          <t>GOTLANDS LÄN</t>
        </is>
      </c>
      <c r="E127" t="inlineStr">
        <is>
          <t>GOTLAND</t>
        </is>
      </c>
      <c r="G127" t="n">
        <v>2.1</v>
      </c>
      <c r="H127" t="n">
        <v>0</v>
      </c>
      <c r="I127" t="n">
        <v>0</v>
      </c>
      <c r="J127" t="n">
        <v>3</v>
      </c>
      <c r="K127" t="n">
        <v>0</v>
      </c>
      <c r="L127" t="n">
        <v>0</v>
      </c>
      <c r="M127" t="n">
        <v>0</v>
      </c>
      <c r="N127" t="n">
        <v>0</v>
      </c>
      <c r="O127" t="n">
        <v>3</v>
      </c>
      <c r="P127" t="n">
        <v>0</v>
      </c>
      <c r="Q127" t="n">
        <v>3</v>
      </c>
      <c r="R127" s="2" t="inlineStr">
        <is>
          <t>Backstarr
Backtimjan
Solvända</t>
        </is>
      </c>
      <c r="S127">
        <f>HYPERLINK("https://klasma.github.io/Logging_0980/artfynd/A 7625-2026 artfynd.xlsx", "A 7625-2026")</f>
        <v/>
      </c>
      <c r="T127">
        <f>HYPERLINK("https://klasma.github.io/Logging_0980/kartor/A 7625-2026 karta.png", "A 7625-2026")</f>
        <v/>
      </c>
      <c r="V127">
        <f>HYPERLINK("https://klasma.github.io/Logging_0980/klagomål/A 7625-2026 FSC-klagomål.docx", "A 7625-2026")</f>
        <v/>
      </c>
      <c r="W127">
        <f>HYPERLINK("https://klasma.github.io/Logging_0980/klagomålsmail/A 7625-2026 FSC-klagomål mail.docx", "A 7625-2026")</f>
        <v/>
      </c>
      <c r="X127">
        <f>HYPERLINK("https://klasma.github.io/Logging_0980/tillsyn/A 7625-2026 tillsynsbegäran.docx", "A 7625-2026")</f>
        <v/>
      </c>
      <c r="Y127">
        <f>HYPERLINK("https://klasma.github.io/Logging_0980/tillsynsmail/A 7625-2026 tillsynsbegäran mail.docx", "A 7625-2026")</f>
        <v/>
      </c>
    </row>
    <row r="128" ht="15" customHeight="1">
      <c r="A128" t="inlineStr">
        <is>
          <t>A 19322-2026</t>
        </is>
      </c>
      <c r="B128" s="1" t="n">
        <v>46129</v>
      </c>
      <c r="C128" s="1" t="n">
        <v>46193</v>
      </c>
      <c r="D128" t="inlineStr">
        <is>
          <t>GOTLANDS LÄN</t>
        </is>
      </c>
      <c r="E128" t="inlineStr">
        <is>
          <t>GOTLAND</t>
        </is>
      </c>
      <c r="G128" t="n">
        <v>1</v>
      </c>
      <c r="H128" t="n">
        <v>2</v>
      </c>
      <c r="I128" t="n">
        <v>1</v>
      </c>
      <c r="J128" t="n">
        <v>2</v>
      </c>
      <c r="K128" t="n">
        <v>0</v>
      </c>
      <c r="L128" t="n">
        <v>0</v>
      </c>
      <c r="M128" t="n">
        <v>0</v>
      </c>
      <c r="N128" t="n">
        <v>0</v>
      </c>
      <c r="O128" t="n">
        <v>2</v>
      </c>
      <c r="P128" t="n">
        <v>0</v>
      </c>
      <c r="Q128" t="n">
        <v>3</v>
      </c>
      <c r="R128" s="2" t="inlineStr">
        <is>
          <t>Gulsparv
Svinrot
Tvåblad</t>
        </is>
      </c>
      <c r="S128">
        <f>HYPERLINK("https://klasma.github.io/Logging_0980/artfynd/A 19322-2026 artfynd.xlsx", "A 19322-2026")</f>
        <v/>
      </c>
      <c r="T128">
        <f>HYPERLINK("https://klasma.github.io/Logging_0980/kartor/A 19322-2026 karta.png", "A 19322-2026")</f>
        <v/>
      </c>
      <c r="V128">
        <f>HYPERLINK("https://klasma.github.io/Logging_0980/klagomål/A 19322-2026 FSC-klagomål.docx", "A 19322-2026")</f>
        <v/>
      </c>
      <c r="W128">
        <f>HYPERLINK("https://klasma.github.io/Logging_0980/klagomålsmail/A 19322-2026 FSC-klagomål mail.docx", "A 19322-2026")</f>
        <v/>
      </c>
      <c r="X128">
        <f>HYPERLINK("https://klasma.github.io/Logging_0980/tillsyn/A 19322-2026 tillsynsbegäran.docx", "A 19322-2026")</f>
        <v/>
      </c>
      <c r="Y128">
        <f>HYPERLINK("https://klasma.github.io/Logging_0980/tillsynsmail/A 19322-2026 tillsynsbegäran mail.docx", "A 19322-2026")</f>
        <v/>
      </c>
      <c r="Z128">
        <f>HYPERLINK("https://klasma.github.io/Logging_0980/fåglar/A 19322-2026 prioriterade fågelarter.docx", "A 19322-2026")</f>
        <v/>
      </c>
    </row>
    <row r="129" ht="15" customHeight="1">
      <c r="A129" t="inlineStr">
        <is>
          <t>A 44207-2022</t>
        </is>
      </c>
      <c r="B129" s="1" t="n">
        <v>44839</v>
      </c>
      <c r="C129" s="1" t="n">
        <v>46193</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60665-2021</t>
        </is>
      </c>
      <c r="B130" s="1" t="n">
        <v>44496</v>
      </c>
      <c r="C130" s="1" t="n">
        <v>46193</v>
      </c>
      <c r="D130" t="inlineStr">
        <is>
          <t>GOTLANDS LÄN</t>
        </is>
      </c>
      <c r="E130" t="inlineStr">
        <is>
          <t>GOTLAND</t>
        </is>
      </c>
      <c r="G130" t="n">
        <v>1.6</v>
      </c>
      <c r="H130" t="n">
        <v>0</v>
      </c>
      <c r="I130" t="n">
        <v>0</v>
      </c>
      <c r="J130" t="n">
        <v>0</v>
      </c>
      <c r="K130" t="n">
        <v>2</v>
      </c>
      <c r="L130" t="n">
        <v>0</v>
      </c>
      <c r="M130" t="n">
        <v>0</v>
      </c>
      <c r="N130" t="n">
        <v>0</v>
      </c>
      <c r="O130" t="n">
        <v>2</v>
      </c>
      <c r="P130" t="n">
        <v>2</v>
      </c>
      <c r="Q130" t="n">
        <v>2</v>
      </c>
      <c r="R130" s="2" t="inlineStr">
        <is>
          <t>Skogskorn
Ädellav</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20218-2022</t>
        </is>
      </c>
      <c r="B131" s="1" t="n">
        <v>44698</v>
      </c>
      <c r="C131" s="1" t="n">
        <v>46193</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49314-2024</t>
        </is>
      </c>
      <c r="B132" s="1" t="n">
        <v>45595</v>
      </c>
      <c r="C132" s="1" t="n">
        <v>46193</v>
      </c>
      <c r="D132" t="inlineStr">
        <is>
          <t>GOTLANDS LÄN</t>
        </is>
      </c>
      <c r="E132" t="inlineStr">
        <is>
          <t>GOTLAND</t>
        </is>
      </c>
      <c r="G132" t="n">
        <v>1.1</v>
      </c>
      <c r="H132" t="n">
        <v>0</v>
      </c>
      <c r="I132" t="n">
        <v>1</v>
      </c>
      <c r="J132" t="n">
        <v>0</v>
      </c>
      <c r="K132" t="n">
        <v>1</v>
      </c>
      <c r="L132" t="n">
        <v>0</v>
      </c>
      <c r="M132" t="n">
        <v>0</v>
      </c>
      <c r="N132" t="n">
        <v>0</v>
      </c>
      <c r="O132" t="n">
        <v>1</v>
      </c>
      <c r="P132" t="n">
        <v>1</v>
      </c>
      <c r="Q132" t="n">
        <v>2</v>
      </c>
      <c r="R132" s="2" t="inlineStr">
        <is>
          <t>Skogskorn
Underviol</t>
        </is>
      </c>
      <c r="S132">
        <f>HYPERLINK("https://klasma.github.io/Logging_0980/artfynd/A 49314-2024 artfynd.xlsx", "A 49314-2024")</f>
        <v/>
      </c>
      <c r="T132">
        <f>HYPERLINK("https://klasma.github.io/Logging_0980/kartor/A 49314-2024 karta.png", "A 49314-2024")</f>
        <v/>
      </c>
      <c r="V132">
        <f>HYPERLINK("https://klasma.github.io/Logging_0980/klagomål/A 49314-2024 FSC-klagomål.docx", "A 49314-2024")</f>
        <v/>
      </c>
      <c r="W132">
        <f>HYPERLINK("https://klasma.github.io/Logging_0980/klagomålsmail/A 49314-2024 FSC-klagomål mail.docx", "A 49314-2024")</f>
        <v/>
      </c>
      <c r="X132">
        <f>HYPERLINK("https://klasma.github.io/Logging_0980/tillsyn/A 49314-2024 tillsynsbegäran.docx", "A 49314-2024")</f>
        <v/>
      </c>
      <c r="Y132">
        <f>HYPERLINK("https://klasma.github.io/Logging_0980/tillsynsmail/A 49314-2024 tillsynsbegäran mail.docx", "A 49314-2024")</f>
        <v/>
      </c>
    </row>
    <row r="133" ht="15" customHeight="1">
      <c r="A133" t="inlineStr">
        <is>
          <t>A 12209-2024</t>
        </is>
      </c>
      <c r="B133" s="1" t="n">
        <v>45378</v>
      </c>
      <c r="C133" s="1" t="n">
        <v>46193</v>
      </c>
      <c r="D133" t="inlineStr">
        <is>
          <t>GOTLANDS LÄN</t>
        </is>
      </c>
      <c r="E133" t="inlineStr">
        <is>
          <t>GOTLAND</t>
        </is>
      </c>
      <c r="G133" t="n">
        <v>5.3</v>
      </c>
      <c r="H133" t="n">
        <v>0</v>
      </c>
      <c r="I133" t="n">
        <v>0</v>
      </c>
      <c r="J133" t="n">
        <v>1</v>
      </c>
      <c r="K133" t="n">
        <v>1</v>
      </c>
      <c r="L133" t="n">
        <v>0</v>
      </c>
      <c r="M133" t="n">
        <v>0</v>
      </c>
      <c r="N133" t="n">
        <v>0</v>
      </c>
      <c r="O133" t="n">
        <v>2</v>
      </c>
      <c r="P133" t="n">
        <v>1</v>
      </c>
      <c r="Q133" t="n">
        <v>2</v>
      </c>
      <c r="R133" s="2" t="inlineStr">
        <is>
          <t>Oxhorndyvel
Krokhorndyvel</t>
        </is>
      </c>
      <c r="S133">
        <f>HYPERLINK("https://klasma.github.io/Logging_0980/artfynd/A 12209-2024 artfynd.xlsx", "A 12209-2024")</f>
        <v/>
      </c>
      <c r="T133">
        <f>HYPERLINK("https://klasma.github.io/Logging_0980/kartor/A 12209-2024 karta.png", "A 12209-2024")</f>
        <v/>
      </c>
      <c r="V133">
        <f>HYPERLINK("https://klasma.github.io/Logging_0980/klagomål/A 12209-2024 FSC-klagomål.docx", "A 12209-2024")</f>
        <v/>
      </c>
      <c r="W133">
        <f>HYPERLINK("https://klasma.github.io/Logging_0980/klagomålsmail/A 12209-2024 FSC-klagomål mail.docx", "A 12209-2024")</f>
        <v/>
      </c>
      <c r="X133">
        <f>HYPERLINK("https://klasma.github.io/Logging_0980/tillsyn/A 12209-2024 tillsynsbegäran.docx", "A 12209-2024")</f>
        <v/>
      </c>
      <c r="Y133">
        <f>HYPERLINK("https://klasma.github.io/Logging_0980/tillsynsmail/A 12209-2024 tillsynsbegäran mail.docx", "A 12209-2024")</f>
        <v/>
      </c>
    </row>
    <row r="134" ht="15" customHeight="1">
      <c r="A134" t="inlineStr">
        <is>
          <t>A 26077-2024</t>
        </is>
      </c>
      <c r="B134" s="1" t="n">
        <v>45467</v>
      </c>
      <c r="C134" s="1" t="n">
        <v>46193</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28276-2024</t>
        </is>
      </c>
      <c r="B135" s="1" t="n">
        <v>45477</v>
      </c>
      <c r="C135" s="1" t="n">
        <v>46193</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20429-2025</t>
        </is>
      </c>
      <c r="B136" s="1" t="n">
        <v>45775</v>
      </c>
      <c r="C136" s="1" t="n">
        <v>46193</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33011-2025</t>
        </is>
      </c>
      <c r="B137" s="1" t="n">
        <v>45840</v>
      </c>
      <c r="C137" s="1" t="n">
        <v>46193</v>
      </c>
      <c r="D137" t="inlineStr">
        <is>
          <t>GOTLANDS LÄN</t>
        </is>
      </c>
      <c r="E137" t="inlineStr">
        <is>
          <t>GOTLAND</t>
        </is>
      </c>
      <c r="G137" t="n">
        <v>1.7</v>
      </c>
      <c r="H137" t="n">
        <v>2</v>
      </c>
      <c r="I137" t="n">
        <v>0</v>
      </c>
      <c r="J137" t="n">
        <v>1</v>
      </c>
      <c r="K137" t="n">
        <v>1</v>
      </c>
      <c r="L137" t="n">
        <v>0</v>
      </c>
      <c r="M137" t="n">
        <v>0</v>
      </c>
      <c r="N137" t="n">
        <v>0</v>
      </c>
      <c r="O137" t="n">
        <v>2</v>
      </c>
      <c r="P137" t="n">
        <v>1</v>
      </c>
      <c r="Q137" t="n">
        <v>2</v>
      </c>
      <c r="R137" s="2" t="inlineStr">
        <is>
          <t>Hasselsnok
Mindre hackspett</t>
        </is>
      </c>
      <c r="S137">
        <f>HYPERLINK("https://klasma.github.io/Logging_0980/artfynd/A 33011-2025 artfynd.xlsx", "A 33011-2025")</f>
        <v/>
      </c>
      <c r="T137">
        <f>HYPERLINK("https://klasma.github.io/Logging_0980/kartor/A 33011-2025 karta.png", "A 33011-2025")</f>
        <v/>
      </c>
      <c r="V137">
        <f>HYPERLINK("https://klasma.github.io/Logging_0980/klagomål/A 33011-2025 FSC-klagomål.docx", "A 33011-2025")</f>
        <v/>
      </c>
      <c r="W137">
        <f>HYPERLINK("https://klasma.github.io/Logging_0980/klagomålsmail/A 33011-2025 FSC-klagomål mail.docx", "A 33011-2025")</f>
        <v/>
      </c>
      <c r="X137">
        <f>HYPERLINK("https://klasma.github.io/Logging_0980/tillsyn/A 33011-2025 tillsynsbegäran.docx", "A 33011-2025")</f>
        <v/>
      </c>
      <c r="Y137">
        <f>HYPERLINK("https://klasma.github.io/Logging_0980/tillsynsmail/A 33011-2025 tillsynsbegäran mail.docx", "A 33011-2025")</f>
        <v/>
      </c>
      <c r="Z137">
        <f>HYPERLINK("https://klasma.github.io/Logging_0980/fåglar/A 33011-2025 prioriterade fågelarter.docx", "A 33011-2025")</f>
        <v/>
      </c>
    </row>
    <row r="138" ht="15" customHeight="1">
      <c r="A138" t="inlineStr">
        <is>
          <t>A 1010-2024</t>
        </is>
      </c>
      <c r="B138" s="1" t="n">
        <v>45301</v>
      </c>
      <c r="C138" s="1" t="n">
        <v>46193</v>
      </c>
      <c r="D138" t="inlineStr">
        <is>
          <t>GOTLANDS LÄN</t>
        </is>
      </c>
      <c r="E138" t="inlineStr">
        <is>
          <t>GOTLAND</t>
        </is>
      </c>
      <c r="G138" t="n">
        <v>2.4</v>
      </c>
      <c r="H138" t="n">
        <v>0</v>
      </c>
      <c r="I138" t="n">
        <v>2</v>
      </c>
      <c r="J138" t="n">
        <v>0</v>
      </c>
      <c r="K138" t="n">
        <v>0</v>
      </c>
      <c r="L138" t="n">
        <v>0</v>
      </c>
      <c r="M138" t="n">
        <v>0</v>
      </c>
      <c r="N138" t="n">
        <v>0</v>
      </c>
      <c r="O138" t="n">
        <v>0</v>
      </c>
      <c r="P138" t="n">
        <v>0</v>
      </c>
      <c r="Q138" t="n">
        <v>2</v>
      </c>
      <c r="R138" s="2" t="inlineStr">
        <is>
          <t>Anisspindling
Diskvaxskivling</t>
        </is>
      </c>
      <c r="S138">
        <f>HYPERLINK("https://klasma.github.io/Logging_0980/artfynd/A 1010-2024 artfynd.xlsx", "A 1010-2024")</f>
        <v/>
      </c>
      <c r="T138">
        <f>HYPERLINK("https://klasma.github.io/Logging_0980/kartor/A 1010-2024 karta.png", "A 1010-2024")</f>
        <v/>
      </c>
      <c r="V138">
        <f>HYPERLINK("https://klasma.github.io/Logging_0980/klagomål/A 1010-2024 FSC-klagomål.docx", "A 1010-2024")</f>
        <v/>
      </c>
      <c r="W138">
        <f>HYPERLINK("https://klasma.github.io/Logging_0980/klagomålsmail/A 1010-2024 FSC-klagomål mail.docx", "A 1010-2024")</f>
        <v/>
      </c>
      <c r="X138">
        <f>HYPERLINK("https://klasma.github.io/Logging_0980/tillsyn/A 1010-2024 tillsynsbegäran.docx", "A 1010-2024")</f>
        <v/>
      </c>
      <c r="Y138">
        <f>HYPERLINK("https://klasma.github.io/Logging_0980/tillsynsmail/A 1010-2024 tillsynsbegäran mail.docx", "A 1010-2024")</f>
        <v/>
      </c>
    </row>
    <row r="139" ht="15" customHeight="1">
      <c r="A139" t="inlineStr">
        <is>
          <t>A 27589-2023</t>
        </is>
      </c>
      <c r="B139" s="1" t="n">
        <v>45097</v>
      </c>
      <c r="C139" s="1" t="n">
        <v>46193</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27621-2026</t>
        </is>
      </c>
      <c r="B140" s="1" t="n">
        <v>46190</v>
      </c>
      <c r="C140" s="1" t="n">
        <v>46193</v>
      </c>
      <c r="D140" t="inlineStr">
        <is>
          <t>GOTLANDS LÄN</t>
        </is>
      </c>
      <c r="E140" t="inlineStr">
        <is>
          <t>GOTLAND</t>
        </is>
      </c>
      <c r="G140" t="n">
        <v>6</v>
      </c>
      <c r="H140" t="n">
        <v>2</v>
      </c>
      <c r="I140" t="n">
        <v>0</v>
      </c>
      <c r="J140" t="n">
        <v>1</v>
      </c>
      <c r="K140" t="n">
        <v>0</v>
      </c>
      <c r="L140" t="n">
        <v>0</v>
      </c>
      <c r="M140" t="n">
        <v>0</v>
      </c>
      <c r="N140" t="n">
        <v>0</v>
      </c>
      <c r="O140" t="n">
        <v>1</v>
      </c>
      <c r="P140" t="n">
        <v>0</v>
      </c>
      <c r="Q140" t="n">
        <v>2</v>
      </c>
      <c r="R140" s="2" t="inlineStr">
        <is>
          <t>Adam och eva
Spillkråka</t>
        </is>
      </c>
      <c r="S140">
        <f>HYPERLINK("https://klasma.github.io/Logging_0980/artfynd/A 27621-2026 artfynd.xlsx", "A 27621-2026")</f>
        <v/>
      </c>
      <c r="T140">
        <f>HYPERLINK("https://klasma.github.io/Logging_0980/kartor/A 27621-2026 karta.png", "A 27621-2026")</f>
        <v/>
      </c>
      <c r="V140">
        <f>HYPERLINK("https://klasma.github.io/Logging_0980/klagomål/A 27621-2026 FSC-klagomål.docx", "A 27621-2026")</f>
        <v/>
      </c>
      <c r="W140">
        <f>HYPERLINK("https://klasma.github.io/Logging_0980/klagomålsmail/A 27621-2026 FSC-klagomål mail.docx", "A 27621-2026")</f>
        <v/>
      </c>
      <c r="X140">
        <f>HYPERLINK("https://klasma.github.io/Logging_0980/tillsyn/A 27621-2026 tillsynsbegäran.docx", "A 27621-2026")</f>
        <v/>
      </c>
      <c r="Y140">
        <f>HYPERLINK("https://klasma.github.io/Logging_0980/tillsynsmail/A 27621-2026 tillsynsbegäran mail.docx", "A 27621-2026")</f>
        <v/>
      </c>
      <c r="Z140">
        <f>HYPERLINK("https://klasma.github.io/Logging_0980/fåglar/A 27621-2026 prioriterade fågelarter.docx", "A 27621-2026")</f>
        <v/>
      </c>
    </row>
    <row r="141" ht="15" customHeight="1">
      <c r="A141" t="inlineStr">
        <is>
          <t>A 8036-2022</t>
        </is>
      </c>
      <c r="B141" s="1" t="n">
        <v>44609</v>
      </c>
      <c r="C141" s="1" t="n">
        <v>46193</v>
      </c>
      <c r="D141" t="inlineStr">
        <is>
          <t>GOTLANDS LÄN</t>
        </is>
      </c>
      <c r="E141" t="inlineStr">
        <is>
          <t>GOTLAND</t>
        </is>
      </c>
      <c r="G141" t="n">
        <v>6.1</v>
      </c>
      <c r="H141" t="n">
        <v>2</v>
      </c>
      <c r="I141" t="n">
        <v>0</v>
      </c>
      <c r="J141" t="n">
        <v>1</v>
      </c>
      <c r="K141" t="n">
        <v>1</v>
      </c>
      <c r="L141" t="n">
        <v>0</v>
      </c>
      <c r="M141" t="n">
        <v>0</v>
      </c>
      <c r="N141" t="n">
        <v>0</v>
      </c>
      <c r="O141" t="n">
        <v>2</v>
      </c>
      <c r="P141" t="n">
        <v>1</v>
      </c>
      <c r="Q141" t="n">
        <v>2</v>
      </c>
      <c r="R141" s="2" t="inlineStr">
        <is>
          <t>Grönfink
Grönsångare</t>
        </is>
      </c>
      <c r="S141">
        <f>HYPERLINK("https://klasma.github.io/Logging_0980/artfynd/A 8036-2022 artfynd.xlsx", "A 8036-2022")</f>
        <v/>
      </c>
      <c r="T141">
        <f>HYPERLINK("https://klasma.github.io/Logging_0980/kartor/A 8036-2022 karta.png", "A 8036-2022")</f>
        <v/>
      </c>
      <c r="V141">
        <f>HYPERLINK("https://klasma.github.io/Logging_0980/klagomål/A 8036-2022 FSC-klagomål.docx", "A 8036-2022")</f>
        <v/>
      </c>
      <c r="W141">
        <f>HYPERLINK("https://klasma.github.io/Logging_0980/klagomålsmail/A 8036-2022 FSC-klagomål mail.docx", "A 8036-2022")</f>
        <v/>
      </c>
      <c r="X141">
        <f>HYPERLINK("https://klasma.github.io/Logging_0980/tillsyn/A 8036-2022 tillsynsbegäran.docx", "A 8036-2022")</f>
        <v/>
      </c>
      <c r="Y141">
        <f>HYPERLINK("https://klasma.github.io/Logging_0980/tillsynsmail/A 8036-2022 tillsynsbegäran mail.docx", "A 8036-2022")</f>
        <v/>
      </c>
      <c r="Z141">
        <f>HYPERLINK("https://klasma.github.io/Logging_0980/fåglar/A 8036-2022 prioriterade fågelarter.docx", "A 8036-2022")</f>
        <v/>
      </c>
    </row>
    <row r="142" ht="15" customHeight="1">
      <c r="A142" t="inlineStr">
        <is>
          <t>A 7070-2022</t>
        </is>
      </c>
      <c r="B142" s="1" t="n">
        <v>44603</v>
      </c>
      <c r="C142" s="1" t="n">
        <v>46193</v>
      </c>
      <c r="D142" t="inlineStr">
        <is>
          <t>GOTLANDS LÄN</t>
        </is>
      </c>
      <c r="E142" t="inlineStr">
        <is>
          <t>GOTLAND</t>
        </is>
      </c>
      <c r="G142" t="n">
        <v>2.6</v>
      </c>
      <c r="H142" t="n">
        <v>0</v>
      </c>
      <c r="I142" t="n">
        <v>1</v>
      </c>
      <c r="J142" t="n">
        <v>1</v>
      </c>
      <c r="K142" t="n">
        <v>0</v>
      </c>
      <c r="L142" t="n">
        <v>0</v>
      </c>
      <c r="M142" t="n">
        <v>0</v>
      </c>
      <c r="N142" t="n">
        <v>0</v>
      </c>
      <c r="O142" t="n">
        <v>1</v>
      </c>
      <c r="P142" t="n">
        <v>0</v>
      </c>
      <c r="Q142" t="n">
        <v>2</v>
      </c>
      <c r="R142" s="2" t="inlineStr">
        <is>
          <t>Kattfotslav
Blåmossa</t>
        </is>
      </c>
      <c r="S142">
        <f>HYPERLINK("https://klasma.github.io/Logging_0980/artfynd/A 7070-2022 artfynd.xlsx", "A 7070-2022")</f>
        <v/>
      </c>
      <c r="T142">
        <f>HYPERLINK("https://klasma.github.io/Logging_0980/kartor/A 7070-2022 karta.png", "A 7070-2022")</f>
        <v/>
      </c>
      <c r="V142">
        <f>HYPERLINK("https://klasma.github.io/Logging_0980/klagomål/A 7070-2022 FSC-klagomål.docx", "A 7070-2022")</f>
        <v/>
      </c>
      <c r="W142">
        <f>HYPERLINK("https://klasma.github.io/Logging_0980/klagomålsmail/A 7070-2022 FSC-klagomål mail.docx", "A 7070-2022")</f>
        <v/>
      </c>
      <c r="X142">
        <f>HYPERLINK("https://klasma.github.io/Logging_0980/tillsyn/A 7070-2022 tillsynsbegäran.docx", "A 7070-2022")</f>
        <v/>
      </c>
      <c r="Y142">
        <f>HYPERLINK("https://klasma.github.io/Logging_0980/tillsynsmail/A 7070-2022 tillsynsbegäran mail.docx", "A 7070-2022")</f>
        <v/>
      </c>
    </row>
    <row r="143" ht="15" customHeight="1">
      <c r="A143" t="inlineStr">
        <is>
          <t>A 12914-2025</t>
        </is>
      </c>
      <c r="B143" s="1" t="n">
        <v>45733</v>
      </c>
      <c r="C143" s="1" t="n">
        <v>46193</v>
      </c>
      <c r="D143" t="inlineStr">
        <is>
          <t>GOTLANDS LÄN</t>
        </is>
      </c>
      <c r="E143" t="inlineStr">
        <is>
          <t>GOTLAND</t>
        </is>
      </c>
      <c r="G143" t="n">
        <v>24.8</v>
      </c>
      <c r="H143" t="n">
        <v>2</v>
      </c>
      <c r="I143" t="n">
        <v>1</v>
      </c>
      <c r="J143" t="n">
        <v>0</v>
      </c>
      <c r="K143" t="n">
        <v>0</v>
      </c>
      <c r="L143" t="n">
        <v>0</v>
      </c>
      <c r="M143" t="n">
        <v>0</v>
      </c>
      <c r="N143" t="n">
        <v>0</v>
      </c>
      <c r="O143" t="n">
        <v>0</v>
      </c>
      <c r="P143" t="n">
        <v>0</v>
      </c>
      <c r="Q143" t="n">
        <v>2</v>
      </c>
      <c r="R143" s="2" t="inlineStr">
        <is>
          <t>Purpurknipprot
Brudsporre</t>
        </is>
      </c>
      <c r="S143">
        <f>HYPERLINK("https://klasma.github.io/Logging_0980/artfynd/A 12914-2025 artfynd.xlsx", "A 12914-2025")</f>
        <v/>
      </c>
      <c r="T143">
        <f>HYPERLINK("https://klasma.github.io/Logging_0980/kartor/A 12914-2025 karta.png", "A 12914-2025")</f>
        <v/>
      </c>
      <c r="V143">
        <f>HYPERLINK("https://klasma.github.io/Logging_0980/klagomål/A 12914-2025 FSC-klagomål.docx", "A 12914-2025")</f>
        <v/>
      </c>
      <c r="W143">
        <f>HYPERLINK("https://klasma.github.io/Logging_0980/klagomålsmail/A 12914-2025 FSC-klagomål mail.docx", "A 12914-2025")</f>
        <v/>
      </c>
      <c r="X143">
        <f>HYPERLINK("https://klasma.github.io/Logging_0980/tillsyn/A 12914-2025 tillsynsbegäran.docx", "A 12914-2025")</f>
        <v/>
      </c>
      <c r="Y143">
        <f>HYPERLINK("https://klasma.github.io/Logging_0980/tillsynsmail/A 12914-2025 tillsynsbegäran mail.docx", "A 12914-2025")</f>
        <v/>
      </c>
    </row>
    <row r="144" ht="15" customHeight="1">
      <c r="A144" t="inlineStr">
        <is>
          <t>A 28261-2024</t>
        </is>
      </c>
      <c r="B144" s="1" t="n">
        <v>45477</v>
      </c>
      <c r="C144" s="1" t="n">
        <v>46193</v>
      </c>
      <c r="D144" t="inlineStr">
        <is>
          <t>GOTLANDS LÄN</t>
        </is>
      </c>
      <c r="E144" t="inlineStr">
        <is>
          <t>GOTLAND</t>
        </is>
      </c>
      <c r="G144" t="n">
        <v>22.8</v>
      </c>
      <c r="H144" t="n">
        <v>0</v>
      </c>
      <c r="I144" t="n">
        <v>0</v>
      </c>
      <c r="J144" t="n">
        <v>2</v>
      </c>
      <c r="K144" t="n">
        <v>0</v>
      </c>
      <c r="L144" t="n">
        <v>0</v>
      </c>
      <c r="M144" t="n">
        <v>0</v>
      </c>
      <c r="N144" t="n">
        <v>0</v>
      </c>
      <c r="O144" t="n">
        <v>2</v>
      </c>
      <c r="P144" t="n">
        <v>0</v>
      </c>
      <c r="Q144" t="n">
        <v>2</v>
      </c>
      <c r="R144" s="2" t="inlineStr">
        <is>
          <t>Grådådra
Åkerkulla</t>
        </is>
      </c>
      <c r="S144">
        <f>HYPERLINK("https://klasma.github.io/Logging_0980/artfynd/A 28261-2024 artfynd.xlsx", "A 28261-2024")</f>
        <v/>
      </c>
      <c r="T144">
        <f>HYPERLINK("https://klasma.github.io/Logging_0980/kartor/A 28261-2024 karta.png", "A 28261-2024")</f>
        <v/>
      </c>
      <c r="V144">
        <f>HYPERLINK("https://klasma.github.io/Logging_0980/klagomål/A 28261-2024 FSC-klagomål.docx", "A 28261-2024")</f>
        <v/>
      </c>
      <c r="W144">
        <f>HYPERLINK("https://klasma.github.io/Logging_0980/klagomålsmail/A 28261-2024 FSC-klagomål mail.docx", "A 28261-2024")</f>
        <v/>
      </c>
      <c r="X144">
        <f>HYPERLINK("https://klasma.github.io/Logging_0980/tillsyn/A 28261-2024 tillsynsbegäran.docx", "A 28261-2024")</f>
        <v/>
      </c>
      <c r="Y144">
        <f>HYPERLINK("https://klasma.github.io/Logging_0980/tillsynsmail/A 28261-2024 tillsynsbegäran mail.docx", "A 28261-2024")</f>
        <v/>
      </c>
    </row>
    <row r="145" ht="15" customHeight="1">
      <c r="A145" t="inlineStr">
        <is>
          <t>A 62760-2025</t>
        </is>
      </c>
      <c r="B145" s="1" t="n">
        <v>46008</v>
      </c>
      <c r="C145" s="1" t="n">
        <v>46193</v>
      </c>
      <c r="D145" t="inlineStr">
        <is>
          <t>GOTLANDS LÄN</t>
        </is>
      </c>
      <c r="E145" t="inlineStr">
        <is>
          <t>GOTLAND</t>
        </is>
      </c>
      <c r="F145" t="inlineStr">
        <is>
          <t>Övriga Aktiebolag</t>
        </is>
      </c>
      <c r="G145" t="n">
        <v>4.6</v>
      </c>
      <c r="H145" t="n">
        <v>1</v>
      </c>
      <c r="I145" t="n">
        <v>1</v>
      </c>
      <c r="J145" t="n">
        <v>1</v>
      </c>
      <c r="K145" t="n">
        <v>0</v>
      </c>
      <c r="L145" t="n">
        <v>0</v>
      </c>
      <c r="M145" t="n">
        <v>0</v>
      </c>
      <c r="N145" t="n">
        <v>0</v>
      </c>
      <c r="O145" t="n">
        <v>1</v>
      </c>
      <c r="P145" t="n">
        <v>0</v>
      </c>
      <c r="Q145" t="n">
        <v>2</v>
      </c>
      <c r="R145" s="2" t="inlineStr">
        <is>
          <t>Vårärt
Nästrot</t>
        </is>
      </c>
      <c r="S145">
        <f>HYPERLINK("https://klasma.github.io/Logging_0980/artfynd/A 62760-2025 artfynd.xlsx", "A 62760-2025")</f>
        <v/>
      </c>
      <c r="T145">
        <f>HYPERLINK("https://klasma.github.io/Logging_0980/kartor/A 62760-2025 karta.png", "A 62760-2025")</f>
        <v/>
      </c>
      <c r="V145">
        <f>HYPERLINK("https://klasma.github.io/Logging_0980/klagomål/A 62760-2025 FSC-klagomål.docx", "A 62760-2025")</f>
        <v/>
      </c>
      <c r="W145">
        <f>HYPERLINK("https://klasma.github.io/Logging_0980/klagomålsmail/A 62760-2025 FSC-klagomål mail.docx", "A 62760-2025")</f>
        <v/>
      </c>
      <c r="X145">
        <f>HYPERLINK("https://klasma.github.io/Logging_0980/tillsyn/A 62760-2025 tillsynsbegäran.docx", "A 62760-2025")</f>
        <v/>
      </c>
      <c r="Y145">
        <f>HYPERLINK("https://klasma.github.io/Logging_0980/tillsynsmail/A 62760-2025 tillsynsbegäran mail.docx", "A 62760-2025")</f>
        <v/>
      </c>
    </row>
    <row r="146" ht="15" customHeight="1">
      <c r="A146" t="inlineStr">
        <is>
          <t>A 49411-2023</t>
        </is>
      </c>
      <c r="B146" s="1" t="n">
        <v>45205</v>
      </c>
      <c r="C146" s="1" t="n">
        <v>46193</v>
      </c>
      <c r="D146" t="inlineStr">
        <is>
          <t>GOTLANDS LÄN</t>
        </is>
      </c>
      <c r="E146" t="inlineStr">
        <is>
          <t>GOTLAND</t>
        </is>
      </c>
      <c r="G146" t="n">
        <v>2</v>
      </c>
      <c r="H146" t="n">
        <v>1</v>
      </c>
      <c r="I146" t="n">
        <v>1</v>
      </c>
      <c r="J146" t="n">
        <v>1</v>
      </c>
      <c r="K146" t="n">
        <v>0</v>
      </c>
      <c r="L146" t="n">
        <v>0</v>
      </c>
      <c r="M146" t="n">
        <v>0</v>
      </c>
      <c r="N146" t="n">
        <v>0</v>
      </c>
      <c r="O146" t="n">
        <v>1</v>
      </c>
      <c r="P146" t="n">
        <v>0</v>
      </c>
      <c r="Q146" t="n">
        <v>2</v>
      </c>
      <c r="R146" s="2" t="inlineStr">
        <is>
          <t>Svinrot
Tvåblad</t>
        </is>
      </c>
      <c r="S146">
        <f>HYPERLINK("https://klasma.github.io/Logging_0980/artfynd/A 49411-2023 artfynd.xlsx", "A 49411-2023")</f>
        <v/>
      </c>
      <c r="T146">
        <f>HYPERLINK("https://klasma.github.io/Logging_0980/kartor/A 49411-2023 karta.png", "A 49411-2023")</f>
        <v/>
      </c>
      <c r="V146">
        <f>HYPERLINK("https://klasma.github.io/Logging_0980/klagomål/A 49411-2023 FSC-klagomål.docx", "A 49411-2023")</f>
        <v/>
      </c>
      <c r="W146">
        <f>HYPERLINK("https://klasma.github.io/Logging_0980/klagomålsmail/A 49411-2023 FSC-klagomål mail.docx", "A 49411-2023")</f>
        <v/>
      </c>
      <c r="X146">
        <f>HYPERLINK("https://klasma.github.io/Logging_0980/tillsyn/A 49411-2023 tillsynsbegäran.docx", "A 49411-2023")</f>
        <v/>
      </c>
      <c r="Y146">
        <f>HYPERLINK("https://klasma.github.io/Logging_0980/tillsynsmail/A 49411-2023 tillsynsbegäran mail.docx", "A 49411-2023")</f>
        <v/>
      </c>
    </row>
    <row r="147" ht="15" customHeight="1">
      <c r="A147" t="inlineStr">
        <is>
          <t>A 63162-2025</t>
        </is>
      </c>
      <c r="B147" s="1" t="n">
        <v>46010</v>
      </c>
      <c r="C147" s="1" t="n">
        <v>46193</v>
      </c>
      <c r="D147" t="inlineStr">
        <is>
          <t>GOTLANDS LÄN</t>
        </is>
      </c>
      <c r="E147" t="inlineStr">
        <is>
          <t>GOTLAND</t>
        </is>
      </c>
      <c r="G147" t="n">
        <v>3.5</v>
      </c>
      <c r="H147" t="n">
        <v>0</v>
      </c>
      <c r="I147" t="n">
        <v>1</v>
      </c>
      <c r="J147" t="n">
        <v>0</v>
      </c>
      <c r="K147" t="n">
        <v>1</v>
      </c>
      <c r="L147" t="n">
        <v>0</v>
      </c>
      <c r="M147" t="n">
        <v>0</v>
      </c>
      <c r="N147" t="n">
        <v>0</v>
      </c>
      <c r="O147" t="n">
        <v>1</v>
      </c>
      <c r="P147" t="n">
        <v>1</v>
      </c>
      <c r="Q147" t="n">
        <v>2</v>
      </c>
      <c r="R147" s="2" t="inlineStr">
        <is>
          <t>Gotlandsmåra
Myskmadra</t>
        </is>
      </c>
      <c r="S147">
        <f>HYPERLINK("https://klasma.github.io/Logging_0980/artfynd/A 63162-2025 artfynd.xlsx", "A 63162-2025")</f>
        <v/>
      </c>
      <c r="T147">
        <f>HYPERLINK("https://klasma.github.io/Logging_0980/kartor/A 63162-2025 karta.png", "A 63162-2025")</f>
        <v/>
      </c>
      <c r="V147">
        <f>HYPERLINK("https://klasma.github.io/Logging_0980/klagomål/A 63162-2025 FSC-klagomål.docx", "A 63162-2025")</f>
        <v/>
      </c>
      <c r="W147">
        <f>HYPERLINK("https://klasma.github.io/Logging_0980/klagomålsmail/A 63162-2025 FSC-klagomål mail.docx", "A 63162-2025")</f>
        <v/>
      </c>
      <c r="X147">
        <f>HYPERLINK("https://klasma.github.io/Logging_0980/tillsyn/A 63162-2025 tillsynsbegäran.docx", "A 63162-2025")</f>
        <v/>
      </c>
      <c r="Y147">
        <f>HYPERLINK("https://klasma.github.io/Logging_0980/tillsynsmail/A 63162-2025 tillsynsbegäran mail.docx", "A 63162-2025")</f>
        <v/>
      </c>
    </row>
    <row r="148" ht="15" customHeight="1">
      <c r="A148" t="inlineStr">
        <is>
          <t>A 11708-2026</t>
        </is>
      </c>
      <c r="B148" s="1" t="n">
        <v>46084</v>
      </c>
      <c r="C148" s="1" t="n">
        <v>46193</v>
      </c>
      <c r="D148" t="inlineStr">
        <is>
          <t>GOTLANDS LÄN</t>
        </is>
      </c>
      <c r="E148" t="inlineStr">
        <is>
          <t>GOTLAND</t>
        </is>
      </c>
      <c r="G148" t="n">
        <v>8.4</v>
      </c>
      <c r="H148" t="n">
        <v>1</v>
      </c>
      <c r="I148" t="n">
        <v>0</v>
      </c>
      <c r="J148" t="n">
        <v>0</v>
      </c>
      <c r="K148" t="n">
        <v>1</v>
      </c>
      <c r="L148" t="n">
        <v>0</v>
      </c>
      <c r="M148" t="n">
        <v>0</v>
      </c>
      <c r="N148" t="n">
        <v>0</v>
      </c>
      <c r="O148" t="n">
        <v>1</v>
      </c>
      <c r="P148" t="n">
        <v>1</v>
      </c>
      <c r="Q148" t="n">
        <v>2</v>
      </c>
      <c r="R148" s="2" t="inlineStr">
        <is>
          <t>Toppjungfrulin
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17328-2026</t>
        </is>
      </c>
      <c r="B149" s="1" t="n">
        <v>46119</v>
      </c>
      <c r="C149" s="1" t="n">
        <v>46193</v>
      </c>
      <c r="D149" t="inlineStr">
        <is>
          <t>GOTLANDS LÄN</t>
        </is>
      </c>
      <c r="E149" t="inlineStr">
        <is>
          <t>GOTLAND</t>
        </is>
      </c>
      <c r="F149" t="inlineStr">
        <is>
          <t>Kyrkan</t>
        </is>
      </c>
      <c r="G149" t="n">
        <v>4</v>
      </c>
      <c r="H149" t="n">
        <v>1</v>
      </c>
      <c r="I149" t="n">
        <v>0</v>
      </c>
      <c r="J149" t="n">
        <v>1</v>
      </c>
      <c r="K149" t="n">
        <v>0</v>
      </c>
      <c r="L149" t="n">
        <v>0</v>
      </c>
      <c r="M149" t="n">
        <v>0</v>
      </c>
      <c r="N149" t="n">
        <v>0</v>
      </c>
      <c r="O149" t="n">
        <v>1</v>
      </c>
      <c r="P149" t="n">
        <v>0</v>
      </c>
      <c r="Q149" t="n">
        <v>2</v>
      </c>
      <c r="R149" s="2" t="inlineStr">
        <is>
          <t>Backtimjan
Spillkråka</t>
        </is>
      </c>
      <c r="S149">
        <f>HYPERLINK("https://klasma.github.io/Logging_0980/artfynd/A 17328-2026 artfynd.xlsx", "A 17328-2026")</f>
        <v/>
      </c>
      <c r="T149">
        <f>HYPERLINK("https://klasma.github.io/Logging_0980/kartor/A 17328-2026 karta.png", "A 17328-2026")</f>
        <v/>
      </c>
      <c r="V149">
        <f>HYPERLINK("https://klasma.github.io/Logging_0980/klagomål/A 17328-2026 FSC-klagomål.docx", "A 17328-2026")</f>
        <v/>
      </c>
      <c r="W149">
        <f>HYPERLINK("https://klasma.github.io/Logging_0980/klagomålsmail/A 17328-2026 FSC-klagomål mail.docx", "A 17328-2026")</f>
        <v/>
      </c>
      <c r="X149">
        <f>HYPERLINK("https://klasma.github.io/Logging_0980/tillsyn/A 17328-2026 tillsynsbegäran.docx", "A 17328-2026")</f>
        <v/>
      </c>
      <c r="Y149">
        <f>HYPERLINK("https://klasma.github.io/Logging_0980/tillsynsmail/A 17328-2026 tillsynsbegäran mail.docx", "A 17328-2026")</f>
        <v/>
      </c>
      <c r="Z149">
        <f>HYPERLINK("https://klasma.github.io/Logging_0980/fåglar/A 17328-2026 prioriterade fågelarter.docx", "A 17328-2026")</f>
        <v/>
      </c>
    </row>
    <row r="150" ht="15" customHeight="1">
      <c r="A150" t="inlineStr">
        <is>
          <t>A 883-2025</t>
        </is>
      </c>
      <c r="B150" s="1" t="n">
        <v>45665</v>
      </c>
      <c r="C150" s="1" t="n">
        <v>46193</v>
      </c>
      <c r="D150" t="inlineStr">
        <is>
          <t>GOTLANDS LÄN</t>
        </is>
      </c>
      <c r="E150" t="inlineStr">
        <is>
          <t>GOTLAND</t>
        </is>
      </c>
      <c r="G150" t="n">
        <v>1.3</v>
      </c>
      <c r="H150" t="n">
        <v>0</v>
      </c>
      <c r="I150" t="n">
        <v>2</v>
      </c>
      <c r="J150" t="n">
        <v>0</v>
      </c>
      <c r="K150" t="n">
        <v>0</v>
      </c>
      <c r="L150" t="n">
        <v>0</v>
      </c>
      <c r="M150" t="n">
        <v>0</v>
      </c>
      <c r="N150" t="n">
        <v>0</v>
      </c>
      <c r="O150" t="n">
        <v>0</v>
      </c>
      <c r="P150" t="n">
        <v>0</v>
      </c>
      <c r="Q150" t="n">
        <v>2</v>
      </c>
      <c r="R150" s="2" t="inlineStr">
        <is>
          <t>Axag
Kärrlilja</t>
        </is>
      </c>
      <c r="S150">
        <f>HYPERLINK("https://klasma.github.io/Logging_0980/artfynd/A 883-2025 artfynd.xlsx", "A 883-2025")</f>
        <v/>
      </c>
      <c r="T150">
        <f>HYPERLINK("https://klasma.github.io/Logging_0980/kartor/A 883-2025 karta.png", "A 883-2025")</f>
        <v/>
      </c>
      <c r="V150">
        <f>HYPERLINK("https://klasma.github.io/Logging_0980/klagomål/A 883-2025 FSC-klagomål.docx", "A 883-2025")</f>
        <v/>
      </c>
      <c r="W150">
        <f>HYPERLINK("https://klasma.github.io/Logging_0980/klagomålsmail/A 883-2025 FSC-klagomål mail.docx", "A 883-2025")</f>
        <v/>
      </c>
      <c r="X150">
        <f>HYPERLINK("https://klasma.github.io/Logging_0980/tillsyn/A 883-2025 tillsynsbegäran.docx", "A 883-2025")</f>
        <v/>
      </c>
      <c r="Y150">
        <f>HYPERLINK("https://klasma.github.io/Logging_0980/tillsynsmail/A 883-2025 tillsynsbegäran mail.docx", "A 883-2025")</f>
        <v/>
      </c>
    </row>
    <row r="151" ht="15" customHeight="1">
      <c r="A151" t="inlineStr">
        <is>
          <t>A 46362-2021</t>
        </is>
      </c>
      <c r="B151" s="1" t="n">
        <v>44442</v>
      </c>
      <c r="C151" s="1" t="n">
        <v>46193</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46193</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46193</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46193</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46193</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999-2023</t>
        </is>
      </c>
      <c r="B156" s="1" t="n">
        <v>44935</v>
      </c>
      <c r="C156" s="1" t="n">
        <v>46193</v>
      </c>
      <c r="D156" t="inlineStr">
        <is>
          <t>GOTLANDS LÄN</t>
        </is>
      </c>
      <c r="E156" t="inlineStr">
        <is>
          <t>GOTLAND</t>
        </is>
      </c>
      <c r="G156" t="n">
        <v>4.7</v>
      </c>
      <c r="H156" t="n">
        <v>1</v>
      </c>
      <c r="I156" t="n">
        <v>0</v>
      </c>
      <c r="J156" t="n">
        <v>0</v>
      </c>
      <c r="K156" t="n">
        <v>1</v>
      </c>
      <c r="L156" t="n">
        <v>0</v>
      </c>
      <c r="M156" t="n">
        <v>0</v>
      </c>
      <c r="N156" t="n">
        <v>0</v>
      </c>
      <c r="O156" t="n">
        <v>1</v>
      </c>
      <c r="P156" t="n">
        <v>1</v>
      </c>
      <c r="Q156" t="n">
        <v>1</v>
      </c>
      <c r="R156" s="2" t="inlineStr">
        <is>
          <t>Garderönn</t>
        </is>
      </c>
      <c r="S156">
        <f>HYPERLINK("https://klasma.github.io/Logging_0980/artfynd/A 999-2023 artfynd.xlsx", "A 999-2023")</f>
        <v/>
      </c>
      <c r="T156">
        <f>HYPERLINK("https://klasma.github.io/Logging_0980/kartor/A 999-2023 karta.png", "A 999-2023")</f>
        <v/>
      </c>
      <c r="V156">
        <f>HYPERLINK("https://klasma.github.io/Logging_0980/klagomål/A 999-2023 FSC-klagomål.docx", "A 999-2023")</f>
        <v/>
      </c>
      <c r="W156">
        <f>HYPERLINK("https://klasma.github.io/Logging_0980/klagomålsmail/A 999-2023 FSC-klagomål mail.docx", "A 999-2023")</f>
        <v/>
      </c>
      <c r="X156">
        <f>HYPERLINK("https://klasma.github.io/Logging_0980/tillsyn/A 999-2023 tillsynsbegäran.docx", "A 999-2023")</f>
        <v/>
      </c>
      <c r="Y156">
        <f>HYPERLINK("https://klasma.github.io/Logging_0980/tillsynsmail/A 999-2023 tillsynsbegäran mail.docx", "A 999-2023")</f>
        <v/>
      </c>
    </row>
    <row r="157" ht="15" customHeight="1">
      <c r="A157" t="inlineStr">
        <is>
          <t>A 25977-2024</t>
        </is>
      </c>
      <c r="B157" s="1" t="n">
        <v>45467</v>
      </c>
      <c r="C157" s="1" t="n">
        <v>46193</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22782-2023</t>
        </is>
      </c>
      <c r="B158" s="1" t="n">
        <v>45072</v>
      </c>
      <c r="C158" s="1" t="n">
        <v>46193</v>
      </c>
      <c r="D158" t="inlineStr">
        <is>
          <t>GOTLANDS LÄN</t>
        </is>
      </c>
      <c r="E158" t="inlineStr">
        <is>
          <t>GOTLAND</t>
        </is>
      </c>
      <c r="F158" t="inlineStr">
        <is>
          <t>Kyrkan</t>
        </is>
      </c>
      <c r="G158" t="n">
        <v>3.1</v>
      </c>
      <c r="H158" t="n">
        <v>1</v>
      </c>
      <c r="I158" t="n">
        <v>0</v>
      </c>
      <c r="J158" t="n">
        <v>0</v>
      </c>
      <c r="K158" t="n">
        <v>0</v>
      </c>
      <c r="L158" t="n">
        <v>0</v>
      </c>
      <c r="M158" t="n">
        <v>0</v>
      </c>
      <c r="N158" t="n">
        <v>0</v>
      </c>
      <c r="O158" t="n">
        <v>0</v>
      </c>
      <c r="P158" t="n">
        <v>0</v>
      </c>
      <c r="Q158" t="n">
        <v>1</v>
      </c>
      <c r="R158" s="2" t="inlineStr">
        <is>
          <t>Ängsnycklar × skogsnycklar</t>
        </is>
      </c>
      <c r="S158">
        <f>HYPERLINK("https://klasma.github.io/Logging_0980/artfynd/A 22782-2023 artfynd.xlsx", "A 22782-2023")</f>
        <v/>
      </c>
      <c r="T158">
        <f>HYPERLINK("https://klasma.github.io/Logging_0980/kartor/A 22782-2023 karta.png", "A 22782-2023")</f>
        <v/>
      </c>
      <c r="V158">
        <f>HYPERLINK("https://klasma.github.io/Logging_0980/klagomål/A 22782-2023 FSC-klagomål.docx", "A 22782-2023")</f>
        <v/>
      </c>
      <c r="W158">
        <f>HYPERLINK("https://klasma.github.io/Logging_0980/klagomålsmail/A 22782-2023 FSC-klagomål mail.docx", "A 22782-2023")</f>
        <v/>
      </c>
      <c r="X158">
        <f>HYPERLINK("https://klasma.github.io/Logging_0980/tillsyn/A 22782-2023 tillsynsbegäran.docx", "A 22782-2023")</f>
        <v/>
      </c>
      <c r="Y158">
        <f>HYPERLINK("https://klasma.github.io/Logging_0980/tillsynsmail/A 22782-2023 tillsynsbegäran mail.docx", "A 22782-2023")</f>
        <v/>
      </c>
    </row>
    <row r="159" ht="15" customHeight="1">
      <c r="A159" t="inlineStr">
        <is>
          <t>A 27602-2023</t>
        </is>
      </c>
      <c r="B159" s="1" t="n">
        <v>45097</v>
      </c>
      <c r="C159" s="1" t="n">
        <v>46193</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22883-2024</t>
        </is>
      </c>
      <c r="B160" s="1" t="n">
        <v>45448</v>
      </c>
      <c r="C160" s="1" t="n">
        <v>46193</v>
      </c>
      <c r="D160" t="inlineStr">
        <is>
          <t>GOTLANDS LÄN</t>
        </is>
      </c>
      <c r="E160" t="inlineStr">
        <is>
          <t>GOTLAND</t>
        </is>
      </c>
      <c r="G160" t="n">
        <v>0.5</v>
      </c>
      <c r="H160" t="n">
        <v>0</v>
      </c>
      <c r="I160" t="n">
        <v>0</v>
      </c>
      <c r="J160" t="n">
        <v>0</v>
      </c>
      <c r="K160" t="n">
        <v>1</v>
      </c>
      <c r="L160" t="n">
        <v>0</v>
      </c>
      <c r="M160" t="n">
        <v>0</v>
      </c>
      <c r="N160" t="n">
        <v>0</v>
      </c>
      <c r="O160" t="n">
        <v>1</v>
      </c>
      <c r="P160" t="n">
        <v>1</v>
      </c>
      <c r="Q160" t="n">
        <v>1</v>
      </c>
      <c r="R160" s="2" t="inlineStr">
        <is>
          <t>Gotlandsmåra</t>
        </is>
      </c>
      <c r="S160">
        <f>HYPERLINK("https://klasma.github.io/Logging_0980/artfynd/A 22883-2024 artfynd.xlsx", "A 22883-2024")</f>
        <v/>
      </c>
      <c r="T160">
        <f>HYPERLINK("https://klasma.github.io/Logging_0980/kartor/A 22883-2024 karta.png", "A 22883-2024")</f>
        <v/>
      </c>
      <c r="V160">
        <f>HYPERLINK("https://klasma.github.io/Logging_0980/klagomål/A 22883-2024 FSC-klagomål.docx", "A 22883-2024")</f>
        <v/>
      </c>
      <c r="W160">
        <f>HYPERLINK("https://klasma.github.io/Logging_0980/klagomålsmail/A 22883-2024 FSC-klagomål mail.docx", "A 22883-2024")</f>
        <v/>
      </c>
      <c r="X160">
        <f>HYPERLINK("https://klasma.github.io/Logging_0980/tillsyn/A 22883-2024 tillsynsbegäran.docx", "A 22883-2024")</f>
        <v/>
      </c>
      <c r="Y160">
        <f>HYPERLINK("https://klasma.github.io/Logging_0980/tillsynsmail/A 22883-2024 tillsynsbegäran mail.docx", "A 22883-2024")</f>
        <v/>
      </c>
    </row>
    <row r="161" ht="15" customHeight="1">
      <c r="A161" t="inlineStr">
        <is>
          <t>A 10218-2025</t>
        </is>
      </c>
      <c r="B161" s="1" t="n">
        <v>45720</v>
      </c>
      <c r="C161" s="1" t="n">
        <v>46193</v>
      </c>
      <c r="D161" t="inlineStr">
        <is>
          <t>GOTLANDS LÄN</t>
        </is>
      </c>
      <c r="E161" t="inlineStr">
        <is>
          <t>GOTLAND</t>
        </is>
      </c>
      <c r="G161" t="n">
        <v>8.1</v>
      </c>
      <c r="H161" t="n">
        <v>0</v>
      </c>
      <c r="I161" t="n">
        <v>1</v>
      </c>
      <c r="J161" t="n">
        <v>0</v>
      </c>
      <c r="K161" t="n">
        <v>0</v>
      </c>
      <c r="L161" t="n">
        <v>0</v>
      </c>
      <c r="M161" t="n">
        <v>0</v>
      </c>
      <c r="N161" t="n">
        <v>0</v>
      </c>
      <c r="O161" t="n">
        <v>0</v>
      </c>
      <c r="P161" t="n">
        <v>0</v>
      </c>
      <c r="Q161" t="n">
        <v>1</v>
      </c>
      <c r="R161" s="2" t="inlineStr">
        <is>
          <t>Kalktallört</t>
        </is>
      </c>
      <c r="S161">
        <f>HYPERLINK("https://klasma.github.io/Logging_0980/artfynd/A 10218-2025 artfynd.xlsx", "A 10218-2025")</f>
        <v/>
      </c>
      <c r="T161">
        <f>HYPERLINK("https://klasma.github.io/Logging_0980/kartor/A 10218-2025 karta.png", "A 10218-2025")</f>
        <v/>
      </c>
      <c r="V161">
        <f>HYPERLINK("https://klasma.github.io/Logging_0980/klagomål/A 10218-2025 FSC-klagomål.docx", "A 10218-2025")</f>
        <v/>
      </c>
      <c r="W161">
        <f>HYPERLINK("https://klasma.github.io/Logging_0980/klagomålsmail/A 10218-2025 FSC-klagomål mail.docx", "A 10218-2025")</f>
        <v/>
      </c>
      <c r="X161">
        <f>HYPERLINK("https://klasma.github.io/Logging_0980/tillsyn/A 10218-2025 tillsynsbegäran.docx", "A 10218-2025")</f>
        <v/>
      </c>
      <c r="Y161">
        <f>HYPERLINK("https://klasma.github.io/Logging_0980/tillsynsmail/A 10218-2025 tillsynsbegäran mail.docx", "A 10218-2025")</f>
        <v/>
      </c>
    </row>
    <row r="162" ht="15" customHeight="1">
      <c r="A162" t="inlineStr">
        <is>
          <t>A 4568-2025</t>
        </is>
      </c>
      <c r="B162" s="1" t="n">
        <v>45687</v>
      </c>
      <c r="C162" s="1" t="n">
        <v>46193</v>
      </c>
      <c r="D162" t="inlineStr">
        <is>
          <t>GOTLANDS LÄN</t>
        </is>
      </c>
      <c r="E162" t="inlineStr">
        <is>
          <t>GOTLAND</t>
        </is>
      </c>
      <c r="G162" t="n">
        <v>1.9</v>
      </c>
      <c r="H162" t="n">
        <v>0</v>
      </c>
      <c r="I162" t="n">
        <v>0</v>
      </c>
      <c r="J162" t="n">
        <v>1</v>
      </c>
      <c r="K162" t="n">
        <v>0</v>
      </c>
      <c r="L162" t="n">
        <v>0</v>
      </c>
      <c r="M162" t="n">
        <v>0</v>
      </c>
      <c r="N162" t="n">
        <v>0</v>
      </c>
      <c r="O162" t="n">
        <v>1</v>
      </c>
      <c r="P162" t="n">
        <v>0</v>
      </c>
      <c r="Q162" t="n">
        <v>1</v>
      </c>
      <c r="R162" s="2" t="inlineStr">
        <is>
          <t>Backfryle</t>
        </is>
      </c>
      <c r="S162">
        <f>HYPERLINK("https://klasma.github.io/Logging_0980/artfynd/A 4568-2025 artfynd.xlsx", "A 4568-2025")</f>
        <v/>
      </c>
      <c r="T162">
        <f>HYPERLINK("https://klasma.github.io/Logging_0980/kartor/A 4568-2025 karta.png", "A 4568-2025")</f>
        <v/>
      </c>
      <c r="V162">
        <f>HYPERLINK("https://klasma.github.io/Logging_0980/klagomål/A 4568-2025 FSC-klagomål.docx", "A 4568-2025")</f>
        <v/>
      </c>
      <c r="W162">
        <f>HYPERLINK("https://klasma.github.io/Logging_0980/klagomålsmail/A 4568-2025 FSC-klagomål mail.docx", "A 4568-2025")</f>
        <v/>
      </c>
      <c r="X162">
        <f>HYPERLINK("https://klasma.github.io/Logging_0980/tillsyn/A 4568-2025 tillsynsbegäran.docx", "A 4568-2025")</f>
        <v/>
      </c>
      <c r="Y162">
        <f>HYPERLINK("https://klasma.github.io/Logging_0980/tillsynsmail/A 4568-2025 tillsynsbegäran mail.docx", "A 4568-2025")</f>
        <v/>
      </c>
    </row>
    <row r="163" ht="15" customHeight="1">
      <c r="A163" t="inlineStr">
        <is>
          <t>A 61796-2022</t>
        </is>
      </c>
      <c r="B163" s="1" t="n">
        <v>44917</v>
      </c>
      <c r="C163" s="1" t="n">
        <v>46193</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5751-2024</t>
        </is>
      </c>
      <c r="B164" s="1" t="n">
        <v>45335</v>
      </c>
      <c r="C164" s="1" t="n">
        <v>46193</v>
      </c>
      <c r="D164" t="inlineStr">
        <is>
          <t>GOTLANDS LÄN</t>
        </is>
      </c>
      <c r="E164" t="inlineStr">
        <is>
          <t>GOTLAND</t>
        </is>
      </c>
      <c r="G164" t="n">
        <v>4.2</v>
      </c>
      <c r="H164" t="n">
        <v>0</v>
      </c>
      <c r="I164" t="n">
        <v>0</v>
      </c>
      <c r="J164" t="n">
        <v>1</v>
      </c>
      <c r="K164" t="n">
        <v>0</v>
      </c>
      <c r="L164" t="n">
        <v>0</v>
      </c>
      <c r="M164" t="n">
        <v>0</v>
      </c>
      <c r="N164" t="n">
        <v>0</v>
      </c>
      <c r="O164" t="n">
        <v>1</v>
      </c>
      <c r="P164" t="n">
        <v>0</v>
      </c>
      <c r="Q164" t="n">
        <v>1</v>
      </c>
      <c r="R164" s="2" t="inlineStr">
        <is>
          <t>Svinrot</t>
        </is>
      </c>
      <c r="S164">
        <f>HYPERLINK("https://klasma.github.io/Logging_0980/artfynd/A 5751-2024 artfynd.xlsx", "A 5751-2024")</f>
        <v/>
      </c>
      <c r="T164">
        <f>HYPERLINK("https://klasma.github.io/Logging_0980/kartor/A 5751-2024 karta.png", "A 5751-2024")</f>
        <v/>
      </c>
      <c r="V164">
        <f>HYPERLINK("https://klasma.github.io/Logging_0980/klagomål/A 5751-2024 FSC-klagomål.docx", "A 5751-2024")</f>
        <v/>
      </c>
      <c r="W164">
        <f>HYPERLINK("https://klasma.github.io/Logging_0980/klagomålsmail/A 5751-2024 FSC-klagomål mail.docx", "A 5751-2024")</f>
        <v/>
      </c>
      <c r="X164">
        <f>HYPERLINK("https://klasma.github.io/Logging_0980/tillsyn/A 5751-2024 tillsynsbegäran.docx", "A 5751-2024")</f>
        <v/>
      </c>
      <c r="Y164">
        <f>HYPERLINK("https://klasma.github.io/Logging_0980/tillsynsmail/A 5751-2024 tillsynsbegäran mail.docx", "A 5751-2024")</f>
        <v/>
      </c>
    </row>
    <row r="165" ht="15" customHeight="1">
      <c r="A165" t="inlineStr">
        <is>
          <t>A 12379-2024</t>
        </is>
      </c>
      <c r="B165" s="1" t="n">
        <v>45379</v>
      </c>
      <c r="C165" s="1" t="n">
        <v>46193</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57534-2022</t>
        </is>
      </c>
      <c r="B166" s="1" t="n">
        <v>44896</v>
      </c>
      <c r="C166" s="1" t="n">
        <v>46193</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Myskmadra</t>
        </is>
      </c>
      <c r="S166">
        <f>HYPERLINK("https://klasma.github.io/Logging_0980/artfynd/A 57534-2022 artfynd.xlsx", "A 57534-2022")</f>
        <v/>
      </c>
      <c r="T166">
        <f>HYPERLINK("https://klasma.github.io/Logging_0980/kartor/A 57534-2022 karta.png", "A 57534-2022")</f>
        <v/>
      </c>
      <c r="V166">
        <f>HYPERLINK("https://klasma.github.io/Logging_0980/klagomål/A 57534-2022 FSC-klagomål.docx", "A 57534-2022")</f>
        <v/>
      </c>
      <c r="W166">
        <f>HYPERLINK("https://klasma.github.io/Logging_0980/klagomålsmail/A 57534-2022 FSC-klagomål mail.docx", "A 57534-2022")</f>
        <v/>
      </c>
      <c r="X166">
        <f>HYPERLINK("https://klasma.github.io/Logging_0980/tillsyn/A 57534-2022 tillsynsbegäran.docx", "A 57534-2022")</f>
        <v/>
      </c>
      <c r="Y166">
        <f>HYPERLINK("https://klasma.github.io/Logging_0980/tillsynsmail/A 57534-2022 tillsynsbegäran mail.docx", "A 57534-2022")</f>
        <v/>
      </c>
    </row>
    <row r="167" ht="15" customHeight="1">
      <c r="A167" t="inlineStr">
        <is>
          <t>A 46189-2022</t>
        </is>
      </c>
      <c r="B167" s="1" t="n">
        <v>44847</v>
      </c>
      <c r="C167" s="1" t="n">
        <v>46193</v>
      </c>
      <c r="D167" t="inlineStr">
        <is>
          <t>GOTLANDS LÄN</t>
        </is>
      </c>
      <c r="E167" t="inlineStr">
        <is>
          <t>GOTLAND</t>
        </is>
      </c>
      <c r="G167" t="n">
        <v>0.4</v>
      </c>
      <c r="H167" t="n">
        <v>0</v>
      </c>
      <c r="I167" t="n">
        <v>0</v>
      </c>
      <c r="J167" t="n">
        <v>1</v>
      </c>
      <c r="K167" t="n">
        <v>0</v>
      </c>
      <c r="L167" t="n">
        <v>0</v>
      </c>
      <c r="M167" t="n">
        <v>0</v>
      </c>
      <c r="N167" t="n">
        <v>0</v>
      </c>
      <c r="O167" t="n">
        <v>1</v>
      </c>
      <c r="P167" t="n">
        <v>0</v>
      </c>
      <c r="Q167" t="n">
        <v>1</v>
      </c>
      <c r="R167" s="2" t="inlineStr">
        <is>
          <t>Stjälkröksvamp</t>
        </is>
      </c>
      <c r="S167">
        <f>HYPERLINK("https://klasma.github.io/Logging_0980/artfynd/A 46189-2022 artfynd.xlsx", "A 46189-2022")</f>
        <v/>
      </c>
      <c r="T167">
        <f>HYPERLINK("https://klasma.github.io/Logging_0980/kartor/A 46189-2022 karta.png", "A 46189-2022")</f>
        <v/>
      </c>
      <c r="V167">
        <f>HYPERLINK("https://klasma.github.io/Logging_0980/klagomål/A 46189-2022 FSC-klagomål.docx", "A 46189-2022")</f>
        <v/>
      </c>
      <c r="W167">
        <f>HYPERLINK("https://klasma.github.io/Logging_0980/klagomålsmail/A 46189-2022 FSC-klagomål mail.docx", "A 46189-2022")</f>
        <v/>
      </c>
      <c r="X167">
        <f>HYPERLINK("https://klasma.github.io/Logging_0980/tillsyn/A 46189-2022 tillsynsbegäran.docx", "A 46189-2022")</f>
        <v/>
      </c>
      <c r="Y167">
        <f>HYPERLINK("https://klasma.github.io/Logging_0980/tillsynsmail/A 46189-2022 tillsynsbegäran mail.docx", "A 46189-2022")</f>
        <v/>
      </c>
    </row>
    <row r="168" ht="15" customHeight="1">
      <c r="A168" t="inlineStr">
        <is>
          <t>A 15637-2024</t>
        </is>
      </c>
      <c r="B168" s="1" t="n">
        <v>45403</v>
      </c>
      <c r="C168" s="1" t="n">
        <v>46193</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24245-2022</t>
        </is>
      </c>
      <c r="B169" s="1" t="n">
        <v>44725</v>
      </c>
      <c r="C169" s="1" t="n">
        <v>46193</v>
      </c>
      <c r="D169" t="inlineStr">
        <is>
          <t>GOTLANDS LÄN</t>
        </is>
      </c>
      <c r="E169" t="inlineStr">
        <is>
          <t>GOTLAND</t>
        </is>
      </c>
      <c r="G169" t="n">
        <v>4.9</v>
      </c>
      <c r="H169" t="n">
        <v>0</v>
      </c>
      <c r="I169" t="n">
        <v>0</v>
      </c>
      <c r="J169" t="n">
        <v>0</v>
      </c>
      <c r="K169" t="n">
        <v>0</v>
      </c>
      <c r="L169" t="n">
        <v>1</v>
      </c>
      <c r="M169" t="n">
        <v>0</v>
      </c>
      <c r="N169" t="n">
        <v>0</v>
      </c>
      <c r="O169" t="n">
        <v>1</v>
      </c>
      <c r="P169" t="n">
        <v>1</v>
      </c>
      <c r="Q169" t="n">
        <v>1</v>
      </c>
      <c r="R169" s="2" t="inlineStr">
        <is>
          <t>Slät taggsvamp</t>
        </is>
      </c>
      <c r="S169">
        <f>HYPERLINK("https://klasma.github.io/Logging_0980/artfynd/A 24245-2022 artfynd.xlsx", "A 24245-2022")</f>
        <v/>
      </c>
      <c r="T169">
        <f>HYPERLINK("https://klasma.github.io/Logging_0980/kartor/A 24245-2022 karta.png", "A 24245-2022")</f>
        <v/>
      </c>
      <c r="V169">
        <f>HYPERLINK("https://klasma.github.io/Logging_0980/klagomål/A 24245-2022 FSC-klagomål.docx", "A 24245-2022")</f>
        <v/>
      </c>
      <c r="W169">
        <f>HYPERLINK("https://klasma.github.io/Logging_0980/klagomålsmail/A 24245-2022 FSC-klagomål mail.docx", "A 24245-2022")</f>
        <v/>
      </c>
      <c r="X169">
        <f>HYPERLINK("https://klasma.github.io/Logging_0980/tillsyn/A 24245-2022 tillsynsbegäran.docx", "A 24245-2022")</f>
        <v/>
      </c>
      <c r="Y169">
        <f>HYPERLINK("https://klasma.github.io/Logging_0980/tillsynsmail/A 24245-2022 tillsynsbegäran mail.docx", "A 24245-2022")</f>
        <v/>
      </c>
    </row>
    <row r="170" ht="15" customHeight="1">
      <c r="A170" t="inlineStr">
        <is>
          <t>A 7042-2023</t>
        </is>
      </c>
      <c r="B170" s="1" t="n">
        <v>44968</v>
      </c>
      <c r="C170" s="1" t="n">
        <v>46193</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46193</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27593-2023</t>
        </is>
      </c>
      <c r="B172" s="1" t="n">
        <v>45097</v>
      </c>
      <c r="C172" s="1" t="n">
        <v>46193</v>
      </c>
      <c r="D172" t="inlineStr">
        <is>
          <t>GOTLANDS LÄN</t>
        </is>
      </c>
      <c r="E172" t="inlineStr">
        <is>
          <t>GOTLAND</t>
        </is>
      </c>
      <c r="G172" t="n">
        <v>3.1</v>
      </c>
      <c r="H172" t="n">
        <v>1</v>
      </c>
      <c r="I172" t="n">
        <v>0</v>
      </c>
      <c r="J172" t="n">
        <v>0</v>
      </c>
      <c r="K172" t="n">
        <v>0</v>
      </c>
      <c r="L172" t="n">
        <v>1</v>
      </c>
      <c r="M172" t="n">
        <v>0</v>
      </c>
      <c r="N172" t="n">
        <v>0</v>
      </c>
      <c r="O172" t="n">
        <v>1</v>
      </c>
      <c r="P172" t="n">
        <v>1</v>
      </c>
      <c r="Q172" t="n">
        <v>1</v>
      </c>
      <c r="R172" s="2" t="inlineStr">
        <is>
          <t>Spjutsporre</t>
        </is>
      </c>
      <c r="S172">
        <f>HYPERLINK("https://klasma.github.io/Logging_0980/artfynd/A 27593-2023 artfynd.xlsx", "A 27593-2023")</f>
        <v/>
      </c>
      <c r="T172">
        <f>HYPERLINK("https://klasma.github.io/Logging_0980/kartor/A 27593-2023 karta.png", "A 27593-2023")</f>
        <v/>
      </c>
      <c r="V172">
        <f>HYPERLINK("https://klasma.github.io/Logging_0980/klagomål/A 27593-2023 FSC-klagomål.docx", "A 27593-2023")</f>
        <v/>
      </c>
      <c r="W172">
        <f>HYPERLINK("https://klasma.github.io/Logging_0980/klagomålsmail/A 27593-2023 FSC-klagomål mail.docx", "A 27593-2023")</f>
        <v/>
      </c>
      <c r="X172">
        <f>HYPERLINK("https://klasma.github.io/Logging_0980/tillsyn/A 27593-2023 tillsynsbegäran.docx", "A 27593-2023")</f>
        <v/>
      </c>
      <c r="Y172">
        <f>HYPERLINK("https://klasma.github.io/Logging_0980/tillsynsmail/A 27593-2023 tillsynsbegäran mail.docx", "A 27593-2023")</f>
        <v/>
      </c>
    </row>
    <row r="173" ht="15" customHeight="1">
      <c r="A173" t="inlineStr">
        <is>
          <t>A 49847-2023</t>
        </is>
      </c>
      <c r="B173" s="1" t="n">
        <v>45212</v>
      </c>
      <c r="C173" s="1" t="n">
        <v>46193</v>
      </c>
      <c r="D173" t="inlineStr">
        <is>
          <t>GOTLANDS LÄN</t>
        </is>
      </c>
      <c r="E173" t="inlineStr">
        <is>
          <t>GOTLAND</t>
        </is>
      </c>
      <c r="G173" t="n">
        <v>35.2</v>
      </c>
      <c r="H173" t="n">
        <v>0</v>
      </c>
      <c r="I173" t="n">
        <v>0</v>
      </c>
      <c r="J173" t="n">
        <v>0</v>
      </c>
      <c r="K173" t="n">
        <v>1</v>
      </c>
      <c r="L173" t="n">
        <v>0</v>
      </c>
      <c r="M173" t="n">
        <v>0</v>
      </c>
      <c r="N173" t="n">
        <v>0</v>
      </c>
      <c r="O173" t="n">
        <v>1</v>
      </c>
      <c r="P173" t="n">
        <v>1</v>
      </c>
      <c r="Q173" t="n">
        <v>1</v>
      </c>
      <c r="R173" s="2" t="inlineStr">
        <is>
          <t>Strandviol</t>
        </is>
      </c>
      <c r="S173">
        <f>HYPERLINK("https://klasma.github.io/Logging_0980/artfynd/A 49847-2023 artfynd.xlsx", "A 49847-2023")</f>
        <v/>
      </c>
      <c r="T173">
        <f>HYPERLINK("https://klasma.github.io/Logging_0980/kartor/A 49847-2023 karta.png", "A 49847-2023")</f>
        <v/>
      </c>
      <c r="V173">
        <f>HYPERLINK("https://klasma.github.io/Logging_0980/klagomål/A 49847-2023 FSC-klagomål.docx", "A 49847-2023")</f>
        <v/>
      </c>
      <c r="W173">
        <f>HYPERLINK("https://klasma.github.io/Logging_0980/klagomålsmail/A 49847-2023 FSC-klagomål mail.docx", "A 49847-2023")</f>
        <v/>
      </c>
      <c r="X173">
        <f>HYPERLINK("https://klasma.github.io/Logging_0980/tillsyn/A 49847-2023 tillsynsbegäran.docx", "A 49847-2023")</f>
        <v/>
      </c>
      <c r="Y173">
        <f>HYPERLINK("https://klasma.github.io/Logging_0980/tillsynsmail/A 49847-2023 tillsynsbegäran mail.docx", "A 49847-2023")</f>
        <v/>
      </c>
    </row>
    <row r="174" ht="15" customHeight="1">
      <c r="A174" t="inlineStr">
        <is>
          <t>A 56115-2023</t>
        </is>
      </c>
      <c r="B174" s="1" t="n">
        <v>45236</v>
      </c>
      <c r="C174" s="1" t="n">
        <v>46193</v>
      </c>
      <c r="D174" t="inlineStr">
        <is>
          <t>GOTLANDS LÄN</t>
        </is>
      </c>
      <c r="E174" t="inlineStr">
        <is>
          <t>GOTLAND</t>
        </is>
      </c>
      <c r="G174" t="n">
        <v>2</v>
      </c>
      <c r="H174" t="n">
        <v>1</v>
      </c>
      <c r="I174" t="n">
        <v>1</v>
      </c>
      <c r="J174" t="n">
        <v>0</v>
      </c>
      <c r="K174" t="n">
        <v>0</v>
      </c>
      <c r="L174" t="n">
        <v>0</v>
      </c>
      <c r="M174" t="n">
        <v>0</v>
      </c>
      <c r="N174" t="n">
        <v>0</v>
      </c>
      <c r="O174" t="n">
        <v>0</v>
      </c>
      <c r="P174" t="n">
        <v>0</v>
      </c>
      <c r="Q174" t="n">
        <v>1</v>
      </c>
      <c r="R174" s="2" t="inlineStr">
        <is>
          <t>Skogsknipprot</t>
        </is>
      </c>
      <c r="S174">
        <f>HYPERLINK("https://klasma.github.io/Logging_0980/artfynd/A 56115-2023 artfynd.xlsx", "A 56115-2023")</f>
        <v/>
      </c>
      <c r="T174">
        <f>HYPERLINK("https://klasma.github.io/Logging_0980/kartor/A 56115-2023 karta.png", "A 56115-2023")</f>
        <v/>
      </c>
      <c r="V174">
        <f>HYPERLINK("https://klasma.github.io/Logging_0980/klagomål/A 56115-2023 FSC-klagomål.docx", "A 56115-2023")</f>
        <v/>
      </c>
      <c r="W174">
        <f>HYPERLINK("https://klasma.github.io/Logging_0980/klagomålsmail/A 56115-2023 FSC-klagomål mail.docx", "A 56115-2023")</f>
        <v/>
      </c>
      <c r="X174">
        <f>HYPERLINK("https://klasma.github.io/Logging_0980/tillsyn/A 56115-2023 tillsynsbegäran.docx", "A 56115-2023")</f>
        <v/>
      </c>
      <c r="Y174">
        <f>HYPERLINK("https://klasma.github.io/Logging_0980/tillsynsmail/A 56115-2023 tillsynsbegäran mail.docx", "A 56115-2023")</f>
        <v/>
      </c>
    </row>
    <row r="175" ht="15" customHeight="1">
      <c r="A175" t="inlineStr">
        <is>
          <t>A 10995-2023</t>
        </is>
      </c>
      <c r="B175" s="1" t="n">
        <v>44986</v>
      </c>
      <c r="C175" s="1" t="n">
        <v>46193</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62552-2022</t>
        </is>
      </c>
      <c r="B176" s="1" t="n">
        <v>44924</v>
      </c>
      <c r="C176" s="1" t="n">
        <v>46193</v>
      </c>
      <c r="D176" t="inlineStr">
        <is>
          <t>GOTLANDS LÄN</t>
        </is>
      </c>
      <c r="E176" t="inlineStr">
        <is>
          <t>GOTLAND</t>
        </is>
      </c>
      <c r="G176" t="n">
        <v>1.6</v>
      </c>
      <c r="H176" t="n">
        <v>0</v>
      </c>
      <c r="I176" t="n">
        <v>0</v>
      </c>
      <c r="J176" t="n">
        <v>1</v>
      </c>
      <c r="K176" t="n">
        <v>0</v>
      </c>
      <c r="L176" t="n">
        <v>0</v>
      </c>
      <c r="M176" t="n">
        <v>0</v>
      </c>
      <c r="N176" t="n">
        <v>0</v>
      </c>
      <c r="O176" t="n">
        <v>1</v>
      </c>
      <c r="P176" t="n">
        <v>0</v>
      </c>
      <c r="Q176" t="n">
        <v>1</v>
      </c>
      <c r="R176" s="2" t="inlineStr">
        <is>
          <t>Äggspindling</t>
        </is>
      </c>
      <c r="S176">
        <f>HYPERLINK("https://klasma.github.io/Logging_0980/artfynd/A 62552-2022 artfynd.xlsx", "A 62552-2022")</f>
        <v/>
      </c>
      <c r="T176">
        <f>HYPERLINK("https://klasma.github.io/Logging_0980/kartor/A 62552-2022 karta.png", "A 62552-2022")</f>
        <v/>
      </c>
      <c r="V176">
        <f>HYPERLINK("https://klasma.github.io/Logging_0980/klagomål/A 62552-2022 FSC-klagomål.docx", "A 62552-2022")</f>
        <v/>
      </c>
      <c r="W176">
        <f>HYPERLINK("https://klasma.github.io/Logging_0980/klagomålsmail/A 62552-2022 FSC-klagomål mail.docx", "A 62552-2022")</f>
        <v/>
      </c>
      <c r="X176">
        <f>HYPERLINK("https://klasma.github.io/Logging_0980/tillsyn/A 62552-2022 tillsynsbegäran.docx", "A 62552-2022")</f>
        <v/>
      </c>
      <c r="Y176">
        <f>HYPERLINK("https://klasma.github.io/Logging_0980/tillsynsmail/A 62552-2022 tillsynsbegäran mail.docx", "A 62552-2022")</f>
        <v/>
      </c>
    </row>
    <row r="177" ht="15" customHeight="1">
      <c r="A177" t="inlineStr">
        <is>
          <t>A 35467-2021</t>
        </is>
      </c>
      <c r="B177" s="1" t="n">
        <v>44385</v>
      </c>
      <c r="C177" s="1" t="n">
        <v>46193</v>
      </c>
      <c r="D177" t="inlineStr">
        <is>
          <t>GOTLANDS LÄN</t>
        </is>
      </c>
      <c r="E177" t="inlineStr">
        <is>
          <t>GOTLAND</t>
        </is>
      </c>
      <c r="G177" t="n">
        <v>12.7</v>
      </c>
      <c r="H177" t="n">
        <v>0</v>
      </c>
      <c r="I177" t="n">
        <v>0</v>
      </c>
      <c r="J177" t="n">
        <v>1</v>
      </c>
      <c r="K177" t="n">
        <v>0</v>
      </c>
      <c r="L177" t="n">
        <v>0</v>
      </c>
      <c r="M177" t="n">
        <v>0</v>
      </c>
      <c r="N177" t="n">
        <v>0</v>
      </c>
      <c r="O177" t="n">
        <v>1</v>
      </c>
      <c r="P177" t="n">
        <v>0</v>
      </c>
      <c r="Q177" t="n">
        <v>1</v>
      </c>
      <c r="R177" s="2" t="inlineStr">
        <is>
          <t>Loppstarr</t>
        </is>
      </c>
      <c r="S177">
        <f>HYPERLINK("https://klasma.github.io/Logging_0980/artfynd/A 35467-2021 artfynd.xlsx", "A 35467-2021")</f>
        <v/>
      </c>
      <c r="T177">
        <f>HYPERLINK("https://klasma.github.io/Logging_0980/kartor/A 35467-2021 karta.png", "A 35467-2021")</f>
        <v/>
      </c>
      <c r="V177">
        <f>HYPERLINK("https://klasma.github.io/Logging_0980/klagomål/A 35467-2021 FSC-klagomål.docx", "A 35467-2021")</f>
        <v/>
      </c>
      <c r="W177">
        <f>HYPERLINK("https://klasma.github.io/Logging_0980/klagomålsmail/A 35467-2021 FSC-klagomål mail.docx", "A 35467-2021")</f>
        <v/>
      </c>
      <c r="X177">
        <f>HYPERLINK("https://klasma.github.io/Logging_0980/tillsyn/A 35467-2021 tillsynsbegäran.docx", "A 35467-2021")</f>
        <v/>
      </c>
      <c r="Y177">
        <f>HYPERLINK("https://klasma.github.io/Logging_0980/tillsynsmail/A 35467-2021 tillsynsbegäran mail.docx", "A 35467-2021")</f>
        <v/>
      </c>
    </row>
    <row r="178" ht="15" customHeight="1">
      <c r="A178" t="inlineStr">
        <is>
          <t>A 44088-2022</t>
        </is>
      </c>
      <c r="B178" s="1" t="n">
        <v>44839</v>
      </c>
      <c r="C178" s="1" t="n">
        <v>46193</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Strävlosta</t>
        </is>
      </c>
      <c r="S178">
        <f>HYPERLINK("https://klasma.github.io/Logging_0980/artfynd/A 44088-2022 artfynd.xlsx", "A 44088-2022")</f>
        <v/>
      </c>
      <c r="T178">
        <f>HYPERLINK("https://klasma.github.io/Logging_0980/kartor/A 44088-2022 karta.png", "A 44088-2022")</f>
        <v/>
      </c>
      <c r="V178">
        <f>HYPERLINK("https://klasma.github.io/Logging_0980/klagomål/A 44088-2022 FSC-klagomål.docx", "A 44088-2022")</f>
        <v/>
      </c>
      <c r="W178">
        <f>HYPERLINK("https://klasma.github.io/Logging_0980/klagomålsmail/A 44088-2022 FSC-klagomål mail.docx", "A 44088-2022")</f>
        <v/>
      </c>
      <c r="X178">
        <f>HYPERLINK("https://klasma.github.io/Logging_0980/tillsyn/A 44088-2022 tillsynsbegäran.docx", "A 44088-2022")</f>
        <v/>
      </c>
      <c r="Y178">
        <f>HYPERLINK("https://klasma.github.io/Logging_0980/tillsynsmail/A 44088-2022 tillsynsbegäran mail.docx", "A 44088-2022")</f>
        <v/>
      </c>
    </row>
    <row r="179" ht="15" customHeight="1">
      <c r="A179" t="inlineStr">
        <is>
          <t>A 49693-2023</t>
        </is>
      </c>
      <c r="B179" s="1" t="n">
        <v>45212</v>
      </c>
      <c r="C179" s="1" t="n">
        <v>46193</v>
      </c>
      <c r="D179" t="inlineStr">
        <is>
          <t>GOTLANDS LÄN</t>
        </is>
      </c>
      <c r="E179" t="inlineStr">
        <is>
          <t>GOTLAND</t>
        </is>
      </c>
      <c r="G179" t="n">
        <v>2.4</v>
      </c>
      <c r="H179" t="n">
        <v>0</v>
      </c>
      <c r="I179" t="n">
        <v>0</v>
      </c>
      <c r="J179" t="n">
        <v>0</v>
      </c>
      <c r="K179" t="n">
        <v>1</v>
      </c>
      <c r="L179" t="n">
        <v>0</v>
      </c>
      <c r="M179" t="n">
        <v>0</v>
      </c>
      <c r="N179" t="n">
        <v>0</v>
      </c>
      <c r="O179" t="n">
        <v>1</v>
      </c>
      <c r="P179" t="n">
        <v>1</v>
      </c>
      <c r="Q179" t="n">
        <v>1</v>
      </c>
      <c r="R179" s="2" t="inlineStr">
        <is>
          <t>Vit taggsvamp</t>
        </is>
      </c>
      <c r="S179">
        <f>HYPERLINK("https://klasma.github.io/Logging_0980/artfynd/A 49693-2023 artfynd.xlsx", "A 49693-2023")</f>
        <v/>
      </c>
      <c r="T179">
        <f>HYPERLINK("https://klasma.github.io/Logging_0980/kartor/A 49693-2023 karta.png", "A 49693-2023")</f>
        <v/>
      </c>
      <c r="V179">
        <f>HYPERLINK("https://klasma.github.io/Logging_0980/klagomål/A 49693-2023 FSC-klagomål.docx", "A 49693-2023")</f>
        <v/>
      </c>
      <c r="W179">
        <f>HYPERLINK("https://klasma.github.io/Logging_0980/klagomålsmail/A 49693-2023 FSC-klagomål mail.docx", "A 49693-2023")</f>
        <v/>
      </c>
      <c r="X179">
        <f>HYPERLINK("https://klasma.github.io/Logging_0980/tillsyn/A 49693-2023 tillsynsbegäran.docx", "A 49693-2023")</f>
        <v/>
      </c>
      <c r="Y179">
        <f>HYPERLINK("https://klasma.github.io/Logging_0980/tillsynsmail/A 49693-2023 tillsynsbegäran mail.docx", "A 49693-2023")</f>
        <v/>
      </c>
    </row>
    <row r="180" ht="15" customHeight="1">
      <c r="A180" t="inlineStr">
        <is>
          <t>A 23856-2025</t>
        </is>
      </c>
      <c r="B180" s="1" t="n">
        <v>45793</v>
      </c>
      <c r="C180" s="1" t="n">
        <v>46193</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Vittåtel</t>
        </is>
      </c>
      <c r="S180">
        <f>HYPERLINK("https://klasma.github.io/Logging_0980/artfynd/A 23856-2025 artfynd.xlsx", "A 23856-2025")</f>
        <v/>
      </c>
      <c r="T180">
        <f>HYPERLINK("https://klasma.github.io/Logging_0980/kartor/A 23856-2025 karta.png", "A 23856-2025")</f>
        <v/>
      </c>
      <c r="V180">
        <f>HYPERLINK("https://klasma.github.io/Logging_0980/klagomål/A 23856-2025 FSC-klagomål.docx", "A 23856-2025")</f>
        <v/>
      </c>
      <c r="W180">
        <f>HYPERLINK("https://klasma.github.io/Logging_0980/klagomålsmail/A 23856-2025 FSC-klagomål mail.docx", "A 23856-2025")</f>
        <v/>
      </c>
      <c r="X180">
        <f>HYPERLINK("https://klasma.github.io/Logging_0980/tillsyn/A 23856-2025 tillsynsbegäran.docx", "A 23856-2025")</f>
        <v/>
      </c>
      <c r="Y180">
        <f>HYPERLINK("https://klasma.github.io/Logging_0980/tillsynsmail/A 23856-2025 tillsynsbegäran mail.docx", "A 23856-2025")</f>
        <v/>
      </c>
    </row>
    <row r="181" ht="15" customHeight="1">
      <c r="A181" t="inlineStr">
        <is>
          <t>A 69112-2021</t>
        </is>
      </c>
      <c r="B181" s="1" t="n">
        <v>44530</v>
      </c>
      <c r="C181" s="1" t="n">
        <v>46193</v>
      </c>
      <c r="D181" t="inlineStr">
        <is>
          <t>GOTLANDS LÄN</t>
        </is>
      </c>
      <c r="E181" t="inlineStr">
        <is>
          <t>GOTLAND</t>
        </is>
      </c>
      <c r="G181" t="n">
        <v>4.2</v>
      </c>
      <c r="H181" t="n">
        <v>0</v>
      </c>
      <c r="I181" t="n">
        <v>0</v>
      </c>
      <c r="J181" t="n">
        <v>1</v>
      </c>
      <c r="K181" t="n">
        <v>0</v>
      </c>
      <c r="L181" t="n">
        <v>0</v>
      </c>
      <c r="M181" t="n">
        <v>0</v>
      </c>
      <c r="N181" t="n">
        <v>0</v>
      </c>
      <c r="O181" t="n">
        <v>1</v>
      </c>
      <c r="P181" t="n">
        <v>0</v>
      </c>
      <c r="Q181" t="n">
        <v>1</v>
      </c>
      <c r="R181" s="2" t="inlineStr">
        <is>
          <t>Sårläka</t>
        </is>
      </c>
      <c r="S181">
        <f>HYPERLINK("https://klasma.github.io/Logging_0980/artfynd/A 69112-2021 artfynd.xlsx", "A 69112-2021")</f>
        <v/>
      </c>
      <c r="T181">
        <f>HYPERLINK("https://klasma.github.io/Logging_0980/kartor/A 69112-2021 karta.png", "A 69112-2021")</f>
        <v/>
      </c>
      <c r="V181">
        <f>HYPERLINK("https://klasma.github.io/Logging_0980/klagomål/A 69112-2021 FSC-klagomål.docx", "A 69112-2021")</f>
        <v/>
      </c>
      <c r="W181">
        <f>HYPERLINK("https://klasma.github.io/Logging_0980/klagomålsmail/A 69112-2021 FSC-klagomål mail.docx", "A 69112-2021")</f>
        <v/>
      </c>
      <c r="X181">
        <f>HYPERLINK("https://klasma.github.io/Logging_0980/tillsyn/A 69112-2021 tillsynsbegäran.docx", "A 69112-2021")</f>
        <v/>
      </c>
      <c r="Y181">
        <f>HYPERLINK("https://klasma.github.io/Logging_0980/tillsynsmail/A 69112-2021 tillsynsbegäran mail.docx", "A 69112-2021")</f>
        <v/>
      </c>
    </row>
    <row r="182" ht="15" customHeight="1">
      <c r="A182" t="inlineStr">
        <is>
          <t>A 447-2023</t>
        </is>
      </c>
      <c r="B182" s="1" t="n">
        <v>44929</v>
      </c>
      <c r="C182" s="1" t="n">
        <v>46193</v>
      </c>
      <c r="D182" t="inlineStr">
        <is>
          <t>GOTLANDS LÄN</t>
        </is>
      </c>
      <c r="E182" t="inlineStr">
        <is>
          <t>GOTLAND</t>
        </is>
      </c>
      <c r="G182" t="n">
        <v>5.1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447-2023 artfynd.xlsx", "A 447-2023")</f>
        <v/>
      </c>
      <c r="T182">
        <f>HYPERLINK("https://klasma.github.io/Logging_0980/kartor/A 447-2023 karta.png", "A 447-2023")</f>
        <v/>
      </c>
      <c r="V182">
        <f>HYPERLINK("https://klasma.github.io/Logging_0980/klagomål/A 447-2023 FSC-klagomål.docx", "A 447-2023")</f>
        <v/>
      </c>
      <c r="W182">
        <f>HYPERLINK("https://klasma.github.io/Logging_0980/klagomålsmail/A 447-2023 FSC-klagomål mail.docx", "A 447-2023")</f>
        <v/>
      </c>
      <c r="X182">
        <f>HYPERLINK("https://klasma.github.io/Logging_0980/tillsyn/A 447-2023 tillsynsbegäran.docx", "A 447-2023")</f>
        <v/>
      </c>
      <c r="Y182">
        <f>HYPERLINK("https://klasma.github.io/Logging_0980/tillsynsmail/A 447-2023 tillsynsbegäran mail.docx", "A 447-2023")</f>
        <v/>
      </c>
    </row>
    <row r="183" ht="15" customHeight="1">
      <c r="A183" t="inlineStr">
        <is>
          <t>A 947-2023</t>
        </is>
      </c>
      <c r="B183" s="1" t="n">
        <v>44934</v>
      </c>
      <c r="C183" s="1" t="n">
        <v>46193</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49304-2024</t>
        </is>
      </c>
      <c r="B184" s="1" t="n">
        <v>45595</v>
      </c>
      <c r="C184" s="1" t="n">
        <v>46193</v>
      </c>
      <c r="D184" t="inlineStr">
        <is>
          <t>GOTLANDS LÄN</t>
        </is>
      </c>
      <c r="E184" t="inlineStr">
        <is>
          <t>GOTLAND</t>
        </is>
      </c>
      <c r="G184" t="n">
        <v>10.8</v>
      </c>
      <c r="H184" t="n">
        <v>0</v>
      </c>
      <c r="I184" t="n">
        <v>0</v>
      </c>
      <c r="J184" t="n">
        <v>1</v>
      </c>
      <c r="K184" t="n">
        <v>0</v>
      </c>
      <c r="L184" t="n">
        <v>0</v>
      </c>
      <c r="M184" t="n">
        <v>0</v>
      </c>
      <c r="N184" t="n">
        <v>0</v>
      </c>
      <c r="O184" t="n">
        <v>1</v>
      </c>
      <c r="P184" t="n">
        <v>0</v>
      </c>
      <c r="Q184" t="n">
        <v>1</v>
      </c>
      <c r="R184" s="2" t="inlineStr">
        <is>
          <t>Åkerranunkel</t>
        </is>
      </c>
      <c r="S184">
        <f>HYPERLINK("https://klasma.github.io/Logging_0980/artfynd/A 49304-2024 artfynd.xlsx", "A 49304-2024")</f>
        <v/>
      </c>
      <c r="T184">
        <f>HYPERLINK("https://klasma.github.io/Logging_0980/kartor/A 49304-2024 karta.png", "A 49304-2024")</f>
        <v/>
      </c>
      <c r="V184">
        <f>HYPERLINK("https://klasma.github.io/Logging_0980/klagomål/A 49304-2024 FSC-klagomål.docx", "A 49304-2024")</f>
        <v/>
      </c>
      <c r="W184">
        <f>HYPERLINK("https://klasma.github.io/Logging_0980/klagomålsmail/A 49304-2024 FSC-klagomål mail.docx", "A 49304-2024")</f>
        <v/>
      </c>
      <c r="X184">
        <f>HYPERLINK("https://klasma.github.io/Logging_0980/tillsyn/A 49304-2024 tillsynsbegäran.docx", "A 49304-2024")</f>
        <v/>
      </c>
      <c r="Y184">
        <f>HYPERLINK("https://klasma.github.io/Logging_0980/tillsynsmail/A 49304-2024 tillsynsbegäran mail.docx", "A 49304-2024")</f>
        <v/>
      </c>
    </row>
    <row r="185" ht="15" customHeight="1">
      <c r="A185" t="inlineStr">
        <is>
          <t>A 46545-2024</t>
        </is>
      </c>
      <c r="B185" s="1" t="n">
        <v>45582</v>
      </c>
      <c r="C185" s="1" t="n">
        <v>46193</v>
      </c>
      <c r="D185" t="inlineStr">
        <is>
          <t>GOTLANDS LÄN</t>
        </is>
      </c>
      <c r="E185" t="inlineStr">
        <is>
          <t>GOTLAND</t>
        </is>
      </c>
      <c r="G185" t="n">
        <v>1.2</v>
      </c>
      <c r="H185" t="n">
        <v>0</v>
      </c>
      <c r="I185" t="n">
        <v>0</v>
      </c>
      <c r="J185" t="n">
        <v>0</v>
      </c>
      <c r="K185" t="n">
        <v>1</v>
      </c>
      <c r="L185" t="n">
        <v>0</v>
      </c>
      <c r="M185" t="n">
        <v>0</v>
      </c>
      <c r="N185" t="n">
        <v>0</v>
      </c>
      <c r="O185" t="n">
        <v>1</v>
      </c>
      <c r="P185" t="n">
        <v>1</v>
      </c>
      <c r="Q185" t="n">
        <v>1</v>
      </c>
      <c r="R185" s="2" t="inlineStr">
        <is>
          <t>Källnate</t>
        </is>
      </c>
      <c r="S185">
        <f>HYPERLINK("https://klasma.github.io/Logging_0980/artfynd/A 46545-2024 artfynd.xlsx", "A 46545-2024")</f>
        <v/>
      </c>
      <c r="T185">
        <f>HYPERLINK("https://klasma.github.io/Logging_0980/kartor/A 46545-2024 karta.png", "A 46545-2024")</f>
        <v/>
      </c>
      <c r="V185">
        <f>HYPERLINK("https://klasma.github.io/Logging_0980/klagomål/A 46545-2024 FSC-klagomål.docx", "A 46545-2024")</f>
        <v/>
      </c>
      <c r="W185">
        <f>HYPERLINK("https://klasma.github.io/Logging_0980/klagomålsmail/A 46545-2024 FSC-klagomål mail.docx", "A 46545-2024")</f>
        <v/>
      </c>
      <c r="X185">
        <f>HYPERLINK("https://klasma.github.io/Logging_0980/tillsyn/A 46545-2024 tillsynsbegäran.docx", "A 46545-2024")</f>
        <v/>
      </c>
      <c r="Y185">
        <f>HYPERLINK("https://klasma.github.io/Logging_0980/tillsynsmail/A 46545-2024 tillsynsbegäran mail.docx", "A 46545-2024")</f>
        <v/>
      </c>
    </row>
    <row r="186" ht="15" customHeight="1">
      <c r="A186" t="inlineStr">
        <is>
          <t>A 64700-2021</t>
        </is>
      </c>
      <c r="B186" s="1" t="n">
        <v>44511</v>
      </c>
      <c r="C186" s="1" t="n">
        <v>46193</v>
      </c>
      <c r="D186" t="inlineStr">
        <is>
          <t>GOTLANDS LÄN</t>
        </is>
      </c>
      <c r="E186" t="inlineStr">
        <is>
          <t>GOTLAND</t>
        </is>
      </c>
      <c r="F186" t="inlineStr">
        <is>
          <t>Naturvårdsverket</t>
        </is>
      </c>
      <c r="G186" t="n">
        <v>2.4</v>
      </c>
      <c r="H186" t="n">
        <v>1</v>
      </c>
      <c r="I186" t="n">
        <v>0</v>
      </c>
      <c r="J186" t="n">
        <v>1</v>
      </c>
      <c r="K186" t="n">
        <v>0</v>
      </c>
      <c r="L186" t="n">
        <v>0</v>
      </c>
      <c r="M186" t="n">
        <v>0</v>
      </c>
      <c r="N186" t="n">
        <v>0</v>
      </c>
      <c r="O186" t="n">
        <v>1</v>
      </c>
      <c r="P186" t="n">
        <v>0</v>
      </c>
      <c r="Q186" t="n">
        <v>1</v>
      </c>
      <c r="R186" s="2" t="inlineStr">
        <is>
          <t>Kalkdån</t>
        </is>
      </c>
      <c r="S186">
        <f>HYPERLINK("https://klasma.github.io/Logging_0980/artfynd/A 64700-2021 artfynd.xlsx", "A 64700-2021")</f>
        <v/>
      </c>
      <c r="T186">
        <f>HYPERLINK("https://klasma.github.io/Logging_0980/kartor/A 64700-2021 karta.png", "A 64700-2021")</f>
        <v/>
      </c>
      <c r="V186">
        <f>HYPERLINK("https://klasma.github.io/Logging_0980/klagomål/A 64700-2021 FSC-klagomål.docx", "A 64700-2021")</f>
        <v/>
      </c>
      <c r="W186">
        <f>HYPERLINK("https://klasma.github.io/Logging_0980/klagomålsmail/A 64700-2021 FSC-klagomål mail.docx", "A 64700-2021")</f>
        <v/>
      </c>
      <c r="X186">
        <f>HYPERLINK("https://klasma.github.io/Logging_0980/tillsyn/A 64700-2021 tillsynsbegäran.docx", "A 64700-2021")</f>
        <v/>
      </c>
      <c r="Y186">
        <f>HYPERLINK("https://klasma.github.io/Logging_0980/tillsynsmail/A 64700-2021 tillsynsbegäran mail.docx", "A 64700-2021")</f>
        <v/>
      </c>
    </row>
    <row r="187" ht="15" customHeight="1">
      <c r="A187" t="inlineStr">
        <is>
          <t>A 62915-2021</t>
        </is>
      </c>
      <c r="B187" s="1" t="n">
        <v>44504</v>
      </c>
      <c r="C187" s="1" t="n">
        <v>46193</v>
      </c>
      <c r="D187" t="inlineStr">
        <is>
          <t>GOTLANDS LÄN</t>
        </is>
      </c>
      <c r="E187" t="inlineStr">
        <is>
          <t>GOTLAND</t>
        </is>
      </c>
      <c r="G187" t="n">
        <v>1.1</v>
      </c>
      <c r="H187" t="n">
        <v>1</v>
      </c>
      <c r="I187" t="n">
        <v>0</v>
      </c>
      <c r="J187" t="n">
        <v>0</v>
      </c>
      <c r="K187" t="n">
        <v>0</v>
      </c>
      <c r="L187" t="n">
        <v>0</v>
      </c>
      <c r="M187" t="n">
        <v>0</v>
      </c>
      <c r="N187" t="n">
        <v>0</v>
      </c>
      <c r="O187" t="n">
        <v>0</v>
      </c>
      <c r="P187" t="n">
        <v>0</v>
      </c>
      <c r="Q187" t="n">
        <v>1</v>
      </c>
      <c r="R187" s="2" t="inlineStr">
        <is>
          <t>Bredarun</t>
        </is>
      </c>
      <c r="S187">
        <f>HYPERLINK("https://klasma.github.io/Logging_0980/artfynd/A 62915-2021 artfynd.xlsx", "A 62915-2021")</f>
        <v/>
      </c>
      <c r="T187">
        <f>HYPERLINK("https://klasma.github.io/Logging_0980/kartor/A 62915-2021 karta.png", "A 62915-2021")</f>
        <v/>
      </c>
      <c r="V187">
        <f>HYPERLINK("https://klasma.github.io/Logging_0980/klagomål/A 62915-2021 FSC-klagomål.docx", "A 62915-2021")</f>
        <v/>
      </c>
      <c r="W187">
        <f>HYPERLINK("https://klasma.github.io/Logging_0980/klagomålsmail/A 62915-2021 FSC-klagomål mail.docx", "A 62915-2021")</f>
        <v/>
      </c>
      <c r="X187">
        <f>HYPERLINK("https://klasma.github.io/Logging_0980/tillsyn/A 62915-2021 tillsynsbegäran.docx", "A 62915-2021")</f>
        <v/>
      </c>
      <c r="Y187">
        <f>HYPERLINK("https://klasma.github.io/Logging_0980/tillsynsmail/A 62915-2021 tillsynsbegäran mail.docx", "A 62915-2021")</f>
        <v/>
      </c>
    </row>
    <row r="188" ht="15" customHeight="1">
      <c r="A188" t="inlineStr">
        <is>
          <t>A 6739-2025</t>
        </is>
      </c>
      <c r="B188" s="1" t="n">
        <v>45700</v>
      </c>
      <c r="C188" s="1" t="n">
        <v>46193</v>
      </c>
      <c r="D188" t="inlineStr">
        <is>
          <t>GOTLANDS LÄN</t>
        </is>
      </c>
      <c r="E188" t="inlineStr">
        <is>
          <t>GOTLAND</t>
        </is>
      </c>
      <c r="G188" t="n">
        <v>4.5</v>
      </c>
      <c r="H188" t="n">
        <v>1</v>
      </c>
      <c r="I188" t="n">
        <v>0</v>
      </c>
      <c r="J188" t="n">
        <v>0</v>
      </c>
      <c r="K188" t="n">
        <v>0</v>
      </c>
      <c r="L188" t="n">
        <v>0</v>
      </c>
      <c r="M188" t="n">
        <v>0</v>
      </c>
      <c r="N188" t="n">
        <v>0</v>
      </c>
      <c r="O188" t="n">
        <v>0</v>
      </c>
      <c r="P188" t="n">
        <v>0</v>
      </c>
      <c r="Q188" t="n">
        <v>1</v>
      </c>
      <c r="R188" s="2" t="inlineStr">
        <is>
          <t>Röd glada</t>
        </is>
      </c>
      <c r="S188">
        <f>HYPERLINK("https://klasma.github.io/Logging_0980/artfynd/A 6739-2025 artfynd.xlsx", "A 6739-2025")</f>
        <v/>
      </c>
      <c r="T188">
        <f>HYPERLINK("https://klasma.github.io/Logging_0980/kartor/A 6739-2025 karta.png", "A 6739-2025")</f>
        <v/>
      </c>
      <c r="V188">
        <f>HYPERLINK("https://klasma.github.io/Logging_0980/klagomål/A 6739-2025 FSC-klagomål.docx", "A 6739-2025")</f>
        <v/>
      </c>
      <c r="W188">
        <f>HYPERLINK("https://klasma.github.io/Logging_0980/klagomålsmail/A 6739-2025 FSC-klagomål mail.docx", "A 6739-2025")</f>
        <v/>
      </c>
      <c r="X188">
        <f>HYPERLINK("https://klasma.github.io/Logging_0980/tillsyn/A 6739-2025 tillsynsbegäran.docx", "A 6739-2025")</f>
        <v/>
      </c>
      <c r="Y188">
        <f>HYPERLINK("https://klasma.github.io/Logging_0980/tillsynsmail/A 6739-2025 tillsynsbegäran mail.docx", "A 6739-2025")</f>
        <v/>
      </c>
      <c r="Z188">
        <f>HYPERLINK("https://klasma.github.io/Logging_0980/fåglar/A 6739-2025 prioriterade fågelarter.docx", "A 6739-2025")</f>
        <v/>
      </c>
    </row>
    <row r="189" ht="15" customHeight="1">
      <c r="A189" t="inlineStr">
        <is>
          <t>A 1477-2024</t>
        </is>
      </c>
      <c r="B189" s="1" t="n">
        <v>45305</v>
      </c>
      <c r="C189" s="1" t="n">
        <v>46193</v>
      </c>
      <c r="D189" t="inlineStr">
        <is>
          <t>GOTLANDS LÄN</t>
        </is>
      </c>
      <c r="E189" t="inlineStr">
        <is>
          <t>GOTLAND</t>
        </is>
      </c>
      <c r="G189" t="n">
        <v>6.9</v>
      </c>
      <c r="H189" t="n">
        <v>0</v>
      </c>
      <c r="I189" t="n">
        <v>0</v>
      </c>
      <c r="J189" t="n">
        <v>0</v>
      </c>
      <c r="K189" t="n">
        <v>1</v>
      </c>
      <c r="L189" t="n">
        <v>0</v>
      </c>
      <c r="M189" t="n">
        <v>0</v>
      </c>
      <c r="N189" t="n">
        <v>0</v>
      </c>
      <c r="O189" t="n">
        <v>1</v>
      </c>
      <c r="P189" t="n">
        <v>1</v>
      </c>
      <c r="Q189" t="n">
        <v>1</v>
      </c>
      <c r="R189" s="2" t="inlineStr">
        <is>
          <t>Igelkott</t>
        </is>
      </c>
      <c r="S189">
        <f>HYPERLINK("https://klasma.github.io/Logging_0980/artfynd/A 1477-2024 artfynd.xlsx", "A 1477-2024")</f>
        <v/>
      </c>
      <c r="T189">
        <f>HYPERLINK("https://klasma.github.io/Logging_0980/kartor/A 1477-2024 karta.png", "A 1477-2024")</f>
        <v/>
      </c>
      <c r="V189">
        <f>HYPERLINK("https://klasma.github.io/Logging_0980/klagomål/A 1477-2024 FSC-klagomål.docx", "A 1477-2024")</f>
        <v/>
      </c>
      <c r="W189">
        <f>HYPERLINK("https://klasma.github.io/Logging_0980/klagomålsmail/A 1477-2024 FSC-klagomål mail.docx", "A 1477-2024")</f>
        <v/>
      </c>
      <c r="X189">
        <f>HYPERLINK("https://klasma.github.io/Logging_0980/tillsyn/A 1477-2024 tillsynsbegäran.docx", "A 1477-2024")</f>
        <v/>
      </c>
      <c r="Y189">
        <f>HYPERLINK("https://klasma.github.io/Logging_0980/tillsynsmail/A 1477-2024 tillsynsbegäran mail.docx", "A 1477-2024")</f>
        <v/>
      </c>
    </row>
    <row r="190" ht="15" customHeight="1">
      <c r="A190" t="inlineStr">
        <is>
          <t>A 1677-2023</t>
        </is>
      </c>
      <c r="B190" s="1" t="n">
        <v>44938</v>
      </c>
      <c r="C190" s="1" t="n">
        <v>46193</v>
      </c>
      <c r="D190" t="inlineStr">
        <is>
          <t>GOTLANDS LÄN</t>
        </is>
      </c>
      <c r="E190" t="inlineStr">
        <is>
          <t>GOTLAND</t>
        </is>
      </c>
      <c r="G190" t="n">
        <v>1.6</v>
      </c>
      <c r="H190" t="n">
        <v>0</v>
      </c>
      <c r="I190" t="n">
        <v>0</v>
      </c>
      <c r="J190" t="n">
        <v>1</v>
      </c>
      <c r="K190" t="n">
        <v>0</v>
      </c>
      <c r="L190" t="n">
        <v>0</v>
      </c>
      <c r="M190" t="n">
        <v>0</v>
      </c>
      <c r="N190" t="n">
        <v>0</v>
      </c>
      <c r="O190" t="n">
        <v>1</v>
      </c>
      <c r="P190" t="n">
        <v>0</v>
      </c>
      <c r="Q190" t="n">
        <v>1</v>
      </c>
      <c r="R190" s="2" t="inlineStr">
        <is>
          <t>Strandrosettmossa</t>
        </is>
      </c>
      <c r="S190">
        <f>HYPERLINK("https://klasma.github.io/Logging_0980/artfynd/A 1677-2023 artfynd.xlsx", "A 1677-2023")</f>
        <v/>
      </c>
      <c r="T190">
        <f>HYPERLINK("https://klasma.github.io/Logging_0980/kartor/A 1677-2023 karta.png", "A 1677-2023")</f>
        <v/>
      </c>
      <c r="V190">
        <f>HYPERLINK("https://klasma.github.io/Logging_0980/klagomål/A 1677-2023 FSC-klagomål.docx", "A 1677-2023")</f>
        <v/>
      </c>
      <c r="W190">
        <f>HYPERLINK("https://klasma.github.io/Logging_0980/klagomålsmail/A 1677-2023 FSC-klagomål mail.docx", "A 1677-2023")</f>
        <v/>
      </c>
      <c r="X190">
        <f>HYPERLINK("https://klasma.github.io/Logging_0980/tillsyn/A 1677-2023 tillsynsbegäran.docx", "A 1677-2023")</f>
        <v/>
      </c>
      <c r="Y190">
        <f>HYPERLINK("https://klasma.github.io/Logging_0980/tillsynsmail/A 1677-2023 tillsynsbegäran mail.docx", "A 1677-2023")</f>
        <v/>
      </c>
    </row>
    <row r="191" ht="15" customHeight="1">
      <c r="A191" t="inlineStr">
        <is>
          <t>A 7637-2025</t>
        </is>
      </c>
      <c r="B191" s="1" t="n">
        <v>45705</v>
      </c>
      <c r="C191" s="1" t="n">
        <v>46193</v>
      </c>
      <c r="D191" t="inlineStr">
        <is>
          <t>GOTLANDS LÄN</t>
        </is>
      </c>
      <c r="E191" t="inlineStr">
        <is>
          <t>GOTLAND</t>
        </is>
      </c>
      <c r="G191" t="n">
        <v>3.7</v>
      </c>
      <c r="H191" t="n">
        <v>0</v>
      </c>
      <c r="I191" t="n">
        <v>0</v>
      </c>
      <c r="J191" t="n">
        <v>0</v>
      </c>
      <c r="K191" t="n">
        <v>0</v>
      </c>
      <c r="L191" t="n">
        <v>1</v>
      </c>
      <c r="M191" t="n">
        <v>0</v>
      </c>
      <c r="N191" t="n">
        <v>0</v>
      </c>
      <c r="O191" t="n">
        <v>1</v>
      </c>
      <c r="P191" t="n">
        <v>1</v>
      </c>
      <c r="Q191" t="n">
        <v>1</v>
      </c>
      <c r="R191" s="2" t="inlineStr">
        <is>
          <t>Skogsalm</t>
        </is>
      </c>
      <c r="S191">
        <f>HYPERLINK("https://klasma.github.io/Logging_0980/artfynd/A 7637-2025 artfynd.xlsx", "A 7637-2025")</f>
        <v/>
      </c>
      <c r="T191">
        <f>HYPERLINK("https://klasma.github.io/Logging_0980/kartor/A 7637-2025 karta.png", "A 7637-2025")</f>
        <v/>
      </c>
      <c r="V191">
        <f>HYPERLINK("https://klasma.github.io/Logging_0980/klagomål/A 7637-2025 FSC-klagomål.docx", "A 7637-2025")</f>
        <v/>
      </c>
      <c r="W191">
        <f>HYPERLINK("https://klasma.github.io/Logging_0980/klagomålsmail/A 7637-2025 FSC-klagomål mail.docx", "A 7637-2025")</f>
        <v/>
      </c>
      <c r="X191">
        <f>HYPERLINK("https://klasma.github.io/Logging_0980/tillsyn/A 7637-2025 tillsynsbegäran.docx", "A 7637-2025")</f>
        <v/>
      </c>
      <c r="Y191">
        <f>HYPERLINK("https://klasma.github.io/Logging_0980/tillsynsmail/A 7637-2025 tillsynsbegäran mail.docx", "A 7637-2025")</f>
        <v/>
      </c>
    </row>
    <row r="192" ht="15" customHeight="1">
      <c r="A192" t="inlineStr">
        <is>
          <t>A 34141-2024</t>
        </is>
      </c>
      <c r="B192" s="1" t="n">
        <v>45524</v>
      </c>
      <c r="C192" s="1" t="n">
        <v>46193</v>
      </c>
      <c r="D192" t="inlineStr">
        <is>
          <t>GOTLANDS LÄN</t>
        </is>
      </c>
      <c r="E192" t="inlineStr">
        <is>
          <t>GOTLAND</t>
        </is>
      </c>
      <c r="G192" t="n">
        <v>0.9</v>
      </c>
      <c r="H192" t="n">
        <v>0</v>
      </c>
      <c r="I192" t="n">
        <v>1</v>
      </c>
      <c r="J192" t="n">
        <v>0</v>
      </c>
      <c r="K192" t="n">
        <v>0</v>
      </c>
      <c r="L192" t="n">
        <v>0</v>
      </c>
      <c r="M192" t="n">
        <v>0</v>
      </c>
      <c r="N192" t="n">
        <v>0</v>
      </c>
      <c r="O192" t="n">
        <v>0</v>
      </c>
      <c r="P192" t="n">
        <v>0</v>
      </c>
      <c r="Q192" t="n">
        <v>1</v>
      </c>
      <c r="R192" s="2" t="inlineStr">
        <is>
          <t>Strävlosta</t>
        </is>
      </c>
      <c r="S192">
        <f>HYPERLINK("https://klasma.github.io/Logging_0980/artfynd/A 34141-2024 artfynd.xlsx", "A 34141-2024")</f>
        <v/>
      </c>
      <c r="T192">
        <f>HYPERLINK("https://klasma.github.io/Logging_0980/kartor/A 34141-2024 karta.png", "A 34141-2024")</f>
        <v/>
      </c>
      <c r="V192">
        <f>HYPERLINK("https://klasma.github.io/Logging_0980/klagomål/A 34141-2024 FSC-klagomål.docx", "A 34141-2024")</f>
        <v/>
      </c>
      <c r="W192">
        <f>HYPERLINK("https://klasma.github.io/Logging_0980/klagomålsmail/A 34141-2024 FSC-klagomål mail.docx", "A 34141-2024")</f>
        <v/>
      </c>
      <c r="X192">
        <f>HYPERLINK("https://klasma.github.io/Logging_0980/tillsyn/A 34141-2024 tillsynsbegäran.docx", "A 34141-2024")</f>
        <v/>
      </c>
      <c r="Y192">
        <f>HYPERLINK("https://klasma.github.io/Logging_0980/tillsynsmail/A 34141-2024 tillsynsbegäran mail.docx", "A 34141-2024")</f>
        <v/>
      </c>
    </row>
    <row r="193" ht="15" customHeight="1">
      <c r="A193" t="inlineStr">
        <is>
          <t>A 9862-2024</t>
        </is>
      </c>
      <c r="B193" s="1" t="n">
        <v>45363</v>
      </c>
      <c r="C193" s="1" t="n">
        <v>46193</v>
      </c>
      <c r="D193" t="inlineStr">
        <is>
          <t>GOTLANDS LÄN</t>
        </is>
      </c>
      <c r="E193" t="inlineStr">
        <is>
          <t>GOTLAND</t>
        </is>
      </c>
      <c r="G193" t="n">
        <v>3.5</v>
      </c>
      <c r="H193" t="n">
        <v>1</v>
      </c>
      <c r="I193" t="n">
        <v>0</v>
      </c>
      <c r="J193" t="n">
        <v>0</v>
      </c>
      <c r="K193" t="n">
        <v>0</v>
      </c>
      <c r="L193" t="n">
        <v>0</v>
      </c>
      <c r="M193" t="n">
        <v>0</v>
      </c>
      <c r="N193" t="n">
        <v>0</v>
      </c>
      <c r="O193" t="n">
        <v>0</v>
      </c>
      <c r="P193" t="n">
        <v>0</v>
      </c>
      <c r="Q193" t="n">
        <v>1</v>
      </c>
      <c r="R193" s="2" t="inlineStr">
        <is>
          <t>Nattviol</t>
        </is>
      </c>
      <c r="S193">
        <f>HYPERLINK("https://klasma.github.io/Logging_0980/artfynd/A 9862-2024 artfynd.xlsx", "A 9862-2024")</f>
        <v/>
      </c>
      <c r="T193">
        <f>HYPERLINK("https://klasma.github.io/Logging_0980/kartor/A 9862-2024 karta.png", "A 9862-2024")</f>
        <v/>
      </c>
      <c r="V193">
        <f>HYPERLINK("https://klasma.github.io/Logging_0980/klagomål/A 9862-2024 FSC-klagomål.docx", "A 9862-2024")</f>
        <v/>
      </c>
      <c r="W193">
        <f>HYPERLINK("https://klasma.github.io/Logging_0980/klagomålsmail/A 9862-2024 FSC-klagomål mail.docx", "A 9862-2024")</f>
        <v/>
      </c>
      <c r="X193">
        <f>HYPERLINK("https://klasma.github.io/Logging_0980/tillsyn/A 9862-2024 tillsynsbegäran.docx", "A 9862-2024")</f>
        <v/>
      </c>
      <c r="Y193">
        <f>HYPERLINK("https://klasma.github.io/Logging_0980/tillsynsmail/A 9862-2024 tillsynsbegäran mail.docx", "A 9862-2024")</f>
        <v/>
      </c>
    </row>
    <row r="194" ht="15" customHeight="1">
      <c r="A194" t="inlineStr">
        <is>
          <t>A 27343-2026</t>
        </is>
      </c>
      <c r="B194" s="1" t="n">
        <v>46188</v>
      </c>
      <c r="C194" s="1" t="n">
        <v>46193</v>
      </c>
      <c r="D194" t="inlineStr">
        <is>
          <t>GOTLANDS LÄN</t>
        </is>
      </c>
      <c r="E194" t="inlineStr">
        <is>
          <t>GOTLAND</t>
        </is>
      </c>
      <c r="G194" t="n">
        <v>1.1</v>
      </c>
      <c r="H194" t="n">
        <v>1</v>
      </c>
      <c r="I194" t="n">
        <v>1</v>
      </c>
      <c r="J194" t="n">
        <v>0</v>
      </c>
      <c r="K194" t="n">
        <v>0</v>
      </c>
      <c r="L194" t="n">
        <v>0</v>
      </c>
      <c r="M194" t="n">
        <v>0</v>
      </c>
      <c r="N194" t="n">
        <v>0</v>
      </c>
      <c r="O194" t="n">
        <v>0</v>
      </c>
      <c r="P194" t="n">
        <v>0</v>
      </c>
      <c r="Q194" t="n">
        <v>1</v>
      </c>
      <c r="R194" s="2" t="inlineStr">
        <is>
          <t>Skogsknipprot</t>
        </is>
      </c>
      <c r="S194">
        <f>HYPERLINK("https://klasma.github.io/Logging_0980/artfynd/A 27343-2026 artfynd.xlsx", "A 27343-2026")</f>
        <v/>
      </c>
      <c r="T194">
        <f>HYPERLINK("https://klasma.github.io/Logging_0980/kartor/A 27343-2026 karta.png", "A 27343-2026")</f>
        <v/>
      </c>
      <c r="V194">
        <f>HYPERLINK("https://klasma.github.io/Logging_0980/klagomål/A 27343-2026 FSC-klagomål.docx", "A 27343-2026")</f>
        <v/>
      </c>
      <c r="W194">
        <f>HYPERLINK("https://klasma.github.io/Logging_0980/klagomålsmail/A 27343-2026 FSC-klagomål mail.docx", "A 27343-2026")</f>
        <v/>
      </c>
      <c r="X194">
        <f>HYPERLINK("https://klasma.github.io/Logging_0980/tillsyn/A 27343-2026 tillsynsbegäran.docx", "A 27343-2026")</f>
        <v/>
      </c>
      <c r="Y194">
        <f>HYPERLINK("https://klasma.github.io/Logging_0980/tillsynsmail/A 27343-2026 tillsynsbegäran mail.docx", "A 27343-2026")</f>
        <v/>
      </c>
    </row>
    <row r="195" ht="15" customHeight="1">
      <c r="A195" t="inlineStr">
        <is>
          <t>A 30104-2025</t>
        </is>
      </c>
      <c r="B195" s="1" t="n">
        <v>45826</v>
      </c>
      <c r="C195" s="1" t="n">
        <v>46193</v>
      </c>
      <c r="D195" t="inlineStr">
        <is>
          <t>GOTLANDS LÄN</t>
        </is>
      </c>
      <c r="E195" t="inlineStr">
        <is>
          <t>GOTLAND</t>
        </is>
      </c>
      <c r="G195" t="n">
        <v>15.4</v>
      </c>
      <c r="H195" t="n">
        <v>0</v>
      </c>
      <c r="I195" t="n">
        <v>1</v>
      </c>
      <c r="J195" t="n">
        <v>0</v>
      </c>
      <c r="K195" t="n">
        <v>0</v>
      </c>
      <c r="L195" t="n">
        <v>0</v>
      </c>
      <c r="M195" t="n">
        <v>0</v>
      </c>
      <c r="N195" t="n">
        <v>0</v>
      </c>
      <c r="O195" t="n">
        <v>0</v>
      </c>
      <c r="P195" t="n">
        <v>0</v>
      </c>
      <c r="Q195" t="n">
        <v>1</v>
      </c>
      <c r="R195" s="2" t="inlineStr">
        <is>
          <t>Blåmossa</t>
        </is>
      </c>
      <c r="S195">
        <f>HYPERLINK("https://klasma.github.io/Logging_0980/artfynd/A 30104-2025 artfynd.xlsx", "A 30104-2025")</f>
        <v/>
      </c>
      <c r="T195">
        <f>HYPERLINK("https://klasma.github.io/Logging_0980/kartor/A 30104-2025 karta.png", "A 30104-2025")</f>
        <v/>
      </c>
      <c r="V195">
        <f>HYPERLINK("https://klasma.github.io/Logging_0980/klagomål/A 30104-2025 FSC-klagomål.docx", "A 30104-2025")</f>
        <v/>
      </c>
      <c r="W195">
        <f>HYPERLINK("https://klasma.github.io/Logging_0980/klagomålsmail/A 30104-2025 FSC-klagomål mail.docx", "A 30104-2025")</f>
        <v/>
      </c>
      <c r="X195">
        <f>HYPERLINK("https://klasma.github.io/Logging_0980/tillsyn/A 30104-2025 tillsynsbegäran.docx", "A 30104-2025")</f>
        <v/>
      </c>
      <c r="Y195">
        <f>HYPERLINK("https://klasma.github.io/Logging_0980/tillsynsmail/A 30104-2025 tillsynsbegäran mail.docx", "A 30104-2025")</f>
        <v/>
      </c>
    </row>
    <row r="196" ht="15" customHeight="1">
      <c r="A196" t="inlineStr">
        <is>
          <t>A 21396-2026</t>
        </is>
      </c>
      <c r="B196" s="1" t="n">
        <v>46148</v>
      </c>
      <c r="C196" s="1" t="n">
        <v>46193</v>
      </c>
      <c r="D196" t="inlineStr">
        <is>
          <t>GOTLANDS LÄN</t>
        </is>
      </c>
      <c r="E196" t="inlineStr">
        <is>
          <t>GOTLAND</t>
        </is>
      </c>
      <c r="G196" t="n">
        <v>6.1</v>
      </c>
      <c r="H196" t="n">
        <v>0</v>
      </c>
      <c r="I196" t="n">
        <v>0</v>
      </c>
      <c r="J196" t="n">
        <v>0</v>
      </c>
      <c r="K196" t="n">
        <v>1</v>
      </c>
      <c r="L196" t="n">
        <v>0</v>
      </c>
      <c r="M196" t="n">
        <v>0</v>
      </c>
      <c r="N196" t="n">
        <v>0</v>
      </c>
      <c r="O196" t="n">
        <v>1</v>
      </c>
      <c r="P196" t="n">
        <v>1</v>
      </c>
      <c r="Q196" t="n">
        <v>1</v>
      </c>
      <c r="R196" s="2" t="inlineStr">
        <is>
          <t>Oxhorndyvel</t>
        </is>
      </c>
      <c r="S196">
        <f>HYPERLINK("https://klasma.github.io/Logging_0980/artfynd/A 21396-2026 artfynd.xlsx", "A 21396-2026")</f>
        <v/>
      </c>
      <c r="T196">
        <f>HYPERLINK("https://klasma.github.io/Logging_0980/kartor/A 21396-2026 karta.png", "A 21396-2026")</f>
        <v/>
      </c>
      <c r="V196">
        <f>HYPERLINK("https://klasma.github.io/Logging_0980/klagomål/A 21396-2026 FSC-klagomål.docx", "A 21396-2026")</f>
        <v/>
      </c>
      <c r="W196">
        <f>HYPERLINK("https://klasma.github.io/Logging_0980/klagomålsmail/A 21396-2026 FSC-klagomål mail.docx", "A 21396-2026")</f>
        <v/>
      </c>
      <c r="X196">
        <f>HYPERLINK("https://klasma.github.io/Logging_0980/tillsyn/A 21396-2026 tillsynsbegäran.docx", "A 21396-2026")</f>
        <v/>
      </c>
      <c r="Y196">
        <f>HYPERLINK("https://klasma.github.io/Logging_0980/tillsynsmail/A 21396-2026 tillsynsbegäran mail.docx", "A 21396-2026")</f>
        <v/>
      </c>
    </row>
    <row r="197" ht="15" customHeight="1">
      <c r="A197" t="inlineStr">
        <is>
          <t>A 6303-2024</t>
        </is>
      </c>
      <c r="B197" s="1" t="n">
        <v>45338</v>
      </c>
      <c r="C197" s="1" t="n">
        <v>46193</v>
      </c>
      <c r="D197" t="inlineStr">
        <is>
          <t>GOTLANDS LÄN</t>
        </is>
      </c>
      <c r="E197" t="inlineStr">
        <is>
          <t>GOTLAND</t>
        </is>
      </c>
      <c r="G197" t="n">
        <v>0.6</v>
      </c>
      <c r="H197" t="n">
        <v>0</v>
      </c>
      <c r="I197" t="n">
        <v>1</v>
      </c>
      <c r="J197" t="n">
        <v>0</v>
      </c>
      <c r="K197" t="n">
        <v>0</v>
      </c>
      <c r="L197" t="n">
        <v>0</v>
      </c>
      <c r="M197" t="n">
        <v>0</v>
      </c>
      <c r="N197" t="n">
        <v>0</v>
      </c>
      <c r="O197" t="n">
        <v>0</v>
      </c>
      <c r="P197" t="n">
        <v>0</v>
      </c>
      <c r="Q197" t="n">
        <v>1</v>
      </c>
      <c r="R197" s="2" t="inlineStr">
        <is>
          <t>Strävlosta</t>
        </is>
      </c>
      <c r="S197">
        <f>HYPERLINK("https://klasma.github.io/Logging_0980/artfynd/A 6303-2024 artfynd.xlsx", "A 6303-2024")</f>
        <v/>
      </c>
      <c r="T197">
        <f>HYPERLINK("https://klasma.github.io/Logging_0980/kartor/A 6303-2024 karta.png", "A 6303-2024")</f>
        <v/>
      </c>
      <c r="V197">
        <f>HYPERLINK("https://klasma.github.io/Logging_0980/klagomål/A 6303-2024 FSC-klagomål.docx", "A 6303-2024")</f>
        <v/>
      </c>
      <c r="W197">
        <f>HYPERLINK("https://klasma.github.io/Logging_0980/klagomålsmail/A 6303-2024 FSC-klagomål mail.docx", "A 6303-2024")</f>
        <v/>
      </c>
      <c r="X197">
        <f>HYPERLINK("https://klasma.github.io/Logging_0980/tillsyn/A 6303-2024 tillsynsbegäran.docx", "A 6303-2024")</f>
        <v/>
      </c>
      <c r="Y197">
        <f>HYPERLINK("https://klasma.github.io/Logging_0980/tillsynsmail/A 6303-2024 tillsynsbegäran mail.docx", "A 6303-2024")</f>
        <v/>
      </c>
    </row>
    <row r="198" ht="15" customHeight="1">
      <c r="A198" t="inlineStr">
        <is>
          <t>A 30489-2025</t>
        </is>
      </c>
      <c r="B198" s="1" t="n">
        <v>45830</v>
      </c>
      <c r="C198" s="1" t="n">
        <v>46193</v>
      </c>
      <c r="D198" t="inlineStr">
        <is>
          <t>GOTLANDS LÄN</t>
        </is>
      </c>
      <c r="E198" t="inlineStr">
        <is>
          <t>GOTLAND</t>
        </is>
      </c>
      <c r="G198" t="n">
        <v>4.6</v>
      </c>
      <c r="H198" t="n">
        <v>0</v>
      </c>
      <c r="I198" t="n">
        <v>0</v>
      </c>
      <c r="J198" t="n">
        <v>1</v>
      </c>
      <c r="K198" t="n">
        <v>0</v>
      </c>
      <c r="L198" t="n">
        <v>0</v>
      </c>
      <c r="M198" t="n">
        <v>0</v>
      </c>
      <c r="N198" t="n">
        <v>0</v>
      </c>
      <c r="O198" t="n">
        <v>1</v>
      </c>
      <c r="P198" t="n">
        <v>0</v>
      </c>
      <c r="Q198" t="n">
        <v>1</v>
      </c>
      <c r="R198" s="2" t="inlineStr">
        <is>
          <t>Skarp dropptaggsvamp</t>
        </is>
      </c>
      <c r="S198">
        <f>HYPERLINK("https://klasma.github.io/Logging_0980/artfynd/A 30489-2025 artfynd.xlsx", "A 30489-2025")</f>
        <v/>
      </c>
      <c r="T198">
        <f>HYPERLINK("https://klasma.github.io/Logging_0980/kartor/A 30489-2025 karta.png", "A 30489-2025")</f>
        <v/>
      </c>
      <c r="V198">
        <f>HYPERLINK("https://klasma.github.io/Logging_0980/klagomål/A 30489-2025 FSC-klagomål.docx", "A 30489-2025")</f>
        <v/>
      </c>
      <c r="W198">
        <f>HYPERLINK("https://klasma.github.io/Logging_0980/klagomålsmail/A 30489-2025 FSC-klagomål mail.docx", "A 30489-2025")</f>
        <v/>
      </c>
      <c r="X198">
        <f>HYPERLINK("https://klasma.github.io/Logging_0980/tillsyn/A 30489-2025 tillsynsbegäran.docx", "A 30489-2025")</f>
        <v/>
      </c>
      <c r="Y198">
        <f>HYPERLINK("https://klasma.github.io/Logging_0980/tillsynsmail/A 30489-2025 tillsynsbegäran mail.docx", "A 30489-2025")</f>
        <v/>
      </c>
    </row>
    <row r="199" ht="15" customHeight="1">
      <c r="A199" t="inlineStr">
        <is>
          <t>A 40294-2022</t>
        </is>
      </c>
      <c r="B199" s="1" t="n">
        <v>44821</v>
      </c>
      <c r="C199" s="1" t="n">
        <v>46193</v>
      </c>
      <c r="D199" t="inlineStr">
        <is>
          <t>GOTLANDS LÄN</t>
        </is>
      </c>
      <c r="E199" t="inlineStr">
        <is>
          <t>GOTLAND</t>
        </is>
      </c>
      <c r="G199" t="n">
        <v>1.6</v>
      </c>
      <c r="H199" t="n">
        <v>0</v>
      </c>
      <c r="I199" t="n">
        <v>0</v>
      </c>
      <c r="J199" t="n">
        <v>0</v>
      </c>
      <c r="K199" t="n">
        <v>1</v>
      </c>
      <c r="L199" t="n">
        <v>0</v>
      </c>
      <c r="M199" t="n">
        <v>0</v>
      </c>
      <c r="N199" t="n">
        <v>0</v>
      </c>
      <c r="O199" t="n">
        <v>1</v>
      </c>
      <c r="P199" t="n">
        <v>1</v>
      </c>
      <c r="Q199" t="n">
        <v>1</v>
      </c>
      <c r="R199" s="2" t="inlineStr">
        <is>
          <t>Gotlandsmåra</t>
        </is>
      </c>
      <c r="S199">
        <f>HYPERLINK("https://klasma.github.io/Logging_0980/artfynd/A 40294-2022 artfynd.xlsx", "A 40294-2022")</f>
        <v/>
      </c>
      <c r="T199">
        <f>HYPERLINK("https://klasma.github.io/Logging_0980/kartor/A 40294-2022 karta.png", "A 40294-2022")</f>
        <v/>
      </c>
      <c r="V199">
        <f>HYPERLINK("https://klasma.github.io/Logging_0980/klagomål/A 40294-2022 FSC-klagomål.docx", "A 40294-2022")</f>
        <v/>
      </c>
      <c r="W199">
        <f>HYPERLINK("https://klasma.github.io/Logging_0980/klagomålsmail/A 40294-2022 FSC-klagomål mail.docx", "A 40294-2022")</f>
        <v/>
      </c>
      <c r="X199">
        <f>HYPERLINK("https://klasma.github.io/Logging_0980/tillsyn/A 40294-2022 tillsynsbegäran.docx", "A 40294-2022")</f>
        <v/>
      </c>
      <c r="Y199">
        <f>HYPERLINK("https://klasma.github.io/Logging_0980/tillsynsmail/A 40294-2022 tillsynsbegäran mail.docx", "A 40294-2022")</f>
        <v/>
      </c>
    </row>
    <row r="200" ht="15" customHeight="1">
      <c r="A200" t="inlineStr">
        <is>
          <t>A 34809-2024</t>
        </is>
      </c>
      <c r="B200" s="1" t="n">
        <v>45526</v>
      </c>
      <c r="C200" s="1" t="n">
        <v>46193</v>
      </c>
      <c r="D200" t="inlineStr">
        <is>
          <t>GOTLANDS LÄN</t>
        </is>
      </c>
      <c r="E200" t="inlineStr">
        <is>
          <t>GOTLAND</t>
        </is>
      </c>
      <c r="G200" t="n">
        <v>9.9</v>
      </c>
      <c r="H200" t="n">
        <v>1</v>
      </c>
      <c r="I200" t="n">
        <v>0</v>
      </c>
      <c r="J200" t="n">
        <v>1</v>
      </c>
      <c r="K200" t="n">
        <v>0</v>
      </c>
      <c r="L200" t="n">
        <v>0</v>
      </c>
      <c r="M200" t="n">
        <v>0</v>
      </c>
      <c r="N200" t="n">
        <v>0</v>
      </c>
      <c r="O200" t="n">
        <v>1</v>
      </c>
      <c r="P200" t="n">
        <v>0</v>
      </c>
      <c r="Q200" t="n">
        <v>1</v>
      </c>
      <c r="R200" s="2" t="inlineStr">
        <is>
          <t>Brun ögontröst</t>
        </is>
      </c>
      <c r="S200">
        <f>HYPERLINK("https://klasma.github.io/Logging_0980/artfynd/A 34809-2024 artfynd.xlsx", "A 34809-2024")</f>
        <v/>
      </c>
      <c r="T200">
        <f>HYPERLINK("https://klasma.github.io/Logging_0980/kartor/A 34809-2024 karta.png", "A 34809-2024")</f>
        <v/>
      </c>
      <c r="V200">
        <f>HYPERLINK("https://klasma.github.io/Logging_0980/klagomål/A 34809-2024 FSC-klagomål.docx", "A 34809-2024")</f>
        <v/>
      </c>
      <c r="W200">
        <f>HYPERLINK("https://klasma.github.io/Logging_0980/klagomålsmail/A 34809-2024 FSC-klagomål mail.docx", "A 34809-2024")</f>
        <v/>
      </c>
      <c r="X200">
        <f>HYPERLINK("https://klasma.github.io/Logging_0980/tillsyn/A 34809-2024 tillsynsbegäran.docx", "A 34809-2024")</f>
        <v/>
      </c>
      <c r="Y200">
        <f>HYPERLINK("https://klasma.github.io/Logging_0980/tillsynsmail/A 34809-2024 tillsynsbegäran mail.docx", "A 34809-2024")</f>
        <v/>
      </c>
    </row>
    <row r="201" ht="15" customHeight="1">
      <c r="A201" t="inlineStr">
        <is>
          <t>A 1066-2024</t>
        </is>
      </c>
      <c r="B201" s="1" t="n">
        <v>45302</v>
      </c>
      <c r="C201" s="1" t="n">
        <v>46193</v>
      </c>
      <c r="D201" t="inlineStr">
        <is>
          <t>GOTLANDS LÄN</t>
        </is>
      </c>
      <c r="E201" t="inlineStr">
        <is>
          <t>GOTLAND</t>
        </is>
      </c>
      <c r="G201" t="n">
        <v>1.4</v>
      </c>
      <c r="H201" t="n">
        <v>0</v>
      </c>
      <c r="I201" t="n">
        <v>0</v>
      </c>
      <c r="J201" t="n">
        <v>1</v>
      </c>
      <c r="K201" t="n">
        <v>0</v>
      </c>
      <c r="L201" t="n">
        <v>0</v>
      </c>
      <c r="M201" t="n">
        <v>0</v>
      </c>
      <c r="N201" t="n">
        <v>0</v>
      </c>
      <c r="O201" t="n">
        <v>1</v>
      </c>
      <c r="P201" t="n">
        <v>0</v>
      </c>
      <c r="Q201" t="n">
        <v>1</v>
      </c>
      <c r="R201" s="2" t="inlineStr">
        <is>
          <t>Svinrot</t>
        </is>
      </c>
      <c r="S201">
        <f>HYPERLINK("https://klasma.github.io/Logging_0980/artfynd/A 1066-2024 artfynd.xlsx", "A 1066-2024")</f>
        <v/>
      </c>
      <c r="T201">
        <f>HYPERLINK("https://klasma.github.io/Logging_0980/kartor/A 1066-2024 karta.png", "A 1066-2024")</f>
        <v/>
      </c>
      <c r="V201">
        <f>HYPERLINK("https://klasma.github.io/Logging_0980/klagomål/A 1066-2024 FSC-klagomål.docx", "A 1066-2024")</f>
        <v/>
      </c>
      <c r="W201">
        <f>HYPERLINK("https://klasma.github.io/Logging_0980/klagomålsmail/A 1066-2024 FSC-klagomål mail.docx", "A 1066-2024")</f>
        <v/>
      </c>
      <c r="X201">
        <f>HYPERLINK("https://klasma.github.io/Logging_0980/tillsyn/A 1066-2024 tillsynsbegäran.docx", "A 1066-2024")</f>
        <v/>
      </c>
      <c r="Y201">
        <f>HYPERLINK("https://klasma.github.io/Logging_0980/tillsynsmail/A 1066-2024 tillsynsbegäran mail.docx", "A 1066-2024")</f>
        <v/>
      </c>
    </row>
    <row r="202" ht="15" customHeight="1">
      <c r="A202" t="inlineStr">
        <is>
          <t>A 11982-2026</t>
        </is>
      </c>
      <c r="B202" s="1" t="n">
        <v>46085</v>
      </c>
      <c r="C202" s="1" t="n">
        <v>46193</v>
      </c>
      <c r="D202" t="inlineStr">
        <is>
          <t>GOTLANDS LÄN</t>
        </is>
      </c>
      <c r="E202" t="inlineStr">
        <is>
          <t>GOTLAND</t>
        </is>
      </c>
      <c r="G202" t="n">
        <v>2.2</v>
      </c>
      <c r="H202" t="n">
        <v>0</v>
      </c>
      <c r="I202" t="n">
        <v>0</v>
      </c>
      <c r="J202" t="n">
        <v>1</v>
      </c>
      <c r="K202" t="n">
        <v>0</v>
      </c>
      <c r="L202" t="n">
        <v>0</v>
      </c>
      <c r="M202" t="n">
        <v>0</v>
      </c>
      <c r="N202" t="n">
        <v>0</v>
      </c>
      <c r="O202" t="n">
        <v>1</v>
      </c>
      <c r="P202" t="n">
        <v>0</v>
      </c>
      <c r="Q202" t="n">
        <v>1</v>
      </c>
      <c r="R202" s="2" t="inlineStr">
        <is>
          <t>Småtörel</t>
        </is>
      </c>
      <c r="S202">
        <f>HYPERLINK("https://klasma.github.io/Logging_0980/artfynd/A 11982-2026 artfynd.xlsx", "A 11982-2026")</f>
        <v/>
      </c>
      <c r="T202">
        <f>HYPERLINK("https://klasma.github.io/Logging_0980/kartor/A 11982-2026 karta.png", "A 11982-2026")</f>
        <v/>
      </c>
      <c r="V202">
        <f>HYPERLINK("https://klasma.github.io/Logging_0980/klagomål/A 11982-2026 FSC-klagomål.docx", "A 11982-2026")</f>
        <v/>
      </c>
      <c r="W202">
        <f>HYPERLINK("https://klasma.github.io/Logging_0980/klagomålsmail/A 11982-2026 FSC-klagomål mail.docx", "A 11982-2026")</f>
        <v/>
      </c>
      <c r="X202">
        <f>HYPERLINK("https://klasma.github.io/Logging_0980/tillsyn/A 11982-2026 tillsynsbegäran.docx", "A 11982-2026")</f>
        <v/>
      </c>
      <c r="Y202">
        <f>HYPERLINK("https://klasma.github.io/Logging_0980/tillsynsmail/A 11982-2026 tillsynsbegäran mail.docx", "A 11982-2026")</f>
        <v/>
      </c>
    </row>
    <row r="203" ht="15" customHeight="1">
      <c r="A203" t="inlineStr">
        <is>
          <t>A 13482-2026</t>
        </is>
      </c>
      <c r="B203" s="1" t="n">
        <v>46094</v>
      </c>
      <c r="C203" s="1" t="n">
        <v>46193</v>
      </c>
      <c r="D203" t="inlineStr">
        <is>
          <t>GOTLANDS LÄN</t>
        </is>
      </c>
      <c r="E203" t="inlineStr">
        <is>
          <t>GOTLAND</t>
        </is>
      </c>
      <c r="G203" t="n">
        <v>1.7</v>
      </c>
      <c r="H203" t="n">
        <v>1</v>
      </c>
      <c r="I203" t="n">
        <v>0</v>
      </c>
      <c r="J203" t="n">
        <v>0</v>
      </c>
      <c r="K203" t="n">
        <v>0</v>
      </c>
      <c r="L203" t="n">
        <v>0</v>
      </c>
      <c r="M203" t="n">
        <v>0</v>
      </c>
      <c r="N203" t="n">
        <v>0</v>
      </c>
      <c r="O203" t="n">
        <v>0</v>
      </c>
      <c r="P203" t="n">
        <v>0</v>
      </c>
      <c r="Q203" t="n">
        <v>1</v>
      </c>
      <c r="R203" s="2" t="inlineStr">
        <is>
          <t>Spillkråka</t>
        </is>
      </c>
      <c r="S203">
        <f>HYPERLINK("https://klasma.github.io/Logging_0980/artfynd/A 13482-2026 artfynd.xlsx", "A 13482-2026")</f>
        <v/>
      </c>
      <c r="T203">
        <f>HYPERLINK("https://klasma.github.io/Logging_0980/kartor/A 13482-2026 karta.png", "A 13482-2026")</f>
        <v/>
      </c>
      <c r="V203">
        <f>HYPERLINK("https://klasma.github.io/Logging_0980/klagomål/A 13482-2026 FSC-klagomål.docx", "A 13482-2026")</f>
        <v/>
      </c>
      <c r="W203">
        <f>HYPERLINK("https://klasma.github.io/Logging_0980/klagomålsmail/A 13482-2026 FSC-klagomål mail.docx", "A 13482-2026")</f>
        <v/>
      </c>
      <c r="X203">
        <f>HYPERLINK("https://klasma.github.io/Logging_0980/tillsyn/A 13482-2026 tillsynsbegäran.docx", "A 13482-2026")</f>
        <v/>
      </c>
      <c r="Y203">
        <f>HYPERLINK("https://klasma.github.io/Logging_0980/tillsynsmail/A 13482-2026 tillsynsbegäran mail.docx", "A 13482-2026")</f>
        <v/>
      </c>
      <c r="Z203">
        <f>HYPERLINK("https://klasma.github.io/Logging_0980/fåglar/A 13482-2026 prioriterade fågelarter.docx", "A 13482-2026")</f>
        <v/>
      </c>
    </row>
    <row r="204" ht="15" customHeight="1">
      <c r="A204" t="inlineStr">
        <is>
          <t>A 4662-2026</t>
        </is>
      </c>
      <c r="B204" s="1" t="n">
        <v>46048</v>
      </c>
      <c r="C204" s="1" t="n">
        <v>46193</v>
      </c>
      <c r="D204" t="inlineStr">
        <is>
          <t>GOTLANDS LÄN</t>
        </is>
      </c>
      <c r="E204" t="inlineStr">
        <is>
          <t>GOTLAND</t>
        </is>
      </c>
      <c r="G204" t="n">
        <v>7.6</v>
      </c>
      <c r="H204" t="n">
        <v>0</v>
      </c>
      <c r="I204" t="n">
        <v>0</v>
      </c>
      <c r="J204" t="n">
        <v>0</v>
      </c>
      <c r="K204" t="n">
        <v>1</v>
      </c>
      <c r="L204" t="n">
        <v>0</v>
      </c>
      <c r="M204" t="n">
        <v>0</v>
      </c>
      <c r="N204" t="n">
        <v>0</v>
      </c>
      <c r="O204" t="n">
        <v>1</v>
      </c>
      <c r="P204" t="n">
        <v>1</v>
      </c>
      <c r="Q204" t="n">
        <v>1</v>
      </c>
      <c r="R204" s="2" t="inlineStr">
        <is>
          <t>Strandviol</t>
        </is>
      </c>
      <c r="S204">
        <f>HYPERLINK("https://klasma.github.io/Logging_0980/artfynd/A 4662-2026 artfynd.xlsx", "A 4662-2026")</f>
        <v/>
      </c>
      <c r="T204">
        <f>HYPERLINK("https://klasma.github.io/Logging_0980/kartor/A 4662-2026 karta.png", "A 4662-2026")</f>
        <v/>
      </c>
      <c r="V204">
        <f>HYPERLINK("https://klasma.github.io/Logging_0980/klagomål/A 4662-2026 FSC-klagomål.docx", "A 4662-2026")</f>
        <v/>
      </c>
      <c r="W204">
        <f>HYPERLINK("https://klasma.github.io/Logging_0980/klagomålsmail/A 4662-2026 FSC-klagomål mail.docx", "A 4662-2026")</f>
        <v/>
      </c>
      <c r="X204">
        <f>HYPERLINK("https://klasma.github.io/Logging_0980/tillsyn/A 4662-2026 tillsynsbegäran.docx", "A 4662-2026")</f>
        <v/>
      </c>
      <c r="Y204">
        <f>HYPERLINK("https://klasma.github.io/Logging_0980/tillsynsmail/A 4662-2026 tillsynsbegäran mail.docx", "A 4662-2026")</f>
        <v/>
      </c>
    </row>
    <row r="205" ht="15" customHeight="1">
      <c r="A205" t="inlineStr">
        <is>
          <t>A 17000-2026</t>
        </is>
      </c>
      <c r="B205" s="1" t="n">
        <v>46114</v>
      </c>
      <c r="C205" s="1" t="n">
        <v>46193</v>
      </c>
      <c r="D205" t="inlineStr">
        <is>
          <t>GOTLANDS LÄN</t>
        </is>
      </c>
      <c r="E205" t="inlineStr">
        <is>
          <t>GOTLAND</t>
        </is>
      </c>
      <c r="G205" t="n">
        <v>1.9</v>
      </c>
      <c r="H205" t="n">
        <v>1</v>
      </c>
      <c r="I205" t="n">
        <v>0</v>
      </c>
      <c r="J205" t="n">
        <v>0</v>
      </c>
      <c r="K205" t="n">
        <v>0</v>
      </c>
      <c r="L205" t="n">
        <v>0</v>
      </c>
      <c r="M205" t="n">
        <v>0</v>
      </c>
      <c r="N205" t="n">
        <v>0</v>
      </c>
      <c r="O205" t="n">
        <v>0</v>
      </c>
      <c r="P205" t="n">
        <v>0</v>
      </c>
      <c r="Q205" t="n">
        <v>1</v>
      </c>
      <c r="R205" s="2" t="inlineStr">
        <is>
          <t>Kalkkrassing</t>
        </is>
      </c>
      <c r="S205">
        <f>HYPERLINK("https://klasma.github.io/Logging_0980/artfynd/A 17000-2026 artfynd.xlsx", "A 17000-2026")</f>
        <v/>
      </c>
      <c r="T205">
        <f>HYPERLINK("https://klasma.github.io/Logging_0980/kartor/A 17000-2026 karta.png", "A 17000-2026")</f>
        <v/>
      </c>
      <c r="V205">
        <f>HYPERLINK("https://klasma.github.io/Logging_0980/klagomål/A 17000-2026 FSC-klagomål.docx", "A 17000-2026")</f>
        <v/>
      </c>
      <c r="W205">
        <f>HYPERLINK("https://klasma.github.io/Logging_0980/klagomålsmail/A 17000-2026 FSC-klagomål mail.docx", "A 17000-2026")</f>
        <v/>
      </c>
      <c r="X205">
        <f>HYPERLINK("https://klasma.github.io/Logging_0980/tillsyn/A 17000-2026 tillsynsbegäran.docx", "A 17000-2026")</f>
        <v/>
      </c>
      <c r="Y205">
        <f>HYPERLINK("https://klasma.github.io/Logging_0980/tillsynsmail/A 17000-2026 tillsynsbegäran mail.docx", "A 17000-2026")</f>
        <v/>
      </c>
    </row>
    <row r="206" ht="15" customHeight="1">
      <c r="A206" t="inlineStr">
        <is>
          <t>A 17854-2026</t>
        </is>
      </c>
      <c r="B206" s="1" t="n">
        <v>46121</v>
      </c>
      <c r="C206" s="1" t="n">
        <v>46193</v>
      </c>
      <c r="D206" t="inlineStr">
        <is>
          <t>GOTLANDS LÄN</t>
        </is>
      </c>
      <c r="E206" t="inlineStr">
        <is>
          <t>GOTLAND</t>
        </is>
      </c>
      <c r="G206" t="n">
        <v>6.6</v>
      </c>
      <c r="H206" t="n">
        <v>0</v>
      </c>
      <c r="I206" t="n">
        <v>0</v>
      </c>
      <c r="J206" t="n">
        <v>1</v>
      </c>
      <c r="K206" t="n">
        <v>0</v>
      </c>
      <c r="L206" t="n">
        <v>0</v>
      </c>
      <c r="M206" t="n">
        <v>0</v>
      </c>
      <c r="N206" t="n">
        <v>0</v>
      </c>
      <c r="O206" t="n">
        <v>1</v>
      </c>
      <c r="P206" t="n">
        <v>0</v>
      </c>
      <c r="Q206" t="n">
        <v>1</v>
      </c>
      <c r="R206" s="2" t="inlineStr">
        <is>
          <t>Blå slemspindling</t>
        </is>
      </c>
      <c r="S206">
        <f>HYPERLINK("https://klasma.github.io/Logging_0980/artfynd/A 17854-2026 artfynd.xlsx", "A 17854-2026")</f>
        <v/>
      </c>
      <c r="T206">
        <f>HYPERLINK("https://klasma.github.io/Logging_0980/kartor/A 17854-2026 karta.png", "A 17854-2026")</f>
        <v/>
      </c>
      <c r="V206">
        <f>HYPERLINK("https://klasma.github.io/Logging_0980/klagomål/A 17854-2026 FSC-klagomål.docx", "A 17854-2026")</f>
        <v/>
      </c>
      <c r="W206">
        <f>HYPERLINK("https://klasma.github.io/Logging_0980/klagomålsmail/A 17854-2026 FSC-klagomål mail.docx", "A 17854-2026")</f>
        <v/>
      </c>
      <c r="X206">
        <f>HYPERLINK("https://klasma.github.io/Logging_0980/tillsyn/A 17854-2026 tillsynsbegäran.docx", "A 17854-2026")</f>
        <v/>
      </c>
      <c r="Y206">
        <f>HYPERLINK("https://klasma.github.io/Logging_0980/tillsynsmail/A 17854-2026 tillsynsbegäran mail.docx", "A 17854-2026")</f>
        <v/>
      </c>
    </row>
    <row r="207" ht="15" customHeight="1">
      <c r="A207" t="inlineStr">
        <is>
          <t>A 18036-2026</t>
        </is>
      </c>
      <c r="B207" s="1" t="n">
        <v>46125</v>
      </c>
      <c r="C207" s="1" t="n">
        <v>46193</v>
      </c>
      <c r="D207" t="inlineStr">
        <is>
          <t>GOTLANDS LÄN</t>
        </is>
      </c>
      <c r="E207" t="inlineStr">
        <is>
          <t>GOTLAND</t>
        </is>
      </c>
      <c r="G207" t="n">
        <v>1.8</v>
      </c>
      <c r="H207" t="n">
        <v>0</v>
      </c>
      <c r="I207" t="n">
        <v>0</v>
      </c>
      <c r="J207" t="n">
        <v>1</v>
      </c>
      <c r="K207" t="n">
        <v>0</v>
      </c>
      <c r="L207" t="n">
        <v>0</v>
      </c>
      <c r="M207" t="n">
        <v>0</v>
      </c>
      <c r="N207" t="n">
        <v>0</v>
      </c>
      <c r="O207" t="n">
        <v>1</v>
      </c>
      <c r="P207" t="n">
        <v>0</v>
      </c>
      <c r="Q207" t="n">
        <v>1</v>
      </c>
      <c r="R207" s="2" t="inlineStr">
        <is>
          <t>Sommarfibbla</t>
        </is>
      </c>
      <c r="S207">
        <f>HYPERLINK("https://klasma.github.io/Logging_0980/artfynd/A 18036-2026 artfynd.xlsx", "A 18036-2026")</f>
        <v/>
      </c>
      <c r="T207">
        <f>HYPERLINK("https://klasma.github.io/Logging_0980/kartor/A 18036-2026 karta.png", "A 18036-2026")</f>
        <v/>
      </c>
      <c r="V207">
        <f>HYPERLINK("https://klasma.github.io/Logging_0980/klagomål/A 18036-2026 FSC-klagomål.docx", "A 18036-2026")</f>
        <v/>
      </c>
      <c r="W207">
        <f>HYPERLINK("https://klasma.github.io/Logging_0980/klagomålsmail/A 18036-2026 FSC-klagomål mail.docx", "A 18036-2026")</f>
        <v/>
      </c>
      <c r="X207">
        <f>HYPERLINK("https://klasma.github.io/Logging_0980/tillsyn/A 18036-2026 tillsynsbegäran.docx", "A 18036-2026")</f>
        <v/>
      </c>
      <c r="Y207">
        <f>HYPERLINK("https://klasma.github.io/Logging_0980/tillsynsmail/A 18036-2026 tillsynsbegäran mail.docx", "A 18036-2026")</f>
        <v/>
      </c>
    </row>
    <row r="208" ht="15" customHeight="1">
      <c r="A208" t="inlineStr">
        <is>
          <t>A 5863-2026</t>
        </is>
      </c>
      <c r="B208" s="1" t="n">
        <v>46052</v>
      </c>
      <c r="C208" s="1" t="n">
        <v>46193</v>
      </c>
      <c r="D208" t="inlineStr">
        <is>
          <t>GOTLANDS LÄN</t>
        </is>
      </c>
      <c r="E208" t="inlineStr">
        <is>
          <t>GOTLAND</t>
        </is>
      </c>
      <c r="G208" t="n">
        <v>1.8</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5863-2026 artfynd.xlsx", "A 5863-2026")</f>
        <v/>
      </c>
      <c r="T208">
        <f>HYPERLINK("https://klasma.github.io/Logging_0980/kartor/A 5863-2026 karta.png", "A 5863-2026")</f>
        <v/>
      </c>
      <c r="V208">
        <f>HYPERLINK("https://klasma.github.io/Logging_0980/klagomål/A 5863-2026 FSC-klagomål.docx", "A 5863-2026")</f>
        <v/>
      </c>
      <c r="W208">
        <f>HYPERLINK("https://klasma.github.io/Logging_0980/klagomålsmail/A 5863-2026 FSC-klagomål mail.docx", "A 5863-2026")</f>
        <v/>
      </c>
      <c r="X208">
        <f>HYPERLINK("https://klasma.github.io/Logging_0980/tillsyn/A 5863-2026 tillsynsbegäran.docx", "A 5863-2026")</f>
        <v/>
      </c>
      <c r="Y208">
        <f>HYPERLINK("https://klasma.github.io/Logging_0980/tillsynsmail/A 5863-2026 tillsynsbegäran mail.docx", "A 5863-2026")</f>
        <v/>
      </c>
    </row>
    <row r="209" ht="15" customHeight="1">
      <c r="A209" t="inlineStr">
        <is>
          <t>A 36313-2021</t>
        </is>
      </c>
      <c r="B209" s="1" t="n">
        <v>44390</v>
      </c>
      <c r="C209" s="1" t="n">
        <v>46193</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46193</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46193</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46193</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46193</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46193</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46193</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46193</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46193</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46193</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46193</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46193</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46193</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46193</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46193</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46193</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46193</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46193</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46193</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6099-2024</t>
        </is>
      </c>
      <c r="B229" s="1" t="n">
        <v>45337</v>
      </c>
      <c r="C229" s="1" t="n">
        <v>46193</v>
      </c>
      <c r="D229" t="inlineStr">
        <is>
          <t>GOTLANDS LÄN</t>
        </is>
      </c>
      <c r="E229" t="inlineStr">
        <is>
          <t>GOTLAND</t>
        </is>
      </c>
      <c r="G229" t="n">
        <v>12.6</v>
      </c>
      <c r="H229" t="n">
        <v>0</v>
      </c>
      <c r="I229" t="n">
        <v>0</v>
      </c>
      <c r="J229" t="n">
        <v>0</v>
      </c>
      <c r="K229" t="n">
        <v>0</v>
      </c>
      <c r="L229" t="n">
        <v>0</v>
      </c>
      <c r="M229" t="n">
        <v>0</v>
      </c>
      <c r="N229" t="n">
        <v>0</v>
      </c>
      <c r="O229" t="n">
        <v>0</v>
      </c>
      <c r="P229" t="n">
        <v>0</v>
      </c>
      <c r="Q229" t="n">
        <v>0</v>
      </c>
      <c r="R229" s="2" t="inlineStr"/>
    </row>
    <row r="230" ht="15" customHeight="1">
      <c r="A230" t="inlineStr">
        <is>
          <t>A 64555-2023</t>
        </is>
      </c>
      <c r="B230" s="1" t="n">
        <v>45281</v>
      </c>
      <c r="C230" s="1" t="n">
        <v>46193</v>
      </c>
      <c r="D230" t="inlineStr">
        <is>
          <t>GOTLANDS LÄN</t>
        </is>
      </c>
      <c r="E230" t="inlineStr">
        <is>
          <t>GOTLAND</t>
        </is>
      </c>
      <c r="G230" t="n">
        <v>3.5</v>
      </c>
      <c r="H230" t="n">
        <v>0</v>
      </c>
      <c r="I230" t="n">
        <v>0</v>
      </c>
      <c r="J230" t="n">
        <v>0</v>
      </c>
      <c r="K230" t="n">
        <v>0</v>
      </c>
      <c r="L230" t="n">
        <v>0</v>
      </c>
      <c r="M230" t="n">
        <v>0</v>
      </c>
      <c r="N230" t="n">
        <v>0</v>
      </c>
      <c r="O230" t="n">
        <v>0</v>
      </c>
      <c r="P230" t="n">
        <v>0</v>
      </c>
      <c r="Q230" t="n">
        <v>0</v>
      </c>
      <c r="R230" s="2" t="inlineStr"/>
    </row>
    <row r="231" ht="15" customHeight="1">
      <c r="A231" t="inlineStr">
        <is>
          <t>A 64831-2023</t>
        </is>
      </c>
      <c r="B231" s="1" t="n">
        <v>45282</v>
      </c>
      <c r="C231" s="1" t="n">
        <v>46193</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58780-2024</t>
        </is>
      </c>
      <c r="B232" s="1" t="n">
        <v>45635</v>
      </c>
      <c r="C232" s="1" t="n">
        <v>46193</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v>
      </c>
      <c r="C233" s="1" t="n">
        <v>46193</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28285-2024</t>
        </is>
      </c>
      <c r="B234" s="1" t="n">
        <v>45477</v>
      </c>
      <c r="C234" s="1" t="n">
        <v>46193</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46193</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61682-2024</t>
        </is>
      </c>
      <c r="B236" s="1" t="n">
        <v>45647</v>
      </c>
      <c r="C236" s="1" t="n">
        <v>46193</v>
      </c>
      <c r="D236" t="inlineStr">
        <is>
          <t>GOTLANDS LÄN</t>
        </is>
      </c>
      <c r="E236" t="inlineStr">
        <is>
          <t>GOTLAND</t>
        </is>
      </c>
      <c r="G236" t="n">
        <v>1.9</v>
      </c>
      <c r="H236" t="n">
        <v>0</v>
      </c>
      <c r="I236" t="n">
        <v>0</v>
      </c>
      <c r="J236" t="n">
        <v>0</v>
      </c>
      <c r="K236" t="n">
        <v>0</v>
      </c>
      <c r="L236" t="n">
        <v>0</v>
      </c>
      <c r="M236" t="n">
        <v>0</v>
      </c>
      <c r="N236" t="n">
        <v>0</v>
      </c>
      <c r="O236" t="n">
        <v>0</v>
      </c>
      <c r="P236" t="n">
        <v>0</v>
      </c>
      <c r="Q236" t="n">
        <v>0</v>
      </c>
      <c r="R236" s="2" t="inlineStr"/>
    </row>
    <row r="237" ht="15" customHeight="1">
      <c r="A237" t="inlineStr">
        <is>
          <t>A 4377-2023</t>
        </is>
      </c>
      <c r="B237" s="1" t="n">
        <v>44955</v>
      </c>
      <c r="C237" s="1" t="n">
        <v>46193</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4387-2023</t>
        </is>
      </c>
      <c r="B238" s="1" t="n">
        <v>44955</v>
      </c>
      <c r="C238" s="1" t="n">
        <v>46193</v>
      </c>
      <c r="D238" t="inlineStr">
        <is>
          <t>GOTLANDS LÄN</t>
        </is>
      </c>
      <c r="E238" t="inlineStr">
        <is>
          <t>GOTLAND</t>
        </is>
      </c>
      <c r="G238" t="n">
        <v>1.9</v>
      </c>
      <c r="H238" t="n">
        <v>0</v>
      </c>
      <c r="I238" t="n">
        <v>0</v>
      </c>
      <c r="J238" t="n">
        <v>0</v>
      </c>
      <c r="K238" t="n">
        <v>0</v>
      </c>
      <c r="L238" t="n">
        <v>0</v>
      </c>
      <c r="M238" t="n">
        <v>0</v>
      </c>
      <c r="N238" t="n">
        <v>0</v>
      </c>
      <c r="O238" t="n">
        <v>0</v>
      </c>
      <c r="P238" t="n">
        <v>0</v>
      </c>
      <c r="Q238" t="n">
        <v>0</v>
      </c>
      <c r="R238" s="2" t="inlineStr"/>
    </row>
    <row r="239" ht="15" customHeight="1">
      <c r="A239" t="inlineStr">
        <is>
          <t>A 39479-2022</t>
        </is>
      </c>
      <c r="B239" s="1" t="n">
        <v>44818</v>
      </c>
      <c r="C239" s="1" t="n">
        <v>46193</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v>
      </c>
      <c r="C240" s="1" t="n">
        <v>46193</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v>
      </c>
      <c r="C241" s="1" t="n">
        <v>46193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51963-2024</t>
        </is>
      </c>
      <c r="B242" s="1" t="n">
        <v>45607</v>
      </c>
      <c r="C242" s="1" t="n">
        <v>46193</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811-2023</t>
        </is>
      </c>
      <c r="B243" s="1" t="n">
        <v>44931</v>
      </c>
      <c r="C243" s="1" t="n">
        <v>46193</v>
      </c>
      <c r="D243" t="inlineStr">
        <is>
          <t>GOTLANDS LÄN</t>
        </is>
      </c>
      <c r="E243" t="inlineStr">
        <is>
          <t>GOTLAND</t>
        </is>
      </c>
      <c r="G243" t="n">
        <v>0.6</v>
      </c>
      <c r="H243" t="n">
        <v>0</v>
      </c>
      <c r="I243" t="n">
        <v>0</v>
      </c>
      <c r="J243" t="n">
        <v>0</v>
      </c>
      <c r="K243" t="n">
        <v>0</v>
      </c>
      <c r="L243" t="n">
        <v>0</v>
      </c>
      <c r="M243" t="n">
        <v>0</v>
      </c>
      <c r="N243" t="n">
        <v>0</v>
      </c>
      <c r="O243" t="n">
        <v>0</v>
      </c>
      <c r="P243" t="n">
        <v>0</v>
      </c>
      <c r="Q243" t="n">
        <v>0</v>
      </c>
      <c r="R243" s="2" t="inlineStr"/>
    </row>
    <row r="244" ht="15" customHeight="1">
      <c r="A244" t="inlineStr">
        <is>
          <t>A 46389-2021</t>
        </is>
      </c>
      <c r="B244" s="1" t="n">
        <v>44443</v>
      </c>
      <c r="C244" s="1" t="n">
        <v>46193</v>
      </c>
      <c r="D244" t="inlineStr">
        <is>
          <t>GOTLANDS LÄN</t>
        </is>
      </c>
      <c r="E244" t="inlineStr">
        <is>
          <t>GOTLAND</t>
        </is>
      </c>
      <c r="F244" t="inlineStr">
        <is>
          <t>Kyrkan</t>
        </is>
      </c>
      <c r="G244" t="n">
        <v>2.1</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46193</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5923-2023</t>
        </is>
      </c>
      <c r="B246" s="1" t="n">
        <v>44963</v>
      </c>
      <c r="C246" s="1" t="n">
        <v>46193</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57219-2021</t>
        </is>
      </c>
      <c r="B247" s="1" t="n">
        <v>44483</v>
      </c>
      <c r="C247" s="1" t="n">
        <v>46193</v>
      </c>
      <c r="D247" t="inlineStr">
        <is>
          <t>GOTLANDS LÄN</t>
        </is>
      </c>
      <c r="E247" t="inlineStr">
        <is>
          <t>GOTLAND</t>
        </is>
      </c>
      <c r="F247" t="inlineStr">
        <is>
          <t>Kyrkan</t>
        </is>
      </c>
      <c r="G247" t="n">
        <v>4</v>
      </c>
      <c r="H247" t="n">
        <v>0</v>
      </c>
      <c r="I247" t="n">
        <v>0</v>
      </c>
      <c r="J247" t="n">
        <v>0</v>
      </c>
      <c r="K247" t="n">
        <v>0</v>
      </c>
      <c r="L247" t="n">
        <v>0</v>
      </c>
      <c r="M247" t="n">
        <v>0</v>
      </c>
      <c r="N247" t="n">
        <v>0</v>
      </c>
      <c r="O247" t="n">
        <v>0</v>
      </c>
      <c r="P247" t="n">
        <v>0</v>
      </c>
      <c r="Q247" t="n">
        <v>0</v>
      </c>
      <c r="R247" s="2" t="inlineStr"/>
    </row>
    <row r="248" ht="15" customHeight="1">
      <c r="A248" t="inlineStr">
        <is>
          <t>A 18918-2025</t>
        </is>
      </c>
      <c r="B248" s="1" t="n">
        <v>45764</v>
      </c>
      <c r="C248" s="1" t="n">
        <v>46193</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2674-2023</t>
        </is>
      </c>
      <c r="B249" s="1" t="n">
        <v>44944</v>
      </c>
      <c r="C249" s="1" t="n">
        <v>46193</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10655-2023</t>
        </is>
      </c>
      <c r="B250" s="1" t="n">
        <v>44988</v>
      </c>
      <c r="C250" s="1" t="n">
        <v>46193</v>
      </c>
      <c r="D250" t="inlineStr">
        <is>
          <t>GOTLANDS LÄN</t>
        </is>
      </c>
      <c r="E250" t="inlineStr">
        <is>
          <t>GOTLAND</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17688-2024</t>
        </is>
      </c>
      <c r="B251" s="1" t="n">
        <v>45418</v>
      </c>
      <c r="C251" s="1" t="n">
        <v>46193</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2719-2023</t>
        </is>
      </c>
      <c r="B252" s="1" t="n">
        <v>44944</v>
      </c>
      <c r="C252" s="1" t="n">
        <v>46193</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26891-2024</t>
        </is>
      </c>
      <c r="B253" s="1" t="n">
        <v>45470</v>
      </c>
      <c r="C253" s="1" t="n">
        <v>46193</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7837-2024</t>
        </is>
      </c>
      <c r="B254" s="1" t="n">
        <v>45349</v>
      </c>
      <c r="C254" s="1" t="n">
        <v>46193</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42007-2023</t>
        </is>
      </c>
      <c r="B255" s="1" t="n">
        <v>45177</v>
      </c>
      <c r="C255" s="1" t="n">
        <v>46193</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9887-2025</t>
        </is>
      </c>
      <c r="B256" s="1" t="n">
        <v>45716</v>
      </c>
      <c r="C256" s="1" t="n">
        <v>46193</v>
      </c>
      <c r="D256" t="inlineStr">
        <is>
          <t>GOTLANDS LÄN</t>
        </is>
      </c>
      <c r="E256" t="inlineStr">
        <is>
          <t>GOTLAND</t>
        </is>
      </c>
      <c r="G256" t="n">
        <v>7.5</v>
      </c>
      <c r="H256" t="n">
        <v>0</v>
      </c>
      <c r="I256" t="n">
        <v>0</v>
      </c>
      <c r="J256" t="n">
        <v>0</v>
      </c>
      <c r="K256" t="n">
        <v>0</v>
      </c>
      <c r="L256" t="n">
        <v>0</v>
      </c>
      <c r="M256" t="n">
        <v>0</v>
      </c>
      <c r="N256" t="n">
        <v>0</v>
      </c>
      <c r="O256" t="n">
        <v>0</v>
      </c>
      <c r="P256" t="n">
        <v>0</v>
      </c>
      <c r="Q256" t="n">
        <v>0</v>
      </c>
      <c r="R256" s="2" t="inlineStr"/>
    </row>
    <row r="257" ht="15" customHeight="1">
      <c r="A257" t="inlineStr">
        <is>
          <t>A 30282-2022</t>
        </is>
      </c>
      <c r="B257" s="1" t="n">
        <v>44760</v>
      </c>
      <c r="C257" s="1" t="n">
        <v>46193</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46193</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46193</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v>
      </c>
      <c r="C260" s="1" t="n">
        <v>46193</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35512-2023</t>
        </is>
      </c>
      <c r="B261" s="1" t="n">
        <v>45147</v>
      </c>
      <c r="C261" s="1" t="n">
        <v>46193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5905-2024</t>
        </is>
      </c>
      <c r="B262" s="1" t="n">
        <v>45335</v>
      </c>
      <c r="C262" s="1" t="n">
        <v>46193</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21247-2022</t>
        </is>
      </c>
      <c r="B263" s="1" t="n">
        <v>44705</v>
      </c>
      <c r="C263" s="1" t="n">
        <v>46193</v>
      </c>
      <c r="D263" t="inlineStr">
        <is>
          <t>GOTLANDS LÄN</t>
        </is>
      </c>
      <c r="E263" t="inlineStr">
        <is>
          <t>GOTLAND</t>
        </is>
      </c>
      <c r="G263" t="n">
        <v>16.2</v>
      </c>
      <c r="H263" t="n">
        <v>0</v>
      </c>
      <c r="I263" t="n">
        <v>0</v>
      </c>
      <c r="J263" t="n">
        <v>0</v>
      </c>
      <c r="K263" t="n">
        <v>0</v>
      </c>
      <c r="L263" t="n">
        <v>0</v>
      </c>
      <c r="M263" t="n">
        <v>0</v>
      </c>
      <c r="N263" t="n">
        <v>0</v>
      </c>
      <c r="O263" t="n">
        <v>0</v>
      </c>
      <c r="P263" t="n">
        <v>0</v>
      </c>
      <c r="Q263" t="n">
        <v>0</v>
      </c>
      <c r="R263" s="2" t="inlineStr"/>
    </row>
    <row r="264" ht="15" customHeight="1">
      <c r="A264" t="inlineStr">
        <is>
          <t>A 456-2023</t>
        </is>
      </c>
      <c r="B264" s="1" t="n">
        <v>44929</v>
      </c>
      <c r="C264" s="1" t="n">
        <v>46193</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2714-2023</t>
        </is>
      </c>
      <c r="B265" s="1" t="n">
        <v>44944</v>
      </c>
      <c r="C265" s="1" t="n">
        <v>46193</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1291-2023</t>
        </is>
      </c>
      <c r="B266" s="1" t="n">
        <v>44936</v>
      </c>
      <c r="C266" s="1" t="n">
        <v>46193</v>
      </c>
      <c r="D266" t="inlineStr">
        <is>
          <t>GOTLANDS LÄN</t>
        </is>
      </c>
      <c r="E266" t="inlineStr">
        <is>
          <t>GOTLAND</t>
        </is>
      </c>
      <c r="G266" t="n">
        <v>7.4</v>
      </c>
      <c r="H266" t="n">
        <v>0</v>
      </c>
      <c r="I266" t="n">
        <v>0</v>
      </c>
      <c r="J266" t="n">
        <v>0</v>
      </c>
      <c r="K266" t="n">
        <v>0</v>
      </c>
      <c r="L266" t="n">
        <v>0</v>
      </c>
      <c r="M266" t="n">
        <v>0</v>
      </c>
      <c r="N266" t="n">
        <v>0</v>
      </c>
      <c r="O266" t="n">
        <v>0</v>
      </c>
      <c r="P266" t="n">
        <v>0</v>
      </c>
      <c r="Q266" t="n">
        <v>0</v>
      </c>
      <c r="R266" s="2" t="inlineStr"/>
    </row>
    <row r="267" ht="15" customHeight="1">
      <c r="A267" t="inlineStr">
        <is>
          <t>A 15595-2024</t>
        </is>
      </c>
      <c r="B267" s="1" t="n">
        <v>45401</v>
      </c>
      <c r="C267" s="1" t="n">
        <v>46193</v>
      </c>
      <c r="D267" t="inlineStr">
        <is>
          <t>GOTLANDS LÄN</t>
        </is>
      </c>
      <c r="E267" t="inlineStr">
        <is>
          <t>GOTLAND</t>
        </is>
      </c>
      <c r="G267" t="n">
        <v>6.4</v>
      </c>
      <c r="H267" t="n">
        <v>0</v>
      </c>
      <c r="I267" t="n">
        <v>0</v>
      </c>
      <c r="J267" t="n">
        <v>0</v>
      </c>
      <c r="K267" t="n">
        <v>0</v>
      </c>
      <c r="L267" t="n">
        <v>0</v>
      </c>
      <c r="M267" t="n">
        <v>0</v>
      </c>
      <c r="N267" t="n">
        <v>0</v>
      </c>
      <c r="O267" t="n">
        <v>0</v>
      </c>
      <c r="P267" t="n">
        <v>0</v>
      </c>
      <c r="Q267" t="n">
        <v>0</v>
      </c>
      <c r="R267" s="2" t="inlineStr"/>
    </row>
    <row r="268" ht="15" customHeight="1">
      <c r="A268" t="inlineStr">
        <is>
          <t>A 56951-2021</t>
        </is>
      </c>
      <c r="B268" s="1" t="n">
        <v>44482</v>
      </c>
      <c r="C268" s="1" t="n">
        <v>46193</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v>
      </c>
      <c r="C269" s="1" t="n">
        <v>46193</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57652-2023</t>
        </is>
      </c>
      <c r="B270" s="1" t="n">
        <v>45246</v>
      </c>
      <c r="C270" s="1" t="n">
        <v>46193</v>
      </c>
      <c r="D270" t="inlineStr">
        <is>
          <t>GOTLANDS LÄN</t>
        </is>
      </c>
      <c r="E270" t="inlineStr">
        <is>
          <t>GOTLAND</t>
        </is>
      </c>
      <c r="G270" t="n">
        <v>7.2</v>
      </c>
      <c r="H270" t="n">
        <v>0</v>
      </c>
      <c r="I270" t="n">
        <v>0</v>
      </c>
      <c r="J270" t="n">
        <v>0</v>
      </c>
      <c r="K270" t="n">
        <v>0</v>
      </c>
      <c r="L270" t="n">
        <v>0</v>
      </c>
      <c r="M270" t="n">
        <v>0</v>
      </c>
      <c r="N270" t="n">
        <v>0</v>
      </c>
      <c r="O270" t="n">
        <v>0</v>
      </c>
      <c r="P270" t="n">
        <v>0</v>
      </c>
      <c r="Q270" t="n">
        <v>0</v>
      </c>
      <c r="R270" s="2" t="inlineStr"/>
    </row>
    <row r="271" ht="15" customHeight="1">
      <c r="A271" t="inlineStr">
        <is>
          <t>A 51782-2023</t>
        </is>
      </c>
      <c r="B271" s="1" t="n">
        <v>45222</v>
      </c>
      <c r="C271" s="1" t="n">
        <v>46193</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54268-2022</t>
        </is>
      </c>
      <c r="B272" s="1" t="n">
        <v>44882</v>
      </c>
      <c r="C272" s="1" t="n">
        <v>46193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49315-2024</t>
        </is>
      </c>
      <c r="B273" s="1" t="n">
        <v>45595</v>
      </c>
      <c r="C273" s="1" t="n">
        <v>46193</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25866-2022</t>
        </is>
      </c>
      <c r="B274" s="1" t="n">
        <v>44733</v>
      </c>
      <c r="C274" s="1" t="n">
        <v>46193</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2676-2023</t>
        </is>
      </c>
      <c r="B275" s="1" t="n">
        <v>44944</v>
      </c>
      <c r="C275" s="1" t="n">
        <v>46193</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43229-2023</t>
        </is>
      </c>
      <c r="B276" s="1" t="n">
        <v>45183</v>
      </c>
      <c r="C276" s="1" t="n">
        <v>46193</v>
      </c>
      <c r="D276" t="inlineStr">
        <is>
          <t>GOTLANDS LÄN</t>
        </is>
      </c>
      <c r="E276" t="inlineStr">
        <is>
          <t>GOTLAND</t>
        </is>
      </c>
      <c r="G276" t="n">
        <v>7.1</v>
      </c>
      <c r="H276" t="n">
        <v>0</v>
      </c>
      <c r="I276" t="n">
        <v>0</v>
      </c>
      <c r="J276" t="n">
        <v>0</v>
      </c>
      <c r="K276" t="n">
        <v>0</v>
      </c>
      <c r="L276" t="n">
        <v>0</v>
      </c>
      <c r="M276" t="n">
        <v>0</v>
      </c>
      <c r="N276" t="n">
        <v>0</v>
      </c>
      <c r="O276" t="n">
        <v>0</v>
      </c>
      <c r="P276" t="n">
        <v>0</v>
      </c>
      <c r="Q276" t="n">
        <v>0</v>
      </c>
      <c r="R276" s="2" t="inlineStr"/>
    </row>
    <row r="277" ht="15" customHeight="1">
      <c r="A277" t="inlineStr">
        <is>
          <t>A 1175-2025</t>
        </is>
      </c>
      <c r="B277" s="1" t="n">
        <v>45667</v>
      </c>
      <c r="C277" s="1" t="n">
        <v>46193</v>
      </c>
      <c r="D277" t="inlineStr">
        <is>
          <t>GOTLANDS LÄN</t>
        </is>
      </c>
      <c r="E277" t="inlineStr">
        <is>
          <t>GOTLAND</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27095-2022</t>
        </is>
      </c>
      <c r="B278" s="1" t="n">
        <v>44741</v>
      </c>
      <c r="C278" s="1" t="n">
        <v>46193</v>
      </c>
      <c r="D278" t="inlineStr">
        <is>
          <t>GOTLANDS LÄN</t>
        </is>
      </c>
      <c r="E278" t="inlineStr">
        <is>
          <t>GOTLAND</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22899-2023</t>
        </is>
      </c>
      <c r="B279" s="1" t="n">
        <v>45072</v>
      </c>
      <c r="C279" s="1" t="n">
        <v>46193</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v>
      </c>
      <c r="C280" s="1" t="n">
        <v>46193</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8484-2025</t>
        </is>
      </c>
      <c r="B281" s="1" t="n">
        <v>45709</v>
      </c>
      <c r="C281" s="1" t="n">
        <v>46193</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7636-2025</t>
        </is>
      </c>
      <c r="B282" s="1" t="n">
        <v>45705</v>
      </c>
      <c r="C282" s="1" t="n">
        <v>46193</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7639-2025</t>
        </is>
      </c>
      <c r="B283" s="1" t="n">
        <v>45705</v>
      </c>
      <c r="C283" s="1" t="n">
        <v>46193</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23978-2023</t>
        </is>
      </c>
      <c r="B284" s="1" t="n">
        <v>45078</v>
      </c>
      <c r="C284" s="1" t="n">
        <v>46193</v>
      </c>
      <c r="D284" t="inlineStr">
        <is>
          <t>GOTLANDS LÄN</t>
        </is>
      </c>
      <c r="E284" t="inlineStr">
        <is>
          <t>GOTLAND</t>
        </is>
      </c>
      <c r="F284" t="inlineStr">
        <is>
          <t>Naturvårdsverket</t>
        </is>
      </c>
      <c r="G284" t="n">
        <v>1.7</v>
      </c>
      <c r="H284" t="n">
        <v>0</v>
      </c>
      <c r="I284" t="n">
        <v>0</v>
      </c>
      <c r="J284" t="n">
        <v>0</v>
      </c>
      <c r="K284" t="n">
        <v>0</v>
      </c>
      <c r="L284" t="n">
        <v>0</v>
      </c>
      <c r="M284" t="n">
        <v>0</v>
      </c>
      <c r="N284" t="n">
        <v>0</v>
      </c>
      <c r="O284" t="n">
        <v>0</v>
      </c>
      <c r="P284" t="n">
        <v>0</v>
      </c>
      <c r="Q284" t="n">
        <v>0</v>
      </c>
      <c r="R284" s="2" t="inlineStr"/>
    </row>
    <row r="285" ht="15" customHeight="1">
      <c r="A285" t="inlineStr">
        <is>
          <t>A 34407-2023</t>
        </is>
      </c>
      <c r="B285" s="1" t="n">
        <v>45132</v>
      </c>
      <c r="C285" s="1" t="n">
        <v>46193</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11013-2024</t>
        </is>
      </c>
      <c r="B286" s="1" t="n">
        <v>45370</v>
      </c>
      <c r="C286" s="1" t="n">
        <v>46193</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27694-2024</t>
        </is>
      </c>
      <c r="B287" s="1" t="n">
        <v>45475</v>
      </c>
      <c r="C287" s="1" t="n">
        <v>46193</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20356-2022</t>
        </is>
      </c>
      <c r="B288" s="1" t="n">
        <v>44699</v>
      </c>
      <c r="C288" s="1" t="n">
        <v>46193</v>
      </c>
      <c r="D288" t="inlineStr">
        <is>
          <t>GOTLANDS LÄN</t>
        </is>
      </c>
      <c r="E288" t="inlineStr">
        <is>
          <t>GOTLAND</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20356-2022</t>
        </is>
      </c>
      <c r="B289" s="1" t="n">
        <v>44699</v>
      </c>
      <c r="C289" s="1" t="n">
        <v>46193</v>
      </c>
      <c r="D289" t="inlineStr">
        <is>
          <t>GOTLANDS LÄN</t>
        </is>
      </c>
      <c r="E289" t="inlineStr">
        <is>
          <t>GOTLAND</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48734-2022</t>
        </is>
      </c>
      <c r="B290" s="1" t="n">
        <v>44855</v>
      </c>
      <c r="C290" s="1" t="n">
        <v>46193</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15083-2025</t>
        </is>
      </c>
      <c r="B291" s="1" t="n">
        <v>45743</v>
      </c>
      <c r="C291" s="1" t="n">
        <v>46193</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29809-2022</t>
        </is>
      </c>
      <c r="B292" s="1" t="n">
        <v>44755</v>
      </c>
      <c r="C292" s="1" t="n">
        <v>46193</v>
      </c>
      <c r="D292" t="inlineStr">
        <is>
          <t>GOTLANDS LÄN</t>
        </is>
      </c>
      <c r="E292" t="inlineStr">
        <is>
          <t>GOTLAND</t>
        </is>
      </c>
      <c r="G292" t="n">
        <v>11.5</v>
      </c>
      <c r="H292" t="n">
        <v>0</v>
      </c>
      <c r="I292" t="n">
        <v>0</v>
      </c>
      <c r="J292" t="n">
        <v>0</v>
      </c>
      <c r="K292" t="n">
        <v>0</v>
      </c>
      <c r="L292" t="n">
        <v>0</v>
      </c>
      <c r="M292" t="n">
        <v>0</v>
      </c>
      <c r="N292" t="n">
        <v>0</v>
      </c>
      <c r="O292" t="n">
        <v>0</v>
      </c>
      <c r="P292" t="n">
        <v>0</v>
      </c>
      <c r="Q292" t="n">
        <v>0</v>
      </c>
      <c r="R292" s="2" t="inlineStr"/>
    </row>
    <row r="293" ht="15" customHeight="1">
      <c r="A293" t="inlineStr">
        <is>
          <t>A 13037-2025</t>
        </is>
      </c>
      <c r="B293" s="1" t="n">
        <v>45734</v>
      </c>
      <c r="C293" s="1" t="n">
        <v>46193</v>
      </c>
      <c r="D293" t="inlineStr">
        <is>
          <t>GOTLANDS LÄN</t>
        </is>
      </c>
      <c r="E293" t="inlineStr">
        <is>
          <t>GOTLAND</t>
        </is>
      </c>
      <c r="G293" t="n">
        <v>9.5</v>
      </c>
      <c r="H293" t="n">
        <v>0</v>
      </c>
      <c r="I293" t="n">
        <v>0</v>
      </c>
      <c r="J293" t="n">
        <v>0</v>
      </c>
      <c r="K293" t="n">
        <v>0</v>
      </c>
      <c r="L293" t="n">
        <v>0</v>
      </c>
      <c r="M293" t="n">
        <v>0</v>
      </c>
      <c r="N293" t="n">
        <v>0</v>
      </c>
      <c r="O293" t="n">
        <v>0</v>
      </c>
      <c r="P293" t="n">
        <v>0</v>
      </c>
      <c r="Q293" t="n">
        <v>0</v>
      </c>
      <c r="R293" s="2" t="inlineStr"/>
    </row>
    <row r="294" ht="15" customHeight="1">
      <c r="A294" t="inlineStr">
        <is>
          <t>A 22031-2024</t>
        </is>
      </c>
      <c r="B294" s="1" t="n">
        <v>45443</v>
      </c>
      <c r="C294" s="1" t="n">
        <v>46193</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44228-2022</t>
        </is>
      </c>
      <c r="B295" s="1" t="n">
        <v>44839</v>
      </c>
      <c r="C295" s="1" t="n">
        <v>46193</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58132-2023</t>
        </is>
      </c>
      <c r="B296" s="1" t="n">
        <v>45250</v>
      </c>
      <c r="C296" s="1" t="n">
        <v>46193</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44919-2022</t>
        </is>
      </c>
      <c r="B297" s="1" t="n">
        <v>44841</v>
      </c>
      <c r="C297" s="1" t="n">
        <v>46193</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v>
      </c>
      <c r="C298" s="1" t="n">
        <v>46193</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30815-2023</t>
        </is>
      </c>
      <c r="B299" s="1" t="n">
        <v>45112</v>
      </c>
      <c r="C299" s="1" t="n">
        <v>46193</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48503-2023</t>
        </is>
      </c>
      <c r="B300" s="1" t="n">
        <v>45207</v>
      </c>
      <c r="C300" s="1" t="n">
        <v>46193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49884-2023</t>
        </is>
      </c>
      <c r="B301" s="1" t="n">
        <v>45213</v>
      </c>
      <c r="C301" s="1" t="n">
        <v>46193</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46193</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7034-2023</t>
        </is>
      </c>
      <c r="B303" s="1" t="n">
        <v>44968</v>
      </c>
      <c r="C303" s="1" t="n">
        <v>46193</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23516-2023</t>
        </is>
      </c>
      <c r="B304" s="1" t="n">
        <v>45076</v>
      </c>
      <c r="C304" s="1" t="n">
        <v>46193</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64660-2023</t>
        </is>
      </c>
      <c r="B305" s="1" t="n">
        <v>45281</v>
      </c>
      <c r="C305" s="1" t="n">
        <v>46193</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876-2024</t>
        </is>
      </c>
      <c r="B306" s="1" t="n">
        <v>45301</v>
      </c>
      <c r="C306" s="1" t="n">
        <v>46193</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63763-2023</t>
        </is>
      </c>
      <c r="B307" s="1" t="n">
        <v>45278</v>
      </c>
      <c r="C307" s="1" t="n">
        <v>46193</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44649-2021</t>
        </is>
      </c>
      <c r="B308" s="1" t="n">
        <v>44437</v>
      </c>
      <c r="C308" s="1" t="n">
        <v>46193</v>
      </c>
      <c r="D308" t="inlineStr">
        <is>
          <t>GOTLANDS LÄN</t>
        </is>
      </c>
      <c r="E308" t="inlineStr">
        <is>
          <t>GOTLAND</t>
        </is>
      </c>
      <c r="G308" t="n">
        <v>8.1</v>
      </c>
      <c r="H308" t="n">
        <v>0</v>
      </c>
      <c r="I308" t="n">
        <v>0</v>
      </c>
      <c r="J308" t="n">
        <v>0</v>
      </c>
      <c r="K308" t="n">
        <v>0</v>
      </c>
      <c r="L308" t="n">
        <v>0</v>
      </c>
      <c r="M308" t="n">
        <v>0</v>
      </c>
      <c r="N308" t="n">
        <v>0</v>
      </c>
      <c r="O308" t="n">
        <v>0</v>
      </c>
      <c r="P308" t="n">
        <v>0</v>
      </c>
      <c r="Q308" t="n">
        <v>0</v>
      </c>
      <c r="R308" s="2" t="inlineStr"/>
    </row>
    <row r="309" ht="15" customHeight="1">
      <c r="A309" t="inlineStr">
        <is>
          <t>A 22704-2023</t>
        </is>
      </c>
      <c r="B309" s="1" t="n">
        <v>45071</v>
      </c>
      <c r="C309" s="1" t="n">
        <v>46193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9947-2024</t>
        </is>
      </c>
      <c r="B310" s="1" t="n">
        <v>45363</v>
      </c>
      <c r="C310" s="1" t="n">
        <v>46193</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28425-2023</t>
        </is>
      </c>
      <c r="B311" s="1" t="n">
        <v>45102</v>
      </c>
      <c r="C311" s="1" t="n">
        <v>46193</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58476-2022</t>
        </is>
      </c>
      <c r="B312" s="1" t="n">
        <v>44902</v>
      </c>
      <c r="C312" s="1" t="n">
        <v>46193</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43223-2023</t>
        </is>
      </c>
      <c r="B313" s="1" t="n">
        <v>45183</v>
      </c>
      <c r="C313" s="1" t="n">
        <v>46193</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17682-2024</t>
        </is>
      </c>
      <c r="B314" s="1" t="n">
        <v>45418</v>
      </c>
      <c r="C314" s="1" t="n">
        <v>46193</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57522-2022</t>
        </is>
      </c>
      <c r="B315" s="1" t="n">
        <v>44896</v>
      </c>
      <c r="C315" s="1" t="n">
        <v>46193</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3431-2025</t>
        </is>
      </c>
      <c r="B316" s="1" t="n">
        <v>45680</v>
      </c>
      <c r="C316" s="1" t="n">
        <v>46193</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12599-2025</t>
        </is>
      </c>
      <c r="B317" s="1" t="n">
        <v>45733</v>
      </c>
      <c r="C317" s="1" t="n">
        <v>46193</v>
      </c>
      <c r="D317" t="inlineStr">
        <is>
          <t>GOTLANDS LÄN</t>
        </is>
      </c>
      <c r="E317" t="inlineStr">
        <is>
          <t>GOTLAND</t>
        </is>
      </c>
      <c r="G317" t="n">
        <v>4.7</v>
      </c>
      <c r="H317" t="n">
        <v>0</v>
      </c>
      <c r="I317" t="n">
        <v>0</v>
      </c>
      <c r="J317" t="n">
        <v>0</v>
      </c>
      <c r="K317" t="n">
        <v>0</v>
      </c>
      <c r="L317" t="n">
        <v>0</v>
      </c>
      <c r="M317" t="n">
        <v>0</v>
      </c>
      <c r="N317" t="n">
        <v>0</v>
      </c>
      <c r="O317" t="n">
        <v>0</v>
      </c>
      <c r="P317" t="n">
        <v>0</v>
      </c>
      <c r="Q317" t="n">
        <v>0</v>
      </c>
      <c r="R317" s="2" t="inlineStr"/>
    </row>
    <row r="318" ht="15" customHeight="1">
      <c r="A318" t="inlineStr">
        <is>
          <t>A 12210-2024</t>
        </is>
      </c>
      <c r="B318" s="1" t="n">
        <v>45378</v>
      </c>
      <c r="C318" s="1" t="n">
        <v>46193</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35141-2025</t>
        </is>
      </c>
      <c r="B319" s="1" t="n">
        <v>45852</v>
      </c>
      <c r="C319" s="1" t="n">
        <v>46193</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35142-2025</t>
        </is>
      </c>
      <c r="B320" s="1" t="n">
        <v>45852</v>
      </c>
      <c r="C320" s="1" t="n">
        <v>46193</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1734-2025</t>
        </is>
      </c>
      <c r="B321" s="1" t="n">
        <v>45671</v>
      </c>
      <c r="C321" s="1" t="n">
        <v>46193</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20993-2023</t>
        </is>
      </c>
      <c r="B322" s="1" t="n">
        <v>45056</v>
      </c>
      <c r="C322" s="1" t="n">
        <v>46193</v>
      </c>
      <c r="D322" t="inlineStr">
        <is>
          <t>GOTLANDS LÄN</t>
        </is>
      </c>
      <c r="E322" t="inlineStr">
        <is>
          <t>GOTLAND</t>
        </is>
      </c>
      <c r="G322" t="n">
        <v>7.1</v>
      </c>
      <c r="H322" t="n">
        <v>0</v>
      </c>
      <c r="I322" t="n">
        <v>0</v>
      </c>
      <c r="J322" t="n">
        <v>0</v>
      </c>
      <c r="K322" t="n">
        <v>0</v>
      </c>
      <c r="L322" t="n">
        <v>0</v>
      </c>
      <c r="M322" t="n">
        <v>0</v>
      </c>
      <c r="N322" t="n">
        <v>0</v>
      </c>
      <c r="O322" t="n">
        <v>0</v>
      </c>
      <c r="P322" t="n">
        <v>0</v>
      </c>
      <c r="Q322" t="n">
        <v>0</v>
      </c>
      <c r="R322" s="2" t="inlineStr"/>
    </row>
    <row r="323" ht="15" customHeight="1">
      <c r="A323" t="inlineStr">
        <is>
          <t>A 49257-2024</t>
        </is>
      </c>
      <c r="B323" s="1" t="n">
        <v>45595</v>
      </c>
      <c r="C323" s="1" t="n">
        <v>46193</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63516-2023</t>
        </is>
      </c>
      <c r="B324" s="1" t="n">
        <v>45274</v>
      </c>
      <c r="C324" s="1" t="n">
        <v>46193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37202-2024</t>
        </is>
      </c>
      <c r="B325" s="1" t="n">
        <v>45539</v>
      </c>
      <c r="C325" s="1" t="n">
        <v>46193</v>
      </c>
      <c r="D325" t="inlineStr">
        <is>
          <t>GOTLANDS LÄN</t>
        </is>
      </c>
      <c r="E325" t="inlineStr">
        <is>
          <t>GOTLAND</t>
        </is>
      </c>
      <c r="G325" t="n">
        <v>0.3</v>
      </c>
      <c r="H325" t="n">
        <v>0</v>
      </c>
      <c r="I325" t="n">
        <v>0</v>
      </c>
      <c r="J325" t="n">
        <v>0</v>
      </c>
      <c r="K325" t="n">
        <v>0</v>
      </c>
      <c r="L325" t="n">
        <v>0</v>
      </c>
      <c r="M325" t="n">
        <v>0</v>
      </c>
      <c r="N325" t="n">
        <v>0</v>
      </c>
      <c r="O325" t="n">
        <v>0</v>
      </c>
      <c r="P325" t="n">
        <v>0</v>
      </c>
      <c r="Q325" t="n">
        <v>0</v>
      </c>
      <c r="R325" s="2" t="inlineStr"/>
    </row>
    <row r="326" ht="15" customHeight="1">
      <c r="A326" t="inlineStr">
        <is>
          <t>A 12596-2023</t>
        </is>
      </c>
      <c r="B326" s="1" t="n">
        <v>45000</v>
      </c>
      <c r="C326" s="1" t="n">
        <v>46193</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46527-2023</t>
        </is>
      </c>
      <c r="B327" s="1" t="n">
        <v>45197</v>
      </c>
      <c r="C327" s="1" t="n">
        <v>46193</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2125-2025</t>
        </is>
      </c>
      <c r="B328" s="1" t="n">
        <v>45672</v>
      </c>
      <c r="C328" s="1" t="n">
        <v>46193</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v>
      </c>
      <c r="C329" s="1" t="n">
        <v>46193</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v>
      </c>
      <c r="C330" s="1" t="n">
        <v>46193</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v>
      </c>
      <c r="C331" s="1" t="n">
        <v>46193</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v>
      </c>
      <c r="C332" s="1" t="n">
        <v>46193</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50744-2024</t>
        </is>
      </c>
      <c r="B333" s="1" t="n">
        <v>45602</v>
      </c>
      <c r="C333" s="1" t="n">
        <v>46193</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30365-2024</t>
        </is>
      </c>
      <c r="B334" s="1" t="n">
        <v>45491</v>
      </c>
      <c r="C334" s="1" t="n">
        <v>46193</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2774-2024</t>
        </is>
      </c>
      <c r="B335" s="1" t="n">
        <v>45314</v>
      </c>
      <c r="C335" s="1" t="n">
        <v>46193</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1681-2023</t>
        </is>
      </c>
      <c r="B336" s="1" t="n">
        <v>44938</v>
      </c>
      <c r="C336" s="1" t="n">
        <v>46193</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60709-2023</t>
        </is>
      </c>
      <c r="B337" s="1" t="n">
        <v>45260</v>
      </c>
      <c r="C337" s="1" t="n">
        <v>46193</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1446-2025</t>
        </is>
      </c>
      <c r="B338" s="1" t="n">
        <v>45669</v>
      </c>
      <c r="C338" s="1" t="n">
        <v>46193</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39816-2025</t>
        </is>
      </c>
      <c r="B339" s="1" t="n">
        <v>45891</v>
      </c>
      <c r="C339" s="1" t="n">
        <v>46193</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40373-2025</t>
        </is>
      </c>
      <c r="B340" s="1" t="n">
        <v>45895</v>
      </c>
      <c r="C340" s="1" t="n">
        <v>46193</v>
      </c>
      <c r="D340" t="inlineStr">
        <is>
          <t>GOTLANDS LÄN</t>
        </is>
      </c>
      <c r="E340" t="inlineStr">
        <is>
          <t>GOTLAND</t>
        </is>
      </c>
      <c r="G340" t="n">
        <v>0.6</v>
      </c>
      <c r="H340" t="n">
        <v>0</v>
      </c>
      <c r="I340" t="n">
        <v>0</v>
      </c>
      <c r="J340" t="n">
        <v>0</v>
      </c>
      <c r="K340" t="n">
        <v>0</v>
      </c>
      <c r="L340" t="n">
        <v>0</v>
      </c>
      <c r="M340" t="n">
        <v>0</v>
      </c>
      <c r="N340" t="n">
        <v>0</v>
      </c>
      <c r="O340" t="n">
        <v>0</v>
      </c>
      <c r="P340" t="n">
        <v>0</v>
      </c>
      <c r="Q340" t="n">
        <v>0</v>
      </c>
      <c r="R340" s="2" t="inlineStr"/>
    </row>
    <row r="341" ht="15" customHeight="1">
      <c r="A341" t="inlineStr">
        <is>
          <t>A 40499-2025</t>
        </is>
      </c>
      <c r="B341" s="1" t="n">
        <v>45896</v>
      </c>
      <c r="C341" s="1" t="n">
        <v>46193</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v>
      </c>
      <c r="C342" s="1" t="n">
        <v>46193</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39278-2025</t>
        </is>
      </c>
      <c r="B343" s="1" t="n">
        <v>45889</v>
      </c>
      <c r="C343" s="1" t="n">
        <v>46193</v>
      </c>
      <c r="D343" t="inlineStr">
        <is>
          <t>GOTLANDS LÄN</t>
        </is>
      </c>
      <c r="E343" t="inlineStr">
        <is>
          <t>GOTLAND</t>
        </is>
      </c>
      <c r="G343" t="n">
        <v>3.7</v>
      </c>
      <c r="H343" t="n">
        <v>0</v>
      </c>
      <c r="I343" t="n">
        <v>0</v>
      </c>
      <c r="J343" t="n">
        <v>0</v>
      </c>
      <c r="K343" t="n">
        <v>0</v>
      </c>
      <c r="L343" t="n">
        <v>0</v>
      </c>
      <c r="M343" t="n">
        <v>0</v>
      </c>
      <c r="N343" t="n">
        <v>0</v>
      </c>
      <c r="O343" t="n">
        <v>0</v>
      </c>
      <c r="P343" t="n">
        <v>0</v>
      </c>
      <c r="Q343" t="n">
        <v>0</v>
      </c>
      <c r="R343" s="2" t="inlineStr"/>
    </row>
    <row r="344" ht="15" customHeight="1">
      <c r="A344" t="inlineStr">
        <is>
          <t>A 31264-2021</t>
        </is>
      </c>
      <c r="B344" s="1" t="n">
        <v>44368</v>
      </c>
      <c r="C344" s="1" t="n">
        <v>46193</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43901-2023</t>
        </is>
      </c>
      <c r="B345" s="1" t="n">
        <v>45187</v>
      </c>
      <c r="C345" s="1" t="n">
        <v>46193</v>
      </c>
      <c r="D345" t="inlineStr">
        <is>
          <t>GOTLANDS LÄN</t>
        </is>
      </c>
      <c r="E345" t="inlineStr">
        <is>
          <t>GOTLAND</t>
        </is>
      </c>
      <c r="G345" t="n">
        <v>5.4</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v>
      </c>
      <c r="C346" s="1" t="n">
        <v>46193</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39764-2022</t>
        </is>
      </c>
      <c r="B347" s="1" t="n">
        <v>44819</v>
      </c>
      <c r="C347" s="1" t="n">
        <v>46193</v>
      </c>
      <c r="D347" t="inlineStr">
        <is>
          <t>GOTLANDS LÄN</t>
        </is>
      </c>
      <c r="E347" t="inlineStr">
        <is>
          <t>GOTLAND</t>
        </is>
      </c>
      <c r="F347" t="inlineStr">
        <is>
          <t>Kyrkan</t>
        </is>
      </c>
      <c r="G347" t="n">
        <v>3.7</v>
      </c>
      <c r="H347" t="n">
        <v>0</v>
      </c>
      <c r="I347" t="n">
        <v>0</v>
      </c>
      <c r="J347" t="n">
        <v>0</v>
      </c>
      <c r="K347" t="n">
        <v>0</v>
      </c>
      <c r="L347" t="n">
        <v>0</v>
      </c>
      <c r="M347" t="n">
        <v>0</v>
      </c>
      <c r="N347" t="n">
        <v>0</v>
      </c>
      <c r="O347" t="n">
        <v>0</v>
      </c>
      <c r="P347" t="n">
        <v>0</v>
      </c>
      <c r="Q347" t="n">
        <v>0</v>
      </c>
      <c r="R347" s="2" t="inlineStr"/>
    </row>
    <row r="348" ht="15" customHeight="1">
      <c r="A348" t="inlineStr">
        <is>
          <t>A 16501-2023</t>
        </is>
      </c>
      <c r="B348" s="1" t="n">
        <v>45029</v>
      </c>
      <c r="C348" s="1" t="n">
        <v>46193</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v>
      </c>
      <c r="C349" s="1" t="n">
        <v>46193</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30892-2024</t>
        </is>
      </c>
      <c r="B350" s="1" t="n">
        <v>45491</v>
      </c>
      <c r="C350" s="1" t="n">
        <v>46193</v>
      </c>
      <c r="D350" t="inlineStr">
        <is>
          <t>GOTLANDS LÄN</t>
        </is>
      </c>
      <c r="E350" t="inlineStr">
        <is>
          <t>GOTLAND</t>
        </is>
      </c>
      <c r="G350" t="n">
        <v>6.1</v>
      </c>
      <c r="H350" t="n">
        <v>0</v>
      </c>
      <c r="I350" t="n">
        <v>0</v>
      </c>
      <c r="J350" t="n">
        <v>0</v>
      </c>
      <c r="K350" t="n">
        <v>0</v>
      </c>
      <c r="L350" t="n">
        <v>0</v>
      </c>
      <c r="M350" t="n">
        <v>0</v>
      </c>
      <c r="N350" t="n">
        <v>0</v>
      </c>
      <c r="O350" t="n">
        <v>0</v>
      </c>
      <c r="P350" t="n">
        <v>0</v>
      </c>
      <c r="Q350" t="n">
        <v>0</v>
      </c>
      <c r="R350" s="2" t="inlineStr"/>
    </row>
    <row r="351" ht="15" customHeight="1">
      <c r="A351" t="inlineStr">
        <is>
          <t>A 14635-2023</t>
        </is>
      </c>
      <c r="B351" s="1" t="n">
        <v>45013</v>
      </c>
      <c r="C351" s="1" t="n">
        <v>46193</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59469-2024</t>
        </is>
      </c>
      <c r="B352" s="1" t="n">
        <v>45638</v>
      </c>
      <c r="C352" s="1" t="n">
        <v>46193</v>
      </c>
      <c r="D352" t="inlineStr">
        <is>
          <t>GOTLANDS LÄN</t>
        </is>
      </c>
      <c r="E352" t="inlineStr">
        <is>
          <t>GOTLAND</t>
        </is>
      </c>
      <c r="G352" t="n">
        <v>0.4</v>
      </c>
      <c r="H352" t="n">
        <v>0</v>
      </c>
      <c r="I352" t="n">
        <v>0</v>
      </c>
      <c r="J352" t="n">
        <v>0</v>
      </c>
      <c r="K352" t="n">
        <v>0</v>
      </c>
      <c r="L352" t="n">
        <v>0</v>
      </c>
      <c r="M352" t="n">
        <v>0</v>
      </c>
      <c r="N352" t="n">
        <v>0</v>
      </c>
      <c r="O352" t="n">
        <v>0</v>
      </c>
      <c r="P352" t="n">
        <v>0</v>
      </c>
      <c r="Q352" t="n">
        <v>0</v>
      </c>
      <c r="R352" s="2" t="inlineStr"/>
    </row>
    <row r="353" ht="15" customHeight="1">
      <c r="A353" t="inlineStr">
        <is>
          <t>A 7858-2025</t>
        </is>
      </c>
      <c r="B353" s="1" t="n">
        <v>45706</v>
      </c>
      <c r="C353" s="1" t="n">
        <v>46193</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61962-2024</t>
        </is>
      </c>
      <c r="B354" s="1" t="n">
        <v>45653</v>
      </c>
      <c r="C354" s="1" t="n">
        <v>46193</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53935-2024</t>
        </is>
      </c>
      <c r="B355" s="1" t="n">
        <v>45615</v>
      </c>
      <c r="C355" s="1" t="n">
        <v>46193</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10492-2023</t>
        </is>
      </c>
      <c r="B356" s="1" t="n">
        <v>44987</v>
      </c>
      <c r="C356" s="1" t="n">
        <v>46193</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18223-2025</t>
        </is>
      </c>
      <c r="B357" s="1" t="n">
        <v>45761</v>
      </c>
      <c r="C357" s="1" t="n">
        <v>46193</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4420-2025</t>
        </is>
      </c>
      <c r="B358" s="1" t="n">
        <v>45686</v>
      </c>
      <c r="C358" s="1" t="n">
        <v>46193</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10158-2025</t>
        </is>
      </c>
      <c r="B359" s="1" t="n">
        <v>45719</v>
      </c>
      <c r="C359" s="1" t="n">
        <v>46193</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5891-2025</t>
        </is>
      </c>
      <c r="B360" s="1" t="n">
        <v>45695</v>
      </c>
      <c r="C360" s="1" t="n">
        <v>46193</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5909-2025</t>
        </is>
      </c>
      <c r="B361" s="1" t="n">
        <v>45695</v>
      </c>
      <c r="C361" s="1" t="n">
        <v>46193</v>
      </c>
      <c r="D361" t="inlineStr">
        <is>
          <t>GOTLANDS LÄN</t>
        </is>
      </c>
      <c r="E361" t="inlineStr">
        <is>
          <t>GOTLAND</t>
        </is>
      </c>
      <c r="G361" t="n">
        <v>2.9</v>
      </c>
      <c r="H361" t="n">
        <v>0</v>
      </c>
      <c r="I361" t="n">
        <v>0</v>
      </c>
      <c r="J361" t="n">
        <v>0</v>
      </c>
      <c r="K361" t="n">
        <v>0</v>
      </c>
      <c r="L361" t="n">
        <v>0</v>
      </c>
      <c r="M361" t="n">
        <v>0</v>
      </c>
      <c r="N361" t="n">
        <v>0</v>
      </c>
      <c r="O361" t="n">
        <v>0</v>
      </c>
      <c r="P361" t="n">
        <v>0</v>
      </c>
      <c r="Q361" t="n">
        <v>0</v>
      </c>
      <c r="R361" s="2" t="inlineStr"/>
    </row>
    <row r="362" ht="15" customHeight="1">
      <c r="A362" t="inlineStr">
        <is>
          <t>A 43951-2025</t>
        </is>
      </c>
      <c r="B362" s="1" t="n">
        <v>45915</v>
      </c>
      <c r="C362" s="1" t="n">
        <v>46193</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10653-2023</t>
        </is>
      </c>
      <c r="B363" s="1" t="n">
        <v>44988</v>
      </c>
      <c r="C363" s="1" t="n">
        <v>46193</v>
      </c>
      <c r="D363" t="inlineStr">
        <is>
          <t>GOTLANDS LÄN</t>
        </is>
      </c>
      <c r="E363" t="inlineStr">
        <is>
          <t>GOTLAND</t>
        </is>
      </c>
      <c r="F363" t="inlineStr">
        <is>
          <t>Kyrkan</t>
        </is>
      </c>
      <c r="G363" t="n">
        <v>3</v>
      </c>
      <c r="H363" t="n">
        <v>0</v>
      </c>
      <c r="I363" t="n">
        <v>0</v>
      </c>
      <c r="J363" t="n">
        <v>0</v>
      </c>
      <c r="K363" t="n">
        <v>0</v>
      </c>
      <c r="L363" t="n">
        <v>0</v>
      </c>
      <c r="M363" t="n">
        <v>0</v>
      </c>
      <c r="N363" t="n">
        <v>0</v>
      </c>
      <c r="O363" t="n">
        <v>0</v>
      </c>
      <c r="P363" t="n">
        <v>0</v>
      </c>
      <c r="Q363" t="n">
        <v>0</v>
      </c>
      <c r="R363" s="2" t="inlineStr"/>
    </row>
    <row r="364" ht="15" customHeight="1">
      <c r="A364" t="inlineStr">
        <is>
          <t>A 4990-2025</t>
        </is>
      </c>
      <c r="B364" s="1" t="n">
        <v>45691</v>
      </c>
      <c r="C364" s="1" t="n">
        <v>46193</v>
      </c>
      <c r="D364" t="inlineStr">
        <is>
          <t>GOTLANDS LÄN</t>
        </is>
      </c>
      <c r="E364" t="inlineStr">
        <is>
          <t>GOTLAND</t>
        </is>
      </c>
      <c r="G364" t="n">
        <v>7.7</v>
      </c>
      <c r="H364" t="n">
        <v>0</v>
      </c>
      <c r="I364" t="n">
        <v>0</v>
      </c>
      <c r="J364" t="n">
        <v>0</v>
      </c>
      <c r="K364" t="n">
        <v>0</v>
      </c>
      <c r="L364" t="n">
        <v>0</v>
      </c>
      <c r="M364" t="n">
        <v>0</v>
      </c>
      <c r="N364" t="n">
        <v>0</v>
      </c>
      <c r="O364" t="n">
        <v>0</v>
      </c>
      <c r="P364" t="n">
        <v>0</v>
      </c>
      <c r="Q364" t="n">
        <v>0</v>
      </c>
      <c r="R364" s="2" t="inlineStr"/>
    </row>
    <row r="365" ht="15" customHeight="1">
      <c r="A365" t="inlineStr">
        <is>
          <t>A 7835-2024</t>
        </is>
      </c>
      <c r="B365" s="1" t="n">
        <v>45349</v>
      </c>
      <c r="C365" s="1" t="n">
        <v>46193</v>
      </c>
      <c r="D365" t="inlineStr">
        <is>
          <t>GOTLANDS LÄN</t>
        </is>
      </c>
      <c r="E365" t="inlineStr">
        <is>
          <t>GOTLAND</t>
        </is>
      </c>
      <c r="G365" t="n">
        <v>3.8</v>
      </c>
      <c r="H365" t="n">
        <v>0</v>
      </c>
      <c r="I365" t="n">
        <v>0</v>
      </c>
      <c r="J365" t="n">
        <v>0</v>
      </c>
      <c r="K365" t="n">
        <v>0</v>
      </c>
      <c r="L365" t="n">
        <v>0</v>
      </c>
      <c r="M365" t="n">
        <v>0</v>
      </c>
      <c r="N365" t="n">
        <v>0</v>
      </c>
      <c r="O365" t="n">
        <v>0</v>
      </c>
      <c r="P365" t="n">
        <v>0</v>
      </c>
      <c r="Q365" t="n">
        <v>0</v>
      </c>
      <c r="R365" s="2" t="inlineStr"/>
    </row>
    <row r="366" ht="15" customHeight="1">
      <c r="A366" t="inlineStr">
        <is>
          <t>A 43081-2022</t>
        </is>
      </c>
      <c r="B366" s="1" t="n">
        <v>44833</v>
      </c>
      <c r="C366" s="1" t="n">
        <v>46193</v>
      </c>
      <c r="D366" t="inlineStr">
        <is>
          <t>GOTLANDS LÄN</t>
        </is>
      </c>
      <c r="E366" t="inlineStr">
        <is>
          <t>GOTLAND</t>
        </is>
      </c>
      <c r="G366" t="n">
        <v>6.8</v>
      </c>
      <c r="H366" t="n">
        <v>0</v>
      </c>
      <c r="I366" t="n">
        <v>0</v>
      </c>
      <c r="J366" t="n">
        <v>0</v>
      </c>
      <c r="K366" t="n">
        <v>0</v>
      </c>
      <c r="L366" t="n">
        <v>0</v>
      </c>
      <c r="M366" t="n">
        <v>0</v>
      </c>
      <c r="N366" t="n">
        <v>0</v>
      </c>
      <c r="O366" t="n">
        <v>0</v>
      </c>
      <c r="P366" t="n">
        <v>0</v>
      </c>
      <c r="Q366" t="n">
        <v>0</v>
      </c>
      <c r="R366" s="2" t="inlineStr"/>
    </row>
    <row r="367" ht="15" customHeight="1">
      <c r="A367" t="inlineStr">
        <is>
          <t>A 32958-2021</t>
        </is>
      </c>
      <c r="B367" s="1" t="n">
        <v>44376</v>
      </c>
      <c r="C367" s="1" t="n">
        <v>46193</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5884-2025</t>
        </is>
      </c>
      <c r="B368" s="1" t="n">
        <v>45695</v>
      </c>
      <c r="C368" s="1" t="n">
        <v>46193</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5897-2025</t>
        </is>
      </c>
      <c r="B369" s="1" t="n">
        <v>45695</v>
      </c>
      <c r="C369" s="1" t="n">
        <v>46193</v>
      </c>
      <c r="D369" t="inlineStr">
        <is>
          <t>GOTLANDS LÄN</t>
        </is>
      </c>
      <c r="E369" t="inlineStr">
        <is>
          <t>GOTLAND</t>
        </is>
      </c>
      <c r="G369" t="n">
        <v>3.7</v>
      </c>
      <c r="H369" t="n">
        <v>0</v>
      </c>
      <c r="I369" t="n">
        <v>0</v>
      </c>
      <c r="J369" t="n">
        <v>0</v>
      </c>
      <c r="K369" t="n">
        <v>0</v>
      </c>
      <c r="L369" t="n">
        <v>0</v>
      </c>
      <c r="M369" t="n">
        <v>0</v>
      </c>
      <c r="N369" t="n">
        <v>0</v>
      </c>
      <c r="O369" t="n">
        <v>0</v>
      </c>
      <c r="P369" t="n">
        <v>0</v>
      </c>
      <c r="Q369" t="n">
        <v>0</v>
      </c>
      <c r="R369" s="2" t="inlineStr"/>
    </row>
    <row r="370" ht="15" customHeight="1">
      <c r="A370" t="inlineStr">
        <is>
          <t>A 21389-2025</t>
        </is>
      </c>
      <c r="B370" s="1" t="n">
        <v>45782</v>
      </c>
      <c r="C370" s="1" t="n">
        <v>46193</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49697-2023</t>
        </is>
      </c>
      <c r="B371" s="1" t="n">
        <v>45212</v>
      </c>
      <c r="C371" s="1" t="n">
        <v>46193</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26391-2025</t>
        </is>
      </c>
      <c r="B372" s="1" t="n">
        <v>45806</v>
      </c>
      <c r="C372" s="1" t="n">
        <v>46193</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17901-2023</t>
        </is>
      </c>
      <c r="B373" s="1" t="n">
        <v>45039</v>
      </c>
      <c r="C373" s="1" t="n">
        <v>46193</v>
      </c>
      <c r="D373" t="inlineStr">
        <is>
          <t>GOTLANDS LÄN</t>
        </is>
      </c>
      <c r="E373" t="inlineStr">
        <is>
          <t>GOTLAND</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v>
      </c>
      <c r="C374" s="1" t="n">
        <v>46193</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52892-2021</t>
        </is>
      </c>
      <c r="B375" s="1" t="n">
        <v>44467</v>
      </c>
      <c r="C375" s="1" t="n">
        <v>46193</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46396-2023</t>
        </is>
      </c>
      <c r="B376" s="1" t="n">
        <v>45197</v>
      </c>
      <c r="C376" s="1" t="n">
        <v>46193</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47637-2025</t>
        </is>
      </c>
      <c r="B377" s="1" t="n">
        <v>45931</v>
      </c>
      <c r="C377" s="1" t="n">
        <v>46193</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57356-2023</t>
        </is>
      </c>
      <c r="B378" s="1" t="n">
        <v>45240</v>
      </c>
      <c r="C378" s="1" t="n">
        <v>46193</v>
      </c>
      <c r="D378" t="inlineStr">
        <is>
          <t>GOTLANDS LÄN</t>
        </is>
      </c>
      <c r="E378" t="inlineStr">
        <is>
          <t>GOTLAND</t>
        </is>
      </c>
      <c r="G378" t="n">
        <v>6.4</v>
      </c>
      <c r="H378" t="n">
        <v>0</v>
      </c>
      <c r="I378" t="n">
        <v>0</v>
      </c>
      <c r="J378" t="n">
        <v>0</v>
      </c>
      <c r="K378" t="n">
        <v>0</v>
      </c>
      <c r="L378" t="n">
        <v>0</v>
      </c>
      <c r="M378" t="n">
        <v>0</v>
      </c>
      <c r="N378" t="n">
        <v>0</v>
      </c>
      <c r="O378" t="n">
        <v>0</v>
      </c>
      <c r="P378" t="n">
        <v>0</v>
      </c>
      <c r="Q378" t="n">
        <v>0</v>
      </c>
      <c r="R378" s="2" t="inlineStr"/>
    </row>
    <row r="379" ht="15" customHeight="1">
      <c r="A379" t="inlineStr">
        <is>
          <t>A 10656-2024</t>
        </is>
      </c>
      <c r="B379" s="1" t="n">
        <v>45368</v>
      </c>
      <c r="C379" s="1" t="n">
        <v>46193</v>
      </c>
      <c r="D379" t="inlineStr">
        <is>
          <t>GOTLANDS LÄN</t>
        </is>
      </c>
      <c r="E379" t="inlineStr">
        <is>
          <t>GOTLAND</t>
        </is>
      </c>
      <c r="G379" t="n">
        <v>1.5</v>
      </c>
      <c r="H379" t="n">
        <v>0</v>
      </c>
      <c r="I379" t="n">
        <v>0</v>
      </c>
      <c r="J379" t="n">
        <v>0</v>
      </c>
      <c r="K379" t="n">
        <v>0</v>
      </c>
      <c r="L379" t="n">
        <v>0</v>
      </c>
      <c r="M379" t="n">
        <v>0</v>
      </c>
      <c r="N379" t="n">
        <v>0</v>
      </c>
      <c r="O379" t="n">
        <v>0</v>
      </c>
      <c r="P379" t="n">
        <v>0</v>
      </c>
      <c r="Q379" t="n">
        <v>0</v>
      </c>
      <c r="R379" s="2" t="inlineStr"/>
    </row>
    <row r="380" ht="15" customHeight="1">
      <c r="A380" t="inlineStr">
        <is>
          <t>A 32378-2025</t>
        </is>
      </c>
      <c r="B380" s="1" t="n">
        <v>45837</v>
      </c>
      <c r="C380" s="1" t="n">
        <v>46193</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17724-2024</t>
        </is>
      </c>
      <c r="B381" s="1" t="n">
        <v>45418</v>
      </c>
      <c r="C381" s="1" t="n">
        <v>46193</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28506-2023</t>
        </is>
      </c>
      <c r="B382" s="1" t="n">
        <v>45103</v>
      </c>
      <c r="C382" s="1" t="n">
        <v>46193</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21420-2024</t>
        </is>
      </c>
      <c r="B383" s="1" t="n">
        <v>45441</v>
      </c>
      <c r="C383" s="1" t="n">
        <v>46193</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23188-2025</t>
        </is>
      </c>
      <c r="B384" s="1" t="n">
        <v>45791</v>
      </c>
      <c r="C384" s="1" t="n">
        <v>46193</v>
      </c>
      <c r="D384" t="inlineStr">
        <is>
          <t>GOTLANDS LÄN</t>
        </is>
      </c>
      <c r="E384" t="inlineStr">
        <is>
          <t>GOTLAND</t>
        </is>
      </c>
      <c r="G384" t="n">
        <v>6.2</v>
      </c>
      <c r="H384" t="n">
        <v>0</v>
      </c>
      <c r="I384" t="n">
        <v>0</v>
      </c>
      <c r="J384" t="n">
        <v>0</v>
      </c>
      <c r="K384" t="n">
        <v>0</v>
      </c>
      <c r="L384" t="n">
        <v>0</v>
      </c>
      <c r="M384" t="n">
        <v>0</v>
      </c>
      <c r="N384" t="n">
        <v>0</v>
      </c>
      <c r="O384" t="n">
        <v>0</v>
      </c>
      <c r="P384" t="n">
        <v>0</v>
      </c>
      <c r="Q384" t="n">
        <v>0</v>
      </c>
      <c r="R384" s="2" t="inlineStr"/>
    </row>
    <row r="385" ht="15" customHeight="1">
      <c r="A385" t="inlineStr">
        <is>
          <t>A 35550-2025</t>
        </is>
      </c>
      <c r="B385" s="1" t="n">
        <v>45856</v>
      </c>
      <c r="C385" s="1" t="n">
        <v>46193</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46193</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49730-2025</t>
        </is>
      </c>
      <c r="B387" s="1" t="n">
        <v>45939</v>
      </c>
      <c r="C387" s="1" t="n">
        <v>46193</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15073-2025</t>
        </is>
      </c>
      <c r="B388" s="1" t="n">
        <v>45743</v>
      </c>
      <c r="C388" s="1" t="n">
        <v>46193</v>
      </c>
      <c r="D388" t="inlineStr">
        <is>
          <t>GOTLANDS LÄN</t>
        </is>
      </c>
      <c r="E388" t="inlineStr">
        <is>
          <t>GOTLAND</t>
        </is>
      </c>
      <c r="G388" t="n">
        <v>12.1</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v>
      </c>
      <c r="C389" s="1" t="n">
        <v>46193</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7638-2025</t>
        </is>
      </c>
      <c r="B390" s="1" t="n">
        <v>45705</v>
      </c>
      <c r="C390" s="1" t="n">
        <v>46193</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6749-2025</t>
        </is>
      </c>
      <c r="B391" s="1" t="n">
        <v>45700</v>
      </c>
      <c r="C391" s="1" t="n">
        <v>46193</v>
      </c>
      <c r="D391" t="inlineStr">
        <is>
          <t>GOTLANDS LÄN</t>
        </is>
      </c>
      <c r="E391" t="inlineStr">
        <is>
          <t>GOTLAND</t>
        </is>
      </c>
      <c r="G391" t="n">
        <v>4.5</v>
      </c>
      <c r="H391" t="n">
        <v>0</v>
      </c>
      <c r="I391" t="n">
        <v>0</v>
      </c>
      <c r="J391" t="n">
        <v>0</v>
      </c>
      <c r="K391" t="n">
        <v>0</v>
      </c>
      <c r="L391" t="n">
        <v>0</v>
      </c>
      <c r="M391" t="n">
        <v>0</v>
      </c>
      <c r="N391" t="n">
        <v>0</v>
      </c>
      <c r="O391" t="n">
        <v>0</v>
      </c>
      <c r="P391" t="n">
        <v>0</v>
      </c>
      <c r="Q391" t="n">
        <v>0</v>
      </c>
      <c r="R391" s="2" t="inlineStr"/>
    </row>
    <row r="392" ht="15" customHeight="1">
      <c r="A392" t="inlineStr">
        <is>
          <t>A 50482-2024</t>
        </is>
      </c>
      <c r="B392" s="1" t="n">
        <v>45601</v>
      </c>
      <c r="C392" s="1" t="n">
        <v>46193</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1394-2023</t>
        </is>
      </c>
      <c r="B393" s="1" t="n">
        <v>44936</v>
      </c>
      <c r="C393" s="1" t="n">
        <v>46193</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23698-2025</t>
        </is>
      </c>
      <c r="B394" s="1" t="n">
        <v>45793</v>
      </c>
      <c r="C394" s="1" t="n">
        <v>46193</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50928-2025</t>
        </is>
      </c>
      <c r="B395" s="1" t="n">
        <v>45946</v>
      </c>
      <c r="C395" s="1" t="n">
        <v>46193</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1462-2025</t>
        </is>
      </c>
      <c r="B396" s="1" t="n">
        <v>45670</v>
      </c>
      <c r="C396" s="1" t="n">
        <v>46193</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25129-2023</t>
        </is>
      </c>
      <c r="B397" s="1" t="n">
        <v>45086</v>
      </c>
      <c r="C397" s="1" t="n">
        <v>46193</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24192-2023</t>
        </is>
      </c>
      <c r="B398" s="1" t="n">
        <v>45079</v>
      </c>
      <c r="C398" s="1" t="n">
        <v>46193</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5462-2025</t>
        </is>
      </c>
      <c r="B399" s="1" t="n">
        <v>45693</v>
      </c>
      <c r="C399" s="1" t="n">
        <v>46193</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5386-2023</t>
        </is>
      </c>
      <c r="B400" s="1" t="n">
        <v>44959</v>
      </c>
      <c r="C400" s="1" t="n">
        <v>46193</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7026-2023</t>
        </is>
      </c>
      <c r="B401" s="1" t="n">
        <v>44968</v>
      </c>
      <c r="C401" s="1" t="n">
        <v>46193</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20855-2023</t>
        </is>
      </c>
      <c r="B402" s="1" t="n">
        <v>45058</v>
      </c>
      <c r="C402" s="1" t="n">
        <v>46193</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1000-2024</t>
        </is>
      </c>
      <c r="B403" s="1" t="n">
        <v>45301</v>
      </c>
      <c r="C403" s="1" t="n">
        <v>46193</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47762-2023</t>
        </is>
      </c>
      <c r="B404" s="1" t="n">
        <v>45203</v>
      </c>
      <c r="C404" s="1" t="n">
        <v>46193</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60086-2022</t>
        </is>
      </c>
      <c r="B405" s="1" t="n">
        <v>44909</v>
      </c>
      <c r="C405" s="1" t="n">
        <v>46193</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28485-2023</t>
        </is>
      </c>
      <c r="B406" s="1" t="n">
        <v>45103</v>
      </c>
      <c r="C406" s="1" t="n">
        <v>46193</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44949-2023</t>
        </is>
      </c>
      <c r="B407" s="1" t="n">
        <v>45190</v>
      </c>
      <c r="C407" s="1" t="n">
        <v>46193</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27355-2025</t>
        </is>
      </c>
      <c r="B408" s="1" t="n">
        <v>45812</v>
      </c>
      <c r="C408" s="1" t="n">
        <v>46193</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7850-2025</t>
        </is>
      </c>
      <c r="B409" s="1" t="n">
        <v>45706</v>
      </c>
      <c r="C409" s="1" t="n">
        <v>46193</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8444-2025</t>
        </is>
      </c>
      <c r="B410" s="1" t="n">
        <v>45709</v>
      </c>
      <c r="C410" s="1" t="n">
        <v>46193</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3964-2024</t>
        </is>
      </c>
      <c r="B411" s="1" t="n">
        <v>45322</v>
      </c>
      <c r="C411" s="1" t="n">
        <v>46193</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45084-2024</t>
        </is>
      </c>
      <c r="B412" s="1" t="n">
        <v>45575</v>
      </c>
      <c r="C412" s="1" t="n">
        <v>46193</v>
      </c>
      <c r="D412" t="inlineStr">
        <is>
          <t>GOTLANDS LÄN</t>
        </is>
      </c>
      <c r="E412" t="inlineStr">
        <is>
          <t>GOTLAND</t>
        </is>
      </c>
      <c r="G412" t="n">
        <v>6.8</v>
      </c>
      <c r="H412" t="n">
        <v>0</v>
      </c>
      <c r="I412" t="n">
        <v>0</v>
      </c>
      <c r="J412" t="n">
        <v>0</v>
      </c>
      <c r="K412" t="n">
        <v>0</v>
      </c>
      <c r="L412" t="n">
        <v>0</v>
      </c>
      <c r="M412" t="n">
        <v>0</v>
      </c>
      <c r="N412" t="n">
        <v>0</v>
      </c>
      <c r="O412" t="n">
        <v>0</v>
      </c>
      <c r="P412" t="n">
        <v>0</v>
      </c>
      <c r="Q412" t="n">
        <v>0</v>
      </c>
      <c r="R412" s="2" t="inlineStr"/>
    </row>
    <row r="413" ht="15" customHeight="1">
      <c r="A413" t="inlineStr">
        <is>
          <t>A 19905-2025</t>
        </is>
      </c>
      <c r="B413" s="1" t="n">
        <v>45771</v>
      </c>
      <c r="C413" s="1" t="n">
        <v>46193</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29196-2025</t>
        </is>
      </c>
      <c r="B414" s="1" t="n">
        <v>45822</v>
      </c>
      <c r="C414" s="1" t="n">
        <v>46193</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30061-2025</t>
        </is>
      </c>
      <c r="B415" s="1" t="n">
        <v>45826</v>
      </c>
      <c r="C415" s="1" t="n">
        <v>46193</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58160-2024</t>
        </is>
      </c>
      <c r="B416" s="1" t="n">
        <v>45632</v>
      </c>
      <c r="C416" s="1" t="n">
        <v>46193</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5217-2023</t>
        </is>
      </c>
      <c r="B417" s="1" t="n">
        <v>44959</v>
      </c>
      <c r="C417" s="1" t="n">
        <v>46193</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56799-2025</t>
        </is>
      </c>
      <c r="B418" s="1" t="n">
        <v>45978</v>
      </c>
      <c r="C418" s="1" t="n">
        <v>46193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27164-2026</t>
        </is>
      </c>
      <c r="B419" s="1" t="n">
        <v>46188</v>
      </c>
      <c r="C419" s="1" t="n">
        <v>46193</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27170-2026</t>
        </is>
      </c>
      <c r="B420" s="1" t="n">
        <v>46188</v>
      </c>
      <c r="C420" s="1" t="n">
        <v>46193</v>
      </c>
      <c r="D420" t="inlineStr">
        <is>
          <t>GOTLANDS LÄN</t>
        </is>
      </c>
      <c r="E420" t="inlineStr">
        <is>
          <t>GOTLAND</t>
        </is>
      </c>
      <c r="G420" t="n">
        <v>1.8</v>
      </c>
      <c r="H420" t="n">
        <v>0</v>
      </c>
      <c r="I420" t="n">
        <v>0</v>
      </c>
      <c r="J420" t="n">
        <v>0</v>
      </c>
      <c r="K420" t="n">
        <v>0</v>
      </c>
      <c r="L420" t="n">
        <v>0</v>
      </c>
      <c r="M420" t="n">
        <v>0</v>
      </c>
      <c r="N420" t="n">
        <v>0</v>
      </c>
      <c r="O420" t="n">
        <v>0</v>
      </c>
      <c r="P420" t="n">
        <v>0</v>
      </c>
      <c r="Q420" t="n">
        <v>0</v>
      </c>
      <c r="R420" s="2" t="inlineStr"/>
    </row>
    <row r="421" ht="15" customHeight="1">
      <c r="A421" t="inlineStr">
        <is>
          <t>A 45244-2024</t>
        </is>
      </c>
      <c r="B421" s="1" t="n">
        <v>45576</v>
      </c>
      <c r="C421" s="1" t="n">
        <v>46193</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56688-2025</t>
        </is>
      </c>
      <c r="B422" s="1" t="n">
        <v>45975</v>
      </c>
      <c r="C422" s="1" t="n">
        <v>46193</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27341-2026</t>
        </is>
      </c>
      <c r="B423" s="1" t="n">
        <v>46188</v>
      </c>
      <c r="C423" s="1" t="n">
        <v>46193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8260-2023</t>
        </is>
      </c>
      <c r="B424" s="1" t="n">
        <v>44974</v>
      </c>
      <c r="C424" s="1" t="n">
        <v>46193</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64969-2023</t>
        </is>
      </c>
      <c r="B425" s="1" t="n">
        <v>45284</v>
      </c>
      <c r="C425" s="1" t="n">
        <v>46193</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16109-2025</t>
        </is>
      </c>
      <c r="B426" s="1" t="n">
        <v>45750</v>
      </c>
      <c r="C426" s="1" t="n">
        <v>46193</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48843-2024</t>
        </is>
      </c>
      <c r="B427" s="1" t="n">
        <v>45593</v>
      </c>
      <c r="C427" s="1" t="n">
        <v>46193</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17541-2024</t>
        </is>
      </c>
      <c r="B428" s="1" t="n">
        <v>45415</v>
      </c>
      <c r="C428" s="1" t="n">
        <v>46193</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v>
      </c>
      <c r="C429" s="1" t="n">
        <v>46193</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5943-2024</t>
        </is>
      </c>
      <c r="B430" s="1" t="n">
        <v>45336</v>
      </c>
      <c r="C430" s="1" t="n">
        <v>46193</v>
      </c>
      <c r="D430" t="inlineStr">
        <is>
          <t>GOTLANDS LÄN</t>
        </is>
      </c>
      <c r="E430" t="inlineStr">
        <is>
          <t>GOTLAND</t>
        </is>
      </c>
      <c r="G430" t="n">
        <v>4.3</v>
      </c>
      <c r="H430" t="n">
        <v>0</v>
      </c>
      <c r="I430" t="n">
        <v>0</v>
      </c>
      <c r="J430" t="n">
        <v>0</v>
      </c>
      <c r="K430" t="n">
        <v>0</v>
      </c>
      <c r="L430" t="n">
        <v>0</v>
      </c>
      <c r="M430" t="n">
        <v>0</v>
      </c>
      <c r="N430" t="n">
        <v>0</v>
      </c>
      <c r="O430" t="n">
        <v>0</v>
      </c>
      <c r="P430" t="n">
        <v>0</v>
      </c>
      <c r="Q430" t="n">
        <v>0</v>
      </c>
      <c r="R430" s="2" t="inlineStr"/>
    </row>
    <row r="431" ht="15" customHeight="1">
      <c r="A431" t="inlineStr">
        <is>
          <t>A 54073-2022</t>
        </is>
      </c>
      <c r="B431" s="1" t="n">
        <v>44881</v>
      </c>
      <c r="C431" s="1" t="n">
        <v>46193</v>
      </c>
      <c r="D431" t="inlineStr">
        <is>
          <t>GOTLANDS LÄN</t>
        </is>
      </c>
      <c r="E431" t="inlineStr">
        <is>
          <t>GOTLAND</t>
        </is>
      </c>
      <c r="G431" t="n">
        <v>3.8</v>
      </c>
      <c r="H431" t="n">
        <v>0</v>
      </c>
      <c r="I431" t="n">
        <v>0</v>
      </c>
      <c r="J431" t="n">
        <v>0</v>
      </c>
      <c r="K431" t="n">
        <v>0</v>
      </c>
      <c r="L431" t="n">
        <v>0</v>
      </c>
      <c r="M431" t="n">
        <v>0</v>
      </c>
      <c r="N431" t="n">
        <v>0</v>
      </c>
      <c r="O431" t="n">
        <v>0</v>
      </c>
      <c r="P431" t="n">
        <v>0</v>
      </c>
      <c r="Q431" t="n">
        <v>0</v>
      </c>
      <c r="R431" s="2" t="inlineStr"/>
    </row>
    <row r="432" ht="15" customHeight="1">
      <c r="A432" t="inlineStr">
        <is>
          <t>A 16361-2024</t>
        </is>
      </c>
      <c r="B432" s="1" t="n">
        <v>45407</v>
      </c>
      <c r="C432" s="1" t="n">
        <v>46193</v>
      </c>
      <c r="D432" t="inlineStr">
        <is>
          <t>GOTLANDS LÄN</t>
        </is>
      </c>
      <c r="E432" t="inlineStr">
        <is>
          <t>GOTLAND</t>
        </is>
      </c>
      <c r="G432" t="n">
        <v>6</v>
      </c>
      <c r="H432" t="n">
        <v>0</v>
      </c>
      <c r="I432" t="n">
        <v>0</v>
      </c>
      <c r="J432" t="n">
        <v>0</v>
      </c>
      <c r="K432" t="n">
        <v>0</v>
      </c>
      <c r="L432" t="n">
        <v>0</v>
      </c>
      <c r="M432" t="n">
        <v>0</v>
      </c>
      <c r="N432" t="n">
        <v>0</v>
      </c>
      <c r="O432" t="n">
        <v>0</v>
      </c>
      <c r="P432" t="n">
        <v>0</v>
      </c>
      <c r="Q432" t="n">
        <v>0</v>
      </c>
      <c r="R432" s="2" t="inlineStr"/>
    </row>
    <row r="433" ht="15" customHeight="1">
      <c r="A433" t="inlineStr">
        <is>
          <t>A 35123-2025</t>
        </is>
      </c>
      <c r="B433" s="1" t="n">
        <v>45852</v>
      </c>
      <c r="C433" s="1" t="n">
        <v>46193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41038-2023</t>
        </is>
      </c>
      <c r="B434" s="1" t="n">
        <v>45173</v>
      </c>
      <c r="C434" s="1" t="n">
        <v>46193</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35096-2025</t>
        </is>
      </c>
      <c r="B435" s="1" t="n">
        <v>45852</v>
      </c>
      <c r="C435" s="1" t="n">
        <v>46193</v>
      </c>
      <c r="D435" t="inlineStr">
        <is>
          <t>GOTLANDS LÄN</t>
        </is>
      </c>
      <c r="E435" t="inlineStr">
        <is>
          <t>GOTLAND</t>
        </is>
      </c>
      <c r="F435" t="inlineStr">
        <is>
          <t>Kyrkan</t>
        </is>
      </c>
      <c r="G435" t="n">
        <v>1</v>
      </c>
      <c r="H435" t="n">
        <v>0</v>
      </c>
      <c r="I435" t="n">
        <v>0</v>
      </c>
      <c r="J435" t="n">
        <v>0</v>
      </c>
      <c r="K435" t="n">
        <v>0</v>
      </c>
      <c r="L435" t="n">
        <v>0</v>
      </c>
      <c r="M435" t="n">
        <v>0</v>
      </c>
      <c r="N435" t="n">
        <v>0</v>
      </c>
      <c r="O435" t="n">
        <v>0</v>
      </c>
      <c r="P435" t="n">
        <v>0</v>
      </c>
      <c r="Q435" t="n">
        <v>0</v>
      </c>
      <c r="R435" s="2" t="inlineStr"/>
    </row>
    <row r="436" ht="15" customHeight="1">
      <c r="A436" t="inlineStr">
        <is>
          <t>A 27346-2026</t>
        </is>
      </c>
      <c r="B436" s="1" t="n">
        <v>46188</v>
      </c>
      <c r="C436" s="1" t="n">
        <v>46193</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27354-2026</t>
        </is>
      </c>
      <c r="B437" s="1" t="n">
        <v>46184</v>
      </c>
      <c r="C437" s="1" t="n">
        <v>46193</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35290-2025</t>
        </is>
      </c>
      <c r="B438" s="1" t="n">
        <v>45854</v>
      </c>
      <c r="C438" s="1" t="n">
        <v>46193</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32669-2024</t>
        </is>
      </c>
      <c r="B439" s="1" t="n">
        <v>45514</v>
      </c>
      <c r="C439" s="1" t="n">
        <v>46193</v>
      </c>
      <c r="D439" t="inlineStr">
        <is>
          <t>GOTLANDS LÄN</t>
        </is>
      </c>
      <c r="E439" t="inlineStr">
        <is>
          <t>GOTLAND</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46193</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15216-2025</t>
        </is>
      </c>
      <c r="B441" s="1" t="n">
        <v>45744</v>
      </c>
      <c r="C441" s="1" t="n">
        <v>46193</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14427-2024</t>
        </is>
      </c>
      <c r="B442" s="1" t="n">
        <v>45394</v>
      </c>
      <c r="C442" s="1" t="n">
        <v>46193</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43790-2024</t>
        </is>
      </c>
      <c r="B443" s="1" t="n">
        <v>45571</v>
      </c>
      <c r="C443" s="1" t="n">
        <v>46193</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15001-2025</t>
        </is>
      </c>
      <c r="B444" s="1" t="n">
        <v>45743</v>
      </c>
      <c r="C444" s="1" t="n">
        <v>46193</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30488-2025</t>
        </is>
      </c>
      <c r="B445" s="1" t="n">
        <v>45830</v>
      </c>
      <c r="C445" s="1" t="n">
        <v>46193</v>
      </c>
      <c r="D445" t="inlineStr">
        <is>
          <t>GOTLANDS LÄN</t>
        </is>
      </c>
      <c r="E445" t="inlineStr">
        <is>
          <t>GOTLAND</t>
        </is>
      </c>
      <c r="F445" t="inlineStr">
        <is>
          <t>Kyrkan</t>
        </is>
      </c>
      <c r="G445" t="n">
        <v>3.9</v>
      </c>
      <c r="H445" t="n">
        <v>0</v>
      </c>
      <c r="I445" t="n">
        <v>0</v>
      </c>
      <c r="J445" t="n">
        <v>0</v>
      </c>
      <c r="K445" t="n">
        <v>0</v>
      </c>
      <c r="L445" t="n">
        <v>0</v>
      </c>
      <c r="M445" t="n">
        <v>0</v>
      </c>
      <c r="N445" t="n">
        <v>0</v>
      </c>
      <c r="O445" t="n">
        <v>0</v>
      </c>
      <c r="P445" t="n">
        <v>0</v>
      </c>
      <c r="Q445" t="n">
        <v>0</v>
      </c>
      <c r="R445" s="2" t="inlineStr"/>
    </row>
    <row r="446" ht="15" customHeight="1">
      <c r="A446" t="inlineStr">
        <is>
          <t>A 17847-2025</t>
        </is>
      </c>
      <c r="B446" s="1" t="n">
        <v>45758</v>
      </c>
      <c r="C446" s="1" t="n">
        <v>46193</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46193</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31802-2024</t>
        </is>
      </c>
      <c r="B448" s="1" t="n">
        <v>45509</v>
      </c>
      <c r="C448" s="1" t="n">
        <v>46193</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22281-2026</t>
        </is>
      </c>
      <c r="B449" s="1" t="n">
        <v>46154</v>
      </c>
      <c r="C449" s="1" t="n">
        <v>46193</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35129-2025</t>
        </is>
      </c>
      <c r="B450" s="1" t="n">
        <v>45852</v>
      </c>
      <c r="C450" s="1" t="n">
        <v>46193</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12846-2025</t>
        </is>
      </c>
      <c r="B451" s="1" t="n">
        <v>45733</v>
      </c>
      <c r="C451" s="1" t="n">
        <v>46193</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46949-2024</t>
        </is>
      </c>
      <c r="B452" s="1" t="n">
        <v>45585</v>
      </c>
      <c r="C452" s="1" t="n">
        <v>46193</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46193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6108-2025</t>
        </is>
      </c>
      <c r="B454" s="1" t="n">
        <v>45698</v>
      </c>
      <c r="C454" s="1" t="n">
        <v>46193</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21142-2025</t>
        </is>
      </c>
      <c r="B455" s="1" t="n">
        <v>45779</v>
      </c>
      <c r="C455" s="1" t="n">
        <v>46193</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63002-2025</t>
        </is>
      </c>
      <c r="B456" s="1" t="n">
        <v>46009</v>
      </c>
      <c r="C456" s="1" t="n">
        <v>46193</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17343-2025</t>
        </is>
      </c>
      <c r="B457" s="1" t="n">
        <v>45756</v>
      </c>
      <c r="C457" s="1" t="n">
        <v>46193</v>
      </c>
      <c r="D457" t="inlineStr">
        <is>
          <t>GOTLANDS LÄN</t>
        </is>
      </c>
      <c r="E457" t="inlineStr">
        <is>
          <t>GOTLAND</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1351-2025</t>
        </is>
      </c>
      <c r="B458" s="1" t="n">
        <v>45667</v>
      </c>
      <c r="C458" s="1" t="n">
        <v>46193</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39496-2022</t>
        </is>
      </c>
      <c r="B459" s="1" t="n">
        <v>44818</v>
      </c>
      <c r="C459" s="1" t="n">
        <v>46193</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v>
      </c>
      <c r="C460" s="1" t="n">
        <v>46193</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20307-2025</t>
        </is>
      </c>
      <c r="B461" s="1" t="n">
        <v>45774</v>
      </c>
      <c r="C461" s="1" t="n">
        <v>46193</v>
      </c>
      <c r="D461" t="inlineStr">
        <is>
          <t>GOTLANDS LÄN</t>
        </is>
      </c>
      <c r="E461" t="inlineStr">
        <is>
          <t>GOTLAND</t>
        </is>
      </c>
      <c r="G461" t="n">
        <v>6.8</v>
      </c>
      <c r="H461" t="n">
        <v>0</v>
      </c>
      <c r="I461" t="n">
        <v>0</v>
      </c>
      <c r="J461" t="n">
        <v>0</v>
      </c>
      <c r="K461" t="n">
        <v>0</v>
      </c>
      <c r="L461" t="n">
        <v>0</v>
      </c>
      <c r="M461" t="n">
        <v>0</v>
      </c>
      <c r="N461" t="n">
        <v>0</v>
      </c>
      <c r="O461" t="n">
        <v>0</v>
      </c>
      <c r="P461" t="n">
        <v>0</v>
      </c>
      <c r="Q461" t="n">
        <v>0</v>
      </c>
      <c r="R461" s="2" t="inlineStr"/>
    </row>
    <row r="462" ht="15" customHeight="1">
      <c r="A462" t="inlineStr">
        <is>
          <t>A 49874-2024</t>
        </is>
      </c>
      <c r="B462" s="1" t="n">
        <v>45597</v>
      </c>
      <c r="C462" s="1" t="n">
        <v>46193</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46400-2023</t>
        </is>
      </c>
      <c r="B463" s="1" t="n">
        <v>45197</v>
      </c>
      <c r="C463" s="1" t="n">
        <v>46193</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38649-2025</t>
        </is>
      </c>
      <c r="B464" s="1" t="n">
        <v>45884</v>
      </c>
      <c r="C464" s="1" t="n">
        <v>46193</v>
      </c>
      <c r="D464" t="inlineStr">
        <is>
          <t>GOTLANDS LÄN</t>
        </is>
      </c>
      <c r="E464" t="inlineStr">
        <is>
          <t>GOTLAND</t>
        </is>
      </c>
      <c r="G464" t="n">
        <v>1.5</v>
      </c>
      <c r="H464" t="n">
        <v>0</v>
      </c>
      <c r="I464" t="n">
        <v>0</v>
      </c>
      <c r="J464" t="n">
        <v>0</v>
      </c>
      <c r="K464" t="n">
        <v>0</v>
      </c>
      <c r="L464" t="n">
        <v>0</v>
      </c>
      <c r="M464" t="n">
        <v>0</v>
      </c>
      <c r="N464" t="n">
        <v>0</v>
      </c>
      <c r="O464" t="n">
        <v>0</v>
      </c>
      <c r="P464" t="n">
        <v>0</v>
      </c>
      <c r="Q464" t="n">
        <v>0</v>
      </c>
      <c r="R464" s="2" t="inlineStr"/>
    </row>
    <row r="465" ht="15" customHeight="1">
      <c r="A465" t="inlineStr">
        <is>
          <t>A 61078-2025</t>
        </is>
      </c>
      <c r="B465" s="1" t="n">
        <v>46000</v>
      </c>
      <c r="C465" s="1" t="n">
        <v>46193</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21164-2024</t>
        </is>
      </c>
      <c r="B466" s="1" t="n">
        <v>45440</v>
      </c>
      <c r="C466" s="1" t="n">
        <v>46193</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8045-2022</t>
        </is>
      </c>
      <c r="B467" s="1" t="n">
        <v>44609</v>
      </c>
      <c r="C467" s="1" t="n">
        <v>46193</v>
      </c>
      <c r="D467" t="inlineStr">
        <is>
          <t>GOTLANDS LÄN</t>
        </is>
      </c>
      <c r="E467" t="inlineStr">
        <is>
          <t>GOTLAND</t>
        </is>
      </c>
      <c r="G467" t="n">
        <v>7</v>
      </c>
      <c r="H467" t="n">
        <v>0</v>
      </c>
      <c r="I467" t="n">
        <v>0</v>
      </c>
      <c r="J467" t="n">
        <v>0</v>
      </c>
      <c r="K467" t="n">
        <v>0</v>
      </c>
      <c r="L467" t="n">
        <v>0</v>
      </c>
      <c r="M467" t="n">
        <v>0</v>
      </c>
      <c r="N467" t="n">
        <v>0</v>
      </c>
      <c r="O467" t="n">
        <v>0</v>
      </c>
      <c r="P467" t="n">
        <v>0</v>
      </c>
      <c r="Q467" t="n">
        <v>0</v>
      </c>
      <c r="R467" s="2" t="inlineStr"/>
    </row>
    <row r="468" ht="15" customHeight="1">
      <c r="A468" t="inlineStr">
        <is>
          <t>A 36-2026</t>
        </is>
      </c>
      <c r="B468" s="1" t="n">
        <v>46024</v>
      </c>
      <c r="C468" s="1" t="n">
        <v>46193</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22897-2023</t>
        </is>
      </c>
      <c r="B469" s="1" t="n">
        <v>45072</v>
      </c>
      <c r="C469" s="1" t="n">
        <v>46193</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61897-2024</t>
        </is>
      </c>
      <c r="B470" s="1" t="n">
        <v>45652</v>
      </c>
      <c r="C470" s="1" t="n">
        <v>46193</v>
      </c>
      <c r="D470" t="inlineStr">
        <is>
          <t>GOTLANDS LÄN</t>
        </is>
      </c>
      <c r="E470" t="inlineStr">
        <is>
          <t>GOTLAND</t>
        </is>
      </c>
      <c r="G470" t="n">
        <v>6.4</v>
      </c>
      <c r="H470" t="n">
        <v>0</v>
      </c>
      <c r="I470" t="n">
        <v>0</v>
      </c>
      <c r="J470" t="n">
        <v>0</v>
      </c>
      <c r="K470" t="n">
        <v>0</v>
      </c>
      <c r="L470" t="n">
        <v>0</v>
      </c>
      <c r="M470" t="n">
        <v>0</v>
      </c>
      <c r="N470" t="n">
        <v>0</v>
      </c>
      <c r="O470" t="n">
        <v>0</v>
      </c>
      <c r="P470" t="n">
        <v>0</v>
      </c>
      <c r="Q470" t="n">
        <v>0</v>
      </c>
      <c r="R470" s="2" t="inlineStr"/>
    </row>
    <row r="471" ht="15" customHeight="1">
      <c r="A471" t="inlineStr">
        <is>
          <t>A 20165-2022</t>
        </is>
      </c>
      <c r="B471" s="1" t="n">
        <v>44698</v>
      </c>
      <c r="C471" s="1" t="n">
        <v>46193</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12032-2025</t>
        </is>
      </c>
      <c r="B472" s="1" t="n">
        <v>45728</v>
      </c>
      <c r="C472" s="1" t="n">
        <v>46193</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38787-2023</t>
        </is>
      </c>
      <c r="B473" s="1" t="n">
        <v>45163</v>
      </c>
      <c r="C473" s="1" t="n">
        <v>46193</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v>
      </c>
      <c r="C474" s="1" t="n">
        <v>46193</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17532-2024</t>
        </is>
      </c>
      <c r="B475" s="1" t="n">
        <v>45415</v>
      </c>
      <c r="C475" s="1" t="n">
        <v>46193</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2415-2026</t>
        </is>
      </c>
      <c r="B476" s="1" t="n">
        <v>46036</v>
      </c>
      <c r="C476" s="1" t="n">
        <v>46193</v>
      </c>
      <c r="D476" t="inlineStr">
        <is>
          <t>GOTLANDS LÄN</t>
        </is>
      </c>
      <c r="E476" t="inlineStr">
        <is>
          <t>GOTLAND</t>
        </is>
      </c>
      <c r="G476" t="n">
        <v>6.9</v>
      </c>
      <c r="H476" t="n">
        <v>0</v>
      </c>
      <c r="I476" t="n">
        <v>0</v>
      </c>
      <c r="J476" t="n">
        <v>0</v>
      </c>
      <c r="K476" t="n">
        <v>0</v>
      </c>
      <c r="L476" t="n">
        <v>0</v>
      </c>
      <c r="M476" t="n">
        <v>0</v>
      </c>
      <c r="N476" t="n">
        <v>0</v>
      </c>
      <c r="O476" t="n">
        <v>0</v>
      </c>
      <c r="P476" t="n">
        <v>0</v>
      </c>
      <c r="Q476" t="n">
        <v>0</v>
      </c>
      <c r="R476" s="2" t="inlineStr"/>
    </row>
    <row r="477" ht="15" customHeight="1">
      <c r="A477" t="inlineStr">
        <is>
          <t>A 4646-2026</t>
        </is>
      </c>
      <c r="B477" s="1" t="n">
        <v>46048</v>
      </c>
      <c r="C477" s="1" t="n">
        <v>46193</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4634-2026</t>
        </is>
      </c>
      <c r="B478" s="1" t="n">
        <v>46048</v>
      </c>
      <c r="C478" s="1" t="n">
        <v>46193</v>
      </c>
      <c r="D478" t="inlineStr">
        <is>
          <t>GOTLANDS LÄN</t>
        </is>
      </c>
      <c r="E478" t="inlineStr">
        <is>
          <t>GOTLAND</t>
        </is>
      </c>
      <c r="G478" t="n">
        <v>7.8</v>
      </c>
      <c r="H478" t="n">
        <v>0</v>
      </c>
      <c r="I478" t="n">
        <v>0</v>
      </c>
      <c r="J478" t="n">
        <v>0</v>
      </c>
      <c r="K478" t="n">
        <v>0</v>
      </c>
      <c r="L478" t="n">
        <v>0</v>
      </c>
      <c r="M478" t="n">
        <v>0</v>
      </c>
      <c r="N478" t="n">
        <v>0</v>
      </c>
      <c r="O478" t="n">
        <v>0</v>
      </c>
      <c r="P478" t="n">
        <v>0</v>
      </c>
      <c r="Q478" t="n">
        <v>0</v>
      </c>
      <c r="R478" s="2" t="inlineStr"/>
    </row>
    <row r="479" ht="15" customHeight="1">
      <c r="A479" t="inlineStr">
        <is>
          <t>A 4670-2026</t>
        </is>
      </c>
      <c r="B479" s="1" t="n">
        <v>46048</v>
      </c>
      <c r="C479" s="1" t="n">
        <v>46193</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6218-2026</t>
        </is>
      </c>
      <c r="B480" s="1" t="n">
        <v>46055</v>
      </c>
      <c r="C480" s="1" t="n">
        <v>46193</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42338-2023</t>
        </is>
      </c>
      <c r="B481" s="1" t="n">
        <v>45180</v>
      </c>
      <c r="C481" s="1" t="n">
        <v>46193</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6207-2026</t>
        </is>
      </c>
      <c r="B482" s="1" t="n">
        <v>46055</v>
      </c>
      <c r="C482" s="1" t="n">
        <v>46193</v>
      </c>
      <c r="D482" t="inlineStr">
        <is>
          <t>GOTLANDS LÄN</t>
        </is>
      </c>
      <c r="E482" t="inlineStr">
        <is>
          <t>GOTLAND</t>
        </is>
      </c>
      <c r="G482" t="n">
        <v>7.6</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46193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46193</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873-2024</t>
        </is>
      </c>
      <c r="B485" s="1" t="n">
        <v>45301</v>
      </c>
      <c r="C485" s="1" t="n">
        <v>46193</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22275-2023</t>
        </is>
      </c>
      <c r="B486" s="1" t="n">
        <v>45070</v>
      </c>
      <c r="C486" s="1" t="n">
        <v>46193</v>
      </c>
      <c r="D486" t="inlineStr">
        <is>
          <t>GOTLANDS LÄN</t>
        </is>
      </c>
      <c r="E486" t="inlineStr">
        <is>
          <t>GOTLAND</t>
        </is>
      </c>
      <c r="G486" t="n">
        <v>7.2</v>
      </c>
      <c r="H486" t="n">
        <v>0</v>
      </c>
      <c r="I486" t="n">
        <v>0</v>
      </c>
      <c r="J486" t="n">
        <v>0</v>
      </c>
      <c r="K486" t="n">
        <v>0</v>
      </c>
      <c r="L486" t="n">
        <v>0</v>
      </c>
      <c r="M486" t="n">
        <v>0</v>
      </c>
      <c r="N486" t="n">
        <v>0</v>
      </c>
      <c r="O486" t="n">
        <v>0</v>
      </c>
      <c r="P486" t="n">
        <v>0</v>
      </c>
      <c r="Q486" t="n">
        <v>0</v>
      </c>
      <c r="R486" s="2" t="inlineStr"/>
    </row>
    <row r="487" ht="15" customHeight="1">
      <c r="A487" t="inlineStr">
        <is>
          <t>A 12322-2025</t>
        </is>
      </c>
      <c r="B487" s="1" t="n">
        <v>45730</v>
      </c>
      <c r="C487" s="1" t="n">
        <v>46193</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14797-2024</t>
        </is>
      </c>
      <c r="B488" s="1" t="n">
        <v>45397</v>
      </c>
      <c r="C488" s="1" t="n">
        <v>46193</v>
      </c>
      <c r="D488" t="inlineStr">
        <is>
          <t>GOTLANDS LÄN</t>
        </is>
      </c>
      <c r="E488" t="inlineStr">
        <is>
          <t>GOTLAND</t>
        </is>
      </c>
      <c r="G488" t="n">
        <v>8.1</v>
      </c>
      <c r="H488" t="n">
        <v>0</v>
      </c>
      <c r="I488" t="n">
        <v>0</v>
      </c>
      <c r="J488" t="n">
        <v>0</v>
      </c>
      <c r="K488" t="n">
        <v>0</v>
      </c>
      <c r="L488" t="n">
        <v>0</v>
      </c>
      <c r="M488" t="n">
        <v>0</v>
      </c>
      <c r="N488" t="n">
        <v>0</v>
      </c>
      <c r="O488" t="n">
        <v>0</v>
      </c>
      <c r="P488" t="n">
        <v>0</v>
      </c>
      <c r="Q488" t="n">
        <v>0</v>
      </c>
      <c r="R488" s="2" t="inlineStr"/>
    </row>
    <row r="489" ht="15" customHeight="1">
      <c r="A489" t="inlineStr">
        <is>
          <t>A 999-2024</t>
        </is>
      </c>
      <c r="B489" s="1" t="n">
        <v>45301</v>
      </c>
      <c r="C489" s="1" t="n">
        <v>46193</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9518-2026</t>
        </is>
      </c>
      <c r="B490" s="1" t="n">
        <v>46071</v>
      </c>
      <c r="C490" s="1" t="n">
        <v>46193</v>
      </c>
      <c r="D490" t="inlineStr">
        <is>
          <t>GOTLANDS LÄN</t>
        </is>
      </c>
      <c r="E490" t="inlineStr">
        <is>
          <t>GOTLAND</t>
        </is>
      </c>
      <c r="G490" t="n">
        <v>6.2</v>
      </c>
      <c r="H490" t="n">
        <v>0</v>
      </c>
      <c r="I490" t="n">
        <v>0</v>
      </c>
      <c r="J490" t="n">
        <v>0</v>
      </c>
      <c r="K490" t="n">
        <v>0</v>
      </c>
      <c r="L490" t="n">
        <v>0</v>
      </c>
      <c r="M490" t="n">
        <v>0</v>
      </c>
      <c r="N490" t="n">
        <v>0</v>
      </c>
      <c r="O490" t="n">
        <v>0</v>
      </c>
      <c r="P490" t="n">
        <v>0</v>
      </c>
      <c r="Q490" t="n">
        <v>0</v>
      </c>
      <c r="R490" s="2" t="inlineStr"/>
    </row>
    <row r="491" ht="15" customHeight="1">
      <c r="A491" t="inlineStr">
        <is>
          <t>A 9519-2026</t>
        </is>
      </c>
      <c r="B491" s="1" t="n">
        <v>46071</v>
      </c>
      <c r="C491" s="1" t="n">
        <v>46193</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9540-2026</t>
        </is>
      </c>
      <c r="B492" s="1" t="n">
        <v>46071</v>
      </c>
      <c r="C492" s="1" t="n">
        <v>46193</v>
      </c>
      <c r="D492" t="inlineStr">
        <is>
          <t>GOTLANDS LÄN</t>
        </is>
      </c>
      <c r="E492" t="inlineStr">
        <is>
          <t>GOTLAND</t>
        </is>
      </c>
      <c r="G492" t="n">
        <v>2.8</v>
      </c>
      <c r="H492" t="n">
        <v>0</v>
      </c>
      <c r="I492" t="n">
        <v>0</v>
      </c>
      <c r="J492" t="n">
        <v>0</v>
      </c>
      <c r="K492" t="n">
        <v>0</v>
      </c>
      <c r="L492" t="n">
        <v>0</v>
      </c>
      <c r="M492" t="n">
        <v>0</v>
      </c>
      <c r="N492" t="n">
        <v>0</v>
      </c>
      <c r="O492" t="n">
        <v>0</v>
      </c>
      <c r="P492" t="n">
        <v>0</v>
      </c>
      <c r="Q492" t="n">
        <v>0</v>
      </c>
      <c r="R492" s="2" t="inlineStr"/>
    </row>
    <row r="493" ht="15" customHeight="1">
      <c r="A493" t="inlineStr">
        <is>
          <t>A 61596-2023</t>
        </is>
      </c>
      <c r="B493" s="1" t="n">
        <v>45265</v>
      </c>
      <c r="C493" s="1" t="n">
        <v>46193</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9521-2026</t>
        </is>
      </c>
      <c r="B494" s="1" t="n">
        <v>46071</v>
      </c>
      <c r="C494" s="1" t="n">
        <v>46193</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9524-2026</t>
        </is>
      </c>
      <c r="B495" s="1" t="n">
        <v>46071</v>
      </c>
      <c r="C495" s="1" t="n">
        <v>46193</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v>
      </c>
      <c r="C496" s="1" t="n">
        <v>46193</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14638-2025</t>
        </is>
      </c>
      <c r="B497" s="1" t="n">
        <v>45742</v>
      </c>
      <c r="C497" s="1" t="n">
        <v>46193</v>
      </c>
      <c r="D497" t="inlineStr">
        <is>
          <t>GOTLANDS LÄN</t>
        </is>
      </c>
      <c r="E497" t="inlineStr">
        <is>
          <t>GOTLAND</t>
        </is>
      </c>
      <c r="G497" t="n">
        <v>13.4</v>
      </c>
      <c r="H497" t="n">
        <v>0</v>
      </c>
      <c r="I497" t="n">
        <v>0</v>
      </c>
      <c r="J497" t="n">
        <v>0</v>
      </c>
      <c r="K497" t="n">
        <v>0</v>
      </c>
      <c r="L497" t="n">
        <v>0</v>
      </c>
      <c r="M497" t="n">
        <v>0</v>
      </c>
      <c r="N497" t="n">
        <v>0</v>
      </c>
      <c r="O497" t="n">
        <v>0</v>
      </c>
      <c r="P497" t="n">
        <v>0</v>
      </c>
      <c r="Q497" t="n">
        <v>0</v>
      </c>
      <c r="R497" s="2" t="inlineStr"/>
    </row>
    <row r="498" ht="15" customHeight="1">
      <c r="A498" t="inlineStr">
        <is>
          <t>A 60675-2021</t>
        </is>
      </c>
      <c r="B498" s="1" t="n">
        <v>44496</v>
      </c>
      <c r="C498" s="1" t="n">
        <v>46193</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37728-2024</t>
        </is>
      </c>
      <c r="B499" s="1" t="n">
        <v>45541</v>
      </c>
      <c r="C499" s="1" t="n">
        <v>46193</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9901-2026</t>
        </is>
      </c>
      <c r="B500" s="1" t="n">
        <v>46073</v>
      </c>
      <c r="C500" s="1" t="n">
        <v>46193</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10284-2026</t>
        </is>
      </c>
      <c r="B501" s="1" t="n">
        <v>46076</v>
      </c>
      <c r="C501" s="1" t="n">
        <v>46193</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46193</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46193</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65249-2023</t>
        </is>
      </c>
      <c r="B504" s="1" t="n">
        <v>45290</v>
      </c>
      <c r="C504" s="1" t="n">
        <v>46193</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11424-2026</t>
        </is>
      </c>
      <c r="B505" s="1" t="n">
        <v>46083</v>
      </c>
      <c r="C505" s="1" t="n">
        <v>46193</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3067-2026</t>
        </is>
      </c>
      <c r="B506" s="1" t="n">
        <v>46040</v>
      </c>
      <c r="C506" s="1" t="n">
        <v>46193</v>
      </c>
      <c r="D506" t="inlineStr">
        <is>
          <t>GOTLANDS LÄN</t>
        </is>
      </c>
      <c r="E506" t="inlineStr">
        <is>
          <t>GOTLAND</t>
        </is>
      </c>
      <c r="G506" t="n">
        <v>7.8</v>
      </c>
      <c r="H506" t="n">
        <v>0</v>
      </c>
      <c r="I506" t="n">
        <v>0</v>
      </c>
      <c r="J506" t="n">
        <v>0</v>
      </c>
      <c r="K506" t="n">
        <v>0</v>
      </c>
      <c r="L506" t="n">
        <v>0</v>
      </c>
      <c r="M506" t="n">
        <v>0</v>
      </c>
      <c r="N506" t="n">
        <v>0</v>
      </c>
      <c r="O506" t="n">
        <v>0</v>
      </c>
      <c r="P506" t="n">
        <v>0</v>
      </c>
      <c r="Q506" t="n">
        <v>0</v>
      </c>
      <c r="R506" s="2" t="inlineStr"/>
    </row>
    <row r="507" ht="15" customHeight="1">
      <c r="A507" t="inlineStr">
        <is>
          <t>A 12135-2026</t>
        </is>
      </c>
      <c r="B507" s="1" t="n">
        <v>46086</v>
      </c>
      <c r="C507" s="1" t="n">
        <v>46193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42201-2023</t>
        </is>
      </c>
      <c r="B508" s="1" t="n">
        <v>45179</v>
      </c>
      <c r="C508" s="1" t="n">
        <v>46193</v>
      </c>
      <c r="D508" t="inlineStr">
        <is>
          <t>GOTLANDS LÄN</t>
        </is>
      </c>
      <c r="E508" t="inlineStr">
        <is>
          <t>GOTLAND</t>
        </is>
      </c>
      <c r="G508" t="n">
        <v>11.9</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46193</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59986-2022</t>
        </is>
      </c>
      <c r="B510" s="1" t="n">
        <v>44909</v>
      </c>
      <c r="C510" s="1" t="n">
        <v>46193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63000-2025</t>
        </is>
      </c>
      <c r="B511" s="1" t="n">
        <v>46009</v>
      </c>
      <c r="C511" s="1" t="n">
        <v>46193</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11874-2024</t>
        </is>
      </c>
      <c r="B512" s="1" t="n">
        <v>45376</v>
      </c>
      <c r="C512" s="1" t="n">
        <v>46193</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42041-2024</t>
        </is>
      </c>
      <c r="B513" s="1" t="n">
        <v>45561</v>
      </c>
      <c r="C513" s="1" t="n">
        <v>46193</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13486-2026</t>
        </is>
      </c>
      <c r="B514" s="1" t="n">
        <v>46094</v>
      </c>
      <c r="C514" s="1" t="n">
        <v>46193</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61694-2023</t>
        </is>
      </c>
      <c r="B515" s="1" t="n">
        <v>45264</v>
      </c>
      <c r="C515" s="1" t="n">
        <v>46193</v>
      </c>
      <c r="D515" t="inlineStr">
        <is>
          <t>GOTLANDS LÄN</t>
        </is>
      </c>
      <c r="E515" t="inlineStr">
        <is>
          <t>GOTLAND</t>
        </is>
      </c>
      <c r="G515" t="n">
        <v>4.6</v>
      </c>
      <c r="H515" t="n">
        <v>0</v>
      </c>
      <c r="I515" t="n">
        <v>0</v>
      </c>
      <c r="J515" t="n">
        <v>0</v>
      </c>
      <c r="K515" t="n">
        <v>0</v>
      </c>
      <c r="L515" t="n">
        <v>0</v>
      </c>
      <c r="M515" t="n">
        <v>0</v>
      </c>
      <c r="N515" t="n">
        <v>0</v>
      </c>
      <c r="O515" t="n">
        <v>0</v>
      </c>
      <c r="P515" t="n">
        <v>0</v>
      </c>
      <c r="Q515" t="n">
        <v>0</v>
      </c>
      <c r="R515" s="2" t="inlineStr"/>
    </row>
    <row r="516" ht="15" customHeight="1">
      <c r="A516" t="inlineStr">
        <is>
          <t>A 62751-2025</t>
        </is>
      </c>
      <c r="B516" s="1" t="n">
        <v>46008</v>
      </c>
      <c r="C516" s="1" t="n">
        <v>46193</v>
      </c>
      <c r="D516" t="inlineStr">
        <is>
          <t>GOTLANDS LÄN</t>
        </is>
      </c>
      <c r="E516" t="inlineStr">
        <is>
          <t>GOTLAND</t>
        </is>
      </c>
      <c r="F516" t="inlineStr">
        <is>
          <t>Övriga Aktiebolag</t>
        </is>
      </c>
      <c r="G516" t="n">
        <v>7.8</v>
      </c>
      <c r="H516" t="n">
        <v>0</v>
      </c>
      <c r="I516" t="n">
        <v>0</v>
      </c>
      <c r="J516" t="n">
        <v>0</v>
      </c>
      <c r="K516" t="n">
        <v>0</v>
      </c>
      <c r="L516" t="n">
        <v>0</v>
      </c>
      <c r="M516" t="n">
        <v>0</v>
      </c>
      <c r="N516" t="n">
        <v>0</v>
      </c>
      <c r="O516" t="n">
        <v>0</v>
      </c>
      <c r="P516" t="n">
        <v>0</v>
      </c>
      <c r="Q516" t="n">
        <v>0</v>
      </c>
      <c r="R516" s="2" t="inlineStr"/>
    </row>
    <row r="517" ht="15" customHeight="1">
      <c r="A517" t="inlineStr">
        <is>
          <t>A 22351-2026</t>
        </is>
      </c>
      <c r="B517" s="1" t="n">
        <v>46154</v>
      </c>
      <c r="C517" s="1" t="n">
        <v>46193</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22275-2026</t>
        </is>
      </c>
      <c r="B518" s="1" t="n">
        <v>46154</v>
      </c>
      <c r="C518" s="1" t="n">
        <v>46193</v>
      </c>
      <c r="D518" t="inlineStr">
        <is>
          <t>GOTLANDS LÄN</t>
        </is>
      </c>
      <c r="E518" t="inlineStr">
        <is>
          <t>GOTLAND</t>
        </is>
      </c>
      <c r="G518" t="n">
        <v>3.7</v>
      </c>
      <c r="H518" t="n">
        <v>0</v>
      </c>
      <c r="I518" t="n">
        <v>0</v>
      </c>
      <c r="J518" t="n">
        <v>0</v>
      </c>
      <c r="K518" t="n">
        <v>0</v>
      </c>
      <c r="L518" t="n">
        <v>0</v>
      </c>
      <c r="M518" t="n">
        <v>0</v>
      </c>
      <c r="N518" t="n">
        <v>0</v>
      </c>
      <c r="O518" t="n">
        <v>0</v>
      </c>
      <c r="P518" t="n">
        <v>0</v>
      </c>
      <c r="Q518" t="n">
        <v>0</v>
      </c>
      <c r="R518" s="2" t="inlineStr"/>
    </row>
    <row r="519" ht="15" customHeight="1">
      <c r="A519" t="inlineStr">
        <is>
          <t>A 22348-2026</t>
        </is>
      </c>
      <c r="B519" s="1" t="n">
        <v>46154</v>
      </c>
      <c r="C519" s="1" t="n">
        <v>46193</v>
      </c>
      <c r="D519" t="inlineStr">
        <is>
          <t>GOTLANDS LÄN</t>
        </is>
      </c>
      <c r="E519" t="inlineStr">
        <is>
          <t>GOTLAND</t>
        </is>
      </c>
      <c r="G519" t="n">
        <v>3.3</v>
      </c>
      <c r="H519" t="n">
        <v>0</v>
      </c>
      <c r="I519" t="n">
        <v>0</v>
      </c>
      <c r="J519" t="n">
        <v>0</v>
      </c>
      <c r="K519" t="n">
        <v>0</v>
      </c>
      <c r="L519" t="n">
        <v>0</v>
      </c>
      <c r="M519" t="n">
        <v>0</v>
      </c>
      <c r="N519" t="n">
        <v>0</v>
      </c>
      <c r="O519" t="n">
        <v>0</v>
      </c>
      <c r="P519" t="n">
        <v>0</v>
      </c>
      <c r="Q519" t="n">
        <v>0</v>
      </c>
      <c r="R519" s="2" t="inlineStr"/>
    </row>
    <row r="520" ht="15" customHeight="1">
      <c r="A520" t="inlineStr">
        <is>
          <t>A 16993-2026</t>
        </is>
      </c>
      <c r="B520" s="1" t="n">
        <v>46114</v>
      </c>
      <c r="C520" s="1" t="n">
        <v>46193</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22887-2026</t>
        </is>
      </c>
      <c r="B521" s="1" t="n">
        <v>46160</v>
      </c>
      <c r="C521" s="1" t="n">
        <v>46193</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23103-2026</t>
        </is>
      </c>
      <c r="B522" s="1" t="n">
        <v>46161</v>
      </c>
      <c r="C522" s="1" t="n">
        <v>46193</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23504-2026</t>
        </is>
      </c>
      <c r="B523" s="1" t="n">
        <v>46163</v>
      </c>
      <c r="C523" s="1" t="n">
        <v>46193</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62836-2025</t>
        </is>
      </c>
      <c r="B524" s="1" t="n">
        <v>46008</v>
      </c>
      <c r="C524" s="1" t="n">
        <v>46193</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4639-2026</t>
        </is>
      </c>
      <c r="B525" s="1" t="n">
        <v>46048</v>
      </c>
      <c r="C525" s="1" t="n">
        <v>46193</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18804-2026</t>
        </is>
      </c>
      <c r="B526" s="1" t="n">
        <v>46128</v>
      </c>
      <c r="C526" s="1" t="n">
        <v>46193</v>
      </c>
      <c r="D526" t="inlineStr">
        <is>
          <t>GOTLANDS LÄN</t>
        </is>
      </c>
      <c r="E526" t="inlineStr">
        <is>
          <t>GOTLAND</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17943-2026</t>
        </is>
      </c>
      <c r="B527" s="1" t="n">
        <v>46122</v>
      </c>
      <c r="C527" s="1" t="n">
        <v>46193</v>
      </c>
      <c r="D527" t="inlineStr">
        <is>
          <t>GOTLANDS LÄN</t>
        </is>
      </c>
      <c r="E527" t="inlineStr">
        <is>
          <t>GOTLAND</t>
        </is>
      </c>
      <c r="G527" t="n">
        <v>2.8</v>
      </c>
      <c r="H527" t="n">
        <v>0</v>
      </c>
      <c r="I527" t="n">
        <v>0</v>
      </c>
      <c r="J527" t="n">
        <v>0</v>
      </c>
      <c r="K527" t="n">
        <v>0</v>
      </c>
      <c r="L527" t="n">
        <v>0</v>
      </c>
      <c r="M527" t="n">
        <v>0</v>
      </c>
      <c r="N527" t="n">
        <v>0</v>
      </c>
      <c r="O527" t="n">
        <v>0</v>
      </c>
      <c r="P527" t="n">
        <v>0</v>
      </c>
      <c r="Q527" t="n">
        <v>0</v>
      </c>
      <c r="R527" s="2" t="inlineStr"/>
    </row>
    <row r="528" ht="15" customHeight="1">
      <c r="A528" t="inlineStr">
        <is>
          <t>A 24448-2026</t>
        </is>
      </c>
      <c r="B528" s="1" t="n">
        <v>46170</v>
      </c>
      <c r="C528" s="1" t="n">
        <v>46193</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26467-2025</t>
        </is>
      </c>
      <c r="B529" s="1" t="n">
        <v>45807</v>
      </c>
      <c r="C529" s="1" t="n">
        <v>46193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29207-2025</t>
        </is>
      </c>
      <c r="B530" s="1" t="n">
        <v>45823</v>
      </c>
      <c r="C530" s="1" t="n">
        <v>46193</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25796-2025</t>
        </is>
      </c>
      <c r="B531" s="1" t="n">
        <v>45804</v>
      </c>
      <c r="C531" s="1" t="n">
        <v>46193</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2180-2025</t>
        </is>
      </c>
      <c r="B532" s="1" t="n">
        <v>45673</v>
      </c>
      <c r="C532" s="1" t="n">
        <v>46193</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62754-2025</t>
        </is>
      </c>
      <c r="B533" s="1" t="n">
        <v>46008</v>
      </c>
      <c r="C533" s="1" t="n">
        <v>46193</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20225-2025</t>
        </is>
      </c>
      <c r="B534" s="1" t="n">
        <v>45772</v>
      </c>
      <c r="C534" s="1" t="n">
        <v>46193</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32379-2025</t>
        </is>
      </c>
      <c r="B535" s="1" t="n">
        <v>45837</v>
      </c>
      <c r="C535" s="1" t="n">
        <v>46193</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45112-2024</t>
        </is>
      </c>
      <c r="B536" s="1" t="n">
        <v>45575</v>
      </c>
      <c r="C536" s="1" t="n">
        <v>46193</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1854-2026</t>
        </is>
      </c>
      <c r="B537" s="1" t="n">
        <v>46035</v>
      </c>
      <c r="C537" s="1" t="n">
        <v>46193</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13910-2025</t>
        </is>
      </c>
      <c r="B538" s="1" t="n">
        <v>45737</v>
      </c>
      <c r="C538" s="1" t="n">
        <v>46193</v>
      </c>
      <c r="D538" t="inlineStr">
        <is>
          <t>GOTLANDS LÄN</t>
        </is>
      </c>
      <c r="E538" t="inlineStr">
        <is>
          <t>GOTLAND</t>
        </is>
      </c>
      <c r="F538" t="inlineStr">
        <is>
          <t>Kommuner</t>
        </is>
      </c>
      <c r="G538" t="n">
        <v>3.2</v>
      </c>
      <c r="H538" t="n">
        <v>0</v>
      </c>
      <c r="I538" t="n">
        <v>0</v>
      </c>
      <c r="J538" t="n">
        <v>0</v>
      </c>
      <c r="K538" t="n">
        <v>0</v>
      </c>
      <c r="L538" t="n">
        <v>0</v>
      </c>
      <c r="M538" t="n">
        <v>0</v>
      </c>
      <c r="N538" t="n">
        <v>0</v>
      </c>
      <c r="O538" t="n">
        <v>0</v>
      </c>
      <c r="P538" t="n">
        <v>0</v>
      </c>
      <c r="Q538" t="n">
        <v>0</v>
      </c>
      <c r="R538" s="2" t="inlineStr"/>
    </row>
    <row r="539" ht="15" customHeight="1">
      <c r="A539" t="inlineStr">
        <is>
          <t>A 6959-2026</t>
        </is>
      </c>
      <c r="B539" s="1" t="n">
        <v>46057</v>
      </c>
      <c r="C539" s="1" t="n">
        <v>46193</v>
      </c>
      <c r="D539" t="inlineStr">
        <is>
          <t>GOTLANDS LÄN</t>
        </is>
      </c>
      <c r="E539" t="inlineStr">
        <is>
          <t>GOTLAND</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38165-2023</t>
        </is>
      </c>
      <c r="B540" s="1" t="n">
        <v>45161</v>
      </c>
      <c r="C540" s="1" t="n">
        <v>46193</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c r="A541" t="inlineStr">
        <is>
          <t>A 35537-2025</t>
        </is>
      </c>
      <c r="B541" s="1" t="n">
        <v>45856</v>
      </c>
      <c r="C541" s="1" t="n">
        <v>46193</v>
      </c>
      <c r="D541" t="inlineStr">
        <is>
          <t>GOTLANDS LÄN</t>
        </is>
      </c>
      <c r="E541" t="inlineStr">
        <is>
          <t>GOTLAND</t>
        </is>
      </c>
      <c r="G541" t="n">
        <v>16.8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2026-06-20T00:43:08Z</dcterms:created>
  <dcterms:modified xmlns:dcterms="http://purl.org/dc/terms/" xmlns:xsi="http://www.w3.org/2001/XMLSchema-instance" xsi:type="dcterms:W3CDTF">2026-06-20T00:43:09Z</dcterms:modified>
</cp:coreProperties>
</file>