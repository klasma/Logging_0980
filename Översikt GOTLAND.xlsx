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46135</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40235-2025</t>
        </is>
      </c>
      <c r="B14" s="1" t="n">
        <v>45894</v>
      </c>
      <c r="C14" s="1" t="n">
        <v>46135</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922-2023</t>
        </is>
      </c>
      <c r="B15" s="1" t="n">
        <v>44932</v>
      </c>
      <c r="C15" s="1" t="n">
        <v>46135</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569-2023</t>
        </is>
      </c>
      <c r="B16" s="1" t="n">
        <v>44930</v>
      </c>
      <c r="C16" s="1" t="n">
        <v>46135</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46135</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46135</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46135</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46135</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46135</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24575-2025</t>
        </is>
      </c>
      <c r="B22" s="1" t="n">
        <v>45798</v>
      </c>
      <c r="C22" s="1" t="n">
        <v>46135</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46135</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6913-2025</t>
        </is>
      </c>
      <c r="B24" s="1" t="n">
        <v>45701.43809027778</v>
      </c>
      <c r="C24" s="1" t="n">
        <v>46135</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61697-2023</t>
        </is>
      </c>
      <c r="B25" s="1" t="n">
        <v>45265</v>
      </c>
      <c r="C25" s="1" t="n">
        <v>46135</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17762-2024</t>
        </is>
      </c>
      <c r="B26" s="1" t="n">
        <v>45418</v>
      </c>
      <c r="C26" s="1" t="n">
        <v>46135</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46135</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15629-2024</t>
        </is>
      </c>
      <c r="B28" s="1" t="n">
        <v>45402.78372685185</v>
      </c>
      <c r="C28" s="1" t="n">
        <v>46135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2222-2024</t>
        </is>
      </c>
      <c r="B29" s="1" t="n">
        <v>45309</v>
      </c>
      <c r="C29" s="1" t="n">
        <v>46135</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46135</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46135</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44204-2022</t>
        </is>
      </c>
      <c r="B32" s="1" t="n">
        <v>44839</v>
      </c>
      <c r="C32" s="1" t="n">
        <v>46135</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2804-2023</t>
        </is>
      </c>
      <c r="B33" s="1" t="n">
        <v>44944</v>
      </c>
      <c r="C33" s="1" t="n">
        <v>46135</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46135</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46135</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15850-2025</t>
        </is>
      </c>
      <c r="B36" s="1" t="n">
        <v>45748</v>
      </c>
      <c r="C36" s="1" t="n">
        <v>46135</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61664-2023</t>
        </is>
      </c>
      <c r="B37" s="1" t="n">
        <v>45265</v>
      </c>
      <c r="C37" s="1" t="n">
        <v>46135</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63872-2021</t>
        </is>
      </c>
      <c r="B38" s="1" t="n">
        <v>44509</v>
      </c>
      <c r="C38" s="1" t="n">
        <v>46135</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46135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46135</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46135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46135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46135</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46135</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33153-2024</t>
        </is>
      </c>
      <c r="B46" s="1" t="n">
        <v>45518</v>
      </c>
      <c r="C46" s="1" t="n">
        <v>46135</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14354-2024</t>
        </is>
      </c>
      <c r="B47" s="1" t="n">
        <v>45393</v>
      </c>
      <c r="C47" s="1" t="n">
        <v>46135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45248-2024</t>
        </is>
      </c>
      <c r="B48" s="1" t="n">
        <v>45576</v>
      </c>
      <c r="C48" s="1" t="n">
        <v>46135</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46135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46135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46135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27280-2023</t>
        </is>
      </c>
      <c r="B52" s="1" t="n">
        <v>45096</v>
      </c>
      <c r="C52" s="1" t="n">
        <v>46135</v>
      </c>
      <c r="D52" t="inlineStr">
        <is>
          <t>GOTLANDS LÄN</t>
        </is>
      </c>
      <c r="E52" t="inlineStr">
        <is>
          <t>GOTLAND</t>
        </is>
      </c>
      <c r="G52" t="n">
        <v>2.7</v>
      </c>
      <c r="H52" t="n">
        <v>10</v>
      </c>
      <c r="I52" t="n">
        <v>2</v>
      </c>
      <c r="J52" t="n">
        <v>3</v>
      </c>
      <c r="K52" t="n">
        <v>1</v>
      </c>
      <c r="L52" t="n">
        <v>0</v>
      </c>
      <c r="M52" t="n">
        <v>0</v>
      </c>
      <c r="N52" t="n">
        <v>0</v>
      </c>
      <c r="O52" t="n">
        <v>4</v>
      </c>
      <c r="P52" t="n">
        <v>1</v>
      </c>
      <c r="Q52" t="n">
        <v>10</v>
      </c>
      <c r="R52" s="2" t="inlineStr">
        <is>
          <t>Stare
Björktrast
Mindre hackspett
Spillkråka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59132-2024</t>
        </is>
      </c>
      <c r="B53" s="1" t="n">
        <v>45637</v>
      </c>
      <c r="C53" s="1" t="n">
        <v>46135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46135</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46135</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27168-2022</t>
        </is>
      </c>
      <c r="B56" s="1" t="n">
        <v>44741</v>
      </c>
      <c r="C56" s="1" t="n">
        <v>46135</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2649-2023</t>
        </is>
      </c>
      <c r="B57" s="1" t="n">
        <v>44943</v>
      </c>
      <c r="C57" s="1" t="n">
        <v>46135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51737-2021</t>
        </is>
      </c>
      <c r="B60" s="1" t="n">
        <v>44462.57368055556</v>
      </c>
      <c r="C60" s="1" t="n">
        <v>46135</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34142-2024</t>
        </is>
      </c>
      <c r="B61" s="1" t="n">
        <v>45524.36521990741</v>
      </c>
      <c r="C61" s="1" t="n">
        <v>46135</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18541-2024</t>
        </is>
      </c>
      <c r="B62" s="1" t="n">
        <v>45425</v>
      </c>
      <c r="C62" s="1" t="n">
        <v>46135</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46135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10419-2025</t>
        </is>
      </c>
      <c r="B64" s="1" t="n">
        <v>45720</v>
      </c>
      <c r="C64" s="1" t="n">
        <v>46135</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56687-2025</t>
        </is>
      </c>
      <c r="B65" s="1" t="n">
        <v>45975.84065972222</v>
      </c>
      <c r="C65" s="1" t="n">
        <v>46135</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46135</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25205-2021</t>
        </is>
      </c>
      <c r="B67" s="1" t="n">
        <v>44342</v>
      </c>
      <c r="C67" s="1" t="n">
        <v>46135</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46135</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46135</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57773-2025</t>
        </is>
      </c>
      <c r="B71" s="1" t="n">
        <v>45981.56349537037</v>
      </c>
      <c r="C71" s="1" t="n">
        <v>46135</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53584-2025</t>
        </is>
      </c>
      <c r="B72" s="1" t="n">
        <v>45960.43130787037</v>
      </c>
      <c r="C72" s="1" t="n">
        <v>46135</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46135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7038-2023</t>
        </is>
      </c>
      <c r="B74" s="1" t="n">
        <v>44968</v>
      </c>
      <c r="C74" s="1" t="n">
        <v>46135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16823-2024</t>
        </is>
      </c>
      <c r="B75" s="1" t="n">
        <v>45411</v>
      </c>
      <c r="C75" s="1" t="n">
        <v>46135</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46135</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42936-2024</t>
        </is>
      </c>
      <c r="B77" s="1" t="n">
        <v>45567</v>
      </c>
      <c r="C77" s="1" t="n">
        <v>46135</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54055-2022</t>
        </is>
      </c>
      <c r="B78" s="1" t="n">
        <v>44881</v>
      </c>
      <c r="C78" s="1" t="n">
        <v>46135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6839-2026</t>
        </is>
      </c>
      <c r="B79" s="1" t="n">
        <v>46057.41193287037</v>
      </c>
      <c r="C79" s="1" t="n">
        <v>46135</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10274-2026</t>
        </is>
      </c>
      <c r="B80" s="1" t="n">
        <v>46076.58261574074</v>
      </c>
      <c r="C80" s="1" t="n">
        <v>46135</v>
      </c>
      <c r="D80" t="inlineStr">
        <is>
          <t>GOTLANDS LÄN</t>
        </is>
      </c>
      <c r="E80" t="inlineStr">
        <is>
          <t>GOTLAND</t>
        </is>
      </c>
      <c r="G80" t="n">
        <v>9.800000000000001</v>
      </c>
      <c r="H80" t="n">
        <v>2</v>
      </c>
      <c r="I80" t="n">
        <v>2</v>
      </c>
      <c r="J80" t="n">
        <v>1</v>
      </c>
      <c r="K80" t="n">
        <v>1</v>
      </c>
      <c r="L80" t="n">
        <v>0</v>
      </c>
      <c r="M80" t="n">
        <v>0</v>
      </c>
      <c r="N80" t="n">
        <v>0</v>
      </c>
      <c r="O80" t="n">
        <v>2</v>
      </c>
      <c r="P80" t="n">
        <v>1</v>
      </c>
      <c r="Q80" t="n">
        <v>5</v>
      </c>
      <c r="R80" s="2" t="inlineStr">
        <is>
          <t>Gråfingerört
Spillkråka
Axag
Grönpyrola
Alvarstånds</t>
        </is>
      </c>
      <c r="S80">
        <f>HYPERLINK("https://klasma.github.io/Logging_0980/artfynd/A 10274-2026 artfynd.xlsx", "A 10274-2026")</f>
        <v/>
      </c>
      <c r="T80">
        <f>HYPERLINK("https://klasma.github.io/Logging_0980/kartor/A 10274-2026 karta.png", "A 10274-2026")</f>
        <v/>
      </c>
      <c r="V80">
        <f>HYPERLINK("https://klasma.github.io/Logging_0980/klagomål/A 10274-2026 FSC-klagomål.docx", "A 10274-2026")</f>
        <v/>
      </c>
      <c r="W80">
        <f>HYPERLINK("https://klasma.github.io/Logging_0980/klagomålsmail/A 10274-2026 FSC-klagomål mail.docx", "A 10274-2026")</f>
        <v/>
      </c>
      <c r="X80">
        <f>HYPERLINK("https://klasma.github.io/Logging_0980/tillsyn/A 10274-2026 tillsynsbegäran.docx", "A 10274-2026")</f>
        <v/>
      </c>
      <c r="Y80">
        <f>HYPERLINK("https://klasma.github.io/Logging_0980/tillsynsmail/A 10274-2026 tillsynsbegäran mail.docx", "A 10274-2026")</f>
        <v/>
      </c>
      <c r="Z80">
        <f>HYPERLINK("https://klasma.github.io/Logging_0980/fåglar/A 10274-2026 prioriterade fågelarter.docx", "A 10274-2026")</f>
        <v/>
      </c>
    </row>
    <row r="81" ht="15" customHeight="1">
      <c r="A81" t="inlineStr">
        <is>
          <t>A 32326-2024</t>
        </is>
      </c>
      <c r="B81" s="1" t="n">
        <v>45512</v>
      </c>
      <c r="C81" s="1" t="n">
        <v>46135</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46135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52245-2025</t>
        </is>
      </c>
      <c r="B83" s="1" t="n">
        <v>45953.47115740741</v>
      </c>
      <c r="C83" s="1" t="n">
        <v>46135</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35293-2025</t>
        </is>
      </c>
      <c r="B84" s="1" t="n">
        <v>45854.39438657407</v>
      </c>
      <c r="C84" s="1" t="n">
        <v>46135</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46135</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46135</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29331-2021</t>
        </is>
      </c>
      <c r="B87" s="1" t="n">
        <v>44361</v>
      </c>
      <c r="C87" s="1" t="n">
        <v>46135</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20833-2024</t>
        </is>
      </c>
      <c r="B88" s="1" t="n">
        <v>45439</v>
      </c>
      <c r="C88" s="1" t="n">
        <v>46135</v>
      </c>
      <c r="D88" t="inlineStr">
        <is>
          <t>GOTLANDS LÄN</t>
        </is>
      </c>
      <c r="E88" t="inlineStr">
        <is>
          <t>GOTLAND</t>
        </is>
      </c>
      <c r="G88" t="n">
        <v>0.9</v>
      </c>
      <c r="H88" t="n">
        <v>3</v>
      </c>
      <c r="I88" t="n">
        <v>1</v>
      </c>
      <c r="J88" t="n">
        <v>3</v>
      </c>
      <c r="K88" t="n">
        <v>0</v>
      </c>
      <c r="L88" t="n">
        <v>0</v>
      </c>
      <c r="M88" t="n">
        <v>0</v>
      </c>
      <c r="N88" t="n">
        <v>0</v>
      </c>
      <c r="O88" t="n">
        <v>3</v>
      </c>
      <c r="P88" t="n">
        <v>0</v>
      </c>
      <c r="Q88" t="n">
        <v>4</v>
      </c>
      <c r="R88" s="2" t="inlineStr">
        <is>
          <t>Dårgräsfjäril
Spillkråka
Svinrot
Skogsknipprot</t>
        </is>
      </c>
      <c r="S88">
        <f>HYPERLINK("https://klasma.github.io/Logging_0980/artfynd/A 20833-2024 artfynd.xlsx", "A 20833-2024")</f>
        <v/>
      </c>
      <c r="T88">
        <f>HYPERLINK("https://klasma.github.io/Logging_0980/kartor/A 20833-2024 karta.png", "A 20833-2024")</f>
        <v/>
      </c>
      <c r="V88">
        <f>HYPERLINK("https://klasma.github.io/Logging_0980/klagomål/A 20833-2024 FSC-klagomål.docx", "A 20833-2024")</f>
        <v/>
      </c>
      <c r="W88">
        <f>HYPERLINK("https://klasma.github.io/Logging_0980/klagomålsmail/A 20833-2024 FSC-klagomål mail.docx", "A 20833-2024")</f>
        <v/>
      </c>
      <c r="X88">
        <f>HYPERLINK("https://klasma.github.io/Logging_0980/tillsyn/A 20833-2024 tillsynsbegäran.docx", "A 20833-2024")</f>
        <v/>
      </c>
      <c r="Y88">
        <f>HYPERLINK("https://klasma.github.io/Logging_0980/tillsynsmail/A 20833-2024 tillsynsbegäran mail.docx", "A 20833-2024")</f>
        <v/>
      </c>
      <c r="Z88">
        <f>HYPERLINK("https://klasma.github.io/Logging_0980/fåglar/A 20833-2024 prioriterade fågelarter.docx", "A 20833-2024")</f>
        <v/>
      </c>
    </row>
    <row r="89" ht="15" customHeight="1">
      <c r="A89" t="inlineStr">
        <is>
          <t>A 5904-2024</t>
        </is>
      </c>
      <c r="B89" s="1" t="n">
        <v>45335</v>
      </c>
      <c r="C89" s="1" t="n">
        <v>46135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6836-2026</t>
        </is>
      </c>
      <c r="B90" s="1" t="n">
        <v>46057.40902777778</v>
      </c>
      <c r="C90" s="1" t="n">
        <v>46135</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40099-2025</t>
        </is>
      </c>
      <c r="B91" s="1" t="n">
        <v>45894.48462962963</v>
      </c>
      <c r="C91" s="1" t="n">
        <v>46135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8265-2023</t>
        </is>
      </c>
      <c r="B92" s="1" t="n">
        <v>44974</v>
      </c>
      <c r="C92" s="1" t="n">
        <v>46135</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44933-2022</t>
        </is>
      </c>
      <c r="B93" s="1" t="n">
        <v>44841</v>
      </c>
      <c r="C93" s="1" t="n">
        <v>46135</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46135</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56717-2024</t>
        </is>
      </c>
      <c r="B95" s="1" t="n">
        <v>45628.3166550926</v>
      </c>
      <c r="C95" s="1" t="n">
        <v>46135</v>
      </c>
      <c r="D95" t="inlineStr">
        <is>
          <t>GOTLANDS LÄN</t>
        </is>
      </c>
      <c r="E95" t="inlineStr">
        <is>
          <t>GOTLAND</t>
        </is>
      </c>
      <c r="G95" t="n">
        <v>9.699999999999999</v>
      </c>
      <c r="H95" t="n">
        <v>0</v>
      </c>
      <c r="I95" t="n">
        <v>2</v>
      </c>
      <c r="J95" t="n">
        <v>2</v>
      </c>
      <c r="K95" t="n">
        <v>0</v>
      </c>
      <c r="L95" t="n">
        <v>0</v>
      </c>
      <c r="M95" t="n">
        <v>0</v>
      </c>
      <c r="N95" t="n">
        <v>0</v>
      </c>
      <c r="O95" t="n">
        <v>2</v>
      </c>
      <c r="P95" t="n">
        <v>0</v>
      </c>
      <c r="Q95" t="n">
        <v>4</v>
      </c>
      <c r="R95" s="2" t="inlineStr">
        <is>
          <t>Ekvaxskivling
Odörspindling
Fjällig taggsvamp s.str.
Kattfotslav</t>
        </is>
      </c>
      <c r="S95">
        <f>HYPERLINK("https://klasma.github.io/Logging_0980/artfynd/A 56717-2024 artfynd.xlsx", "A 56717-2024")</f>
        <v/>
      </c>
      <c r="T95">
        <f>HYPERLINK("https://klasma.github.io/Logging_0980/kartor/A 56717-2024 karta.png", "A 56717-2024")</f>
        <v/>
      </c>
      <c r="V95">
        <f>HYPERLINK("https://klasma.github.io/Logging_0980/klagomål/A 56717-2024 FSC-klagomål.docx", "A 56717-2024")</f>
        <v/>
      </c>
      <c r="W95">
        <f>HYPERLINK("https://klasma.github.io/Logging_0980/klagomålsmail/A 56717-2024 FSC-klagomål mail.docx", "A 56717-2024")</f>
        <v/>
      </c>
      <c r="X95">
        <f>HYPERLINK("https://klasma.github.io/Logging_0980/tillsyn/A 56717-2024 tillsynsbegäran.docx", "A 56717-2024")</f>
        <v/>
      </c>
      <c r="Y95">
        <f>HYPERLINK("https://klasma.github.io/Logging_0980/tillsynsmail/A 56717-2024 tillsynsbegäran mail.docx", "A 56717-2024")</f>
        <v/>
      </c>
    </row>
    <row r="96" ht="15" customHeight="1">
      <c r="A96" t="inlineStr">
        <is>
          <t>A 54523-2023</t>
        </is>
      </c>
      <c r="B96" s="1" t="n">
        <v>45233</v>
      </c>
      <c r="C96" s="1" t="n">
        <v>46135</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46135</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2485-2025</t>
        </is>
      </c>
      <c r="B98" s="1" t="n">
        <v>45673</v>
      </c>
      <c r="C98" s="1" t="n">
        <v>46135</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13203-2026</t>
        </is>
      </c>
      <c r="B99" s="1" t="n">
        <v>46093</v>
      </c>
      <c r="C99" s="1" t="n">
        <v>46135</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6159-2023</t>
        </is>
      </c>
      <c r="B100" s="1" t="n">
        <v>44964</v>
      </c>
      <c r="C100" s="1" t="n">
        <v>46135</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43197-2023</t>
        </is>
      </c>
      <c r="B101" s="1" t="n">
        <v>45183</v>
      </c>
      <c r="C101" s="1" t="n">
        <v>46135</v>
      </c>
      <c r="D101" t="inlineStr">
        <is>
          <t>GOTLANDS LÄN</t>
        </is>
      </c>
      <c r="E101" t="inlineStr">
        <is>
          <t>GOTLAND</t>
        </is>
      </c>
      <c r="G101" t="n">
        <v>3.7</v>
      </c>
      <c r="H101" t="n">
        <v>2</v>
      </c>
      <c r="I101" t="n">
        <v>1</v>
      </c>
      <c r="J101" t="n">
        <v>1</v>
      </c>
      <c r="K101" t="n">
        <v>1</v>
      </c>
      <c r="L101" t="n">
        <v>0</v>
      </c>
      <c r="M101" t="n">
        <v>0</v>
      </c>
      <c r="N101" t="n">
        <v>0</v>
      </c>
      <c r="O101" t="n">
        <v>2</v>
      </c>
      <c r="P101" t="n">
        <v>1</v>
      </c>
      <c r="Q101" t="n">
        <v>4</v>
      </c>
      <c r="R101" s="2" t="inlineStr">
        <is>
          <t>Allékantlav
Svinrot
Skogsknipprot
Revlummer</t>
        </is>
      </c>
      <c r="S101">
        <f>HYPERLINK("https://klasma.github.io/Logging_0980/artfynd/A 43197-2023 artfynd.xlsx", "A 43197-2023")</f>
        <v/>
      </c>
      <c r="T101">
        <f>HYPERLINK("https://klasma.github.io/Logging_0980/kartor/A 43197-2023 karta.png", "A 43197-2023")</f>
        <v/>
      </c>
      <c r="V101">
        <f>HYPERLINK("https://klasma.github.io/Logging_0980/klagomål/A 43197-2023 FSC-klagomål.docx", "A 43197-2023")</f>
        <v/>
      </c>
      <c r="W101">
        <f>HYPERLINK("https://klasma.github.io/Logging_0980/klagomålsmail/A 43197-2023 FSC-klagomål mail.docx", "A 43197-2023")</f>
        <v/>
      </c>
      <c r="X101">
        <f>HYPERLINK("https://klasma.github.io/Logging_0980/tillsyn/A 43197-2023 tillsynsbegäran.docx", "A 43197-2023")</f>
        <v/>
      </c>
      <c r="Y101">
        <f>HYPERLINK("https://klasma.github.io/Logging_0980/tillsynsmail/A 43197-2023 tillsynsbegäran mail.docx", "A 43197-2023")</f>
        <v/>
      </c>
    </row>
    <row r="102" ht="15" customHeight="1">
      <c r="A102" t="inlineStr">
        <is>
          <t>A 1971-2023</t>
        </is>
      </c>
      <c r="B102" s="1" t="n">
        <v>44939</v>
      </c>
      <c r="C102" s="1" t="n">
        <v>46135</v>
      </c>
      <c r="D102" t="inlineStr">
        <is>
          <t>GOTLANDS LÄN</t>
        </is>
      </c>
      <c r="E102" t="inlineStr">
        <is>
          <t>GOTLAND</t>
        </is>
      </c>
      <c r="G102" t="n">
        <v>5.5</v>
      </c>
      <c r="H102" t="n">
        <v>0</v>
      </c>
      <c r="I102" t="n">
        <v>2</v>
      </c>
      <c r="J102" t="n">
        <v>1</v>
      </c>
      <c r="K102" t="n">
        <v>1</v>
      </c>
      <c r="L102" t="n">
        <v>0</v>
      </c>
      <c r="M102" t="n">
        <v>0</v>
      </c>
      <c r="N102" t="n">
        <v>0</v>
      </c>
      <c r="O102" t="n">
        <v>2</v>
      </c>
      <c r="P102" t="n">
        <v>1</v>
      </c>
      <c r="Q102" t="n">
        <v>4</v>
      </c>
      <c r="R102" s="2" t="inlineStr">
        <is>
          <t>Gulsträngad fagerspindling
Svinrot
Fjällig taggsvamp s.str.
Olivspindling</t>
        </is>
      </c>
      <c r="S102">
        <f>HYPERLINK("https://klasma.github.io/Logging_0980/artfynd/A 1971-2023 artfynd.xlsx", "A 1971-2023")</f>
        <v/>
      </c>
      <c r="T102">
        <f>HYPERLINK("https://klasma.github.io/Logging_0980/kartor/A 1971-2023 karta.png", "A 1971-2023")</f>
        <v/>
      </c>
      <c r="V102">
        <f>HYPERLINK("https://klasma.github.io/Logging_0980/klagomål/A 1971-2023 FSC-klagomål.docx", "A 1971-2023")</f>
        <v/>
      </c>
      <c r="W102">
        <f>HYPERLINK("https://klasma.github.io/Logging_0980/klagomålsmail/A 1971-2023 FSC-klagomål mail.docx", "A 1971-2023")</f>
        <v/>
      </c>
      <c r="X102">
        <f>HYPERLINK("https://klasma.github.io/Logging_0980/tillsyn/A 1971-2023 tillsynsbegäran.docx", "A 1971-2023")</f>
        <v/>
      </c>
      <c r="Y102">
        <f>HYPERLINK("https://klasma.github.io/Logging_0980/tillsynsmail/A 1971-2023 tillsynsbegäran mail.docx", "A 1971-2023")</f>
        <v/>
      </c>
    </row>
    <row r="103" ht="15" customHeight="1">
      <c r="A103" t="inlineStr">
        <is>
          <t>A 186-2023</t>
        </is>
      </c>
      <c r="B103" s="1" t="n">
        <v>44928</v>
      </c>
      <c r="C103" s="1" t="n">
        <v>46135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44323-2021</t>
        </is>
      </c>
      <c r="B104" s="1" t="n">
        <v>44434</v>
      </c>
      <c r="C104" s="1" t="n">
        <v>46135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46135</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53552-2021</t>
        </is>
      </c>
      <c r="B107" s="1" t="n">
        <v>44468</v>
      </c>
      <c r="C107" s="1" t="n">
        <v>46135</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12315-2024</t>
        </is>
      </c>
      <c r="B108" s="1" t="n">
        <v>45378.6434837963</v>
      </c>
      <c r="C108" s="1" t="n">
        <v>46135</v>
      </c>
      <c r="D108" t="inlineStr">
        <is>
          <t>GOTLANDS LÄN</t>
        </is>
      </c>
      <c r="E108" t="inlineStr">
        <is>
          <t>GOTLAND</t>
        </is>
      </c>
      <c r="G108" t="n">
        <v>6</v>
      </c>
      <c r="H108" t="n">
        <v>3</v>
      </c>
      <c r="I108" t="n">
        <v>1</v>
      </c>
      <c r="J108" t="n">
        <v>1</v>
      </c>
      <c r="K108" t="n">
        <v>0</v>
      </c>
      <c r="L108" t="n">
        <v>0</v>
      </c>
      <c r="M108" t="n">
        <v>0</v>
      </c>
      <c r="N108" t="n">
        <v>0</v>
      </c>
      <c r="O108" t="n">
        <v>1</v>
      </c>
      <c r="P108" t="n">
        <v>0</v>
      </c>
      <c r="Q108" t="n">
        <v>3</v>
      </c>
      <c r="R108" s="2" t="inlineStr">
        <is>
          <t>Buskskvätta
Tvåblad
Fläcknycklar</t>
        </is>
      </c>
      <c r="S108">
        <f>HYPERLINK("https://klasma.github.io/Logging_0980/artfynd/A 12315-2024 artfynd.xlsx", "A 12315-2024")</f>
        <v/>
      </c>
      <c r="T108">
        <f>HYPERLINK("https://klasma.github.io/Logging_0980/kartor/A 12315-2024 karta.png", "A 12315-2024")</f>
        <v/>
      </c>
      <c r="V108">
        <f>HYPERLINK("https://klasma.github.io/Logging_0980/klagomål/A 12315-2024 FSC-klagomål.docx", "A 12315-2024")</f>
        <v/>
      </c>
      <c r="W108">
        <f>HYPERLINK("https://klasma.github.io/Logging_0980/klagomålsmail/A 12315-2024 FSC-klagomål mail.docx", "A 12315-2024")</f>
        <v/>
      </c>
      <c r="X108">
        <f>HYPERLINK("https://klasma.github.io/Logging_0980/tillsyn/A 12315-2024 tillsynsbegäran.docx", "A 12315-2024")</f>
        <v/>
      </c>
      <c r="Y108">
        <f>HYPERLINK("https://klasma.github.io/Logging_0980/tillsynsmail/A 12315-2024 tillsynsbegäran mail.docx", "A 12315-2024")</f>
        <v/>
      </c>
      <c r="Z108">
        <f>HYPERLINK("https://klasma.github.io/Logging_0980/fåglar/A 12315-2024 prioriterade fågelarter.docx", "A 12315-2024")</f>
        <v/>
      </c>
    </row>
    <row r="109" ht="15" customHeight="1">
      <c r="A109" t="inlineStr">
        <is>
          <t>A 73144-2021</t>
        </is>
      </c>
      <c r="B109" s="1" t="n">
        <v>44550</v>
      </c>
      <c r="C109" s="1" t="n">
        <v>46135</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46135</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13499-2022</t>
        </is>
      </c>
      <c r="B111" s="1" t="n">
        <v>44647.79203703703</v>
      </c>
      <c r="C111" s="1" t="n">
        <v>46135</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46135</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55334-2024</t>
        </is>
      </c>
      <c r="B113" s="1" t="n">
        <v>45621</v>
      </c>
      <c r="C113" s="1" t="n">
        <v>46135</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46135</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46135</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48126-2022</t>
        </is>
      </c>
      <c r="B116" s="1" t="n">
        <v>44857</v>
      </c>
      <c r="C116" s="1" t="n">
        <v>46135</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46135</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17975-2024</t>
        </is>
      </c>
      <c r="B118" s="1" t="n">
        <v>45419.85546296297</v>
      </c>
      <c r="C118" s="1" t="n">
        <v>46135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20831-2024</t>
        </is>
      </c>
      <c r="B119" s="1" t="n">
        <v>45439</v>
      </c>
      <c r="C119" s="1" t="n">
        <v>46135</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17982-2023</t>
        </is>
      </c>
      <c r="B120" s="1" t="n">
        <v>45040</v>
      </c>
      <c r="C120" s="1" t="n">
        <v>46135</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29870-2021</t>
        </is>
      </c>
      <c r="B121" s="1" t="n">
        <v>44362</v>
      </c>
      <c r="C121" s="1" t="n">
        <v>46135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46135</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46135</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46135</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46135</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63162-2025</t>
        </is>
      </c>
      <c r="B127" s="1" t="n">
        <v>46010.37629629629</v>
      </c>
      <c r="C127" s="1" t="n">
        <v>46135</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62760-2025</t>
        </is>
      </c>
      <c r="B128" s="1" t="n">
        <v>46008</v>
      </c>
      <c r="C128" s="1" t="n">
        <v>46135</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43219-2023</t>
        </is>
      </c>
      <c r="B129" s="1" t="n">
        <v>45183</v>
      </c>
      <c r="C129" s="1" t="n">
        <v>46135</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16997-2026</t>
        </is>
      </c>
      <c r="B130" s="1" t="n">
        <v>46114.42539351852</v>
      </c>
      <c r="C130" s="1" t="n">
        <v>46135</v>
      </c>
      <c r="D130" t="inlineStr">
        <is>
          <t>GOTLANDS LÄN</t>
        </is>
      </c>
      <c r="E130" t="inlineStr">
        <is>
          <t>GOTLAND</t>
        </is>
      </c>
      <c r="G130" t="n">
        <v>0.7</v>
      </c>
      <c r="H130" t="n">
        <v>0</v>
      </c>
      <c r="I130" t="n">
        <v>1</v>
      </c>
      <c r="J130" t="n">
        <v>0</v>
      </c>
      <c r="K130" t="n">
        <v>0</v>
      </c>
      <c r="L130" t="n">
        <v>1</v>
      </c>
      <c r="M130" t="n">
        <v>0</v>
      </c>
      <c r="N130" t="n">
        <v>0</v>
      </c>
      <c r="O130" t="n">
        <v>1</v>
      </c>
      <c r="P130" t="n">
        <v>1</v>
      </c>
      <c r="Q130" t="n">
        <v>2</v>
      </c>
      <c r="R130" s="2" t="inlineStr">
        <is>
          <t>Ask
Hasselticka</t>
        </is>
      </c>
      <c r="S130">
        <f>HYPERLINK("https://klasma.github.io/Logging_0980/artfynd/A 16997-2026 artfynd.xlsx", "A 16997-2026")</f>
        <v/>
      </c>
      <c r="T130">
        <f>HYPERLINK("https://klasma.github.io/Logging_0980/kartor/A 16997-2026 karta.png", "A 16997-2026")</f>
        <v/>
      </c>
      <c r="V130">
        <f>HYPERLINK("https://klasma.github.io/Logging_0980/klagomål/A 16997-2026 FSC-klagomål.docx", "A 16997-2026")</f>
        <v/>
      </c>
      <c r="W130">
        <f>HYPERLINK("https://klasma.github.io/Logging_0980/klagomålsmail/A 16997-2026 FSC-klagomål mail.docx", "A 16997-2026")</f>
        <v/>
      </c>
      <c r="X130">
        <f>HYPERLINK("https://klasma.github.io/Logging_0980/tillsyn/A 16997-2026 tillsynsbegäran.docx", "A 16997-2026")</f>
        <v/>
      </c>
      <c r="Y130">
        <f>HYPERLINK("https://klasma.github.io/Logging_0980/tillsynsmail/A 16997-2026 tillsynsbegäran mail.docx", "A 16997-2026")</f>
        <v/>
      </c>
    </row>
    <row r="131" ht="15" customHeight="1">
      <c r="A131" t="inlineStr">
        <is>
          <t>A 28276-2024</t>
        </is>
      </c>
      <c r="B131" s="1" t="n">
        <v>45477</v>
      </c>
      <c r="C131" s="1" t="n">
        <v>46135</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28276-2024 artfynd.xlsx", "A 28276-2024")</f>
        <v/>
      </c>
      <c r="T131">
        <f>HYPERLINK("https://klasma.github.io/Logging_0980/kartor/A 28276-2024 karta.png", "A 28276-2024")</f>
        <v/>
      </c>
      <c r="V131">
        <f>HYPERLINK("https://klasma.github.io/Logging_0980/klagomål/A 28276-2024 FSC-klagomål.docx", "A 28276-2024")</f>
        <v/>
      </c>
      <c r="W131">
        <f>HYPERLINK("https://klasma.github.io/Logging_0980/klagomålsmail/A 28276-2024 FSC-klagomål mail.docx", "A 28276-2024")</f>
        <v/>
      </c>
      <c r="X131">
        <f>HYPERLINK("https://klasma.github.io/Logging_0980/tillsyn/A 28276-2024 tillsynsbegäran.docx", "A 28276-2024")</f>
        <v/>
      </c>
      <c r="Y131">
        <f>HYPERLINK("https://klasma.github.io/Logging_0980/tillsynsmail/A 28276-2024 tillsynsbegäran mail.docx", "A 28276-2024")</f>
        <v/>
      </c>
    </row>
    <row r="132" ht="15" customHeight="1">
      <c r="A132" t="inlineStr">
        <is>
          <t>A 20429-2025</t>
        </is>
      </c>
      <c r="B132" s="1" t="n">
        <v>45775.47728009259</v>
      </c>
      <c r="C132" s="1" t="n">
        <v>46135</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21879-2025</t>
        </is>
      </c>
      <c r="B133" s="1" t="n">
        <v>45784.40533564815</v>
      </c>
      <c r="C133" s="1" t="n">
        <v>46135</v>
      </c>
      <c r="D133" t="inlineStr">
        <is>
          <t>GOTLANDS LÄN</t>
        </is>
      </c>
      <c r="E133" t="inlineStr">
        <is>
          <t>GOTLAND</t>
        </is>
      </c>
      <c r="G133" t="n">
        <v>11.1</v>
      </c>
      <c r="H133" t="n">
        <v>0</v>
      </c>
      <c r="I133" t="n">
        <v>1</v>
      </c>
      <c r="J133" t="n">
        <v>0</v>
      </c>
      <c r="K133" t="n">
        <v>0</v>
      </c>
      <c r="L133" t="n">
        <v>1</v>
      </c>
      <c r="M133" t="n">
        <v>0</v>
      </c>
      <c r="N133" t="n">
        <v>0</v>
      </c>
      <c r="O133" t="n">
        <v>1</v>
      </c>
      <c r="P133" t="n">
        <v>1</v>
      </c>
      <c r="Q133" t="n">
        <v>2</v>
      </c>
      <c r="R133" s="2" t="inlineStr">
        <is>
          <t>Ask
Murgröna</t>
        </is>
      </c>
      <c r="S133">
        <f>HYPERLINK("https://klasma.github.io/Logging_0980/artfynd/A 21879-2025 artfynd.xlsx", "A 21879-2025")</f>
        <v/>
      </c>
      <c r="T133">
        <f>HYPERLINK("https://klasma.github.io/Logging_0980/kartor/A 21879-2025 karta.png", "A 21879-2025")</f>
        <v/>
      </c>
      <c r="V133">
        <f>HYPERLINK("https://klasma.github.io/Logging_0980/klagomål/A 21879-2025 FSC-klagomål.docx", "A 21879-2025")</f>
        <v/>
      </c>
      <c r="W133">
        <f>HYPERLINK("https://klasma.github.io/Logging_0980/klagomålsmail/A 21879-2025 FSC-klagomål mail.docx", "A 21879-2025")</f>
        <v/>
      </c>
      <c r="X133">
        <f>HYPERLINK("https://klasma.github.io/Logging_0980/tillsyn/A 21879-2025 tillsynsbegäran.docx", "A 21879-2025")</f>
        <v/>
      </c>
      <c r="Y133">
        <f>HYPERLINK("https://klasma.github.io/Logging_0980/tillsynsmail/A 21879-2025 tillsynsbegäran mail.docx", "A 21879-2025")</f>
        <v/>
      </c>
    </row>
    <row r="134" ht="15" customHeight="1">
      <c r="A134" t="inlineStr">
        <is>
          <t>A 7070-2022</t>
        </is>
      </c>
      <c r="B134" s="1" t="n">
        <v>44603</v>
      </c>
      <c r="C134" s="1" t="n">
        <v>46135</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12914-2025</t>
        </is>
      </c>
      <c r="B135" s="1" t="n">
        <v>45733</v>
      </c>
      <c r="C135" s="1" t="n">
        <v>46135</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46135</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46135</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46135</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46362-2021</t>
        </is>
      </c>
      <c r="B139" s="1" t="n">
        <v>44442</v>
      </c>
      <c r="C139" s="1" t="n">
        <v>46135</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7637-2025</t>
        </is>
      </c>
      <c r="B140" s="1" t="n">
        <v>45705.77181712963</v>
      </c>
      <c r="C140" s="1" t="n">
        <v>46135</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12924-2025</t>
        </is>
      </c>
      <c r="B141" s="1" t="n">
        <v>45734</v>
      </c>
      <c r="C141" s="1" t="n">
        <v>46135</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24245-2022</t>
        </is>
      </c>
      <c r="B142" s="1" t="n">
        <v>44725</v>
      </c>
      <c r="C142" s="1" t="n">
        <v>46135</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46135</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61796-2022</t>
        </is>
      </c>
      <c r="B144" s="1" t="n">
        <v>44917</v>
      </c>
      <c r="C144" s="1" t="n">
        <v>46135</v>
      </c>
      <c r="D144" t="inlineStr">
        <is>
          <t>GOTLANDS LÄN</t>
        </is>
      </c>
      <c r="E144" t="inlineStr">
        <is>
          <t>GOTLAND</t>
        </is>
      </c>
      <c r="G144" t="n">
        <v>1.5</v>
      </c>
      <c r="H144" t="n">
        <v>1</v>
      </c>
      <c r="I144" t="n">
        <v>0</v>
      </c>
      <c r="J144" t="n">
        <v>0</v>
      </c>
      <c r="K144" t="n">
        <v>0</v>
      </c>
      <c r="L144" t="n">
        <v>0</v>
      </c>
      <c r="M144" t="n">
        <v>0</v>
      </c>
      <c r="N144" t="n">
        <v>0</v>
      </c>
      <c r="O144" t="n">
        <v>0</v>
      </c>
      <c r="P144" t="n">
        <v>0</v>
      </c>
      <c r="Q144" t="n">
        <v>1</v>
      </c>
      <c r="R144" s="2" t="inlineStr">
        <is>
          <t>Skogsduva</t>
        </is>
      </c>
      <c r="S144">
        <f>HYPERLINK("https://klasma.github.io/Logging_0980/artfynd/A 61796-2022 artfynd.xlsx", "A 61796-2022")</f>
        <v/>
      </c>
      <c r="T144">
        <f>HYPERLINK("https://klasma.github.io/Logging_0980/kartor/A 61796-2022 karta.png", "A 61796-2022")</f>
        <v/>
      </c>
      <c r="V144">
        <f>HYPERLINK("https://klasma.github.io/Logging_0980/klagomål/A 61796-2022 FSC-klagomål.docx", "A 61796-2022")</f>
        <v/>
      </c>
      <c r="W144">
        <f>HYPERLINK("https://klasma.github.io/Logging_0980/klagomålsmail/A 61796-2022 FSC-klagomål mail.docx", "A 61796-2022")</f>
        <v/>
      </c>
      <c r="X144">
        <f>HYPERLINK("https://klasma.github.io/Logging_0980/tillsyn/A 61796-2022 tillsynsbegäran.docx", "A 61796-2022")</f>
        <v/>
      </c>
      <c r="Y144">
        <f>HYPERLINK("https://klasma.github.io/Logging_0980/tillsynsmail/A 61796-2022 tillsynsbegäran mail.docx", "A 61796-2022")</f>
        <v/>
      </c>
      <c r="Z144">
        <f>HYPERLINK("https://klasma.github.io/Logging_0980/fåglar/A 61796-2022 prioriterade fågelarter.docx", "A 61796-2022")</f>
        <v/>
      </c>
    </row>
    <row r="145" ht="15" customHeight="1">
      <c r="A145" t="inlineStr">
        <is>
          <t>A 39812-2025</t>
        </is>
      </c>
      <c r="B145" s="1" t="n">
        <v>45891</v>
      </c>
      <c r="C145" s="1" t="n">
        <v>46135</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10218-2025</t>
        </is>
      </c>
      <c r="B146" s="1" t="n">
        <v>45720</v>
      </c>
      <c r="C146" s="1" t="n">
        <v>46135</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12379-2024</t>
        </is>
      </c>
      <c r="B147" s="1" t="n">
        <v>45379.28155092592</v>
      </c>
      <c r="C147" s="1" t="n">
        <v>46135</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64700-2021</t>
        </is>
      </c>
      <c r="B148" s="1" t="n">
        <v>44511</v>
      </c>
      <c r="C148" s="1" t="n">
        <v>46135</v>
      </c>
      <c r="D148" t="inlineStr">
        <is>
          <t>GOTLANDS LÄN</t>
        </is>
      </c>
      <c r="E148" t="inlineStr">
        <is>
          <t>GOTLAND</t>
        </is>
      </c>
      <c r="F148" t="inlineStr">
        <is>
          <t>Naturvårdsverket</t>
        </is>
      </c>
      <c r="G148" t="n">
        <v>2.4</v>
      </c>
      <c r="H148" t="n">
        <v>1</v>
      </c>
      <c r="I148" t="n">
        <v>0</v>
      </c>
      <c r="J148" t="n">
        <v>0</v>
      </c>
      <c r="K148" t="n">
        <v>1</v>
      </c>
      <c r="L148" t="n">
        <v>0</v>
      </c>
      <c r="M148" t="n">
        <v>0</v>
      </c>
      <c r="N148" t="n">
        <v>0</v>
      </c>
      <c r="O148" t="n">
        <v>1</v>
      </c>
      <c r="P148" t="n">
        <v>1</v>
      </c>
      <c r="Q148" t="n">
        <v>1</v>
      </c>
      <c r="R148" s="2" t="inlineStr">
        <is>
          <t>Kalkdån</t>
        </is>
      </c>
      <c r="S148">
        <f>HYPERLINK("https://klasma.github.io/Logging_0980/artfynd/A 64700-2021 artfynd.xlsx", "A 64700-2021")</f>
        <v/>
      </c>
      <c r="T148">
        <f>HYPERLINK("https://klasma.github.io/Logging_0980/kartor/A 64700-2021 karta.png", "A 64700-2021")</f>
        <v/>
      </c>
      <c r="V148">
        <f>HYPERLINK("https://klasma.github.io/Logging_0980/klagomål/A 64700-2021 FSC-klagomål.docx", "A 64700-2021")</f>
        <v/>
      </c>
      <c r="W148">
        <f>HYPERLINK("https://klasma.github.io/Logging_0980/klagomålsmail/A 64700-2021 FSC-klagomål mail.docx", "A 64700-2021")</f>
        <v/>
      </c>
      <c r="X148">
        <f>HYPERLINK("https://klasma.github.io/Logging_0980/tillsyn/A 64700-2021 tillsynsbegäran.docx", "A 64700-2021")</f>
        <v/>
      </c>
      <c r="Y148">
        <f>HYPERLINK("https://klasma.github.io/Logging_0980/tillsynsmail/A 64700-2021 tillsynsbegäran mail.docx", "A 64700-2021")</f>
        <v/>
      </c>
    </row>
    <row r="149" ht="15" customHeight="1">
      <c r="A149" t="inlineStr">
        <is>
          <t>A 35574-2024</t>
        </is>
      </c>
      <c r="B149" s="1" t="n">
        <v>45531</v>
      </c>
      <c r="C149" s="1" t="n">
        <v>46135</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37591-2023</t>
        </is>
      </c>
      <c r="B150" s="1" t="n">
        <v>45159</v>
      </c>
      <c r="C150" s="1" t="n">
        <v>46135</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15637-2024</t>
        </is>
      </c>
      <c r="B151" s="1" t="n">
        <v>45403.6684837963</v>
      </c>
      <c r="C151" s="1" t="n">
        <v>46135</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35467-2021</t>
        </is>
      </c>
      <c r="B152" s="1" t="n">
        <v>44385</v>
      </c>
      <c r="C152" s="1" t="n">
        <v>46135</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46135</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10013-2026</t>
        </is>
      </c>
      <c r="B154" s="1" t="n">
        <v>46073</v>
      </c>
      <c r="C154" s="1" t="n">
        <v>46135</v>
      </c>
      <c r="D154" t="inlineStr">
        <is>
          <t>GOTLANDS LÄN</t>
        </is>
      </c>
      <c r="E154" t="inlineStr">
        <is>
          <t>GOTLAND</t>
        </is>
      </c>
      <c r="G154" t="n">
        <v>10.5</v>
      </c>
      <c r="H154" t="n">
        <v>0</v>
      </c>
      <c r="I154" t="n">
        <v>0</v>
      </c>
      <c r="J154" t="n">
        <v>0</v>
      </c>
      <c r="K154" t="n">
        <v>1</v>
      </c>
      <c r="L154" t="n">
        <v>0</v>
      </c>
      <c r="M154" t="n">
        <v>0</v>
      </c>
      <c r="N154" t="n">
        <v>0</v>
      </c>
      <c r="O154" t="n">
        <v>1</v>
      </c>
      <c r="P154" t="n">
        <v>1</v>
      </c>
      <c r="Q154" t="n">
        <v>1</v>
      </c>
      <c r="R154" s="2" t="inlineStr">
        <is>
          <t>Skogskorn</t>
        </is>
      </c>
      <c r="S154">
        <f>HYPERLINK("https://klasma.github.io/Logging_0980/artfynd/A 10013-2026 artfynd.xlsx", "A 10013-2026")</f>
        <v/>
      </c>
      <c r="T154">
        <f>HYPERLINK("https://klasma.github.io/Logging_0980/kartor/A 10013-2026 karta.png", "A 10013-2026")</f>
        <v/>
      </c>
      <c r="V154">
        <f>HYPERLINK("https://klasma.github.io/Logging_0980/klagomål/A 10013-2026 FSC-klagomål.docx", "A 10013-2026")</f>
        <v/>
      </c>
      <c r="W154">
        <f>HYPERLINK("https://klasma.github.io/Logging_0980/klagomålsmail/A 10013-2026 FSC-klagomål mail.docx", "A 10013-2026")</f>
        <v/>
      </c>
      <c r="X154">
        <f>HYPERLINK("https://klasma.github.io/Logging_0980/tillsyn/A 10013-2026 tillsynsbegäran.docx", "A 10013-2026")</f>
        <v/>
      </c>
      <c r="Y154">
        <f>HYPERLINK("https://klasma.github.io/Logging_0980/tillsynsmail/A 10013-2026 tillsynsbegäran mail.docx", "A 10013-2026")</f>
        <v/>
      </c>
    </row>
    <row r="155" ht="15" customHeight="1">
      <c r="A155" t="inlineStr">
        <is>
          <t>A 63149-2025</t>
        </is>
      </c>
      <c r="B155" s="1" t="n">
        <v>46010</v>
      </c>
      <c r="C155" s="1" t="n">
        <v>46135</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Anisspindling</t>
        </is>
      </c>
      <c r="S155">
        <f>HYPERLINK("https://klasma.github.io/Logging_0980/artfynd/A 63149-2025 artfynd.xlsx", "A 63149-2025")</f>
        <v/>
      </c>
      <c r="T155">
        <f>HYPERLINK("https://klasma.github.io/Logging_0980/kartor/A 63149-2025 karta.png", "A 63149-2025")</f>
        <v/>
      </c>
      <c r="V155">
        <f>HYPERLINK("https://klasma.github.io/Logging_0980/klagomål/A 63149-2025 FSC-klagomål.docx", "A 63149-2025")</f>
        <v/>
      </c>
      <c r="W155">
        <f>HYPERLINK("https://klasma.github.io/Logging_0980/klagomålsmail/A 63149-2025 FSC-klagomål mail.docx", "A 63149-2025")</f>
        <v/>
      </c>
      <c r="X155">
        <f>HYPERLINK("https://klasma.github.io/Logging_0980/tillsyn/A 63149-2025 tillsynsbegäran.docx", "A 63149-2025")</f>
        <v/>
      </c>
      <c r="Y155">
        <f>HYPERLINK("https://klasma.github.io/Logging_0980/tillsynsmail/A 63149-2025 tillsynsbegäran mail.docx", "A 63149-2025")</f>
        <v/>
      </c>
    </row>
    <row r="156" ht="15" customHeight="1">
      <c r="A156" t="inlineStr">
        <is>
          <t>A 17854-2026</t>
        </is>
      </c>
      <c r="B156" s="1" t="n">
        <v>46121</v>
      </c>
      <c r="C156" s="1" t="n">
        <v>46135</v>
      </c>
      <c r="D156" t="inlineStr">
        <is>
          <t>GOTLANDS LÄN</t>
        </is>
      </c>
      <c r="E156" t="inlineStr">
        <is>
          <t>GOTLAND</t>
        </is>
      </c>
      <c r="G156" t="n">
        <v>6.6</v>
      </c>
      <c r="H156" t="n">
        <v>0</v>
      </c>
      <c r="I156" t="n">
        <v>1</v>
      </c>
      <c r="J156" t="n">
        <v>0</v>
      </c>
      <c r="K156" t="n">
        <v>0</v>
      </c>
      <c r="L156" t="n">
        <v>0</v>
      </c>
      <c r="M156" t="n">
        <v>0</v>
      </c>
      <c r="N156" t="n">
        <v>0</v>
      </c>
      <c r="O156" t="n">
        <v>0</v>
      </c>
      <c r="P156" t="n">
        <v>0</v>
      </c>
      <c r="Q156" t="n">
        <v>1</v>
      </c>
      <c r="R156" s="2" t="inlineStr">
        <is>
          <t>Blå slemspindling</t>
        </is>
      </c>
      <c r="S156">
        <f>HYPERLINK("https://klasma.github.io/Logging_0980/artfynd/A 17854-2026 artfynd.xlsx", "A 17854-2026")</f>
        <v/>
      </c>
      <c r="T156">
        <f>HYPERLINK("https://klasma.github.io/Logging_0980/kartor/A 17854-2026 karta.png", "A 17854-2026")</f>
        <v/>
      </c>
      <c r="V156">
        <f>HYPERLINK("https://klasma.github.io/Logging_0980/klagomål/A 17854-2026 FSC-klagomål.docx", "A 17854-2026")</f>
        <v/>
      </c>
      <c r="W156">
        <f>HYPERLINK("https://klasma.github.io/Logging_0980/klagomålsmail/A 17854-2026 FSC-klagomål mail.docx", "A 17854-2026")</f>
        <v/>
      </c>
      <c r="X156">
        <f>HYPERLINK("https://klasma.github.io/Logging_0980/tillsyn/A 17854-2026 tillsynsbegäran.docx", "A 17854-2026")</f>
        <v/>
      </c>
      <c r="Y156">
        <f>HYPERLINK("https://klasma.github.io/Logging_0980/tillsynsmail/A 17854-2026 tillsynsbegäran mail.docx", "A 17854-2026")</f>
        <v/>
      </c>
    </row>
    <row r="157" ht="15" customHeight="1">
      <c r="A157" t="inlineStr">
        <is>
          <t>A 49847-2023</t>
        </is>
      </c>
      <c r="B157" s="1" t="n">
        <v>45212</v>
      </c>
      <c r="C157" s="1" t="n">
        <v>46135</v>
      </c>
      <c r="D157" t="inlineStr">
        <is>
          <t>GOTLANDS LÄN</t>
        </is>
      </c>
      <c r="E157" t="inlineStr">
        <is>
          <t>GOTLAND</t>
        </is>
      </c>
      <c r="G157" t="n">
        <v>35.2</v>
      </c>
      <c r="H157" t="n">
        <v>0</v>
      </c>
      <c r="I157" t="n">
        <v>0</v>
      </c>
      <c r="J157" t="n">
        <v>0</v>
      </c>
      <c r="K157" t="n">
        <v>1</v>
      </c>
      <c r="L157" t="n">
        <v>0</v>
      </c>
      <c r="M157" t="n">
        <v>0</v>
      </c>
      <c r="N157" t="n">
        <v>0</v>
      </c>
      <c r="O157" t="n">
        <v>1</v>
      </c>
      <c r="P157" t="n">
        <v>1</v>
      </c>
      <c r="Q157" t="n">
        <v>1</v>
      </c>
      <c r="R157" s="2" t="inlineStr">
        <is>
          <t>Strandviol</t>
        </is>
      </c>
      <c r="S157">
        <f>HYPERLINK("https://klasma.github.io/Logging_0980/artfynd/A 49847-2023 artfynd.xlsx", "A 49847-2023")</f>
        <v/>
      </c>
      <c r="T157">
        <f>HYPERLINK("https://klasma.github.io/Logging_0980/kartor/A 49847-2023 karta.png", "A 49847-2023")</f>
        <v/>
      </c>
      <c r="V157">
        <f>HYPERLINK("https://klasma.github.io/Logging_0980/klagomål/A 49847-2023 FSC-klagomål.docx", "A 49847-2023")</f>
        <v/>
      </c>
      <c r="W157">
        <f>HYPERLINK("https://klasma.github.io/Logging_0980/klagomålsmail/A 49847-2023 FSC-klagomål mail.docx", "A 49847-2023")</f>
        <v/>
      </c>
      <c r="X157">
        <f>HYPERLINK("https://klasma.github.io/Logging_0980/tillsyn/A 49847-2023 tillsynsbegäran.docx", "A 49847-2023")</f>
        <v/>
      </c>
      <c r="Y157">
        <f>HYPERLINK("https://klasma.github.io/Logging_0980/tillsynsmail/A 49847-2023 tillsynsbegäran mail.docx", "A 49847-2023")</f>
        <v/>
      </c>
    </row>
    <row r="158" ht="15" customHeight="1">
      <c r="A158" t="inlineStr">
        <is>
          <t>A 11708-2026</t>
        </is>
      </c>
      <c r="B158" s="1" t="n">
        <v>46084</v>
      </c>
      <c r="C158" s="1" t="n">
        <v>46135</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18036-2026</t>
        </is>
      </c>
      <c r="B159" s="1" t="n">
        <v>46125.39576388889</v>
      </c>
      <c r="C159" s="1" t="n">
        <v>46135</v>
      </c>
      <c r="D159" t="inlineStr">
        <is>
          <t>GOTLANDS LÄN</t>
        </is>
      </c>
      <c r="E159" t="inlineStr">
        <is>
          <t>GOTLAND</t>
        </is>
      </c>
      <c r="G159" t="n">
        <v>1.8</v>
      </c>
      <c r="H159" t="n">
        <v>0</v>
      </c>
      <c r="I159" t="n">
        <v>0</v>
      </c>
      <c r="J159" t="n">
        <v>1</v>
      </c>
      <c r="K159" t="n">
        <v>0</v>
      </c>
      <c r="L159" t="n">
        <v>0</v>
      </c>
      <c r="M159" t="n">
        <v>0</v>
      </c>
      <c r="N159" t="n">
        <v>0</v>
      </c>
      <c r="O159" t="n">
        <v>1</v>
      </c>
      <c r="P159" t="n">
        <v>0</v>
      </c>
      <c r="Q159" t="n">
        <v>1</v>
      </c>
      <c r="R159" s="2" t="inlineStr">
        <is>
          <t>Sommarfibbla</t>
        </is>
      </c>
      <c r="S159">
        <f>HYPERLINK("https://klasma.github.io/Logging_0980/artfynd/A 18036-2026 artfynd.xlsx", "A 18036-2026")</f>
        <v/>
      </c>
      <c r="T159">
        <f>HYPERLINK("https://klasma.github.io/Logging_0980/kartor/A 18036-2026 karta.png", "A 18036-2026")</f>
        <v/>
      </c>
      <c r="V159">
        <f>HYPERLINK("https://klasma.github.io/Logging_0980/klagomål/A 18036-2026 FSC-klagomål.docx", "A 18036-2026")</f>
        <v/>
      </c>
      <c r="W159">
        <f>HYPERLINK("https://klasma.github.io/Logging_0980/klagomålsmail/A 18036-2026 FSC-klagomål mail.docx", "A 18036-2026")</f>
        <v/>
      </c>
      <c r="X159">
        <f>HYPERLINK("https://klasma.github.io/Logging_0980/tillsyn/A 18036-2026 tillsynsbegäran.docx", "A 18036-2026")</f>
        <v/>
      </c>
      <c r="Y159">
        <f>HYPERLINK("https://klasma.github.io/Logging_0980/tillsynsmail/A 18036-2026 tillsynsbegäran mail.docx", "A 18036-2026")</f>
        <v/>
      </c>
    </row>
    <row r="160" ht="15" customHeight="1">
      <c r="A160" t="inlineStr">
        <is>
          <t>A 44308-2021</t>
        </is>
      </c>
      <c r="B160" s="1" t="n">
        <v>44434</v>
      </c>
      <c r="C160" s="1" t="n">
        <v>46135</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49726-2025</t>
        </is>
      </c>
      <c r="B161" s="1" t="n">
        <v>45939.84466435185</v>
      </c>
      <c r="C161" s="1" t="n">
        <v>46135</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46527-2023</t>
        </is>
      </c>
      <c r="B162" s="1" t="n">
        <v>45197</v>
      </c>
      <c r="C162" s="1" t="n">
        <v>46135</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10995-2023</t>
        </is>
      </c>
      <c r="B163" s="1" t="n">
        <v>44986</v>
      </c>
      <c r="C163" s="1" t="n">
        <v>46135</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63576-2021</t>
        </is>
      </c>
      <c r="B164" s="1" t="n">
        <v>44508</v>
      </c>
      <c r="C164" s="1" t="n">
        <v>46135</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21466-2025</t>
        </is>
      </c>
      <c r="B165" s="1" t="n">
        <v>45782</v>
      </c>
      <c r="C165" s="1" t="n">
        <v>46135</v>
      </c>
      <c r="D165" t="inlineStr">
        <is>
          <t>GOTLANDS LÄN</t>
        </is>
      </c>
      <c r="E165" t="inlineStr">
        <is>
          <t>GOTLAND</t>
        </is>
      </c>
      <c r="F165" t="inlineStr">
        <is>
          <t>Övriga statliga verk och myndigheter</t>
        </is>
      </c>
      <c r="G165" t="n">
        <v>1.7</v>
      </c>
      <c r="H165" t="n">
        <v>1</v>
      </c>
      <c r="I165" t="n">
        <v>0</v>
      </c>
      <c r="J165" t="n">
        <v>0</v>
      </c>
      <c r="K165" t="n">
        <v>0</v>
      </c>
      <c r="L165" t="n">
        <v>0</v>
      </c>
      <c r="M165" t="n">
        <v>0</v>
      </c>
      <c r="N165" t="n">
        <v>0</v>
      </c>
      <c r="O165" t="n">
        <v>0</v>
      </c>
      <c r="P165" t="n">
        <v>0</v>
      </c>
      <c r="Q165" t="n">
        <v>1</v>
      </c>
      <c r="R165" s="2" t="inlineStr">
        <is>
          <t>Blåsippa</t>
        </is>
      </c>
      <c r="S165">
        <f>HYPERLINK("https://klasma.github.io/Logging_0980/artfynd/A 21466-2025 artfynd.xlsx", "A 21466-2025")</f>
        <v/>
      </c>
      <c r="T165">
        <f>HYPERLINK("https://klasma.github.io/Logging_0980/kartor/A 21466-2025 karta.png", "A 21466-2025")</f>
        <v/>
      </c>
      <c r="V165">
        <f>HYPERLINK("https://klasma.github.io/Logging_0980/klagomål/A 21466-2025 FSC-klagomål.docx", "A 21466-2025")</f>
        <v/>
      </c>
      <c r="W165">
        <f>HYPERLINK("https://klasma.github.io/Logging_0980/klagomålsmail/A 21466-2025 FSC-klagomål mail.docx", "A 21466-2025")</f>
        <v/>
      </c>
      <c r="X165">
        <f>HYPERLINK("https://klasma.github.io/Logging_0980/tillsyn/A 21466-2025 tillsynsbegäran.docx", "A 21466-2025")</f>
        <v/>
      </c>
      <c r="Y165">
        <f>HYPERLINK("https://klasma.github.io/Logging_0980/tillsynsmail/A 21466-2025 tillsynsbegäran mail.docx", "A 21466-2025")</f>
        <v/>
      </c>
    </row>
    <row r="166" ht="15" customHeight="1">
      <c r="A166" t="inlineStr">
        <is>
          <t>A 6303-2024</t>
        </is>
      </c>
      <c r="B166" s="1" t="n">
        <v>45338.35376157407</v>
      </c>
      <c r="C166" s="1" t="n">
        <v>46135</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62552-2022</t>
        </is>
      </c>
      <c r="B167" s="1" t="n">
        <v>44924</v>
      </c>
      <c r="C167" s="1" t="n">
        <v>46135</v>
      </c>
      <c r="D167" t="inlineStr">
        <is>
          <t>GOTLANDS LÄN</t>
        </is>
      </c>
      <c r="E167" t="inlineStr">
        <is>
          <t>GOTLAND</t>
        </is>
      </c>
      <c r="G167" t="n">
        <v>1.6</v>
      </c>
      <c r="H167" t="n">
        <v>0</v>
      </c>
      <c r="I167" t="n">
        <v>0</v>
      </c>
      <c r="J167" t="n">
        <v>1</v>
      </c>
      <c r="K167" t="n">
        <v>0</v>
      </c>
      <c r="L167" t="n">
        <v>0</v>
      </c>
      <c r="M167" t="n">
        <v>0</v>
      </c>
      <c r="N167" t="n">
        <v>0</v>
      </c>
      <c r="O167" t="n">
        <v>1</v>
      </c>
      <c r="P167" t="n">
        <v>0</v>
      </c>
      <c r="Q167" t="n">
        <v>1</v>
      </c>
      <c r="R167" s="2" t="inlineStr">
        <is>
          <t>Äggspindling</t>
        </is>
      </c>
      <c r="S167">
        <f>HYPERLINK("https://klasma.github.io/Logging_0980/artfynd/A 62552-2022 artfynd.xlsx", "A 62552-2022")</f>
        <v/>
      </c>
      <c r="T167">
        <f>HYPERLINK("https://klasma.github.io/Logging_0980/kartor/A 62552-2022 karta.png", "A 62552-2022")</f>
        <v/>
      </c>
      <c r="V167">
        <f>HYPERLINK("https://klasma.github.io/Logging_0980/klagomål/A 62552-2022 FSC-klagomål.docx", "A 62552-2022")</f>
        <v/>
      </c>
      <c r="W167">
        <f>HYPERLINK("https://klasma.github.io/Logging_0980/klagomålsmail/A 62552-2022 FSC-klagomål mail.docx", "A 62552-2022")</f>
        <v/>
      </c>
      <c r="X167">
        <f>HYPERLINK("https://klasma.github.io/Logging_0980/tillsyn/A 62552-2022 tillsynsbegäran.docx", "A 62552-2022")</f>
        <v/>
      </c>
      <c r="Y167">
        <f>HYPERLINK("https://klasma.github.io/Logging_0980/tillsynsmail/A 62552-2022 tillsynsbegäran mail.docx", "A 62552-2022")</f>
        <v/>
      </c>
    </row>
    <row r="168" ht="15" customHeight="1">
      <c r="A168" t="inlineStr">
        <is>
          <t>A 25977-2024</t>
        </is>
      </c>
      <c r="B168" s="1" t="n">
        <v>45467.69356481481</v>
      </c>
      <c r="C168" s="1" t="n">
        <v>46135</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27589-2023</t>
        </is>
      </c>
      <c r="B169" s="1" t="n">
        <v>45097</v>
      </c>
      <c r="C169" s="1" t="n">
        <v>46135</v>
      </c>
      <c r="D169" t="inlineStr">
        <is>
          <t>GOTLANDS LÄN</t>
        </is>
      </c>
      <c r="E169" t="inlineStr">
        <is>
          <t>GOTLAND</t>
        </is>
      </c>
      <c r="G169" t="n">
        <v>5.4</v>
      </c>
      <c r="H169" t="n">
        <v>0</v>
      </c>
      <c r="I169" t="n">
        <v>0</v>
      </c>
      <c r="J169" t="n">
        <v>0</v>
      </c>
      <c r="K169" t="n">
        <v>0</v>
      </c>
      <c r="L169" t="n">
        <v>0</v>
      </c>
      <c r="M169" t="n">
        <v>1</v>
      </c>
      <c r="N169" t="n">
        <v>0</v>
      </c>
      <c r="O169" t="n">
        <v>1</v>
      </c>
      <c r="P169" t="n">
        <v>1</v>
      </c>
      <c r="Q169" t="n">
        <v>1</v>
      </c>
      <c r="R169" s="2" t="inlineStr">
        <is>
          <t>Skogsalm</t>
        </is>
      </c>
      <c r="S169">
        <f>HYPERLINK("https://klasma.github.io/Logging_0980/artfynd/A 27589-2023 artfynd.xlsx", "A 27589-2023")</f>
        <v/>
      </c>
      <c r="T169">
        <f>HYPERLINK("https://klasma.github.io/Logging_0980/kartor/A 27589-2023 karta.png", "A 27589-2023")</f>
        <v/>
      </c>
      <c r="V169">
        <f>HYPERLINK("https://klasma.github.io/Logging_0980/klagomål/A 27589-2023 FSC-klagomål.docx", "A 27589-2023")</f>
        <v/>
      </c>
      <c r="W169">
        <f>HYPERLINK("https://klasma.github.io/Logging_0980/klagomålsmail/A 27589-2023 FSC-klagomål mail.docx", "A 27589-2023")</f>
        <v/>
      </c>
      <c r="X169">
        <f>HYPERLINK("https://klasma.github.io/Logging_0980/tillsyn/A 27589-2023 tillsynsbegäran.docx", "A 27589-2023")</f>
        <v/>
      </c>
      <c r="Y169">
        <f>HYPERLINK("https://klasma.github.io/Logging_0980/tillsynsmail/A 27589-2023 tillsynsbegäran mail.docx", "A 27589-2023")</f>
        <v/>
      </c>
    </row>
    <row r="170" ht="15" customHeight="1">
      <c r="A170" t="inlineStr">
        <is>
          <t>A 10440-2024</t>
        </is>
      </c>
      <c r="B170" s="1" t="n">
        <v>45366.32818287037</v>
      </c>
      <c r="C170" s="1" t="n">
        <v>46135</v>
      </c>
      <c r="D170" t="inlineStr">
        <is>
          <t>GOTLANDS LÄN</t>
        </is>
      </c>
      <c r="E170" t="inlineStr">
        <is>
          <t>GOTLAND</t>
        </is>
      </c>
      <c r="G170" t="n">
        <v>2.5</v>
      </c>
      <c r="H170" t="n">
        <v>1</v>
      </c>
      <c r="I170" t="n">
        <v>0</v>
      </c>
      <c r="J170" t="n">
        <v>1</v>
      </c>
      <c r="K170" t="n">
        <v>0</v>
      </c>
      <c r="L170" t="n">
        <v>0</v>
      </c>
      <c r="M170" t="n">
        <v>0</v>
      </c>
      <c r="N170" t="n">
        <v>0</v>
      </c>
      <c r="O170" t="n">
        <v>1</v>
      </c>
      <c r="P170" t="n">
        <v>0</v>
      </c>
      <c r="Q170" t="n">
        <v>1</v>
      </c>
      <c r="R170" s="2" t="inlineStr">
        <is>
          <t>Mindre hackspett</t>
        </is>
      </c>
      <c r="S170">
        <f>HYPERLINK("https://klasma.github.io/Logging_0980/artfynd/A 10440-2024 artfynd.xlsx", "A 10440-2024")</f>
        <v/>
      </c>
      <c r="T170">
        <f>HYPERLINK("https://klasma.github.io/Logging_0980/kartor/A 10440-2024 karta.png", "A 10440-2024")</f>
        <v/>
      </c>
      <c r="V170">
        <f>HYPERLINK("https://klasma.github.io/Logging_0980/klagomål/A 10440-2024 FSC-klagomål.docx", "A 10440-2024")</f>
        <v/>
      </c>
      <c r="W170">
        <f>HYPERLINK("https://klasma.github.io/Logging_0980/klagomålsmail/A 10440-2024 FSC-klagomål mail.docx", "A 10440-2024")</f>
        <v/>
      </c>
      <c r="X170">
        <f>HYPERLINK("https://klasma.github.io/Logging_0980/tillsyn/A 10440-2024 tillsynsbegäran.docx", "A 10440-2024")</f>
        <v/>
      </c>
      <c r="Y170">
        <f>HYPERLINK("https://klasma.github.io/Logging_0980/tillsynsmail/A 10440-2024 tillsynsbegäran mail.docx", "A 10440-2024")</f>
        <v/>
      </c>
      <c r="Z170">
        <f>HYPERLINK("https://klasma.github.io/Logging_0980/fåglar/A 10440-2024 prioriterade fågelarter.docx", "A 10440-2024")</f>
        <v/>
      </c>
    </row>
    <row r="171" ht="15" customHeight="1">
      <c r="A171" t="inlineStr">
        <is>
          <t>A 65927-2021</t>
        </is>
      </c>
      <c r="B171" s="1" t="n">
        <v>44516</v>
      </c>
      <c r="C171" s="1" t="n">
        <v>46135</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26461-2025</t>
        </is>
      </c>
      <c r="B172" s="1" t="n">
        <v>45807.43337962963</v>
      </c>
      <c r="C172" s="1" t="n">
        <v>46135</v>
      </c>
      <c r="D172" t="inlineStr">
        <is>
          <t>GOTLANDS LÄN</t>
        </is>
      </c>
      <c r="E172" t="inlineStr">
        <is>
          <t>GOTLAND</t>
        </is>
      </c>
      <c r="G172" t="n">
        <v>4.1</v>
      </c>
      <c r="H172" t="n">
        <v>0</v>
      </c>
      <c r="I172" t="n">
        <v>0</v>
      </c>
      <c r="J172" t="n">
        <v>0</v>
      </c>
      <c r="K172" t="n">
        <v>1</v>
      </c>
      <c r="L172" t="n">
        <v>0</v>
      </c>
      <c r="M172" t="n">
        <v>0</v>
      </c>
      <c r="N172" t="n">
        <v>0</v>
      </c>
      <c r="O172" t="n">
        <v>1</v>
      </c>
      <c r="P172" t="n">
        <v>1</v>
      </c>
      <c r="Q172" t="n">
        <v>1</v>
      </c>
      <c r="R172" s="2" t="inlineStr">
        <is>
          <t>Gotlandsmåra</t>
        </is>
      </c>
      <c r="S172">
        <f>HYPERLINK("https://klasma.github.io/Logging_0980/artfynd/A 26461-2025 artfynd.xlsx", "A 26461-2025")</f>
        <v/>
      </c>
      <c r="T172">
        <f>HYPERLINK("https://klasma.github.io/Logging_0980/kartor/A 26461-2025 karta.png", "A 26461-2025")</f>
        <v/>
      </c>
      <c r="V172">
        <f>HYPERLINK("https://klasma.github.io/Logging_0980/klagomål/A 26461-2025 FSC-klagomål.docx", "A 26461-2025")</f>
        <v/>
      </c>
      <c r="W172">
        <f>HYPERLINK("https://klasma.github.io/Logging_0980/klagomålsmail/A 26461-2025 FSC-klagomål mail.docx", "A 26461-2025")</f>
        <v/>
      </c>
      <c r="X172">
        <f>HYPERLINK("https://klasma.github.io/Logging_0980/tillsyn/A 26461-2025 tillsynsbegäran.docx", "A 26461-2025")</f>
        <v/>
      </c>
      <c r="Y172">
        <f>HYPERLINK("https://klasma.github.io/Logging_0980/tillsynsmail/A 26461-2025 tillsynsbegäran mail.docx", "A 26461-2025")</f>
        <v/>
      </c>
    </row>
    <row r="173" ht="15" customHeight="1">
      <c r="A173" t="inlineStr">
        <is>
          <t>A 947-2023</t>
        </is>
      </c>
      <c r="B173" s="1" t="n">
        <v>44934</v>
      </c>
      <c r="C173" s="1" t="n">
        <v>46135</v>
      </c>
      <c r="D173" t="inlineStr">
        <is>
          <t>GOTLANDS LÄN</t>
        </is>
      </c>
      <c r="E173" t="inlineStr">
        <is>
          <t>GOTLAND</t>
        </is>
      </c>
      <c r="G173" t="n">
        <v>0.7</v>
      </c>
      <c r="H173" t="n">
        <v>1</v>
      </c>
      <c r="I173" t="n">
        <v>0</v>
      </c>
      <c r="J173" t="n">
        <v>0</v>
      </c>
      <c r="K173" t="n">
        <v>1</v>
      </c>
      <c r="L173" t="n">
        <v>0</v>
      </c>
      <c r="M173" t="n">
        <v>0</v>
      </c>
      <c r="N173" t="n">
        <v>0</v>
      </c>
      <c r="O173" t="n">
        <v>1</v>
      </c>
      <c r="P173" t="n">
        <v>1</v>
      </c>
      <c r="Q173" t="n">
        <v>1</v>
      </c>
      <c r="R173" s="2" t="inlineStr">
        <is>
          <t>Garderönn</t>
        </is>
      </c>
      <c r="S173">
        <f>HYPERLINK("https://klasma.github.io/Logging_0980/artfynd/A 947-2023 artfynd.xlsx", "A 947-2023")</f>
        <v/>
      </c>
      <c r="T173">
        <f>HYPERLINK("https://klasma.github.io/Logging_0980/kartor/A 947-2023 karta.png", "A 947-2023")</f>
        <v/>
      </c>
      <c r="V173">
        <f>HYPERLINK("https://klasma.github.io/Logging_0980/klagomål/A 947-2023 FSC-klagomål.docx", "A 947-2023")</f>
        <v/>
      </c>
      <c r="W173">
        <f>HYPERLINK("https://klasma.github.io/Logging_0980/klagomålsmail/A 947-2023 FSC-klagomål mail.docx", "A 947-2023")</f>
        <v/>
      </c>
      <c r="X173">
        <f>HYPERLINK("https://klasma.github.io/Logging_0980/tillsyn/A 947-2023 tillsynsbegäran.docx", "A 947-2023")</f>
        <v/>
      </c>
      <c r="Y173">
        <f>HYPERLINK("https://klasma.github.io/Logging_0980/tillsynsmail/A 947-2023 tillsynsbegäran mail.docx", "A 947-2023")</f>
        <v/>
      </c>
    </row>
    <row r="174" ht="15" customHeight="1">
      <c r="A174" t="inlineStr">
        <is>
          <t>A 61561-2023</t>
        </is>
      </c>
      <c r="B174" s="1" t="n">
        <v>45265</v>
      </c>
      <c r="C174" s="1" t="n">
        <v>46135</v>
      </c>
      <c r="D174" t="inlineStr">
        <is>
          <t>GOTLANDS LÄN</t>
        </is>
      </c>
      <c r="E174" t="inlineStr">
        <is>
          <t>GOTLAND</t>
        </is>
      </c>
      <c r="G174" t="n">
        <v>7.4</v>
      </c>
      <c r="H174" t="n">
        <v>0</v>
      </c>
      <c r="I174" t="n">
        <v>0</v>
      </c>
      <c r="J174" t="n">
        <v>1</v>
      </c>
      <c r="K174" t="n">
        <v>0</v>
      </c>
      <c r="L174" t="n">
        <v>0</v>
      </c>
      <c r="M174" t="n">
        <v>0</v>
      </c>
      <c r="N174" t="n">
        <v>0</v>
      </c>
      <c r="O174" t="n">
        <v>1</v>
      </c>
      <c r="P174" t="n">
        <v>0</v>
      </c>
      <c r="Q174" t="n">
        <v>1</v>
      </c>
      <c r="R174" s="2" t="inlineStr">
        <is>
          <t>Loppstarr</t>
        </is>
      </c>
      <c r="S174">
        <f>HYPERLINK("https://klasma.github.io/Logging_0980/artfynd/A 61561-2023 artfynd.xlsx", "A 61561-2023")</f>
        <v/>
      </c>
      <c r="T174">
        <f>HYPERLINK("https://klasma.github.io/Logging_0980/kartor/A 61561-2023 karta.png", "A 61561-2023")</f>
        <v/>
      </c>
      <c r="V174">
        <f>HYPERLINK("https://klasma.github.io/Logging_0980/klagomål/A 61561-2023 FSC-klagomål.docx", "A 61561-2023")</f>
        <v/>
      </c>
      <c r="W174">
        <f>HYPERLINK("https://klasma.github.io/Logging_0980/klagomålsmail/A 61561-2023 FSC-klagomål mail.docx", "A 61561-2023")</f>
        <v/>
      </c>
      <c r="X174">
        <f>HYPERLINK("https://klasma.github.io/Logging_0980/tillsyn/A 61561-2023 tillsynsbegäran.docx", "A 61561-2023")</f>
        <v/>
      </c>
      <c r="Y174">
        <f>HYPERLINK("https://klasma.github.io/Logging_0980/tillsynsmail/A 61561-2023 tillsynsbegäran mail.docx", "A 61561-2023")</f>
        <v/>
      </c>
    </row>
    <row r="175" ht="15" customHeight="1">
      <c r="A175" t="inlineStr">
        <is>
          <t>A 9862-2024</t>
        </is>
      </c>
      <c r="B175" s="1" t="n">
        <v>45363</v>
      </c>
      <c r="C175" s="1" t="n">
        <v>46135</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13482-2026</t>
        </is>
      </c>
      <c r="B176" s="1" t="n">
        <v>46094</v>
      </c>
      <c r="C176" s="1" t="n">
        <v>46135</v>
      </c>
      <c r="D176" t="inlineStr">
        <is>
          <t>GOTLANDS LÄN</t>
        </is>
      </c>
      <c r="E176" t="inlineStr">
        <is>
          <t>GOTLAND</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HYPERLINK("https://klasma.github.io/Logging_0980/artfynd/A 13482-2026 artfynd.xlsx", "A 13482-2026")</f>
        <v/>
      </c>
      <c r="T176">
        <f>HYPERLINK("https://klasma.github.io/Logging_0980/kartor/A 13482-2026 karta.png", "A 13482-2026")</f>
        <v/>
      </c>
      <c r="V176">
        <f>HYPERLINK("https://klasma.github.io/Logging_0980/klagomål/A 13482-2026 FSC-klagomål.docx", "A 13482-2026")</f>
        <v/>
      </c>
      <c r="W176">
        <f>HYPERLINK("https://klasma.github.io/Logging_0980/klagomålsmail/A 13482-2026 FSC-klagomål mail.docx", "A 13482-2026")</f>
        <v/>
      </c>
      <c r="X176">
        <f>HYPERLINK("https://klasma.github.io/Logging_0980/tillsyn/A 13482-2026 tillsynsbegäran.docx", "A 13482-2026")</f>
        <v/>
      </c>
      <c r="Y176">
        <f>HYPERLINK("https://klasma.github.io/Logging_0980/tillsynsmail/A 13482-2026 tillsynsbegäran mail.docx", "A 13482-2026")</f>
        <v/>
      </c>
      <c r="Z176">
        <f>HYPERLINK("https://klasma.github.io/Logging_0980/fåglar/A 13482-2026 prioriterade fågelarter.docx", "A 13482-2026")</f>
        <v/>
      </c>
    </row>
    <row r="177" ht="15" customHeight="1">
      <c r="A177" t="inlineStr">
        <is>
          <t>A 34141-2024</t>
        </is>
      </c>
      <c r="B177" s="1" t="n">
        <v>45524.36229166666</v>
      </c>
      <c r="C177" s="1" t="n">
        <v>46135</v>
      </c>
      <c r="D177" t="inlineStr">
        <is>
          <t>GOTLANDS LÄN</t>
        </is>
      </c>
      <c r="E177" t="inlineStr">
        <is>
          <t>GOTLAND</t>
        </is>
      </c>
      <c r="G177" t="n">
        <v>0.9</v>
      </c>
      <c r="H177" t="n">
        <v>0</v>
      </c>
      <c r="I177" t="n">
        <v>1</v>
      </c>
      <c r="J177" t="n">
        <v>0</v>
      </c>
      <c r="K177" t="n">
        <v>0</v>
      </c>
      <c r="L177" t="n">
        <v>0</v>
      </c>
      <c r="M177" t="n">
        <v>0</v>
      </c>
      <c r="N177" t="n">
        <v>0</v>
      </c>
      <c r="O177" t="n">
        <v>0</v>
      </c>
      <c r="P177" t="n">
        <v>0</v>
      </c>
      <c r="Q177" t="n">
        <v>1</v>
      </c>
      <c r="R177" s="2" t="inlineStr">
        <is>
          <t>Strävlosta</t>
        </is>
      </c>
      <c r="S177">
        <f>HYPERLINK("https://klasma.github.io/Logging_0980/artfynd/A 34141-2024 artfynd.xlsx", "A 34141-2024")</f>
        <v/>
      </c>
      <c r="T177">
        <f>HYPERLINK("https://klasma.github.io/Logging_0980/kartor/A 34141-2024 karta.png", "A 34141-2024")</f>
        <v/>
      </c>
      <c r="V177">
        <f>HYPERLINK("https://klasma.github.io/Logging_0980/klagomål/A 34141-2024 FSC-klagomål.docx", "A 34141-2024")</f>
        <v/>
      </c>
      <c r="W177">
        <f>HYPERLINK("https://klasma.github.io/Logging_0980/klagomålsmail/A 34141-2024 FSC-klagomål mail.docx", "A 34141-2024")</f>
        <v/>
      </c>
      <c r="X177">
        <f>HYPERLINK("https://klasma.github.io/Logging_0980/tillsyn/A 34141-2024 tillsynsbegäran.docx", "A 34141-2024")</f>
        <v/>
      </c>
      <c r="Y177">
        <f>HYPERLINK("https://klasma.github.io/Logging_0980/tillsynsmail/A 34141-2024 tillsynsbegäran mail.docx", "A 34141-2024")</f>
        <v/>
      </c>
    </row>
    <row r="178" ht="15" customHeight="1">
      <c r="A178" t="inlineStr">
        <is>
          <t>A 12324-2025</t>
        </is>
      </c>
      <c r="B178" s="1" t="n">
        <v>45730</v>
      </c>
      <c r="C178" s="1" t="n">
        <v>46135</v>
      </c>
      <c r="D178" t="inlineStr">
        <is>
          <t>GOTLANDS LÄN</t>
        </is>
      </c>
      <c r="E178" t="inlineStr">
        <is>
          <t>GOTLAND</t>
        </is>
      </c>
      <c r="G178" t="n">
        <v>5</v>
      </c>
      <c r="H178" t="n">
        <v>0</v>
      </c>
      <c r="I178" t="n">
        <v>0</v>
      </c>
      <c r="J178" t="n">
        <v>0</v>
      </c>
      <c r="K178" t="n">
        <v>1</v>
      </c>
      <c r="L178" t="n">
        <v>0</v>
      </c>
      <c r="M178" t="n">
        <v>0</v>
      </c>
      <c r="N178" t="n">
        <v>0</v>
      </c>
      <c r="O178" t="n">
        <v>1</v>
      </c>
      <c r="P178" t="n">
        <v>1</v>
      </c>
      <c r="Q178" t="n">
        <v>1</v>
      </c>
      <c r="R178" s="2" t="inlineStr">
        <is>
          <t>Sommarklynne</t>
        </is>
      </c>
      <c r="S178">
        <f>HYPERLINK("https://klasma.github.io/Logging_0980/artfynd/A 12324-2025 artfynd.xlsx", "A 12324-2025")</f>
        <v/>
      </c>
      <c r="T178">
        <f>HYPERLINK("https://klasma.github.io/Logging_0980/kartor/A 12324-2025 karta.png", "A 12324-2025")</f>
        <v/>
      </c>
      <c r="V178">
        <f>HYPERLINK("https://klasma.github.io/Logging_0980/klagomål/A 12324-2025 FSC-klagomål.docx", "A 12324-2025")</f>
        <v/>
      </c>
      <c r="W178">
        <f>HYPERLINK("https://klasma.github.io/Logging_0980/klagomålsmail/A 12324-2025 FSC-klagomål mail.docx", "A 12324-2025")</f>
        <v/>
      </c>
      <c r="X178">
        <f>HYPERLINK("https://klasma.github.io/Logging_0980/tillsyn/A 12324-2025 tillsynsbegäran.docx", "A 12324-2025")</f>
        <v/>
      </c>
      <c r="Y178">
        <f>HYPERLINK("https://klasma.github.io/Logging_0980/tillsynsmail/A 12324-2025 tillsynsbegäran mail.docx", "A 12324-2025")</f>
        <v/>
      </c>
    </row>
    <row r="179" ht="15" customHeight="1">
      <c r="A179" t="inlineStr">
        <is>
          <t>A 2476-2025</t>
        </is>
      </c>
      <c r="B179" s="1" t="n">
        <v>45673</v>
      </c>
      <c r="C179" s="1" t="n">
        <v>46135</v>
      </c>
      <c r="D179" t="inlineStr">
        <is>
          <t>GOTLANDS LÄN</t>
        </is>
      </c>
      <c r="E179" t="inlineStr">
        <is>
          <t>GOTLAND</t>
        </is>
      </c>
      <c r="G179" t="n">
        <v>3.1</v>
      </c>
      <c r="H179" t="n">
        <v>0</v>
      </c>
      <c r="I179" t="n">
        <v>1</v>
      </c>
      <c r="J179" t="n">
        <v>0</v>
      </c>
      <c r="K179" t="n">
        <v>0</v>
      </c>
      <c r="L179" t="n">
        <v>0</v>
      </c>
      <c r="M179" t="n">
        <v>0</v>
      </c>
      <c r="N179" t="n">
        <v>0</v>
      </c>
      <c r="O179" t="n">
        <v>0</v>
      </c>
      <c r="P179" t="n">
        <v>0</v>
      </c>
      <c r="Q179" t="n">
        <v>1</v>
      </c>
      <c r="R179" s="2" t="inlineStr">
        <is>
          <t>Kryddspindling</t>
        </is>
      </c>
      <c r="S179">
        <f>HYPERLINK("https://klasma.github.io/Logging_0980/artfynd/A 2476-2025 artfynd.xlsx", "A 2476-2025")</f>
        <v/>
      </c>
      <c r="T179">
        <f>HYPERLINK("https://klasma.github.io/Logging_0980/kartor/A 2476-2025 karta.png", "A 2476-2025")</f>
        <v/>
      </c>
      <c r="V179">
        <f>HYPERLINK("https://klasma.github.io/Logging_0980/klagomål/A 2476-2025 FSC-klagomål.docx", "A 2476-2025")</f>
        <v/>
      </c>
      <c r="W179">
        <f>HYPERLINK("https://klasma.github.io/Logging_0980/klagomålsmail/A 2476-2025 FSC-klagomål mail.docx", "A 2476-2025")</f>
        <v/>
      </c>
      <c r="X179">
        <f>HYPERLINK("https://klasma.github.io/Logging_0980/tillsyn/A 2476-2025 tillsynsbegäran.docx", "A 2476-2025")</f>
        <v/>
      </c>
      <c r="Y179">
        <f>HYPERLINK("https://klasma.github.io/Logging_0980/tillsynsmail/A 2476-2025 tillsynsbegäran mail.docx", "A 2476-2025")</f>
        <v/>
      </c>
    </row>
    <row r="180" ht="15" customHeight="1">
      <c r="A180" t="inlineStr">
        <is>
          <t>A 44304-2021</t>
        </is>
      </c>
      <c r="B180" s="1" t="n">
        <v>44434</v>
      </c>
      <c r="C180" s="1" t="n">
        <v>46135</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Svinrot</t>
        </is>
      </c>
      <c r="S180">
        <f>HYPERLINK("https://klasma.github.io/Logging_0980/artfynd/A 44304-2021 artfynd.xlsx", "A 44304-2021")</f>
        <v/>
      </c>
      <c r="T180">
        <f>HYPERLINK("https://klasma.github.io/Logging_0980/kartor/A 44304-2021 karta.png", "A 44304-2021")</f>
        <v/>
      </c>
      <c r="V180">
        <f>HYPERLINK("https://klasma.github.io/Logging_0980/klagomål/A 44304-2021 FSC-klagomål.docx", "A 44304-2021")</f>
        <v/>
      </c>
      <c r="W180">
        <f>HYPERLINK("https://klasma.github.io/Logging_0980/klagomålsmail/A 44304-2021 FSC-klagomål mail.docx", "A 44304-2021")</f>
        <v/>
      </c>
      <c r="X180">
        <f>HYPERLINK("https://klasma.github.io/Logging_0980/tillsyn/A 44304-2021 tillsynsbegäran.docx", "A 44304-2021")</f>
        <v/>
      </c>
      <c r="Y180">
        <f>HYPERLINK("https://klasma.github.io/Logging_0980/tillsynsmail/A 44304-2021 tillsynsbegäran mail.docx", "A 44304-2021")</f>
        <v/>
      </c>
    </row>
    <row r="181" ht="15" customHeight="1">
      <c r="A181" t="inlineStr">
        <is>
          <t>A 447-2023</t>
        </is>
      </c>
      <c r="B181" s="1" t="n">
        <v>44929</v>
      </c>
      <c r="C181" s="1" t="n">
        <v>46135</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34809-2024</t>
        </is>
      </c>
      <c r="B182" s="1" t="n">
        <v>45526</v>
      </c>
      <c r="C182" s="1" t="n">
        <v>46135</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49304-2024</t>
        </is>
      </c>
      <c r="B183" s="1" t="n">
        <v>45595.54996527778</v>
      </c>
      <c r="C183" s="1" t="n">
        <v>46135</v>
      </c>
      <c r="D183" t="inlineStr">
        <is>
          <t>GOTLANDS LÄN</t>
        </is>
      </c>
      <c r="E183" t="inlineStr">
        <is>
          <t>GOTLAND</t>
        </is>
      </c>
      <c r="G183" t="n">
        <v>10.8</v>
      </c>
      <c r="H183" t="n">
        <v>0</v>
      </c>
      <c r="I183" t="n">
        <v>0</v>
      </c>
      <c r="J183" t="n">
        <v>1</v>
      </c>
      <c r="K183" t="n">
        <v>0</v>
      </c>
      <c r="L183" t="n">
        <v>0</v>
      </c>
      <c r="M183" t="n">
        <v>0</v>
      </c>
      <c r="N183" t="n">
        <v>0</v>
      </c>
      <c r="O183" t="n">
        <v>1</v>
      </c>
      <c r="P183" t="n">
        <v>0</v>
      </c>
      <c r="Q183" t="n">
        <v>1</v>
      </c>
      <c r="R183" s="2" t="inlineStr">
        <is>
          <t>Åkerranunkel</t>
        </is>
      </c>
      <c r="S183">
        <f>HYPERLINK("https://klasma.github.io/Logging_0980/artfynd/A 49304-2024 artfynd.xlsx", "A 49304-2024")</f>
        <v/>
      </c>
      <c r="T183">
        <f>HYPERLINK("https://klasma.github.io/Logging_0980/kartor/A 49304-2024 karta.png", "A 49304-2024")</f>
        <v/>
      </c>
      <c r="V183">
        <f>HYPERLINK("https://klasma.github.io/Logging_0980/klagomål/A 49304-2024 FSC-klagomål.docx", "A 49304-2024")</f>
        <v/>
      </c>
      <c r="W183">
        <f>HYPERLINK("https://klasma.github.io/Logging_0980/klagomålsmail/A 49304-2024 FSC-klagomål mail.docx", "A 49304-2024")</f>
        <v/>
      </c>
      <c r="X183">
        <f>HYPERLINK("https://klasma.github.io/Logging_0980/tillsyn/A 49304-2024 tillsynsbegäran.docx", "A 49304-2024")</f>
        <v/>
      </c>
      <c r="Y183">
        <f>HYPERLINK("https://klasma.github.io/Logging_0980/tillsynsmail/A 49304-2024 tillsynsbegäran mail.docx", "A 49304-2024")</f>
        <v/>
      </c>
    </row>
    <row r="184" ht="15" customHeight="1">
      <c r="A184" t="inlineStr">
        <is>
          <t>A 22782-2023</t>
        </is>
      </c>
      <c r="B184" s="1" t="n">
        <v>45072</v>
      </c>
      <c r="C184" s="1" t="n">
        <v>46135</v>
      </c>
      <c r="D184" t="inlineStr">
        <is>
          <t>GOTLANDS LÄN</t>
        </is>
      </c>
      <c r="E184" t="inlineStr">
        <is>
          <t>GOTLAND</t>
        </is>
      </c>
      <c r="F184" t="inlineStr">
        <is>
          <t>Kyrkan</t>
        </is>
      </c>
      <c r="G184" t="n">
        <v>3.1</v>
      </c>
      <c r="H184" t="n">
        <v>1</v>
      </c>
      <c r="I184" t="n">
        <v>0</v>
      </c>
      <c r="J184" t="n">
        <v>0</v>
      </c>
      <c r="K184" t="n">
        <v>0</v>
      </c>
      <c r="L184" t="n">
        <v>0</v>
      </c>
      <c r="M184" t="n">
        <v>0</v>
      </c>
      <c r="N184" t="n">
        <v>0</v>
      </c>
      <c r="O184" t="n">
        <v>0</v>
      </c>
      <c r="P184" t="n">
        <v>0</v>
      </c>
      <c r="Q184" t="n">
        <v>1</v>
      </c>
      <c r="R184" s="2" t="inlineStr">
        <is>
          <t>Ängsnycklar × skogsnycklar</t>
        </is>
      </c>
      <c r="S184">
        <f>HYPERLINK("https://klasma.github.io/Logging_0980/artfynd/A 22782-2023 artfynd.xlsx", "A 22782-2023")</f>
        <v/>
      </c>
      <c r="T184">
        <f>HYPERLINK("https://klasma.github.io/Logging_0980/kartor/A 22782-2023 karta.png", "A 22782-2023")</f>
        <v/>
      </c>
      <c r="V184">
        <f>HYPERLINK("https://klasma.github.io/Logging_0980/klagomål/A 22782-2023 FSC-klagomål.docx", "A 22782-2023")</f>
        <v/>
      </c>
      <c r="W184">
        <f>HYPERLINK("https://klasma.github.io/Logging_0980/klagomålsmail/A 22782-2023 FSC-klagomål mail.docx", "A 22782-2023")</f>
        <v/>
      </c>
      <c r="X184">
        <f>HYPERLINK("https://klasma.github.io/Logging_0980/tillsyn/A 22782-2023 tillsynsbegäran.docx", "A 22782-2023")</f>
        <v/>
      </c>
      <c r="Y184">
        <f>HYPERLINK("https://klasma.github.io/Logging_0980/tillsynsmail/A 22782-2023 tillsynsbegäran mail.docx", "A 22782-2023")</f>
        <v/>
      </c>
    </row>
    <row r="185" ht="15" customHeight="1">
      <c r="A185" t="inlineStr">
        <is>
          <t>A 44088-2022</t>
        </is>
      </c>
      <c r="B185" s="1" t="n">
        <v>44839</v>
      </c>
      <c r="C185" s="1" t="n">
        <v>46135</v>
      </c>
      <c r="D185" t="inlineStr">
        <is>
          <t>GOTLANDS LÄN</t>
        </is>
      </c>
      <c r="E185" t="inlineStr">
        <is>
          <t>GOTLAND</t>
        </is>
      </c>
      <c r="G185" t="n">
        <v>1.5</v>
      </c>
      <c r="H185" t="n">
        <v>0</v>
      </c>
      <c r="I185" t="n">
        <v>1</v>
      </c>
      <c r="J185" t="n">
        <v>0</v>
      </c>
      <c r="K185" t="n">
        <v>0</v>
      </c>
      <c r="L185" t="n">
        <v>0</v>
      </c>
      <c r="M185" t="n">
        <v>0</v>
      </c>
      <c r="N185" t="n">
        <v>0</v>
      </c>
      <c r="O185" t="n">
        <v>0</v>
      </c>
      <c r="P185" t="n">
        <v>0</v>
      </c>
      <c r="Q185" t="n">
        <v>1</v>
      </c>
      <c r="R185" s="2" t="inlineStr">
        <is>
          <t>Strävlosta</t>
        </is>
      </c>
      <c r="S185">
        <f>HYPERLINK("https://klasma.github.io/Logging_0980/artfynd/A 44088-2022 artfynd.xlsx", "A 44088-2022")</f>
        <v/>
      </c>
      <c r="T185">
        <f>HYPERLINK("https://klasma.github.io/Logging_0980/kartor/A 44088-2022 karta.png", "A 44088-2022")</f>
        <v/>
      </c>
      <c r="V185">
        <f>HYPERLINK("https://klasma.github.io/Logging_0980/klagomål/A 44088-2022 FSC-klagomål.docx", "A 44088-2022")</f>
        <v/>
      </c>
      <c r="W185">
        <f>HYPERLINK("https://klasma.github.io/Logging_0980/klagomålsmail/A 44088-2022 FSC-klagomål mail.docx", "A 44088-2022")</f>
        <v/>
      </c>
      <c r="X185">
        <f>HYPERLINK("https://klasma.github.io/Logging_0980/tillsyn/A 44088-2022 tillsynsbegäran.docx", "A 44088-2022")</f>
        <v/>
      </c>
      <c r="Y185">
        <f>HYPERLINK("https://klasma.github.io/Logging_0980/tillsynsmail/A 44088-2022 tillsynsbegäran mail.docx", "A 44088-2022")</f>
        <v/>
      </c>
    </row>
    <row r="186" ht="15" customHeight="1">
      <c r="A186" t="inlineStr">
        <is>
          <t>A 1477-2024</t>
        </is>
      </c>
      <c r="B186" s="1" t="n">
        <v>45305.37987268518</v>
      </c>
      <c r="C186" s="1" t="n">
        <v>46135</v>
      </c>
      <c r="D186" t="inlineStr">
        <is>
          <t>GOTLANDS LÄN</t>
        </is>
      </c>
      <c r="E186" t="inlineStr">
        <is>
          <t>GOTLAND</t>
        </is>
      </c>
      <c r="G186" t="n">
        <v>6.9</v>
      </c>
      <c r="H186" t="n">
        <v>0</v>
      </c>
      <c r="I186" t="n">
        <v>0</v>
      </c>
      <c r="J186" t="n">
        <v>1</v>
      </c>
      <c r="K186" t="n">
        <v>0</v>
      </c>
      <c r="L186" t="n">
        <v>0</v>
      </c>
      <c r="M186" t="n">
        <v>0</v>
      </c>
      <c r="N186" t="n">
        <v>0</v>
      </c>
      <c r="O186" t="n">
        <v>1</v>
      </c>
      <c r="P186" t="n">
        <v>0</v>
      </c>
      <c r="Q186" t="n">
        <v>1</v>
      </c>
      <c r="R186" s="2" t="inlineStr">
        <is>
          <t>Igelkott</t>
        </is>
      </c>
      <c r="S186">
        <f>HYPERLINK("https://klasma.github.io/Logging_0980/artfynd/A 1477-2024 artfynd.xlsx", "A 1477-2024")</f>
        <v/>
      </c>
      <c r="T186">
        <f>HYPERLINK("https://klasma.github.io/Logging_0980/kartor/A 1477-2024 karta.png", "A 1477-2024")</f>
        <v/>
      </c>
      <c r="V186">
        <f>HYPERLINK("https://klasma.github.io/Logging_0980/klagomål/A 1477-2024 FSC-klagomål.docx", "A 1477-2024")</f>
        <v/>
      </c>
      <c r="W186">
        <f>HYPERLINK("https://klasma.github.io/Logging_0980/klagomålsmail/A 1477-2024 FSC-klagomål mail.docx", "A 1477-2024")</f>
        <v/>
      </c>
      <c r="X186">
        <f>HYPERLINK("https://klasma.github.io/Logging_0980/tillsyn/A 1477-2024 tillsynsbegäran.docx", "A 1477-2024")</f>
        <v/>
      </c>
      <c r="Y186">
        <f>HYPERLINK("https://klasma.github.io/Logging_0980/tillsynsmail/A 1477-2024 tillsynsbegäran mail.docx", "A 1477-2024")</f>
        <v/>
      </c>
    </row>
    <row r="187" ht="15" customHeight="1">
      <c r="A187" t="inlineStr">
        <is>
          <t>A 19901-2021</t>
        </is>
      </c>
      <c r="B187" s="1" t="n">
        <v>44312</v>
      </c>
      <c r="C187" s="1" t="n">
        <v>46135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46135</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46135</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46135</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46135</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46135</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46135</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46135</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46135</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46135</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46135</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46135</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46135</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46135</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46135</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19447-2021</t>
        </is>
      </c>
      <c r="B202" s="1" t="n">
        <v>44310.72780092592</v>
      </c>
      <c r="C202" s="1" t="n">
        <v>46135</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46135</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46135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46135</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46135</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46135</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46135</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46135</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22155-2021</t>
        </is>
      </c>
      <c r="B210" s="1" t="n">
        <v>44325.49369212963</v>
      </c>
      <c r="C210" s="1" t="n">
        <v>46135</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71010-2021</t>
        </is>
      </c>
      <c r="B211" s="1" t="n">
        <v>44538.63775462963</v>
      </c>
      <c r="C211" s="1" t="n">
        <v>46135</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22495-2022</t>
        </is>
      </c>
      <c r="B212" s="1" t="n">
        <v>44713.6452199074</v>
      </c>
      <c r="C212" s="1" t="n">
        <v>46135</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46135</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46135</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46135</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46135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46135</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46135</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48843-2024</t>
        </is>
      </c>
      <c r="B219" s="1" t="n">
        <v>45593</v>
      </c>
      <c r="C219" s="1" t="n">
        <v>46135</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46135</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10653-2023</t>
        </is>
      </c>
      <c r="B221" s="1" t="n">
        <v>44988.48859953704</v>
      </c>
      <c r="C221" s="1" t="n">
        <v>46135</v>
      </c>
      <c r="D221" t="inlineStr">
        <is>
          <t>GOTLANDS LÄN</t>
        </is>
      </c>
      <c r="E221" t="inlineStr">
        <is>
          <t>GOTLAND</t>
        </is>
      </c>
      <c r="F221" t="inlineStr">
        <is>
          <t>Kyrkan</t>
        </is>
      </c>
      <c r="G221" t="n">
        <v>3</v>
      </c>
      <c r="H221" t="n">
        <v>0</v>
      </c>
      <c r="I221" t="n">
        <v>0</v>
      </c>
      <c r="J221" t="n">
        <v>0</v>
      </c>
      <c r="K221" t="n">
        <v>0</v>
      </c>
      <c r="L221" t="n">
        <v>0</v>
      </c>
      <c r="M221" t="n">
        <v>0</v>
      </c>
      <c r="N221" t="n">
        <v>0</v>
      </c>
      <c r="O221" t="n">
        <v>0</v>
      </c>
      <c r="P221" t="n">
        <v>0</v>
      </c>
      <c r="Q221" t="n">
        <v>0</v>
      </c>
      <c r="R221" s="2" t="inlineStr"/>
    </row>
    <row r="222" ht="15" customHeight="1">
      <c r="A222" t="inlineStr">
        <is>
          <t>A 35512-2023</t>
        </is>
      </c>
      <c r="B222" s="1" t="n">
        <v>45147.25623842593</v>
      </c>
      <c r="C222" s="1" t="n">
        <v>46135</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46135</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11874-2024</t>
        </is>
      </c>
      <c r="B224" s="1" t="n">
        <v>45376.46956018519</v>
      </c>
      <c r="C224" s="1" t="n">
        <v>46135</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58476-2022</t>
        </is>
      </c>
      <c r="B225" s="1" t="n">
        <v>44902</v>
      </c>
      <c r="C225" s="1" t="n">
        <v>46135</v>
      </c>
      <c r="D225" t="inlineStr">
        <is>
          <t>GOTLANDS LÄN</t>
        </is>
      </c>
      <c r="E225" t="inlineStr">
        <is>
          <t>GOTLAND</t>
        </is>
      </c>
      <c r="G225" t="n">
        <v>0.9</v>
      </c>
      <c r="H225" t="n">
        <v>0</v>
      </c>
      <c r="I225" t="n">
        <v>0</v>
      </c>
      <c r="J225" t="n">
        <v>0</v>
      </c>
      <c r="K225" t="n">
        <v>0</v>
      </c>
      <c r="L225" t="n">
        <v>0</v>
      </c>
      <c r="M225" t="n">
        <v>0</v>
      </c>
      <c r="N225" t="n">
        <v>0</v>
      </c>
      <c r="O225" t="n">
        <v>0</v>
      </c>
      <c r="P225" t="n">
        <v>0</v>
      </c>
      <c r="Q225" t="n">
        <v>0</v>
      </c>
      <c r="R225" s="2" t="inlineStr"/>
    </row>
    <row r="226" ht="15" customHeight="1">
      <c r="A226" t="inlineStr">
        <is>
          <t>A 20225-2025</t>
        </is>
      </c>
      <c r="B226" s="1" t="n">
        <v>45772.65802083333</v>
      </c>
      <c r="C226" s="1" t="n">
        <v>46135</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1677-2023</t>
        </is>
      </c>
      <c r="B227" s="1" t="n">
        <v>44938</v>
      </c>
      <c r="C227" s="1" t="n">
        <v>46135</v>
      </c>
      <c r="D227" t="inlineStr">
        <is>
          <t>GOTLANDS LÄN</t>
        </is>
      </c>
      <c r="E227" t="inlineStr">
        <is>
          <t>GOTLAND</t>
        </is>
      </c>
      <c r="G227" t="n">
        <v>1.6</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46135</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46135</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64831-2023</t>
        </is>
      </c>
      <c r="B230" s="1" t="n">
        <v>45282.44924768519</v>
      </c>
      <c r="C230" s="1" t="n">
        <v>46135</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46135</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8036-2022</t>
        </is>
      </c>
      <c r="B232" s="1" t="n">
        <v>44609.44362268518</v>
      </c>
      <c r="C232" s="1" t="n">
        <v>46135</v>
      </c>
      <c r="D232" t="inlineStr">
        <is>
          <t>GOTLANDS LÄN</t>
        </is>
      </c>
      <c r="E232" t="inlineStr">
        <is>
          <t>GOTLAND</t>
        </is>
      </c>
      <c r="G232" t="n">
        <v>6.1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46135</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46375-2024</t>
        </is>
      </c>
      <c r="B234" s="1" t="n">
        <v>45582</v>
      </c>
      <c r="C234" s="1" t="n">
        <v>46135</v>
      </c>
      <c r="D234" t="inlineStr">
        <is>
          <t>GOTLANDS LÄN</t>
        </is>
      </c>
      <c r="E234" t="inlineStr">
        <is>
          <t>GOTLAND</t>
        </is>
      </c>
      <c r="G234" t="n">
        <v>3</v>
      </c>
      <c r="H234" t="n">
        <v>0</v>
      </c>
      <c r="I234" t="n">
        <v>0</v>
      </c>
      <c r="J234" t="n">
        <v>0</v>
      </c>
      <c r="K234" t="n">
        <v>0</v>
      </c>
      <c r="L234" t="n">
        <v>0</v>
      </c>
      <c r="M234" t="n">
        <v>0</v>
      </c>
      <c r="N234" t="n">
        <v>0</v>
      </c>
      <c r="O234" t="n">
        <v>0</v>
      </c>
      <c r="P234" t="n">
        <v>0</v>
      </c>
      <c r="Q234" t="n">
        <v>0</v>
      </c>
      <c r="R234" s="2" t="inlineStr"/>
    </row>
    <row r="235" ht="15" customHeight="1">
      <c r="A235" t="inlineStr">
        <is>
          <t>A 62915-2021</t>
        </is>
      </c>
      <c r="B235" s="1" t="n">
        <v>44504</v>
      </c>
      <c r="C235" s="1" t="n">
        <v>46135</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63229-2021</t>
        </is>
      </c>
      <c r="B236" s="1" t="n">
        <v>44508.34518518519</v>
      </c>
      <c r="C236" s="1" t="n">
        <v>46135</v>
      </c>
      <c r="D236" t="inlineStr">
        <is>
          <t>GOTLANDS LÄN</t>
        </is>
      </c>
      <c r="E236" t="inlineStr">
        <is>
          <t>GOTLAND</t>
        </is>
      </c>
      <c r="F236" t="inlineStr">
        <is>
          <t>Kyrkan</t>
        </is>
      </c>
      <c r="G236" t="n">
        <v>3.8</v>
      </c>
      <c r="H236" t="n">
        <v>0</v>
      </c>
      <c r="I236" t="n">
        <v>0</v>
      </c>
      <c r="J236" t="n">
        <v>0</v>
      </c>
      <c r="K236" t="n">
        <v>0</v>
      </c>
      <c r="L236" t="n">
        <v>0</v>
      </c>
      <c r="M236" t="n">
        <v>0</v>
      </c>
      <c r="N236" t="n">
        <v>0</v>
      </c>
      <c r="O236" t="n">
        <v>0</v>
      </c>
      <c r="P236" t="n">
        <v>0</v>
      </c>
      <c r="Q236" t="n">
        <v>0</v>
      </c>
      <c r="R236" s="2" t="inlineStr"/>
    </row>
    <row r="237" ht="15" customHeight="1">
      <c r="A237" t="inlineStr">
        <is>
          <t>A 7638-2025</t>
        </is>
      </c>
      <c r="B237" s="1" t="n">
        <v>45705.77306712963</v>
      </c>
      <c r="C237" s="1" t="n">
        <v>46135</v>
      </c>
      <c r="D237" t="inlineStr">
        <is>
          <t>GOTLANDS LÄN</t>
        </is>
      </c>
      <c r="E237" t="inlineStr">
        <is>
          <t>GOTLAND</t>
        </is>
      </c>
      <c r="G237" t="n">
        <v>2.2</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46135</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46135</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30489-2025</t>
        </is>
      </c>
      <c r="B240" s="1" t="n">
        <v>45830</v>
      </c>
      <c r="C240" s="1" t="n">
        <v>46135</v>
      </c>
      <c r="D240" t="inlineStr">
        <is>
          <t>GOTLANDS LÄN</t>
        </is>
      </c>
      <c r="E240" t="inlineStr">
        <is>
          <t>GOTLAND</t>
        </is>
      </c>
      <c r="G240" t="n">
        <v>4.6</v>
      </c>
      <c r="H240" t="n">
        <v>0</v>
      </c>
      <c r="I240" t="n">
        <v>0</v>
      </c>
      <c r="J240" t="n">
        <v>0</v>
      </c>
      <c r="K240" t="n">
        <v>0</v>
      </c>
      <c r="L240" t="n">
        <v>0</v>
      </c>
      <c r="M240" t="n">
        <v>0</v>
      </c>
      <c r="N240" t="n">
        <v>0</v>
      </c>
      <c r="O240" t="n">
        <v>0</v>
      </c>
      <c r="P240" t="n">
        <v>0</v>
      </c>
      <c r="Q240" t="n">
        <v>0</v>
      </c>
      <c r="R240" s="2" t="inlineStr"/>
    </row>
    <row r="241" ht="15" customHeight="1">
      <c r="A241" t="inlineStr">
        <is>
          <t>A 21142-2025</t>
        </is>
      </c>
      <c r="B241" s="1" t="n">
        <v>45779</v>
      </c>
      <c r="C241" s="1" t="n">
        <v>46135</v>
      </c>
      <c r="D241" t="inlineStr">
        <is>
          <t>GOTLANDS LÄN</t>
        </is>
      </c>
      <c r="E241" t="inlineStr">
        <is>
          <t>GOTLAND</t>
        </is>
      </c>
      <c r="G241" t="n">
        <v>1.3</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46135</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6108-2025</t>
        </is>
      </c>
      <c r="B243" s="1" t="n">
        <v>45698.29880787037</v>
      </c>
      <c r="C243" s="1" t="n">
        <v>46135</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4377-2023</t>
        </is>
      </c>
      <c r="B244" s="1" t="n">
        <v>44955.5502662037</v>
      </c>
      <c r="C244" s="1" t="n">
        <v>46135</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17343-2025</t>
        </is>
      </c>
      <c r="B245" s="1" t="n">
        <v>45756.6687037037</v>
      </c>
      <c r="C245" s="1" t="n">
        <v>46135</v>
      </c>
      <c r="D245" t="inlineStr">
        <is>
          <t>GOTLANDS LÄN</t>
        </is>
      </c>
      <c r="E245" t="inlineStr">
        <is>
          <t>GOTLAND</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18938-2025</t>
        </is>
      </c>
      <c r="B246" s="1" t="n">
        <v>45764.49172453704</v>
      </c>
      <c r="C246" s="1" t="n">
        <v>46135</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20307-2025</t>
        </is>
      </c>
      <c r="B247" s="1" t="n">
        <v>45774.95546296296</v>
      </c>
      <c r="C247" s="1" t="n">
        <v>46135</v>
      </c>
      <c r="D247" t="inlineStr">
        <is>
          <t>GOTLANDS LÄN</t>
        </is>
      </c>
      <c r="E247" t="inlineStr">
        <is>
          <t>GOTLAND</t>
        </is>
      </c>
      <c r="G247" t="n">
        <v>6.8</v>
      </c>
      <c r="H247" t="n">
        <v>0</v>
      </c>
      <c r="I247" t="n">
        <v>0</v>
      </c>
      <c r="J247" t="n">
        <v>0</v>
      </c>
      <c r="K247" t="n">
        <v>0</v>
      </c>
      <c r="L247" t="n">
        <v>0</v>
      </c>
      <c r="M247" t="n">
        <v>0</v>
      </c>
      <c r="N247" t="n">
        <v>0</v>
      </c>
      <c r="O247" t="n">
        <v>0</v>
      </c>
      <c r="P247" t="n">
        <v>0</v>
      </c>
      <c r="Q247" t="n">
        <v>0</v>
      </c>
      <c r="R247" s="2" t="inlineStr"/>
    </row>
    <row r="248" ht="15" customHeight="1">
      <c r="A248" t="inlineStr">
        <is>
          <t>A 873-2024</t>
        </is>
      </c>
      <c r="B248" s="1" t="n">
        <v>45301</v>
      </c>
      <c r="C248" s="1" t="n">
        <v>46135</v>
      </c>
      <c r="D248" t="inlineStr">
        <is>
          <t>GOTLANDS LÄN</t>
        </is>
      </c>
      <c r="E248" t="inlineStr">
        <is>
          <t>GOTLAND</t>
        </is>
      </c>
      <c r="G248" t="n">
        <v>2.7</v>
      </c>
      <c r="H248" t="n">
        <v>0</v>
      </c>
      <c r="I248" t="n">
        <v>0</v>
      </c>
      <c r="J248" t="n">
        <v>0</v>
      </c>
      <c r="K248" t="n">
        <v>0</v>
      </c>
      <c r="L248" t="n">
        <v>0</v>
      </c>
      <c r="M248" t="n">
        <v>0</v>
      </c>
      <c r="N248" t="n">
        <v>0</v>
      </c>
      <c r="O248" t="n">
        <v>0</v>
      </c>
      <c r="P248" t="n">
        <v>0</v>
      </c>
      <c r="Q248" t="n">
        <v>0</v>
      </c>
      <c r="R248" s="2" t="inlineStr"/>
    </row>
    <row r="249" ht="15" customHeight="1">
      <c r="A249" t="inlineStr">
        <is>
          <t>A 44228-2022</t>
        </is>
      </c>
      <c r="B249" s="1" t="n">
        <v>44839.51599537037</v>
      </c>
      <c r="C249" s="1" t="n">
        <v>46135</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43901-2023</t>
        </is>
      </c>
      <c r="B250" s="1" t="n">
        <v>45187</v>
      </c>
      <c r="C250" s="1" t="n">
        <v>46135</v>
      </c>
      <c r="D250" t="inlineStr">
        <is>
          <t>GOTLANDS LÄN</t>
        </is>
      </c>
      <c r="E250" t="inlineStr">
        <is>
          <t>GOTLAND</t>
        </is>
      </c>
      <c r="G250" t="n">
        <v>5.4</v>
      </c>
      <c r="H250" t="n">
        <v>0</v>
      </c>
      <c r="I250" t="n">
        <v>0</v>
      </c>
      <c r="J250" t="n">
        <v>0</v>
      </c>
      <c r="K250" t="n">
        <v>0</v>
      </c>
      <c r="L250" t="n">
        <v>0</v>
      </c>
      <c r="M250" t="n">
        <v>0</v>
      </c>
      <c r="N250" t="n">
        <v>0</v>
      </c>
      <c r="O250" t="n">
        <v>0</v>
      </c>
      <c r="P250" t="n">
        <v>0</v>
      </c>
      <c r="Q250" t="n">
        <v>0</v>
      </c>
      <c r="R250" s="2" t="inlineStr"/>
    </row>
    <row r="251" ht="15" customHeight="1">
      <c r="A251" t="inlineStr">
        <is>
          <t>A 17532-2024</t>
        </is>
      </c>
      <c r="B251" s="1" t="n">
        <v>45415</v>
      </c>
      <c r="C251" s="1" t="n">
        <v>46135</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45692-2023</t>
        </is>
      </c>
      <c r="B252" s="1" t="n">
        <v>45195</v>
      </c>
      <c r="C252" s="1" t="n">
        <v>46135</v>
      </c>
      <c r="D252" t="inlineStr">
        <is>
          <t>GOTLANDS LÄN</t>
        </is>
      </c>
      <c r="E252" t="inlineStr">
        <is>
          <t>GOTLAND</t>
        </is>
      </c>
      <c r="G252" t="n">
        <v>5.3</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46135</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37222-2021</t>
        </is>
      </c>
      <c r="B254" s="1" t="n">
        <v>44396</v>
      </c>
      <c r="C254" s="1" t="n">
        <v>46135</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18993-2025</t>
        </is>
      </c>
      <c r="B255" s="1" t="n">
        <v>45764</v>
      </c>
      <c r="C255" s="1" t="n">
        <v>46135</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30135-2025</t>
        </is>
      </c>
      <c r="B256" s="1" t="n">
        <v>45826</v>
      </c>
      <c r="C256" s="1" t="n">
        <v>46135</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46396-2023</t>
        </is>
      </c>
      <c r="B257" s="1" t="n">
        <v>45197</v>
      </c>
      <c r="C257" s="1" t="n">
        <v>46135</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58388-2022</t>
        </is>
      </c>
      <c r="B258" s="1" t="n">
        <v>44894</v>
      </c>
      <c r="C258" s="1" t="n">
        <v>46135</v>
      </c>
      <c r="D258" t="inlineStr">
        <is>
          <t>GOTLANDS LÄN</t>
        </is>
      </c>
      <c r="E258" t="inlineStr">
        <is>
          <t>GOTLAND</t>
        </is>
      </c>
      <c r="F258" t="inlineStr">
        <is>
          <t>Övriga statliga verk och myndigheter</t>
        </is>
      </c>
      <c r="G258" t="n">
        <v>3.1</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46135</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25129-2023</t>
        </is>
      </c>
      <c r="B260" s="1" t="n">
        <v>45086.44261574074</v>
      </c>
      <c r="C260" s="1" t="n">
        <v>46135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46135</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35142-2025</t>
        </is>
      </c>
      <c r="B262" s="1" t="n">
        <v>45852.65532407408</v>
      </c>
      <c r="C262" s="1" t="n">
        <v>46135</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12599-2025</t>
        </is>
      </c>
      <c r="B263" s="1" t="n">
        <v>45733.29546296296</v>
      </c>
      <c r="C263" s="1" t="n">
        <v>46135</v>
      </c>
      <c r="D263" t="inlineStr">
        <is>
          <t>GOTLANDS LÄN</t>
        </is>
      </c>
      <c r="E263" t="inlineStr">
        <is>
          <t>GOTLAND</t>
        </is>
      </c>
      <c r="G263" t="n">
        <v>4.7</v>
      </c>
      <c r="H263" t="n">
        <v>0</v>
      </c>
      <c r="I263" t="n">
        <v>0</v>
      </c>
      <c r="J263" t="n">
        <v>0</v>
      </c>
      <c r="K263" t="n">
        <v>0</v>
      </c>
      <c r="L263" t="n">
        <v>0</v>
      </c>
      <c r="M263" t="n">
        <v>0</v>
      </c>
      <c r="N263" t="n">
        <v>0</v>
      </c>
      <c r="O263" t="n">
        <v>0</v>
      </c>
      <c r="P263" t="n">
        <v>0</v>
      </c>
      <c r="Q263" t="n">
        <v>0</v>
      </c>
      <c r="R263" s="2" t="inlineStr"/>
    </row>
    <row r="264" ht="15" customHeight="1">
      <c r="A264" t="inlineStr">
        <is>
          <t>A 53934-2024</t>
        </is>
      </c>
      <c r="B264" s="1" t="n">
        <v>45615</v>
      </c>
      <c r="C264" s="1" t="n">
        <v>46135</v>
      </c>
      <c r="D264" t="inlineStr">
        <is>
          <t>GOTLANDS LÄN</t>
        </is>
      </c>
      <c r="E264" t="inlineStr">
        <is>
          <t>GOTLAND</t>
        </is>
      </c>
      <c r="G264" t="n">
        <v>5</v>
      </c>
      <c r="H264" t="n">
        <v>0</v>
      </c>
      <c r="I264" t="n">
        <v>0</v>
      </c>
      <c r="J264" t="n">
        <v>0</v>
      </c>
      <c r="K264" t="n">
        <v>0</v>
      </c>
      <c r="L264" t="n">
        <v>0</v>
      </c>
      <c r="M264" t="n">
        <v>0</v>
      </c>
      <c r="N264" t="n">
        <v>0</v>
      </c>
      <c r="O264" t="n">
        <v>0</v>
      </c>
      <c r="P264" t="n">
        <v>0</v>
      </c>
      <c r="Q264" t="n">
        <v>0</v>
      </c>
      <c r="R264" s="2" t="inlineStr"/>
    </row>
    <row r="265" ht="15" customHeight="1">
      <c r="A265" t="inlineStr">
        <is>
          <t>A 35141-2025</t>
        </is>
      </c>
      <c r="B265" s="1" t="n">
        <v>45852.65206018519</v>
      </c>
      <c r="C265" s="1" t="n">
        <v>46135</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58132-2023</t>
        </is>
      </c>
      <c r="B266" s="1" t="n">
        <v>45250</v>
      </c>
      <c r="C266" s="1" t="n">
        <v>46135</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22899-2023</t>
        </is>
      </c>
      <c r="B267" s="1" t="n">
        <v>45072</v>
      </c>
      <c r="C267" s="1" t="n">
        <v>46135</v>
      </c>
      <c r="D267" t="inlineStr">
        <is>
          <t>GOTLANDS LÄN</t>
        </is>
      </c>
      <c r="E267" t="inlineStr">
        <is>
          <t>GOTLAND</t>
        </is>
      </c>
      <c r="G267" t="n">
        <v>0.7</v>
      </c>
      <c r="H267" t="n">
        <v>0</v>
      </c>
      <c r="I267" t="n">
        <v>0</v>
      </c>
      <c r="J267" t="n">
        <v>0</v>
      </c>
      <c r="K267" t="n">
        <v>0</v>
      </c>
      <c r="L267" t="n">
        <v>0</v>
      </c>
      <c r="M267" t="n">
        <v>0</v>
      </c>
      <c r="N267" t="n">
        <v>0</v>
      </c>
      <c r="O267" t="n">
        <v>0</v>
      </c>
      <c r="P267" t="n">
        <v>0</v>
      </c>
      <c r="Q267" t="n">
        <v>0</v>
      </c>
      <c r="R267" s="2" t="inlineStr"/>
    </row>
    <row r="268" ht="15" customHeight="1">
      <c r="A268" t="inlineStr">
        <is>
          <t>A 6207-2026</t>
        </is>
      </c>
      <c r="B268" s="1" t="n">
        <v>46055.42083333333</v>
      </c>
      <c r="C268" s="1" t="n">
        <v>46135</v>
      </c>
      <c r="D268" t="inlineStr">
        <is>
          <t>GOTLANDS LÄN</t>
        </is>
      </c>
      <c r="E268" t="inlineStr">
        <is>
          <t>GOTLAND</t>
        </is>
      </c>
      <c r="G268" t="n">
        <v>7.6</v>
      </c>
      <c r="H268" t="n">
        <v>0</v>
      </c>
      <c r="I268" t="n">
        <v>0</v>
      </c>
      <c r="J268" t="n">
        <v>0</v>
      </c>
      <c r="K268" t="n">
        <v>0</v>
      </c>
      <c r="L268" t="n">
        <v>0</v>
      </c>
      <c r="M268" t="n">
        <v>0</v>
      </c>
      <c r="N268" t="n">
        <v>0</v>
      </c>
      <c r="O268" t="n">
        <v>0</v>
      </c>
      <c r="P268" t="n">
        <v>0</v>
      </c>
      <c r="Q268" t="n">
        <v>0</v>
      </c>
      <c r="R268" s="2" t="inlineStr"/>
    </row>
    <row r="269" ht="15" customHeight="1">
      <c r="A269" t="inlineStr">
        <is>
          <t>A 28285-2024</t>
        </is>
      </c>
      <c r="B269" s="1" t="n">
        <v>45477</v>
      </c>
      <c r="C269" s="1" t="n">
        <v>46135</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6218-2026</t>
        </is>
      </c>
      <c r="B270" s="1" t="n">
        <v>46055.42859953704</v>
      </c>
      <c r="C270" s="1" t="n">
        <v>46135</v>
      </c>
      <c r="D270" t="inlineStr">
        <is>
          <t>GOTLANDS LÄN</t>
        </is>
      </c>
      <c r="E270" t="inlineStr">
        <is>
          <t>GOTLAND</t>
        </is>
      </c>
      <c r="G270" t="n">
        <v>4.3</v>
      </c>
      <c r="H270" t="n">
        <v>0</v>
      </c>
      <c r="I270" t="n">
        <v>0</v>
      </c>
      <c r="J270" t="n">
        <v>0</v>
      </c>
      <c r="K270" t="n">
        <v>0</v>
      </c>
      <c r="L270" t="n">
        <v>0</v>
      </c>
      <c r="M270" t="n">
        <v>0</v>
      </c>
      <c r="N270" t="n">
        <v>0</v>
      </c>
      <c r="O270" t="n">
        <v>0</v>
      </c>
      <c r="P270" t="n">
        <v>0</v>
      </c>
      <c r="Q270" t="n">
        <v>0</v>
      </c>
      <c r="R270" s="2" t="inlineStr"/>
    </row>
    <row r="271" ht="15" customHeight="1">
      <c r="A271" t="inlineStr">
        <is>
          <t>A 51963-2024</t>
        </is>
      </c>
      <c r="B271" s="1" t="n">
        <v>45607.64833333333</v>
      </c>
      <c r="C271" s="1" t="n">
        <v>46135</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6959-2026</t>
        </is>
      </c>
      <c r="B272" s="1" t="n">
        <v>46057.580625</v>
      </c>
      <c r="C272" s="1" t="n">
        <v>46135</v>
      </c>
      <c r="D272" t="inlineStr">
        <is>
          <t>GOTLANDS LÄN</t>
        </is>
      </c>
      <c r="E272" t="inlineStr">
        <is>
          <t>GOTLAND</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39849-2025</t>
        </is>
      </c>
      <c r="B273" s="1" t="n">
        <v>45891.58502314815</v>
      </c>
      <c r="C273" s="1" t="n">
        <v>46135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39814-2025</t>
        </is>
      </c>
      <c r="B274" s="1" t="n">
        <v>45891.52694444444</v>
      </c>
      <c r="C274" s="1" t="n">
        <v>46135</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6960-2026</t>
        </is>
      </c>
      <c r="B275" s="1" t="n">
        <v>46057.58105324074</v>
      </c>
      <c r="C275" s="1" t="n">
        <v>46135</v>
      </c>
      <c r="D275" t="inlineStr">
        <is>
          <t>GOTLANDS LÄN</t>
        </is>
      </c>
      <c r="E275" t="inlineStr">
        <is>
          <t>GOTLAND</t>
        </is>
      </c>
      <c r="F275" t="inlineStr">
        <is>
          <t>Kyrkan</t>
        </is>
      </c>
      <c r="G275" t="n">
        <v>2.4</v>
      </c>
      <c r="H275" t="n">
        <v>0</v>
      </c>
      <c r="I275" t="n">
        <v>0</v>
      </c>
      <c r="J275" t="n">
        <v>0</v>
      </c>
      <c r="K275" t="n">
        <v>0</v>
      </c>
      <c r="L275" t="n">
        <v>0</v>
      </c>
      <c r="M275" t="n">
        <v>0</v>
      </c>
      <c r="N275" t="n">
        <v>0</v>
      </c>
      <c r="O275" t="n">
        <v>0</v>
      </c>
      <c r="P275" t="n">
        <v>0</v>
      </c>
      <c r="Q275" t="n">
        <v>0</v>
      </c>
      <c r="R275" s="2" t="inlineStr"/>
    </row>
    <row r="276" ht="15" customHeight="1">
      <c r="A276" t="inlineStr">
        <is>
          <t>A 1734-2025</t>
        </is>
      </c>
      <c r="B276" s="1" t="n">
        <v>45671.3840625</v>
      </c>
      <c r="C276" s="1" t="n">
        <v>46135</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39819-2025</t>
        </is>
      </c>
      <c r="B277" s="1" t="n">
        <v>45891.53418981482</v>
      </c>
      <c r="C277" s="1" t="n">
        <v>46135</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46135</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56009-2024</t>
        </is>
      </c>
      <c r="B279" s="1" t="n">
        <v>45623.80864583333</v>
      </c>
      <c r="C279" s="1" t="n">
        <v>46135</v>
      </c>
      <c r="D279" t="inlineStr">
        <is>
          <t>GOTLANDS LÄN</t>
        </is>
      </c>
      <c r="E279" t="inlineStr">
        <is>
          <t>GOTLAND</t>
        </is>
      </c>
      <c r="G279" t="n">
        <v>2.8</v>
      </c>
      <c r="H279" t="n">
        <v>0</v>
      </c>
      <c r="I279" t="n">
        <v>0</v>
      </c>
      <c r="J279" t="n">
        <v>0</v>
      </c>
      <c r="K279" t="n">
        <v>0</v>
      </c>
      <c r="L279" t="n">
        <v>0</v>
      </c>
      <c r="M279" t="n">
        <v>0</v>
      </c>
      <c r="N279" t="n">
        <v>0</v>
      </c>
      <c r="O279" t="n">
        <v>0</v>
      </c>
      <c r="P279" t="n">
        <v>0</v>
      </c>
      <c r="Q279" t="n">
        <v>0</v>
      </c>
      <c r="R279" s="2" t="inlineStr"/>
    </row>
    <row r="280" ht="15" customHeight="1">
      <c r="A280" t="inlineStr">
        <is>
          <t>A 39752-2025</t>
        </is>
      </c>
      <c r="B280" s="1" t="n">
        <v>45891</v>
      </c>
      <c r="C280" s="1" t="n">
        <v>46135</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46135</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46135</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2674-2023</t>
        </is>
      </c>
      <c r="B283" s="1" t="n">
        <v>44944</v>
      </c>
      <c r="C283" s="1" t="n">
        <v>46135</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40373-2025</t>
        </is>
      </c>
      <c r="B284" s="1" t="n">
        <v>45895.51821759259</v>
      </c>
      <c r="C284" s="1" t="n">
        <v>46135</v>
      </c>
      <c r="D284" t="inlineStr">
        <is>
          <t>GOTLANDS LÄN</t>
        </is>
      </c>
      <c r="E284" t="inlineStr">
        <is>
          <t>GOTLAND</t>
        </is>
      </c>
      <c r="G284" t="n">
        <v>0.6</v>
      </c>
      <c r="H284" t="n">
        <v>0</v>
      </c>
      <c r="I284" t="n">
        <v>0</v>
      </c>
      <c r="J284" t="n">
        <v>0</v>
      </c>
      <c r="K284" t="n">
        <v>0</v>
      </c>
      <c r="L284" t="n">
        <v>0</v>
      </c>
      <c r="M284" t="n">
        <v>0</v>
      </c>
      <c r="N284" t="n">
        <v>0</v>
      </c>
      <c r="O284" t="n">
        <v>0</v>
      </c>
      <c r="P284" t="n">
        <v>0</v>
      </c>
      <c r="Q284" t="n">
        <v>0</v>
      </c>
      <c r="R284" s="2" t="inlineStr"/>
    </row>
    <row r="285" ht="15" customHeight="1">
      <c r="A285" t="inlineStr">
        <is>
          <t>A 61100-2022</t>
        </is>
      </c>
      <c r="B285" s="1" t="n">
        <v>44915</v>
      </c>
      <c r="C285" s="1" t="n">
        <v>46135</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54073-2022</t>
        </is>
      </c>
      <c r="B286" s="1" t="n">
        <v>44881.50380787037</v>
      </c>
      <c r="C286" s="1" t="n">
        <v>46135</v>
      </c>
      <c r="D286" t="inlineStr">
        <is>
          <t>GOTLANDS LÄN</t>
        </is>
      </c>
      <c r="E286" t="inlineStr">
        <is>
          <t>GOTLAND</t>
        </is>
      </c>
      <c r="G286" t="n">
        <v>3.8</v>
      </c>
      <c r="H286" t="n">
        <v>0</v>
      </c>
      <c r="I286" t="n">
        <v>0</v>
      </c>
      <c r="J286" t="n">
        <v>0</v>
      </c>
      <c r="K286" t="n">
        <v>0</v>
      </c>
      <c r="L286" t="n">
        <v>0</v>
      </c>
      <c r="M286" t="n">
        <v>0</v>
      </c>
      <c r="N286" t="n">
        <v>0</v>
      </c>
      <c r="O286" t="n">
        <v>0</v>
      </c>
      <c r="P286" t="n">
        <v>0</v>
      </c>
      <c r="Q286" t="n">
        <v>0</v>
      </c>
      <c r="R286" s="2" t="inlineStr"/>
    </row>
    <row r="287" ht="15" customHeight="1">
      <c r="A287" t="inlineStr">
        <is>
          <t>A 581-2023</t>
        </is>
      </c>
      <c r="B287" s="1" t="n">
        <v>44930</v>
      </c>
      <c r="C287" s="1" t="n">
        <v>46135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40103-2025</t>
        </is>
      </c>
      <c r="B288" s="1" t="n">
        <v>45894.4880324074</v>
      </c>
      <c r="C288" s="1" t="n">
        <v>46135</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10655-2023</t>
        </is>
      </c>
      <c r="B289" s="1" t="n">
        <v>44988.49543981482</v>
      </c>
      <c r="C289" s="1" t="n">
        <v>46135</v>
      </c>
      <c r="D289" t="inlineStr">
        <is>
          <t>GOTLANDS LÄN</t>
        </is>
      </c>
      <c r="E289" t="inlineStr">
        <is>
          <t>GOTLAND</t>
        </is>
      </c>
      <c r="F289" t="inlineStr">
        <is>
          <t>Kyrkan</t>
        </is>
      </c>
      <c r="G289" t="n">
        <v>2</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46135</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44649-2021</t>
        </is>
      </c>
      <c r="B291" s="1" t="n">
        <v>44437</v>
      </c>
      <c r="C291" s="1" t="n">
        <v>46135</v>
      </c>
      <c r="D291" t="inlineStr">
        <is>
          <t>GOTLANDS LÄN</t>
        </is>
      </c>
      <c r="E291" t="inlineStr">
        <is>
          <t>GOTLAND</t>
        </is>
      </c>
      <c r="G291" t="n">
        <v>8.1</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46135</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8484-2025</t>
        </is>
      </c>
      <c r="B293" s="1" t="n">
        <v>45709</v>
      </c>
      <c r="C293" s="1" t="n">
        <v>46135</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3964-2024</t>
        </is>
      </c>
      <c r="B294" s="1" t="n">
        <v>45322</v>
      </c>
      <c r="C294" s="1" t="n">
        <v>46135</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39278-2025</t>
        </is>
      </c>
      <c r="B295" s="1" t="n">
        <v>45889</v>
      </c>
      <c r="C295" s="1" t="n">
        <v>46135</v>
      </c>
      <c r="D295" t="inlineStr">
        <is>
          <t>GOTLANDS LÄN</t>
        </is>
      </c>
      <c r="E295" t="inlineStr">
        <is>
          <t>GOTLAND</t>
        </is>
      </c>
      <c r="G295" t="n">
        <v>3.7</v>
      </c>
      <c r="H295" t="n">
        <v>0</v>
      </c>
      <c r="I295" t="n">
        <v>0</v>
      </c>
      <c r="J295" t="n">
        <v>0</v>
      </c>
      <c r="K295" t="n">
        <v>0</v>
      </c>
      <c r="L295" t="n">
        <v>0</v>
      </c>
      <c r="M295" t="n">
        <v>0</v>
      </c>
      <c r="N295" t="n">
        <v>0</v>
      </c>
      <c r="O295" t="n">
        <v>0</v>
      </c>
      <c r="P295" t="n">
        <v>0</v>
      </c>
      <c r="Q295" t="n">
        <v>0</v>
      </c>
      <c r="R295" s="2" t="inlineStr"/>
    </row>
    <row r="296" ht="15" customHeight="1">
      <c r="A296" t="inlineStr">
        <is>
          <t>A 7627-2026</t>
        </is>
      </c>
      <c r="B296" s="1" t="n">
        <v>46062.35465277778</v>
      </c>
      <c r="C296" s="1" t="n">
        <v>46135</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63105-2025</t>
        </is>
      </c>
      <c r="B297" s="1" t="n">
        <v>46009</v>
      </c>
      <c r="C297" s="1" t="n">
        <v>46135</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14840-2026</t>
        </is>
      </c>
      <c r="B298" s="1" t="n">
        <v>46104.39498842593</v>
      </c>
      <c r="C298" s="1" t="n">
        <v>46135</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41435-2025</t>
        </is>
      </c>
      <c r="B299" s="1" t="n">
        <v>45901.39974537037</v>
      </c>
      <c r="C299" s="1" t="n">
        <v>46135</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7625-2026</t>
        </is>
      </c>
      <c r="B300" s="1" t="n">
        <v>46062.35135416667</v>
      </c>
      <c r="C300" s="1" t="n">
        <v>46135</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2135-2026</t>
        </is>
      </c>
      <c r="B301" s="1" t="n">
        <v>46036</v>
      </c>
      <c r="C301" s="1" t="n">
        <v>46135</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45106-2024</t>
        </is>
      </c>
      <c r="B302" s="1" t="n">
        <v>45575</v>
      </c>
      <c r="C302" s="1" t="n">
        <v>46135</v>
      </c>
      <c r="D302" t="inlineStr">
        <is>
          <t>GOTLANDS LÄN</t>
        </is>
      </c>
      <c r="E302" t="inlineStr">
        <is>
          <t>GOTLAND</t>
        </is>
      </c>
      <c r="G302" t="n">
        <v>10</v>
      </c>
      <c r="H302" t="n">
        <v>0</v>
      </c>
      <c r="I302" t="n">
        <v>0</v>
      </c>
      <c r="J302" t="n">
        <v>0</v>
      </c>
      <c r="K302" t="n">
        <v>0</v>
      </c>
      <c r="L302" t="n">
        <v>0</v>
      </c>
      <c r="M302" t="n">
        <v>0</v>
      </c>
      <c r="N302" t="n">
        <v>0</v>
      </c>
      <c r="O302" t="n">
        <v>0</v>
      </c>
      <c r="P302" t="n">
        <v>0</v>
      </c>
      <c r="Q302" t="n">
        <v>0</v>
      </c>
      <c r="R302" s="2" t="inlineStr"/>
    </row>
    <row r="303" ht="15" customHeight="1">
      <c r="A303" t="inlineStr">
        <is>
          <t>A 45112-2024</t>
        </is>
      </c>
      <c r="B303" s="1" t="n">
        <v>45575</v>
      </c>
      <c r="C303" s="1" t="n">
        <v>46135</v>
      </c>
      <c r="D303" t="inlineStr">
        <is>
          <t>GOTLANDS LÄN</t>
        </is>
      </c>
      <c r="E303" t="inlineStr">
        <is>
          <t>GOTLAND</t>
        </is>
      </c>
      <c r="G303" t="n">
        <v>5.1</v>
      </c>
      <c r="H303" t="n">
        <v>0</v>
      </c>
      <c r="I303" t="n">
        <v>0</v>
      </c>
      <c r="J303" t="n">
        <v>0</v>
      </c>
      <c r="K303" t="n">
        <v>0</v>
      </c>
      <c r="L303" t="n">
        <v>0</v>
      </c>
      <c r="M303" t="n">
        <v>0</v>
      </c>
      <c r="N303" t="n">
        <v>0</v>
      </c>
      <c r="O303" t="n">
        <v>0</v>
      </c>
      <c r="P303" t="n">
        <v>0</v>
      </c>
      <c r="Q303" t="n">
        <v>0</v>
      </c>
      <c r="R303" s="2" t="inlineStr"/>
    </row>
    <row r="304" ht="15" customHeight="1">
      <c r="A304" t="inlineStr">
        <is>
          <t>A 2134-2026</t>
        </is>
      </c>
      <c r="B304" s="1" t="n">
        <v>46036</v>
      </c>
      <c r="C304" s="1" t="n">
        <v>46135</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49962-2023</t>
        </is>
      </c>
      <c r="B305" s="1" t="n">
        <v>45215.38775462963</v>
      </c>
      <c r="C305" s="1" t="n">
        <v>46135</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42608-2025</t>
        </is>
      </c>
      <c r="B306" s="1" t="n">
        <v>45905</v>
      </c>
      <c r="C306" s="1" t="n">
        <v>46135</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50744-2024</t>
        </is>
      </c>
      <c r="B307" s="1" t="n">
        <v>45602.4187037037</v>
      </c>
      <c r="C307" s="1" t="n">
        <v>46135</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45244-2024</t>
        </is>
      </c>
      <c r="B308" s="1" t="n">
        <v>45576</v>
      </c>
      <c r="C308" s="1" t="n">
        <v>46135</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38787-2023</t>
        </is>
      </c>
      <c r="B309" s="1" t="n">
        <v>45163</v>
      </c>
      <c r="C309" s="1" t="n">
        <v>46135</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46135</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2714-2023</t>
        </is>
      </c>
      <c r="B311" s="1" t="n">
        <v>44944.54896990741</v>
      </c>
      <c r="C311" s="1" t="n">
        <v>46135</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22897-2023</t>
        </is>
      </c>
      <c r="B312" s="1" t="n">
        <v>45072.55239583334</v>
      </c>
      <c r="C312" s="1" t="n">
        <v>46135</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46135</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1681-2023</t>
        </is>
      </c>
      <c r="B314" s="1" t="n">
        <v>44938.39715277778</v>
      </c>
      <c r="C314" s="1" t="n">
        <v>46135</v>
      </c>
      <c r="D314" t="inlineStr">
        <is>
          <t>GOTLANDS LÄN</t>
        </is>
      </c>
      <c r="E314" t="inlineStr">
        <is>
          <t>GOTLAND</t>
        </is>
      </c>
      <c r="G314" t="n">
        <v>2.4</v>
      </c>
      <c r="H314" t="n">
        <v>0</v>
      </c>
      <c r="I314" t="n">
        <v>0</v>
      </c>
      <c r="J314" t="n">
        <v>0</v>
      </c>
      <c r="K314" t="n">
        <v>0</v>
      </c>
      <c r="L314" t="n">
        <v>0</v>
      </c>
      <c r="M314" t="n">
        <v>0</v>
      </c>
      <c r="N314" t="n">
        <v>0</v>
      </c>
      <c r="O314" t="n">
        <v>0</v>
      </c>
      <c r="P314" t="n">
        <v>0</v>
      </c>
      <c r="Q314" t="n">
        <v>0</v>
      </c>
      <c r="R314" s="2" t="inlineStr"/>
    </row>
    <row r="315" ht="15" customHeight="1">
      <c r="A315" t="inlineStr">
        <is>
          <t>A 42338-2023</t>
        </is>
      </c>
      <c r="B315" s="1" t="n">
        <v>45180</v>
      </c>
      <c r="C315" s="1" t="n">
        <v>46135</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53561-2025</t>
        </is>
      </c>
      <c r="B316" s="1" t="n">
        <v>45960.4059375</v>
      </c>
      <c r="C316" s="1" t="n">
        <v>46135</v>
      </c>
      <c r="D316" t="inlineStr">
        <is>
          <t>GOTLANDS LÄN</t>
        </is>
      </c>
      <c r="E316" t="inlineStr">
        <is>
          <t>GOTLAND</t>
        </is>
      </c>
      <c r="F316" t="inlineStr">
        <is>
          <t>Övriga Aktiebolag</t>
        </is>
      </c>
      <c r="G316" t="n">
        <v>2.4</v>
      </c>
      <c r="H316" t="n">
        <v>0</v>
      </c>
      <c r="I316" t="n">
        <v>0</v>
      </c>
      <c r="J316" t="n">
        <v>0</v>
      </c>
      <c r="K316" t="n">
        <v>0</v>
      </c>
      <c r="L316" t="n">
        <v>0</v>
      </c>
      <c r="M316" t="n">
        <v>0</v>
      </c>
      <c r="N316" t="n">
        <v>0</v>
      </c>
      <c r="O316" t="n">
        <v>0</v>
      </c>
      <c r="P316" t="n">
        <v>0</v>
      </c>
      <c r="Q316" t="n">
        <v>0</v>
      </c>
      <c r="R316" s="2" t="inlineStr"/>
    </row>
    <row r="317" ht="15" customHeight="1">
      <c r="A317" t="inlineStr">
        <is>
          <t>A 18918-2025</t>
        </is>
      </c>
      <c r="B317" s="1" t="n">
        <v>45764</v>
      </c>
      <c r="C317" s="1" t="n">
        <v>46135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11013-2024</t>
        </is>
      </c>
      <c r="B318" s="1" t="n">
        <v>45370</v>
      </c>
      <c r="C318" s="1" t="n">
        <v>46135</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7026-2023</t>
        </is>
      </c>
      <c r="B319" s="1" t="n">
        <v>44968.30340277778</v>
      </c>
      <c r="C319" s="1" t="n">
        <v>46135</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46135</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53587-2025</t>
        </is>
      </c>
      <c r="B321" s="1" t="n">
        <v>45960.43681712963</v>
      </c>
      <c r="C321" s="1" t="n">
        <v>46135</v>
      </c>
      <c r="D321" t="inlineStr">
        <is>
          <t>GOTLANDS LÄN</t>
        </is>
      </c>
      <c r="E321" t="inlineStr">
        <is>
          <t>GOTLAND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45084-2024</t>
        </is>
      </c>
      <c r="B322" s="1" t="n">
        <v>45575</v>
      </c>
      <c r="C322" s="1" t="n">
        <v>46135</v>
      </c>
      <c r="D322" t="inlineStr">
        <is>
          <t>GOTLANDS LÄN</t>
        </is>
      </c>
      <c r="E322" t="inlineStr">
        <is>
          <t>GOTLAND</t>
        </is>
      </c>
      <c r="G322" t="n">
        <v>6.8</v>
      </c>
      <c r="H322" t="n">
        <v>0</v>
      </c>
      <c r="I322" t="n">
        <v>0</v>
      </c>
      <c r="J322" t="n">
        <v>0</v>
      </c>
      <c r="K322" t="n">
        <v>0</v>
      </c>
      <c r="L322" t="n">
        <v>0</v>
      </c>
      <c r="M322" t="n">
        <v>0</v>
      </c>
      <c r="N322" t="n">
        <v>0</v>
      </c>
      <c r="O322" t="n">
        <v>0</v>
      </c>
      <c r="P322" t="n">
        <v>0</v>
      </c>
      <c r="Q322" t="n">
        <v>0</v>
      </c>
      <c r="R322" s="2" t="inlineStr"/>
    </row>
    <row r="323" ht="15" customHeight="1">
      <c r="A323" t="inlineStr">
        <is>
          <t>A 20356-2022</t>
        </is>
      </c>
      <c r="B323" s="1" t="n">
        <v>44699</v>
      </c>
      <c r="C323" s="1" t="n">
        <v>46135</v>
      </c>
      <c r="D323" t="inlineStr">
        <is>
          <t>GOTLANDS LÄN</t>
        </is>
      </c>
      <c r="E323" t="inlineStr">
        <is>
          <t>GOTLAND</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63000-2025</t>
        </is>
      </c>
      <c r="B324" s="1" t="n">
        <v>46009</v>
      </c>
      <c r="C324" s="1" t="n">
        <v>46135</v>
      </c>
      <c r="D324" t="inlineStr">
        <is>
          <t>GOTLANDS LÄN</t>
        </is>
      </c>
      <c r="E324" t="inlineStr">
        <is>
          <t>GOTLAND</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46135</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4868-2024</t>
        </is>
      </c>
      <c r="B326" s="1" t="n">
        <v>45329</v>
      </c>
      <c r="C326" s="1" t="n">
        <v>46135</v>
      </c>
      <c r="D326" t="inlineStr">
        <is>
          <t>GOTLANDS LÄN</t>
        </is>
      </c>
      <c r="E326" t="inlineStr">
        <is>
          <t>GOTLAND</t>
        </is>
      </c>
      <c r="G326" t="n">
        <v>7.1</v>
      </c>
      <c r="H326" t="n">
        <v>0</v>
      </c>
      <c r="I326" t="n">
        <v>0</v>
      </c>
      <c r="J326" t="n">
        <v>0</v>
      </c>
      <c r="K326" t="n">
        <v>0</v>
      </c>
      <c r="L326" t="n">
        <v>0</v>
      </c>
      <c r="M326" t="n">
        <v>0</v>
      </c>
      <c r="N326" t="n">
        <v>0</v>
      </c>
      <c r="O326" t="n">
        <v>0</v>
      </c>
      <c r="P326" t="n">
        <v>0</v>
      </c>
      <c r="Q326" t="n">
        <v>0</v>
      </c>
      <c r="R326" s="2" t="inlineStr"/>
    </row>
    <row r="327" ht="15" customHeight="1">
      <c r="A327" t="inlineStr">
        <is>
          <t>A 9613-2025</t>
        </is>
      </c>
      <c r="B327" s="1" t="n">
        <v>45715</v>
      </c>
      <c r="C327" s="1" t="n">
        <v>46135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9540-2026</t>
        </is>
      </c>
      <c r="B328" s="1" t="n">
        <v>46071.61961805556</v>
      </c>
      <c r="C328" s="1" t="n">
        <v>46135</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62751-2025</t>
        </is>
      </c>
      <c r="B329" s="1" t="n">
        <v>46008</v>
      </c>
      <c r="C329" s="1" t="n">
        <v>46135</v>
      </c>
      <c r="D329" t="inlineStr">
        <is>
          <t>GOTLANDS LÄN</t>
        </is>
      </c>
      <c r="E329" t="inlineStr">
        <is>
          <t>GOTLAND</t>
        </is>
      </c>
      <c r="F329" t="inlineStr">
        <is>
          <t>Övriga Aktiebolag</t>
        </is>
      </c>
      <c r="G329" t="n">
        <v>7.8</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46135</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5386-2023</t>
        </is>
      </c>
      <c r="B331" s="1" t="n">
        <v>44959</v>
      </c>
      <c r="C331" s="1" t="n">
        <v>46135</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46135</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9521-2026</t>
        </is>
      </c>
      <c r="B333" s="1" t="n">
        <v>46071.59969907408</v>
      </c>
      <c r="C333" s="1" t="n">
        <v>46135</v>
      </c>
      <c r="D333" t="inlineStr">
        <is>
          <t>GOTLANDS LÄN</t>
        </is>
      </c>
      <c r="E333" t="inlineStr">
        <is>
          <t>GOTLAND</t>
        </is>
      </c>
      <c r="G333" t="n">
        <v>3.9</v>
      </c>
      <c r="H333" t="n">
        <v>0</v>
      </c>
      <c r="I333" t="n">
        <v>0</v>
      </c>
      <c r="J333" t="n">
        <v>0</v>
      </c>
      <c r="K333" t="n">
        <v>0</v>
      </c>
      <c r="L333" t="n">
        <v>0</v>
      </c>
      <c r="M333" t="n">
        <v>0</v>
      </c>
      <c r="N333" t="n">
        <v>0</v>
      </c>
      <c r="O333" t="n">
        <v>0</v>
      </c>
      <c r="P333" t="n">
        <v>0</v>
      </c>
      <c r="Q333" t="n">
        <v>0</v>
      </c>
      <c r="R333" s="2" t="inlineStr"/>
    </row>
    <row r="334" ht="15" customHeight="1">
      <c r="A334" t="inlineStr">
        <is>
          <t>A 9524-2026</t>
        </is>
      </c>
      <c r="B334" s="1" t="n">
        <v>46071.60108796296</v>
      </c>
      <c r="C334" s="1" t="n">
        <v>46135</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9543-2026</t>
        </is>
      </c>
      <c r="B335" s="1" t="n">
        <v>46071.62486111111</v>
      </c>
      <c r="C335" s="1" t="n">
        <v>46135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44405-2025</t>
        </is>
      </c>
      <c r="B336" s="1" t="n">
        <v>45916.52405092592</v>
      </c>
      <c r="C336" s="1" t="n">
        <v>46135</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9504-2026</t>
        </is>
      </c>
      <c r="B337" s="1" t="n">
        <v>46071.57730324074</v>
      </c>
      <c r="C337" s="1" t="n">
        <v>46135</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9518-2026</t>
        </is>
      </c>
      <c r="B338" s="1" t="n">
        <v>46071.59653935185</v>
      </c>
      <c r="C338" s="1" t="n">
        <v>46135</v>
      </c>
      <c r="D338" t="inlineStr">
        <is>
          <t>GOTLANDS LÄN</t>
        </is>
      </c>
      <c r="E338" t="inlineStr">
        <is>
          <t>GOTLAND</t>
        </is>
      </c>
      <c r="G338" t="n">
        <v>6.2</v>
      </c>
      <c r="H338" t="n">
        <v>0</v>
      </c>
      <c r="I338" t="n">
        <v>0</v>
      </c>
      <c r="J338" t="n">
        <v>0</v>
      </c>
      <c r="K338" t="n">
        <v>0</v>
      </c>
      <c r="L338" t="n">
        <v>0</v>
      </c>
      <c r="M338" t="n">
        <v>0</v>
      </c>
      <c r="N338" t="n">
        <v>0</v>
      </c>
      <c r="O338" t="n">
        <v>0</v>
      </c>
      <c r="P338" t="n">
        <v>0</v>
      </c>
      <c r="Q338" t="n">
        <v>0</v>
      </c>
      <c r="R338" s="2" t="inlineStr"/>
    </row>
    <row r="339" ht="15" customHeight="1">
      <c r="A339" t="inlineStr">
        <is>
          <t>A 9519-2026</t>
        </is>
      </c>
      <c r="B339" s="1" t="n">
        <v>46071.59820601852</v>
      </c>
      <c r="C339" s="1" t="n">
        <v>46135</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52892-2021</t>
        </is>
      </c>
      <c r="B340" s="1" t="n">
        <v>44467.49048611111</v>
      </c>
      <c r="C340" s="1" t="n">
        <v>46135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58211-2024</t>
        </is>
      </c>
      <c r="B341" s="1" t="n">
        <v>45632.49292824074</v>
      </c>
      <c r="C341" s="1" t="n">
        <v>46135</v>
      </c>
      <c r="D341" t="inlineStr">
        <is>
          <t>GOTLANDS LÄN</t>
        </is>
      </c>
      <c r="E341" t="inlineStr">
        <is>
          <t>GOTLAND</t>
        </is>
      </c>
      <c r="G341" t="n">
        <v>5.4</v>
      </c>
      <c r="H341" t="n">
        <v>0</v>
      </c>
      <c r="I341" t="n">
        <v>0</v>
      </c>
      <c r="J341" t="n">
        <v>0</v>
      </c>
      <c r="K341" t="n">
        <v>0</v>
      </c>
      <c r="L341" t="n">
        <v>0</v>
      </c>
      <c r="M341" t="n">
        <v>0</v>
      </c>
      <c r="N341" t="n">
        <v>0</v>
      </c>
      <c r="O341" t="n">
        <v>0</v>
      </c>
      <c r="P341" t="n">
        <v>0</v>
      </c>
      <c r="Q341" t="n">
        <v>0</v>
      </c>
      <c r="R341" s="2" t="inlineStr"/>
    </row>
    <row r="342" ht="15" customHeight="1">
      <c r="A342" t="inlineStr">
        <is>
          <t>A 62754-2025</t>
        </is>
      </c>
      <c r="B342" s="1" t="n">
        <v>46008</v>
      </c>
      <c r="C342" s="1" t="n">
        <v>46135</v>
      </c>
      <c r="D342" t="inlineStr">
        <is>
          <t>GOTLANDS LÄN</t>
        </is>
      </c>
      <c r="E342" t="inlineStr">
        <is>
          <t>GOTLAND</t>
        </is>
      </c>
      <c r="F342" t="inlineStr">
        <is>
          <t>Övriga Aktiebolag</t>
        </is>
      </c>
      <c r="G342" t="n">
        <v>2.9</v>
      </c>
      <c r="H342" t="n">
        <v>0</v>
      </c>
      <c r="I342" t="n">
        <v>0</v>
      </c>
      <c r="J342" t="n">
        <v>0</v>
      </c>
      <c r="K342" t="n">
        <v>0</v>
      </c>
      <c r="L342" t="n">
        <v>0</v>
      </c>
      <c r="M342" t="n">
        <v>0</v>
      </c>
      <c r="N342" t="n">
        <v>0</v>
      </c>
      <c r="O342" t="n">
        <v>0</v>
      </c>
      <c r="P342" t="n">
        <v>0</v>
      </c>
      <c r="Q342" t="n">
        <v>0</v>
      </c>
      <c r="R342" s="2" t="inlineStr"/>
    </row>
    <row r="343" ht="15" customHeight="1">
      <c r="A343" t="inlineStr">
        <is>
          <t>A 1351-2025</t>
        </is>
      </c>
      <c r="B343" s="1" t="n">
        <v>45667.62246527777</v>
      </c>
      <c r="C343" s="1" t="n">
        <v>46135</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46135</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11634-2024</t>
        </is>
      </c>
      <c r="B345" s="1" t="n">
        <v>45373</v>
      </c>
      <c r="C345" s="1" t="n">
        <v>46135</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17000-2026</t>
        </is>
      </c>
      <c r="B346" s="1" t="n">
        <v>46114.42690972222</v>
      </c>
      <c r="C346" s="1" t="n">
        <v>46135</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5884-2025</t>
        </is>
      </c>
      <c r="B347" s="1" t="n">
        <v>45695.37482638889</v>
      </c>
      <c r="C347" s="1" t="n">
        <v>46135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5897-2025</t>
        </is>
      </c>
      <c r="B348" s="1" t="n">
        <v>45695.39273148148</v>
      </c>
      <c r="C348" s="1" t="n">
        <v>46135</v>
      </c>
      <c r="D348" t="inlineStr">
        <is>
          <t>GOTLANDS LÄN</t>
        </is>
      </c>
      <c r="E348" t="inlineStr">
        <is>
          <t>GOTLAND</t>
        </is>
      </c>
      <c r="G348" t="n">
        <v>3.7</v>
      </c>
      <c r="H348" t="n">
        <v>0</v>
      </c>
      <c r="I348" t="n">
        <v>0</v>
      </c>
      <c r="J348" t="n">
        <v>0</v>
      </c>
      <c r="K348" t="n">
        <v>0</v>
      </c>
      <c r="L348" t="n">
        <v>0</v>
      </c>
      <c r="M348" t="n">
        <v>0</v>
      </c>
      <c r="N348" t="n">
        <v>0</v>
      </c>
      <c r="O348" t="n">
        <v>0</v>
      </c>
      <c r="P348" t="n">
        <v>0</v>
      </c>
      <c r="Q348" t="n">
        <v>0</v>
      </c>
      <c r="R348" s="2" t="inlineStr"/>
    </row>
    <row r="349" ht="15" customHeight="1">
      <c r="A349" t="inlineStr">
        <is>
          <t>A 5909-2025</t>
        </is>
      </c>
      <c r="B349" s="1" t="n">
        <v>45695.40634259259</v>
      </c>
      <c r="C349" s="1" t="n">
        <v>46135</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60086-2022</t>
        </is>
      </c>
      <c r="B350" s="1" t="n">
        <v>44909</v>
      </c>
      <c r="C350" s="1" t="n">
        <v>46135</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22704-2023</t>
        </is>
      </c>
      <c r="B351" s="1" t="n">
        <v>45071</v>
      </c>
      <c r="C351" s="1" t="n">
        <v>46135</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16993-2026</t>
        </is>
      </c>
      <c r="B352" s="1" t="n">
        <v>46114.41918981481</v>
      </c>
      <c r="C352" s="1" t="n">
        <v>46135</v>
      </c>
      <c r="D352" t="inlineStr">
        <is>
          <t>GOTLANDS LÄN</t>
        </is>
      </c>
      <c r="E352" t="inlineStr">
        <is>
          <t>GOTLAND</t>
        </is>
      </c>
      <c r="G352" t="n">
        <v>3</v>
      </c>
      <c r="H352" t="n">
        <v>0</v>
      </c>
      <c r="I352" t="n">
        <v>0</v>
      </c>
      <c r="J352" t="n">
        <v>0</v>
      </c>
      <c r="K352" t="n">
        <v>0</v>
      </c>
      <c r="L352" t="n">
        <v>0</v>
      </c>
      <c r="M352" t="n">
        <v>0</v>
      </c>
      <c r="N352" t="n">
        <v>0</v>
      </c>
      <c r="O352" t="n">
        <v>0</v>
      </c>
      <c r="P352" t="n">
        <v>0</v>
      </c>
      <c r="Q352" t="n">
        <v>0</v>
      </c>
      <c r="R352" s="2" t="inlineStr"/>
    </row>
    <row r="353" ht="15" customHeight="1">
      <c r="A353" t="inlineStr">
        <is>
          <t>A 10284-2026</t>
        </is>
      </c>
      <c r="B353" s="1" t="n">
        <v>46076</v>
      </c>
      <c r="C353" s="1" t="n">
        <v>46135</v>
      </c>
      <c r="D353" t="inlineStr">
        <is>
          <t>GOTLANDS LÄN</t>
        </is>
      </c>
      <c r="E353" t="inlineStr">
        <is>
          <t>GOTLAND</t>
        </is>
      </c>
      <c r="G353" t="n">
        <v>5.2</v>
      </c>
      <c r="H353" t="n">
        <v>0</v>
      </c>
      <c r="I353" t="n">
        <v>0</v>
      </c>
      <c r="J353" t="n">
        <v>0</v>
      </c>
      <c r="K353" t="n">
        <v>0</v>
      </c>
      <c r="L353" t="n">
        <v>0</v>
      </c>
      <c r="M353" t="n">
        <v>0</v>
      </c>
      <c r="N353" t="n">
        <v>0</v>
      </c>
      <c r="O353" t="n">
        <v>0</v>
      </c>
      <c r="P353" t="n">
        <v>0</v>
      </c>
      <c r="Q353" t="n">
        <v>0</v>
      </c>
      <c r="R353" s="2" t="inlineStr"/>
    </row>
    <row r="354" ht="15" customHeight="1">
      <c r="A354" t="inlineStr">
        <is>
          <t>A 63152-2025</t>
        </is>
      </c>
      <c r="B354" s="1" t="n">
        <v>46010</v>
      </c>
      <c r="C354" s="1" t="n">
        <v>46135</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49874-2024</t>
        </is>
      </c>
      <c r="B355" s="1" t="n">
        <v>45597.49274305555</v>
      </c>
      <c r="C355" s="1" t="n">
        <v>46135</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25866-2022</t>
        </is>
      </c>
      <c r="B356" s="1" t="n">
        <v>44733</v>
      </c>
      <c r="C356" s="1" t="n">
        <v>46135</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10486-2026</t>
        </is>
      </c>
      <c r="B357" s="1" t="n">
        <v>46077.51425925926</v>
      </c>
      <c r="C357" s="1" t="n">
        <v>46135</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60384-2025</t>
        </is>
      </c>
      <c r="B358" s="1" t="n">
        <v>45995</v>
      </c>
      <c r="C358" s="1" t="n">
        <v>46135</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26391-2025</t>
        </is>
      </c>
      <c r="B359" s="1" t="n">
        <v>45806</v>
      </c>
      <c r="C359" s="1" t="n">
        <v>46135</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17328-2026</t>
        </is>
      </c>
      <c r="B360" s="1" t="n">
        <v>46119.61216435185</v>
      </c>
      <c r="C360" s="1" t="n">
        <v>46135</v>
      </c>
      <c r="D360" t="inlineStr">
        <is>
          <t>GOTLANDS LÄN</t>
        </is>
      </c>
      <c r="E360" t="inlineStr">
        <is>
          <t>GOTLAND</t>
        </is>
      </c>
      <c r="F360" t="inlineStr">
        <is>
          <t>Kyrkan</t>
        </is>
      </c>
      <c r="G360" t="n">
        <v>4</v>
      </c>
      <c r="H360" t="n">
        <v>0</v>
      </c>
      <c r="I360" t="n">
        <v>0</v>
      </c>
      <c r="J360" t="n">
        <v>0</v>
      </c>
      <c r="K360" t="n">
        <v>0</v>
      </c>
      <c r="L360" t="n">
        <v>0</v>
      </c>
      <c r="M360" t="n">
        <v>0</v>
      </c>
      <c r="N360" t="n">
        <v>0</v>
      </c>
      <c r="O360" t="n">
        <v>0</v>
      </c>
      <c r="P360" t="n">
        <v>0</v>
      </c>
      <c r="Q360" t="n">
        <v>0</v>
      </c>
      <c r="R360" s="2" t="inlineStr"/>
    </row>
    <row r="361" ht="15" customHeight="1">
      <c r="A361" t="inlineStr">
        <is>
          <t>A 9887-2025</t>
        </is>
      </c>
      <c r="B361" s="1" t="n">
        <v>45716</v>
      </c>
      <c r="C361" s="1" t="n">
        <v>46135</v>
      </c>
      <c r="D361" t="inlineStr">
        <is>
          <t>GOTLANDS LÄN</t>
        </is>
      </c>
      <c r="E361" t="inlineStr">
        <is>
          <t>GOTLAND</t>
        </is>
      </c>
      <c r="G361" t="n">
        <v>7.5</v>
      </c>
      <c r="H361" t="n">
        <v>0</v>
      </c>
      <c r="I361" t="n">
        <v>0</v>
      </c>
      <c r="J361" t="n">
        <v>0</v>
      </c>
      <c r="K361" t="n">
        <v>0</v>
      </c>
      <c r="L361" t="n">
        <v>0</v>
      </c>
      <c r="M361" t="n">
        <v>0</v>
      </c>
      <c r="N361" t="n">
        <v>0</v>
      </c>
      <c r="O361" t="n">
        <v>0</v>
      </c>
      <c r="P361" t="n">
        <v>0</v>
      </c>
      <c r="Q361" t="n">
        <v>0</v>
      </c>
      <c r="R361" s="2" t="inlineStr"/>
    </row>
    <row r="362" ht="15" customHeight="1">
      <c r="A362" t="inlineStr">
        <is>
          <t>A 12209-2024</t>
        </is>
      </c>
      <c r="B362" s="1" t="n">
        <v>45378</v>
      </c>
      <c r="C362" s="1" t="n">
        <v>46135</v>
      </c>
      <c r="D362" t="inlineStr">
        <is>
          <t>GOTLANDS LÄN</t>
        </is>
      </c>
      <c r="E362" t="inlineStr">
        <is>
          <t>GOTLAND</t>
        </is>
      </c>
      <c r="G362" t="n">
        <v>5.3</v>
      </c>
      <c r="H362" t="n">
        <v>0</v>
      </c>
      <c r="I362" t="n">
        <v>0</v>
      </c>
      <c r="J362" t="n">
        <v>0</v>
      </c>
      <c r="K362" t="n">
        <v>0</v>
      </c>
      <c r="L362" t="n">
        <v>0</v>
      </c>
      <c r="M362" t="n">
        <v>0</v>
      </c>
      <c r="N362" t="n">
        <v>0</v>
      </c>
      <c r="O362" t="n">
        <v>0</v>
      </c>
      <c r="P362" t="n">
        <v>0</v>
      </c>
      <c r="Q362" t="n">
        <v>0</v>
      </c>
      <c r="R362" s="2" t="inlineStr"/>
    </row>
    <row r="363" ht="15" customHeight="1">
      <c r="A363" t="inlineStr">
        <is>
          <t>A 12210-2024</t>
        </is>
      </c>
      <c r="B363" s="1" t="n">
        <v>45378</v>
      </c>
      <c r="C363" s="1" t="n">
        <v>46135</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46135</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59986-2022</t>
        </is>
      </c>
      <c r="B365" s="1" t="n">
        <v>44909</v>
      </c>
      <c r="C365" s="1" t="n">
        <v>46135</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51782-2023</t>
        </is>
      </c>
      <c r="B366" s="1" t="n">
        <v>45222.80952546297</v>
      </c>
      <c r="C366" s="1" t="n">
        <v>46135</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47637-2025</t>
        </is>
      </c>
      <c r="B367" s="1" t="n">
        <v>45931.49753472222</v>
      </c>
      <c r="C367" s="1" t="n">
        <v>46135</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60675-2021</t>
        </is>
      </c>
      <c r="B368" s="1" t="n">
        <v>44496.64855324074</v>
      </c>
      <c r="C368" s="1" t="n">
        <v>46135</v>
      </c>
      <c r="D368" t="inlineStr">
        <is>
          <t>GOTLANDS LÄN</t>
        </is>
      </c>
      <c r="E368" t="inlineStr">
        <is>
          <t>GOTLAND</t>
        </is>
      </c>
      <c r="G368" t="n">
        <v>4.6</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46135</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14638-2025</t>
        </is>
      </c>
      <c r="B370" s="1" t="n">
        <v>45742</v>
      </c>
      <c r="C370" s="1" t="n">
        <v>46135</v>
      </c>
      <c r="D370" t="inlineStr">
        <is>
          <t>GOTLANDS LÄN</t>
        </is>
      </c>
      <c r="E370" t="inlineStr">
        <is>
          <t>GOTLAND</t>
        </is>
      </c>
      <c r="G370" t="n">
        <v>13.4</v>
      </c>
      <c r="H370" t="n">
        <v>0</v>
      </c>
      <c r="I370" t="n">
        <v>0</v>
      </c>
      <c r="J370" t="n">
        <v>0</v>
      </c>
      <c r="K370" t="n">
        <v>0</v>
      </c>
      <c r="L370" t="n">
        <v>0</v>
      </c>
      <c r="M370" t="n">
        <v>0</v>
      </c>
      <c r="N370" t="n">
        <v>0</v>
      </c>
      <c r="O370" t="n">
        <v>0</v>
      </c>
      <c r="P370" t="n">
        <v>0</v>
      </c>
      <c r="Q370" t="n">
        <v>0</v>
      </c>
      <c r="R370" s="2" t="inlineStr"/>
    </row>
    <row r="371" ht="15" customHeight="1">
      <c r="A371" t="inlineStr">
        <is>
          <t>A 4421-2024</t>
        </is>
      </c>
      <c r="B371" s="1" t="n">
        <v>45327.45173611111</v>
      </c>
      <c r="C371" s="1" t="n">
        <v>46135</v>
      </c>
      <c r="D371" t="inlineStr">
        <is>
          <t>GOTLANDS LÄN</t>
        </is>
      </c>
      <c r="E371" t="inlineStr">
        <is>
          <t>GOTLAND</t>
        </is>
      </c>
      <c r="G371" t="n">
        <v>5.1</v>
      </c>
      <c r="H371" t="n">
        <v>0</v>
      </c>
      <c r="I371" t="n">
        <v>0</v>
      </c>
      <c r="J371" t="n">
        <v>0</v>
      </c>
      <c r="K371" t="n">
        <v>0</v>
      </c>
      <c r="L371" t="n">
        <v>0</v>
      </c>
      <c r="M371" t="n">
        <v>0</v>
      </c>
      <c r="N371" t="n">
        <v>0</v>
      </c>
      <c r="O371" t="n">
        <v>0</v>
      </c>
      <c r="P371" t="n">
        <v>0</v>
      </c>
      <c r="Q371" t="n">
        <v>0</v>
      </c>
      <c r="R371" s="2" t="inlineStr"/>
    </row>
    <row r="372" ht="15" customHeight="1">
      <c r="A372" t="inlineStr">
        <is>
          <t>A 17935-2026</t>
        </is>
      </c>
      <c r="B372" s="1" t="n">
        <v>46122</v>
      </c>
      <c r="C372" s="1" t="n">
        <v>46135</v>
      </c>
      <c r="D372" t="inlineStr">
        <is>
          <t>GOTLANDS LÄN</t>
        </is>
      </c>
      <c r="E372" t="inlineStr">
        <is>
          <t>GOTLAND</t>
        </is>
      </c>
      <c r="G372" t="n">
        <v>0.9</v>
      </c>
      <c r="H372" t="n">
        <v>0</v>
      </c>
      <c r="I372" t="n">
        <v>0</v>
      </c>
      <c r="J372" t="n">
        <v>0</v>
      </c>
      <c r="K372" t="n">
        <v>0</v>
      </c>
      <c r="L372" t="n">
        <v>0</v>
      </c>
      <c r="M372" t="n">
        <v>0</v>
      </c>
      <c r="N372" t="n">
        <v>0</v>
      </c>
      <c r="O372" t="n">
        <v>0</v>
      </c>
      <c r="P372" t="n">
        <v>0</v>
      </c>
      <c r="Q372" t="n">
        <v>0</v>
      </c>
      <c r="R372" s="2" t="inlineStr"/>
    </row>
    <row r="373" ht="15" customHeight="1">
      <c r="A373" t="inlineStr">
        <is>
          <t>A 31802-2024</t>
        </is>
      </c>
      <c r="B373" s="1" t="n">
        <v>45509</v>
      </c>
      <c r="C373" s="1" t="n">
        <v>46135</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17943-2026</t>
        </is>
      </c>
      <c r="B374" s="1" t="n">
        <v>46122</v>
      </c>
      <c r="C374" s="1" t="n">
        <v>46135</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20993-2023</t>
        </is>
      </c>
      <c r="B375" s="1" t="n">
        <v>45056</v>
      </c>
      <c r="C375" s="1" t="n">
        <v>46135</v>
      </c>
      <c r="D375" t="inlineStr">
        <is>
          <t>GOTLANDS LÄN</t>
        </is>
      </c>
      <c r="E375" t="inlineStr">
        <is>
          <t>GOTLAND</t>
        </is>
      </c>
      <c r="G375" t="n">
        <v>7.1</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46135</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15042-2025</t>
        </is>
      </c>
      <c r="B377" s="1" t="n">
        <v>45743</v>
      </c>
      <c r="C377" s="1" t="n">
        <v>46135</v>
      </c>
      <c r="D377" t="inlineStr">
        <is>
          <t>GOTLANDS LÄN</t>
        </is>
      </c>
      <c r="E377" t="inlineStr">
        <is>
          <t>GOTLAND</t>
        </is>
      </c>
      <c r="G377" t="n">
        <v>8.5</v>
      </c>
      <c r="H377" t="n">
        <v>0</v>
      </c>
      <c r="I377" t="n">
        <v>0</v>
      </c>
      <c r="J377" t="n">
        <v>0</v>
      </c>
      <c r="K377" t="n">
        <v>0</v>
      </c>
      <c r="L377" t="n">
        <v>0</v>
      </c>
      <c r="M377" t="n">
        <v>0</v>
      </c>
      <c r="N377" t="n">
        <v>0</v>
      </c>
      <c r="O377" t="n">
        <v>0</v>
      </c>
      <c r="P377" t="n">
        <v>0</v>
      </c>
      <c r="Q377" t="n">
        <v>0</v>
      </c>
      <c r="R377" s="2" t="inlineStr"/>
    </row>
    <row r="378" ht="15" customHeight="1">
      <c r="A378" t="inlineStr">
        <is>
          <t>A 54584-2025</t>
        </is>
      </c>
      <c r="B378" s="1" t="n">
        <v>45965.71788194445</v>
      </c>
      <c r="C378" s="1" t="n">
        <v>46135</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46135</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4420-2025</t>
        </is>
      </c>
      <c r="B380" s="1" t="n">
        <v>45686.47157407407</v>
      </c>
      <c r="C380" s="1" t="n">
        <v>46135</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35550-2025</t>
        </is>
      </c>
      <c r="B381" s="1" t="n">
        <v>45856.49324074074</v>
      </c>
      <c r="C381" s="1" t="n">
        <v>46135</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46135</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14427-2024</t>
        </is>
      </c>
      <c r="B383" s="1" t="n">
        <v>45394</v>
      </c>
      <c r="C383" s="1" t="n">
        <v>46135</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47578-2025</t>
        </is>
      </c>
      <c r="B384" s="1" t="n">
        <v>45931</v>
      </c>
      <c r="C384" s="1" t="n">
        <v>46135</v>
      </c>
      <c r="D384" t="inlineStr">
        <is>
          <t>GOTLANDS LÄN</t>
        </is>
      </c>
      <c r="E384" t="inlineStr">
        <is>
          <t>GOTLAND</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3067-2026</t>
        </is>
      </c>
      <c r="B385" s="1" t="n">
        <v>46040.59025462963</v>
      </c>
      <c r="C385" s="1" t="n">
        <v>46135</v>
      </c>
      <c r="D385" t="inlineStr">
        <is>
          <t>GOTLANDS LÄN</t>
        </is>
      </c>
      <c r="E385" t="inlineStr">
        <is>
          <t>GOTLAND</t>
        </is>
      </c>
      <c r="G385" t="n">
        <v>7.8</v>
      </c>
      <c r="H385" t="n">
        <v>0</v>
      </c>
      <c r="I385" t="n">
        <v>0</v>
      </c>
      <c r="J385" t="n">
        <v>0</v>
      </c>
      <c r="K385" t="n">
        <v>0</v>
      </c>
      <c r="L385" t="n">
        <v>0</v>
      </c>
      <c r="M385" t="n">
        <v>0</v>
      </c>
      <c r="N385" t="n">
        <v>0</v>
      </c>
      <c r="O385" t="n">
        <v>0</v>
      </c>
      <c r="P385" t="n">
        <v>0</v>
      </c>
      <c r="Q385" t="n">
        <v>0</v>
      </c>
      <c r="R385" s="2" t="inlineStr"/>
    </row>
    <row r="386" ht="15" customHeight="1">
      <c r="A386" t="inlineStr">
        <is>
          <t>A 33011-2025</t>
        </is>
      </c>
      <c r="B386" s="1" t="n">
        <v>45840</v>
      </c>
      <c r="C386" s="1" t="n">
        <v>46135</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49690-2025</t>
        </is>
      </c>
      <c r="B387" s="1" t="n">
        <v>45939.66730324074</v>
      </c>
      <c r="C387" s="1" t="n">
        <v>46135</v>
      </c>
      <c r="D387" t="inlineStr">
        <is>
          <t>GOTLANDS LÄN</t>
        </is>
      </c>
      <c r="E387" t="inlineStr">
        <is>
          <t>GOTLAND</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11414-2026</t>
        </is>
      </c>
      <c r="B388" s="1" t="n">
        <v>46083.46336805556</v>
      </c>
      <c r="C388" s="1" t="n">
        <v>46135</v>
      </c>
      <c r="D388" t="inlineStr">
        <is>
          <t>GOTLANDS LÄN</t>
        </is>
      </c>
      <c r="E388" t="inlineStr">
        <is>
          <t>GOTLAND</t>
        </is>
      </c>
      <c r="G388" t="n">
        <v>4.9</v>
      </c>
      <c r="H388" t="n">
        <v>0</v>
      </c>
      <c r="I388" t="n">
        <v>0</v>
      </c>
      <c r="J388" t="n">
        <v>0</v>
      </c>
      <c r="K388" t="n">
        <v>0</v>
      </c>
      <c r="L388" t="n">
        <v>0</v>
      </c>
      <c r="M388" t="n">
        <v>0</v>
      </c>
      <c r="N388" t="n">
        <v>0</v>
      </c>
      <c r="O388" t="n">
        <v>0</v>
      </c>
      <c r="P388" t="n">
        <v>0</v>
      </c>
      <c r="Q388" t="n">
        <v>0</v>
      </c>
      <c r="R388" s="2" t="inlineStr"/>
    </row>
    <row r="389" ht="15" customHeight="1">
      <c r="A389" t="inlineStr">
        <is>
          <t>A 12135-2026</t>
        </is>
      </c>
      <c r="B389" s="1" t="n">
        <v>46086</v>
      </c>
      <c r="C389" s="1" t="n">
        <v>46135</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11982-2026</t>
        </is>
      </c>
      <c r="B390" s="1" t="n">
        <v>46085.6434375</v>
      </c>
      <c r="C390" s="1" t="n">
        <v>46135</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18804-2026</t>
        </is>
      </c>
      <c r="B391" s="1" t="n">
        <v>46128.62366898148</v>
      </c>
      <c r="C391" s="1" t="n">
        <v>46135</v>
      </c>
      <c r="D391" t="inlineStr">
        <is>
          <t>GOTLANDS LÄN</t>
        </is>
      </c>
      <c r="E391" t="inlineStr">
        <is>
          <t>GOTLAND</t>
        </is>
      </c>
      <c r="F391" t="inlineStr">
        <is>
          <t>Kyrkan</t>
        </is>
      </c>
      <c r="G391" t="n">
        <v>2.6</v>
      </c>
      <c r="H391" t="n">
        <v>0</v>
      </c>
      <c r="I391" t="n">
        <v>0</v>
      </c>
      <c r="J391" t="n">
        <v>0</v>
      </c>
      <c r="K391" t="n">
        <v>0</v>
      </c>
      <c r="L391" t="n">
        <v>0</v>
      </c>
      <c r="M391" t="n">
        <v>0</v>
      </c>
      <c r="N391" t="n">
        <v>0</v>
      </c>
      <c r="O391" t="n">
        <v>0</v>
      </c>
      <c r="P391" t="n">
        <v>0</v>
      </c>
      <c r="Q391" t="n">
        <v>0</v>
      </c>
      <c r="R391" s="2" t="inlineStr"/>
    </row>
    <row r="392" ht="15" customHeight="1">
      <c r="A392" t="inlineStr">
        <is>
          <t>A 49257-2024</t>
        </is>
      </c>
      <c r="B392" s="1" t="n">
        <v>45595.47627314815</v>
      </c>
      <c r="C392" s="1" t="n">
        <v>46135</v>
      </c>
      <c r="D392" t="inlineStr">
        <is>
          <t>GOTLANDS LÄN</t>
        </is>
      </c>
      <c r="E392" t="inlineStr">
        <is>
          <t>GOTLAND</t>
        </is>
      </c>
      <c r="G392" t="n">
        <v>6.3</v>
      </c>
      <c r="H392" t="n">
        <v>0</v>
      </c>
      <c r="I392" t="n">
        <v>0</v>
      </c>
      <c r="J392" t="n">
        <v>0</v>
      </c>
      <c r="K392" t="n">
        <v>0</v>
      </c>
      <c r="L392" t="n">
        <v>0</v>
      </c>
      <c r="M392" t="n">
        <v>0</v>
      </c>
      <c r="N392" t="n">
        <v>0</v>
      </c>
      <c r="O392" t="n">
        <v>0</v>
      </c>
      <c r="P392" t="n">
        <v>0</v>
      </c>
      <c r="Q392" t="n">
        <v>0</v>
      </c>
      <c r="R392" s="2" t="inlineStr"/>
    </row>
    <row r="393" ht="15" customHeight="1">
      <c r="A393" t="inlineStr">
        <is>
          <t>A 20165-2022</t>
        </is>
      </c>
      <c r="B393" s="1" t="n">
        <v>44698.49854166667</v>
      </c>
      <c r="C393" s="1" t="n">
        <v>46135</v>
      </c>
      <c r="D393" t="inlineStr">
        <is>
          <t>GOTLANDS LÄN</t>
        </is>
      </c>
      <c r="E393" t="inlineStr">
        <is>
          <t>GOTLAND</t>
        </is>
      </c>
      <c r="G393" t="n">
        <v>4.1</v>
      </c>
      <c r="H393" t="n">
        <v>0</v>
      </c>
      <c r="I393" t="n">
        <v>0</v>
      </c>
      <c r="J393" t="n">
        <v>0</v>
      </c>
      <c r="K393" t="n">
        <v>0</v>
      </c>
      <c r="L393" t="n">
        <v>0</v>
      </c>
      <c r="M393" t="n">
        <v>0</v>
      </c>
      <c r="N393" t="n">
        <v>0</v>
      </c>
      <c r="O393" t="n">
        <v>0</v>
      </c>
      <c r="P393" t="n">
        <v>0</v>
      </c>
      <c r="Q393" t="n">
        <v>0</v>
      </c>
      <c r="R393" s="2" t="inlineStr"/>
    </row>
    <row r="394" ht="15" customHeight="1">
      <c r="A394" t="inlineStr">
        <is>
          <t>A 49315-2024</t>
        </is>
      </c>
      <c r="B394" s="1" t="n">
        <v>45595</v>
      </c>
      <c r="C394" s="1" t="n">
        <v>46135</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49724-2025</t>
        </is>
      </c>
      <c r="B395" s="1" t="n">
        <v>45939.83730324074</v>
      </c>
      <c r="C395" s="1" t="n">
        <v>46135</v>
      </c>
      <c r="D395" t="inlineStr">
        <is>
          <t>GOTLANDS LÄN</t>
        </is>
      </c>
      <c r="E395" t="inlineStr">
        <is>
          <t>GOTLAND</t>
        </is>
      </c>
      <c r="F395" t="inlineStr">
        <is>
          <t>Kyrkan</t>
        </is>
      </c>
      <c r="G395" t="n">
        <v>3.1</v>
      </c>
      <c r="H395" t="n">
        <v>0</v>
      </c>
      <c r="I395" t="n">
        <v>0</v>
      </c>
      <c r="J395" t="n">
        <v>0</v>
      </c>
      <c r="K395" t="n">
        <v>0</v>
      </c>
      <c r="L395" t="n">
        <v>0</v>
      </c>
      <c r="M395" t="n">
        <v>0</v>
      </c>
      <c r="N395" t="n">
        <v>0</v>
      </c>
      <c r="O395" t="n">
        <v>0</v>
      </c>
      <c r="P395" t="n">
        <v>0</v>
      </c>
      <c r="Q395" t="n">
        <v>0</v>
      </c>
      <c r="R395" s="2" t="inlineStr"/>
    </row>
    <row r="396" ht="15" customHeight="1">
      <c r="A396" t="inlineStr">
        <is>
          <t>A 49730-2025</t>
        </is>
      </c>
      <c r="B396" s="1" t="n">
        <v>45939.87613425926</v>
      </c>
      <c r="C396" s="1" t="n">
        <v>46135</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50421-2025</t>
        </is>
      </c>
      <c r="B397" s="1" t="n">
        <v>45944.66049768519</v>
      </c>
      <c r="C397" s="1" t="n">
        <v>46135</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31264-2021</t>
        </is>
      </c>
      <c r="B398" s="1" t="n">
        <v>44368</v>
      </c>
      <c r="C398" s="1" t="n">
        <v>46135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50431-2025</t>
        </is>
      </c>
      <c r="B399" s="1" t="n">
        <v>45944.68453703704</v>
      </c>
      <c r="C399" s="1" t="n">
        <v>46135</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33876-2024</t>
        </is>
      </c>
      <c r="B400" s="1" t="n">
        <v>45521.87988425926</v>
      </c>
      <c r="C400" s="1" t="n">
        <v>46135</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27596-2023</t>
        </is>
      </c>
      <c r="B401" s="1" t="n">
        <v>45097</v>
      </c>
      <c r="C401" s="1" t="n">
        <v>46135</v>
      </c>
      <c r="D401" t="inlineStr">
        <is>
          <t>GOTLANDS LÄN</t>
        </is>
      </c>
      <c r="E401" t="inlineStr">
        <is>
          <t>GOTLAND</t>
        </is>
      </c>
      <c r="G401" t="n">
        <v>3.6</v>
      </c>
      <c r="H401" t="n">
        <v>0</v>
      </c>
      <c r="I401" t="n">
        <v>0</v>
      </c>
      <c r="J401" t="n">
        <v>0</v>
      </c>
      <c r="K401" t="n">
        <v>0</v>
      </c>
      <c r="L401" t="n">
        <v>0</v>
      </c>
      <c r="M401" t="n">
        <v>0</v>
      </c>
      <c r="N401" t="n">
        <v>0</v>
      </c>
      <c r="O401" t="n">
        <v>0</v>
      </c>
      <c r="P401" t="n">
        <v>0</v>
      </c>
      <c r="Q401" t="n">
        <v>0</v>
      </c>
      <c r="R401" s="2" t="inlineStr"/>
    </row>
    <row r="402" ht="15" customHeight="1">
      <c r="A402" t="inlineStr">
        <is>
          <t>A 43223-2023</t>
        </is>
      </c>
      <c r="B402" s="1" t="n">
        <v>45183.45642361111</v>
      </c>
      <c r="C402" s="1" t="n">
        <v>46135</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61962-2024</t>
        </is>
      </c>
      <c r="B403" s="1" t="n">
        <v>45653.54340277778</v>
      </c>
      <c r="C403" s="1" t="n">
        <v>46135</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56115-2023</t>
        </is>
      </c>
      <c r="B404" s="1" t="n">
        <v>45236</v>
      </c>
      <c r="C404" s="1" t="n">
        <v>46135</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64969-2023</t>
        </is>
      </c>
      <c r="B405" s="1" t="n">
        <v>45284.54009259259</v>
      </c>
      <c r="C405" s="1" t="n">
        <v>46135</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27930-2021</t>
        </is>
      </c>
      <c r="B406" s="1" t="n">
        <v>44354</v>
      </c>
      <c r="C406" s="1" t="n">
        <v>46135</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59469-2024</t>
        </is>
      </c>
      <c r="B407" s="1" t="n">
        <v>45638</v>
      </c>
      <c r="C407" s="1" t="n">
        <v>46135</v>
      </c>
      <c r="D407" t="inlineStr">
        <is>
          <t>GOTLANDS LÄN</t>
        </is>
      </c>
      <c r="E407" t="inlineStr">
        <is>
          <t>GOTLAND</t>
        </is>
      </c>
      <c r="G407" t="n">
        <v>0.4</v>
      </c>
      <c r="H407" t="n">
        <v>0</v>
      </c>
      <c r="I407" t="n">
        <v>0</v>
      </c>
      <c r="J407" t="n">
        <v>0</v>
      </c>
      <c r="K407" t="n">
        <v>0</v>
      </c>
      <c r="L407" t="n">
        <v>0</v>
      </c>
      <c r="M407" t="n">
        <v>0</v>
      </c>
      <c r="N407" t="n">
        <v>0</v>
      </c>
      <c r="O407" t="n">
        <v>0</v>
      </c>
      <c r="P407" t="n">
        <v>0</v>
      </c>
      <c r="Q407" t="n">
        <v>0</v>
      </c>
      <c r="R407" s="2" t="inlineStr"/>
    </row>
    <row r="408" ht="15" customHeight="1">
      <c r="A408" t="inlineStr">
        <is>
          <t>A 33853-2024</t>
        </is>
      </c>
      <c r="B408" s="1" t="n">
        <v>45520.64298611111</v>
      </c>
      <c r="C408" s="1" t="n">
        <v>46135</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50928-2025</t>
        </is>
      </c>
      <c r="B409" s="1" t="n">
        <v>45946.67896990741</v>
      </c>
      <c r="C409" s="1" t="n">
        <v>46135</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51262-2025</t>
        </is>
      </c>
      <c r="B410" s="1" t="n">
        <v>45949.49872685185</v>
      </c>
      <c r="C410" s="1" t="n">
        <v>46135</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18223-2025</t>
        </is>
      </c>
      <c r="B411" s="1" t="n">
        <v>45761</v>
      </c>
      <c r="C411" s="1" t="n">
        <v>46135</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5751-2024</t>
        </is>
      </c>
      <c r="B412" s="1" t="n">
        <v>45335.32702546296</v>
      </c>
      <c r="C412" s="1" t="n">
        <v>46135</v>
      </c>
      <c r="D412" t="inlineStr">
        <is>
          <t>GOTLANDS LÄN</t>
        </is>
      </c>
      <c r="E412" t="inlineStr">
        <is>
          <t>GOTLAND</t>
        </is>
      </c>
      <c r="G412" t="n">
        <v>4.2</v>
      </c>
      <c r="H412" t="n">
        <v>0</v>
      </c>
      <c r="I412" t="n">
        <v>0</v>
      </c>
      <c r="J412" t="n">
        <v>0</v>
      </c>
      <c r="K412" t="n">
        <v>0</v>
      </c>
      <c r="L412" t="n">
        <v>0</v>
      </c>
      <c r="M412" t="n">
        <v>0</v>
      </c>
      <c r="N412" t="n">
        <v>0</v>
      </c>
      <c r="O412" t="n">
        <v>0</v>
      </c>
      <c r="P412" t="n">
        <v>0</v>
      </c>
      <c r="Q412" t="n">
        <v>0</v>
      </c>
      <c r="R412" s="2" t="inlineStr"/>
    </row>
    <row r="413" ht="15" customHeight="1">
      <c r="A413" t="inlineStr">
        <is>
          <t>A 42201-2023</t>
        </is>
      </c>
      <c r="B413" s="1" t="n">
        <v>45179</v>
      </c>
      <c r="C413" s="1" t="n">
        <v>46135</v>
      </c>
      <c r="D413" t="inlineStr">
        <is>
          <t>GOTLANDS LÄN</t>
        </is>
      </c>
      <c r="E413" t="inlineStr">
        <is>
          <t>GOTLAND</t>
        </is>
      </c>
      <c r="G413" t="n">
        <v>11.9</v>
      </c>
      <c r="H413" t="n">
        <v>0</v>
      </c>
      <c r="I413" t="n">
        <v>0</v>
      </c>
      <c r="J413" t="n">
        <v>0</v>
      </c>
      <c r="K413" t="n">
        <v>0</v>
      </c>
      <c r="L413" t="n">
        <v>0</v>
      </c>
      <c r="M413" t="n">
        <v>0</v>
      </c>
      <c r="N413" t="n">
        <v>0</v>
      </c>
      <c r="O413" t="n">
        <v>0</v>
      </c>
      <c r="P413" t="n">
        <v>0</v>
      </c>
      <c r="Q413" t="n">
        <v>0</v>
      </c>
      <c r="R413" s="2" t="inlineStr"/>
    </row>
    <row r="414" ht="15" customHeight="1">
      <c r="A414" t="inlineStr">
        <is>
          <t>A 46949-2024</t>
        </is>
      </c>
      <c r="B414" s="1" t="n">
        <v>45585</v>
      </c>
      <c r="C414" s="1" t="n">
        <v>46135</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6696-2023</t>
        </is>
      </c>
      <c r="B415" s="1" t="n">
        <v>44966.66425925926</v>
      </c>
      <c r="C415" s="1" t="n">
        <v>46135</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19322-2026</t>
        </is>
      </c>
      <c r="B416" s="1" t="n">
        <v>46129</v>
      </c>
      <c r="C416" s="1" t="n">
        <v>46135</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46135</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62836-2025</t>
        </is>
      </c>
      <c r="B418" s="1" t="n">
        <v>46008</v>
      </c>
      <c r="C418" s="1" t="n">
        <v>46135</v>
      </c>
      <c r="D418" t="inlineStr">
        <is>
          <t>GOTLANDS LÄN</t>
        </is>
      </c>
      <c r="E418" t="inlineStr">
        <is>
          <t>GOTLAND</t>
        </is>
      </c>
      <c r="G418" t="n">
        <v>6.5</v>
      </c>
      <c r="H418" t="n">
        <v>0</v>
      </c>
      <c r="I418" t="n">
        <v>0</v>
      </c>
      <c r="J418" t="n">
        <v>0</v>
      </c>
      <c r="K418" t="n">
        <v>0</v>
      </c>
      <c r="L418" t="n">
        <v>0</v>
      </c>
      <c r="M418" t="n">
        <v>0</v>
      </c>
      <c r="N418" t="n">
        <v>0</v>
      </c>
      <c r="O418" t="n">
        <v>0</v>
      </c>
      <c r="P418" t="n">
        <v>0</v>
      </c>
      <c r="Q418" t="n">
        <v>0</v>
      </c>
      <c r="R418" s="2" t="inlineStr"/>
    </row>
    <row r="419" ht="15" customHeight="1">
      <c r="A419" t="inlineStr">
        <is>
          <t>A 39479-2022</t>
        </is>
      </c>
      <c r="B419" s="1" t="n">
        <v>44818</v>
      </c>
      <c r="C419" s="1" t="n">
        <v>46135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39496-2022</t>
        </is>
      </c>
      <c r="B420" s="1" t="n">
        <v>44818</v>
      </c>
      <c r="C420" s="1" t="n">
        <v>46135</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28480-2023</t>
        </is>
      </c>
      <c r="B421" s="1" t="n">
        <v>45103</v>
      </c>
      <c r="C421" s="1" t="n">
        <v>46135</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28485-2023</t>
        </is>
      </c>
      <c r="B422" s="1" t="n">
        <v>45103.43731481482</v>
      </c>
      <c r="C422" s="1" t="n">
        <v>46135</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46135</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52249-2025</t>
        </is>
      </c>
      <c r="B424" s="1" t="n">
        <v>45953.48637731482</v>
      </c>
      <c r="C424" s="1" t="n">
        <v>46135</v>
      </c>
      <c r="D424" t="inlineStr">
        <is>
          <t>GOTLANDS LÄN</t>
        </is>
      </c>
      <c r="E424" t="inlineStr">
        <is>
          <t>GOTLAND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38165-2023</t>
        </is>
      </c>
      <c r="B425" s="1" t="n">
        <v>45161</v>
      </c>
      <c r="C425" s="1" t="n">
        <v>46135</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52637-2025</t>
        </is>
      </c>
      <c r="B426" s="1" t="n">
        <v>45954.75099537037</v>
      </c>
      <c r="C426" s="1" t="n">
        <v>46135</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46135</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44949-2023</t>
        </is>
      </c>
      <c r="B428" s="1" t="n">
        <v>45190.69520833333</v>
      </c>
      <c r="C428" s="1" t="n">
        <v>46135</v>
      </c>
      <c r="D428" t="inlineStr">
        <is>
          <t>GOTLANDS LÄN</t>
        </is>
      </c>
      <c r="E428" t="inlineStr">
        <is>
          <t>GOTLAND</t>
        </is>
      </c>
      <c r="G428" t="n">
        <v>1.4</v>
      </c>
      <c r="H428" t="n">
        <v>0</v>
      </c>
      <c r="I428" t="n">
        <v>0</v>
      </c>
      <c r="J428" t="n">
        <v>0</v>
      </c>
      <c r="K428" t="n">
        <v>0</v>
      </c>
      <c r="L428" t="n">
        <v>0</v>
      </c>
      <c r="M428" t="n">
        <v>0</v>
      </c>
      <c r="N428" t="n">
        <v>0</v>
      </c>
      <c r="O428" t="n">
        <v>0</v>
      </c>
      <c r="P428" t="n">
        <v>0</v>
      </c>
      <c r="Q428" t="n">
        <v>0</v>
      </c>
      <c r="R428" s="2" t="inlineStr"/>
    </row>
    <row r="429" ht="15" customHeight="1">
      <c r="A429" t="inlineStr">
        <is>
          <t>A 5863-2026</t>
        </is>
      </c>
      <c r="B429" s="1" t="n">
        <v>46052</v>
      </c>
      <c r="C429" s="1" t="n">
        <v>46135</v>
      </c>
      <c r="D429" t="inlineStr">
        <is>
          <t>GOTLANDS LÄN</t>
        </is>
      </c>
      <c r="E429" t="inlineStr">
        <is>
          <t>GOTLAND</t>
        </is>
      </c>
      <c r="G429" t="n">
        <v>1.8</v>
      </c>
      <c r="H429" t="n">
        <v>0</v>
      </c>
      <c r="I429" t="n">
        <v>0</v>
      </c>
      <c r="J429" t="n">
        <v>0</v>
      </c>
      <c r="K429" t="n">
        <v>0</v>
      </c>
      <c r="L429" t="n">
        <v>0</v>
      </c>
      <c r="M429" t="n">
        <v>0</v>
      </c>
      <c r="N429" t="n">
        <v>0</v>
      </c>
      <c r="O429" t="n">
        <v>0</v>
      </c>
      <c r="P429" t="n">
        <v>0</v>
      </c>
      <c r="Q429" t="n">
        <v>0</v>
      </c>
      <c r="R429" s="2" t="inlineStr"/>
    </row>
    <row r="430" ht="15" customHeight="1">
      <c r="A430" t="inlineStr">
        <is>
          <t>A 17682-2024</t>
        </is>
      </c>
      <c r="B430" s="1" t="n">
        <v>45418.42966435185</v>
      </c>
      <c r="C430" s="1" t="n">
        <v>46135</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46135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46135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53577-2025</t>
        </is>
      </c>
      <c r="B433" s="1" t="n">
        <v>45960.42224537037</v>
      </c>
      <c r="C433" s="1" t="n">
        <v>46135</v>
      </c>
      <c r="D433" t="inlineStr">
        <is>
          <t>GOTLANDS LÄN</t>
        </is>
      </c>
      <c r="E433" t="inlineStr">
        <is>
          <t>GOTLAND</t>
        </is>
      </c>
      <c r="F433" t="inlineStr">
        <is>
          <t>Övriga Aktiebolag</t>
        </is>
      </c>
      <c r="G433" t="n">
        <v>3.3</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46135</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61897-2024</t>
        </is>
      </c>
      <c r="B435" s="1" t="n">
        <v>45652.75685185185</v>
      </c>
      <c r="C435" s="1" t="n">
        <v>46135</v>
      </c>
      <c r="D435" t="inlineStr">
        <is>
          <t>GOTLANDS LÄN</t>
        </is>
      </c>
      <c r="E435" t="inlineStr">
        <is>
          <t>GOTLAND</t>
        </is>
      </c>
      <c r="G435" t="n">
        <v>6.4</v>
      </c>
      <c r="H435" t="n">
        <v>0</v>
      </c>
      <c r="I435" t="n">
        <v>0</v>
      </c>
      <c r="J435" t="n">
        <v>0</v>
      </c>
      <c r="K435" t="n">
        <v>0</v>
      </c>
      <c r="L435" t="n">
        <v>0</v>
      </c>
      <c r="M435" t="n">
        <v>0</v>
      </c>
      <c r="N435" t="n">
        <v>0</v>
      </c>
      <c r="O435" t="n">
        <v>0</v>
      </c>
      <c r="P435" t="n">
        <v>0</v>
      </c>
      <c r="Q435" t="n">
        <v>0</v>
      </c>
      <c r="R435" s="2" t="inlineStr"/>
    </row>
    <row r="436" ht="15" customHeight="1">
      <c r="A436" t="inlineStr">
        <is>
          <t>A 12032-2025</t>
        </is>
      </c>
      <c r="B436" s="1" t="n">
        <v>45728.64472222222</v>
      </c>
      <c r="C436" s="1" t="n">
        <v>46135</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53569-2025</t>
        </is>
      </c>
      <c r="B437" s="1" t="n">
        <v>45960.41155092593</v>
      </c>
      <c r="C437" s="1" t="n">
        <v>46135</v>
      </c>
      <c r="D437" t="inlineStr">
        <is>
          <t>GOTLANDS LÄN</t>
        </is>
      </c>
      <c r="E437" t="inlineStr">
        <is>
          <t>GOTLAND</t>
        </is>
      </c>
      <c r="F437" t="inlineStr">
        <is>
          <t>Övriga Aktiebolag</t>
        </is>
      </c>
      <c r="G437" t="n">
        <v>11.3</v>
      </c>
      <c r="H437" t="n">
        <v>0</v>
      </c>
      <c r="I437" t="n">
        <v>0</v>
      </c>
      <c r="J437" t="n">
        <v>0</v>
      </c>
      <c r="K437" t="n">
        <v>0</v>
      </c>
      <c r="L437" t="n">
        <v>0</v>
      </c>
      <c r="M437" t="n">
        <v>0</v>
      </c>
      <c r="N437" t="n">
        <v>0</v>
      </c>
      <c r="O437" t="n">
        <v>0</v>
      </c>
      <c r="P437" t="n">
        <v>0</v>
      </c>
      <c r="Q437" t="n">
        <v>0</v>
      </c>
      <c r="R437" s="2" t="inlineStr"/>
    </row>
    <row r="438" ht="15" customHeight="1">
      <c r="A438" t="inlineStr">
        <is>
          <t>A 15595-2024</t>
        </is>
      </c>
      <c r="B438" s="1" t="n">
        <v>45401.81480324074</v>
      </c>
      <c r="C438" s="1" t="n">
        <v>46135</v>
      </c>
      <c r="D438" t="inlineStr">
        <is>
          <t>GOTLANDS LÄN</t>
        </is>
      </c>
      <c r="E438" t="inlineStr">
        <is>
          <t>GOTLAND</t>
        </is>
      </c>
      <c r="G438" t="n">
        <v>6.4</v>
      </c>
      <c r="H438" t="n">
        <v>0</v>
      </c>
      <c r="I438" t="n">
        <v>0</v>
      </c>
      <c r="J438" t="n">
        <v>0</v>
      </c>
      <c r="K438" t="n">
        <v>0</v>
      </c>
      <c r="L438" t="n">
        <v>0</v>
      </c>
      <c r="M438" t="n">
        <v>0</v>
      </c>
      <c r="N438" t="n">
        <v>0</v>
      </c>
      <c r="O438" t="n">
        <v>0</v>
      </c>
      <c r="P438" t="n">
        <v>0</v>
      </c>
      <c r="Q438" t="n">
        <v>0</v>
      </c>
      <c r="R438" s="2" t="inlineStr"/>
    </row>
    <row r="439" ht="15" customHeight="1">
      <c r="A439" t="inlineStr">
        <is>
          <t>A 48503-2023</t>
        </is>
      </c>
      <c r="B439" s="1" t="n">
        <v>45207</v>
      </c>
      <c r="C439" s="1" t="n">
        <v>46135</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21164-2024</t>
        </is>
      </c>
      <c r="B440" s="1" t="n">
        <v>45440</v>
      </c>
      <c r="C440" s="1" t="n">
        <v>46135</v>
      </c>
      <c r="D440" t="inlineStr">
        <is>
          <t>GOTLANDS LÄN</t>
        </is>
      </c>
      <c r="E440" t="inlineStr">
        <is>
          <t>GOTLAND</t>
        </is>
      </c>
      <c r="G440" t="n">
        <v>6.3</v>
      </c>
      <c r="H440" t="n">
        <v>0</v>
      </c>
      <c r="I440" t="n">
        <v>0</v>
      </c>
      <c r="J440" t="n">
        <v>0</v>
      </c>
      <c r="K440" t="n">
        <v>0</v>
      </c>
      <c r="L440" t="n">
        <v>0</v>
      </c>
      <c r="M440" t="n">
        <v>0</v>
      </c>
      <c r="N440" t="n">
        <v>0</v>
      </c>
      <c r="O440" t="n">
        <v>0</v>
      </c>
      <c r="P440" t="n">
        <v>0</v>
      </c>
      <c r="Q440" t="n">
        <v>0</v>
      </c>
      <c r="R440" s="2" t="inlineStr"/>
    </row>
    <row r="441" ht="15" customHeight="1">
      <c r="A441" t="inlineStr">
        <is>
          <t>A 17541-2024</t>
        </is>
      </c>
      <c r="B441" s="1" t="n">
        <v>45415</v>
      </c>
      <c r="C441" s="1" t="n">
        <v>46135</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883-2025</t>
        </is>
      </c>
      <c r="B442" s="1" t="n">
        <v>45665</v>
      </c>
      <c r="C442" s="1" t="n">
        <v>46135</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13910-2025</t>
        </is>
      </c>
      <c r="B443" s="1" t="n">
        <v>45737</v>
      </c>
      <c r="C443" s="1" t="n">
        <v>46135</v>
      </c>
      <c r="D443" t="inlineStr">
        <is>
          <t>GOTLANDS LÄN</t>
        </is>
      </c>
      <c r="E443" t="inlineStr">
        <is>
          <t>GOTLAND</t>
        </is>
      </c>
      <c r="F443" t="inlineStr">
        <is>
          <t>Kommuner</t>
        </is>
      </c>
      <c r="G443" t="n">
        <v>3.2</v>
      </c>
      <c r="H443" t="n">
        <v>0</v>
      </c>
      <c r="I443" t="n">
        <v>0</v>
      </c>
      <c r="J443" t="n">
        <v>0</v>
      </c>
      <c r="K443" t="n">
        <v>0</v>
      </c>
      <c r="L443" t="n">
        <v>0</v>
      </c>
      <c r="M443" t="n">
        <v>0</v>
      </c>
      <c r="N443" t="n">
        <v>0</v>
      </c>
      <c r="O443" t="n">
        <v>0</v>
      </c>
      <c r="P443" t="n">
        <v>0</v>
      </c>
      <c r="Q443" t="n">
        <v>0</v>
      </c>
      <c r="R443" s="2" t="inlineStr"/>
    </row>
    <row r="444" ht="15" customHeight="1">
      <c r="A444" t="inlineStr">
        <is>
          <t>A 24825-2024</t>
        </is>
      </c>
      <c r="B444" s="1" t="n">
        <v>45461</v>
      </c>
      <c r="C444" s="1" t="n">
        <v>46135</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20794-2025</t>
        </is>
      </c>
      <c r="B445" s="1" t="n">
        <v>45776</v>
      </c>
      <c r="C445" s="1" t="n">
        <v>46135</v>
      </c>
      <c r="D445" t="inlineStr">
        <is>
          <t>GOTLANDS LÄN</t>
        </is>
      </c>
      <c r="E445" t="inlineStr">
        <is>
          <t>GOTLAND</t>
        </is>
      </c>
      <c r="G445" t="n">
        <v>6</v>
      </c>
      <c r="H445" t="n">
        <v>0</v>
      </c>
      <c r="I445" t="n">
        <v>0</v>
      </c>
      <c r="J445" t="n">
        <v>0</v>
      </c>
      <c r="K445" t="n">
        <v>0</v>
      </c>
      <c r="L445" t="n">
        <v>0</v>
      </c>
      <c r="M445" t="n">
        <v>0</v>
      </c>
      <c r="N445" t="n">
        <v>0</v>
      </c>
      <c r="O445" t="n">
        <v>0</v>
      </c>
      <c r="P445" t="n">
        <v>0</v>
      </c>
      <c r="Q445" t="n">
        <v>0</v>
      </c>
      <c r="R445" s="2" t="inlineStr"/>
    </row>
    <row r="446" ht="15" customHeight="1">
      <c r="A446" t="inlineStr">
        <is>
          <t>A 22031-2024</t>
        </is>
      </c>
      <c r="B446" s="1" t="n">
        <v>45443.60075231481</v>
      </c>
      <c r="C446" s="1" t="n">
        <v>46135</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17688-2024</t>
        </is>
      </c>
      <c r="B447" s="1" t="n">
        <v>45418.43575231481</v>
      </c>
      <c r="C447" s="1" t="n">
        <v>46135</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46135</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27694-2024</t>
        </is>
      </c>
      <c r="B449" s="1" t="n">
        <v>45475</v>
      </c>
      <c r="C449" s="1" t="n">
        <v>46135</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46135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39764-2022</t>
        </is>
      </c>
      <c r="B451" s="1" t="n">
        <v>44819</v>
      </c>
      <c r="C451" s="1" t="n">
        <v>46135</v>
      </c>
      <c r="D451" t="inlineStr">
        <is>
          <t>GOTLANDS LÄN</t>
        </is>
      </c>
      <c r="E451" t="inlineStr">
        <is>
          <t>GOTLAND</t>
        </is>
      </c>
      <c r="F451" t="inlineStr">
        <is>
          <t>Kyrkan</t>
        </is>
      </c>
      <c r="G451" t="n">
        <v>3.7</v>
      </c>
      <c r="H451" t="n">
        <v>0</v>
      </c>
      <c r="I451" t="n">
        <v>0</v>
      </c>
      <c r="J451" t="n">
        <v>0</v>
      </c>
      <c r="K451" t="n">
        <v>0</v>
      </c>
      <c r="L451" t="n">
        <v>0</v>
      </c>
      <c r="M451" t="n">
        <v>0</v>
      </c>
      <c r="N451" t="n">
        <v>0</v>
      </c>
      <c r="O451" t="n">
        <v>0</v>
      </c>
      <c r="P451" t="n">
        <v>0</v>
      </c>
      <c r="Q451" t="n">
        <v>0</v>
      </c>
      <c r="R451" s="2" t="inlineStr"/>
    </row>
    <row r="452" ht="15" customHeight="1">
      <c r="A452" t="inlineStr">
        <is>
          <t>A 6099-2024</t>
        </is>
      </c>
      <c r="B452" s="1" t="n">
        <v>45337</v>
      </c>
      <c r="C452" s="1" t="n">
        <v>46135</v>
      </c>
      <c r="D452" t="inlineStr">
        <is>
          <t>GOTLANDS LÄN</t>
        </is>
      </c>
      <c r="E452" t="inlineStr">
        <is>
          <t>GOTLAND</t>
        </is>
      </c>
      <c r="G452" t="n">
        <v>12.6</v>
      </c>
      <c r="H452" t="n">
        <v>0</v>
      </c>
      <c r="I452" t="n">
        <v>0</v>
      </c>
      <c r="J452" t="n">
        <v>0</v>
      </c>
      <c r="K452" t="n">
        <v>0</v>
      </c>
      <c r="L452" t="n">
        <v>0</v>
      </c>
      <c r="M452" t="n">
        <v>0</v>
      </c>
      <c r="N452" t="n">
        <v>0</v>
      </c>
      <c r="O452" t="n">
        <v>0</v>
      </c>
      <c r="P452" t="n">
        <v>0</v>
      </c>
      <c r="Q452" t="n">
        <v>0</v>
      </c>
      <c r="R452" s="2" t="inlineStr"/>
    </row>
    <row r="453" ht="15" customHeight="1">
      <c r="A453" t="inlineStr">
        <is>
          <t>A 8260-2023</t>
        </is>
      </c>
      <c r="B453" s="1" t="n">
        <v>44974.61608796296</v>
      </c>
      <c r="C453" s="1" t="n">
        <v>46135</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22287-2022</t>
        </is>
      </c>
      <c r="B454" s="1" t="n">
        <v>44712</v>
      </c>
      <c r="C454" s="1" t="n">
        <v>46135</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57534-2022</t>
        </is>
      </c>
      <c r="B455" s="1" t="n">
        <v>44896</v>
      </c>
      <c r="C455" s="1" t="n">
        <v>46135</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46135</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46135</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56688-2025</t>
        </is>
      </c>
      <c r="B458" s="1" t="n">
        <v>45975.84331018518</v>
      </c>
      <c r="C458" s="1" t="n">
        <v>46135</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56799-2025</t>
        </is>
      </c>
      <c r="B459" s="1" t="n">
        <v>45978.43392361111</v>
      </c>
      <c r="C459" s="1" t="n">
        <v>46135</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20855-2023</t>
        </is>
      </c>
      <c r="B460" s="1" t="n">
        <v>45058.82172453704</v>
      </c>
      <c r="C460" s="1" t="n">
        <v>46135</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46135</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10656-2024</t>
        </is>
      </c>
      <c r="B462" s="1" t="n">
        <v>45368</v>
      </c>
      <c r="C462" s="1" t="n">
        <v>46135</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57356-2023</t>
        </is>
      </c>
      <c r="B463" s="1" t="n">
        <v>45240</v>
      </c>
      <c r="C463" s="1" t="n">
        <v>46135</v>
      </c>
      <c r="D463" t="inlineStr">
        <is>
          <t>GOTLANDS LÄN</t>
        </is>
      </c>
      <c r="E463" t="inlineStr">
        <is>
          <t>GOTLAND</t>
        </is>
      </c>
      <c r="G463" t="n">
        <v>6.4</v>
      </c>
      <c r="H463" t="n">
        <v>0</v>
      </c>
      <c r="I463" t="n">
        <v>0</v>
      </c>
      <c r="J463" t="n">
        <v>0</v>
      </c>
      <c r="K463" t="n">
        <v>0</v>
      </c>
      <c r="L463" t="n">
        <v>0</v>
      </c>
      <c r="M463" t="n">
        <v>0</v>
      </c>
      <c r="N463" t="n">
        <v>0</v>
      </c>
      <c r="O463" t="n">
        <v>0</v>
      </c>
      <c r="P463" t="n">
        <v>0</v>
      </c>
      <c r="Q463" t="n">
        <v>0</v>
      </c>
      <c r="R463" s="2" t="inlineStr"/>
    </row>
    <row r="464" ht="15" customHeight="1">
      <c r="A464" t="inlineStr">
        <is>
          <t>A 28506-2023</t>
        </is>
      </c>
      <c r="B464" s="1" t="n">
        <v>45103</v>
      </c>
      <c r="C464" s="1" t="n">
        <v>46135</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60709-2023</t>
        </is>
      </c>
      <c r="B465" s="1" t="n">
        <v>45260</v>
      </c>
      <c r="C465" s="1" t="n">
        <v>46135</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23188-2025</t>
        </is>
      </c>
      <c r="B466" s="1" t="n">
        <v>45791</v>
      </c>
      <c r="C466" s="1" t="n">
        <v>46135</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1000-2024</t>
        </is>
      </c>
      <c r="B467" s="1" t="n">
        <v>45301.63371527778</v>
      </c>
      <c r="C467" s="1" t="n">
        <v>46135</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1010-2024</t>
        </is>
      </c>
      <c r="B468" s="1" t="n">
        <v>45301</v>
      </c>
      <c r="C468" s="1" t="n">
        <v>46135</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65249-2023</t>
        </is>
      </c>
      <c r="B469" s="1" t="n">
        <v>45290</v>
      </c>
      <c r="C469" s="1" t="n">
        <v>46135</v>
      </c>
      <c r="D469" t="inlineStr">
        <is>
          <t>GOTLANDS LÄN</t>
        </is>
      </c>
      <c r="E469" t="inlineStr">
        <is>
          <t>GOTLAND</t>
        </is>
      </c>
      <c r="G469" t="n">
        <v>2.4</v>
      </c>
      <c r="H469" t="n">
        <v>0</v>
      </c>
      <c r="I469" t="n">
        <v>0</v>
      </c>
      <c r="J469" t="n">
        <v>0</v>
      </c>
      <c r="K469" t="n">
        <v>0</v>
      </c>
      <c r="L469" t="n">
        <v>0</v>
      </c>
      <c r="M469" t="n">
        <v>0</v>
      </c>
      <c r="N469" t="n">
        <v>0</v>
      </c>
      <c r="O469" t="n">
        <v>0</v>
      </c>
      <c r="P469" t="n">
        <v>0</v>
      </c>
      <c r="Q469" t="n">
        <v>0</v>
      </c>
      <c r="R469" s="2" t="inlineStr"/>
    </row>
    <row r="470" ht="15" customHeight="1">
      <c r="A470" t="inlineStr">
        <is>
          <t>A 30956-2024</t>
        </is>
      </c>
      <c r="B470" s="1" t="n">
        <v>45499.42527777778</v>
      </c>
      <c r="C470" s="1" t="n">
        <v>46135</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59197-2025</t>
        </is>
      </c>
      <c r="B471" s="1" t="n">
        <v>45988.59846064815</v>
      </c>
      <c r="C471" s="1" t="n">
        <v>46135</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12596-2023</t>
        </is>
      </c>
      <c r="B472" s="1" t="n">
        <v>45000.43310185185</v>
      </c>
      <c r="C472" s="1" t="n">
        <v>46135</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46135</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23856-2025</t>
        </is>
      </c>
      <c r="B474" s="1" t="n">
        <v>45793</v>
      </c>
      <c r="C474" s="1" t="n">
        <v>46135</v>
      </c>
      <c r="D474" t="inlineStr">
        <is>
          <t>GOTLANDS LÄN</t>
        </is>
      </c>
      <c r="E474" t="inlineStr">
        <is>
          <t>GOTLAND</t>
        </is>
      </c>
      <c r="G474" t="n">
        <v>4.4</v>
      </c>
      <c r="H474" t="n">
        <v>0</v>
      </c>
      <c r="I474" t="n">
        <v>0</v>
      </c>
      <c r="J474" t="n">
        <v>0</v>
      </c>
      <c r="K474" t="n">
        <v>0</v>
      </c>
      <c r="L474" t="n">
        <v>0</v>
      </c>
      <c r="M474" t="n">
        <v>0</v>
      </c>
      <c r="N474" t="n">
        <v>0</v>
      </c>
      <c r="O474" t="n">
        <v>0</v>
      </c>
      <c r="P474" t="n">
        <v>0</v>
      </c>
      <c r="Q474" t="n">
        <v>0</v>
      </c>
      <c r="R474" s="2" t="inlineStr"/>
    </row>
    <row r="475" ht="15" customHeight="1">
      <c r="A475" t="inlineStr">
        <is>
          <t>A 23473-2025</t>
        </is>
      </c>
      <c r="B475" s="1" t="n">
        <v>45792</v>
      </c>
      <c r="C475" s="1" t="n">
        <v>46135</v>
      </c>
      <c r="D475" t="inlineStr">
        <is>
          <t>GOTLANDS LÄN</t>
        </is>
      </c>
      <c r="E475" t="inlineStr">
        <is>
          <t>GOTLAND</t>
        </is>
      </c>
      <c r="G475" t="n">
        <v>3.6</v>
      </c>
      <c r="H475" t="n">
        <v>0</v>
      </c>
      <c r="I475" t="n">
        <v>0</v>
      </c>
      <c r="J475" t="n">
        <v>0</v>
      </c>
      <c r="K475" t="n">
        <v>0</v>
      </c>
      <c r="L475" t="n">
        <v>0</v>
      </c>
      <c r="M475" t="n">
        <v>0</v>
      </c>
      <c r="N475" t="n">
        <v>0</v>
      </c>
      <c r="O475" t="n">
        <v>0</v>
      </c>
      <c r="P475" t="n">
        <v>0</v>
      </c>
      <c r="Q475" t="n">
        <v>0</v>
      </c>
      <c r="R475" s="2" t="inlineStr"/>
    </row>
    <row r="476" ht="15" customHeight="1">
      <c r="A476" t="inlineStr">
        <is>
          <t>A 36319-2025</t>
        </is>
      </c>
      <c r="B476" s="1" t="n">
        <v>45868</v>
      </c>
      <c r="C476" s="1" t="n">
        <v>46135</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46135</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46135</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6749-2025</t>
        </is>
      </c>
      <c r="B479" s="1" t="n">
        <v>45700</v>
      </c>
      <c r="C479" s="1" t="n">
        <v>46135</v>
      </c>
      <c r="D479" t="inlineStr">
        <is>
          <t>GOTLANDS LÄN</t>
        </is>
      </c>
      <c r="E479" t="inlineStr">
        <is>
          <t>GOTLAND</t>
        </is>
      </c>
      <c r="G479" t="n">
        <v>4.5</v>
      </c>
      <c r="H479" t="n">
        <v>0</v>
      </c>
      <c r="I479" t="n">
        <v>0</v>
      </c>
      <c r="J479" t="n">
        <v>0</v>
      </c>
      <c r="K479" t="n">
        <v>0</v>
      </c>
      <c r="L479" t="n">
        <v>0</v>
      </c>
      <c r="M479" t="n">
        <v>0</v>
      </c>
      <c r="N479" t="n">
        <v>0</v>
      </c>
      <c r="O479" t="n">
        <v>0</v>
      </c>
      <c r="P479" t="n">
        <v>0</v>
      </c>
      <c r="Q479" t="n">
        <v>0</v>
      </c>
      <c r="R479" s="2" t="inlineStr"/>
    </row>
    <row r="480" ht="15" customHeight="1">
      <c r="A480" t="inlineStr">
        <is>
          <t>A 999-2024</t>
        </is>
      </c>
      <c r="B480" s="1" t="n">
        <v>45301</v>
      </c>
      <c r="C480" s="1" t="n">
        <v>46135</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46135</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5462-2025</t>
        </is>
      </c>
      <c r="B482" s="1" t="n">
        <v>45693.29331018519</v>
      </c>
      <c r="C482" s="1" t="n">
        <v>46135</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47762-2023</t>
        </is>
      </c>
      <c r="B483" s="1" t="n">
        <v>45203.86256944444</v>
      </c>
      <c r="C483" s="1" t="n">
        <v>46135</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46135</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27602-2023</t>
        </is>
      </c>
      <c r="B485" s="1" t="n">
        <v>45097</v>
      </c>
      <c r="C485" s="1" t="n">
        <v>46135</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58780-2024</t>
        </is>
      </c>
      <c r="B486" s="1" t="n">
        <v>45635.84113425926</v>
      </c>
      <c r="C486" s="1" t="n">
        <v>46135</v>
      </c>
      <c r="D486" t="inlineStr">
        <is>
          <t>GOTLANDS LÄN</t>
        </is>
      </c>
      <c r="E486" t="inlineStr">
        <is>
          <t>GOTLAND</t>
        </is>
      </c>
      <c r="G486" t="n">
        <v>2.6</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46135</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24192-2023</t>
        </is>
      </c>
      <c r="B488" s="1" t="n">
        <v>45079</v>
      </c>
      <c r="C488" s="1" t="n">
        <v>46135</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46135</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7835-2024</t>
        </is>
      </c>
      <c r="B490" s="1" t="n">
        <v>45349.83138888889</v>
      </c>
      <c r="C490" s="1" t="n">
        <v>46135</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44624.57945601852</v>
      </c>
      <c r="C491" s="1" t="n">
        <v>46135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26810-2021</t>
        </is>
      </c>
      <c r="B492" s="1" t="n">
        <v>44349.55087962963</v>
      </c>
      <c r="C492" s="1" t="n">
        <v>46135</v>
      </c>
      <c r="D492" t="inlineStr">
        <is>
          <t>GOTLANDS LÄN</t>
        </is>
      </c>
      <c r="E492" t="inlineStr">
        <is>
          <t>GOTLAND</t>
        </is>
      </c>
      <c r="G492" t="n">
        <v>3.5</v>
      </c>
      <c r="H492" t="n">
        <v>0</v>
      </c>
      <c r="I492" t="n">
        <v>0</v>
      </c>
      <c r="J492" t="n">
        <v>0</v>
      </c>
      <c r="K492" t="n">
        <v>0</v>
      </c>
      <c r="L492" t="n">
        <v>0</v>
      </c>
      <c r="M492" t="n">
        <v>0</v>
      </c>
      <c r="N492" t="n">
        <v>0</v>
      </c>
      <c r="O492" t="n">
        <v>0</v>
      </c>
      <c r="P492" t="n">
        <v>0</v>
      </c>
      <c r="Q492" t="n">
        <v>0</v>
      </c>
      <c r="R492" s="2" t="inlineStr"/>
    </row>
    <row r="493" ht="15" customHeight="1">
      <c r="A493" t="inlineStr">
        <is>
          <t>A 25796-2025</t>
        </is>
      </c>
      <c r="B493" s="1" t="n">
        <v>45804.39543981481</v>
      </c>
      <c r="C493" s="1" t="n">
        <v>46135</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62066-2025</t>
        </is>
      </c>
      <c r="B494" s="1" t="n">
        <v>46006.34738425926</v>
      </c>
      <c r="C494" s="1" t="n">
        <v>46135</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62103-2025</t>
        </is>
      </c>
      <c r="B495" s="1" t="n">
        <v>46006</v>
      </c>
      <c r="C495" s="1" t="n">
        <v>46135</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63002-2025</t>
        </is>
      </c>
      <c r="B496" s="1" t="n">
        <v>46009.56564814815</v>
      </c>
      <c r="C496" s="1" t="n">
        <v>46135</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26465-2025</t>
        </is>
      </c>
      <c r="B497" s="1" t="n">
        <v>45807.44377314814</v>
      </c>
      <c r="C497" s="1" t="n">
        <v>46135</v>
      </c>
      <c r="D497" t="inlineStr">
        <is>
          <t>GOTLANDS LÄN</t>
        </is>
      </c>
      <c r="E497" t="inlineStr">
        <is>
          <t>GOTLAND</t>
        </is>
      </c>
      <c r="G497" t="n">
        <v>4.5</v>
      </c>
      <c r="H497" t="n">
        <v>0</v>
      </c>
      <c r="I497" t="n">
        <v>0</v>
      </c>
      <c r="J497" t="n">
        <v>0</v>
      </c>
      <c r="K497" t="n">
        <v>0</v>
      </c>
      <c r="L497" t="n">
        <v>0</v>
      </c>
      <c r="M497" t="n">
        <v>0</v>
      </c>
      <c r="N497" t="n">
        <v>0</v>
      </c>
      <c r="O497" t="n">
        <v>0</v>
      </c>
      <c r="P497" t="n">
        <v>0</v>
      </c>
      <c r="Q497" t="n">
        <v>0</v>
      </c>
      <c r="R497" s="2" t="inlineStr"/>
    </row>
    <row r="498" ht="15" customHeight="1">
      <c r="A498" t="inlineStr">
        <is>
          <t>A 28425-2023</t>
        </is>
      </c>
      <c r="B498" s="1" t="n">
        <v>45102</v>
      </c>
      <c r="C498" s="1" t="n">
        <v>46135</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26457-2025</t>
        </is>
      </c>
      <c r="B499" s="1" t="n">
        <v>45807.42773148148</v>
      </c>
      <c r="C499" s="1" t="n">
        <v>46135</v>
      </c>
      <c r="D499" t="inlineStr">
        <is>
          <t>GOTLANDS LÄN</t>
        </is>
      </c>
      <c r="E499" t="inlineStr">
        <is>
          <t>GOTLAND</t>
        </is>
      </c>
      <c r="G499" t="n">
        <v>5.7</v>
      </c>
      <c r="H499" t="n">
        <v>0</v>
      </c>
      <c r="I499" t="n">
        <v>0</v>
      </c>
      <c r="J499" t="n">
        <v>0</v>
      </c>
      <c r="K499" t="n">
        <v>0</v>
      </c>
      <c r="L499" t="n">
        <v>0</v>
      </c>
      <c r="M499" t="n">
        <v>0</v>
      </c>
      <c r="N499" t="n">
        <v>0</v>
      </c>
      <c r="O499" t="n">
        <v>0</v>
      </c>
      <c r="P499" t="n">
        <v>0</v>
      </c>
      <c r="Q499" t="n">
        <v>0</v>
      </c>
      <c r="R499" s="2" t="inlineStr"/>
    </row>
    <row r="500" ht="15" customHeight="1">
      <c r="A500" t="inlineStr">
        <is>
          <t>A 26467-2025</t>
        </is>
      </c>
      <c r="B500" s="1" t="n">
        <v>45807.44640046296</v>
      </c>
      <c r="C500" s="1" t="n">
        <v>46135</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13037-2025</t>
        </is>
      </c>
      <c r="B501" s="1" t="n">
        <v>45734</v>
      </c>
      <c r="C501" s="1" t="n">
        <v>46135</v>
      </c>
      <c r="D501" t="inlineStr">
        <is>
          <t>GOTLANDS LÄN</t>
        </is>
      </c>
      <c r="E501" t="inlineStr">
        <is>
          <t>GOTLAND</t>
        </is>
      </c>
      <c r="G501" t="n">
        <v>9.5</v>
      </c>
      <c r="H501" t="n">
        <v>0</v>
      </c>
      <c r="I501" t="n">
        <v>0</v>
      </c>
      <c r="J501" t="n">
        <v>0</v>
      </c>
      <c r="K501" t="n">
        <v>0</v>
      </c>
      <c r="L501" t="n">
        <v>0</v>
      </c>
      <c r="M501" t="n">
        <v>0</v>
      </c>
      <c r="N501" t="n">
        <v>0</v>
      </c>
      <c r="O501" t="n">
        <v>0</v>
      </c>
      <c r="P501" t="n">
        <v>0</v>
      </c>
      <c r="Q501" t="n">
        <v>0</v>
      </c>
      <c r="R501" s="2" t="inlineStr"/>
    </row>
    <row r="502" ht="15" customHeight="1">
      <c r="A502" t="inlineStr">
        <is>
          <t>A 26660-2025</t>
        </is>
      </c>
      <c r="B502" s="1" t="n">
        <v>45810.39737268518</v>
      </c>
      <c r="C502" s="1" t="n">
        <v>46135</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38649-2025</t>
        </is>
      </c>
      <c r="B503" s="1" t="n">
        <v>45884</v>
      </c>
      <c r="C503" s="1" t="n">
        <v>46135</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27355-2025</t>
        </is>
      </c>
      <c r="B504" s="1" t="n">
        <v>45812</v>
      </c>
      <c r="C504" s="1" t="n">
        <v>46135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27371-2025</t>
        </is>
      </c>
      <c r="B505" s="1" t="n">
        <v>45812</v>
      </c>
      <c r="C505" s="1" t="n">
        <v>46135</v>
      </c>
      <c r="D505" t="inlineStr">
        <is>
          <t>GOTLANDS LÄN</t>
        </is>
      </c>
      <c r="E505" t="inlineStr">
        <is>
          <t>GOTLAND</t>
        </is>
      </c>
      <c r="G505" t="n">
        <v>8</v>
      </c>
      <c r="H505" t="n">
        <v>0</v>
      </c>
      <c r="I505" t="n">
        <v>0</v>
      </c>
      <c r="J505" t="n">
        <v>0</v>
      </c>
      <c r="K505" t="n">
        <v>0</v>
      </c>
      <c r="L505" t="n">
        <v>0</v>
      </c>
      <c r="M505" t="n">
        <v>0</v>
      </c>
      <c r="N505" t="n">
        <v>0</v>
      </c>
      <c r="O505" t="n">
        <v>0</v>
      </c>
      <c r="P505" t="n">
        <v>0</v>
      </c>
      <c r="Q505" t="n">
        <v>0</v>
      </c>
      <c r="R505" s="2" t="inlineStr"/>
    </row>
    <row r="506" ht="15" customHeight="1">
      <c r="A506" t="inlineStr">
        <is>
          <t>A 61078-2025</t>
        </is>
      </c>
      <c r="B506" s="1" t="n">
        <v>46000</v>
      </c>
      <c r="C506" s="1" t="n">
        <v>46135</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36-2026</t>
        </is>
      </c>
      <c r="B507" s="1" t="n">
        <v>46024.38886574074</v>
      </c>
      <c r="C507" s="1" t="n">
        <v>46135</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7850-2025</t>
        </is>
      </c>
      <c r="B508" s="1" t="n">
        <v>45706</v>
      </c>
      <c r="C508" s="1" t="n">
        <v>46135</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6739-2025</t>
        </is>
      </c>
      <c r="B509" s="1" t="n">
        <v>45700</v>
      </c>
      <c r="C509" s="1" t="n">
        <v>46135</v>
      </c>
      <c r="D509" t="inlineStr">
        <is>
          <t>GOTLANDS LÄN</t>
        </is>
      </c>
      <c r="E509" t="inlineStr">
        <is>
          <t>GOTLAND</t>
        </is>
      </c>
      <c r="G509" t="n">
        <v>4.5</v>
      </c>
      <c r="H509" t="n">
        <v>0</v>
      </c>
      <c r="I509" t="n">
        <v>0</v>
      </c>
      <c r="J509" t="n">
        <v>0</v>
      </c>
      <c r="K509" t="n">
        <v>0</v>
      </c>
      <c r="L509" t="n">
        <v>0</v>
      </c>
      <c r="M509" t="n">
        <v>0</v>
      </c>
      <c r="N509" t="n">
        <v>0</v>
      </c>
      <c r="O509" t="n">
        <v>0</v>
      </c>
      <c r="P509" t="n">
        <v>0</v>
      </c>
      <c r="Q509" t="n">
        <v>0</v>
      </c>
      <c r="R509" s="2" t="inlineStr"/>
    </row>
    <row r="510" ht="15" customHeight="1">
      <c r="A510" t="inlineStr">
        <is>
          <t>A 62674-2025</t>
        </is>
      </c>
      <c r="B510" s="1" t="n">
        <v>46008</v>
      </c>
      <c r="C510" s="1" t="n">
        <v>46135</v>
      </c>
      <c r="D510" t="inlineStr">
        <is>
          <t>GOTLANDS LÄN</t>
        </is>
      </c>
      <c r="E510" t="inlineStr">
        <is>
          <t>GOTLAND</t>
        </is>
      </c>
      <c r="G510" t="n">
        <v>5</v>
      </c>
      <c r="H510" t="n">
        <v>0</v>
      </c>
      <c r="I510" t="n">
        <v>0</v>
      </c>
      <c r="J510" t="n">
        <v>0</v>
      </c>
      <c r="K510" t="n">
        <v>0</v>
      </c>
      <c r="L510" t="n">
        <v>0</v>
      </c>
      <c r="M510" t="n">
        <v>0</v>
      </c>
      <c r="N510" t="n">
        <v>0</v>
      </c>
      <c r="O510" t="n">
        <v>0</v>
      </c>
      <c r="P510" t="n">
        <v>0</v>
      </c>
      <c r="Q510" t="n">
        <v>0</v>
      </c>
      <c r="R510" s="2" t="inlineStr"/>
    </row>
    <row r="511" ht="15" customHeight="1">
      <c r="A511" t="inlineStr">
        <is>
          <t>A 10746-2025</t>
        </is>
      </c>
      <c r="B511" s="1" t="n">
        <v>45722.42766203704</v>
      </c>
      <c r="C511" s="1" t="n">
        <v>46135</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8444-2025</t>
        </is>
      </c>
      <c r="B512" s="1" t="n">
        <v>45709</v>
      </c>
      <c r="C512" s="1" t="n">
        <v>46135</v>
      </c>
      <c r="D512" t="inlineStr">
        <is>
          <t>GOTLANDS LÄN</t>
        </is>
      </c>
      <c r="E512" t="inlineStr">
        <is>
          <t>GOTLAND</t>
        </is>
      </c>
      <c r="G512" t="n">
        <v>5.2</v>
      </c>
      <c r="H512" t="n">
        <v>0</v>
      </c>
      <c r="I512" t="n">
        <v>0</v>
      </c>
      <c r="J512" t="n">
        <v>0</v>
      </c>
      <c r="K512" t="n">
        <v>0</v>
      </c>
      <c r="L512" t="n">
        <v>0</v>
      </c>
      <c r="M512" t="n">
        <v>0</v>
      </c>
      <c r="N512" t="n">
        <v>0</v>
      </c>
      <c r="O512" t="n">
        <v>0</v>
      </c>
      <c r="P512" t="n">
        <v>0</v>
      </c>
      <c r="Q512" t="n">
        <v>0</v>
      </c>
      <c r="R512" s="2" t="inlineStr"/>
    </row>
    <row r="513" ht="15" customHeight="1">
      <c r="A513" t="inlineStr">
        <is>
          <t>A 19905-2025</t>
        </is>
      </c>
      <c r="B513" s="1" t="n">
        <v>45771</v>
      </c>
      <c r="C513" s="1" t="n">
        <v>46135</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1355-2026</t>
        </is>
      </c>
      <c r="B514" s="1" t="n">
        <v>46031.59909722222</v>
      </c>
      <c r="C514" s="1" t="n">
        <v>46135</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1898-2026</t>
        </is>
      </c>
      <c r="B515" s="1" t="n">
        <v>46035.52024305556</v>
      </c>
      <c r="C515" s="1" t="n">
        <v>46135</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46135</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29196-2025</t>
        </is>
      </c>
      <c r="B517" s="1" t="n">
        <v>45822</v>
      </c>
      <c r="C517" s="1" t="n">
        <v>46135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2415-2026</t>
        </is>
      </c>
      <c r="B518" s="1" t="n">
        <v>46036.76203703704</v>
      </c>
      <c r="C518" s="1" t="n">
        <v>46135</v>
      </c>
      <c r="D518" t="inlineStr">
        <is>
          <t>GOTLANDS LÄN</t>
        </is>
      </c>
      <c r="E518" t="inlineStr">
        <is>
          <t>GOTLAND</t>
        </is>
      </c>
      <c r="G518" t="n">
        <v>6.9</v>
      </c>
      <c r="H518" t="n">
        <v>0</v>
      </c>
      <c r="I518" t="n">
        <v>0</v>
      </c>
      <c r="J518" t="n">
        <v>0</v>
      </c>
      <c r="K518" t="n">
        <v>0</v>
      </c>
      <c r="L518" t="n">
        <v>0</v>
      </c>
      <c r="M518" t="n">
        <v>0</v>
      </c>
      <c r="N518" t="n">
        <v>0</v>
      </c>
      <c r="O518" t="n">
        <v>0</v>
      </c>
      <c r="P518" t="n">
        <v>0</v>
      </c>
      <c r="Q518" t="n">
        <v>0</v>
      </c>
      <c r="R518" s="2" t="inlineStr"/>
    </row>
    <row r="519" ht="15" customHeight="1">
      <c r="A519" t="inlineStr">
        <is>
          <t>A 43229-2023</t>
        </is>
      </c>
      <c r="B519" s="1" t="n">
        <v>45183.46704861111</v>
      </c>
      <c r="C519" s="1" t="n">
        <v>46135</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30061-2025</t>
        </is>
      </c>
      <c r="B520" s="1" t="n">
        <v>45826.61488425926</v>
      </c>
      <c r="C520" s="1" t="n">
        <v>46135</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3253-2026</t>
        </is>
      </c>
      <c r="B521" s="1" t="n">
        <v>46041.58902777778</v>
      </c>
      <c r="C521" s="1" t="n">
        <v>46135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41038-2023</t>
        </is>
      </c>
      <c r="B522" s="1" t="n">
        <v>45173.60959490741</v>
      </c>
      <c r="C522" s="1" t="n">
        <v>46135</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58160-2024</t>
        </is>
      </c>
      <c r="B523" s="1" t="n">
        <v>45632.44927083333</v>
      </c>
      <c r="C523" s="1" t="n">
        <v>46135</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1839-2026</t>
        </is>
      </c>
      <c r="B524" s="1" t="n">
        <v>46035.3942824074</v>
      </c>
      <c r="C524" s="1" t="n">
        <v>46135</v>
      </c>
      <c r="D524" t="inlineStr">
        <is>
          <t>GOTLANDS LÄN</t>
        </is>
      </c>
      <c r="E524" t="inlineStr">
        <is>
          <t>GOTLAND</t>
        </is>
      </c>
      <c r="G524" t="n">
        <v>3.5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46048.39880787037</v>
      </c>
      <c r="C525" s="1" t="n">
        <v>46135</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4662-2026</t>
        </is>
      </c>
      <c r="B526" s="1" t="n">
        <v>46048.40949074074</v>
      </c>
      <c r="C526" s="1" t="n">
        <v>46135</v>
      </c>
      <c r="D526" t="inlineStr">
        <is>
          <t>GOTLANDS LÄN</t>
        </is>
      </c>
      <c r="E526" t="inlineStr">
        <is>
          <t>GOTLAND</t>
        </is>
      </c>
      <c r="G526" t="n">
        <v>7.6</v>
      </c>
      <c r="H526" t="n">
        <v>0</v>
      </c>
      <c r="I526" t="n">
        <v>0</v>
      </c>
      <c r="J526" t="n">
        <v>0</v>
      </c>
      <c r="K526" t="n">
        <v>0</v>
      </c>
      <c r="L526" t="n">
        <v>0</v>
      </c>
      <c r="M526" t="n">
        <v>0</v>
      </c>
      <c r="N526" t="n">
        <v>0</v>
      </c>
      <c r="O526" t="n">
        <v>0</v>
      </c>
      <c r="P526" t="n">
        <v>0</v>
      </c>
      <c r="Q526" t="n">
        <v>0</v>
      </c>
      <c r="R526" s="2" t="inlineStr"/>
    </row>
    <row r="527" ht="15" customHeight="1">
      <c r="A527" t="inlineStr">
        <is>
          <t>A 24966-2023</t>
        </is>
      </c>
      <c r="B527" s="1" t="n">
        <v>45085</v>
      </c>
      <c r="C527" s="1" t="n">
        <v>46135</v>
      </c>
      <c r="D527" t="inlineStr">
        <is>
          <t>GOTLANDS LÄN</t>
        </is>
      </c>
      <c r="E527" t="inlineStr">
        <is>
          <t>GOTLAND</t>
        </is>
      </c>
      <c r="G527" t="n">
        <v>7</v>
      </c>
      <c r="H527" t="n">
        <v>0</v>
      </c>
      <c r="I527" t="n">
        <v>0</v>
      </c>
      <c r="J527" t="n">
        <v>0</v>
      </c>
      <c r="K527" t="n">
        <v>0</v>
      </c>
      <c r="L527" t="n">
        <v>0</v>
      </c>
      <c r="M527" t="n">
        <v>0</v>
      </c>
      <c r="N527" t="n">
        <v>0</v>
      </c>
      <c r="O527" t="n">
        <v>0</v>
      </c>
      <c r="P527" t="n">
        <v>0</v>
      </c>
      <c r="Q527" t="n">
        <v>0</v>
      </c>
      <c r="R527" s="2" t="inlineStr"/>
    </row>
    <row r="528" ht="15" customHeight="1">
      <c r="A528" t="inlineStr">
        <is>
          <t>A 16109-2025</t>
        </is>
      </c>
      <c r="B528" s="1" t="n">
        <v>45750</v>
      </c>
      <c r="C528" s="1" t="n">
        <v>46135</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4646-2026</t>
        </is>
      </c>
      <c r="B529" s="1" t="n">
        <v>46048.40357638889</v>
      </c>
      <c r="C529" s="1" t="n">
        <v>46135</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32467-2025</t>
        </is>
      </c>
      <c r="B530" s="1" t="n">
        <v>45838.42111111111</v>
      </c>
      <c r="C530" s="1" t="n">
        <v>46135</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57652-2023</t>
        </is>
      </c>
      <c r="B531" s="1" t="n">
        <v>45246</v>
      </c>
      <c r="C531" s="1" t="n">
        <v>46135</v>
      </c>
      <c r="D531" t="inlineStr">
        <is>
          <t>GOTLANDS LÄN</t>
        </is>
      </c>
      <c r="E531" t="inlineStr">
        <is>
          <t>GOTLAND</t>
        </is>
      </c>
      <c r="G531" t="n">
        <v>7.2</v>
      </c>
      <c r="H531" t="n">
        <v>0</v>
      </c>
      <c r="I531" t="n">
        <v>0</v>
      </c>
      <c r="J531" t="n">
        <v>0</v>
      </c>
      <c r="K531" t="n">
        <v>0</v>
      </c>
      <c r="L531" t="n">
        <v>0</v>
      </c>
      <c r="M531" t="n">
        <v>0</v>
      </c>
      <c r="N531" t="n">
        <v>0</v>
      </c>
      <c r="O531" t="n">
        <v>0</v>
      </c>
      <c r="P531" t="n">
        <v>0</v>
      </c>
      <c r="Q531" t="n">
        <v>0</v>
      </c>
      <c r="R531" s="2" t="inlineStr"/>
    </row>
    <row r="532" ht="15" customHeight="1">
      <c r="A532" t="inlineStr">
        <is>
          <t>A 4634-2026</t>
        </is>
      </c>
      <c r="B532" s="1" t="n">
        <v>46048.39304398148</v>
      </c>
      <c r="C532" s="1" t="n">
        <v>46135</v>
      </c>
      <c r="D532" t="inlineStr">
        <is>
          <t>GOTLANDS LÄN</t>
        </is>
      </c>
      <c r="E532" t="inlineStr">
        <is>
          <t>GOTLAND</t>
        </is>
      </c>
      <c r="G532" t="n">
        <v>7.8</v>
      </c>
      <c r="H532" t="n">
        <v>0</v>
      </c>
      <c r="I532" t="n">
        <v>0</v>
      </c>
      <c r="J532" t="n">
        <v>0</v>
      </c>
      <c r="K532" t="n">
        <v>0</v>
      </c>
      <c r="L532" t="n">
        <v>0</v>
      </c>
      <c r="M532" t="n">
        <v>0</v>
      </c>
      <c r="N532" t="n">
        <v>0</v>
      </c>
      <c r="O532" t="n">
        <v>0</v>
      </c>
      <c r="P532" t="n">
        <v>0</v>
      </c>
      <c r="Q532" t="n">
        <v>0</v>
      </c>
      <c r="R532" s="2" t="inlineStr"/>
    </row>
    <row r="533" ht="15" customHeight="1">
      <c r="A533" t="inlineStr">
        <is>
          <t>A 4670-2026</t>
        </is>
      </c>
      <c r="B533" s="1" t="n">
        <v>46048.41733796296</v>
      </c>
      <c r="C533" s="1" t="n">
        <v>46135</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46135</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46135</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46135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14797-2024</t>
        </is>
      </c>
      <c r="B537" s="1" t="n">
        <v>45397.87030092593</v>
      </c>
      <c r="C537" s="1" t="n">
        <v>46135</v>
      </c>
      <c r="D537" t="inlineStr">
        <is>
          <t>GOTLANDS LÄN</t>
        </is>
      </c>
      <c r="E537" t="inlineStr">
        <is>
          <t>GOTLAND</t>
        </is>
      </c>
      <c r="G537" t="n">
        <v>8.1</v>
      </c>
      <c r="H537" t="n">
        <v>0</v>
      </c>
      <c r="I537" t="n">
        <v>0</v>
      </c>
      <c r="J537" t="n">
        <v>0</v>
      </c>
      <c r="K537" t="n">
        <v>0</v>
      </c>
      <c r="L537" t="n">
        <v>0</v>
      </c>
      <c r="M537" t="n">
        <v>0</v>
      </c>
      <c r="N537" t="n">
        <v>0</v>
      </c>
      <c r="O537" t="n">
        <v>0</v>
      </c>
      <c r="P537" t="n">
        <v>0</v>
      </c>
      <c r="Q537" t="n">
        <v>0</v>
      </c>
      <c r="R537" s="2" t="inlineStr"/>
    </row>
    <row r="538" ht="15" customHeight="1">
      <c r="A538" t="inlineStr">
        <is>
          <t>A 33007-2025</t>
        </is>
      </c>
      <c r="B538" s="1" t="n">
        <v>45840</v>
      </c>
      <c r="C538" s="1" t="n">
        <v>46135</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7837-2024</t>
        </is>
      </c>
      <c r="B539" s="1" t="n">
        <v>45349.83787037037</v>
      </c>
      <c r="C539" s="1" t="n">
        <v>46135</v>
      </c>
      <c r="D539" t="inlineStr">
        <is>
          <t>GOTLANDS LÄN</t>
        </is>
      </c>
      <c r="E539" t="inlineStr">
        <is>
          <t>GOTLAND</t>
        </is>
      </c>
      <c r="G539" t="n">
        <v>5</v>
      </c>
      <c r="H539" t="n">
        <v>0</v>
      </c>
      <c r="I539" t="n">
        <v>0</v>
      </c>
      <c r="J539" t="n">
        <v>0</v>
      </c>
      <c r="K539" t="n">
        <v>0</v>
      </c>
      <c r="L539" t="n">
        <v>0</v>
      </c>
      <c r="M539" t="n">
        <v>0</v>
      </c>
      <c r="N539" t="n">
        <v>0</v>
      </c>
      <c r="O539" t="n">
        <v>0</v>
      </c>
      <c r="P539" t="n">
        <v>0</v>
      </c>
      <c r="Q539" t="n">
        <v>0</v>
      </c>
      <c r="R539" s="2" t="inlineStr"/>
    </row>
    <row r="540" ht="15" customHeight="1">
      <c r="A540" t="inlineStr">
        <is>
          <t>A 1394-2023</t>
        </is>
      </c>
      <c r="B540" s="1" t="n">
        <v>44936.72997685185</v>
      </c>
      <c r="C540" s="1" t="n">
        <v>46135</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2676-2023</t>
        </is>
      </c>
      <c r="B541" s="1" t="n">
        <v>44944</v>
      </c>
      <c r="C541" s="1" t="n">
        <v>46135</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4387-2023</t>
        </is>
      </c>
      <c r="B542" s="1" t="n">
        <v>44955.73359953704</v>
      </c>
      <c r="C542" s="1" t="n">
        <v>46135</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1854-2026</t>
        </is>
      </c>
      <c r="B543" s="1" t="n">
        <v>46035.4171875</v>
      </c>
      <c r="C543" s="1" t="n">
        <v>46135</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49411-2023</t>
        </is>
      </c>
      <c r="B544" s="1" t="n">
        <v>45205</v>
      </c>
      <c r="C544" s="1" t="n">
        <v>46135</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37728-2024</t>
        </is>
      </c>
      <c r="B545" s="1" t="n">
        <v>45541</v>
      </c>
      <c r="C545" s="1" t="n">
        <v>46135</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46135</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13486-2026</t>
        </is>
      </c>
      <c r="B547" s="1" t="n">
        <v>46094</v>
      </c>
      <c r="C547" s="1" t="n">
        <v>46135</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22275-2023</t>
        </is>
      </c>
      <c r="B548" s="1" t="n">
        <v>45070.39875</v>
      </c>
      <c r="C548" s="1" t="n">
        <v>46135</v>
      </c>
      <c r="D548" t="inlineStr">
        <is>
          <t>GOTLANDS LÄN</t>
        </is>
      </c>
      <c r="E548" t="inlineStr">
        <is>
          <t>GOTLAND</t>
        </is>
      </c>
      <c r="G548" t="n">
        <v>7.2</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45013.69365740741</v>
      </c>
      <c r="C549" s="1" t="n">
        <v>46135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15413-2025</t>
        </is>
      </c>
      <c r="B550" s="1" t="n">
        <v>45747.451875</v>
      </c>
      <c r="C550" s="1" t="n">
        <v>46135</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63763-2023</t>
        </is>
      </c>
      <c r="B551" s="1" t="n">
        <v>45278.33944444444</v>
      </c>
      <c r="C551" s="1" t="n">
        <v>46135</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7635-2025</t>
        </is>
      </c>
      <c r="B552" s="1" t="n">
        <v>45705</v>
      </c>
      <c r="C552" s="1" t="n">
        <v>46135</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7636-2025</t>
        </is>
      </c>
      <c r="B553" s="1" t="n">
        <v>45705.7687962963</v>
      </c>
      <c r="C553" s="1" t="n">
        <v>46135</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7639-2025</t>
        </is>
      </c>
      <c r="B554" s="1" t="n">
        <v>45705.77465277778</v>
      </c>
      <c r="C554" s="1" t="n">
        <v>46135</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35096-2025</t>
        </is>
      </c>
      <c r="B555" s="1" t="n">
        <v>45852.54356481481</v>
      </c>
      <c r="C555" s="1" t="n">
        <v>46135</v>
      </c>
      <c r="D555" t="inlineStr">
        <is>
          <t>GOTLANDS LÄN</t>
        </is>
      </c>
      <c r="E555" t="inlineStr">
        <is>
          <t>GOTLAND</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61682-2024</t>
        </is>
      </c>
      <c r="B556" s="1" t="n">
        <v>45647.48824074074</v>
      </c>
      <c r="C556" s="1" t="n">
        <v>46135</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15434-2024</t>
        </is>
      </c>
      <c r="B557" s="1" t="n">
        <v>45401.38836805556</v>
      </c>
      <c r="C557" s="1" t="n">
        <v>46135</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35123-2025</t>
        </is>
      </c>
      <c r="B558" s="1" t="n">
        <v>45852.614375</v>
      </c>
      <c r="C558" s="1" t="n">
        <v>46135</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35290-2025</t>
        </is>
      </c>
      <c r="B559" s="1" t="n">
        <v>45854.38502314815</v>
      </c>
      <c r="C559" s="1" t="n">
        <v>46135</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7034-2023</t>
        </is>
      </c>
      <c r="B560" s="1" t="n">
        <v>44968.32108796296</v>
      </c>
      <c r="C560" s="1" t="n">
        <v>46135</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7042-2023</t>
        </is>
      </c>
      <c r="B561" s="1" t="n">
        <v>44968</v>
      </c>
      <c r="C561" s="1" t="n">
        <v>46135</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30104-2025</t>
        </is>
      </c>
      <c r="B562" s="1" t="n">
        <v>45826.68806712963</v>
      </c>
      <c r="C562" s="1" t="n">
        <v>46135</v>
      </c>
      <c r="D562" t="inlineStr">
        <is>
          <t>GOTLANDS LÄN</t>
        </is>
      </c>
      <c r="E562" t="inlineStr">
        <is>
          <t>GOTLAND</t>
        </is>
      </c>
      <c r="G562" t="n">
        <v>15.4</v>
      </c>
      <c r="H562" t="n">
        <v>0</v>
      </c>
      <c r="I562" t="n">
        <v>0</v>
      </c>
      <c r="J562" t="n">
        <v>0</v>
      </c>
      <c r="K562" t="n">
        <v>0</v>
      </c>
      <c r="L562" t="n">
        <v>0</v>
      </c>
      <c r="M562" t="n">
        <v>0</v>
      </c>
      <c r="N562" t="n">
        <v>0</v>
      </c>
      <c r="O562" t="n">
        <v>0</v>
      </c>
      <c r="P562" t="n">
        <v>0</v>
      </c>
      <c r="Q562" t="n">
        <v>0</v>
      </c>
      <c r="R562" s="2" t="inlineStr"/>
    </row>
    <row r="563" ht="15" customHeight="1">
      <c r="A563" t="inlineStr">
        <is>
          <t>A 2180-2025</t>
        </is>
      </c>
      <c r="B563" s="1" t="n">
        <v>45673</v>
      </c>
      <c r="C563" s="1" t="n">
        <v>46135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32669-2024</t>
        </is>
      </c>
      <c r="B564" s="1" t="n">
        <v>45514</v>
      </c>
      <c r="C564" s="1" t="n">
        <v>46135</v>
      </c>
      <c r="D564" t="inlineStr">
        <is>
          <t>GOTLANDS LÄN</t>
        </is>
      </c>
      <c r="E564" t="inlineStr">
        <is>
          <t>GOTLAND</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35537-2025</t>
        </is>
      </c>
      <c r="B565" s="1" t="n">
        <v>45856</v>
      </c>
      <c r="C565" s="1" t="n">
        <v>46135</v>
      </c>
      <c r="D565" t="inlineStr">
        <is>
          <t>GOTLANDS LÄN</t>
        </is>
      </c>
      <c r="E565" t="inlineStr">
        <is>
          <t>GOTLAND</t>
        </is>
      </c>
      <c r="G565" t="n">
        <v>16.8</v>
      </c>
      <c r="H565" t="n">
        <v>0</v>
      </c>
      <c r="I565" t="n">
        <v>0</v>
      </c>
      <c r="J565" t="n">
        <v>0</v>
      </c>
      <c r="K565" t="n">
        <v>0</v>
      </c>
      <c r="L565" t="n">
        <v>0</v>
      </c>
      <c r="M565" t="n">
        <v>0</v>
      </c>
      <c r="N565" t="n">
        <v>0</v>
      </c>
      <c r="O565" t="n">
        <v>0</v>
      </c>
      <c r="P565" t="n">
        <v>0</v>
      </c>
      <c r="Q565" t="n">
        <v>0</v>
      </c>
      <c r="R565" s="2" t="inlineStr"/>
    </row>
    <row r="566" ht="15" customHeight="1">
      <c r="A566" t="inlineStr">
        <is>
          <t>A 54074-2022</t>
        </is>
      </c>
      <c r="B566" s="1" t="n">
        <v>44881</v>
      </c>
      <c r="C566" s="1" t="n">
        <v>46135</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61694-2023</t>
        </is>
      </c>
      <c r="B567" s="1" t="n">
        <v>45264</v>
      </c>
      <c r="C567" s="1" t="n">
        <v>46135</v>
      </c>
      <c r="D567" t="inlineStr">
        <is>
          <t>GOTLANDS LÄN</t>
        </is>
      </c>
      <c r="E567" t="inlineStr">
        <is>
          <t>GOTLAND</t>
        </is>
      </c>
      <c r="G567" t="n">
        <v>4.6</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46135</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54268-2022</t>
        </is>
      </c>
      <c r="B569" s="1" t="n">
        <v>44882</v>
      </c>
      <c r="C569" s="1" t="n">
        <v>46135</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30488-2025</t>
        </is>
      </c>
      <c r="B570" s="1" t="n">
        <v>45830</v>
      </c>
      <c r="C570" s="1" t="n">
        <v>46135</v>
      </c>
      <c r="D570" t="inlineStr">
        <is>
          <t>GOTLANDS LÄN</t>
        </is>
      </c>
      <c r="E570" t="inlineStr">
        <is>
          <t>GOTLAND</t>
        </is>
      </c>
      <c r="F570" t="inlineStr">
        <is>
          <t>Kyrkan</t>
        </is>
      </c>
      <c r="G570" t="n">
        <v>3.9</v>
      </c>
      <c r="H570" t="n">
        <v>0</v>
      </c>
      <c r="I570" t="n">
        <v>0</v>
      </c>
      <c r="J570" t="n">
        <v>0</v>
      </c>
      <c r="K570" t="n">
        <v>0</v>
      </c>
      <c r="L570" t="n">
        <v>0</v>
      </c>
      <c r="M570" t="n">
        <v>0</v>
      </c>
      <c r="N570" t="n">
        <v>0</v>
      </c>
      <c r="O570" t="n">
        <v>0</v>
      </c>
      <c r="P570" t="n">
        <v>0</v>
      </c>
      <c r="Q570" t="n">
        <v>0</v>
      </c>
      <c r="R570" s="2" t="inlineStr"/>
    </row>
    <row r="571" ht="15" customHeight="1">
      <c r="A571" t="inlineStr">
        <is>
          <t>A 15216-2025</t>
        </is>
      </c>
      <c r="B571" s="1" t="n">
        <v>45744</v>
      </c>
      <c r="C571" s="1" t="n">
        <v>46135</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1446-2025</t>
        </is>
      </c>
      <c r="B572" s="1" t="n">
        <v>45669.86035879629</v>
      </c>
      <c r="C572" s="1" t="n">
        <v>46135</v>
      </c>
      <c r="D572" t="inlineStr">
        <is>
          <t>GOTLANDS LÄN</t>
        </is>
      </c>
      <c r="E572" t="inlineStr">
        <is>
          <t>GOTLAND</t>
        </is>
      </c>
      <c r="G572" t="n">
        <v>3.1</v>
      </c>
      <c r="H572" t="n">
        <v>0</v>
      </c>
      <c r="I572" t="n">
        <v>0</v>
      </c>
      <c r="J572" t="n">
        <v>0</v>
      </c>
      <c r="K572" t="n">
        <v>0</v>
      </c>
      <c r="L572" t="n">
        <v>0</v>
      </c>
      <c r="M572" t="n">
        <v>0</v>
      </c>
      <c r="N572" t="n">
        <v>0</v>
      </c>
      <c r="O572" t="n">
        <v>0</v>
      </c>
      <c r="P572" t="n">
        <v>0</v>
      </c>
      <c r="Q572" t="n">
        <v>0</v>
      </c>
      <c r="R572" s="2" t="inlineStr"/>
    </row>
    <row r="573" ht="15" customHeight="1">
      <c r="A573" t="inlineStr">
        <is>
          <t>A 1462-2025</t>
        </is>
      </c>
      <c r="B573" s="1" t="n">
        <v>45670.36319444444</v>
      </c>
      <c r="C573" s="1" t="n">
        <v>46135</v>
      </c>
      <c r="D573" t="inlineStr">
        <is>
          <t>GOTLANDS LÄN</t>
        </is>
      </c>
      <c r="E573" t="inlineStr">
        <is>
          <t>GOTLAND</t>
        </is>
      </c>
      <c r="G573" t="n">
        <v>2.8</v>
      </c>
      <c r="H573" t="n">
        <v>0</v>
      </c>
      <c r="I573" t="n">
        <v>0</v>
      </c>
      <c r="J573" t="n">
        <v>0</v>
      </c>
      <c r="K573" t="n">
        <v>0</v>
      </c>
      <c r="L573" t="n">
        <v>0</v>
      </c>
      <c r="M573" t="n">
        <v>0</v>
      </c>
      <c r="N573" t="n">
        <v>0</v>
      </c>
      <c r="O573" t="n">
        <v>0</v>
      </c>
      <c r="P573" t="n">
        <v>0</v>
      </c>
      <c r="Q573" t="n">
        <v>0</v>
      </c>
      <c r="R573" s="2" t="inlineStr"/>
    </row>
    <row r="574" ht="15" customHeight="1">
      <c r="A574" t="inlineStr">
        <is>
          <t>A 15001-2025</t>
        </is>
      </c>
      <c r="B574" s="1" t="n">
        <v>45743</v>
      </c>
      <c r="C574" s="1" t="n">
        <v>46135</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43790-2024</t>
        </is>
      </c>
      <c r="B575" s="1" t="n">
        <v>45571</v>
      </c>
      <c r="C575" s="1" t="n">
        <v>46135</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17847-2025</t>
        </is>
      </c>
      <c r="B576" s="1" t="n">
        <v>45758</v>
      </c>
      <c r="C576" s="1" t="n">
        <v>46135</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57685-2022</t>
        </is>
      </c>
      <c r="B577" s="1" t="n">
        <v>44897.4777662037</v>
      </c>
      <c r="C577" s="1" t="n">
        <v>46135</v>
      </c>
      <c r="D577" t="inlineStr">
        <is>
          <t>GOTLANDS LÄN</t>
        </is>
      </c>
      <c r="E577" t="inlineStr">
        <is>
          <t>GOTLAND</t>
        </is>
      </c>
      <c r="G577" t="n">
        <v>3.7</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46135</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18742-2025</t>
        </is>
      </c>
      <c r="B579" s="1" t="n">
        <v>45763</v>
      </c>
      <c r="C579" s="1" t="n">
        <v>46135</v>
      </c>
      <c r="D579" t="inlineStr">
        <is>
          <t>GOTLANDS LÄN</t>
        </is>
      </c>
      <c r="E579" t="inlineStr">
        <is>
          <t>GOTLAND</t>
        </is>
      </c>
      <c r="G579" t="n">
        <v>3.4</v>
      </c>
      <c r="H579" t="n">
        <v>0</v>
      </c>
      <c r="I579" t="n">
        <v>0</v>
      </c>
      <c r="J579" t="n">
        <v>0</v>
      </c>
      <c r="K579" t="n">
        <v>0</v>
      </c>
      <c r="L579" t="n">
        <v>0</v>
      </c>
      <c r="M579" t="n">
        <v>0</v>
      </c>
      <c r="N579" t="n">
        <v>0</v>
      </c>
      <c r="O579" t="n">
        <v>0</v>
      </c>
      <c r="P579" t="n">
        <v>0</v>
      </c>
      <c r="Q579" t="n">
        <v>0</v>
      </c>
      <c r="R579" s="2" t="inlineStr"/>
    </row>
    <row r="580" ht="15" customHeight="1">
      <c r="A580" t="inlineStr">
        <is>
          <t>A 35129-2025</t>
        </is>
      </c>
      <c r="B580" s="1" t="n">
        <v>45852.63224537037</v>
      </c>
      <c r="C580" s="1" t="n">
        <v>46135</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5905-2024</t>
        </is>
      </c>
      <c r="B581" s="1" t="n">
        <v>45335.88993055555</v>
      </c>
      <c r="C581" s="1" t="n">
        <v>46135</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3431-2025</t>
        </is>
      </c>
      <c r="B582" s="1" t="n">
        <v>45680.42935185185</v>
      </c>
      <c r="C582" s="1" t="n">
        <v>46135</v>
      </c>
      <c r="D582" t="inlineStr">
        <is>
          <t>GOTLANDS LÄN</t>
        </is>
      </c>
      <c r="E582" t="inlineStr">
        <is>
          <t>GOTLAND</t>
        </is>
      </c>
      <c r="G582" t="n">
        <v>4.8</v>
      </c>
      <c r="H582" t="n">
        <v>0</v>
      </c>
      <c r="I582" t="n">
        <v>0</v>
      </c>
      <c r="J582" t="n">
        <v>0</v>
      </c>
      <c r="K582" t="n">
        <v>0</v>
      </c>
      <c r="L582" t="n">
        <v>0</v>
      </c>
      <c r="M582" t="n">
        <v>0</v>
      </c>
      <c r="N582" t="n">
        <v>0</v>
      </c>
      <c r="O582" t="n">
        <v>0</v>
      </c>
      <c r="P582" t="n">
        <v>0</v>
      </c>
      <c r="Q582" t="n">
        <v>0</v>
      </c>
      <c r="R582" s="2" t="inlineStr"/>
    </row>
    <row r="583" ht="15" customHeight="1">
      <c r="A583" t="inlineStr">
        <is>
          <t>A 34407-2023</t>
        </is>
      </c>
      <c r="B583" s="1" t="n">
        <v>45132</v>
      </c>
      <c r="C583" s="1" t="n">
        <v>46135</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30892-2024</t>
        </is>
      </c>
      <c r="B584" s="1" t="n">
        <v>45491</v>
      </c>
      <c r="C584" s="1" t="n">
        <v>46135</v>
      </c>
      <c r="D584" t="inlineStr">
        <is>
          <t>GOTLANDS LÄN</t>
        </is>
      </c>
      <c r="E584" t="inlineStr">
        <is>
          <t>GOTLAND</t>
        </is>
      </c>
      <c r="G584" t="n">
        <v>6.1</v>
      </c>
      <c r="H584" t="n">
        <v>0</v>
      </c>
      <c r="I584" t="n">
        <v>0</v>
      </c>
      <c r="J584" t="n">
        <v>0</v>
      </c>
      <c r="K584" t="n">
        <v>0</v>
      </c>
      <c r="L584" t="n">
        <v>0</v>
      </c>
      <c r="M584" t="n">
        <v>0</v>
      </c>
      <c r="N584" t="n">
        <v>0</v>
      </c>
      <c r="O584" t="n">
        <v>0</v>
      </c>
      <c r="P584" t="n">
        <v>0</v>
      </c>
      <c r="Q584" t="n">
        <v>0</v>
      </c>
      <c r="R584" s="2" t="inlineStr"/>
    </row>
    <row r="585" ht="15" customHeight="1">
      <c r="A585" t="inlineStr">
        <is>
          <t>A 32958-2021</t>
        </is>
      </c>
      <c r="B585" s="1" t="n">
        <v>44376</v>
      </c>
      <c r="C585" s="1" t="n">
        <v>46135</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7858-2025</t>
        </is>
      </c>
      <c r="B586" s="1" t="n">
        <v>45706.68633101852</v>
      </c>
      <c r="C586" s="1" t="n">
        <v>46135</v>
      </c>
      <c r="D586" t="inlineStr">
        <is>
          <t>GOTLANDS LÄN</t>
        </is>
      </c>
      <c r="E586" t="inlineStr">
        <is>
          <t>GOTLAND</t>
        </is>
      </c>
      <c r="G586" t="n">
        <v>3</v>
      </c>
      <c r="H586" t="n">
        <v>0</v>
      </c>
      <c r="I586" t="n">
        <v>0</v>
      </c>
      <c r="J586" t="n">
        <v>0</v>
      </c>
      <c r="K586" t="n">
        <v>0</v>
      </c>
      <c r="L586" t="n">
        <v>0</v>
      </c>
      <c r="M586" t="n">
        <v>0</v>
      </c>
      <c r="N586" t="n">
        <v>0</v>
      </c>
      <c r="O586" t="n">
        <v>0</v>
      </c>
      <c r="P586" t="n">
        <v>0</v>
      </c>
      <c r="Q586" t="n">
        <v>0</v>
      </c>
      <c r="R586" s="2" t="inlineStr"/>
    </row>
    <row r="587" ht="15" customHeight="1">
      <c r="A587" t="inlineStr">
        <is>
          <t>A 46545-2024</t>
        </is>
      </c>
      <c r="B587" s="1" t="n">
        <v>45582.65831018519</v>
      </c>
      <c r="C587" s="1" t="n">
        <v>46135</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999-2023</t>
        </is>
      </c>
      <c r="B588" s="1" t="n">
        <v>44935</v>
      </c>
      <c r="C588" s="1" t="n">
        <v>46135</v>
      </c>
      <c r="D588" t="inlineStr">
        <is>
          <t>GOTLANDS LÄN</t>
        </is>
      </c>
      <c r="E588" t="inlineStr">
        <is>
          <t>GOTLAND</t>
        </is>
      </c>
      <c r="G588" t="n">
        <v>4.7</v>
      </c>
      <c r="H588" t="n">
        <v>0</v>
      </c>
      <c r="I588" t="n">
        <v>0</v>
      </c>
      <c r="J588" t="n">
        <v>0</v>
      </c>
      <c r="K588" t="n">
        <v>0</v>
      </c>
      <c r="L588" t="n">
        <v>0</v>
      </c>
      <c r="M588" t="n">
        <v>0</v>
      </c>
      <c r="N588" t="n">
        <v>0</v>
      </c>
      <c r="O588" t="n">
        <v>0</v>
      </c>
      <c r="P588" t="n">
        <v>0</v>
      </c>
      <c r="Q588" t="n">
        <v>0</v>
      </c>
      <c r="R588" s="2" t="inlineStr"/>
    </row>
    <row r="589" ht="15" customHeight="1">
      <c r="A589" t="inlineStr">
        <is>
          <t>A 1364-2025</t>
        </is>
      </c>
      <c r="B589" s="1" t="n">
        <v>45667.63929398148</v>
      </c>
      <c r="C589" s="1" t="n">
        <v>46135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2125-2025</t>
        </is>
      </c>
      <c r="B590" s="1" t="n">
        <v>45672.64940972222</v>
      </c>
      <c r="C590" s="1" t="n">
        <v>46135</v>
      </c>
      <c r="D590" t="inlineStr">
        <is>
          <t>GOTLANDS LÄN</t>
        </is>
      </c>
      <c r="E590" t="inlineStr">
        <is>
          <t>GOTLAND</t>
        </is>
      </c>
      <c r="G590" t="n">
        <v>2.3</v>
      </c>
      <c r="H590" t="n">
        <v>0</v>
      </c>
      <c r="I590" t="n">
        <v>0</v>
      </c>
      <c r="J590" t="n">
        <v>0</v>
      </c>
      <c r="K590" t="n">
        <v>0</v>
      </c>
      <c r="L590" t="n">
        <v>0</v>
      </c>
      <c r="M590" t="n">
        <v>0</v>
      </c>
      <c r="N590" t="n">
        <v>0</v>
      </c>
      <c r="O590" t="n">
        <v>0</v>
      </c>
      <c r="P590" t="n">
        <v>0</v>
      </c>
      <c r="Q590" t="n">
        <v>0</v>
      </c>
      <c r="R590" s="2" t="inlineStr"/>
    </row>
    <row r="591" ht="15" customHeight="1">
      <c r="A591" t="inlineStr">
        <is>
          <t>A 14141-2024</t>
        </is>
      </c>
      <c r="B591" s="1" t="n">
        <v>45392.85193287037</v>
      </c>
      <c r="C591" s="1" t="n">
        <v>46135</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12155-2023</t>
        </is>
      </c>
      <c r="B592" s="1" t="n">
        <v>44998.49106481481</v>
      </c>
      <c r="C592" s="1" t="n">
        <v>46135</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46135</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9947-2024</t>
        </is>
      </c>
      <c r="B594" s="1" t="n">
        <v>45363</v>
      </c>
      <c r="C594" s="1" t="n">
        <v>46135</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42007-2023</t>
        </is>
      </c>
      <c r="B595" s="1" t="n">
        <v>45177</v>
      </c>
      <c r="C595" s="1" t="n">
        <v>46135</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15083-2025</t>
        </is>
      </c>
      <c r="B596" s="1" t="n">
        <v>45743</v>
      </c>
      <c r="C596" s="1" t="n">
        <v>46135</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1066-2024</t>
        </is>
      </c>
      <c r="B597" s="1" t="n">
        <v>45302.285</v>
      </c>
      <c r="C597" s="1" t="n">
        <v>46135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37202-2024</t>
        </is>
      </c>
      <c r="B598" s="1" t="n">
        <v>45539.67310185185</v>
      </c>
      <c r="C598" s="1" t="n">
        <v>46135</v>
      </c>
      <c r="D598" t="inlineStr">
        <is>
          <t>GOTLANDS LÄN</t>
        </is>
      </c>
      <c r="E598" t="inlineStr">
        <is>
          <t>GOTLAND</t>
        </is>
      </c>
      <c r="G598" t="n">
        <v>0.3</v>
      </c>
      <c r="H598" t="n">
        <v>0</v>
      </c>
      <c r="I598" t="n">
        <v>0</v>
      </c>
      <c r="J598" t="n">
        <v>0</v>
      </c>
      <c r="K598" t="n">
        <v>0</v>
      </c>
      <c r="L598" t="n">
        <v>0</v>
      </c>
      <c r="M598" t="n">
        <v>0</v>
      </c>
      <c r="N598" t="n">
        <v>0</v>
      </c>
      <c r="O598" t="n">
        <v>0</v>
      </c>
      <c r="P598" t="n">
        <v>0</v>
      </c>
      <c r="Q598" t="n">
        <v>0</v>
      </c>
      <c r="R598" s="2" t="inlineStr"/>
    </row>
    <row r="599" ht="15" customHeight="1">
      <c r="A599" t="inlineStr">
        <is>
          <t>A 30815-2023</t>
        </is>
      </c>
      <c r="B599" s="1" t="n">
        <v>45112</v>
      </c>
      <c r="C599" s="1" t="n">
        <v>46135</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46400-2023</t>
        </is>
      </c>
      <c r="B600" s="1" t="n">
        <v>45197.49290509259</v>
      </c>
      <c r="C600" s="1" t="n">
        <v>46135</v>
      </c>
      <c r="D600" t="inlineStr">
        <is>
          <t>GOTLANDS LÄN</t>
        </is>
      </c>
      <c r="E600" t="inlineStr">
        <is>
          <t>GOTLAND</t>
        </is>
      </c>
      <c r="G600" t="n">
        <v>0.8</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46135</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44919-2022</t>
        </is>
      </c>
      <c r="B602" s="1" t="n">
        <v>44841</v>
      </c>
      <c r="C602" s="1" t="n">
        <v>46135</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16501-2023</t>
        </is>
      </c>
      <c r="B603" s="1" t="n">
        <v>45029</v>
      </c>
      <c r="C603" s="1" t="n">
        <v>46135</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27095-2022</t>
        </is>
      </c>
      <c r="B604" s="1" t="n">
        <v>44741</v>
      </c>
      <c r="C604" s="1" t="n">
        <v>46135</v>
      </c>
      <c r="D604" t="inlineStr">
        <is>
          <t>GOTLANDS LÄN</t>
        </is>
      </c>
      <c r="E604" t="inlineStr">
        <is>
          <t>GOTLAND</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46135</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1291-2023</t>
        </is>
      </c>
      <c r="B606" s="1" t="n">
        <v>44936.47561342592</v>
      </c>
      <c r="C606" s="1" t="n">
        <v>46135</v>
      </c>
      <c r="D606" t="inlineStr">
        <is>
          <t>GOTLANDS LÄN</t>
        </is>
      </c>
      <c r="E606" t="inlineStr">
        <is>
          <t>GOTLAND</t>
        </is>
      </c>
      <c r="G606" t="n">
        <v>7.4</v>
      </c>
      <c r="H606" t="n">
        <v>0</v>
      </c>
      <c r="I606" t="n">
        <v>0</v>
      </c>
      <c r="J606" t="n">
        <v>0</v>
      </c>
      <c r="K606" t="n">
        <v>0</v>
      </c>
      <c r="L606" t="n">
        <v>0</v>
      </c>
      <c r="M606" t="n">
        <v>0</v>
      </c>
      <c r="N606" t="n">
        <v>0</v>
      </c>
      <c r="O606" t="n">
        <v>0</v>
      </c>
      <c r="P606" t="n">
        <v>0</v>
      </c>
      <c r="Q606" t="n">
        <v>0</v>
      </c>
      <c r="R606" s="2" t="inlineStr"/>
    </row>
    <row r="607" ht="15" customHeight="1">
      <c r="A607" t="inlineStr">
        <is>
          <t>A 32330-2024</t>
        </is>
      </c>
      <c r="B607" s="1" t="n">
        <v>45512</v>
      </c>
      <c r="C607" s="1" t="n">
        <v>46135</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46135</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2719-2023</t>
        </is>
      </c>
      <c r="B609" s="1" t="n">
        <v>44944.55361111111</v>
      </c>
      <c r="C609" s="1" t="n">
        <v>46135</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17144-2025</t>
        </is>
      </c>
      <c r="B610" s="1" t="n">
        <v>45755.9499537037</v>
      </c>
      <c r="C610" s="1" t="n">
        <v>46135</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49314-2024</t>
        </is>
      </c>
      <c r="B611" s="1" t="n">
        <v>45595.55893518519</v>
      </c>
      <c r="C611" s="1" t="n">
        <v>46135</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9875-2025</t>
        </is>
      </c>
      <c r="B612" s="1" t="n">
        <v>45716</v>
      </c>
      <c r="C612" s="1" t="n">
        <v>46135</v>
      </c>
      <c r="D612" t="inlineStr">
        <is>
          <t>GOTLANDS LÄN</t>
        </is>
      </c>
      <c r="E612" t="inlineStr">
        <is>
          <t>GOTLAND</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29809-2022</t>
        </is>
      </c>
      <c r="B613" s="1" t="n">
        <v>44755.8713425926</v>
      </c>
      <c r="C613" s="1" t="n">
        <v>46135</v>
      </c>
      <c r="D613" t="inlineStr">
        <is>
          <t>GOTLANDS LÄN</t>
        </is>
      </c>
      <c r="E613" t="inlineStr">
        <is>
          <t>GOTLAND</t>
        </is>
      </c>
      <c r="G613" t="n">
        <v>11.5</v>
      </c>
      <c r="H613" t="n">
        <v>0</v>
      </c>
      <c r="I613" t="n">
        <v>0</v>
      </c>
      <c r="J613" t="n">
        <v>0</v>
      </c>
      <c r="K613" t="n">
        <v>0</v>
      </c>
      <c r="L613" t="n">
        <v>0</v>
      </c>
      <c r="M613" t="n">
        <v>0</v>
      </c>
      <c r="N613" t="n">
        <v>0</v>
      </c>
      <c r="O613" t="n">
        <v>0</v>
      </c>
      <c r="P613" t="n">
        <v>0</v>
      </c>
      <c r="Q613" t="n">
        <v>0</v>
      </c>
      <c r="R613" s="2" t="inlineStr"/>
    </row>
    <row r="614" ht="15" customHeight="1">
      <c r="A614" t="inlineStr">
        <is>
          <t>A 16361-2024</t>
        </is>
      </c>
      <c r="B614" s="1" t="n">
        <v>45407</v>
      </c>
      <c r="C614" s="1" t="n">
        <v>46135</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43081-2022</t>
        </is>
      </c>
      <c r="B615" s="1" t="n">
        <v>44833</v>
      </c>
      <c r="C615" s="1" t="n">
        <v>46135</v>
      </c>
      <c r="D615" t="inlineStr">
        <is>
          <t>GOTLANDS LÄN</t>
        </is>
      </c>
      <c r="E615" t="inlineStr">
        <is>
          <t>GOTLAND</t>
        </is>
      </c>
      <c r="G615" t="n">
        <v>6.8</v>
      </c>
      <c r="H615" t="n">
        <v>0</v>
      </c>
      <c r="I615" t="n">
        <v>0</v>
      </c>
      <c r="J615" t="n">
        <v>0</v>
      </c>
      <c r="K615" t="n">
        <v>0</v>
      </c>
      <c r="L615" t="n">
        <v>0</v>
      </c>
      <c r="M615" t="n">
        <v>0</v>
      </c>
      <c r="N615" t="n">
        <v>0</v>
      </c>
      <c r="O615" t="n">
        <v>0</v>
      </c>
      <c r="P615" t="n">
        <v>0</v>
      </c>
      <c r="Q615" t="n">
        <v>0</v>
      </c>
      <c r="R615" s="2" t="inlineStr"/>
    </row>
    <row r="616" ht="15" customHeight="1">
      <c r="A616" t="inlineStr">
        <is>
          <t>A 1175-2025</t>
        </is>
      </c>
      <c r="B616" s="1" t="n">
        <v>45667.34449074074</v>
      </c>
      <c r="C616" s="1" t="n">
        <v>46135</v>
      </c>
      <c r="D616" t="inlineStr">
        <is>
          <t>GOTLANDS LÄN</t>
        </is>
      </c>
      <c r="E616" t="inlineStr">
        <is>
          <t>GOTLAND</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3150-2025</t>
        </is>
      </c>
      <c r="B617" s="1" t="n">
        <v>45679.28974537037</v>
      </c>
      <c r="C617" s="1" t="n">
        <v>46135</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42041-2024</t>
        </is>
      </c>
      <c r="B618" s="1" t="n">
        <v>45561</v>
      </c>
      <c r="C618" s="1" t="n">
        <v>46135</v>
      </c>
      <c r="D618" t="inlineStr">
        <is>
          <t>GOTLANDS LÄN</t>
        </is>
      </c>
      <c r="E618" t="inlineStr">
        <is>
          <t>GOTLAND</t>
        </is>
      </c>
      <c r="G618" t="n">
        <v>3.2</v>
      </c>
      <c r="H618" t="n">
        <v>0</v>
      </c>
      <c r="I618" t="n">
        <v>0</v>
      </c>
      <c r="J618" t="n">
        <v>0</v>
      </c>
      <c r="K618" t="n">
        <v>0</v>
      </c>
      <c r="L618" t="n">
        <v>0</v>
      </c>
      <c r="M618" t="n">
        <v>0</v>
      </c>
      <c r="N618" t="n">
        <v>0</v>
      </c>
      <c r="O618" t="n">
        <v>0</v>
      </c>
      <c r="P618" t="n">
        <v>0</v>
      </c>
      <c r="Q618" t="n">
        <v>0</v>
      </c>
      <c r="R618" s="2" t="inlineStr"/>
    </row>
    <row r="619" ht="15" customHeight="1">
      <c r="A619" t="inlineStr">
        <is>
          <t>A 15436-2025</t>
        </is>
      </c>
      <c r="B619" s="1" t="n">
        <v>45747.47462962963</v>
      </c>
      <c r="C619" s="1" t="n">
        <v>46135</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21247-2022</t>
        </is>
      </c>
      <c r="B620" s="1" t="n">
        <v>44705.38832175926</v>
      </c>
      <c r="C620" s="1" t="n">
        <v>46135</v>
      </c>
      <c r="D620" t="inlineStr">
        <is>
          <t>GOTLANDS LÄN</t>
        </is>
      </c>
      <c r="E620" t="inlineStr">
        <is>
          <t>GOTLAND</t>
        </is>
      </c>
      <c r="G620" t="n">
        <v>16.2</v>
      </c>
      <c r="H620" t="n">
        <v>0</v>
      </c>
      <c r="I620" t="n">
        <v>0</v>
      </c>
      <c r="J620" t="n">
        <v>0</v>
      </c>
      <c r="K620" t="n">
        <v>0</v>
      </c>
      <c r="L620" t="n">
        <v>0</v>
      </c>
      <c r="M620" t="n">
        <v>0</v>
      </c>
      <c r="N620" t="n">
        <v>0</v>
      </c>
      <c r="O620" t="n">
        <v>0</v>
      </c>
      <c r="P620" t="n">
        <v>0</v>
      </c>
      <c r="Q620" t="n">
        <v>0</v>
      </c>
      <c r="R620" s="2" t="inlineStr"/>
    </row>
    <row r="621" ht="15" customHeight="1">
      <c r="A621" t="inlineStr">
        <is>
          <t>A 17780-2022</t>
        </is>
      </c>
      <c r="B621" s="1" t="n">
        <v>44682.82622685185</v>
      </c>
      <c r="C621" s="1" t="n">
        <v>46135</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63516-2023</t>
        </is>
      </c>
      <c r="B622" s="1" t="n">
        <v>45274</v>
      </c>
      <c r="C622" s="1" t="n">
        <v>46135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53935-2024</t>
        </is>
      </c>
      <c r="B623" s="1" t="n">
        <v>45615</v>
      </c>
      <c r="C623" s="1" t="n">
        <v>46135</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69112-2021</t>
        </is>
      </c>
      <c r="B624" s="1" t="n">
        <v>44530</v>
      </c>
      <c r="C624" s="1" t="n">
        <v>46135</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48734-2022</t>
        </is>
      </c>
      <c r="B625" s="1" t="n">
        <v>44855</v>
      </c>
      <c r="C625" s="1" t="n">
        <v>46135</v>
      </c>
      <c r="D625" t="inlineStr">
        <is>
          <t>GOTLANDS LÄN</t>
        </is>
      </c>
      <c r="E625" t="inlineStr">
        <is>
          <t>GOTLAND</t>
        </is>
      </c>
      <c r="G625" t="n">
        <v>1.6</v>
      </c>
      <c r="H625" t="n">
        <v>0</v>
      </c>
      <c r="I625" t="n">
        <v>0</v>
      </c>
      <c r="J625" t="n">
        <v>0</v>
      </c>
      <c r="K625" t="n">
        <v>0</v>
      </c>
      <c r="L625" t="n">
        <v>0</v>
      </c>
      <c r="M625" t="n">
        <v>0</v>
      </c>
      <c r="N625" t="n">
        <v>0</v>
      </c>
      <c r="O625" t="n">
        <v>0</v>
      </c>
      <c r="P625" t="n">
        <v>0</v>
      </c>
      <c r="Q625" t="n">
        <v>0</v>
      </c>
      <c r="R625" s="2" t="inlineStr"/>
    </row>
    <row r="626" ht="15" customHeight="1">
      <c r="A626" t="inlineStr">
        <is>
          <t>A 23516-2023</t>
        </is>
      </c>
      <c r="B626" s="1" t="n">
        <v>45076.93391203704</v>
      </c>
      <c r="C626" s="1" t="n">
        <v>46135</v>
      </c>
      <c r="D626" t="inlineStr">
        <is>
          <t>GOTLANDS LÄN</t>
        </is>
      </c>
      <c r="E626" t="inlineStr">
        <is>
          <t>GOTLAND</t>
        </is>
      </c>
      <c r="G626" t="n">
        <v>1.4</v>
      </c>
      <c r="H626" t="n">
        <v>0</v>
      </c>
      <c r="I626" t="n">
        <v>0</v>
      </c>
      <c r="J626" t="n">
        <v>0</v>
      </c>
      <c r="K626" t="n">
        <v>0</v>
      </c>
      <c r="L626" t="n">
        <v>0</v>
      </c>
      <c r="M626" t="n">
        <v>0</v>
      </c>
      <c r="N626" t="n">
        <v>0</v>
      </c>
      <c r="O626" t="n">
        <v>0</v>
      </c>
      <c r="P626" t="n">
        <v>0</v>
      </c>
      <c r="Q626" t="n">
        <v>0</v>
      </c>
      <c r="R626" s="2" t="inlineStr"/>
    </row>
    <row r="627" ht="15" customHeight="1">
      <c r="A627" t="inlineStr">
        <is>
          <t>A 43231-2023</t>
        </is>
      </c>
      <c r="B627" s="1" t="n">
        <v>45183.47025462963</v>
      </c>
      <c r="C627" s="1" t="n">
        <v>46135</v>
      </c>
      <c r="D627" t="inlineStr">
        <is>
          <t>GOTLANDS LÄN</t>
        </is>
      </c>
      <c r="E627" t="inlineStr">
        <is>
          <t>GOTLAND</t>
        </is>
      </c>
      <c r="G627" t="n">
        <v>3.6</v>
      </c>
      <c r="H627" t="n">
        <v>0</v>
      </c>
      <c r="I627" t="n">
        <v>0</v>
      </c>
      <c r="J627" t="n">
        <v>0</v>
      </c>
      <c r="K627" t="n">
        <v>0</v>
      </c>
      <c r="L627" t="n">
        <v>0</v>
      </c>
      <c r="M627" t="n">
        <v>0</v>
      </c>
      <c r="N627" t="n">
        <v>0</v>
      </c>
      <c r="O627" t="n">
        <v>0</v>
      </c>
      <c r="P627" t="n">
        <v>0</v>
      </c>
      <c r="Q627" t="n">
        <v>0</v>
      </c>
      <c r="R627" s="2" t="inlineStr"/>
    </row>
    <row r="628" ht="15" customHeight="1">
      <c r="A628" t="inlineStr">
        <is>
          <t>A 58230-2024</t>
        </is>
      </c>
      <c r="B628" s="1" t="n">
        <v>45632.51625</v>
      </c>
      <c r="C628" s="1" t="n">
        <v>46135</v>
      </c>
      <c r="D628" t="inlineStr">
        <is>
          <t>GOTLANDS LÄN</t>
        </is>
      </c>
      <c r="E628" t="inlineStr">
        <is>
          <t>GOTLAND</t>
        </is>
      </c>
      <c r="G628" t="n">
        <v>7.3</v>
      </c>
      <c r="H628" t="n">
        <v>0</v>
      </c>
      <c r="I628" t="n">
        <v>0</v>
      </c>
      <c r="J628" t="n">
        <v>0</v>
      </c>
      <c r="K628" t="n">
        <v>0</v>
      </c>
      <c r="L628" t="n">
        <v>0</v>
      </c>
      <c r="M628" t="n">
        <v>0</v>
      </c>
      <c r="N628" t="n">
        <v>0</v>
      </c>
      <c r="O628" t="n">
        <v>0</v>
      </c>
      <c r="P628" t="n">
        <v>0</v>
      </c>
      <c r="Q628" t="n">
        <v>0</v>
      </c>
      <c r="R628" s="2" t="inlineStr"/>
    </row>
    <row r="629" ht="15" customHeight="1">
      <c r="A629" t="inlineStr">
        <is>
          <t>A 64555-2023</t>
        </is>
      </c>
      <c r="B629" s="1" t="n">
        <v>45281</v>
      </c>
      <c r="C629" s="1" t="n">
        <v>46135</v>
      </c>
      <c r="D629" t="inlineStr">
        <is>
          <t>GOTLANDS LÄN</t>
        </is>
      </c>
      <c r="E629" t="inlineStr">
        <is>
          <t>GOTLAND</t>
        </is>
      </c>
      <c r="G629" t="n">
        <v>3.5</v>
      </c>
      <c r="H629" t="n">
        <v>0</v>
      </c>
      <c r="I629" t="n">
        <v>0</v>
      </c>
      <c r="J629" t="n">
        <v>0</v>
      </c>
      <c r="K629" t="n">
        <v>0</v>
      </c>
      <c r="L629" t="n">
        <v>0</v>
      </c>
      <c r="M629" t="n">
        <v>0</v>
      </c>
      <c r="N629" t="n">
        <v>0</v>
      </c>
      <c r="O629" t="n">
        <v>0</v>
      </c>
      <c r="P629" t="n">
        <v>0</v>
      </c>
      <c r="Q629" t="n">
        <v>0</v>
      </c>
      <c r="R629" s="2" t="inlineStr"/>
    </row>
    <row r="630" ht="15" customHeight="1">
      <c r="A630" t="inlineStr">
        <is>
          <t>A 457-2023</t>
        </is>
      </c>
      <c r="B630" s="1" t="n">
        <v>44929.87238425926</v>
      </c>
      <c r="C630" s="1" t="n">
        <v>46135</v>
      </c>
      <c r="D630" t="inlineStr">
        <is>
          <t>GOTLANDS LÄN</t>
        </is>
      </c>
      <c r="E630" t="inlineStr">
        <is>
          <t>GOTLAND</t>
        </is>
      </c>
      <c r="G630" t="n">
        <v>2.4</v>
      </c>
      <c r="H630" t="n">
        <v>0</v>
      </c>
      <c r="I630" t="n">
        <v>0</v>
      </c>
      <c r="J630" t="n">
        <v>0</v>
      </c>
      <c r="K630" t="n">
        <v>0</v>
      </c>
      <c r="L630" t="n">
        <v>0</v>
      </c>
      <c r="M630" t="n">
        <v>0</v>
      </c>
      <c r="N630" t="n">
        <v>0</v>
      </c>
      <c r="O630" t="n">
        <v>0</v>
      </c>
      <c r="P630" t="n">
        <v>0</v>
      </c>
      <c r="Q630" t="n">
        <v>0</v>
      </c>
      <c r="R630" s="2" t="inlineStr"/>
    </row>
    <row r="631" ht="15" customHeight="1">
      <c r="A631" t="inlineStr">
        <is>
          <t>A 459-2023</t>
        </is>
      </c>
      <c r="B631" s="1" t="n">
        <v>44929.87423611111</v>
      </c>
      <c r="C631" s="1" t="n">
        <v>46135</v>
      </c>
      <c r="D631" t="inlineStr">
        <is>
          <t>GOTLANDS LÄN</t>
        </is>
      </c>
      <c r="E631" t="inlineStr">
        <is>
          <t>GOTLAND</t>
        </is>
      </c>
      <c r="G631" t="n">
        <v>4.2</v>
      </c>
      <c r="H631" t="n">
        <v>0</v>
      </c>
      <c r="I631" t="n">
        <v>0</v>
      </c>
      <c r="J631" t="n">
        <v>0</v>
      </c>
      <c r="K631" t="n">
        <v>0</v>
      </c>
      <c r="L631" t="n">
        <v>0</v>
      </c>
      <c r="M631" t="n">
        <v>0</v>
      </c>
      <c r="N631" t="n">
        <v>0</v>
      </c>
      <c r="O631" t="n">
        <v>0</v>
      </c>
      <c r="P631" t="n">
        <v>0</v>
      </c>
      <c r="Q631" t="n">
        <v>0</v>
      </c>
      <c r="R631" s="2" t="inlineStr"/>
    </row>
    <row r="632" ht="15" customHeight="1">
      <c r="A632" t="inlineStr">
        <is>
          <t>A 876-2024</t>
        </is>
      </c>
      <c r="B632" s="1" t="n">
        <v>45301</v>
      </c>
      <c r="C632" s="1" t="n">
        <v>46135</v>
      </c>
      <c r="D632" t="inlineStr">
        <is>
          <t>GOTLANDS LÄN</t>
        </is>
      </c>
      <c r="E632" t="inlineStr">
        <is>
          <t>GOTLAND</t>
        </is>
      </c>
      <c r="G632" t="n">
        <v>5.3</v>
      </c>
      <c r="H632" t="n">
        <v>0</v>
      </c>
      <c r="I632" t="n">
        <v>0</v>
      </c>
      <c r="J632" t="n">
        <v>0</v>
      </c>
      <c r="K632" t="n">
        <v>0</v>
      </c>
      <c r="L632" t="n">
        <v>0</v>
      </c>
      <c r="M632" t="n">
        <v>0</v>
      </c>
      <c r="N632" t="n">
        <v>0</v>
      </c>
      <c r="O632" t="n">
        <v>0</v>
      </c>
      <c r="P632" t="n">
        <v>0</v>
      </c>
      <c r="Q632" t="n">
        <v>0</v>
      </c>
      <c r="R632" s="2" t="inlineStr"/>
    </row>
    <row r="633" ht="15" customHeight="1">
      <c r="A633" t="inlineStr">
        <is>
          <t>A 26891-2024</t>
        </is>
      </c>
      <c r="B633" s="1" t="n">
        <v>45470.65540509259</v>
      </c>
      <c r="C633" s="1" t="n">
        <v>46135</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5923-2023</t>
        </is>
      </c>
      <c r="B634" s="1" t="n">
        <v>44963.69503472222</v>
      </c>
      <c r="C634" s="1" t="n">
        <v>46135</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50482-2024</t>
        </is>
      </c>
      <c r="B635" s="1" t="n">
        <v>45601.48114583334</v>
      </c>
      <c r="C635" s="1" t="n">
        <v>46135</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5943-2024</t>
        </is>
      </c>
      <c r="B636" s="1" t="n">
        <v>45336</v>
      </c>
      <c r="C636" s="1" t="n">
        <v>46135</v>
      </c>
      <c r="D636" t="inlineStr">
        <is>
          <t>GOTLANDS LÄN</t>
        </is>
      </c>
      <c r="E636" t="inlineStr">
        <is>
          <t>GOTLAND</t>
        </is>
      </c>
      <c r="G636" t="n">
        <v>4.3</v>
      </c>
      <c r="H636" t="n">
        <v>0</v>
      </c>
      <c r="I636" t="n">
        <v>0</v>
      </c>
      <c r="J636" t="n">
        <v>0</v>
      </c>
      <c r="K636" t="n">
        <v>0</v>
      </c>
      <c r="L636" t="n">
        <v>0</v>
      </c>
      <c r="M636" t="n">
        <v>0</v>
      </c>
      <c r="N636" t="n">
        <v>0</v>
      </c>
      <c r="O636" t="n">
        <v>0</v>
      </c>
      <c r="P636" t="n">
        <v>0</v>
      </c>
      <c r="Q636" t="n">
        <v>0</v>
      </c>
      <c r="R636" s="2" t="inlineStr"/>
    </row>
    <row r="637" ht="15" customHeight="1">
      <c r="A637" t="inlineStr">
        <is>
          <t>A 38234-2023</t>
        </is>
      </c>
      <c r="B637" s="1" t="n">
        <v>45161.56663194444</v>
      </c>
      <c r="C637" s="1" t="n">
        <v>46135</v>
      </c>
      <c r="D637" t="inlineStr">
        <is>
          <t>GOTLANDS LÄN</t>
        </is>
      </c>
      <c r="E637" t="inlineStr">
        <is>
          <t>GOTLAND</t>
        </is>
      </c>
      <c r="G637" t="n">
        <v>1.3</v>
      </c>
      <c r="H637" t="n">
        <v>0</v>
      </c>
      <c r="I637" t="n">
        <v>0</v>
      </c>
      <c r="J637" t="n">
        <v>0</v>
      </c>
      <c r="K637" t="n">
        <v>0</v>
      </c>
      <c r="L637" t="n">
        <v>0</v>
      </c>
      <c r="M637" t="n">
        <v>0</v>
      </c>
      <c r="N637" t="n">
        <v>0</v>
      </c>
      <c r="O637" t="n">
        <v>0</v>
      </c>
      <c r="P637" t="n">
        <v>0</v>
      </c>
      <c r="Q637" t="n">
        <v>0</v>
      </c>
      <c r="R637" s="2" t="inlineStr"/>
    </row>
    <row r="638" ht="15" customHeight="1">
      <c r="A638" t="inlineStr">
        <is>
          <t>A 1273-2023</t>
        </is>
      </c>
      <c r="B638" s="1" t="n">
        <v>44936</v>
      </c>
      <c r="C638" s="1" t="n">
        <v>46135</v>
      </c>
      <c r="D638" t="inlineStr">
        <is>
          <t>GOTLANDS LÄN</t>
        </is>
      </c>
      <c r="E638" t="inlineStr">
        <is>
          <t>GOTLAND</t>
        </is>
      </c>
      <c r="G638" t="n">
        <v>4.5</v>
      </c>
      <c r="H638" t="n">
        <v>0</v>
      </c>
      <c r="I638" t="n">
        <v>0</v>
      </c>
      <c r="J638" t="n">
        <v>0</v>
      </c>
      <c r="K638" t="n">
        <v>0</v>
      </c>
      <c r="L638" t="n">
        <v>0</v>
      </c>
      <c r="M638" t="n">
        <v>0</v>
      </c>
      <c r="N638" t="n">
        <v>0</v>
      </c>
      <c r="O638" t="n">
        <v>0</v>
      </c>
      <c r="P638" t="n">
        <v>0</v>
      </c>
      <c r="Q638" t="n">
        <v>0</v>
      </c>
      <c r="R638" s="2" t="inlineStr"/>
    </row>
    <row r="639" ht="15" customHeight="1">
      <c r="A639" t="inlineStr">
        <is>
          <t>A 17724-2024</t>
        </is>
      </c>
      <c r="B639" s="1" t="n">
        <v>45418.55096064815</v>
      </c>
      <c r="C639" s="1" t="n">
        <v>46135</v>
      </c>
      <c r="D639" t="inlineStr">
        <is>
          <t>GOTLANDS LÄN</t>
        </is>
      </c>
      <c r="E639" t="inlineStr">
        <is>
          <t>GOTLAND</t>
        </is>
      </c>
      <c r="G639" t="n">
        <v>2</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46135</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49884-2023</t>
        </is>
      </c>
      <c r="B641" s="1" t="n">
        <v>45213</v>
      </c>
      <c r="C641" s="1" t="n">
        <v>46135</v>
      </c>
      <c r="D641" t="inlineStr">
        <is>
          <t>GOTLANDS LÄN</t>
        </is>
      </c>
      <c r="E641" t="inlineStr">
        <is>
          <t>GOTLAND</t>
        </is>
      </c>
      <c r="G641" t="n">
        <v>8.9</v>
      </c>
      <c r="H641" t="n">
        <v>0</v>
      </c>
      <c r="I641" t="n">
        <v>0</v>
      </c>
      <c r="J641" t="n">
        <v>0</v>
      </c>
      <c r="K641" t="n">
        <v>0</v>
      </c>
      <c r="L641" t="n">
        <v>0</v>
      </c>
      <c r="M641" t="n">
        <v>0</v>
      </c>
      <c r="N641" t="n">
        <v>0</v>
      </c>
      <c r="O641" t="n">
        <v>0</v>
      </c>
      <c r="P641" t="n">
        <v>0</v>
      </c>
      <c r="Q641" t="n">
        <v>0</v>
      </c>
      <c r="R641" s="2" t="inlineStr"/>
    </row>
    <row r="642" ht="15" customHeight="1">
      <c r="A642" t="inlineStr">
        <is>
          <t>A 12846-2025</t>
        </is>
      </c>
      <c r="B642" s="1" t="n">
        <v>45733.65049768519</v>
      </c>
      <c r="C642" s="1" t="n">
        <v>46135</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43200-2023</t>
        </is>
      </c>
      <c r="B643" s="1" t="n">
        <v>45183</v>
      </c>
      <c r="C643" s="1" t="n">
        <v>46135</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3935-2025</t>
        </is>
      </c>
      <c r="B644" s="1" t="n">
        <v>45684.46070601852</v>
      </c>
      <c r="C644" s="1" t="n">
        <v>46135</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c r="A645" t="inlineStr">
        <is>
          <t>A 21792-2024</t>
        </is>
      </c>
      <c r="B645" s="1" t="n">
        <v>45442.64326388889</v>
      </c>
      <c r="C645" s="1" t="n">
        <v>46135</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2026-04-23T10:53:03Z</dcterms:created>
  <dcterms:modified xmlns:dcterms="http://purl.org/dc/terms/" xmlns:xsi="http://www.w3.org/2001/XMLSchema-instance" xsi:type="dcterms:W3CDTF">2026-04-23T10:53:04Z</dcterms:modified>
</cp:coreProperties>
</file>