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46253</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46253</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46253</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46253</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46253</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46253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46253</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46253</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46253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46253</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46253</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46253</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46253</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46253</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46253</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46253</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46253</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46253</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46253</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46253</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46253</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46253</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46253</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46253</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46253</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46253</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46253</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46253</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46253</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46253</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14354-2024</t>
        </is>
      </c>
      <c r="B42" t="inlineStr">
        <is>
          <t>avverkningsanmälan</t>
        </is>
      </c>
      <c r="C42" t="inlineStr">
        <is>
          <t>Föryngringsavverkning</t>
        </is>
      </c>
      <c r="D42" s="1" t="n">
        <v>45393</v>
      </c>
      <c r="E42" s="1" t="n">
        <v>46253</v>
      </c>
      <c r="F42" t="inlineStr">
        <is>
          <t>GOTLANDS LÄN</t>
        </is>
      </c>
      <c r="G42" t="inlineStr">
        <is>
          <t>GOTLAND</t>
        </is>
      </c>
      <c r="I42" t="n">
        <v>2.4</v>
      </c>
      <c r="J42" t="n">
        <v>10</v>
      </c>
      <c r="K42" t="n">
        <v>4</v>
      </c>
      <c r="L42" t="n">
        <v>6</v>
      </c>
      <c r="M42" t="n">
        <v>0</v>
      </c>
      <c r="N42" t="n">
        <v>0</v>
      </c>
      <c r="O42" t="n">
        <v>0</v>
      </c>
      <c r="P42" t="n">
        <v>0</v>
      </c>
      <c r="Q42" t="n">
        <v>6</v>
      </c>
      <c r="R42" t="n">
        <v>0</v>
      </c>
      <c r="S42" t="n">
        <v>14</v>
      </c>
      <c r="T42" t="n">
        <v>123</v>
      </c>
      <c r="U42" t="n">
        <v>108</v>
      </c>
      <c r="V42" s="2" t="inlineStr">
        <is>
          <t>Dårgräsfjäril
Entita
Grönsångare
Smedbock
Svinrot
Ängsskära
Blåmossa
Nästrot
Skogsknipprot
Tvåblad
Blåsippa
Spillkråka
Fläcknycklar
Nattviol</t>
        </is>
      </c>
      <c r="W42">
        <f>HYPERLINK("https://klasma.github.io/Logging_0980/artfynd/A 14354-2024 artfynd.xlsx", "A 14354-2024")</f>
        <v/>
      </c>
      <c r="X42">
        <f>HYPERLINK("https://klasma.github.io/Logging_0980/kartor/A 14354-2024 karta.png", "A 14354-2024")</f>
        <v/>
      </c>
      <c r="Y42">
        <f>HYPERLINK("https://klasma.github.io/Logging_0980/kartor_geotiff/A 14354-2024 georefererad karta.tif", "A 14354-2024")</f>
        <v/>
      </c>
      <c r="AA42">
        <f>HYPERLINK("https://klasma.github.io/Logging_0980/klagomål/A 14354-2024 FSC-klagomål.docx", "A 14354-2024")</f>
        <v/>
      </c>
      <c r="AB42">
        <f>HYPERLINK("https://klasma.github.io/Logging_0980/klagomålsmail/A 14354-2024 FSC-klagomål mail.docx", "A 14354-2024")</f>
        <v/>
      </c>
      <c r="AC42">
        <f>HYPERLINK("https://klasma.github.io/Logging_0980/tillsyn/A 14354-2024 tillsynsbegäran.docx", "A 14354-2024")</f>
        <v/>
      </c>
      <c r="AD42">
        <f>HYPERLINK("https://klasma.github.io/Logging_0980/tillsynsmail/A 14354-2024 tillsynsbegäran mail.docx", "A 14354-2024")</f>
        <v/>
      </c>
      <c r="AE42">
        <f>HYPERLINK("https://klasma.github.io/Logging_0980/fåglar/A 14354-2024 prioriterade fågelarter.docx", "A 14354-2024")</f>
        <v/>
      </c>
    </row>
    <row r="43" ht="15" customHeight="1">
      <c r="A43" t="inlineStr">
        <is>
          <t>A 10274-2026</t>
        </is>
      </c>
      <c r="B43" t="inlineStr">
        <is>
          <t>avverkningsanmälan</t>
        </is>
      </c>
      <c r="C43" t="inlineStr">
        <is>
          <t>Föryngringsavverkning</t>
        </is>
      </c>
      <c r="D43" s="1" t="n">
        <v>46076</v>
      </c>
      <c r="E43" s="1" t="n">
        <v>46253</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46253</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63149-2025</t>
        </is>
      </c>
      <c r="B45" t="inlineStr">
        <is>
          <t>avverkningsanmälan</t>
        </is>
      </c>
      <c r="C45" t="inlineStr">
        <is>
          <t>Föryngringsavverkning</t>
        </is>
      </c>
      <c r="D45" s="1" t="n">
        <v>46010</v>
      </c>
      <c r="E45" s="1" t="n">
        <v>46253</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46253</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3324-2023</t>
        </is>
      </c>
      <c r="B47" t="inlineStr">
        <is>
          <t>avverkningsanmälan</t>
        </is>
      </c>
      <c r="C47" t="inlineStr">
        <is>
          <t>Avverkning för annat ändamål</t>
        </is>
      </c>
      <c r="D47" s="1" t="n">
        <v>44949</v>
      </c>
      <c r="E47" s="1" t="n">
        <v>46253</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46253</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46253</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46253</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46253</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46253</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46253</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46253</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46253</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46253</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18541-2024</t>
        </is>
      </c>
      <c r="B57" t="inlineStr">
        <is>
          <t>avverkningsanmälan</t>
        </is>
      </c>
      <c r="C57" t="inlineStr">
        <is>
          <t>Föryngringsavverkning</t>
        </is>
      </c>
      <c r="D57" s="1" t="n">
        <v>45425</v>
      </c>
      <c r="E57" s="1" t="n">
        <v>46253</v>
      </c>
      <c r="F57" t="inlineStr">
        <is>
          <t>GOTLANDS LÄN</t>
        </is>
      </c>
      <c r="G57" t="inlineStr">
        <is>
          <t>GOTLAND</t>
        </is>
      </c>
      <c r="H57" t="inlineStr">
        <is>
          <t>Övriga statliga verk och myndigheter</t>
        </is>
      </c>
      <c r="I57" t="n">
        <v>2.2</v>
      </c>
      <c r="J57" t="n">
        <v>7</v>
      </c>
      <c r="K57" t="n">
        <v>2</v>
      </c>
      <c r="L57" t="n">
        <v>4</v>
      </c>
      <c r="M57" t="n">
        <v>1</v>
      </c>
      <c r="N57" t="n">
        <v>0</v>
      </c>
      <c r="O57" t="n">
        <v>0</v>
      </c>
      <c r="P57" t="n">
        <v>0</v>
      </c>
      <c r="Q57" t="n">
        <v>5</v>
      </c>
      <c r="R57" t="n">
        <v>1</v>
      </c>
      <c r="S57" t="n">
        <v>10</v>
      </c>
      <c r="T57" t="n">
        <v>26</v>
      </c>
      <c r="U57" t="n">
        <v>26</v>
      </c>
      <c r="V57" s="2" t="inlineStr">
        <is>
          <t>Garderönn
Backtimjan
Dårgräsfjäril
Solvända
Svinrot
Nästrot
Tvåblad
Kungsfågel
Skogsduva
Fläcknycklar</t>
        </is>
      </c>
      <c r="W57">
        <f>HYPERLINK("https://klasma.github.io/Logging_0980/artfynd/A 18541-2024 artfynd.xlsx", "A 18541-2024")</f>
        <v/>
      </c>
      <c r="X57">
        <f>HYPERLINK("https://klasma.github.io/Logging_0980/kartor/A 18541-2024 karta.png", "A 18541-2024")</f>
        <v/>
      </c>
      <c r="Y57">
        <f>HYPERLINK("https://klasma.github.io/Logging_0980/kartor_geotiff/A 18541-2024 georefererad karta.tif", "A 18541-2024")</f>
        <v/>
      </c>
      <c r="AA57">
        <f>HYPERLINK("https://klasma.github.io/Logging_0980/klagomål/A 18541-2024 FSC-klagomål.docx", "A 18541-2024")</f>
        <v/>
      </c>
      <c r="AB57">
        <f>HYPERLINK("https://klasma.github.io/Logging_0980/klagomålsmail/A 18541-2024 FSC-klagomål mail.docx", "A 18541-2024")</f>
        <v/>
      </c>
      <c r="AC57">
        <f>HYPERLINK("https://klasma.github.io/Logging_0980/tillsyn/A 18541-2024 tillsynsbegäran.docx", "A 18541-2024")</f>
        <v/>
      </c>
      <c r="AD57">
        <f>HYPERLINK("https://klasma.github.io/Logging_0980/tillsynsmail/A 18541-2024 tillsynsbegäran mail.docx", "A 18541-2024")</f>
        <v/>
      </c>
    </row>
    <row r="58" ht="15" customHeight="1">
      <c r="A58" t="inlineStr">
        <is>
          <t>A 45248-2024</t>
        </is>
      </c>
      <c r="B58" t="inlineStr">
        <is>
          <t>avverkningsanmälan</t>
        </is>
      </c>
      <c r="C58" t="inlineStr">
        <is>
          <t>Avverkning för annat ändamål</t>
        </is>
      </c>
      <c r="D58" s="1" t="n">
        <v>45576</v>
      </c>
      <c r="E58" s="1" t="n">
        <v>46253</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44944-2022</t>
        </is>
      </c>
      <c r="B59" t="inlineStr">
        <is>
          <t>avverkningsanmälan</t>
        </is>
      </c>
      <c r="C59" t="inlineStr">
        <is>
          <t>Föryngringsavverkning</t>
        </is>
      </c>
      <c r="D59" s="1" t="n">
        <v>44841</v>
      </c>
      <c r="E59" s="1" t="n">
        <v>46253</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46253</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46253</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46253</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46253</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46253</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46253</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46253</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7039-2023</t>
        </is>
      </c>
      <c r="B67" t="inlineStr">
        <is>
          <t>avverkningsanmälan</t>
        </is>
      </c>
      <c r="C67" t="inlineStr">
        <is>
          <t>Föryngringsavverkning</t>
        </is>
      </c>
      <c r="D67" s="1" t="n">
        <v>44968</v>
      </c>
      <c r="E67" s="1" t="n">
        <v>46253</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46253</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46253</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46253</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44308-2021</t>
        </is>
      </c>
      <c r="B71" t="inlineStr">
        <is>
          <t>avverkningsanmälan</t>
        </is>
      </c>
      <c r="C71" t="inlineStr">
        <is>
          <t>Föryngringsavverkning</t>
        </is>
      </c>
      <c r="D71" s="1" t="n">
        <v>44434</v>
      </c>
      <c r="E71" s="1" t="n">
        <v>46253</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46253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46253</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57773-2025</t>
        </is>
      </c>
      <c r="B74" t="inlineStr">
        <is>
          <t>avverkningsanmälan</t>
        </is>
      </c>
      <c r="C74" t="inlineStr">
        <is>
          <t>Föryngringsavverkning</t>
        </is>
      </c>
      <c r="D74" s="1" t="n">
        <v>45981</v>
      </c>
      <c r="E74" s="1" t="n">
        <v>46253</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446-2023</t>
        </is>
      </c>
      <c r="B75" t="inlineStr">
        <is>
          <t>avverkningsanmälan</t>
        </is>
      </c>
      <c r="C75" t="inlineStr">
        <is>
          <t>Föryngringsavverkning</t>
        </is>
      </c>
      <c r="D75" s="1" t="n">
        <v>44929</v>
      </c>
      <c r="E75" s="1" t="n">
        <v>46253</v>
      </c>
      <c r="F75" t="inlineStr">
        <is>
          <t>GOTLANDS LÄN</t>
        </is>
      </c>
      <c r="G75" t="inlineStr">
        <is>
          <t>GOTLAND</t>
        </is>
      </c>
      <c r="I75" t="n">
        <v>7.1</v>
      </c>
      <c r="J75" t="n">
        <v>4</v>
      </c>
      <c r="K75" t="n">
        <v>3</v>
      </c>
      <c r="L75" t="n">
        <v>3</v>
      </c>
      <c r="M75" t="n">
        <v>1</v>
      </c>
      <c r="N75" t="n">
        <v>0</v>
      </c>
      <c r="O75" t="n">
        <v>0</v>
      </c>
      <c r="P75" t="n">
        <v>0</v>
      </c>
      <c r="Q75" t="n">
        <v>4</v>
      </c>
      <c r="R75" t="n">
        <v>1</v>
      </c>
      <c r="S75" t="n">
        <v>8</v>
      </c>
      <c r="T75" t="n">
        <v>51</v>
      </c>
      <c r="U75" t="n">
        <v>50</v>
      </c>
      <c r="V75" s="2" t="inlineStr">
        <is>
          <t>Svartgrön spindling
Backtimjan
Dårgräsfjäril
Äggspindling
Nästrot
Skogsknipprot
Svavelriska
Spillkråka</t>
        </is>
      </c>
      <c r="W75">
        <f>HYPERLINK("https://klasma.github.io/Logging_0980/artfynd/A 446-2023 artfynd.xlsx", "A 446-2023")</f>
        <v/>
      </c>
      <c r="X75">
        <f>HYPERLINK("https://klasma.github.io/Logging_0980/kartor/A 446-2023 karta.png", "A 446-2023")</f>
        <v/>
      </c>
      <c r="Y75">
        <f>HYPERLINK("https://klasma.github.io/Logging_0980/kartor_geotiff/A 446-2023 georefererad karta.tif", "A 446-2023")</f>
        <v/>
      </c>
      <c r="AA75">
        <f>HYPERLINK("https://klasma.github.io/Logging_0980/klagomål/A 446-2023 FSC-klagomål.docx", "A 446-2023")</f>
        <v/>
      </c>
      <c r="AB75">
        <f>HYPERLINK("https://klasma.github.io/Logging_0980/klagomålsmail/A 446-2023 FSC-klagomål mail.docx", "A 446-2023")</f>
        <v/>
      </c>
      <c r="AC75">
        <f>HYPERLINK("https://klasma.github.io/Logging_0980/tillsyn/A 446-2023 tillsynsbegäran.docx", "A 446-2023")</f>
        <v/>
      </c>
      <c r="AD75">
        <f>HYPERLINK("https://klasma.github.io/Logging_0980/tillsynsmail/A 446-2023 tillsynsbegäran mail.docx", "A 446-2023")</f>
        <v/>
      </c>
      <c r="AE75">
        <f>HYPERLINK("https://klasma.github.io/Logging_0980/fåglar/A 446-2023 prioriterade fågelarter.docx", "A 446-2023")</f>
        <v/>
      </c>
    </row>
    <row r="76" ht="15" customHeight="1">
      <c r="A76" t="inlineStr">
        <is>
          <t>A 6836-2026</t>
        </is>
      </c>
      <c r="B76" t="inlineStr">
        <is>
          <t>avverkningsanmälan</t>
        </is>
      </c>
      <c r="C76" t="inlineStr">
        <is>
          <t>Föryngringsavverkning</t>
        </is>
      </c>
      <c r="D76" s="1" t="n">
        <v>46057</v>
      </c>
      <c r="E76" s="1" t="n">
        <v>46253</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46253</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7038-2023</t>
        </is>
      </c>
      <c r="B78" t="inlineStr">
        <is>
          <t>avverkningsanmälan</t>
        </is>
      </c>
      <c r="C78" t="inlineStr">
        <is>
          <t>Föryngringsavverkning</t>
        </is>
      </c>
      <c r="D78" s="1" t="n">
        <v>44968</v>
      </c>
      <c r="E78" s="1" t="n">
        <v>46253</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20831-2024</t>
        </is>
      </c>
      <c r="B79" t="inlineStr">
        <is>
          <t>avverkningsanmälan</t>
        </is>
      </c>
      <c r="C79" t="inlineStr">
        <is>
          <t>Föryngringsavverkning</t>
        </is>
      </c>
      <c r="D79" s="1" t="n">
        <v>45439</v>
      </c>
      <c r="E79" s="1" t="n">
        <v>46253</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46253</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46253</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46253</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46253</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46253</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46253</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999-2023</t>
        </is>
      </c>
      <c r="B86" t="inlineStr">
        <is>
          <t>avverkningsanmälan</t>
        </is>
      </c>
      <c r="C86" t="inlineStr">
        <is>
          <t>Föryngringsavverkning</t>
        </is>
      </c>
      <c r="D86" s="1" t="n">
        <v>44935</v>
      </c>
      <c r="E86" s="1" t="n">
        <v>46253</v>
      </c>
      <c r="F86" t="inlineStr">
        <is>
          <t>GOTLANDS LÄN</t>
        </is>
      </c>
      <c r="G86" t="inlineStr">
        <is>
          <t>GOTLAND</t>
        </is>
      </c>
      <c r="I86" t="n">
        <v>4.7</v>
      </c>
      <c r="J86" t="n">
        <v>3</v>
      </c>
      <c r="K86" t="n">
        <v>0</v>
      </c>
      <c r="L86" t="n">
        <v>4</v>
      </c>
      <c r="M86" t="n">
        <v>1</v>
      </c>
      <c r="N86" t="n">
        <v>1</v>
      </c>
      <c r="O86" t="n">
        <v>0</v>
      </c>
      <c r="P86" t="n">
        <v>0</v>
      </c>
      <c r="Q86" t="n">
        <v>6</v>
      </c>
      <c r="R86" t="n">
        <v>2</v>
      </c>
      <c r="S86" t="n">
        <v>7</v>
      </c>
      <c r="T86" t="n">
        <v>18</v>
      </c>
      <c r="U86" t="n">
        <v>18</v>
      </c>
      <c r="V86" s="2" t="inlineStr">
        <is>
          <t>Ask
Garderönn
Backtimjan
Dårgräsfjäril
Solvända
Svinrot
Spillkråka</t>
        </is>
      </c>
      <c r="W86">
        <f>HYPERLINK("https://klasma.github.io/Logging_0980/artfynd/A 999-2023 artfynd.xlsx", "A 999-2023")</f>
        <v/>
      </c>
      <c r="X86">
        <f>HYPERLINK("https://klasma.github.io/Logging_0980/kartor/A 999-2023 karta.png", "A 999-2023")</f>
        <v/>
      </c>
      <c r="Y86">
        <f>HYPERLINK("https://klasma.github.io/Logging_0980/kartor_geotiff/A 999-2023 georefererad karta.tif", "A 999-2023")</f>
        <v/>
      </c>
      <c r="AA86">
        <f>HYPERLINK("https://klasma.github.io/Logging_0980/klagomål/A 999-2023 FSC-klagomål.docx", "A 999-2023")</f>
        <v/>
      </c>
      <c r="AB86">
        <f>HYPERLINK("https://klasma.github.io/Logging_0980/klagomålsmail/A 999-2023 FSC-klagomål mail.docx", "A 999-2023")</f>
        <v/>
      </c>
      <c r="AC86">
        <f>HYPERLINK("https://klasma.github.io/Logging_0980/tillsyn/A 999-2023 tillsynsbegäran.docx", "A 999-2023")</f>
        <v/>
      </c>
      <c r="AD86">
        <f>HYPERLINK("https://klasma.github.io/Logging_0980/tillsynsmail/A 999-2023 tillsynsbegäran mail.docx", "A 999-2023")</f>
        <v/>
      </c>
      <c r="AE86">
        <f>HYPERLINK("https://klasma.github.io/Logging_0980/fåglar/A 999-2023 prioriterade fågelarter.docx", "A 999-2023")</f>
        <v/>
      </c>
    </row>
    <row r="87" ht="15" customHeight="1">
      <c r="A87" t="inlineStr">
        <is>
          <t>A 10419-2025</t>
        </is>
      </c>
      <c r="B87" t="inlineStr">
        <is>
          <t>avverkningsanmälan</t>
        </is>
      </c>
      <c r="C87" t="inlineStr">
        <is>
          <t>Avverkning för att bevara och utveckla /försöksver</t>
        </is>
      </c>
      <c r="D87" s="1" t="n">
        <v>45720</v>
      </c>
      <c r="E87" s="1" t="n">
        <v>46253</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46253</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46253</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46253</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46253</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20838-2024</t>
        </is>
      </c>
      <c r="B92" t="inlineStr">
        <is>
          <t>avverkningsanmälan</t>
        </is>
      </c>
      <c r="C92" t="inlineStr">
        <is>
          <t>Föryngringsavverkning</t>
        </is>
      </c>
      <c r="D92" s="1" t="n">
        <v>45439</v>
      </c>
      <c r="E92" s="1" t="n">
        <v>46253</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46253</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64208-2021</t>
        </is>
      </c>
      <c r="B94" t="inlineStr">
        <is>
          <t>avverkningsanmälan</t>
        </is>
      </c>
      <c r="C94" t="inlineStr">
        <is>
          <t>Föryngringsavverkning</t>
        </is>
      </c>
      <c r="D94" s="1" t="n">
        <v>44510</v>
      </c>
      <c r="E94" s="1" t="n">
        <v>46253</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46253</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46253</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46253</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46253</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46253</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57463-2025</t>
        </is>
      </c>
      <c r="B100" t="inlineStr">
        <is>
          <t>avverkningsanmälan</t>
        </is>
      </c>
      <c r="C100" t="inlineStr">
        <is>
          <t>Föryngringsavverkning</t>
        </is>
      </c>
      <c r="D100" s="1" t="n">
        <v>45980</v>
      </c>
      <c r="E100" s="1" t="n">
        <v>46253</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39425-2023</t>
        </is>
      </c>
      <c r="B101" t="inlineStr">
        <is>
          <t>avverkningsanmälan</t>
        </is>
      </c>
      <c r="C101" t="inlineStr">
        <is>
          <t>Avverkning för annat ändamål</t>
        </is>
      </c>
      <c r="D101" s="1" t="n">
        <v>45166</v>
      </c>
      <c r="E101" s="1" t="n">
        <v>46253</v>
      </c>
      <c r="F101" t="inlineStr">
        <is>
          <t>GOTLANDS LÄN</t>
        </is>
      </c>
      <c r="G101" t="inlineStr">
        <is>
          <t>GOTLAND</t>
        </is>
      </c>
      <c r="I101" t="n">
        <v>3.9</v>
      </c>
      <c r="J101" t="n">
        <v>1</v>
      </c>
      <c r="K101" t="n">
        <v>3</v>
      </c>
      <c r="L101" t="n">
        <v>0</v>
      </c>
      <c r="M101" t="n">
        <v>1</v>
      </c>
      <c r="N101" t="n">
        <v>1</v>
      </c>
      <c r="O101" t="n">
        <v>0</v>
      </c>
      <c r="P101" t="n">
        <v>0</v>
      </c>
      <c r="Q101" t="n">
        <v>2</v>
      </c>
      <c r="R101" t="n">
        <v>2</v>
      </c>
      <c r="S101" t="n">
        <v>5</v>
      </c>
      <c r="T101" t="n">
        <v>7</v>
      </c>
      <c r="U101" t="n">
        <v>7</v>
      </c>
      <c r="V101" s="2" t="inlineStr">
        <is>
          <t>Violgubbe
Knärot
Anisspindling
Rödgul trumpetsvamp
Svavelriska</t>
        </is>
      </c>
      <c r="W101">
        <f>HYPERLINK("https://klasma.github.io/Logging_0980/artfynd/A 39425-2023 artfynd.xlsx", "A 39425-2023")</f>
        <v/>
      </c>
      <c r="X101">
        <f>HYPERLINK("https://klasma.github.io/Logging_0980/kartor/A 39425-2023 karta.png", "A 39425-2023")</f>
        <v/>
      </c>
      <c r="Y101">
        <f>HYPERLINK("https://klasma.github.io/Logging_0980/kartor_geotiff/A 39425-2023 georefererad karta.tif", "A 39425-2023")</f>
        <v/>
      </c>
      <c r="Z101">
        <f>HYPERLINK("https://klasma.github.io/Logging_0980/knärot/A 39425-2023 karta knärot.png", "A 39425-2023")</f>
        <v/>
      </c>
      <c r="AA101">
        <f>HYPERLINK("https://klasma.github.io/Logging_0980/klagomål/A 39425-2023 FSC-klagomål.docx", "A 39425-2023")</f>
        <v/>
      </c>
      <c r="AB101">
        <f>HYPERLINK("https://klasma.github.io/Logging_0980/klagomålsmail/A 39425-2023 FSC-klagomål mail.docx", "A 39425-2023")</f>
        <v/>
      </c>
      <c r="AC101">
        <f>HYPERLINK("https://klasma.github.io/Logging_0980/tillsyn/A 39425-2023 tillsynsbegäran.docx", "A 39425-2023")</f>
        <v/>
      </c>
      <c r="AD101">
        <f>HYPERLINK("https://klasma.github.io/Logging_0980/tillsynsmail/A 39425-2023 tillsynsbegäran mail.docx", "A 39425-2023")</f>
        <v/>
      </c>
    </row>
    <row r="102" ht="15" customHeight="1">
      <c r="A102" t="inlineStr">
        <is>
          <t>A 8265-2023</t>
        </is>
      </c>
      <c r="B102" t="inlineStr">
        <is>
          <t>avverkningsanmälan</t>
        </is>
      </c>
      <c r="C102" t="inlineStr">
        <is>
          <t>Föryngringsavverkning</t>
        </is>
      </c>
      <c r="D102" s="1" t="n">
        <v>44974</v>
      </c>
      <c r="E102" s="1" t="n">
        <v>46253</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46253</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46253</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46253</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46253</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46253</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46253</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16997-2026</t>
        </is>
      </c>
      <c r="B109" t="inlineStr">
        <is>
          <t>avverkningsanmälan</t>
        </is>
      </c>
      <c r="C109" t="inlineStr">
        <is>
          <t>Föryngringsavverkning</t>
        </is>
      </c>
      <c r="D109" s="1" t="n">
        <v>46114</v>
      </c>
      <c r="E109" s="1" t="n">
        <v>46253</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5235-2025</t>
        </is>
      </c>
      <c r="B110" t="inlineStr">
        <is>
          <t>avverkningsanmälan</t>
        </is>
      </c>
      <c r="C110" t="inlineStr">
        <is>
          <t>Föryngringsavverkning</t>
        </is>
      </c>
      <c r="D110" s="1" t="n">
        <v>45692</v>
      </c>
      <c r="E110" s="1" t="n">
        <v>46253</v>
      </c>
      <c r="F110" t="inlineStr">
        <is>
          <t>GOTLANDS LÄN</t>
        </is>
      </c>
      <c r="G110" t="inlineStr">
        <is>
          <t>GOTLAND</t>
        </is>
      </c>
      <c r="I110" t="n">
        <v>7.6</v>
      </c>
      <c r="J110" t="n">
        <v>2</v>
      </c>
      <c r="K110" t="n">
        <v>2</v>
      </c>
      <c r="L110" t="n">
        <v>2</v>
      </c>
      <c r="M110" t="n">
        <v>0</v>
      </c>
      <c r="N110" t="n">
        <v>0</v>
      </c>
      <c r="O110" t="n">
        <v>0</v>
      </c>
      <c r="P110" t="n">
        <v>0</v>
      </c>
      <c r="Q110" t="n">
        <v>2</v>
      </c>
      <c r="R110" t="n">
        <v>0</v>
      </c>
      <c r="S110" t="n">
        <v>4</v>
      </c>
      <c r="T110" t="n">
        <v>8</v>
      </c>
      <c r="U110" t="n">
        <v>8</v>
      </c>
      <c r="V110" s="2" t="inlineStr">
        <is>
          <t>Dårgräsfjäril
Svinrot
Blåmossa
Tvåblad</t>
        </is>
      </c>
      <c r="W110">
        <f>HYPERLINK("https://klasma.github.io/Logging_0980/artfynd/A 5235-2025 artfynd.xlsx", "A 5235-2025")</f>
        <v/>
      </c>
      <c r="X110">
        <f>HYPERLINK("https://klasma.github.io/Logging_0980/kartor/A 5235-2025 karta.png", "A 5235-2025")</f>
        <v/>
      </c>
      <c r="Y110">
        <f>HYPERLINK("https://klasma.github.io/Logging_0980/kartor_geotiff/A 5235-2025 georefererad karta.tif", "A 5235-2025")</f>
        <v/>
      </c>
      <c r="AA110">
        <f>HYPERLINK("https://klasma.github.io/Logging_0980/klagomål/A 5235-2025 FSC-klagomål.docx", "A 5235-2025")</f>
        <v/>
      </c>
      <c r="AB110">
        <f>HYPERLINK("https://klasma.github.io/Logging_0980/klagomålsmail/A 5235-2025 FSC-klagomål mail.docx", "A 5235-2025")</f>
        <v/>
      </c>
      <c r="AC110">
        <f>HYPERLINK("https://klasma.github.io/Logging_0980/tillsyn/A 5235-2025 tillsynsbegäran.docx", "A 5235-2025")</f>
        <v/>
      </c>
      <c r="AD110">
        <f>HYPERLINK("https://klasma.github.io/Logging_0980/tillsynsmail/A 5235-2025 tillsynsbegäran mail.docx", "A 5235-2025")</f>
        <v/>
      </c>
    </row>
    <row r="111" ht="15" customHeight="1">
      <c r="A111" t="inlineStr">
        <is>
          <t>A 6839-2026</t>
        </is>
      </c>
      <c r="B111" t="inlineStr">
        <is>
          <t>avverkningsanmälan</t>
        </is>
      </c>
      <c r="C111" t="inlineStr">
        <is>
          <t>Föryngringsavverkning</t>
        </is>
      </c>
      <c r="D111" s="1" t="n">
        <v>46057</v>
      </c>
      <c r="E111" s="1" t="n">
        <v>46253</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54523-2023</t>
        </is>
      </c>
      <c r="B112" t="inlineStr">
        <is>
          <t>avverkningsanmälan</t>
        </is>
      </c>
      <c r="C112" t="inlineStr">
        <is>
          <t>Föryngringsavverkning</t>
        </is>
      </c>
      <c r="D112" s="1" t="n">
        <v>45233</v>
      </c>
      <c r="E112" s="1" t="n">
        <v>46253</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2485-2025</t>
        </is>
      </c>
      <c r="B113" t="inlineStr">
        <is>
          <t>avverkningsanmälan</t>
        </is>
      </c>
      <c r="C113" t="inlineStr">
        <is>
          <t>Föryngringsavverkning</t>
        </is>
      </c>
      <c r="D113" s="1" t="n">
        <v>45673</v>
      </c>
      <c r="E113" s="1" t="n">
        <v>46253</v>
      </c>
      <c r="F113" t="inlineStr">
        <is>
          <t>GOTLANDS LÄN</t>
        </is>
      </c>
      <c r="G113" t="inlineStr">
        <is>
          <t>GOTLAND</t>
        </is>
      </c>
      <c r="I113" t="n">
        <v>5</v>
      </c>
      <c r="J113" t="n">
        <v>2</v>
      </c>
      <c r="K113" t="n">
        <v>2</v>
      </c>
      <c r="L113" t="n">
        <v>0</v>
      </c>
      <c r="M113" t="n">
        <v>2</v>
      </c>
      <c r="N113" t="n">
        <v>0</v>
      </c>
      <c r="O113" t="n">
        <v>0</v>
      </c>
      <c r="P113" t="n">
        <v>0</v>
      </c>
      <c r="Q113" t="n">
        <v>2</v>
      </c>
      <c r="R113" t="n">
        <v>2</v>
      </c>
      <c r="S113" t="n">
        <v>4</v>
      </c>
      <c r="T113" t="n">
        <v>84</v>
      </c>
      <c r="U113" t="n">
        <v>84</v>
      </c>
      <c r="V113" s="2" t="inlineStr">
        <is>
          <t>Gotlandsmåra
Skogskorn
Nästrot
Skogsknipprot</t>
        </is>
      </c>
      <c r="W113">
        <f>HYPERLINK("https://klasma.github.io/Logging_0980/artfynd/A 2485-2025 artfynd.xlsx", "A 2485-2025")</f>
        <v/>
      </c>
      <c r="X113">
        <f>HYPERLINK("https://klasma.github.io/Logging_0980/kartor/A 2485-2025 karta.png", "A 2485-2025")</f>
        <v/>
      </c>
      <c r="Y113">
        <f>HYPERLINK("https://klasma.github.io/Logging_0980/kartor_geotiff/A 2485-2025 georefererad karta.tif", "A 2485-2025")</f>
        <v/>
      </c>
      <c r="AA113">
        <f>HYPERLINK("https://klasma.github.io/Logging_0980/klagomål/A 2485-2025 FSC-klagomål.docx", "A 2485-2025")</f>
        <v/>
      </c>
      <c r="AB113">
        <f>HYPERLINK("https://klasma.github.io/Logging_0980/klagomålsmail/A 2485-2025 FSC-klagomål mail.docx", "A 2485-2025")</f>
        <v/>
      </c>
      <c r="AC113">
        <f>HYPERLINK("https://klasma.github.io/Logging_0980/tillsyn/A 2485-2025 tillsynsbegäran.docx", "A 2485-2025")</f>
        <v/>
      </c>
      <c r="AD113">
        <f>HYPERLINK("https://klasma.github.io/Logging_0980/tillsynsmail/A 2485-2025 tillsynsbegäran mail.docx", "A 2485-2025")</f>
        <v/>
      </c>
    </row>
    <row r="114" ht="15" customHeight="1">
      <c r="A114" t="inlineStr">
        <is>
          <t>A 61386-2023</t>
        </is>
      </c>
      <c r="B114" t="inlineStr">
        <is>
          <t>avverkningsanmälan</t>
        </is>
      </c>
      <c r="C114" t="inlineStr">
        <is>
          <t>Avverkning för annat ändamål</t>
        </is>
      </c>
      <c r="D114" s="1" t="n">
        <v>45264</v>
      </c>
      <c r="E114" s="1" t="n">
        <v>46253</v>
      </c>
      <c r="F114" t="inlineStr">
        <is>
          <t>GOTLANDS LÄN</t>
        </is>
      </c>
      <c r="G114" t="inlineStr">
        <is>
          <t>GOTLAND</t>
        </is>
      </c>
      <c r="I114" t="n">
        <v>0.7</v>
      </c>
      <c r="J114" t="n">
        <v>0</v>
      </c>
      <c r="K114" t="n">
        <v>3</v>
      </c>
      <c r="L114" t="n">
        <v>0</v>
      </c>
      <c r="M114" t="n">
        <v>1</v>
      </c>
      <c r="N114" t="n">
        <v>0</v>
      </c>
      <c r="O114" t="n">
        <v>0</v>
      </c>
      <c r="P114" t="n">
        <v>0</v>
      </c>
      <c r="Q114" t="n">
        <v>1</v>
      </c>
      <c r="R114" t="n">
        <v>1</v>
      </c>
      <c r="S114" t="n">
        <v>4</v>
      </c>
      <c r="T114" t="n">
        <v>7</v>
      </c>
      <c r="U114" t="n">
        <v>0</v>
      </c>
      <c r="V114" s="2" t="inlineStr">
        <is>
          <t>Ädellav
Korallblylav
Lönnlav
Rikfruktig blemlav</t>
        </is>
      </c>
      <c r="W114">
        <f>HYPERLINK("https://klasma.github.io/Logging_0980/artfynd/A 61386-2023 artfynd.xlsx", "A 61386-2023")</f>
        <v/>
      </c>
      <c r="X114">
        <f>HYPERLINK("https://klasma.github.io/Logging_0980/kartor/A 61386-2023 karta.png", "A 61386-2023")</f>
        <v/>
      </c>
      <c r="Y114">
        <f>HYPERLINK("https://klasma.github.io/Logging_0980/kartor_geotiff/A 61386-2023 georefererad karta.tif", "A 61386-2023")</f>
        <v/>
      </c>
      <c r="AA114">
        <f>HYPERLINK("https://klasma.github.io/Logging_0980/klagomål/A 61386-2023 FSC-klagomål.docx", "A 61386-2023")</f>
        <v/>
      </c>
      <c r="AB114">
        <f>HYPERLINK("https://klasma.github.io/Logging_0980/klagomålsmail/A 61386-2023 FSC-klagomål mail.docx", "A 61386-2023")</f>
        <v/>
      </c>
      <c r="AC114">
        <f>HYPERLINK("https://klasma.github.io/Logging_0980/tillsyn/A 61386-2023 tillsynsbegäran.docx", "A 61386-2023")</f>
        <v/>
      </c>
      <c r="AD114">
        <f>HYPERLINK("https://klasma.github.io/Logging_0980/tillsynsmail/A 61386-2023 tillsynsbegäran mail.docx", "A 61386-2023")</f>
        <v/>
      </c>
    </row>
    <row r="115" ht="15" customHeight="1">
      <c r="A115" t="inlineStr">
        <is>
          <t>A 32550-2026</t>
        </is>
      </c>
      <c r="B115" t="inlineStr">
        <is>
          <t>avverkningsanmälan</t>
        </is>
      </c>
      <c r="C115" t="inlineStr">
        <is>
          <t>Föryngringsavverkning</t>
        </is>
      </c>
      <c r="D115" s="1" t="n">
        <v>46239</v>
      </c>
      <c r="E115" s="1" t="n">
        <v>46253</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46253</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7625-2026</t>
        </is>
      </c>
      <c r="B117" t="inlineStr">
        <is>
          <t>avverkningsanmälan</t>
        </is>
      </c>
      <c r="C117" t="inlineStr">
        <is>
          <t>Föryngringsavverkning</t>
        </is>
      </c>
      <c r="D117" s="1" t="n">
        <v>46062</v>
      </c>
      <c r="E117" s="1" t="n">
        <v>46253</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56717-2024</t>
        </is>
      </c>
      <c r="B118" t="inlineStr">
        <is>
          <t>avverkningsanmälan</t>
        </is>
      </c>
      <c r="C118" t="inlineStr">
        <is>
          <t>Föryngringsavverkning</t>
        </is>
      </c>
      <c r="D118" s="1" t="n">
        <v>45628</v>
      </c>
      <c r="E118" s="1" t="n">
        <v>46253</v>
      </c>
      <c r="F118" t="inlineStr">
        <is>
          <t>GOTLANDS LÄN</t>
        </is>
      </c>
      <c r="G118" t="inlineStr">
        <is>
          <t>GOTLAND</t>
        </is>
      </c>
      <c r="I118" t="n">
        <v>9.699999999999999</v>
      </c>
      <c r="J118" t="n">
        <v>0</v>
      </c>
      <c r="K118" t="n">
        <v>1</v>
      </c>
      <c r="L118" t="n">
        <v>3</v>
      </c>
      <c r="M118" t="n">
        <v>0</v>
      </c>
      <c r="N118" t="n">
        <v>0</v>
      </c>
      <c r="O118" t="n">
        <v>0</v>
      </c>
      <c r="P118" t="n">
        <v>0</v>
      </c>
      <c r="Q118" t="n">
        <v>3</v>
      </c>
      <c r="R118" t="n">
        <v>0</v>
      </c>
      <c r="S118" t="n">
        <v>4</v>
      </c>
      <c r="T118" t="n">
        <v>5</v>
      </c>
      <c r="U118" t="n">
        <v>0</v>
      </c>
      <c r="V118" s="2" t="inlineStr">
        <is>
          <t>Fjällig taggsvamp s.str.
Kattfotslav
Odörspindling
Havstulpanlav</t>
        </is>
      </c>
      <c r="W118">
        <f>HYPERLINK("https://klasma.github.io/Logging_0980/artfynd/A 56717-2024 artfynd.xlsx", "A 56717-2024")</f>
        <v/>
      </c>
      <c r="X118">
        <f>HYPERLINK("https://klasma.github.io/Logging_0980/kartor/A 56717-2024 karta.png", "A 56717-2024")</f>
        <v/>
      </c>
      <c r="Y118">
        <f>HYPERLINK("https://klasma.github.io/Logging_0980/kartor_geotiff/A 56717-2024 georefererad karta.tif", "A 56717-2024")</f>
        <v/>
      </c>
      <c r="AA118">
        <f>HYPERLINK("https://klasma.github.io/Logging_0980/klagomål/A 56717-2024 FSC-klagomål.docx", "A 56717-2024")</f>
        <v/>
      </c>
      <c r="AB118">
        <f>HYPERLINK("https://klasma.github.io/Logging_0980/klagomålsmail/A 56717-2024 FSC-klagomål mail.docx", "A 56717-2024")</f>
        <v/>
      </c>
      <c r="AC118">
        <f>HYPERLINK("https://klasma.github.io/Logging_0980/tillsyn/A 56717-2024 tillsynsbegäran.docx", "A 56717-2024")</f>
        <v/>
      </c>
      <c r="AD118">
        <f>HYPERLINK("https://klasma.github.io/Logging_0980/tillsynsmail/A 56717-2024 tillsynsbegäran mail.docx", "A 56717-2024")</f>
        <v/>
      </c>
    </row>
    <row r="119" ht="15" customHeight="1">
      <c r="A119" t="inlineStr">
        <is>
          <t>A 37591-2023</t>
        </is>
      </c>
      <c r="B119" t="inlineStr">
        <is>
          <t>avverkningsanmälan</t>
        </is>
      </c>
      <c r="C119" t="inlineStr">
        <is>
          <t>Föryngringsavverkning</t>
        </is>
      </c>
      <c r="D119" s="1" t="n">
        <v>45159</v>
      </c>
      <c r="E119" s="1" t="n">
        <v>46253</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65927-2021</t>
        </is>
      </c>
      <c r="B120" t="inlineStr">
        <is>
          <t>avverkningsanmälan</t>
        </is>
      </c>
      <c r="C120" t="inlineStr">
        <is>
          <t>Föryngringsavverkning</t>
        </is>
      </c>
      <c r="D120" s="1" t="n">
        <v>44516</v>
      </c>
      <c r="E120" s="1" t="n">
        <v>46253</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2476-2025</t>
        </is>
      </c>
      <c r="B121" t="inlineStr">
        <is>
          <t>avverkningsanmälan</t>
        </is>
      </c>
      <c r="C121" t="inlineStr">
        <is>
          <t>Föryngringsavverkning</t>
        </is>
      </c>
      <c r="D121" s="1" t="n">
        <v>45673</v>
      </c>
      <c r="E121" s="1" t="n">
        <v>46253</v>
      </c>
      <c r="F121" t="inlineStr">
        <is>
          <t>GOTLANDS LÄN</t>
        </is>
      </c>
      <c r="G121" t="inlineStr">
        <is>
          <t>GOTLAND</t>
        </is>
      </c>
      <c r="I121" t="n">
        <v>3.1</v>
      </c>
      <c r="J121" t="n">
        <v>0</v>
      </c>
      <c r="K121" t="n">
        <v>1</v>
      </c>
      <c r="L121" t="n">
        <v>2</v>
      </c>
      <c r="M121" t="n">
        <v>0</v>
      </c>
      <c r="N121" t="n">
        <v>0</v>
      </c>
      <c r="O121" t="n">
        <v>0</v>
      </c>
      <c r="P121" t="n">
        <v>0</v>
      </c>
      <c r="Q121" t="n">
        <v>2</v>
      </c>
      <c r="R121" t="n">
        <v>0</v>
      </c>
      <c r="S121" t="n">
        <v>3</v>
      </c>
      <c r="T121" t="n">
        <v>3</v>
      </c>
      <c r="U121" t="n">
        <v>0</v>
      </c>
      <c r="V121" s="2" t="inlineStr">
        <is>
          <t>Barrviolspindling
Kryddspindling
Strimspindling</t>
        </is>
      </c>
      <c r="W121">
        <f>HYPERLINK("https://klasma.github.io/Logging_0980/artfynd/A 2476-2025 artfynd.xlsx", "A 2476-2025")</f>
        <v/>
      </c>
      <c r="X121">
        <f>HYPERLINK("https://klasma.github.io/Logging_0980/kartor/A 2476-2025 karta.png", "A 2476-2025")</f>
        <v/>
      </c>
      <c r="Y121">
        <f>HYPERLINK("https://klasma.github.io/Logging_0980/kartor_geotiff/A 2476-2025 georefererad karta.tif", "A 2476-2025")</f>
        <v/>
      </c>
      <c r="AA121">
        <f>HYPERLINK("https://klasma.github.io/Logging_0980/klagomål/A 2476-2025 FSC-klagomål.docx", "A 2476-2025")</f>
        <v/>
      </c>
      <c r="AB121">
        <f>HYPERLINK("https://klasma.github.io/Logging_0980/klagomålsmail/A 2476-2025 FSC-klagomål mail.docx", "A 2476-2025")</f>
        <v/>
      </c>
      <c r="AC121">
        <f>HYPERLINK("https://klasma.github.io/Logging_0980/tillsyn/A 2476-2025 tillsynsbegäran.docx", "A 2476-2025")</f>
        <v/>
      </c>
      <c r="AD121">
        <f>HYPERLINK("https://klasma.github.io/Logging_0980/tillsynsmail/A 2476-2025 tillsynsbegäran mail.docx", "A 2476-2025")</f>
        <v/>
      </c>
    </row>
    <row r="122" ht="15" customHeight="1">
      <c r="A122" t="inlineStr">
        <is>
          <t>A 43013-2022</t>
        </is>
      </c>
      <c r="B122" t="inlineStr">
        <is>
          <t>avverkningsanmälan</t>
        </is>
      </c>
      <c r="C122" t="inlineStr">
        <is>
          <t>Föryngringsavverkning</t>
        </is>
      </c>
      <c r="D122" s="1" t="n">
        <v>44833</v>
      </c>
      <c r="E122" s="1" t="n">
        <v>46253</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53552-2021</t>
        </is>
      </c>
      <c r="B123" t="inlineStr">
        <is>
          <t>avverkningsanmälan</t>
        </is>
      </c>
      <c r="C123" t="inlineStr">
        <is>
          <t>Föryngringsavverkning</t>
        </is>
      </c>
      <c r="D123" s="1" t="n">
        <v>44468</v>
      </c>
      <c r="E123" s="1" t="n">
        <v>46253</v>
      </c>
      <c r="F123" t="inlineStr">
        <is>
          <t>GOTLANDS LÄN</t>
        </is>
      </c>
      <c r="G123" t="inlineStr">
        <is>
          <t>GOTLAND</t>
        </is>
      </c>
      <c r="I123" t="n">
        <v>6.2</v>
      </c>
      <c r="J123" t="n">
        <v>2</v>
      </c>
      <c r="K123" t="n">
        <v>0</v>
      </c>
      <c r="L123" t="n">
        <v>0</v>
      </c>
      <c r="M123" t="n">
        <v>1</v>
      </c>
      <c r="N123" t="n">
        <v>0</v>
      </c>
      <c r="O123" t="n">
        <v>0</v>
      </c>
      <c r="P123" t="n">
        <v>0</v>
      </c>
      <c r="Q123" t="n">
        <v>1</v>
      </c>
      <c r="R123" t="n">
        <v>1</v>
      </c>
      <c r="S123" t="n">
        <v>3</v>
      </c>
      <c r="T123" t="n">
        <v>3</v>
      </c>
      <c r="U123" t="n">
        <v>2</v>
      </c>
      <c r="V123" s="2" t="inlineStr">
        <is>
          <t>Bredbrämad bastardsvärmare
Grönvit nattviol
Gullviva</t>
        </is>
      </c>
      <c r="W123">
        <f>HYPERLINK("https://klasma.github.io/Logging_0980/artfynd/A 53552-2021 artfynd.xlsx", "A 53552-2021")</f>
        <v/>
      </c>
      <c r="X123">
        <f>HYPERLINK("https://klasma.github.io/Logging_0980/kartor/A 53552-2021 karta.png", "A 53552-2021")</f>
        <v/>
      </c>
      <c r="Y123">
        <f>HYPERLINK("https://klasma.github.io/Logging_0980/kartor_geotiff/A 53552-2021 georefererad karta.tif", "A 53552-2021")</f>
        <v/>
      </c>
      <c r="AA123">
        <f>HYPERLINK("https://klasma.github.io/Logging_0980/klagomål/A 53552-2021 FSC-klagomål.docx", "A 53552-2021")</f>
        <v/>
      </c>
      <c r="AB123">
        <f>HYPERLINK("https://klasma.github.io/Logging_0980/klagomålsmail/A 53552-2021 FSC-klagomål mail.docx", "A 53552-2021")</f>
        <v/>
      </c>
      <c r="AC123">
        <f>HYPERLINK("https://klasma.github.io/Logging_0980/tillsyn/A 53552-2021 tillsynsbegäran.docx", "A 53552-2021")</f>
        <v/>
      </c>
      <c r="AD123">
        <f>HYPERLINK("https://klasma.github.io/Logging_0980/tillsynsmail/A 53552-2021 tillsynsbegäran mail.docx", "A 53552-2021")</f>
        <v/>
      </c>
    </row>
    <row r="124" ht="15" customHeight="1">
      <c r="A124" t="inlineStr">
        <is>
          <t>A 19322-2026</t>
        </is>
      </c>
      <c r="B124" t="inlineStr">
        <is>
          <t>avverkningsanmälan</t>
        </is>
      </c>
      <c r="C124" t="inlineStr">
        <is>
          <t>Avverkning för annat ändamål</t>
        </is>
      </c>
      <c r="D124" s="1" t="n">
        <v>46129</v>
      </c>
      <c r="E124" s="1" t="n">
        <v>46253</v>
      </c>
      <c r="F124" t="inlineStr">
        <is>
          <t>GOTLANDS LÄN</t>
        </is>
      </c>
      <c r="G124" t="inlineStr">
        <is>
          <t>GOTLAND</t>
        </is>
      </c>
      <c r="I124" t="n">
        <v>1</v>
      </c>
      <c r="J124" t="n">
        <v>2</v>
      </c>
      <c r="K124" t="n">
        <v>1</v>
      </c>
      <c r="L124" t="n">
        <v>2</v>
      </c>
      <c r="M124" t="n">
        <v>0</v>
      </c>
      <c r="N124" t="n">
        <v>0</v>
      </c>
      <c r="O124" t="n">
        <v>0</v>
      </c>
      <c r="P124" t="n">
        <v>0</v>
      </c>
      <c r="Q124" t="n">
        <v>2</v>
      </c>
      <c r="R124" t="n">
        <v>0</v>
      </c>
      <c r="S124" t="n">
        <v>3</v>
      </c>
      <c r="T124" t="n">
        <v>3</v>
      </c>
      <c r="U124" t="n">
        <v>0</v>
      </c>
      <c r="V124" s="2" t="inlineStr">
        <is>
          <t>Gulsparv
Svinrot
Tvåblad</t>
        </is>
      </c>
      <c r="W124">
        <f>HYPERLINK("https://klasma.github.io/Logging_0980/artfynd/A 19322-2026 artfynd.xlsx", "A 19322-2026")</f>
        <v/>
      </c>
      <c r="X124">
        <f>HYPERLINK("https://klasma.github.io/Logging_0980/kartor/A 19322-2026 karta.png", "A 19322-2026")</f>
        <v/>
      </c>
      <c r="Y124">
        <f>HYPERLINK("https://klasma.github.io/Logging_0980/kartor_geotiff/A 19322-2026 georefererad karta.tif", "A 19322-2026")</f>
        <v/>
      </c>
      <c r="AA124">
        <f>HYPERLINK("https://klasma.github.io/Logging_0980/klagomål/A 19322-2026 FSC-klagomål.docx", "A 19322-2026")</f>
        <v/>
      </c>
      <c r="AB124">
        <f>HYPERLINK("https://klasma.github.io/Logging_0980/klagomålsmail/A 19322-2026 FSC-klagomål mail.docx", "A 19322-2026")</f>
        <v/>
      </c>
      <c r="AC124">
        <f>HYPERLINK("https://klasma.github.io/Logging_0980/tillsyn/A 19322-2026 tillsynsbegäran.docx", "A 19322-2026")</f>
        <v/>
      </c>
      <c r="AD124">
        <f>HYPERLINK("https://klasma.github.io/Logging_0980/tillsynsmail/A 19322-2026 tillsynsbegäran mail.docx", "A 19322-2026")</f>
        <v/>
      </c>
      <c r="AE124">
        <f>HYPERLINK("https://klasma.github.io/Logging_0980/fåglar/A 19322-2026 prioriterade fågelarter.docx", "A 19322-2026")</f>
        <v/>
      </c>
    </row>
    <row r="125" ht="15" customHeight="1">
      <c r="A125" t="inlineStr">
        <is>
          <t>A 34312-2024</t>
        </is>
      </c>
      <c r="B125" t="inlineStr">
        <is>
          <t>avverkningsanmälan</t>
        </is>
      </c>
      <c r="C125" t="inlineStr">
        <is>
          <t>Föryngringsavverkning</t>
        </is>
      </c>
      <c r="D125" s="1" t="n">
        <v>45524</v>
      </c>
      <c r="E125" s="1" t="n">
        <v>46253</v>
      </c>
      <c r="F125" t="inlineStr">
        <is>
          <t>GOTLANDS LÄN</t>
        </is>
      </c>
      <c r="G125" t="inlineStr">
        <is>
          <t>GOTLAND</t>
        </is>
      </c>
      <c r="I125" t="n">
        <v>2</v>
      </c>
      <c r="J125" t="n">
        <v>1</v>
      </c>
      <c r="K125" t="n">
        <v>0</v>
      </c>
      <c r="L125" t="n">
        <v>2</v>
      </c>
      <c r="M125" t="n">
        <v>0</v>
      </c>
      <c r="N125" t="n">
        <v>0</v>
      </c>
      <c r="O125" t="n">
        <v>0</v>
      </c>
      <c r="P125" t="n">
        <v>0</v>
      </c>
      <c r="Q125" t="n">
        <v>2</v>
      </c>
      <c r="R125" t="n">
        <v>0</v>
      </c>
      <c r="S125" t="n">
        <v>3</v>
      </c>
      <c r="T125" t="n">
        <v>3</v>
      </c>
      <c r="U125" t="n">
        <v>0</v>
      </c>
      <c r="V125" s="2" t="inlineStr">
        <is>
          <t>Svinrot
Ängsstarr
Sankt pers nycklar</t>
        </is>
      </c>
      <c r="W125">
        <f>HYPERLINK("https://klasma.github.io/Logging_0980/artfynd/A 34312-2024 artfynd.xlsx", "A 34312-2024")</f>
        <v/>
      </c>
      <c r="X125">
        <f>HYPERLINK("https://klasma.github.io/Logging_0980/kartor/A 34312-2024 karta.png", "A 34312-2024")</f>
        <v/>
      </c>
      <c r="Y125">
        <f>HYPERLINK("https://klasma.github.io/Logging_0980/kartor_geotiff/A 34312-2024 georefererad karta.tif", "A 34312-2024")</f>
        <v/>
      </c>
      <c r="AA125">
        <f>HYPERLINK("https://klasma.github.io/Logging_0980/klagomål/A 34312-2024 FSC-klagomål.docx", "A 34312-2024")</f>
        <v/>
      </c>
      <c r="AB125">
        <f>HYPERLINK("https://klasma.github.io/Logging_0980/klagomålsmail/A 34312-2024 FSC-klagomål mail.docx", "A 34312-2024")</f>
        <v/>
      </c>
      <c r="AC125">
        <f>HYPERLINK("https://klasma.github.io/Logging_0980/tillsyn/A 34312-2024 tillsynsbegäran.docx", "A 34312-2024")</f>
        <v/>
      </c>
      <c r="AD125">
        <f>HYPERLINK("https://klasma.github.io/Logging_0980/tillsynsmail/A 34312-2024 tillsynsbegäran mail.docx", "A 34312-2024")</f>
        <v/>
      </c>
    </row>
    <row r="126" ht="15" customHeight="1">
      <c r="A126" t="inlineStr">
        <is>
          <t>A 63576-2021</t>
        </is>
      </c>
      <c r="B126" t="inlineStr">
        <is>
          <t>avverkningsanmälan</t>
        </is>
      </c>
      <c r="C126" t="inlineStr">
        <is>
          <t>Föryngringsavverkning</t>
        </is>
      </c>
      <c r="D126" s="1" t="n">
        <v>44508</v>
      </c>
      <c r="E126" s="1" t="n">
        <v>46253</v>
      </c>
      <c r="F126" t="inlineStr">
        <is>
          <t>GOTLANDS LÄN</t>
        </is>
      </c>
      <c r="G126" t="inlineStr">
        <is>
          <t>GOTLAND</t>
        </is>
      </c>
      <c r="H126" t="inlineStr">
        <is>
          <t>Kyrkan</t>
        </is>
      </c>
      <c r="I126" t="n">
        <v>4.1</v>
      </c>
      <c r="J126" t="n">
        <v>1</v>
      </c>
      <c r="K126" t="n">
        <v>1</v>
      </c>
      <c r="L126" t="n">
        <v>2</v>
      </c>
      <c r="M126" t="n">
        <v>0</v>
      </c>
      <c r="N126" t="n">
        <v>0</v>
      </c>
      <c r="O126" t="n">
        <v>0</v>
      </c>
      <c r="P126" t="n">
        <v>0</v>
      </c>
      <c r="Q126" t="n">
        <v>2</v>
      </c>
      <c r="R126" t="n">
        <v>0</v>
      </c>
      <c r="S126" t="n">
        <v>3</v>
      </c>
      <c r="T126" t="n">
        <v>3</v>
      </c>
      <c r="U126" t="n">
        <v>3</v>
      </c>
      <c r="V126" s="2" t="inlineStr">
        <is>
          <t>Dårgräsfjäril
Loppstarr
Stubbspretmossa</t>
        </is>
      </c>
      <c r="W126">
        <f>HYPERLINK("https://klasma.github.io/Logging_0980/artfynd/A 63576-2021 artfynd.xlsx", "A 63576-2021")</f>
        <v/>
      </c>
      <c r="X126">
        <f>HYPERLINK("https://klasma.github.io/Logging_0980/kartor/A 63576-2021 karta.png", "A 63576-2021")</f>
        <v/>
      </c>
      <c r="Y126">
        <f>HYPERLINK("https://klasma.github.io/Logging_0980/kartor_geotiff/A 63576-2021 georefererad karta.tif", "A 63576-2021")</f>
        <v/>
      </c>
      <c r="AA126">
        <f>HYPERLINK("https://klasma.github.io/Logging_0980/klagomål/A 63576-2021 FSC-klagomål.docx", "A 63576-2021")</f>
        <v/>
      </c>
      <c r="AB126">
        <f>HYPERLINK("https://klasma.github.io/Logging_0980/klagomålsmail/A 63576-2021 FSC-klagomål mail.docx", "A 63576-2021")</f>
        <v/>
      </c>
      <c r="AC126">
        <f>HYPERLINK("https://klasma.github.io/Logging_0980/tillsyn/A 63576-2021 tillsynsbegäran.docx", "A 63576-2021")</f>
        <v/>
      </c>
      <c r="AD126">
        <f>HYPERLINK("https://klasma.github.io/Logging_0980/tillsynsmail/A 63576-2021 tillsynsbegäran mail.docx", "A 63576-2021")</f>
        <v/>
      </c>
    </row>
    <row r="127" ht="15" customHeight="1">
      <c r="A127" t="inlineStr">
        <is>
          <t>A 35574-2024</t>
        </is>
      </c>
      <c r="B127" t="inlineStr">
        <is>
          <t>avverkningsanmälan</t>
        </is>
      </c>
      <c r="C127" t="inlineStr">
        <is>
          <t>Föryngringsavverkning</t>
        </is>
      </c>
      <c r="D127" s="1" t="n">
        <v>45531</v>
      </c>
      <c r="E127" s="1" t="n">
        <v>46253</v>
      </c>
      <c r="F127" t="inlineStr">
        <is>
          <t>GOTLANDS LÄN</t>
        </is>
      </c>
      <c r="G127" t="inlineStr">
        <is>
          <t>GOTLAND</t>
        </is>
      </c>
      <c r="I127" t="n">
        <v>5.7</v>
      </c>
      <c r="J127" t="n">
        <v>0</v>
      </c>
      <c r="K127" t="n">
        <v>2</v>
      </c>
      <c r="L127" t="n">
        <v>1</v>
      </c>
      <c r="M127" t="n">
        <v>0</v>
      </c>
      <c r="N127" t="n">
        <v>0</v>
      </c>
      <c r="O127" t="n">
        <v>0</v>
      </c>
      <c r="P127" t="n">
        <v>0</v>
      </c>
      <c r="Q127" t="n">
        <v>1</v>
      </c>
      <c r="R127" t="n">
        <v>0</v>
      </c>
      <c r="S127" t="n">
        <v>3</v>
      </c>
      <c r="T127" t="n">
        <v>3</v>
      </c>
      <c r="U127" t="n">
        <v>1</v>
      </c>
      <c r="V127" s="2" t="inlineStr">
        <is>
          <t>Svinrot
Kambräken
Murgröna</t>
        </is>
      </c>
      <c r="W127">
        <f>HYPERLINK("https://klasma.github.io/Logging_0980/artfynd/A 35574-2024 artfynd.xlsx", "A 35574-2024")</f>
        <v/>
      </c>
      <c r="X127">
        <f>HYPERLINK("https://klasma.github.io/Logging_0980/kartor/A 35574-2024 karta.png", "A 35574-2024")</f>
        <v/>
      </c>
      <c r="Y127">
        <f>HYPERLINK("https://klasma.github.io/Logging_0980/kartor_geotiff/A 35574-2024 georefererad karta.tif", "A 35574-2024")</f>
        <v/>
      </c>
      <c r="AA127">
        <f>HYPERLINK("https://klasma.github.io/Logging_0980/klagomål/A 35574-2024 FSC-klagomål.docx", "A 35574-2024")</f>
        <v/>
      </c>
      <c r="AB127">
        <f>HYPERLINK("https://klasma.github.io/Logging_0980/klagomålsmail/A 35574-2024 FSC-klagomål mail.docx", "A 35574-2024")</f>
        <v/>
      </c>
      <c r="AC127">
        <f>HYPERLINK("https://klasma.github.io/Logging_0980/tillsyn/A 35574-2024 tillsynsbegäran.docx", "A 35574-2024")</f>
        <v/>
      </c>
      <c r="AD127">
        <f>HYPERLINK("https://klasma.github.io/Logging_0980/tillsynsmail/A 35574-2024 tillsynsbegäran mail.docx", "A 35574-2024")</f>
        <v/>
      </c>
    </row>
    <row r="128" ht="15" customHeight="1">
      <c r="A128" t="inlineStr">
        <is>
          <t>A 17982-2023</t>
        </is>
      </c>
      <c r="B128" t="inlineStr">
        <is>
          <t>avverkningsanmälan</t>
        </is>
      </c>
      <c r="C128" t="inlineStr">
        <is>
          <t>Avverkning för att bevara och utveckla /försöksver</t>
        </is>
      </c>
      <c r="D128" s="1" t="n">
        <v>45040</v>
      </c>
      <c r="E128" s="1" t="n">
        <v>46253</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54357-2024</t>
        </is>
      </c>
      <c r="B129" t="inlineStr">
        <is>
          <t>avverkningsanmälan</t>
        </is>
      </c>
      <c r="C129" t="inlineStr">
        <is>
          <t>Föryngringsavverkning</t>
        </is>
      </c>
      <c r="D129" s="1" t="n">
        <v>45617</v>
      </c>
      <c r="E129" s="1" t="n">
        <v>46253</v>
      </c>
      <c r="F129" t="inlineStr">
        <is>
          <t>GOTLANDS LÄN</t>
        </is>
      </c>
      <c r="G129" t="inlineStr">
        <is>
          <t>GOTLAND</t>
        </is>
      </c>
      <c r="I129" t="n">
        <v>1.5</v>
      </c>
      <c r="J129" t="n">
        <v>1</v>
      </c>
      <c r="K129" t="n">
        <v>1</v>
      </c>
      <c r="L129" t="n">
        <v>1</v>
      </c>
      <c r="M129" t="n">
        <v>0</v>
      </c>
      <c r="N129" t="n">
        <v>0</v>
      </c>
      <c r="O129" t="n">
        <v>0</v>
      </c>
      <c r="P129" t="n">
        <v>0</v>
      </c>
      <c r="Q129" t="n">
        <v>1</v>
      </c>
      <c r="R129" t="n">
        <v>0</v>
      </c>
      <c r="S129" t="n">
        <v>3</v>
      </c>
      <c r="T129" t="n">
        <v>3</v>
      </c>
      <c r="U129" t="n">
        <v>2</v>
      </c>
      <c r="V129" s="2" t="inlineStr">
        <is>
          <t>Loppstarr
Grov fjädermossa
Fläcknycklar</t>
        </is>
      </c>
      <c r="W129">
        <f>HYPERLINK("https://klasma.github.io/Logging_0980/artfynd/A 54357-2024 artfynd.xlsx", "A 54357-2024")</f>
        <v/>
      </c>
      <c r="X129">
        <f>HYPERLINK("https://klasma.github.io/Logging_0980/kartor/A 54357-2024 karta.png", "A 54357-2024")</f>
        <v/>
      </c>
      <c r="Y129">
        <f>HYPERLINK("https://klasma.github.io/Logging_0980/kartor_geotiff/A 54357-2024 georefererad karta.tif", "A 54357-2024")</f>
        <v/>
      </c>
      <c r="AA129">
        <f>HYPERLINK("https://klasma.github.io/Logging_0980/klagomål/A 54357-2024 FSC-klagomål.docx", "A 54357-2024")</f>
        <v/>
      </c>
      <c r="AB129">
        <f>HYPERLINK("https://klasma.github.io/Logging_0980/klagomålsmail/A 54357-2024 FSC-klagomål mail.docx", "A 54357-2024")</f>
        <v/>
      </c>
      <c r="AC129">
        <f>HYPERLINK("https://klasma.github.io/Logging_0980/tillsyn/A 54357-2024 tillsynsbegäran.docx", "A 54357-2024")</f>
        <v/>
      </c>
      <c r="AD129">
        <f>HYPERLINK("https://klasma.github.io/Logging_0980/tillsynsmail/A 54357-2024 tillsynsbegäran mail.docx", "A 54357-2024")</f>
        <v/>
      </c>
    </row>
    <row r="130" ht="15" customHeight="1">
      <c r="A130" t="inlineStr">
        <is>
          <t>A 13499-2022</t>
        </is>
      </c>
      <c r="B130" t="inlineStr">
        <is>
          <t>avverkningsanmälan</t>
        </is>
      </c>
      <c r="C130" t="inlineStr">
        <is>
          <t>Föryngringsavverkning</t>
        </is>
      </c>
      <c r="D130" s="1" t="n">
        <v>44647</v>
      </c>
      <c r="E130" s="1" t="n">
        <v>46253</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t="n">
        <v>2</v>
      </c>
      <c r="V130" s="2" t="inlineStr">
        <is>
          <t>Blåsippa
Spillkråka
Sankt pers nycklar</t>
        </is>
      </c>
      <c r="W130">
        <f>HYPERLINK("https://klasma.github.io/Logging_0980/artfynd/A 13499-2022 artfynd.xlsx", "A 13499-2022")</f>
        <v/>
      </c>
      <c r="X130">
        <f>HYPERLINK("https://klasma.github.io/Logging_0980/kartor/A 13499-2022 karta.png", "A 13499-2022")</f>
        <v/>
      </c>
      <c r="Y130">
        <f>HYPERLINK("https://klasma.github.io/Logging_0980/kartor_geotiff/A 13499-2022 georefererad karta.tif", "A 13499-2022")</f>
        <v/>
      </c>
      <c r="AA130">
        <f>HYPERLINK("https://klasma.github.io/Logging_0980/klagomål/A 13499-2022 FSC-klagomål.docx", "A 13499-2022")</f>
        <v/>
      </c>
      <c r="AB130">
        <f>HYPERLINK("https://klasma.github.io/Logging_0980/klagomålsmail/A 13499-2022 FSC-klagomål mail.docx", "A 13499-2022")</f>
        <v/>
      </c>
      <c r="AC130">
        <f>HYPERLINK("https://klasma.github.io/Logging_0980/tillsyn/A 13499-2022 tillsynsbegäran.docx", "A 13499-2022")</f>
        <v/>
      </c>
      <c r="AD130">
        <f>HYPERLINK("https://klasma.github.io/Logging_0980/tillsynsmail/A 13499-2022 tillsynsbegäran mail.docx", "A 13499-2022")</f>
        <v/>
      </c>
      <c r="AE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46253</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17975-2024</t>
        </is>
      </c>
      <c r="B132" t="inlineStr">
        <is>
          <t>avverkningsanmälan</t>
        </is>
      </c>
      <c r="C132" t="inlineStr">
        <is>
          <t>Föryngringsavverkning</t>
        </is>
      </c>
      <c r="D132" s="1" t="n">
        <v>45419</v>
      </c>
      <c r="E132" s="1" t="n">
        <v>46253</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46253</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12315-2024</t>
        </is>
      </c>
      <c r="B134" t="inlineStr">
        <is>
          <t>avverkningsanmälan</t>
        </is>
      </c>
      <c r="C134" t="inlineStr">
        <is>
          <t>Föryngringsavverkning</t>
        </is>
      </c>
      <c r="D134" s="1" t="n">
        <v>45378</v>
      </c>
      <c r="E134" s="1" t="n">
        <v>46253</v>
      </c>
      <c r="F134" t="inlineStr">
        <is>
          <t>GOTLANDS LÄN</t>
        </is>
      </c>
      <c r="G134" t="inlineStr">
        <is>
          <t>GOTLAND</t>
        </is>
      </c>
      <c r="I134" t="n">
        <v>6</v>
      </c>
      <c r="J134" t="n">
        <v>3</v>
      </c>
      <c r="K134" t="n">
        <v>1</v>
      </c>
      <c r="L134" t="n">
        <v>0</v>
      </c>
      <c r="M134" t="n">
        <v>0</v>
      </c>
      <c r="N134" t="n">
        <v>0</v>
      </c>
      <c r="O134" t="n">
        <v>0</v>
      </c>
      <c r="P134" t="n">
        <v>0</v>
      </c>
      <c r="Q134" t="n">
        <v>0</v>
      </c>
      <c r="R134" t="n">
        <v>0</v>
      </c>
      <c r="S134" t="n">
        <v>3</v>
      </c>
      <c r="T134" t="n">
        <v>3</v>
      </c>
      <c r="U134" t="n">
        <v>3</v>
      </c>
      <c r="V134" s="2" t="inlineStr">
        <is>
          <t>Tvåblad
Buskskvätta
Fläcknycklar</t>
        </is>
      </c>
      <c r="W134">
        <f>HYPERLINK("https://klasma.github.io/Logging_0980/artfynd/A 12315-2024 artfynd.xlsx", "A 12315-2024")</f>
        <v/>
      </c>
      <c r="X134">
        <f>HYPERLINK("https://klasma.github.io/Logging_0980/kartor/A 12315-2024 karta.png", "A 12315-2024")</f>
        <v/>
      </c>
      <c r="Y134">
        <f>HYPERLINK("https://klasma.github.io/Logging_0980/kartor_geotiff/A 12315-2024 georefererad karta.tif", "A 12315-2024")</f>
        <v/>
      </c>
      <c r="AA134">
        <f>HYPERLINK("https://klasma.github.io/Logging_0980/klagomål/A 12315-2024 FSC-klagomål.docx", "A 12315-2024")</f>
        <v/>
      </c>
      <c r="AB134">
        <f>HYPERLINK("https://klasma.github.io/Logging_0980/klagomålsmail/A 12315-2024 FSC-klagomål mail.docx", "A 12315-2024")</f>
        <v/>
      </c>
      <c r="AC134">
        <f>HYPERLINK("https://klasma.github.io/Logging_0980/tillsyn/A 12315-2024 tillsynsbegäran.docx", "A 12315-2024")</f>
        <v/>
      </c>
      <c r="AD134">
        <f>HYPERLINK("https://klasma.github.io/Logging_0980/tillsynsmail/A 12315-2024 tillsynsbegäran mail.docx", "A 12315-2024")</f>
        <v/>
      </c>
    </row>
    <row r="135" ht="15" customHeight="1">
      <c r="A135" t="inlineStr">
        <is>
          <t>A 49411-2023</t>
        </is>
      </c>
      <c r="B135" t="inlineStr">
        <is>
          <t>avverkningsanmälan</t>
        </is>
      </c>
      <c r="C135" t="inlineStr">
        <is>
          <t>Föryngringsavverkning</t>
        </is>
      </c>
      <c r="D135" s="1" t="n">
        <v>45205</v>
      </c>
      <c r="E135" s="1" t="n">
        <v>46253</v>
      </c>
      <c r="F135" t="inlineStr">
        <is>
          <t>GOTLANDS LÄN</t>
        </is>
      </c>
      <c r="G135" t="inlineStr">
        <is>
          <t>GOTLAND</t>
        </is>
      </c>
      <c r="I135" t="n">
        <v>2</v>
      </c>
      <c r="J135" t="n">
        <v>1</v>
      </c>
      <c r="K135" t="n">
        <v>1</v>
      </c>
      <c r="L135" t="n">
        <v>2</v>
      </c>
      <c r="M135" t="n">
        <v>0</v>
      </c>
      <c r="N135" t="n">
        <v>0</v>
      </c>
      <c r="O135" t="n">
        <v>0</v>
      </c>
      <c r="P135" t="n">
        <v>0</v>
      </c>
      <c r="Q135" t="n">
        <v>2</v>
      </c>
      <c r="R135" t="n">
        <v>0</v>
      </c>
      <c r="S135" t="n">
        <v>3</v>
      </c>
      <c r="T135" t="n">
        <v>3</v>
      </c>
      <c r="U135" t="n">
        <v>1</v>
      </c>
      <c r="V135" s="2" t="inlineStr">
        <is>
          <t>Blåklockesandbi
Svinrot
Tvåblad</t>
        </is>
      </c>
      <c r="W135">
        <f>HYPERLINK("https://klasma.github.io/Logging_0980/artfynd/A 49411-2023 artfynd.xlsx", "A 49411-2023")</f>
        <v/>
      </c>
      <c r="X135">
        <f>HYPERLINK("https://klasma.github.io/Logging_0980/kartor/A 49411-2023 karta.png", "A 49411-2023")</f>
        <v/>
      </c>
      <c r="Y135">
        <f>HYPERLINK("https://klasma.github.io/Logging_0980/kartor_geotiff/A 49411-2023 georefererad karta.tif", "A 49411-2023")</f>
        <v/>
      </c>
      <c r="AA135">
        <f>HYPERLINK("https://klasma.github.io/Logging_0980/klagomål/A 49411-2023 FSC-klagomål.docx", "A 49411-2023")</f>
        <v/>
      </c>
      <c r="AB135">
        <f>HYPERLINK("https://klasma.github.io/Logging_0980/klagomålsmail/A 49411-2023 FSC-klagomål mail.docx", "A 49411-2023")</f>
        <v/>
      </c>
      <c r="AC135">
        <f>HYPERLINK("https://klasma.github.io/Logging_0980/tillsyn/A 49411-2023 tillsynsbegäran.docx", "A 49411-2023")</f>
        <v/>
      </c>
      <c r="AD135">
        <f>HYPERLINK("https://klasma.github.io/Logging_0980/tillsynsmail/A 49411-2023 tillsynsbegäran mail.docx", "A 49411-2023")</f>
        <v/>
      </c>
    </row>
    <row r="136" ht="15" customHeight="1">
      <c r="A136" t="inlineStr">
        <is>
          <t>A 61561-2023</t>
        </is>
      </c>
      <c r="B136" t="inlineStr">
        <is>
          <t>avverkningsanmälan</t>
        </is>
      </c>
      <c r="C136" t="inlineStr">
        <is>
          <t>Föryngringsavverkning</t>
        </is>
      </c>
      <c r="D136" s="1" t="n">
        <v>45265</v>
      </c>
      <c r="E136" s="1" t="n">
        <v>46253</v>
      </c>
      <c r="F136" t="inlineStr">
        <is>
          <t>GOTLANDS LÄN</t>
        </is>
      </c>
      <c r="G136" t="inlineStr">
        <is>
          <t>GOTLAND</t>
        </is>
      </c>
      <c r="I136" t="n">
        <v>7.4</v>
      </c>
      <c r="J136" t="n">
        <v>0</v>
      </c>
      <c r="K136" t="n">
        <v>0</v>
      </c>
      <c r="L136" t="n">
        <v>3</v>
      </c>
      <c r="M136" t="n">
        <v>0</v>
      </c>
      <c r="N136" t="n">
        <v>0</v>
      </c>
      <c r="O136" t="n">
        <v>0</v>
      </c>
      <c r="P136" t="n">
        <v>0</v>
      </c>
      <c r="Q136" t="n">
        <v>3</v>
      </c>
      <c r="R136" t="n">
        <v>0</v>
      </c>
      <c r="S136" t="n">
        <v>3</v>
      </c>
      <c r="T136" t="n">
        <v>3</v>
      </c>
      <c r="U136" t="n">
        <v>1</v>
      </c>
      <c r="V136" s="2" t="inlineStr">
        <is>
          <t>Jordtistel
Loppstarr
Solvända</t>
        </is>
      </c>
      <c r="W136">
        <f>HYPERLINK("https://klasma.github.io/Logging_0980/artfynd/A 61561-2023 artfynd.xlsx", "A 61561-2023")</f>
        <v/>
      </c>
      <c r="X136">
        <f>HYPERLINK("https://klasma.github.io/Logging_0980/kartor/A 61561-2023 karta.png", "A 61561-2023")</f>
        <v/>
      </c>
      <c r="Y136">
        <f>HYPERLINK("https://klasma.github.io/Logging_0980/kartor_geotiff/A 61561-2023 georefererad karta.tif", "A 61561-2023")</f>
        <v/>
      </c>
      <c r="AA136">
        <f>HYPERLINK("https://klasma.github.io/Logging_0980/klagomål/A 61561-2023 FSC-klagomål.docx", "A 61561-2023")</f>
        <v/>
      </c>
      <c r="AB136">
        <f>HYPERLINK("https://klasma.github.io/Logging_0980/klagomålsmail/A 61561-2023 FSC-klagomål mail.docx", "A 61561-2023")</f>
        <v/>
      </c>
      <c r="AC136">
        <f>HYPERLINK("https://klasma.github.io/Logging_0980/tillsyn/A 61561-2023 tillsynsbegäran.docx", "A 61561-2023")</f>
        <v/>
      </c>
      <c r="AD136">
        <f>HYPERLINK("https://klasma.github.io/Logging_0980/tillsynsmail/A 61561-2023 tillsynsbegäran mail.docx", "A 61561-2023")</f>
        <v/>
      </c>
    </row>
    <row r="137" ht="15" customHeight="1">
      <c r="A137" t="inlineStr">
        <is>
          <t>A 5909-2025</t>
        </is>
      </c>
      <c r="B137" t="inlineStr">
        <is>
          <t>avverkningsanmälan</t>
        </is>
      </c>
      <c r="C137" t="inlineStr">
        <is>
          <t>Föryngringsavverkning</t>
        </is>
      </c>
      <c r="D137" s="1" t="n">
        <v>45695</v>
      </c>
      <c r="E137" s="1" t="n">
        <v>46253</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t="n">
        <v>11</v>
      </c>
      <c r="V137" s="2" t="inlineStr">
        <is>
          <t>Dårgräsfjäril
Blåmossa
Skogsknipprot</t>
        </is>
      </c>
      <c r="W137">
        <f>HYPERLINK("https://klasma.github.io/Logging_0980/artfynd/A 5909-2025 artfynd.xlsx", "A 5909-2025")</f>
        <v/>
      </c>
      <c r="X137">
        <f>HYPERLINK("https://klasma.github.io/Logging_0980/kartor/A 5909-2025 karta.png", "A 5909-2025")</f>
        <v/>
      </c>
      <c r="Y137">
        <f>HYPERLINK("https://klasma.github.io/Logging_0980/kartor_geotiff/A 5909-2025 georefererad karta.tif", "A 5909-2025")</f>
        <v/>
      </c>
      <c r="AA137">
        <f>HYPERLINK("https://klasma.github.io/Logging_0980/klagomål/A 5909-2025 FSC-klagomål.docx", "A 5909-2025")</f>
        <v/>
      </c>
      <c r="AB137">
        <f>HYPERLINK("https://klasma.github.io/Logging_0980/klagomålsmail/A 5909-2025 FSC-klagomål mail.docx", "A 5909-2025")</f>
        <v/>
      </c>
      <c r="AC137">
        <f>HYPERLINK("https://klasma.github.io/Logging_0980/tillsyn/A 5909-2025 tillsynsbegäran.docx", "A 5909-2025")</f>
        <v/>
      </c>
      <c r="AD137">
        <f>HYPERLINK("https://klasma.github.io/Logging_0980/tillsynsmail/A 5909-2025 tillsynsbegäran mail.docx", "A 5909-2025")</f>
        <v/>
      </c>
    </row>
    <row r="138" ht="15" customHeight="1">
      <c r="A138" t="inlineStr">
        <is>
          <t>A 10440-2024</t>
        </is>
      </c>
      <c r="B138" t="inlineStr">
        <is>
          <t>avverkningsanmälan</t>
        </is>
      </c>
      <c r="C138" t="inlineStr">
        <is>
          <t>Föryngringsavverkning</t>
        </is>
      </c>
      <c r="D138" s="1" t="n">
        <v>45366</v>
      </c>
      <c r="E138" s="1" t="n">
        <v>46253</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46253</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46253</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46253</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46253</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46253</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62760-2025</t>
        </is>
      </c>
      <c r="B144" t="inlineStr">
        <is>
          <t>avverkningsanmälan</t>
        </is>
      </c>
      <c r="C144" t="inlineStr">
        <is>
          <t>Föryngringsavverkning</t>
        </is>
      </c>
      <c r="D144" s="1" t="n">
        <v>46008</v>
      </c>
      <c r="E144" s="1" t="n">
        <v>46253</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46253</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33011-2025</t>
        </is>
      </c>
      <c r="B146" t="inlineStr">
        <is>
          <t>avverkningsanmälan</t>
        </is>
      </c>
      <c r="C146" t="inlineStr">
        <is>
          <t>Föryngringsavverkning</t>
        </is>
      </c>
      <c r="D146" s="1" t="n">
        <v>45840</v>
      </c>
      <c r="E146" s="1" t="n">
        <v>46253</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1010-2024</t>
        </is>
      </c>
      <c r="B147" t="inlineStr">
        <is>
          <t>avverkningsanmälan</t>
        </is>
      </c>
      <c r="C147" t="inlineStr">
        <is>
          <t>Föryngringsavverkning</t>
        </is>
      </c>
      <c r="D147" s="1" t="n">
        <v>45301</v>
      </c>
      <c r="E147" s="1" t="n">
        <v>46253</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27589-2023</t>
        </is>
      </c>
      <c r="B148" t="inlineStr">
        <is>
          <t>avverkningsanmälan</t>
        </is>
      </c>
      <c r="C148" t="inlineStr">
        <is>
          <t>Avverkning för annat ändamål</t>
        </is>
      </c>
      <c r="D148" s="1" t="n">
        <v>45097</v>
      </c>
      <c r="E148" s="1" t="n">
        <v>46253</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t="n">
        <v>2</v>
      </c>
      <c r="V148" s="2" t="inlineStr">
        <is>
          <t>Skogsalm
Underviol</t>
        </is>
      </c>
      <c r="W148">
        <f>HYPERLINK("https://klasma.github.io/Logging_0980/artfynd/A 27589-2023 artfynd.xlsx", "A 27589-2023")</f>
        <v/>
      </c>
      <c r="X148">
        <f>HYPERLINK("https://klasma.github.io/Logging_0980/kartor/A 27589-2023 karta.png", "A 27589-2023")</f>
        <v/>
      </c>
      <c r="Y148">
        <f>HYPERLINK("https://klasma.github.io/Logging_0980/kartor_geotiff/A 27589-2023 georefererad karta.tif", "A 27589-2023")</f>
        <v/>
      </c>
      <c r="AA148">
        <f>HYPERLINK("https://klasma.github.io/Logging_0980/klagomål/A 27589-2023 FSC-klagomål.docx", "A 27589-2023")</f>
        <v/>
      </c>
      <c r="AB148">
        <f>HYPERLINK("https://klasma.github.io/Logging_0980/klagomålsmail/A 27589-2023 FSC-klagomål mail.docx", "A 27589-2023")</f>
        <v/>
      </c>
      <c r="AC148">
        <f>HYPERLINK("https://klasma.github.io/Logging_0980/tillsyn/A 27589-2023 tillsynsbegäran.docx", "A 27589-2023")</f>
        <v/>
      </c>
      <c r="AD148">
        <f>HYPERLINK("https://klasma.github.io/Logging_0980/tillsynsmail/A 27589-2023 tillsynsbegäran mail.docx", "A 27589-2023")</f>
        <v/>
      </c>
    </row>
    <row r="149" ht="15" customHeight="1">
      <c r="A149" t="inlineStr">
        <is>
          <t>A 8036-2022</t>
        </is>
      </c>
      <c r="B149" t="inlineStr">
        <is>
          <t>avverkningsanmälan</t>
        </is>
      </c>
      <c r="C149" t="inlineStr">
        <is>
          <t>Föryngringsavverkning</t>
        </is>
      </c>
      <c r="D149" s="1" t="n">
        <v>44609</v>
      </c>
      <c r="E149" s="1" t="n">
        <v>46253</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883-2025</t>
        </is>
      </c>
      <c r="B150" t="inlineStr">
        <is>
          <t>avverkningsanmälan</t>
        </is>
      </c>
      <c r="C150" t="inlineStr">
        <is>
          <t>Föryngringsavverkning</t>
        </is>
      </c>
      <c r="D150" s="1" t="n">
        <v>45665</v>
      </c>
      <c r="E150" s="1" t="n">
        <v>46253</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7070-2022</t>
        </is>
      </c>
      <c r="B151" t="inlineStr">
        <is>
          <t>avverkningsanmälan</t>
        </is>
      </c>
      <c r="C151" t="inlineStr">
        <is>
          <t>Föryngringsavverkning</t>
        </is>
      </c>
      <c r="D151" s="1" t="n">
        <v>44603</v>
      </c>
      <c r="E151" s="1" t="n">
        <v>46253</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t="n">
        <v>0</v>
      </c>
      <c r="V151" s="2" t="inlineStr">
        <is>
          <t>Kattfotslav
Blåmossa</t>
        </is>
      </c>
      <c r="W151">
        <f>HYPERLINK("https://klasma.github.io/Logging_0980/artfynd/A 7070-2022 artfynd.xlsx", "A 7070-2022")</f>
        <v/>
      </c>
      <c r="X151">
        <f>HYPERLINK("https://klasma.github.io/Logging_0980/kartor/A 7070-2022 karta.png", "A 7070-2022")</f>
        <v/>
      </c>
      <c r="Y151">
        <f>HYPERLINK("https://klasma.github.io/Logging_0980/kartor_geotiff/A 7070-2022 georefererad karta.tif", "A 7070-2022")</f>
        <v/>
      </c>
      <c r="AA151">
        <f>HYPERLINK("https://klasma.github.io/Logging_0980/klagomål/A 7070-2022 FSC-klagomål.docx", "A 7070-2022")</f>
        <v/>
      </c>
      <c r="AB151">
        <f>HYPERLINK("https://klasma.github.io/Logging_0980/klagomålsmail/A 7070-2022 FSC-klagomål mail.docx", "A 7070-2022")</f>
        <v/>
      </c>
      <c r="AC151">
        <f>HYPERLINK("https://klasma.github.io/Logging_0980/tillsyn/A 7070-2022 tillsynsbegäran.docx", "A 7070-2022")</f>
        <v/>
      </c>
      <c r="AD151">
        <f>HYPERLINK("https://klasma.github.io/Logging_0980/tillsynsmail/A 7070-2022 tillsynsbegäran mail.docx", "A 7070-2022")</f>
        <v/>
      </c>
    </row>
    <row r="152" ht="15" customHeight="1">
      <c r="A152" t="inlineStr">
        <is>
          <t>A 27621-2026</t>
        </is>
      </c>
      <c r="B152" t="inlineStr">
        <is>
          <t>avverkningsanmälan</t>
        </is>
      </c>
      <c r="C152" t="inlineStr">
        <is>
          <t>Föryngringsavverkning</t>
        </is>
      </c>
      <c r="D152" s="1" t="n">
        <v>46190</v>
      </c>
      <c r="E152" s="1" t="n">
        <v>46253</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28261-2024</t>
        </is>
      </c>
      <c r="B153" t="inlineStr">
        <is>
          <t>avverkningsanmälan</t>
        </is>
      </c>
      <c r="C153" t="inlineStr">
        <is>
          <t>Avverkning för annat ändamål</t>
        </is>
      </c>
      <c r="D153" s="1" t="n">
        <v>45477</v>
      </c>
      <c r="E153" s="1" t="n">
        <v>46253</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28261-2024 artfynd.xlsx", "A 28261-2024")</f>
        <v/>
      </c>
      <c r="X153">
        <f>HYPERLINK("https://klasma.github.io/Logging_0980/kartor/A 28261-2024 karta.png", "A 28261-2024")</f>
        <v/>
      </c>
      <c r="Y153">
        <f>HYPERLINK("https://klasma.github.io/Logging_0980/kartor_geotiff/A 28261-2024 georefererad karta.tif", "A 28261-2024")</f>
        <v/>
      </c>
      <c r="AA153">
        <f>HYPERLINK("https://klasma.github.io/Logging_0980/klagomål/A 28261-2024 FSC-klagomål.docx", "A 28261-2024")</f>
        <v/>
      </c>
      <c r="AB153">
        <f>HYPERLINK("https://klasma.github.io/Logging_0980/klagomålsmail/A 28261-2024 FSC-klagomål mail.docx", "A 28261-2024")</f>
        <v/>
      </c>
      <c r="AC153">
        <f>HYPERLINK("https://klasma.github.io/Logging_0980/tillsyn/A 28261-2024 tillsynsbegäran.docx", "A 28261-2024")</f>
        <v/>
      </c>
      <c r="AD153">
        <f>HYPERLINK("https://klasma.github.io/Logging_0980/tillsynsmail/A 28261-2024 tillsynsbegäran mail.docx", "A 28261-2024")</f>
        <v/>
      </c>
    </row>
    <row r="154" ht="15" customHeight="1">
      <c r="A154" t="inlineStr">
        <is>
          <t>A 30470-2026</t>
        </is>
      </c>
      <c r="B154" t="inlineStr">
        <is>
          <t>avverkningsanmälan</t>
        </is>
      </c>
      <c r="C154" t="inlineStr">
        <is>
          <t>Föryngringsavverkning</t>
        </is>
      </c>
      <c r="D154" s="1" t="n">
        <v>46209</v>
      </c>
      <c r="E154" s="1" t="n">
        <v>46253</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t="n">
        <v>0</v>
      </c>
      <c r="V154" s="2" t="inlineStr">
        <is>
          <t>Grönpyrola
Lopplummer (aggregat)</t>
        </is>
      </c>
      <c r="W154">
        <f>HYPERLINK("https://klasma.github.io/Logging_0980/artfynd/A 30470-2026 artfynd.xlsx", "A 30470-2026")</f>
        <v/>
      </c>
      <c r="X154">
        <f>HYPERLINK("https://klasma.github.io/Logging_0980/kartor/A 30470-2026 karta.png", "A 30470-2026")</f>
        <v/>
      </c>
      <c r="Y154">
        <f>HYPERLINK("https://klasma.github.io/Logging_0980/kartor_geotiff/A 30470-2026 georefererad karta.tif", "A 30470-2026")</f>
        <v/>
      </c>
      <c r="AA154">
        <f>HYPERLINK("https://klasma.github.io/Logging_0980/klagomål/A 30470-2026 FSC-klagomål.docx", "A 30470-2026")</f>
        <v/>
      </c>
      <c r="AB154">
        <f>HYPERLINK("https://klasma.github.io/Logging_0980/klagomålsmail/A 30470-2026 FSC-klagomål mail.docx", "A 30470-2026")</f>
        <v/>
      </c>
      <c r="AC154">
        <f>HYPERLINK("https://klasma.github.io/Logging_0980/tillsyn/A 30470-2026 tillsynsbegäran.docx", "A 30470-2026")</f>
        <v/>
      </c>
      <c r="AD154">
        <f>HYPERLINK("https://klasma.github.io/Logging_0980/tillsynsmail/A 30470-2026 tillsynsbegäran mail.docx", "A 30470-2026")</f>
        <v/>
      </c>
    </row>
    <row r="155" ht="15" customHeight="1">
      <c r="A155" t="inlineStr">
        <is>
          <t>A 28276-2024</t>
        </is>
      </c>
      <c r="B155" t="inlineStr">
        <is>
          <t>avverkningsanmälan</t>
        </is>
      </c>
      <c r="C155" t="inlineStr">
        <is>
          <t>Avverkning för annat ändamål</t>
        </is>
      </c>
      <c r="D155" s="1" t="n">
        <v>45477</v>
      </c>
      <c r="E155" s="1" t="n">
        <v>46253</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S 3320-2023</t>
        </is>
      </c>
      <c r="B156" t="inlineStr">
        <is>
          <t>samrådsanmälan</t>
        </is>
      </c>
      <c r="C156" t="inlineStr">
        <is>
          <t>Annan skogsbruksåtgärd</t>
        </is>
      </c>
      <c r="D156" s="1" t="n">
        <v>45198</v>
      </c>
      <c r="E156" s="1" t="n">
        <v>46253</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46253</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46253</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46253</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46253</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10218-2025</t>
        </is>
      </c>
      <c r="B161" t="inlineStr">
        <is>
          <t>avverkningsanmälan</t>
        </is>
      </c>
      <c r="C161" t="inlineStr">
        <is>
          <t>Föryngringsavverkning</t>
        </is>
      </c>
      <c r="D161" s="1" t="n">
        <v>45720</v>
      </c>
      <c r="E161" s="1" t="n">
        <v>46253</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t="n">
        <v>1</v>
      </c>
      <c r="V161" s="2" t="inlineStr">
        <is>
          <t>Kalktallört</t>
        </is>
      </c>
      <c r="W161">
        <f>HYPERLINK("https://klasma.github.io/Logging_0980/artfynd/A 10218-2025 artfynd.xlsx", "A 10218-2025")</f>
        <v/>
      </c>
      <c r="X161">
        <f>HYPERLINK("https://klasma.github.io/Logging_0980/kartor/A 10218-2025 karta.png", "A 10218-2025")</f>
        <v/>
      </c>
      <c r="Y161">
        <f>HYPERLINK("https://klasma.github.io/Logging_0980/kartor_geotiff/A 10218-2025 georefererad karta.tif", "A 10218-2025")</f>
        <v/>
      </c>
      <c r="AA161">
        <f>HYPERLINK("https://klasma.github.io/Logging_0980/klagomål/A 10218-2025 FSC-klagomål.docx", "A 10218-2025")</f>
        <v/>
      </c>
      <c r="AB161">
        <f>HYPERLINK("https://klasma.github.io/Logging_0980/klagomålsmail/A 10218-2025 FSC-klagomål mail.docx", "A 10218-2025")</f>
        <v/>
      </c>
      <c r="AC161">
        <f>HYPERLINK("https://klasma.github.io/Logging_0980/tillsyn/A 10218-2025 tillsynsbegäran.docx", "A 10218-2025")</f>
        <v/>
      </c>
      <c r="AD161">
        <f>HYPERLINK("https://klasma.github.io/Logging_0980/tillsynsmail/A 10218-2025 tillsynsbegäran mail.docx", "A 10218-2025")</f>
        <v/>
      </c>
    </row>
    <row r="162" ht="15" customHeight="1">
      <c r="A162" t="inlineStr">
        <is>
          <t>A 5751-2024</t>
        </is>
      </c>
      <c r="B162" t="inlineStr">
        <is>
          <t>avverkningsanmälan</t>
        </is>
      </c>
      <c r="C162" t="inlineStr">
        <is>
          <t>Avverkning för att bevara och utveckla /försöksver</t>
        </is>
      </c>
      <c r="D162" s="1" t="n">
        <v>45335</v>
      </c>
      <c r="E162" s="1" t="n">
        <v>46253</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12379-2024</t>
        </is>
      </c>
      <c r="B163" t="inlineStr">
        <is>
          <t>avverkningsanmälan</t>
        </is>
      </c>
      <c r="C163" t="inlineStr">
        <is>
          <t>Föryngringsavverkning</t>
        </is>
      </c>
      <c r="D163" s="1" t="n">
        <v>45379</v>
      </c>
      <c r="E163" s="1" t="n">
        <v>46253</v>
      </c>
      <c r="F163" t="inlineStr">
        <is>
          <t>GOTLANDS LÄN</t>
        </is>
      </c>
      <c r="G163" t="inlineStr">
        <is>
          <t>GOTLAND</t>
        </is>
      </c>
      <c r="I163" t="n">
        <v>4.4</v>
      </c>
      <c r="J163" t="n">
        <v>0</v>
      </c>
      <c r="K163" t="n">
        <v>0</v>
      </c>
      <c r="L163" t="n">
        <v>1</v>
      </c>
      <c r="M163" t="n">
        <v>0</v>
      </c>
      <c r="N163" t="n">
        <v>0</v>
      </c>
      <c r="O163" t="n">
        <v>0</v>
      </c>
      <c r="P163" t="n">
        <v>0</v>
      </c>
      <c r="Q163" t="n">
        <v>1</v>
      </c>
      <c r="R163" t="n">
        <v>0</v>
      </c>
      <c r="S163" t="n">
        <v>1</v>
      </c>
      <c r="T163" t="n">
        <v>1</v>
      </c>
      <c r="U163" t="n">
        <v>0</v>
      </c>
      <c r="V163" s="2" t="inlineStr">
        <is>
          <t>Svinrot</t>
        </is>
      </c>
      <c r="W163">
        <f>HYPERLINK("https://klasma.github.io/Logging_0980/artfynd/A 12379-2024 artfynd.xlsx", "A 12379-2024")</f>
        <v/>
      </c>
      <c r="X163">
        <f>HYPERLINK("https://klasma.github.io/Logging_0980/kartor/A 12379-2024 karta.png", "A 12379-2024")</f>
        <v/>
      </c>
      <c r="Y163">
        <f>HYPERLINK("https://klasma.github.io/Logging_0980/kartor_geotiff/A 12379-2024 georefererad karta.tif", "A 12379-2024")</f>
        <v/>
      </c>
      <c r="AA163">
        <f>HYPERLINK("https://klasma.github.io/Logging_0980/klagomål/A 12379-2024 FSC-klagomål.docx", "A 12379-2024")</f>
        <v/>
      </c>
      <c r="AB163">
        <f>HYPERLINK("https://klasma.github.io/Logging_0980/klagomålsmail/A 12379-2024 FSC-klagomål mail.docx", "A 12379-2024")</f>
        <v/>
      </c>
      <c r="AC163">
        <f>HYPERLINK("https://klasma.github.io/Logging_0980/tillsyn/A 12379-2024 tillsynsbegäran.docx", "A 12379-2024")</f>
        <v/>
      </c>
      <c r="AD163">
        <f>HYPERLINK("https://klasma.github.io/Logging_0980/tillsynsmail/A 12379-2024 tillsynsbegäran mail.docx", "A 12379-2024")</f>
        <v/>
      </c>
    </row>
    <row r="164" ht="15" customHeight="1">
      <c r="A164" t="inlineStr">
        <is>
          <t>A 46189-2022</t>
        </is>
      </c>
      <c r="B164" t="inlineStr">
        <is>
          <t>avverkningsanmälan</t>
        </is>
      </c>
      <c r="C164" t="inlineStr">
        <is>
          <t>Avverkning för annat ändamål</t>
        </is>
      </c>
      <c r="D164" s="1" t="n">
        <v>44847</v>
      </c>
      <c r="E164" s="1" t="n">
        <v>46253</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t="n">
        <v>1</v>
      </c>
      <c r="V164" s="2" t="inlineStr">
        <is>
          <t>Stjälkröksvamp</t>
        </is>
      </c>
      <c r="W164">
        <f>HYPERLINK("https://klasma.github.io/Logging_0980/artfynd/A 46189-2022 artfynd.xlsx", "A 46189-2022")</f>
        <v/>
      </c>
      <c r="X164">
        <f>HYPERLINK("https://klasma.github.io/Logging_0980/kartor/A 46189-2022 karta.png", "A 46189-2022")</f>
        <v/>
      </c>
      <c r="Y164">
        <f>HYPERLINK("https://klasma.github.io/Logging_0980/kartor_geotiff/A 46189-2022 georefererad karta.tif", "A 46189-2022")</f>
        <v/>
      </c>
      <c r="AA164">
        <f>HYPERLINK("https://klasma.github.io/Logging_0980/klagomål/A 46189-2022 FSC-klagomål.docx", "A 46189-2022")</f>
        <v/>
      </c>
      <c r="AB164">
        <f>HYPERLINK("https://klasma.github.io/Logging_0980/klagomålsmail/A 46189-2022 FSC-klagomål mail.docx", "A 46189-2022")</f>
        <v/>
      </c>
      <c r="AC164">
        <f>HYPERLINK("https://klasma.github.io/Logging_0980/tillsyn/A 46189-2022 tillsynsbegäran.docx", "A 46189-2022")</f>
        <v/>
      </c>
      <c r="AD164">
        <f>HYPERLINK("https://klasma.github.io/Logging_0980/tillsynsmail/A 46189-2022 tillsynsbegäran mail.docx", "A 46189-2022")</f>
        <v/>
      </c>
    </row>
    <row r="165" ht="15" customHeight="1">
      <c r="A165" t="inlineStr">
        <is>
          <t>A 27593-2023</t>
        </is>
      </c>
      <c r="B165" t="inlineStr">
        <is>
          <t>avverkningsanmälan</t>
        </is>
      </c>
      <c r="C165" t="inlineStr">
        <is>
          <t>Avverkning för annat ändamål</t>
        </is>
      </c>
      <c r="D165" s="1" t="n">
        <v>45097</v>
      </c>
      <c r="E165" s="1" t="n">
        <v>46253</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t="n">
        <v>1</v>
      </c>
      <c r="V165" s="2" t="inlineStr">
        <is>
          <t>Spjutsporre</t>
        </is>
      </c>
      <c r="W165">
        <f>HYPERLINK("https://klasma.github.io/Logging_0980/artfynd/A 27593-2023 artfynd.xlsx", "A 27593-2023")</f>
        <v/>
      </c>
      <c r="X165">
        <f>HYPERLINK("https://klasma.github.io/Logging_0980/kartor/A 27593-2023 karta.png", "A 27593-2023")</f>
        <v/>
      </c>
      <c r="Y165">
        <f>HYPERLINK("https://klasma.github.io/Logging_0980/kartor_geotiff/A 27593-2023 georefererad karta.tif", "A 27593-2023")</f>
        <v/>
      </c>
      <c r="AA165">
        <f>HYPERLINK("https://klasma.github.io/Logging_0980/klagomål/A 27593-2023 FSC-klagomål.docx", "A 27593-2023")</f>
        <v/>
      </c>
      <c r="AB165">
        <f>HYPERLINK("https://klasma.github.io/Logging_0980/klagomålsmail/A 27593-2023 FSC-klagomål mail.docx", "A 27593-2023")</f>
        <v/>
      </c>
      <c r="AC165">
        <f>HYPERLINK("https://klasma.github.io/Logging_0980/tillsyn/A 27593-2023 tillsynsbegäran.docx", "A 27593-2023")</f>
        <v/>
      </c>
      <c r="AD165">
        <f>HYPERLINK("https://klasma.github.io/Logging_0980/tillsynsmail/A 27593-2023 tillsynsbegäran mail.docx", "A 27593-2023")</f>
        <v/>
      </c>
    </row>
    <row r="166" ht="15" customHeight="1">
      <c r="A166" t="inlineStr">
        <is>
          <t>A 25977-2024</t>
        </is>
      </c>
      <c r="B166" t="inlineStr">
        <is>
          <t>avverkningsanmälan</t>
        </is>
      </c>
      <c r="C166" t="inlineStr">
        <is>
          <t>Föryngringsavverkning</t>
        </is>
      </c>
      <c r="D166" s="1" t="n">
        <v>45467</v>
      </c>
      <c r="E166" s="1" t="n">
        <v>46253</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6739-2025</t>
        </is>
      </c>
      <c r="B167" t="inlineStr">
        <is>
          <t>avverkningsanmälan</t>
        </is>
      </c>
      <c r="C167" t="inlineStr">
        <is>
          <t>Föryngringsavverkning</t>
        </is>
      </c>
      <c r="D167" s="1" t="n">
        <v>45700</v>
      </c>
      <c r="E167" s="1" t="n">
        <v>46253</v>
      </c>
      <c r="F167" t="inlineStr">
        <is>
          <t>GOTLANDS LÄN</t>
        </is>
      </c>
      <c r="G167" t="inlineStr">
        <is>
          <t>GOTLAND</t>
        </is>
      </c>
      <c r="I167" t="n">
        <v>4.5</v>
      </c>
      <c r="J167" t="n">
        <v>1</v>
      </c>
      <c r="K167" t="n">
        <v>0</v>
      </c>
      <c r="L167" t="n">
        <v>0</v>
      </c>
      <c r="M167" t="n">
        <v>0</v>
      </c>
      <c r="N167" t="n">
        <v>0</v>
      </c>
      <c r="O167" t="n">
        <v>0</v>
      </c>
      <c r="P167" t="n">
        <v>0</v>
      </c>
      <c r="Q167" t="n">
        <v>0</v>
      </c>
      <c r="R167" t="n">
        <v>0</v>
      </c>
      <c r="S167" t="n">
        <v>1</v>
      </c>
      <c r="T167" t="n">
        <v>1</v>
      </c>
      <c r="U167" t="n">
        <v>1</v>
      </c>
      <c r="V167" s="2" t="inlineStr">
        <is>
          <t>Röd glada</t>
        </is>
      </c>
      <c r="W167">
        <f>HYPERLINK("https://klasma.github.io/Logging_0980/artfynd/A 6739-2025 artfynd.xlsx", "A 6739-2025")</f>
        <v/>
      </c>
      <c r="X167">
        <f>HYPERLINK("https://klasma.github.io/Logging_0980/kartor/A 6739-2025 karta.png", "A 6739-2025")</f>
        <v/>
      </c>
      <c r="Y167">
        <f>HYPERLINK("https://klasma.github.io/Logging_0980/kartor_geotiff/A 6739-2025 georefererad karta.tif", "A 6739-2025")</f>
        <v/>
      </c>
      <c r="AA167">
        <f>HYPERLINK("https://klasma.github.io/Logging_0980/klagomål/A 6739-2025 FSC-klagomål.docx", "A 6739-2025")</f>
        <v/>
      </c>
      <c r="AB167">
        <f>HYPERLINK("https://klasma.github.io/Logging_0980/klagomålsmail/A 6739-2025 FSC-klagomål mail.docx", "A 6739-2025")</f>
        <v/>
      </c>
      <c r="AC167">
        <f>HYPERLINK("https://klasma.github.io/Logging_0980/tillsyn/A 6739-2025 tillsynsbegäran.docx", "A 6739-2025")</f>
        <v/>
      </c>
      <c r="AD167">
        <f>HYPERLINK("https://klasma.github.io/Logging_0980/tillsynsmail/A 6739-2025 tillsynsbegäran mail.docx", "A 6739-2025")</f>
        <v/>
      </c>
      <c r="AE167">
        <f>HYPERLINK("https://klasma.github.io/Logging_0980/fåglar/A 6739-2025 prioriterade fågelarter.docx", "A 6739-2025")</f>
        <v/>
      </c>
    </row>
    <row r="168" ht="15" customHeight="1">
      <c r="A168" t="inlineStr">
        <is>
          <t>A 4568-2025</t>
        </is>
      </c>
      <c r="B168" t="inlineStr">
        <is>
          <t>avverkningsanmälan</t>
        </is>
      </c>
      <c r="C168" t="inlineStr">
        <is>
          <t>Föryngringsavverkning</t>
        </is>
      </c>
      <c r="D168" s="1" t="n">
        <v>45687</v>
      </c>
      <c r="E168" s="1" t="n">
        <v>46253</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1</v>
      </c>
      <c r="U168" t="n">
        <v>1</v>
      </c>
      <c r="V168" s="2" t="inlineStr">
        <is>
          <t>Backfryle</t>
        </is>
      </c>
      <c r="W168">
        <f>HYPERLINK("https://klasma.github.io/Logging_0980/artfynd/A 4568-2025 artfynd.xlsx", "A 4568-2025")</f>
        <v/>
      </c>
      <c r="X168">
        <f>HYPERLINK("https://klasma.github.io/Logging_0980/kartor/A 4568-2025 karta.png", "A 4568-2025")</f>
        <v/>
      </c>
      <c r="Y168">
        <f>HYPERLINK("https://klasma.github.io/Logging_0980/kartor_geotiff/A 4568-2025 georefererad karta.tif", "A 4568-2025")</f>
        <v/>
      </c>
      <c r="AA168">
        <f>HYPERLINK("https://klasma.github.io/Logging_0980/klagomål/A 4568-2025 FSC-klagomål.docx", "A 4568-2025")</f>
        <v/>
      </c>
      <c r="AB168">
        <f>HYPERLINK("https://klasma.github.io/Logging_0980/klagomålsmail/A 4568-2025 FSC-klagomål mail.docx", "A 4568-2025")</f>
        <v/>
      </c>
      <c r="AC168">
        <f>HYPERLINK("https://klasma.github.io/Logging_0980/tillsyn/A 4568-2025 tillsynsbegäran.docx", "A 4568-2025")</f>
        <v/>
      </c>
      <c r="AD168">
        <f>HYPERLINK("https://klasma.github.io/Logging_0980/tillsynsmail/A 4568-2025 tillsynsbegäran mail.docx", "A 4568-2025")</f>
        <v/>
      </c>
    </row>
    <row r="169" ht="15" customHeight="1">
      <c r="A169" t="inlineStr">
        <is>
          <t>A 61796-2022</t>
        </is>
      </c>
      <c r="B169" t="inlineStr">
        <is>
          <t>avverkningsanmälan</t>
        </is>
      </c>
      <c r="C169" t="inlineStr">
        <is>
          <t>Föryngringsavverkning</t>
        </is>
      </c>
      <c r="D169" s="1" t="n">
        <v>44917</v>
      </c>
      <c r="E169" s="1" t="n">
        <v>46253</v>
      </c>
      <c r="F169" t="inlineStr">
        <is>
          <t>GOTLANDS LÄN</t>
        </is>
      </c>
      <c r="G169" t="inlineStr">
        <is>
          <t>GOTLAND</t>
        </is>
      </c>
      <c r="I169" t="n">
        <v>1.5</v>
      </c>
      <c r="J169" t="n">
        <v>1</v>
      </c>
      <c r="K169" t="n">
        <v>0</v>
      </c>
      <c r="L169" t="n">
        <v>0</v>
      </c>
      <c r="M169" t="n">
        <v>0</v>
      </c>
      <c r="N169" t="n">
        <v>0</v>
      </c>
      <c r="O169" t="n">
        <v>0</v>
      </c>
      <c r="P169" t="n">
        <v>0</v>
      </c>
      <c r="Q169" t="n">
        <v>0</v>
      </c>
      <c r="R169" t="n">
        <v>0</v>
      </c>
      <c r="S169" t="n">
        <v>1</v>
      </c>
      <c r="T169" t="n">
        <v>1</v>
      </c>
      <c r="U169" t="n">
        <v>1</v>
      </c>
      <c r="V169" s="2" t="inlineStr">
        <is>
          <t>Skogsduva</t>
        </is>
      </c>
      <c r="W169">
        <f>HYPERLINK("https://klasma.github.io/Logging_0980/artfynd/A 61796-2022 artfynd.xlsx", "A 61796-2022")</f>
        <v/>
      </c>
      <c r="X169">
        <f>HYPERLINK("https://klasma.github.io/Logging_0980/kartor/A 61796-2022 karta.png", "A 61796-2022")</f>
        <v/>
      </c>
      <c r="Y169">
        <f>HYPERLINK("https://klasma.github.io/Logging_0980/kartor_geotiff/A 61796-2022 georefererad karta.tif", "A 61796-2022")</f>
        <v/>
      </c>
      <c r="AA169">
        <f>HYPERLINK("https://klasma.github.io/Logging_0980/klagomål/A 61796-2022 FSC-klagomål.docx", "A 61796-2022")</f>
        <v/>
      </c>
      <c r="AB169">
        <f>HYPERLINK("https://klasma.github.io/Logging_0980/klagomålsmail/A 61796-2022 FSC-klagomål mail.docx", "A 61796-2022")</f>
        <v/>
      </c>
      <c r="AC169">
        <f>HYPERLINK("https://klasma.github.io/Logging_0980/tillsyn/A 61796-2022 tillsynsbegäran.docx", "A 61796-2022")</f>
        <v/>
      </c>
      <c r="AD169">
        <f>HYPERLINK("https://klasma.github.io/Logging_0980/tillsynsmail/A 61796-2022 tillsynsbegäran mail.docx", "A 61796-2022")</f>
        <v/>
      </c>
    </row>
    <row r="170" ht="15" customHeight="1">
      <c r="A170" t="inlineStr">
        <is>
          <t>A 29809-2022</t>
        </is>
      </c>
      <c r="B170" t="inlineStr">
        <is>
          <t>avverkningsanmälan</t>
        </is>
      </c>
      <c r="C170" t="inlineStr">
        <is>
          <t>Föryngringsavverkning</t>
        </is>
      </c>
      <c r="D170" s="1" t="n">
        <v>44755</v>
      </c>
      <c r="E170" s="1" t="n">
        <v>46253</v>
      </c>
      <c r="F170" t="inlineStr">
        <is>
          <t>GOTLANDS LÄN</t>
        </is>
      </c>
      <c r="G170" t="inlineStr">
        <is>
          <t>GOTLAND</t>
        </is>
      </c>
      <c r="I170" t="n">
        <v>11.5</v>
      </c>
      <c r="J170" t="n">
        <v>1</v>
      </c>
      <c r="K170" t="n">
        <v>0</v>
      </c>
      <c r="L170" t="n">
        <v>1</v>
      </c>
      <c r="M170" t="n">
        <v>0</v>
      </c>
      <c r="N170" t="n">
        <v>0</v>
      </c>
      <c r="O170" t="n">
        <v>0</v>
      </c>
      <c r="P170" t="n">
        <v>0</v>
      </c>
      <c r="Q170" t="n">
        <v>1</v>
      </c>
      <c r="R170" t="n">
        <v>0</v>
      </c>
      <c r="S170" t="n">
        <v>1</v>
      </c>
      <c r="T170" t="n">
        <v>1</v>
      </c>
      <c r="U170" t="n">
        <v>1</v>
      </c>
      <c r="V170" s="2" t="inlineStr">
        <is>
          <t>Dårgräsfjäril</t>
        </is>
      </c>
      <c r="W170">
        <f>HYPERLINK("https://klasma.github.io/Logging_0980/artfynd/A 29809-2022 artfynd.xlsx", "A 29809-2022")</f>
        <v/>
      </c>
      <c r="X170">
        <f>HYPERLINK("https://klasma.github.io/Logging_0980/kartor/A 29809-2022 karta.png", "A 29809-2022")</f>
        <v/>
      </c>
      <c r="Y170">
        <f>HYPERLINK("https://klasma.github.io/Logging_0980/kartor_geotiff/A 29809-2022 georefererad karta.tif", "A 29809-2022")</f>
        <v/>
      </c>
      <c r="AA170">
        <f>HYPERLINK("https://klasma.github.io/Logging_0980/klagomål/A 29809-2022 FSC-klagomål.docx", "A 29809-2022")</f>
        <v/>
      </c>
      <c r="AB170">
        <f>HYPERLINK("https://klasma.github.io/Logging_0980/klagomålsmail/A 29809-2022 FSC-klagomål mail.docx", "A 29809-2022")</f>
        <v/>
      </c>
      <c r="AC170">
        <f>HYPERLINK("https://klasma.github.io/Logging_0980/tillsyn/A 29809-2022 tillsynsbegäran.docx", "A 29809-2022")</f>
        <v/>
      </c>
      <c r="AD170">
        <f>HYPERLINK("https://klasma.github.io/Logging_0980/tillsynsmail/A 29809-2022 tillsynsbegäran mail.docx", "A 29809-2022")</f>
        <v/>
      </c>
    </row>
    <row r="171" ht="15" customHeight="1">
      <c r="A171" t="inlineStr">
        <is>
          <t>A 15637-2024</t>
        </is>
      </c>
      <c r="B171" t="inlineStr">
        <is>
          <t>avverkningsanmälan</t>
        </is>
      </c>
      <c r="C171" t="inlineStr">
        <is>
          <t>Föryngringsavverkning</t>
        </is>
      </c>
      <c r="D171" s="1" t="n">
        <v>45403</v>
      </c>
      <c r="E171" s="1" t="n">
        <v>46253</v>
      </c>
      <c r="F171" t="inlineStr">
        <is>
          <t>GOTLANDS LÄN</t>
        </is>
      </c>
      <c r="G171" t="inlineStr">
        <is>
          <t>GOTLAND</t>
        </is>
      </c>
      <c r="I171" t="n">
        <v>4.1</v>
      </c>
      <c r="J171" t="n">
        <v>1</v>
      </c>
      <c r="K171" t="n">
        <v>0</v>
      </c>
      <c r="L171" t="n">
        <v>0</v>
      </c>
      <c r="M171" t="n">
        <v>0</v>
      </c>
      <c r="N171" t="n">
        <v>0</v>
      </c>
      <c r="O171" t="n">
        <v>0</v>
      </c>
      <c r="P171" t="n">
        <v>0</v>
      </c>
      <c r="Q171" t="n">
        <v>0</v>
      </c>
      <c r="R171" t="n">
        <v>0</v>
      </c>
      <c r="S171" t="n">
        <v>1</v>
      </c>
      <c r="T171" t="n">
        <v>1</v>
      </c>
      <c r="U171" t="n">
        <v>1</v>
      </c>
      <c r="V171" s="2" t="inlineStr">
        <is>
          <t>Blåsippa</t>
        </is>
      </c>
      <c r="W171">
        <f>HYPERLINK("https://klasma.github.io/Logging_0980/artfynd/A 15637-2024 artfynd.xlsx", "A 15637-2024")</f>
        <v/>
      </c>
      <c r="X171">
        <f>HYPERLINK("https://klasma.github.io/Logging_0980/kartor/A 15637-2024 karta.png", "A 15637-2024")</f>
        <v/>
      </c>
      <c r="Y171">
        <f>HYPERLINK("https://klasma.github.io/Logging_0980/kartor_geotiff/A 15637-2024 georefererad karta.tif", "A 15637-2024")</f>
        <v/>
      </c>
      <c r="AA171">
        <f>HYPERLINK("https://klasma.github.io/Logging_0980/klagomål/A 15637-2024 FSC-klagomål.docx", "A 15637-2024")</f>
        <v/>
      </c>
      <c r="AB171">
        <f>HYPERLINK("https://klasma.github.io/Logging_0980/klagomålsmail/A 15637-2024 FSC-klagomål mail.docx", "A 15637-2024")</f>
        <v/>
      </c>
      <c r="AC171">
        <f>HYPERLINK("https://klasma.github.io/Logging_0980/tillsyn/A 15637-2024 tillsynsbegäran.docx", "A 15637-2024")</f>
        <v/>
      </c>
      <c r="AD171">
        <f>HYPERLINK("https://klasma.github.io/Logging_0980/tillsynsmail/A 15637-2024 tillsynsbegäran mail.docx", "A 15637-2024")</f>
        <v/>
      </c>
    </row>
    <row r="172" ht="15" customHeight="1">
      <c r="A172" t="inlineStr">
        <is>
          <t>A 7042-2023</t>
        </is>
      </c>
      <c r="B172" t="inlineStr">
        <is>
          <t>avverkningsanmälan</t>
        </is>
      </c>
      <c r="C172" t="inlineStr">
        <is>
          <t>Föryngringsavverkning</t>
        </is>
      </c>
      <c r="D172" s="1" t="n">
        <v>44968</v>
      </c>
      <c r="E172" s="1" t="n">
        <v>46253</v>
      </c>
      <c r="F172" t="inlineStr">
        <is>
          <t>GOTLANDS LÄN</t>
        </is>
      </c>
      <c r="G172" t="inlineStr">
        <is>
          <t>GOTLAND</t>
        </is>
      </c>
      <c r="I172" t="n">
        <v>0.7</v>
      </c>
      <c r="J172" t="n">
        <v>1</v>
      </c>
      <c r="K172" t="n">
        <v>1</v>
      </c>
      <c r="L172" t="n">
        <v>0</v>
      </c>
      <c r="M172" t="n">
        <v>0</v>
      </c>
      <c r="N172" t="n">
        <v>0</v>
      </c>
      <c r="O172" t="n">
        <v>0</v>
      </c>
      <c r="P172" t="n">
        <v>0</v>
      </c>
      <c r="Q172" t="n">
        <v>0</v>
      </c>
      <c r="R172" t="n">
        <v>0</v>
      </c>
      <c r="S172" t="n">
        <v>1</v>
      </c>
      <c r="T172" t="n">
        <v>1</v>
      </c>
      <c r="U172" t="n">
        <v>0</v>
      </c>
      <c r="V172" s="2" t="inlineStr">
        <is>
          <t>Purpurknipprot</t>
        </is>
      </c>
      <c r="W172">
        <f>HYPERLINK("https://klasma.github.io/Logging_0980/artfynd/A 7042-2023 artfynd.xlsx", "A 7042-2023")</f>
        <v/>
      </c>
      <c r="X172">
        <f>HYPERLINK("https://klasma.github.io/Logging_0980/kartor/A 7042-2023 karta.png", "A 7042-2023")</f>
        <v/>
      </c>
      <c r="Y172">
        <f>HYPERLINK("https://klasma.github.io/Logging_0980/kartor_geotiff/A 7042-2023 georefererad karta.tif", "A 7042-2023")</f>
        <v/>
      </c>
      <c r="AA172">
        <f>HYPERLINK("https://klasma.github.io/Logging_0980/klagomål/A 7042-2023 FSC-klagomål.docx", "A 7042-2023")</f>
        <v/>
      </c>
      <c r="AB172">
        <f>HYPERLINK("https://klasma.github.io/Logging_0980/klagomålsmail/A 7042-2023 FSC-klagomål mail.docx", "A 7042-2023")</f>
        <v/>
      </c>
      <c r="AC172">
        <f>HYPERLINK("https://klasma.github.io/Logging_0980/tillsyn/A 7042-2023 tillsynsbegäran.docx", "A 7042-2023")</f>
        <v/>
      </c>
      <c r="AD172">
        <f>HYPERLINK("https://klasma.github.io/Logging_0980/tillsynsmail/A 7042-2023 tillsynsbegäran mail.docx", "A 7042-2023")</f>
        <v/>
      </c>
    </row>
    <row r="173" ht="15" customHeight="1">
      <c r="A173" t="inlineStr">
        <is>
          <t>A 63229-2021</t>
        </is>
      </c>
      <c r="B173" t="inlineStr">
        <is>
          <t>avverkningsanmälan</t>
        </is>
      </c>
      <c r="C173" t="inlineStr">
        <is>
          <t>Föryngringsavverkning</t>
        </is>
      </c>
      <c r="D173" s="1" t="n">
        <v>44508</v>
      </c>
      <c r="E173" s="1" t="n">
        <v>46253</v>
      </c>
      <c r="F173" t="inlineStr">
        <is>
          <t>GOTLANDS LÄN</t>
        </is>
      </c>
      <c r="G173" t="inlineStr">
        <is>
          <t>GOTLAND</t>
        </is>
      </c>
      <c r="H173" t="inlineStr">
        <is>
          <t>Kyrkan</t>
        </is>
      </c>
      <c r="I173" t="n">
        <v>3.8</v>
      </c>
      <c r="J173" t="n">
        <v>0</v>
      </c>
      <c r="K173" t="n">
        <v>0</v>
      </c>
      <c r="L173" t="n">
        <v>1</v>
      </c>
      <c r="M173" t="n">
        <v>0</v>
      </c>
      <c r="N173" t="n">
        <v>0</v>
      </c>
      <c r="O173" t="n">
        <v>0</v>
      </c>
      <c r="P173" t="n">
        <v>0</v>
      </c>
      <c r="Q173" t="n">
        <v>1</v>
      </c>
      <c r="R173" t="n">
        <v>0</v>
      </c>
      <c r="S173" t="n">
        <v>1</v>
      </c>
      <c r="T173" t="n">
        <v>1</v>
      </c>
      <c r="U173" t="n">
        <v>0</v>
      </c>
      <c r="V173" s="2" t="inlineStr">
        <is>
          <t>Backtimjan</t>
        </is>
      </c>
      <c r="W173">
        <f>HYPERLINK("https://klasma.github.io/Logging_0980/artfynd/A 63229-2021 artfynd.xlsx", "A 63229-2021")</f>
        <v/>
      </c>
      <c r="X173">
        <f>HYPERLINK("https://klasma.github.io/Logging_0980/kartor/A 63229-2021 karta.png", "A 63229-2021")</f>
        <v/>
      </c>
      <c r="Y173">
        <f>HYPERLINK("https://klasma.github.io/Logging_0980/kartor_geotiff/A 63229-2021 georefererad karta.tif", "A 63229-2021")</f>
        <v/>
      </c>
      <c r="AA173">
        <f>HYPERLINK("https://klasma.github.io/Logging_0980/klagomål/A 63229-2021 FSC-klagomål.docx", "A 63229-2021")</f>
        <v/>
      </c>
      <c r="AB173">
        <f>HYPERLINK("https://klasma.github.io/Logging_0980/klagomålsmail/A 63229-2021 FSC-klagomål mail.docx", "A 63229-2021")</f>
        <v/>
      </c>
      <c r="AC173">
        <f>HYPERLINK("https://klasma.github.io/Logging_0980/tillsyn/A 63229-2021 tillsynsbegäran.docx", "A 63229-2021")</f>
        <v/>
      </c>
      <c r="AD173">
        <f>HYPERLINK("https://klasma.github.io/Logging_0980/tillsynsmail/A 63229-2021 tillsynsbegäran mail.docx", "A 63229-2021")</f>
        <v/>
      </c>
    </row>
    <row r="174" ht="15" customHeight="1">
      <c r="A174" t="inlineStr">
        <is>
          <t>A 34141-2024</t>
        </is>
      </c>
      <c r="B174" t="inlineStr">
        <is>
          <t>avverkningsanmälan</t>
        </is>
      </c>
      <c r="C174" t="inlineStr">
        <is>
          <t>Föryngringsavverkning</t>
        </is>
      </c>
      <c r="D174" s="1" t="n">
        <v>45524</v>
      </c>
      <c r="E174" s="1" t="n">
        <v>46253</v>
      </c>
      <c r="F174" t="inlineStr">
        <is>
          <t>GOTLANDS LÄN</t>
        </is>
      </c>
      <c r="G174" t="inlineStr">
        <is>
          <t>GOTLAND</t>
        </is>
      </c>
      <c r="I174" t="n">
        <v>0.9</v>
      </c>
      <c r="J174" t="n">
        <v>0</v>
      </c>
      <c r="K174" t="n">
        <v>1</v>
      </c>
      <c r="L174" t="n">
        <v>0</v>
      </c>
      <c r="M174" t="n">
        <v>0</v>
      </c>
      <c r="N174" t="n">
        <v>0</v>
      </c>
      <c r="O174" t="n">
        <v>0</v>
      </c>
      <c r="P174" t="n">
        <v>0</v>
      </c>
      <c r="Q174" t="n">
        <v>0</v>
      </c>
      <c r="R174" t="n">
        <v>0</v>
      </c>
      <c r="S174" t="n">
        <v>1</v>
      </c>
      <c r="T174" t="n">
        <v>1</v>
      </c>
      <c r="U174" t="n">
        <v>1</v>
      </c>
      <c r="V174" s="2" t="inlineStr">
        <is>
          <t>Strävlosta</t>
        </is>
      </c>
      <c r="W174">
        <f>HYPERLINK("https://klasma.github.io/Logging_0980/artfynd/A 34141-2024 artfynd.xlsx", "A 34141-2024")</f>
        <v/>
      </c>
      <c r="X174">
        <f>HYPERLINK("https://klasma.github.io/Logging_0980/kartor/A 34141-2024 karta.png", "A 34141-2024")</f>
        <v/>
      </c>
      <c r="Y174">
        <f>HYPERLINK("https://klasma.github.io/Logging_0980/kartor_geotiff/A 34141-2024 georefererad karta.tif", "A 34141-2024")</f>
        <v/>
      </c>
      <c r="AA174">
        <f>HYPERLINK("https://klasma.github.io/Logging_0980/klagomål/A 34141-2024 FSC-klagomål.docx", "A 34141-2024")</f>
        <v/>
      </c>
      <c r="AB174">
        <f>HYPERLINK("https://klasma.github.io/Logging_0980/klagomålsmail/A 34141-2024 FSC-klagomål mail.docx", "A 34141-2024")</f>
        <v/>
      </c>
      <c r="AC174">
        <f>HYPERLINK("https://klasma.github.io/Logging_0980/tillsyn/A 34141-2024 tillsynsbegäran.docx", "A 34141-2024")</f>
        <v/>
      </c>
      <c r="AD174">
        <f>HYPERLINK("https://klasma.github.io/Logging_0980/tillsynsmail/A 34141-2024 tillsynsbegäran mail.docx", "A 34141-2024")</f>
        <v/>
      </c>
    </row>
    <row r="175" ht="15" customHeight="1">
      <c r="A175" t="inlineStr">
        <is>
          <t>A 13482-2026</t>
        </is>
      </c>
      <c r="B175" t="inlineStr">
        <is>
          <t>avverkningsanmälan</t>
        </is>
      </c>
      <c r="C175" t="inlineStr">
        <is>
          <t>Föryngringsavverkning</t>
        </is>
      </c>
      <c r="D175" s="1" t="n">
        <v>46094</v>
      </c>
      <c r="E175" s="1" t="n">
        <v>46253</v>
      </c>
      <c r="F175" t="inlineStr">
        <is>
          <t>GOTLANDS LÄN</t>
        </is>
      </c>
      <c r="G175" t="inlineStr">
        <is>
          <t>GOTLAND</t>
        </is>
      </c>
      <c r="I175" t="n">
        <v>1.7</v>
      </c>
      <c r="J175" t="n">
        <v>1</v>
      </c>
      <c r="K175" t="n">
        <v>0</v>
      </c>
      <c r="L175" t="n">
        <v>0</v>
      </c>
      <c r="M175" t="n">
        <v>0</v>
      </c>
      <c r="N175" t="n">
        <v>0</v>
      </c>
      <c r="O175" t="n">
        <v>0</v>
      </c>
      <c r="P175" t="n">
        <v>0</v>
      </c>
      <c r="Q175" t="n">
        <v>0</v>
      </c>
      <c r="R175" t="n">
        <v>0</v>
      </c>
      <c r="S175" t="n">
        <v>1</v>
      </c>
      <c r="T175" t="n">
        <v>1</v>
      </c>
      <c r="U175" t="n">
        <v>1</v>
      </c>
      <c r="V175" s="2" t="inlineStr">
        <is>
          <t>Spillkråka</t>
        </is>
      </c>
      <c r="W175">
        <f>HYPERLINK("https://klasma.github.io/Logging_0980/artfynd/A 13482-2026 artfynd.xlsx", "A 13482-2026")</f>
        <v/>
      </c>
      <c r="X175">
        <f>HYPERLINK("https://klasma.github.io/Logging_0980/kartor/A 13482-2026 karta.png", "A 13482-2026")</f>
        <v/>
      </c>
      <c r="Y175">
        <f>HYPERLINK("https://klasma.github.io/Logging_0980/kartor_geotiff/A 13482-2026 georefererad karta.tif", "A 13482-2026")</f>
        <v/>
      </c>
      <c r="AA175">
        <f>HYPERLINK("https://klasma.github.io/Logging_0980/klagomål/A 13482-2026 FSC-klagomål.docx", "A 13482-2026")</f>
        <v/>
      </c>
      <c r="AB175">
        <f>HYPERLINK("https://klasma.github.io/Logging_0980/klagomålsmail/A 13482-2026 FSC-klagomål mail.docx", "A 13482-2026")</f>
        <v/>
      </c>
      <c r="AC175">
        <f>HYPERLINK("https://klasma.github.io/Logging_0980/tillsyn/A 13482-2026 tillsynsbegäran.docx", "A 13482-2026")</f>
        <v/>
      </c>
      <c r="AD175">
        <f>HYPERLINK("https://klasma.github.io/Logging_0980/tillsynsmail/A 13482-2026 tillsynsbegäran mail.docx", "A 13482-2026")</f>
        <v/>
      </c>
      <c r="AE175">
        <f>HYPERLINK("https://klasma.github.io/Logging_0980/fåglar/A 13482-2026 prioriterade fågelarter.docx", "A 13482-2026")</f>
        <v/>
      </c>
    </row>
    <row r="176" ht="15" customHeight="1">
      <c r="A176" t="inlineStr">
        <is>
          <t>A 9862-2024</t>
        </is>
      </c>
      <c r="B176" t="inlineStr">
        <is>
          <t>avverkningsanmälan</t>
        </is>
      </c>
      <c r="C176" t="inlineStr">
        <is>
          <t>Föryngringsavverkning</t>
        </is>
      </c>
      <c r="D176" s="1" t="n">
        <v>45363</v>
      </c>
      <c r="E176" s="1" t="n">
        <v>46253</v>
      </c>
      <c r="F176" t="inlineStr">
        <is>
          <t>GOTLANDS LÄN</t>
        </is>
      </c>
      <c r="G176" t="inlineStr">
        <is>
          <t>GOTLAND</t>
        </is>
      </c>
      <c r="I176" t="n">
        <v>3.5</v>
      </c>
      <c r="J176" t="n">
        <v>1</v>
      </c>
      <c r="K176" t="n">
        <v>0</v>
      </c>
      <c r="L176" t="n">
        <v>0</v>
      </c>
      <c r="M176" t="n">
        <v>0</v>
      </c>
      <c r="N176" t="n">
        <v>0</v>
      </c>
      <c r="O176" t="n">
        <v>0</v>
      </c>
      <c r="P176" t="n">
        <v>0</v>
      </c>
      <c r="Q176" t="n">
        <v>0</v>
      </c>
      <c r="R176" t="n">
        <v>0</v>
      </c>
      <c r="S176" t="n">
        <v>1</v>
      </c>
      <c r="T176" t="n">
        <v>1</v>
      </c>
      <c r="U176" t="n">
        <v>1</v>
      </c>
      <c r="V176" s="2" t="inlineStr">
        <is>
          <t>Nattviol</t>
        </is>
      </c>
      <c r="W176">
        <f>HYPERLINK("https://klasma.github.io/Logging_0980/artfynd/A 9862-2024 artfynd.xlsx", "A 9862-2024")</f>
        <v/>
      </c>
      <c r="X176">
        <f>HYPERLINK("https://klasma.github.io/Logging_0980/kartor/A 9862-2024 karta.png", "A 9862-2024")</f>
        <v/>
      </c>
      <c r="Y176">
        <f>HYPERLINK("https://klasma.github.io/Logging_0980/kartor_geotiff/A 9862-2024 georefererad karta.tif", "A 9862-2024")</f>
        <v/>
      </c>
      <c r="AA176">
        <f>HYPERLINK("https://klasma.github.io/Logging_0980/klagomål/A 9862-2024 FSC-klagomål.docx", "A 9862-2024")</f>
        <v/>
      </c>
      <c r="AB176">
        <f>HYPERLINK("https://klasma.github.io/Logging_0980/klagomålsmail/A 9862-2024 FSC-klagomål mail.docx", "A 9862-2024")</f>
        <v/>
      </c>
      <c r="AC176">
        <f>HYPERLINK("https://klasma.github.io/Logging_0980/tillsyn/A 9862-2024 tillsynsbegäran.docx", "A 9862-2024")</f>
        <v/>
      </c>
      <c r="AD176">
        <f>HYPERLINK("https://klasma.github.io/Logging_0980/tillsynsmail/A 9862-2024 tillsynsbegäran mail.docx", "A 9862-2024")</f>
        <v/>
      </c>
    </row>
    <row r="177" ht="15" customHeight="1">
      <c r="A177" t="inlineStr">
        <is>
          <t>A 10995-2023</t>
        </is>
      </c>
      <c r="B177" t="inlineStr">
        <is>
          <t>avverkningsanmälan</t>
        </is>
      </c>
      <c r="C177" t="inlineStr">
        <is>
          <t>Föryngringsavverkning</t>
        </is>
      </c>
      <c r="D177" s="1" t="n">
        <v>44986</v>
      </c>
      <c r="E177" s="1" t="n">
        <v>46253</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t="n">
        <v>0</v>
      </c>
      <c r="V177" s="2" t="inlineStr">
        <is>
          <t>Violettfläckig spindling</t>
        </is>
      </c>
      <c r="W177">
        <f>HYPERLINK("https://klasma.github.io/Logging_0980/artfynd/A 10995-2023 artfynd.xlsx", "A 10995-2023")</f>
        <v/>
      </c>
      <c r="X177">
        <f>HYPERLINK("https://klasma.github.io/Logging_0980/kartor/A 10995-2023 karta.png", "A 10995-2023")</f>
        <v/>
      </c>
      <c r="Y177">
        <f>HYPERLINK("https://klasma.github.io/Logging_0980/kartor_geotiff/A 10995-2023 georefererad karta.tif", "A 10995-2023")</f>
        <v/>
      </c>
      <c r="AA177">
        <f>HYPERLINK("https://klasma.github.io/Logging_0980/klagomål/A 10995-2023 FSC-klagomål.docx", "A 10995-2023")</f>
        <v/>
      </c>
      <c r="AB177">
        <f>HYPERLINK("https://klasma.github.io/Logging_0980/klagomålsmail/A 10995-2023 FSC-klagomål mail.docx", "A 10995-2023")</f>
        <v/>
      </c>
      <c r="AC177">
        <f>HYPERLINK("https://klasma.github.io/Logging_0980/tillsyn/A 10995-2023 tillsynsbegäran.docx", "A 10995-2023")</f>
        <v/>
      </c>
      <c r="AD177">
        <f>HYPERLINK("https://klasma.github.io/Logging_0980/tillsynsmail/A 10995-2023 tillsynsbegäran mail.docx", "A 10995-2023")</f>
        <v/>
      </c>
    </row>
    <row r="178" ht="15" customHeight="1">
      <c r="A178" t="inlineStr">
        <is>
          <t>A 4662-2026</t>
        </is>
      </c>
      <c r="B178" t="inlineStr">
        <is>
          <t>avverkningsanmälan</t>
        </is>
      </c>
      <c r="C178" t="inlineStr">
        <is>
          <t>Föryngringsavverkning</t>
        </is>
      </c>
      <c r="D178" s="1" t="n">
        <v>46048</v>
      </c>
      <c r="E178" s="1" t="n">
        <v>46253</v>
      </c>
      <c r="F178" t="inlineStr">
        <is>
          <t>GOTLANDS LÄN</t>
        </is>
      </c>
      <c r="G178" t="inlineStr">
        <is>
          <t>GOTLAND</t>
        </is>
      </c>
      <c r="I178" t="n">
        <v>7.6</v>
      </c>
      <c r="J178" t="n">
        <v>0</v>
      </c>
      <c r="K178" t="n">
        <v>0</v>
      </c>
      <c r="L178" t="n">
        <v>0</v>
      </c>
      <c r="M178" t="n">
        <v>1</v>
      </c>
      <c r="N178" t="n">
        <v>0</v>
      </c>
      <c r="O178" t="n">
        <v>0</v>
      </c>
      <c r="P178" t="n">
        <v>0</v>
      </c>
      <c r="Q178" t="n">
        <v>1</v>
      </c>
      <c r="R178" t="n">
        <v>1</v>
      </c>
      <c r="S178" t="n">
        <v>1</v>
      </c>
      <c r="T178" t="n">
        <v>1</v>
      </c>
      <c r="U178" t="n">
        <v>0</v>
      </c>
      <c r="V178" s="2" t="inlineStr">
        <is>
          <t>Strandviol</t>
        </is>
      </c>
      <c r="W178">
        <f>HYPERLINK("https://klasma.github.io/Logging_0980/artfynd/A 4662-2026 artfynd.xlsx", "A 4662-2026")</f>
        <v/>
      </c>
      <c r="X178">
        <f>HYPERLINK("https://klasma.github.io/Logging_0980/kartor/A 4662-2026 karta.png", "A 4662-2026")</f>
        <v/>
      </c>
      <c r="Y178">
        <f>HYPERLINK("https://klasma.github.io/Logging_0980/kartor_geotiff/A 4662-2026 georefererad karta.tif", "A 4662-2026")</f>
        <v/>
      </c>
      <c r="AA178">
        <f>HYPERLINK("https://klasma.github.io/Logging_0980/klagomål/A 4662-2026 FSC-klagomål.docx", "A 4662-2026")</f>
        <v/>
      </c>
      <c r="AB178">
        <f>HYPERLINK("https://klasma.github.io/Logging_0980/klagomålsmail/A 4662-2026 FSC-klagomål mail.docx", "A 4662-2026")</f>
        <v/>
      </c>
      <c r="AC178">
        <f>HYPERLINK("https://klasma.github.io/Logging_0980/tillsyn/A 4662-2026 tillsynsbegäran.docx", "A 4662-2026")</f>
        <v/>
      </c>
      <c r="AD178">
        <f>HYPERLINK("https://klasma.github.io/Logging_0980/tillsynsmail/A 4662-2026 tillsynsbegäran mail.docx", "A 4662-2026")</f>
        <v/>
      </c>
    </row>
    <row r="179" ht="15" customHeight="1">
      <c r="A179" t="inlineStr">
        <is>
          <t>A 62552-2022</t>
        </is>
      </c>
      <c r="B179" t="inlineStr">
        <is>
          <t>avverkningsanmälan</t>
        </is>
      </c>
      <c r="C179" t="inlineStr">
        <is>
          <t>Föryngringsavverkning</t>
        </is>
      </c>
      <c r="D179" s="1" t="n">
        <v>44924</v>
      </c>
      <c r="E179" s="1" t="n">
        <v>46253</v>
      </c>
      <c r="F179" t="inlineStr">
        <is>
          <t>GOTLANDS LÄN</t>
        </is>
      </c>
      <c r="G179" t="inlineStr">
        <is>
          <t>GOTLAND</t>
        </is>
      </c>
      <c r="I179" t="n">
        <v>1.6</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62552-2022 artfynd.xlsx", "A 62552-2022")</f>
        <v/>
      </c>
      <c r="X179">
        <f>HYPERLINK("https://klasma.github.io/Logging_0980/kartor/A 62552-2022 karta.png", "A 62552-2022")</f>
        <v/>
      </c>
      <c r="Y179">
        <f>HYPERLINK("https://klasma.github.io/Logging_0980/kartor_geotiff/A 62552-2022 georefererad karta.tif", "A 62552-2022")</f>
        <v/>
      </c>
      <c r="AA179">
        <f>HYPERLINK("https://klasma.github.io/Logging_0980/klagomål/A 62552-2022 FSC-klagomål.docx", "A 62552-2022")</f>
        <v/>
      </c>
      <c r="AB179">
        <f>HYPERLINK("https://klasma.github.io/Logging_0980/klagomålsmail/A 62552-2022 FSC-klagomål mail.docx", "A 62552-2022")</f>
        <v/>
      </c>
      <c r="AC179">
        <f>HYPERLINK("https://klasma.github.io/Logging_0980/tillsyn/A 62552-2022 tillsynsbegäran.docx", "A 62552-2022")</f>
        <v/>
      </c>
      <c r="AD179">
        <f>HYPERLINK("https://klasma.github.io/Logging_0980/tillsynsmail/A 62552-2022 tillsynsbegäran mail.docx", "A 62552-2022")</f>
        <v/>
      </c>
    </row>
    <row r="180" ht="15" customHeight="1">
      <c r="A180" t="inlineStr">
        <is>
          <t>A 30104-2025</t>
        </is>
      </c>
      <c r="B180" t="inlineStr">
        <is>
          <t>avverkningsanmälan</t>
        </is>
      </c>
      <c r="C180" t="inlineStr">
        <is>
          <t>Föryngringsavverkning</t>
        </is>
      </c>
      <c r="D180" s="1" t="n">
        <v>45826</v>
      </c>
      <c r="E180" s="1" t="n">
        <v>46253</v>
      </c>
      <c r="F180" t="inlineStr">
        <is>
          <t>GOTLANDS LÄN</t>
        </is>
      </c>
      <c r="G180" t="inlineStr">
        <is>
          <t>GOTLAND</t>
        </is>
      </c>
      <c r="I180" t="n">
        <v>15.4</v>
      </c>
      <c r="J180" t="n">
        <v>0</v>
      </c>
      <c r="K180" t="n">
        <v>1</v>
      </c>
      <c r="L180" t="n">
        <v>0</v>
      </c>
      <c r="M180" t="n">
        <v>0</v>
      </c>
      <c r="N180" t="n">
        <v>0</v>
      </c>
      <c r="O180" t="n">
        <v>0</v>
      </c>
      <c r="P180" t="n">
        <v>0</v>
      </c>
      <c r="Q180" t="n">
        <v>0</v>
      </c>
      <c r="R180" t="n">
        <v>0</v>
      </c>
      <c r="S180" t="n">
        <v>1</v>
      </c>
      <c r="T180" t="n">
        <v>2</v>
      </c>
      <c r="U180" t="n">
        <v>0</v>
      </c>
      <c r="V180" s="2" t="inlineStr">
        <is>
          <t>Blåmossa</t>
        </is>
      </c>
      <c r="W180">
        <f>HYPERLINK("https://klasma.github.io/Logging_0980/artfynd/A 30104-2025 artfynd.xlsx", "A 30104-2025")</f>
        <v/>
      </c>
      <c r="X180">
        <f>HYPERLINK("https://klasma.github.io/Logging_0980/kartor/A 30104-2025 karta.png", "A 30104-2025")</f>
        <v/>
      </c>
      <c r="Y180">
        <f>HYPERLINK("https://klasma.github.io/Logging_0980/kartor_geotiff/A 30104-2025 georefererad karta.tif", "A 30104-2025")</f>
        <v/>
      </c>
      <c r="AA180">
        <f>HYPERLINK("https://klasma.github.io/Logging_0980/klagomål/A 30104-2025 FSC-klagomål.docx", "A 30104-2025")</f>
        <v/>
      </c>
      <c r="AB180">
        <f>HYPERLINK("https://klasma.github.io/Logging_0980/klagomålsmail/A 30104-2025 FSC-klagomål mail.docx", "A 30104-2025")</f>
        <v/>
      </c>
      <c r="AC180">
        <f>HYPERLINK("https://klasma.github.io/Logging_0980/tillsyn/A 30104-2025 tillsynsbegäran.docx", "A 30104-2025")</f>
        <v/>
      </c>
      <c r="AD180">
        <f>HYPERLINK("https://klasma.github.io/Logging_0980/tillsynsmail/A 30104-2025 tillsynsbegäran mail.docx", "A 30104-2025")</f>
        <v/>
      </c>
    </row>
    <row r="181" ht="15" customHeight="1">
      <c r="A181" t="inlineStr">
        <is>
          <t>A 44088-2022</t>
        </is>
      </c>
      <c r="B181" t="inlineStr">
        <is>
          <t>avverkningsanmälan</t>
        </is>
      </c>
      <c r="C181" t="inlineStr">
        <is>
          <t>Föryngringsavverkning</t>
        </is>
      </c>
      <c r="D181" s="1" t="n">
        <v>44839</v>
      </c>
      <c r="E181" s="1" t="n">
        <v>46253</v>
      </c>
      <c r="F181" t="inlineStr">
        <is>
          <t>GOTLANDS LÄN</t>
        </is>
      </c>
      <c r="G181" t="inlineStr">
        <is>
          <t>GOTLAND</t>
        </is>
      </c>
      <c r="I181" t="n">
        <v>1.5</v>
      </c>
      <c r="J181" t="n">
        <v>0</v>
      </c>
      <c r="K181" t="n">
        <v>1</v>
      </c>
      <c r="L181" t="n">
        <v>0</v>
      </c>
      <c r="M181" t="n">
        <v>0</v>
      </c>
      <c r="N181" t="n">
        <v>0</v>
      </c>
      <c r="O181" t="n">
        <v>0</v>
      </c>
      <c r="P181" t="n">
        <v>0</v>
      </c>
      <c r="Q181" t="n">
        <v>0</v>
      </c>
      <c r="R181" t="n">
        <v>0</v>
      </c>
      <c r="S181" t="n">
        <v>1</v>
      </c>
      <c r="T181" t="n">
        <v>1</v>
      </c>
      <c r="U181" t="n">
        <v>0</v>
      </c>
      <c r="V181" s="2" t="inlineStr">
        <is>
          <t>Strävlosta</t>
        </is>
      </c>
      <c r="W181">
        <f>HYPERLINK("https://klasma.github.io/Logging_0980/artfynd/A 44088-2022 artfynd.xlsx", "A 44088-2022")</f>
        <v/>
      </c>
      <c r="X181">
        <f>HYPERLINK("https://klasma.github.io/Logging_0980/kartor/A 44088-2022 karta.png", "A 44088-2022")</f>
        <v/>
      </c>
      <c r="Y181">
        <f>HYPERLINK("https://klasma.github.io/Logging_0980/kartor_geotiff/A 44088-2022 georefererad karta.tif", "A 44088-2022")</f>
        <v/>
      </c>
      <c r="AA181">
        <f>HYPERLINK("https://klasma.github.io/Logging_0980/klagomål/A 44088-2022 FSC-klagomål.docx", "A 44088-2022")</f>
        <v/>
      </c>
      <c r="AB181">
        <f>HYPERLINK("https://klasma.github.io/Logging_0980/klagomålsmail/A 44088-2022 FSC-klagomål mail.docx", "A 44088-2022")</f>
        <v/>
      </c>
      <c r="AC181">
        <f>HYPERLINK("https://klasma.github.io/Logging_0980/tillsyn/A 44088-2022 tillsynsbegäran.docx", "A 44088-2022")</f>
        <v/>
      </c>
      <c r="AD181">
        <f>HYPERLINK("https://klasma.github.io/Logging_0980/tillsynsmail/A 44088-2022 tillsynsbegäran mail.docx", "A 44088-2022")</f>
        <v/>
      </c>
    </row>
    <row r="182" ht="15" customHeight="1">
      <c r="A182" t="inlineStr">
        <is>
          <t>A 17854-2026</t>
        </is>
      </c>
      <c r="B182" t="inlineStr">
        <is>
          <t>avverkningsanmälan</t>
        </is>
      </c>
      <c r="C182" t="inlineStr">
        <is>
          <t>Föryngringsavverkning</t>
        </is>
      </c>
      <c r="D182" s="1" t="n">
        <v>46121</v>
      </c>
      <c r="E182" s="1" t="n">
        <v>46253</v>
      </c>
      <c r="F182" t="inlineStr">
        <is>
          <t>GOTLANDS LÄN</t>
        </is>
      </c>
      <c r="G182" t="inlineStr">
        <is>
          <t>GOTLAND</t>
        </is>
      </c>
      <c r="I182" t="n">
        <v>6.6</v>
      </c>
      <c r="J182" t="n">
        <v>0</v>
      </c>
      <c r="K182" t="n">
        <v>0</v>
      </c>
      <c r="L182" t="n">
        <v>1</v>
      </c>
      <c r="M182" t="n">
        <v>0</v>
      </c>
      <c r="N182" t="n">
        <v>0</v>
      </c>
      <c r="O182" t="n">
        <v>0</v>
      </c>
      <c r="P182" t="n">
        <v>0</v>
      </c>
      <c r="Q182" t="n">
        <v>1</v>
      </c>
      <c r="R182" t="n">
        <v>0</v>
      </c>
      <c r="S182" t="n">
        <v>1</v>
      </c>
      <c r="T182" t="n">
        <v>1</v>
      </c>
      <c r="U182" t="n">
        <v>0</v>
      </c>
      <c r="V182" s="2" t="inlineStr">
        <is>
          <t>Blå slemspindling</t>
        </is>
      </c>
      <c r="W182">
        <f>HYPERLINK("https://klasma.github.io/Logging_0980/artfynd/A 17854-2026 artfynd.xlsx", "A 17854-2026")</f>
        <v/>
      </c>
      <c r="X182">
        <f>HYPERLINK("https://klasma.github.io/Logging_0980/kartor/A 17854-2026 karta.png", "A 17854-2026")</f>
        <v/>
      </c>
      <c r="Y182">
        <f>HYPERLINK("https://klasma.github.io/Logging_0980/kartor_geotiff/A 17854-2026 georefererad karta.tif", "A 17854-2026")</f>
        <v/>
      </c>
      <c r="AA182">
        <f>HYPERLINK("https://klasma.github.io/Logging_0980/klagomål/A 17854-2026 FSC-klagomål.docx", "A 17854-2026")</f>
        <v/>
      </c>
      <c r="AB182">
        <f>HYPERLINK("https://klasma.github.io/Logging_0980/klagomålsmail/A 17854-2026 FSC-klagomål mail.docx", "A 17854-2026")</f>
        <v/>
      </c>
      <c r="AC182">
        <f>HYPERLINK("https://klasma.github.io/Logging_0980/tillsyn/A 17854-2026 tillsynsbegäran.docx", "A 17854-2026")</f>
        <v/>
      </c>
      <c r="AD182">
        <f>HYPERLINK("https://klasma.github.io/Logging_0980/tillsynsmail/A 17854-2026 tillsynsbegäran mail.docx", "A 17854-2026")</f>
        <v/>
      </c>
    </row>
    <row r="183" ht="15" customHeight="1">
      <c r="A183" t="inlineStr">
        <is>
          <t>A 49693-2023</t>
        </is>
      </c>
      <c r="B183" t="inlineStr">
        <is>
          <t>avverkningsanmälan</t>
        </is>
      </c>
      <c r="C183" t="inlineStr">
        <is>
          <t>Föryngringsavverkning</t>
        </is>
      </c>
      <c r="D183" s="1" t="n">
        <v>45212</v>
      </c>
      <c r="E183" s="1" t="n">
        <v>46253</v>
      </c>
      <c r="F183" t="inlineStr">
        <is>
          <t>GOTLANDS LÄN</t>
        </is>
      </c>
      <c r="G183" t="inlineStr">
        <is>
          <t>GOTLAND</t>
        </is>
      </c>
      <c r="I183" t="n">
        <v>2.4</v>
      </c>
      <c r="J183" t="n">
        <v>0</v>
      </c>
      <c r="K183" t="n">
        <v>0</v>
      </c>
      <c r="L183" t="n">
        <v>0</v>
      </c>
      <c r="M183" t="n">
        <v>1</v>
      </c>
      <c r="N183" t="n">
        <v>0</v>
      </c>
      <c r="O183" t="n">
        <v>0</v>
      </c>
      <c r="P183" t="n">
        <v>0</v>
      </c>
      <c r="Q183" t="n">
        <v>1</v>
      </c>
      <c r="R183" t="n">
        <v>1</v>
      </c>
      <c r="S183" t="n">
        <v>1</v>
      </c>
      <c r="T183" t="n">
        <v>1</v>
      </c>
      <c r="U183" t="n">
        <v>1</v>
      </c>
      <c r="V183" s="2" t="inlineStr">
        <is>
          <t>Vit taggsvamp</t>
        </is>
      </c>
      <c r="W183">
        <f>HYPERLINK("https://klasma.github.io/Logging_0980/artfynd/A 49693-2023 artfynd.xlsx", "A 49693-2023")</f>
        <v/>
      </c>
      <c r="X183">
        <f>HYPERLINK("https://klasma.github.io/Logging_0980/kartor/A 49693-2023 karta.png", "A 49693-2023")</f>
        <v/>
      </c>
      <c r="Y183">
        <f>HYPERLINK("https://klasma.github.io/Logging_0980/kartor_geotiff/A 49693-2023 georefererad karta.tif", "A 49693-2023")</f>
        <v/>
      </c>
      <c r="AA183">
        <f>HYPERLINK("https://klasma.github.io/Logging_0980/klagomål/A 49693-2023 FSC-klagomål.docx", "A 49693-2023")</f>
        <v/>
      </c>
      <c r="AB183">
        <f>HYPERLINK("https://klasma.github.io/Logging_0980/klagomålsmail/A 49693-2023 FSC-klagomål mail.docx", "A 49693-2023")</f>
        <v/>
      </c>
      <c r="AC183">
        <f>HYPERLINK("https://klasma.github.io/Logging_0980/tillsyn/A 49693-2023 tillsynsbegäran.docx", "A 49693-2023")</f>
        <v/>
      </c>
      <c r="AD183">
        <f>HYPERLINK("https://klasma.github.io/Logging_0980/tillsynsmail/A 49693-2023 tillsynsbegäran mail.docx", "A 49693-2023")</f>
        <v/>
      </c>
    </row>
    <row r="184" ht="15" customHeight="1">
      <c r="A184" t="inlineStr">
        <is>
          <t>A 69112-2021</t>
        </is>
      </c>
      <c r="B184" t="inlineStr">
        <is>
          <t>avverkningsanmälan</t>
        </is>
      </c>
      <c r="C184" t="inlineStr">
        <is>
          <t>Avverkning för annat ändamål</t>
        </is>
      </c>
      <c r="D184" s="1" t="n">
        <v>44530</v>
      </c>
      <c r="E184" s="1" t="n">
        <v>46253</v>
      </c>
      <c r="F184" t="inlineStr">
        <is>
          <t>GOTLANDS LÄN</t>
        </is>
      </c>
      <c r="G184" t="inlineStr">
        <is>
          <t>GOTLAND</t>
        </is>
      </c>
      <c r="I184" t="n">
        <v>4.2</v>
      </c>
      <c r="J184" t="n">
        <v>0</v>
      </c>
      <c r="K184" t="n">
        <v>0</v>
      </c>
      <c r="L184" t="n">
        <v>1</v>
      </c>
      <c r="M184" t="n">
        <v>0</v>
      </c>
      <c r="N184" t="n">
        <v>0</v>
      </c>
      <c r="O184" t="n">
        <v>0</v>
      </c>
      <c r="P184" t="n">
        <v>0</v>
      </c>
      <c r="Q184" t="n">
        <v>1</v>
      </c>
      <c r="R184" t="n">
        <v>0</v>
      </c>
      <c r="S184" t="n">
        <v>1</v>
      </c>
      <c r="T184" t="n">
        <v>1</v>
      </c>
      <c r="U184" t="n">
        <v>0</v>
      </c>
      <c r="V184" s="2" t="inlineStr">
        <is>
          <t>Sårläka</t>
        </is>
      </c>
      <c r="W184">
        <f>HYPERLINK("https://klasma.github.io/Logging_0980/artfynd/A 69112-2021 artfynd.xlsx", "A 69112-2021")</f>
        <v/>
      </c>
      <c r="X184">
        <f>HYPERLINK("https://klasma.github.io/Logging_0980/kartor/A 69112-2021 karta.png", "A 69112-2021")</f>
        <v/>
      </c>
      <c r="Y184">
        <f>HYPERLINK("https://klasma.github.io/Logging_0980/kartor_geotiff/A 69112-2021 georefererad karta.tif", "A 69112-2021")</f>
        <v/>
      </c>
      <c r="AA184">
        <f>HYPERLINK("https://klasma.github.io/Logging_0980/klagomål/A 69112-2021 FSC-klagomål.docx", "A 69112-2021")</f>
        <v/>
      </c>
      <c r="AB184">
        <f>HYPERLINK("https://klasma.github.io/Logging_0980/klagomålsmail/A 69112-2021 FSC-klagomål mail.docx", "A 69112-2021")</f>
        <v/>
      </c>
      <c r="AC184">
        <f>HYPERLINK("https://klasma.github.io/Logging_0980/tillsyn/A 69112-2021 tillsynsbegäran.docx", "A 69112-2021")</f>
        <v/>
      </c>
      <c r="AD184">
        <f>HYPERLINK("https://klasma.github.io/Logging_0980/tillsynsmail/A 69112-2021 tillsynsbegäran mail.docx", "A 69112-2021")</f>
        <v/>
      </c>
    </row>
    <row r="185" ht="15" customHeight="1">
      <c r="A185" t="inlineStr">
        <is>
          <t>A 447-2023</t>
        </is>
      </c>
      <c r="B185" t="inlineStr">
        <is>
          <t>avverkningsanmälan</t>
        </is>
      </c>
      <c r="C185" t="inlineStr">
        <is>
          <t>Föryngringsavverkning</t>
        </is>
      </c>
      <c r="D185" s="1" t="n">
        <v>44929</v>
      </c>
      <c r="E185" s="1" t="n">
        <v>46253</v>
      </c>
      <c r="F185" t="inlineStr">
        <is>
          <t>GOTLANDS LÄN</t>
        </is>
      </c>
      <c r="G185" t="inlineStr">
        <is>
          <t>GOTLAND</t>
        </is>
      </c>
      <c r="I185" t="n">
        <v>5.1</v>
      </c>
      <c r="J185" t="n">
        <v>0</v>
      </c>
      <c r="K185" t="n">
        <v>0</v>
      </c>
      <c r="L185" t="n">
        <v>1</v>
      </c>
      <c r="M185" t="n">
        <v>0</v>
      </c>
      <c r="N185" t="n">
        <v>0</v>
      </c>
      <c r="O185" t="n">
        <v>0</v>
      </c>
      <c r="P185" t="n">
        <v>0</v>
      </c>
      <c r="Q185" t="n">
        <v>1</v>
      </c>
      <c r="R185" t="n">
        <v>0</v>
      </c>
      <c r="S185" t="n">
        <v>1</v>
      </c>
      <c r="T185" t="n">
        <v>1</v>
      </c>
      <c r="U185" t="n">
        <v>0</v>
      </c>
      <c r="V185" s="2" t="inlineStr">
        <is>
          <t>Äggspindling</t>
        </is>
      </c>
      <c r="W185">
        <f>HYPERLINK("https://klasma.github.io/Logging_0980/artfynd/A 447-2023 artfynd.xlsx", "A 447-2023")</f>
        <v/>
      </c>
      <c r="X185">
        <f>HYPERLINK("https://klasma.github.io/Logging_0980/kartor/A 447-2023 karta.png", "A 447-2023")</f>
        <v/>
      </c>
      <c r="Y185">
        <f>HYPERLINK("https://klasma.github.io/Logging_0980/kartor_geotiff/A 447-2023 georefererad karta.tif", "A 447-2023")</f>
        <v/>
      </c>
      <c r="AA185">
        <f>HYPERLINK("https://klasma.github.io/Logging_0980/klagomål/A 447-2023 FSC-klagomål.docx", "A 447-2023")</f>
        <v/>
      </c>
      <c r="AB185">
        <f>HYPERLINK("https://klasma.github.io/Logging_0980/klagomålsmail/A 447-2023 FSC-klagomål mail.docx", "A 447-2023")</f>
        <v/>
      </c>
      <c r="AC185">
        <f>HYPERLINK("https://klasma.github.io/Logging_0980/tillsyn/A 447-2023 tillsynsbegäran.docx", "A 447-2023")</f>
        <v/>
      </c>
      <c r="AD185">
        <f>HYPERLINK("https://klasma.github.io/Logging_0980/tillsynsmail/A 447-2023 tillsynsbegäran mail.docx", "A 447-2023")</f>
        <v/>
      </c>
    </row>
    <row r="186" ht="15" customHeight="1">
      <c r="A186" t="inlineStr">
        <is>
          <t>A 947-2023</t>
        </is>
      </c>
      <c r="B186" t="inlineStr">
        <is>
          <t>avverkningsanmälan</t>
        </is>
      </c>
      <c r="C186" t="inlineStr">
        <is>
          <t>Föryngringsavverkning</t>
        </is>
      </c>
      <c r="D186" s="1" t="n">
        <v>44934</v>
      </c>
      <c r="E186" s="1" t="n">
        <v>46253</v>
      </c>
      <c r="F186" t="inlineStr">
        <is>
          <t>GOTLANDS LÄN</t>
        </is>
      </c>
      <c r="G186" t="inlineStr">
        <is>
          <t>GOTLAND</t>
        </is>
      </c>
      <c r="I186" t="n">
        <v>0.7</v>
      </c>
      <c r="J186" t="n">
        <v>1</v>
      </c>
      <c r="K186" t="n">
        <v>0</v>
      </c>
      <c r="L186" t="n">
        <v>0</v>
      </c>
      <c r="M186" t="n">
        <v>1</v>
      </c>
      <c r="N186" t="n">
        <v>0</v>
      </c>
      <c r="O186" t="n">
        <v>0</v>
      </c>
      <c r="P186" t="n">
        <v>0</v>
      </c>
      <c r="Q186" t="n">
        <v>1</v>
      </c>
      <c r="R186" t="n">
        <v>1</v>
      </c>
      <c r="S186" t="n">
        <v>1</v>
      </c>
      <c r="T186" t="n">
        <v>1</v>
      </c>
      <c r="U186" t="n">
        <v>0</v>
      </c>
      <c r="V186" s="2" t="inlineStr">
        <is>
          <t>Garderönn</t>
        </is>
      </c>
      <c r="W186">
        <f>HYPERLINK("https://klasma.github.io/Logging_0980/artfynd/A 947-2023 artfynd.xlsx", "A 947-2023")</f>
        <v/>
      </c>
      <c r="X186">
        <f>HYPERLINK("https://klasma.github.io/Logging_0980/kartor/A 947-2023 karta.png", "A 947-2023")</f>
        <v/>
      </c>
      <c r="Y186">
        <f>HYPERLINK("https://klasma.github.io/Logging_0980/kartor_geotiff/A 947-2023 georefererad karta.tif", "A 947-2023")</f>
        <v/>
      </c>
      <c r="AA186">
        <f>HYPERLINK("https://klasma.github.io/Logging_0980/klagomål/A 947-2023 FSC-klagomål.docx", "A 947-2023")</f>
        <v/>
      </c>
      <c r="AB186">
        <f>HYPERLINK("https://klasma.github.io/Logging_0980/klagomålsmail/A 947-2023 FSC-klagomål mail.docx", "A 947-2023")</f>
        <v/>
      </c>
      <c r="AC186">
        <f>HYPERLINK("https://klasma.github.io/Logging_0980/tillsyn/A 947-2023 tillsynsbegäran.docx", "A 947-2023")</f>
        <v/>
      </c>
      <c r="AD186">
        <f>HYPERLINK("https://klasma.github.io/Logging_0980/tillsynsmail/A 947-2023 tillsynsbegäran mail.docx", "A 947-2023")</f>
        <v/>
      </c>
    </row>
    <row r="187" ht="15" customHeight="1">
      <c r="A187" t="inlineStr">
        <is>
          <t>A 49304-2024</t>
        </is>
      </c>
      <c r="B187" t="inlineStr">
        <is>
          <t>avverkningsanmälan</t>
        </is>
      </c>
      <c r="C187" t="inlineStr">
        <is>
          <t>Föryngringsavverkning</t>
        </is>
      </c>
      <c r="D187" s="1" t="n">
        <v>45595</v>
      </c>
      <c r="E187" s="1" t="n">
        <v>46253</v>
      </c>
      <c r="F187" t="inlineStr">
        <is>
          <t>GOTLANDS LÄN</t>
        </is>
      </c>
      <c r="G187" t="inlineStr">
        <is>
          <t>GOTLAND</t>
        </is>
      </c>
      <c r="I187" t="n">
        <v>10.8</v>
      </c>
      <c r="J187" t="n">
        <v>0</v>
      </c>
      <c r="K187" t="n">
        <v>0</v>
      </c>
      <c r="L187" t="n">
        <v>1</v>
      </c>
      <c r="M187" t="n">
        <v>0</v>
      </c>
      <c r="N187" t="n">
        <v>0</v>
      </c>
      <c r="O187" t="n">
        <v>0</v>
      </c>
      <c r="P187" t="n">
        <v>0</v>
      </c>
      <c r="Q187" t="n">
        <v>1</v>
      </c>
      <c r="R187" t="n">
        <v>0</v>
      </c>
      <c r="S187" t="n">
        <v>1</v>
      </c>
      <c r="T187" t="n">
        <v>1</v>
      </c>
      <c r="U187" t="n">
        <v>1</v>
      </c>
      <c r="V187" s="2" t="inlineStr">
        <is>
          <t>Åkerranunkel</t>
        </is>
      </c>
      <c r="W187">
        <f>HYPERLINK("https://klasma.github.io/Logging_0980/artfynd/A 49304-2024 artfynd.xlsx", "A 49304-2024")</f>
        <v/>
      </c>
      <c r="X187">
        <f>HYPERLINK("https://klasma.github.io/Logging_0980/kartor/A 49304-2024 karta.png", "A 49304-2024")</f>
        <v/>
      </c>
      <c r="Y187">
        <f>HYPERLINK("https://klasma.github.io/Logging_0980/kartor_geotiff/A 49304-2024 georefererad karta.tif", "A 49304-2024")</f>
        <v/>
      </c>
      <c r="AA187">
        <f>HYPERLINK("https://klasma.github.io/Logging_0980/klagomål/A 49304-2024 FSC-klagomål.docx", "A 49304-2024")</f>
        <v/>
      </c>
      <c r="AB187">
        <f>HYPERLINK("https://klasma.github.io/Logging_0980/klagomålsmail/A 49304-2024 FSC-klagomål mail.docx", "A 49304-2024")</f>
        <v/>
      </c>
      <c r="AC187">
        <f>HYPERLINK("https://klasma.github.io/Logging_0980/tillsyn/A 49304-2024 tillsynsbegäran.docx", "A 49304-2024")</f>
        <v/>
      </c>
      <c r="AD187">
        <f>HYPERLINK("https://klasma.github.io/Logging_0980/tillsynsmail/A 49304-2024 tillsynsbegäran mail.docx", "A 49304-2024")</f>
        <v/>
      </c>
    </row>
    <row r="188" ht="15" customHeight="1">
      <c r="A188" t="inlineStr">
        <is>
          <t>A 46545-2024</t>
        </is>
      </c>
      <c r="B188" t="inlineStr">
        <is>
          <t>avverkningsanmälan</t>
        </is>
      </c>
      <c r="C188" t="inlineStr">
        <is>
          <t>Föryngringsavverkning</t>
        </is>
      </c>
      <c r="D188" s="1" t="n">
        <v>45582</v>
      </c>
      <c r="E188" s="1" t="n">
        <v>46253</v>
      </c>
      <c r="F188" t="inlineStr">
        <is>
          <t>GOTLANDS LÄN</t>
        </is>
      </c>
      <c r="G188" t="inlineStr">
        <is>
          <t>GOTLAND</t>
        </is>
      </c>
      <c r="I188" t="n">
        <v>1.2</v>
      </c>
      <c r="J188" t="n">
        <v>0</v>
      </c>
      <c r="K188" t="n">
        <v>0</v>
      </c>
      <c r="L188" t="n">
        <v>0</v>
      </c>
      <c r="M188" t="n">
        <v>1</v>
      </c>
      <c r="N188" t="n">
        <v>0</v>
      </c>
      <c r="O188" t="n">
        <v>0</v>
      </c>
      <c r="P188" t="n">
        <v>0</v>
      </c>
      <c r="Q188" t="n">
        <v>1</v>
      </c>
      <c r="R188" t="n">
        <v>1</v>
      </c>
      <c r="S188" t="n">
        <v>1</v>
      </c>
      <c r="T188" t="n">
        <v>1</v>
      </c>
      <c r="U188" t="n">
        <v>1</v>
      </c>
      <c r="V188" s="2" t="inlineStr">
        <is>
          <t>Källnate</t>
        </is>
      </c>
      <c r="W188">
        <f>HYPERLINK("https://klasma.github.io/Logging_0980/artfynd/A 46545-2024 artfynd.xlsx", "A 46545-2024")</f>
        <v/>
      </c>
      <c r="X188">
        <f>HYPERLINK("https://klasma.github.io/Logging_0980/kartor/A 46545-2024 karta.png", "A 46545-2024")</f>
        <v/>
      </c>
      <c r="Y188">
        <f>HYPERLINK("https://klasma.github.io/Logging_0980/kartor_geotiff/A 46545-2024 georefererad karta.tif", "A 46545-2024")</f>
        <v/>
      </c>
      <c r="AA188">
        <f>HYPERLINK("https://klasma.github.io/Logging_0980/klagomål/A 46545-2024 FSC-klagomål.docx", "A 46545-2024")</f>
        <v/>
      </c>
      <c r="AB188">
        <f>HYPERLINK("https://klasma.github.io/Logging_0980/klagomålsmail/A 46545-2024 FSC-klagomål mail.docx", "A 46545-2024")</f>
        <v/>
      </c>
      <c r="AC188">
        <f>HYPERLINK("https://klasma.github.io/Logging_0980/tillsyn/A 46545-2024 tillsynsbegäran.docx", "A 46545-2024")</f>
        <v/>
      </c>
      <c r="AD188">
        <f>HYPERLINK("https://klasma.github.io/Logging_0980/tillsynsmail/A 46545-2024 tillsynsbegäran mail.docx", "A 46545-2024")</f>
        <v/>
      </c>
    </row>
    <row r="189" ht="15" customHeight="1">
      <c r="A189" t="inlineStr">
        <is>
          <t>A 62915-2021</t>
        </is>
      </c>
      <c r="B189" t="inlineStr">
        <is>
          <t>avverkningsanmälan</t>
        </is>
      </c>
      <c r="C189" t="inlineStr">
        <is>
          <t>Föryngringsavverkning</t>
        </is>
      </c>
      <c r="D189" s="1" t="n">
        <v>44504</v>
      </c>
      <c r="E189" s="1" t="n">
        <v>46253</v>
      </c>
      <c r="F189" t="inlineStr">
        <is>
          <t>GOTLANDS LÄN</t>
        </is>
      </c>
      <c r="G189" t="inlineStr">
        <is>
          <t>GOTLAND</t>
        </is>
      </c>
      <c r="I189" t="n">
        <v>1.1</v>
      </c>
      <c r="J189" t="n">
        <v>1</v>
      </c>
      <c r="K189" t="n">
        <v>0</v>
      </c>
      <c r="L189" t="n">
        <v>0</v>
      </c>
      <c r="M189" t="n">
        <v>0</v>
      </c>
      <c r="N189" t="n">
        <v>0</v>
      </c>
      <c r="O189" t="n">
        <v>0</v>
      </c>
      <c r="P189" t="n">
        <v>0</v>
      </c>
      <c r="Q189" t="n">
        <v>0</v>
      </c>
      <c r="R189" t="n">
        <v>0</v>
      </c>
      <c r="S189" t="n">
        <v>1</v>
      </c>
      <c r="T189" t="n">
        <v>1</v>
      </c>
      <c r="U189" t="n">
        <v>1</v>
      </c>
      <c r="V189" s="2" t="inlineStr">
        <is>
          <t>Bredarun</t>
        </is>
      </c>
      <c r="W189">
        <f>HYPERLINK("https://klasma.github.io/Logging_0980/artfynd/A 62915-2021 artfynd.xlsx", "A 62915-2021")</f>
        <v/>
      </c>
      <c r="X189">
        <f>HYPERLINK("https://klasma.github.io/Logging_0980/kartor/A 62915-2021 karta.png", "A 62915-2021")</f>
        <v/>
      </c>
      <c r="Y189">
        <f>HYPERLINK("https://klasma.github.io/Logging_0980/kartor_geotiff/A 62915-2021 georefererad karta.tif", "A 62915-2021")</f>
        <v/>
      </c>
      <c r="AA189">
        <f>HYPERLINK("https://klasma.github.io/Logging_0980/klagomål/A 62915-2021 FSC-klagomål.docx", "A 62915-2021")</f>
        <v/>
      </c>
      <c r="AB189">
        <f>HYPERLINK("https://klasma.github.io/Logging_0980/klagomålsmail/A 62915-2021 FSC-klagomål mail.docx", "A 62915-2021")</f>
        <v/>
      </c>
      <c r="AC189">
        <f>HYPERLINK("https://klasma.github.io/Logging_0980/tillsyn/A 62915-2021 tillsynsbegäran.docx", "A 62915-2021")</f>
        <v/>
      </c>
      <c r="AD189">
        <f>HYPERLINK("https://klasma.github.io/Logging_0980/tillsynsmail/A 62915-2021 tillsynsbegäran mail.docx", "A 62915-2021")</f>
        <v/>
      </c>
    </row>
    <row r="190" ht="15" customHeight="1">
      <c r="A190" t="inlineStr">
        <is>
          <t>A 30489-2025</t>
        </is>
      </c>
      <c r="B190" t="inlineStr">
        <is>
          <t>avverkningsanmälan</t>
        </is>
      </c>
      <c r="C190" t="inlineStr">
        <is>
          <t>Föryngringsavverkning</t>
        </is>
      </c>
      <c r="D190" s="1" t="n">
        <v>45830</v>
      </c>
      <c r="E190" s="1" t="n">
        <v>46253</v>
      </c>
      <c r="F190" t="inlineStr">
        <is>
          <t>GOTLANDS LÄN</t>
        </is>
      </c>
      <c r="G190" t="inlineStr">
        <is>
          <t>GOTLAND</t>
        </is>
      </c>
      <c r="I190" t="n">
        <v>4.6</v>
      </c>
      <c r="J190" t="n">
        <v>0</v>
      </c>
      <c r="K190" t="n">
        <v>0</v>
      </c>
      <c r="L190" t="n">
        <v>1</v>
      </c>
      <c r="M190" t="n">
        <v>0</v>
      </c>
      <c r="N190" t="n">
        <v>0</v>
      </c>
      <c r="O190" t="n">
        <v>0</v>
      </c>
      <c r="P190" t="n">
        <v>0</v>
      </c>
      <c r="Q190" t="n">
        <v>1</v>
      </c>
      <c r="R190" t="n">
        <v>0</v>
      </c>
      <c r="S190" t="n">
        <v>1</v>
      </c>
      <c r="T190" t="n">
        <v>1</v>
      </c>
      <c r="U190" t="n">
        <v>0</v>
      </c>
      <c r="V190" s="2" t="inlineStr">
        <is>
          <t>Skarp dropptaggsvamp</t>
        </is>
      </c>
      <c r="W190">
        <f>HYPERLINK("https://klasma.github.io/Logging_0980/artfynd/A 30489-2025 artfynd.xlsx", "A 30489-2025")</f>
        <v/>
      </c>
      <c r="X190">
        <f>HYPERLINK("https://klasma.github.io/Logging_0980/kartor/A 30489-2025 karta.png", "A 30489-2025")</f>
        <v/>
      </c>
      <c r="Y190">
        <f>HYPERLINK("https://klasma.github.io/Logging_0980/kartor_geotiff/A 30489-2025 georefererad karta.tif", "A 30489-2025")</f>
        <v/>
      </c>
      <c r="AA190">
        <f>HYPERLINK("https://klasma.github.io/Logging_0980/klagomål/A 30489-2025 FSC-klagomål.docx", "A 30489-2025")</f>
        <v/>
      </c>
      <c r="AB190">
        <f>HYPERLINK("https://klasma.github.io/Logging_0980/klagomålsmail/A 30489-2025 FSC-klagomål mail.docx", "A 30489-2025")</f>
        <v/>
      </c>
      <c r="AC190">
        <f>HYPERLINK("https://klasma.github.io/Logging_0980/tillsyn/A 30489-2025 tillsynsbegäran.docx", "A 30489-2025")</f>
        <v/>
      </c>
      <c r="AD190">
        <f>HYPERLINK("https://klasma.github.io/Logging_0980/tillsynsmail/A 30489-2025 tillsynsbegäran mail.docx", "A 30489-2025")</f>
        <v/>
      </c>
    </row>
    <row r="191" ht="15" customHeight="1">
      <c r="A191" t="inlineStr">
        <is>
          <t>A 1477-2024</t>
        </is>
      </c>
      <c r="B191" t="inlineStr">
        <is>
          <t>avverkningsanmälan</t>
        </is>
      </c>
      <c r="C191" t="inlineStr">
        <is>
          <t>Föryngringsavverkning</t>
        </is>
      </c>
      <c r="D191" s="1" t="n">
        <v>45305</v>
      </c>
      <c r="E191" s="1" t="n">
        <v>46253</v>
      </c>
      <c r="F191" t="inlineStr">
        <is>
          <t>GOTLANDS LÄN</t>
        </is>
      </c>
      <c r="G191" t="inlineStr">
        <is>
          <t>GOTLAND</t>
        </is>
      </c>
      <c r="I191" t="n">
        <v>6.9</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HYPERLINK("https://klasma.github.io/Logging_0980/artfynd/A 1477-2024 artfynd.xlsx", "A 1477-2024")</f>
        <v/>
      </c>
      <c r="X191">
        <f>HYPERLINK("https://klasma.github.io/Logging_0980/kartor/A 1477-2024 karta.png", "A 1477-2024")</f>
        <v/>
      </c>
      <c r="Y191">
        <f>HYPERLINK("https://klasma.github.io/Logging_0980/kartor_geotiff/A 1477-2024 georefererad karta.tif", "A 1477-2024")</f>
        <v/>
      </c>
      <c r="AA191">
        <f>HYPERLINK("https://klasma.github.io/Logging_0980/klagomål/A 1477-2024 FSC-klagomål.docx", "A 1477-2024")</f>
        <v/>
      </c>
      <c r="AB191">
        <f>HYPERLINK("https://klasma.github.io/Logging_0980/klagomålsmail/A 1477-2024 FSC-klagomål mail.docx", "A 1477-2024")</f>
        <v/>
      </c>
      <c r="AC191">
        <f>HYPERLINK("https://klasma.github.io/Logging_0980/tillsyn/A 1477-2024 tillsynsbegäran.docx", "A 1477-2024")</f>
        <v/>
      </c>
      <c r="AD191">
        <f>HYPERLINK("https://klasma.github.io/Logging_0980/tillsynsmail/A 1477-2024 tillsynsbegäran mail.docx", "A 1477-2024")</f>
        <v/>
      </c>
    </row>
    <row r="192" ht="15" customHeight="1">
      <c r="A192" t="inlineStr">
        <is>
          <t>A 1677-2023</t>
        </is>
      </c>
      <c r="B192" t="inlineStr">
        <is>
          <t>avverkningsanmälan</t>
        </is>
      </c>
      <c r="C192" t="inlineStr">
        <is>
          <t>Föryngringsavverkning</t>
        </is>
      </c>
      <c r="D192" s="1" t="n">
        <v>44938</v>
      </c>
      <c r="E192" s="1" t="n">
        <v>46253</v>
      </c>
      <c r="F192" t="inlineStr">
        <is>
          <t>GOTLANDS LÄN</t>
        </is>
      </c>
      <c r="G192" t="inlineStr">
        <is>
          <t>GOTLAND</t>
        </is>
      </c>
      <c r="I192" t="n">
        <v>1.6</v>
      </c>
      <c r="J192" t="n">
        <v>0</v>
      </c>
      <c r="K192" t="n">
        <v>0</v>
      </c>
      <c r="L192" t="n">
        <v>1</v>
      </c>
      <c r="M192" t="n">
        <v>0</v>
      </c>
      <c r="N192" t="n">
        <v>0</v>
      </c>
      <c r="O192" t="n">
        <v>0</v>
      </c>
      <c r="P192" t="n">
        <v>0</v>
      </c>
      <c r="Q192" t="n">
        <v>1</v>
      </c>
      <c r="R192" t="n">
        <v>0</v>
      </c>
      <c r="S192" t="n">
        <v>1</v>
      </c>
      <c r="T192" t="n">
        <v>1</v>
      </c>
      <c r="U192" t="n">
        <v>0</v>
      </c>
      <c r="V192" s="2" t="inlineStr">
        <is>
          <t>Strandrosettmossa</t>
        </is>
      </c>
      <c r="W192">
        <f>HYPERLINK("https://klasma.github.io/Logging_0980/artfynd/A 1677-2023 artfynd.xlsx", "A 1677-2023")</f>
        <v/>
      </c>
      <c r="X192">
        <f>HYPERLINK("https://klasma.github.io/Logging_0980/kartor/A 1677-2023 karta.png", "A 1677-2023")</f>
        <v/>
      </c>
      <c r="Y192">
        <f>HYPERLINK("https://klasma.github.io/Logging_0980/kartor_geotiff/A 1677-2023 georefererad karta.tif", "A 1677-2023")</f>
        <v/>
      </c>
      <c r="AA192">
        <f>HYPERLINK("https://klasma.github.io/Logging_0980/klagomål/A 1677-2023 FSC-klagomål.docx", "A 1677-2023")</f>
        <v/>
      </c>
      <c r="AB192">
        <f>HYPERLINK("https://klasma.github.io/Logging_0980/klagomålsmail/A 1677-2023 FSC-klagomål mail.docx", "A 1677-2023")</f>
        <v/>
      </c>
      <c r="AC192">
        <f>HYPERLINK("https://klasma.github.io/Logging_0980/tillsyn/A 1677-2023 tillsynsbegäran.docx", "A 1677-2023")</f>
        <v/>
      </c>
      <c r="AD192">
        <f>HYPERLINK("https://klasma.github.io/Logging_0980/tillsynsmail/A 1677-2023 tillsynsbegäran mail.docx", "A 1677-2023")</f>
        <v/>
      </c>
    </row>
    <row r="193" ht="15" customHeight="1">
      <c r="A193" t="inlineStr">
        <is>
          <t>A 7637-2025</t>
        </is>
      </c>
      <c r="B193" t="inlineStr">
        <is>
          <t>avverkningsanmälan</t>
        </is>
      </c>
      <c r="C193" t="inlineStr">
        <is>
          <t>Föryngringsavverkning</t>
        </is>
      </c>
      <c r="D193" s="1" t="n">
        <v>45705</v>
      </c>
      <c r="E193" s="1" t="n">
        <v>46253</v>
      </c>
      <c r="F193" t="inlineStr">
        <is>
          <t>GOTLANDS LÄN</t>
        </is>
      </c>
      <c r="G193" t="inlineStr">
        <is>
          <t>GOTLAND</t>
        </is>
      </c>
      <c r="I193" t="n">
        <v>3.7</v>
      </c>
      <c r="J193" t="n">
        <v>0</v>
      </c>
      <c r="K193" t="n">
        <v>0</v>
      </c>
      <c r="L193" t="n">
        <v>0</v>
      </c>
      <c r="M193" t="n">
        <v>0</v>
      </c>
      <c r="N193" t="n">
        <v>1</v>
      </c>
      <c r="O193" t="n">
        <v>0</v>
      </c>
      <c r="P193" t="n">
        <v>0</v>
      </c>
      <c r="Q193" t="n">
        <v>1</v>
      </c>
      <c r="R193" t="n">
        <v>1</v>
      </c>
      <c r="S193" t="n">
        <v>1</v>
      </c>
      <c r="T193" t="n">
        <v>1</v>
      </c>
      <c r="U193" t="n">
        <v>1</v>
      </c>
      <c r="V193" s="2" t="inlineStr">
        <is>
          <t>Skogsalm</t>
        </is>
      </c>
      <c r="W193">
        <f>HYPERLINK("https://klasma.github.io/Logging_0980/artfynd/A 7637-2025 artfynd.xlsx", "A 7637-2025")</f>
        <v/>
      </c>
      <c r="X193">
        <f>HYPERLINK("https://klasma.github.io/Logging_0980/kartor/A 7637-2025 karta.png", "A 7637-2025")</f>
        <v/>
      </c>
      <c r="Y193">
        <f>HYPERLINK("https://klasma.github.io/Logging_0980/kartor_geotiff/A 7637-2025 georefererad karta.tif", "A 7637-2025")</f>
        <v/>
      </c>
      <c r="AA193">
        <f>HYPERLINK("https://klasma.github.io/Logging_0980/klagomål/A 7637-2025 FSC-klagomål.docx", "A 7637-2025")</f>
        <v/>
      </c>
      <c r="AB193">
        <f>HYPERLINK("https://klasma.github.io/Logging_0980/klagomålsmail/A 7637-2025 FSC-klagomål mail.docx", "A 7637-2025")</f>
        <v/>
      </c>
      <c r="AC193">
        <f>HYPERLINK("https://klasma.github.io/Logging_0980/tillsyn/A 7637-2025 tillsynsbegäran.docx", "A 7637-2025")</f>
        <v/>
      </c>
      <c r="AD193">
        <f>HYPERLINK("https://klasma.github.io/Logging_0980/tillsynsmail/A 7637-2025 tillsynsbegäran mail.docx", "A 7637-2025")</f>
        <v/>
      </c>
    </row>
    <row r="194" ht="15" customHeight="1">
      <c r="A194" t="inlineStr">
        <is>
          <t>A 21396-2026</t>
        </is>
      </c>
      <c r="B194" t="inlineStr">
        <is>
          <t>avverkningsanmälan</t>
        </is>
      </c>
      <c r="C194" t="inlineStr">
        <is>
          <t>Föryngringsavverkning</t>
        </is>
      </c>
      <c r="D194" s="1" t="n">
        <v>46148</v>
      </c>
      <c r="E194" s="1" t="n">
        <v>46253</v>
      </c>
      <c r="F194" t="inlineStr">
        <is>
          <t>GOTLANDS LÄN</t>
        </is>
      </c>
      <c r="G194" t="inlineStr">
        <is>
          <t>GOTLAND</t>
        </is>
      </c>
      <c r="I194" t="n">
        <v>6.1</v>
      </c>
      <c r="J194" t="n">
        <v>0</v>
      </c>
      <c r="K194" t="n">
        <v>0</v>
      </c>
      <c r="L194" t="n">
        <v>0</v>
      </c>
      <c r="M194" t="n">
        <v>1</v>
      </c>
      <c r="N194" t="n">
        <v>0</v>
      </c>
      <c r="O194" t="n">
        <v>0</v>
      </c>
      <c r="P194" t="n">
        <v>0</v>
      </c>
      <c r="Q194" t="n">
        <v>1</v>
      </c>
      <c r="R194" t="n">
        <v>1</v>
      </c>
      <c r="S194" t="n">
        <v>1</v>
      </c>
      <c r="T194" t="n">
        <v>1</v>
      </c>
      <c r="U194" t="n">
        <v>0</v>
      </c>
      <c r="V194" s="2" t="inlineStr">
        <is>
          <t>Oxhorndyvel</t>
        </is>
      </c>
      <c r="W194">
        <f>HYPERLINK("https://klasma.github.io/Logging_0980/artfynd/A 21396-2026 artfynd.xlsx", "A 21396-2026")</f>
        <v/>
      </c>
      <c r="X194">
        <f>HYPERLINK("https://klasma.github.io/Logging_0980/kartor/A 21396-2026 karta.png", "A 21396-2026")</f>
        <v/>
      </c>
      <c r="Y194">
        <f>HYPERLINK("https://klasma.github.io/Logging_0980/kartor_geotiff/A 21396-2026 georefererad karta.tif", "A 21396-2026")</f>
        <v/>
      </c>
      <c r="AA194">
        <f>HYPERLINK("https://klasma.github.io/Logging_0980/klagomål/A 21396-2026 FSC-klagomål.docx", "A 21396-2026")</f>
        <v/>
      </c>
      <c r="AB194">
        <f>HYPERLINK("https://klasma.github.io/Logging_0980/klagomålsmail/A 21396-2026 FSC-klagomål mail.docx", "A 21396-2026")</f>
        <v/>
      </c>
      <c r="AC194">
        <f>HYPERLINK("https://klasma.github.io/Logging_0980/tillsyn/A 21396-2026 tillsynsbegäran.docx", "A 21396-2026")</f>
        <v/>
      </c>
      <c r="AD194">
        <f>HYPERLINK("https://klasma.github.io/Logging_0980/tillsynsmail/A 21396-2026 tillsynsbegäran mail.docx", "A 21396-2026")</f>
        <v/>
      </c>
    </row>
    <row r="195" ht="15" customHeight="1">
      <c r="A195" t="inlineStr">
        <is>
          <t>A 6303-2024</t>
        </is>
      </c>
      <c r="B195" t="inlineStr">
        <is>
          <t>avverkningsanmälan</t>
        </is>
      </c>
      <c r="C195" t="inlineStr">
        <is>
          <t>Föryngringsavverkning</t>
        </is>
      </c>
      <c r="D195" s="1" t="n">
        <v>45338</v>
      </c>
      <c r="E195" s="1" t="n">
        <v>46253</v>
      </c>
      <c r="F195" t="inlineStr">
        <is>
          <t>GOTLANDS LÄN</t>
        </is>
      </c>
      <c r="G195" t="inlineStr">
        <is>
          <t>GOTLAND</t>
        </is>
      </c>
      <c r="I195" t="n">
        <v>0.6</v>
      </c>
      <c r="J195" t="n">
        <v>0</v>
      </c>
      <c r="K195" t="n">
        <v>1</v>
      </c>
      <c r="L195" t="n">
        <v>0</v>
      </c>
      <c r="M195" t="n">
        <v>0</v>
      </c>
      <c r="N195" t="n">
        <v>0</v>
      </c>
      <c r="O195" t="n">
        <v>0</v>
      </c>
      <c r="P195" t="n">
        <v>0</v>
      </c>
      <c r="Q195" t="n">
        <v>0</v>
      </c>
      <c r="R195" t="n">
        <v>0</v>
      </c>
      <c r="S195" t="n">
        <v>1</v>
      </c>
      <c r="T195" t="n">
        <v>1</v>
      </c>
      <c r="U195" t="n">
        <v>1</v>
      </c>
      <c r="V195" s="2" t="inlineStr">
        <is>
          <t>Strävlosta</t>
        </is>
      </c>
      <c r="W195">
        <f>HYPERLINK("https://klasma.github.io/Logging_0980/artfynd/A 6303-2024 artfynd.xlsx", "A 6303-2024")</f>
        <v/>
      </c>
      <c r="X195">
        <f>HYPERLINK("https://klasma.github.io/Logging_0980/kartor/A 6303-2024 karta.png", "A 6303-2024")</f>
        <v/>
      </c>
      <c r="Y195">
        <f>HYPERLINK("https://klasma.github.io/Logging_0980/kartor_geotiff/A 6303-2024 georefererad karta.tif", "A 6303-2024")</f>
        <v/>
      </c>
      <c r="AA195">
        <f>HYPERLINK("https://klasma.github.io/Logging_0980/klagomål/A 6303-2024 FSC-klagomål.docx", "A 6303-2024")</f>
        <v/>
      </c>
      <c r="AB195">
        <f>HYPERLINK("https://klasma.github.io/Logging_0980/klagomålsmail/A 6303-2024 FSC-klagomål mail.docx", "A 6303-2024")</f>
        <v/>
      </c>
      <c r="AC195">
        <f>HYPERLINK("https://klasma.github.io/Logging_0980/tillsyn/A 6303-2024 tillsynsbegäran.docx", "A 6303-2024")</f>
        <v/>
      </c>
      <c r="AD195">
        <f>HYPERLINK("https://klasma.github.io/Logging_0980/tillsynsmail/A 6303-2024 tillsynsbegäran mail.docx", "A 6303-2024")</f>
        <v/>
      </c>
    </row>
    <row r="196" ht="15" customHeight="1">
      <c r="A196" t="inlineStr">
        <is>
          <t>A 11982-2026</t>
        </is>
      </c>
      <c r="B196" t="inlineStr">
        <is>
          <t>avverkningsanmälan</t>
        </is>
      </c>
      <c r="C196" t="inlineStr">
        <is>
          <t>Föryngringsavverkning</t>
        </is>
      </c>
      <c r="D196" s="1" t="n">
        <v>46085</v>
      </c>
      <c r="E196" s="1" t="n">
        <v>46253</v>
      </c>
      <c r="F196" t="inlineStr">
        <is>
          <t>GOTLANDS LÄN</t>
        </is>
      </c>
      <c r="G196" t="inlineStr">
        <is>
          <t>GOTLAND</t>
        </is>
      </c>
      <c r="I196" t="n">
        <v>2.2</v>
      </c>
      <c r="J196" t="n">
        <v>0</v>
      </c>
      <c r="K196" t="n">
        <v>0</v>
      </c>
      <c r="L196" t="n">
        <v>1</v>
      </c>
      <c r="M196" t="n">
        <v>0</v>
      </c>
      <c r="N196" t="n">
        <v>0</v>
      </c>
      <c r="O196" t="n">
        <v>0</v>
      </c>
      <c r="P196" t="n">
        <v>0</v>
      </c>
      <c r="Q196" t="n">
        <v>1</v>
      </c>
      <c r="R196" t="n">
        <v>0</v>
      </c>
      <c r="S196" t="n">
        <v>1</v>
      </c>
      <c r="T196" t="n">
        <v>1</v>
      </c>
      <c r="U196" t="n">
        <v>0</v>
      </c>
      <c r="V196" s="2" t="inlineStr">
        <is>
          <t>Småtörel</t>
        </is>
      </c>
      <c r="W196">
        <f>HYPERLINK("https://klasma.github.io/Logging_0980/artfynd/A 11982-2026 artfynd.xlsx", "A 11982-2026")</f>
        <v/>
      </c>
      <c r="X196">
        <f>HYPERLINK("https://klasma.github.io/Logging_0980/kartor/A 11982-2026 karta.png", "A 11982-2026")</f>
        <v/>
      </c>
      <c r="Y196">
        <f>HYPERLINK("https://klasma.github.io/Logging_0980/kartor_geotiff/A 11982-2026 georefererad karta.tif", "A 11982-2026")</f>
        <v/>
      </c>
      <c r="AA196">
        <f>HYPERLINK("https://klasma.github.io/Logging_0980/klagomål/A 11982-2026 FSC-klagomål.docx", "A 11982-2026")</f>
        <v/>
      </c>
      <c r="AB196">
        <f>HYPERLINK("https://klasma.github.io/Logging_0980/klagomålsmail/A 11982-2026 FSC-klagomål mail.docx", "A 11982-2026")</f>
        <v/>
      </c>
      <c r="AC196">
        <f>HYPERLINK("https://klasma.github.io/Logging_0980/tillsyn/A 11982-2026 tillsynsbegäran.docx", "A 11982-2026")</f>
        <v/>
      </c>
      <c r="AD196">
        <f>HYPERLINK("https://klasma.github.io/Logging_0980/tillsynsmail/A 11982-2026 tillsynsbegäran mail.docx", "A 11982-2026")</f>
        <v/>
      </c>
    </row>
    <row r="197" ht="15" customHeight="1">
      <c r="A197" t="inlineStr">
        <is>
          <t>A 5863-2026</t>
        </is>
      </c>
      <c r="B197" t="inlineStr">
        <is>
          <t>avverkningsanmälan</t>
        </is>
      </c>
      <c r="C197" t="inlineStr">
        <is>
          <t>Föryngringsavverkning</t>
        </is>
      </c>
      <c r="D197" s="1" t="n">
        <v>46052</v>
      </c>
      <c r="E197" s="1" t="n">
        <v>46253</v>
      </c>
      <c r="F197" t="inlineStr">
        <is>
          <t>GOTLANDS LÄN</t>
        </is>
      </c>
      <c r="G197" t="inlineStr">
        <is>
          <t>GOTLAND</t>
        </is>
      </c>
      <c r="I197" t="n">
        <v>1.8</v>
      </c>
      <c r="J197" t="n">
        <v>1</v>
      </c>
      <c r="K197" t="n">
        <v>0</v>
      </c>
      <c r="L197" t="n">
        <v>1</v>
      </c>
      <c r="M197" t="n">
        <v>0</v>
      </c>
      <c r="N197" t="n">
        <v>0</v>
      </c>
      <c r="O197" t="n">
        <v>0</v>
      </c>
      <c r="P197" t="n">
        <v>0</v>
      </c>
      <c r="Q197" t="n">
        <v>1</v>
      </c>
      <c r="R197" t="n">
        <v>0</v>
      </c>
      <c r="S197" t="n">
        <v>1</v>
      </c>
      <c r="T197" t="n">
        <v>33</v>
      </c>
      <c r="U197" t="n">
        <v>23</v>
      </c>
      <c r="V197" s="2" t="inlineStr">
        <is>
          <t>Dårgräsfjäril</t>
        </is>
      </c>
      <c r="W197">
        <f>HYPERLINK("https://klasma.github.io/Logging_0980/artfynd/A 5863-2026 artfynd.xlsx", "A 5863-2026")</f>
        <v/>
      </c>
      <c r="X197">
        <f>HYPERLINK("https://klasma.github.io/Logging_0980/kartor/A 5863-2026 karta.png", "A 5863-2026")</f>
        <v/>
      </c>
      <c r="Y197">
        <f>HYPERLINK("https://klasma.github.io/Logging_0980/kartor_geotiff/A 5863-2026 georefererad karta.tif", "A 5863-2026")</f>
        <v/>
      </c>
      <c r="AA197">
        <f>HYPERLINK("https://klasma.github.io/Logging_0980/klagomål/A 5863-2026 FSC-klagomål.docx", "A 5863-2026")</f>
        <v/>
      </c>
      <c r="AB197">
        <f>HYPERLINK("https://klasma.github.io/Logging_0980/klagomålsmail/A 5863-2026 FSC-klagomål mail.docx", "A 5863-2026")</f>
        <v/>
      </c>
      <c r="AC197">
        <f>HYPERLINK("https://klasma.github.io/Logging_0980/tillsyn/A 5863-2026 tillsynsbegäran.docx", "A 5863-2026")</f>
        <v/>
      </c>
      <c r="AD197">
        <f>HYPERLINK("https://klasma.github.io/Logging_0980/tillsynsmail/A 5863-2026 tillsynsbegäran mail.docx", "A 5863-2026")</f>
        <v/>
      </c>
    </row>
    <row r="198" ht="15" customHeight="1">
      <c r="A198" t="inlineStr">
        <is>
          <t>A 40294-2022</t>
        </is>
      </c>
      <c r="B198" t="inlineStr">
        <is>
          <t>avverkningsanmälan</t>
        </is>
      </c>
      <c r="C198" t="inlineStr">
        <is>
          <t>Föryngringsavverkning</t>
        </is>
      </c>
      <c r="D198" s="1" t="n">
        <v>44821</v>
      </c>
      <c r="E198" s="1" t="n">
        <v>46253</v>
      </c>
      <c r="F198" t="inlineStr">
        <is>
          <t>GOTLANDS LÄN</t>
        </is>
      </c>
      <c r="G198" t="inlineStr">
        <is>
          <t>GOTLAND</t>
        </is>
      </c>
      <c r="I198" t="n">
        <v>1.6</v>
      </c>
      <c r="J198" t="n">
        <v>0</v>
      </c>
      <c r="K198" t="n">
        <v>0</v>
      </c>
      <c r="L198" t="n">
        <v>0</v>
      </c>
      <c r="M198" t="n">
        <v>1</v>
      </c>
      <c r="N198" t="n">
        <v>0</v>
      </c>
      <c r="O198" t="n">
        <v>0</v>
      </c>
      <c r="P198" t="n">
        <v>0</v>
      </c>
      <c r="Q198" t="n">
        <v>1</v>
      </c>
      <c r="R198" t="n">
        <v>1</v>
      </c>
      <c r="S198" t="n">
        <v>1</v>
      </c>
      <c r="T198" t="n">
        <v>1</v>
      </c>
      <c r="U198" t="n">
        <v>1</v>
      </c>
      <c r="V198" s="2" t="inlineStr">
        <is>
          <t>Gotlandsmåra</t>
        </is>
      </c>
      <c r="W198">
        <f>HYPERLINK("https://klasma.github.io/Logging_0980/artfynd/A 40294-2022 artfynd.xlsx", "A 40294-2022")</f>
        <v/>
      </c>
      <c r="X198">
        <f>HYPERLINK("https://klasma.github.io/Logging_0980/kartor/A 40294-2022 karta.png", "A 40294-2022")</f>
        <v/>
      </c>
      <c r="Y198">
        <f>HYPERLINK("https://klasma.github.io/Logging_0980/kartor_geotiff/A 40294-2022 georefererad karta.tif", "A 40294-2022")</f>
        <v/>
      </c>
      <c r="AA198">
        <f>HYPERLINK("https://klasma.github.io/Logging_0980/klagomål/A 40294-2022 FSC-klagomål.docx", "A 40294-2022")</f>
        <v/>
      </c>
      <c r="AB198">
        <f>HYPERLINK("https://klasma.github.io/Logging_0980/klagomålsmail/A 40294-2022 FSC-klagomål mail.docx", "A 40294-2022")</f>
        <v/>
      </c>
      <c r="AC198">
        <f>HYPERLINK("https://klasma.github.io/Logging_0980/tillsyn/A 40294-2022 tillsynsbegäran.docx", "A 40294-2022")</f>
        <v/>
      </c>
      <c r="AD198">
        <f>HYPERLINK("https://klasma.github.io/Logging_0980/tillsynsmail/A 40294-2022 tillsynsbegäran mail.docx", "A 40294-2022")</f>
        <v/>
      </c>
    </row>
    <row r="199" ht="15" customHeight="1">
      <c r="A199" t="inlineStr">
        <is>
          <t>A 34809-2024</t>
        </is>
      </c>
      <c r="B199" t="inlineStr">
        <is>
          <t>avverkningsanmälan</t>
        </is>
      </c>
      <c r="C199" t="inlineStr">
        <is>
          <t>Föryngringsavverkning</t>
        </is>
      </c>
      <c r="D199" s="1" t="n">
        <v>45526</v>
      </c>
      <c r="E199" s="1" t="n">
        <v>46253</v>
      </c>
      <c r="F199" t="inlineStr">
        <is>
          <t>GOTLANDS LÄN</t>
        </is>
      </c>
      <c r="G199" t="inlineStr">
        <is>
          <t>GOTLAND</t>
        </is>
      </c>
      <c r="I199" t="n">
        <v>9.9</v>
      </c>
      <c r="J199" t="n">
        <v>1</v>
      </c>
      <c r="K199" t="n">
        <v>0</v>
      </c>
      <c r="L199" t="n">
        <v>1</v>
      </c>
      <c r="M199" t="n">
        <v>0</v>
      </c>
      <c r="N199" t="n">
        <v>0</v>
      </c>
      <c r="O199" t="n">
        <v>0</v>
      </c>
      <c r="P199" t="n">
        <v>0</v>
      </c>
      <c r="Q199" t="n">
        <v>1</v>
      </c>
      <c r="R199" t="n">
        <v>0</v>
      </c>
      <c r="S199" t="n">
        <v>1</v>
      </c>
      <c r="T199" t="n">
        <v>2</v>
      </c>
      <c r="U199" t="n">
        <v>1</v>
      </c>
      <c r="V199" s="2" t="inlineStr">
        <is>
          <t>Brun ögontröst</t>
        </is>
      </c>
      <c r="W199">
        <f>HYPERLINK("https://klasma.github.io/Logging_0980/artfynd/A 34809-2024 artfynd.xlsx", "A 34809-2024")</f>
        <v/>
      </c>
      <c r="X199">
        <f>HYPERLINK("https://klasma.github.io/Logging_0980/kartor/A 34809-2024 karta.png", "A 34809-2024")</f>
        <v/>
      </c>
      <c r="Y199">
        <f>HYPERLINK("https://klasma.github.io/Logging_0980/kartor_geotiff/A 34809-2024 georefererad karta.tif", "A 34809-2024")</f>
        <v/>
      </c>
      <c r="AA199">
        <f>HYPERLINK("https://klasma.github.io/Logging_0980/klagomål/A 34809-2024 FSC-klagomål.docx", "A 34809-2024")</f>
        <v/>
      </c>
      <c r="AB199">
        <f>HYPERLINK("https://klasma.github.io/Logging_0980/klagomålsmail/A 34809-2024 FSC-klagomål mail.docx", "A 34809-2024")</f>
        <v/>
      </c>
      <c r="AC199">
        <f>HYPERLINK("https://klasma.github.io/Logging_0980/tillsyn/A 34809-2024 tillsynsbegäran.docx", "A 34809-2024")</f>
        <v/>
      </c>
      <c r="AD199">
        <f>HYPERLINK("https://klasma.github.io/Logging_0980/tillsynsmail/A 34809-2024 tillsynsbegäran mail.docx", "A 34809-2024")</f>
        <v/>
      </c>
    </row>
    <row r="200" ht="15" customHeight="1">
      <c r="A200" t="inlineStr">
        <is>
          <t>A 18036-2026</t>
        </is>
      </c>
      <c r="B200" t="inlineStr">
        <is>
          <t>avverkningsanmälan</t>
        </is>
      </c>
      <c r="C200" t="inlineStr">
        <is>
          <t>Föryngringsavverkning</t>
        </is>
      </c>
      <c r="D200" s="1" t="n">
        <v>46125</v>
      </c>
      <c r="E200" s="1" t="n">
        <v>46253</v>
      </c>
      <c r="F200" t="inlineStr">
        <is>
          <t>GOTLANDS LÄN</t>
        </is>
      </c>
      <c r="G200" t="inlineStr">
        <is>
          <t>GOTLAND</t>
        </is>
      </c>
      <c r="I200" t="n">
        <v>1.8</v>
      </c>
      <c r="J200" t="n">
        <v>0</v>
      </c>
      <c r="K200" t="n">
        <v>0</v>
      </c>
      <c r="L200" t="n">
        <v>1</v>
      </c>
      <c r="M200" t="n">
        <v>0</v>
      </c>
      <c r="N200" t="n">
        <v>0</v>
      </c>
      <c r="O200" t="n">
        <v>0</v>
      </c>
      <c r="P200" t="n">
        <v>0</v>
      </c>
      <c r="Q200" t="n">
        <v>1</v>
      </c>
      <c r="R200" t="n">
        <v>0</v>
      </c>
      <c r="S200" t="n">
        <v>1</v>
      </c>
      <c r="T200" t="n">
        <v>1</v>
      </c>
      <c r="U200" t="n">
        <v>0</v>
      </c>
      <c r="V200" s="2" t="inlineStr">
        <is>
          <t>Sommarfibbla</t>
        </is>
      </c>
      <c r="W200">
        <f>HYPERLINK("https://klasma.github.io/Logging_0980/artfynd/A 18036-2026 artfynd.xlsx", "A 18036-2026")</f>
        <v/>
      </c>
      <c r="X200">
        <f>HYPERLINK("https://klasma.github.io/Logging_0980/kartor/A 18036-2026 karta.png", "A 18036-2026")</f>
        <v/>
      </c>
      <c r="Y200">
        <f>HYPERLINK("https://klasma.github.io/Logging_0980/kartor_geotiff/A 18036-2026 georefererad karta.tif", "A 18036-2026")</f>
        <v/>
      </c>
      <c r="AA200">
        <f>HYPERLINK("https://klasma.github.io/Logging_0980/klagomål/A 18036-2026 FSC-klagomål.docx", "A 18036-2026")</f>
        <v/>
      </c>
      <c r="AB200">
        <f>HYPERLINK("https://klasma.github.io/Logging_0980/klagomålsmail/A 18036-2026 FSC-klagomål mail.docx", "A 18036-2026")</f>
        <v/>
      </c>
      <c r="AC200">
        <f>HYPERLINK("https://klasma.github.io/Logging_0980/tillsyn/A 18036-2026 tillsynsbegäran.docx", "A 18036-2026")</f>
        <v/>
      </c>
      <c r="AD200">
        <f>HYPERLINK("https://klasma.github.io/Logging_0980/tillsynsmail/A 18036-2026 tillsynsbegäran mail.docx", "A 18036-2026")</f>
        <v/>
      </c>
    </row>
    <row r="201" ht="15" customHeight="1">
      <c r="A201" t="inlineStr">
        <is>
          <t>A 1066-2024</t>
        </is>
      </c>
      <c r="B201" t="inlineStr">
        <is>
          <t>avverkningsanmälan</t>
        </is>
      </c>
      <c r="C201" t="inlineStr">
        <is>
          <t>Föryngringsavverkning</t>
        </is>
      </c>
      <c r="D201" s="1" t="n">
        <v>45302</v>
      </c>
      <c r="E201" s="1" t="n">
        <v>46253</v>
      </c>
      <c r="F201" t="inlineStr">
        <is>
          <t>GOTLANDS LÄN</t>
        </is>
      </c>
      <c r="G201" t="inlineStr">
        <is>
          <t>GOTLAND</t>
        </is>
      </c>
      <c r="I201" t="n">
        <v>1.4</v>
      </c>
      <c r="J201" t="n">
        <v>0</v>
      </c>
      <c r="K201" t="n">
        <v>0</v>
      </c>
      <c r="L201" t="n">
        <v>1</v>
      </c>
      <c r="M201" t="n">
        <v>0</v>
      </c>
      <c r="N201" t="n">
        <v>0</v>
      </c>
      <c r="O201" t="n">
        <v>0</v>
      </c>
      <c r="P201" t="n">
        <v>0</v>
      </c>
      <c r="Q201" t="n">
        <v>1</v>
      </c>
      <c r="R201" t="n">
        <v>0</v>
      </c>
      <c r="S201" t="n">
        <v>1</v>
      </c>
      <c r="T201" t="n">
        <v>1</v>
      </c>
      <c r="U201" t="n">
        <v>1</v>
      </c>
      <c r="V201" s="2" t="inlineStr">
        <is>
          <t>Svinrot</t>
        </is>
      </c>
      <c r="W201">
        <f>HYPERLINK("https://klasma.github.io/Logging_0980/artfynd/A 1066-2024 artfynd.xlsx", "A 1066-2024")</f>
        <v/>
      </c>
      <c r="X201">
        <f>HYPERLINK("https://klasma.github.io/Logging_0980/kartor/A 1066-2024 karta.png", "A 1066-2024")</f>
        <v/>
      </c>
      <c r="Y201">
        <f>HYPERLINK("https://klasma.github.io/Logging_0980/kartor_geotiff/A 1066-2024 georefererad karta.tif", "A 1066-2024")</f>
        <v/>
      </c>
      <c r="AA201">
        <f>HYPERLINK("https://klasma.github.io/Logging_0980/klagomål/A 1066-2024 FSC-klagomål.docx", "A 1066-2024")</f>
        <v/>
      </c>
      <c r="AB201">
        <f>HYPERLINK("https://klasma.github.io/Logging_0980/klagomålsmail/A 1066-2024 FSC-klagomål mail.docx", "A 1066-2024")</f>
        <v/>
      </c>
      <c r="AC201">
        <f>HYPERLINK("https://klasma.github.io/Logging_0980/tillsyn/A 1066-2024 tillsynsbegäran.docx", "A 1066-2024")</f>
        <v/>
      </c>
      <c r="AD201">
        <f>HYPERLINK("https://klasma.github.io/Logging_0980/tillsynsmail/A 1066-2024 tillsynsbegäran mail.docx", "A 1066-2024")</f>
        <v/>
      </c>
    </row>
    <row r="202" ht="15" customHeight="1">
      <c r="A202" t="inlineStr">
        <is>
          <t>A 27343-2026</t>
        </is>
      </c>
      <c r="B202" t="inlineStr">
        <is>
          <t>avverkningsanmälan</t>
        </is>
      </c>
      <c r="C202" t="inlineStr">
        <is>
          <t>Föryngringsavverkning</t>
        </is>
      </c>
      <c r="D202" s="1" t="n">
        <v>46188</v>
      </c>
      <c r="E202" s="1" t="n">
        <v>46253</v>
      </c>
      <c r="F202" t="inlineStr">
        <is>
          <t>GOTLANDS LÄN</t>
        </is>
      </c>
      <c r="G202" t="inlineStr">
        <is>
          <t>GOTLAND</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HYPERLINK("https://klasma.github.io/Logging_0980/artfynd/A 27343-2026 artfynd.xlsx", "A 27343-2026")</f>
        <v/>
      </c>
      <c r="X202">
        <f>HYPERLINK("https://klasma.github.io/Logging_0980/kartor/A 27343-2026 karta.png", "A 27343-2026")</f>
        <v/>
      </c>
      <c r="Y202">
        <f>HYPERLINK("https://klasma.github.io/Logging_0980/kartor_geotiff/A 27343-2026 georefererad karta.tif", "A 27343-2026")</f>
        <v/>
      </c>
      <c r="AA202">
        <f>HYPERLINK("https://klasma.github.io/Logging_0980/klagomål/A 27343-2026 FSC-klagomål.docx", "A 27343-2026")</f>
        <v/>
      </c>
      <c r="AB202">
        <f>HYPERLINK("https://klasma.github.io/Logging_0980/klagomålsmail/A 27343-2026 FSC-klagomål mail.docx", "A 27343-2026")</f>
        <v/>
      </c>
      <c r="AC202">
        <f>HYPERLINK("https://klasma.github.io/Logging_0980/tillsyn/A 27343-2026 tillsynsbegäran.docx", "A 27343-2026")</f>
        <v/>
      </c>
      <c r="AD202">
        <f>HYPERLINK("https://klasma.github.io/Logging_0980/tillsynsmail/A 27343-2026 tillsynsbegäran mail.docx", "A 27343-2026")</f>
        <v/>
      </c>
    </row>
    <row r="203" ht="15" customHeight="1">
      <c r="A203" t="inlineStr">
        <is>
          <t>A 64700-2021</t>
        </is>
      </c>
      <c r="B203" t="inlineStr">
        <is>
          <t>avverkningsanmälan</t>
        </is>
      </c>
      <c r="C203" t="inlineStr">
        <is>
          <t>Avverkning för att bevara och utveckla /försöksver</t>
        </is>
      </c>
      <c r="D203" s="1" t="n">
        <v>44511</v>
      </c>
      <c r="E203" s="1" t="n">
        <v>46253</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30176-2026</t>
        </is>
      </c>
      <c r="B204" t="inlineStr">
        <is>
          <t>avverkningsanmälan</t>
        </is>
      </c>
      <c r="C204" t="inlineStr">
        <is>
          <t>Avverkning för annat ändamål</t>
        </is>
      </c>
      <c r="D204" s="1" t="n">
        <v>46203</v>
      </c>
      <c r="E204" s="1" t="n">
        <v>46253</v>
      </c>
      <c r="F204" t="inlineStr">
        <is>
          <t>GOTLANDS LÄN</t>
        </is>
      </c>
      <c r="G204" t="inlineStr">
        <is>
          <t>GOTLAND</t>
        </is>
      </c>
      <c r="I204" t="n">
        <v>3.7</v>
      </c>
      <c r="J204" t="n">
        <v>1</v>
      </c>
      <c r="K204" t="n">
        <v>0</v>
      </c>
      <c r="L204" t="n">
        <v>0</v>
      </c>
      <c r="M204" t="n">
        <v>0</v>
      </c>
      <c r="N204" t="n">
        <v>0</v>
      </c>
      <c r="O204" t="n">
        <v>0</v>
      </c>
      <c r="P204" t="n">
        <v>0</v>
      </c>
      <c r="Q204" t="n">
        <v>0</v>
      </c>
      <c r="R204" t="n">
        <v>0</v>
      </c>
      <c r="S204" t="n">
        <v>1</v>
      </c>
      <c r="T204" t="n">
        <v>1</v>
      </c>
      <c r="U204" t="n">
        <v>0</v>
      </c>
      <c r="V204" s="2" t="inlineStr">
        <is>
          <t>Bredarun</t>
        </is>
      </c>
      <c r="W204">
        <f>HYPERLINK("https://klasma.github.io/Logging_0980/artfynd/A 30176-2026 artfynd.xlsx", "A 30176-2026")</f>
        <v/>
      </c>
      <c r="X204">
        <f>HYPERLINK("https://klasma.github.io/Logging_0980/kartor/A 30176-2026 karta.png", "A 30176-2026")</f>
        <v/>
      </c>
      <c r="Y204">
        <f>HYPERLINK("https://klasma.github.io/Logging_0980/kartor_geotiff/A 30176-2026 georefererad karta.tif", "A 30176-2026")</f>
        <v/>
      </c>
      <c r="AA204">
        <f>HYPERLINK("https://klasma.github.io/Logging_0980/klagomål/A 30176-2026 FSC-klagomål.docx", "A 30176-2026")</f>
        <v/>
      </c>
      <c r="AB204">
        <f>HYPERLINK("https://klasma.github.io/Logging_0980/klagomålsmail/A 30176-2026 FSC-klagomål mail.docx", "A 30176-2026")</f>
        <v/>
      </c>
      <c r="AC204">
        <f>HYPERLINK("https://klasma.github.io/Logging_0980/tillsyn/A 30176-2026 tillsynsbegäran.docx", "A 30176-2026")</f>
        <v/>
      </c>
      <c r="AD204">
        <f>HYPERLINK("https://klasma.github.io/Logging_0980/tillsynsmail/A 30176-2026 tillsynsbegäran mail.docx", "A 30176-2026")</f>
        <v/>
      </c>
    </row>
    <row r="205" ht="15" customHeight="1">
      <c r="A205" t="inlineStr">
        <is>
          <t>A 22782-2023</t>
        </is>
      </c>
      <c r="B205" t="inlineStr">
        <is>
          <t>avverkningsanmälan</t>
        </is>
      </c>
      <c r="C205" t="inlineStr">
        <is>
          <t>Föryngringsavverkning</t>
        </is>
      </c>
      <c r="D205" s="1" t="n">
        <v>45072</v>
      </c>
      <c r="E205" s="1" t="n">
        <v>46253</v>
      </c>
      <c r="F205" t="inlineStr">
        <is>
          <t>GOTLANDS LÄN</t>
        </is>
      </c>
      <c r="G205" t="inlineStr">
        <is>
          <t>GOTLAND</t>
        </is>
      </c>
      <c r="H205" t="inlineStr">
        <is>
          <t>Kyrkan</t>
        </is>
      </c>
      <c r="I205" t="n">
        <v>3.1</v>
      </c>
      <c r="J205" t="n">
        <v>1</v>
      </c>
      <c r="K205" t="n">
        <v>0</v>
      </c>
      <c r="L205" t="n">
        <v>0</v>
      </c>
      <c r="M205" t="n">
        <v>0</v>
      </c>
      <c r="N205" t="n">
        <v>0</v>
      </c>
      <c r="O205" t="n">
        <v>0</v>
      </c>
      <c r="P205" t="n">
        <v>0</v>
      </c>
      <c r="Q205" t="n">
        <v>0</v>
      </c>
      <c r="R205" t="n">
        <v>0</v>
      </c>
      <c r="S205" t="n">
        <v>1</v>
      </c>
      <c r="T205" t="n">
        <v>1</v>
      </c>
      <c r="U205" t="n">
        <v>1</v>
      </c>
      <c r="V205" s="2" t="inlineStr">
        <is>
          <t>Ängsnycklar × skogsnycklar</t>
        </is>
      </c>
      <c r="W205">
        <f>HYPERLINK("https://klasma.github.io/Logging_0980/artfynd/A 22782-2023 artfynd.xlsx", "A 22782-2023")</f>
        <v/>
      </c>
      <c r="X205">
        <f>HYPERLINK("https://klasma.github.io/Logging_0980/kartor/A 22782-2023 karta.png", "A 22782-2023")</f>
        <v/>
      </c>
      <c r="Y205">
        <f>HYPERLINK("https://klasma.github.io/Logging_0980/kartor_geotiff/A 22782-2023 georefererad karta.tif", "A 22782-2023")</f>
        <v/>
      </c>
      <c r="AA205">
        <f>HYPERLINK("https://klasma.github.io/Logging_0980/klagomål/A 22782-2023 FSC-klagomål.docx", "A 22782-2023")</f>
        <v/>
      </c>
      <c r="AB205">
        <f>HYPERLINK("https://klasma.github.io/Logging_0980/klagomålsmail/A 22782-2023 FSC-klagomål mail.docx", "A 22782-2023")</f>
        <v/>
      </c>
      <c r="AC205">
        <f>HYPERLINK("https://klasma.github.io/Logging_0980/tillsyn/A 22782-2023 tillsynsbegäran.docx", "A 22782-2023")</f>
        <v/>
      </c>
      <c r="AD205">
        <f>HYPERLINK("https://klasma.github.io/Logging_0980/tillsynsmail/A 22782-2023 tillsynsbegäran mail.docx", "A 22782-2023")</f>
        <v/>
      </c>
    </row>
    <row r="206" ht="15" customHeight="1">
      <c r="A206" t="inlineStr">
        <is>
          <t>A 27602-2023</t>
        </is>
      </c>
      <c r="B206" t="inlineStr">
        <is>
          <t>avverkningsanmälan</t>
        </is>
      </c>
      <c r="C206" t="inlineStr">
        <is>
          <t>Avverkning för annat ändamål</t>
        </is>
      </c>
      <c r="D206" s="1" t="n">
        <v>45097</v>
      </c>
      <c r="E206" s="1" t="n">
        <v>46253</v>
      </c>
      <c r="F206" t="inlineStr">
        <is>
          <t>GOTLANDS LÄN</t>
        </is>
      </c>
      <c r="G206" t="inlineStr">
        <is>
          <t>GOTLAND</t>
        </is>
      </c>
      <c r="I206" t="n">
        <v>2.7</v>
      </c>
      <c r="J206" t="n">
        <v>1</v>
      </c>
      <c r="K206" t="n">
        <v>0</v>
      </c>
      <c r="L206" t="n">
        <v>0</v>
      </c>
      <c r="M206" t="n">
        <v>0</v>
      </c>
      <c r="N206" t="n">
        <v>0</v>
      </c>
      <c r="O206" t="n">
        <v>0</v>
      </c>
      <c r="P206" t="n">
        <v>0</v>
      </c>
      <c r="Q206" t="n">
        <v>0</v>
      </c>
      <c r="R206" t="n">
        <v>0</v>
      </c>
      <c r="S206" t="n">
        <v>1</v>
      </c>
      <c r="T206" t="n">
        <v>1</v>
      </c>
      <c r="U206" t="n">
        <v>0</v>
      </c>
      <c r="V206" s="2" t="inlineStr">
        <is>
          <t>Blåsippa</t>
        </is>
      </c>
      <c r="W206">
        <f>HYPERLINK("https://klasma.github.io/Logging_0980/artfynd/A 27602-2023 artfynd.xlsx", "A 27602-2023")</f>
        <v/>
      </c>
      <c r="X206">
        <f>HYPERLINK("https://klasma.github.io/Logging_0980/kartor/A 27602-2023 karta.png", "A 27602-2023")</f>
        <v/>
      </c>
      <c r="Y206">
        <f>HYPERLINK("https://klasma.github.io/Logging_0980/kartor_geotiff/A 27602-2023 georefererad karta.tif", "A 27602-2023")</f>
        <v/>
      </c>
      <c r="AA206">
        <f>HYPERLINK("https://klasma.github.io/Logging_0980/klagomål/A 27602-2023 FSC-klagomål.docx", "A 27602-2023")</f>
        <v/>
      </c>
      <c r="AB206">
        <f>HYPERLINK("https://klasma.github.io/Logging_0980/klagomålsmail/A 27602-2023 FSC-klagomål mail.docx", "A 27602-2023")</f>
        <v/>
      </c>
      <c r="AC206">
        <f>HYPERLINK("https://klasma.github.io/Logging_0980/tillsyn/A 27602-2023 tillsynsbegäran.docx", "A 27602-2023")</f>
        <v/>
      </c>
      <c r="AD206">
        <f>HYPERLINK("https://klasma.github.io/Logging_0980/tillsynsmail/A 27602-2023 tillsynsbegäran mail.docx", "A 27602-2023")</f>
        <v/>
      </c>
    </row>
    <row r="207" ht="15" customHeight="1">
      <c r="A207" t="inlineStr">
        <is>
          <t>A 22883-2024</t>
        </is>
      </c>
      <c r="B207" t="inlineStr">
        <is>
          <t>avverkningsanmälan</t>
        </is>
      </c>
      <c r="C207" t="inlineStr">
        <is>
          <t>Föryngringsavverkning</t>
        </is>
      </c>
      <c r="D207" s="1" t="n">
        <v>45448</v>
      </c>
      <c r="E207" s="1" t="n">
        <v>46253</v>
      </c>
      <c r="F207" t="inlineStr">
        <is>
          <t>GOTLANDS LÄN</t>
        </is>
      </c>
      <c r="G207" t="inlineStr">
        <is>
          <t>GOTLAND</t>
        </is>
      </c>
      <c r="I207" t="n">
        <v>0.5</v>
      </c>
      <c r="J207" t="n">
        <v>0</v>
      </c>
      <c r="K207" t="n">
        <v>0</v>
      </c>
      <c r="L207" t="n">
        <v>0</v>
      </c>
      <c r="M207" t="n">
        <v>1</v>
      </c>
      <c r="N207" t="n">
        <v>0</v>
      </c>
      <c r="O207" t="n">
        <v>0</v>
      </c>
      <c r="P207" t="n">
        <v>0</v>
      </c>
      <c r="Q207" t="n">
        <v>1</v>
      </c>
      <c r="R207" t="n">
        <v>1</v>
      </c>
      <c r="S207" t="n">
        <v>1</v>
      </c>
      <c r="T207" t="n">
        <v>2</v>
      </c>
      <c r="U207" t="n">
        <v>2</v>
      </c>
      <c r="V207" s="2" t="inlineStr">
        <is>
          <t>Gotlandsmåra</t>
        </is>
      </c>
      <c r="W207">
        <f>HYPERLINK("https://klasma.github.io/Logging_0980/artfynd/A 22883-2024 artfynd.xlsx", "A 22883-2024")</f>
        <v/>
      </c>
      <c r="X207">
        <f>HYPERLINK("https://klasma.github.io/Logging_0980/kartor/A 22883-2024 karta.png", "A 22883-2024")</f>
        <v/>
      </c>
      <c r="Y207">
        <f>HYPERLINK("https://klasma.github.io/Logging_0980/kartor_geotiff/A 22883-2024 georefererad karta.tif", "A 22883-2024")</f>
        <v/>
      </c>
      <c r="AA207">
        <f>HYPERLINK("https://klasma.github.io/Logging_0980/klagomål/A 22883-2024 FSC-klagomål.docx", "A 22883-2024")</f>
        <v/>
      </c>
      <c r="AB207">
        <f>HYPERLINK("https://klasma.github.io/Logging_0980/klagomålsmail/A 22883-2024 FSC-klagomål mail.docx", "A 22883-2024")</f>
        <v/>
      </c>
      <c r="AC207">
        <f>HYPERLINK("https://klasma.github.io/Logging_0980/tillsyn/A 22883-2024 tillsynsbegäran.docx", "A 22883-2024")</f>
        <v/>
      </c>
      <c r="AD207">
        <f>HYPERLINK("https://klasma.github.io/Logging_0980/tillsynsmail/A 22883-2024 tillsynsbegäran mail.docx", "A 22883-2024")</f>
        <v/>
      </c>
    </row>
    <row r="208" ht="15" customHeight="1">
      <c r="A208" t="inlineStr">
        <is>
          <t>A 57534-2022</t>
        </is>
      </c>
      <c r="B208" t="inlineStr">
        <is>
          <t>avverkningsanmälan</t>
        </is>
      </c>
      <c r="C208" t="inlineStr">
        <is>
          <t>Föryngringsavverkning</t>
        </is>
      </c>
      <c r="D208" s="1" t="n">
        <v>44896</v>
      </c>
      <c r="E208" s="1" t="n">
        <v>46253</v>
      </c>
      <c r="F208" t="inlineStr">
        <is>
          <t>GOTLANDS LÄN</t>
        </is>
      </c>
      <c r="G208" t="inlineStr">
        <is>
          <t>GOTLAND</t>
        </is>
      </c>
      <c r="I208" t="n">
        <v>0.6</v>
      </c>
      <c r="J208" t="n">
        <v>0</v>
      </c>
      <c r="K208" t="n">
        <v>1</v>
      </c>
      <c r="L208" t="n">
        <v>0</v>
      </c>
      <c r="M208" t="n">
        <v>0</v>
      </c>
      <c r="N208" t="n">
        <v>0</v>
      </c>
      <c r="O208" t="n">
        <v>0</v>
      </c>
      <c r="P208" t="n">
        <v>0</v>
      </c>
      <c r="Q208" t="n">
        <v>0</v>
      </c>
      <c r="R208" t="n">
        <v>0</v>
      </c>
      <c r="S208" t="n">
        <v>1</v>
      </c>
      <c r="T208" t="n">
        <v>1</v>
      </c>
      <c r="U208" t="n">
        <v>1</v>
      </c>
      <c r="V208" s="2" t="inlineStr">
        <is>
          <t>Myskmadra</t>
        </is>
      </c>
      <c r="W208">
        <f>HYPERLINK("https://klasma.github.io/Logging_0980/artfynd/A 57534-2022 artfynd.xlsx", "A 57534-2022")</f>
        <v/>
      </c>
      <c r="X208">
        <f>HYPERLINK("https://klasma.github.io/Logging_0980/kartor/A 57534-2022 karta.png", "A 57534-2022")</f>
        <v/>
      </c>
      <c r="Y208">
        <f>HYPERLINK("https://klasma.github.io/Logging_0980/kartor_geotiff/A 57534-2022 georefererad karta.tif", "A 57534-2022")</f>
        <v/>
      </c>
      <c r="AA208">
        <f>HYPERLINK("https://klasma.github.io/Logging_0980/klagomål/A 57534-2022 FSC-klagomål.docx", "A 57534-2022")</f>
        <v/>
      </c>
      <c r="AB208">
        <f>HYPERLINK("https://klasma.github.io/Logging_0980/klagomålsmail/A 57534-2022 FSC-klagomål mail.docx", "A 57534-2022")</f>
        <v/>
      </c>
      <c r="AC208">
        <f>HYPERLINK("https://klasma.github.io/Logging_0980/tillsyn/A 57534-2022 tillsynsbegäran.docx", "A 57534-2022")</f>
        <v/>
      </c>
      <c r="AD208">
        <f>HYPERLINK("https://klasma.github.io/Logging_0980/tillsynsmail/A 57534-2022 tillsynsbegäran mail.docx", "A 57534-2022")</f>
        <v/>
      </c>
    </row>
    <row r="209" ht="15" customHeight="1">
      <c r="A209" t="inlineStr">
        <is>
          <t>A 24245-2022</t>
        </is>
      </c>
      <c r="B209" t="inlineStr">
        <is>
          <t>avverkningsanmälan</t>
        </is>
      </c>
      <c r="C209" t="inlineStr">
        <is>
          <t>Föryngringsavverkning</t>
        </is>
      </c>
      <c r="D209" s="1" t="n">
        <v>44725</v>
      </c>
      <c r="E209" s="1" t="n">
        <v>46253</v>
      </c>
      <c r="F209" t="inlineStr">
        <is>
          <t>GOTLANDS LÄN</t>
        </is>
      </c>
      <c r="G209" t="inlineStr">
        <is>
          <t>GOTLAND</t>
        </is>
      </c>
      <c r="I209" t="n">
        <v>4.9</v>
      </c>
      <c r="J209" t="n">
        <v>0</v>
      </c>
      <c r="K209" t="n">
        <v>0</v>
      </c>
      <c r="L209" t="n">
        <v>0</v>
      </c>
      <c r="M209" t="n">
        <v>0</v>
      </c>
      <c r="N209" t="n">
        <v>1</v>
      </c>
      <c r="O209" t="n">
        <v>0</v>
      </c>
      <c r="P209" t="n">
        <v>0</v>
      </c>
      <c r="Q209" t="n">
        <v>1</v>
      </c>
      <c r="R209" t="n">
        <v>1</v>
      </c>
      <c r="S209" t="n">
        <v>1</v>
      </c>
      <c r="T209" t="n">
        <v>2</v>
      </c>
      <c r="U209" t="n">
        <v>0</v>
      </c>
      <c r="V209" s="2" t="inlineStr">
        <is>
          <t>Slät taggsvamp</t>
        </is>
      </c>
      <c r="W209">
        <f>HYPERLINK("https://klasma.github.io/Logging_0980/artfynd/A 24245-2022 artfynd.xlsx", "A 24245-2022")</f>
        <v/>
      </c>
      <c r="X209">
        <f>HYPERLINK("https://klasma.github.io/Logging_0980/kartor/A 24245-2022 karta.png", "A 24245-2022")</f>
        <v/>
      </c>
      <c r="Y209">
        <f>HYPERLINK("https://klasma.github.io/Logging_0980/kartor_geotiff/A 24245-2022 georefererad karta.tif", "A 24245-2022")</f>
        <v/>
      </c>
      <c r="AA209">
        <f>HYPERLINK("https://klasma.github.io/Logging_0980/klagomål/A 24245-2022 FSC-klagomål.docx", "A 24245-2022")</f>
        <v/>
      </c>
      <c r="AB209">
        <f>HYPERLINK("https://klasma.github.io/Logging_0980/klagomålsmail/A 24245-2022 FSC-klagomål mail.docx", "A 24245-2022")</f>
        <v/>
      </c>
      <c r="AC209">
        <f>HYPERLINK("https://klasma.github.io/Logging_0980/tillsyn/A 24245-2022 tillsynsbegäran.docx", "A 24245-2022")</f>
        <v/>
      </c>
      <c r="AD209">
        <f>HYPERLINK("https://klasma.github.io/Logging_0980/tillsynsmail/A 24245-2022 tillsynsbegäran mail.docx", "A 24245-2022")</f>
        <v/>
      </c>
    </row>
    <row r="210" ht="15" customHeight="1">
      <c r="A210" t="inlineStr">
        <is>
          <t>A 49847-2023</t>
        </is>
      </c>
      <c r="B210" t="inlineStr">
        <is>
          <t>avverkningsanmälan</t>
        </is>
      </c>
      <c r="C210" t="inlineStr">
        <is>
          <t>Föryngringsavverkning</t>
        </is>
      </c>
      <c r="D210" s="1" t="n">
        <v>45212</v>
      </c>
      <c r="E210" s="1" t="n">
        <v>46253</v>
      </c>
      <c r="F210" t="inlineStr">
        <is>
          <t>GOTLANDS LÄN</t>
        </is>
      </c>
      <c r="G210" t="inlineStr">
        <is>
          <t>GOTLAND</t>
        </is>
      </c>
      <c r="I210" t="n">
        <v>35.2</v>
      </c>
      <c r="J210" t="n">
        <v>0</v>
      </c>
      <c r="K210" t="n">
        <v>0</v>
      </c>
      <c r="L210" t="n">
        <v>0</v>
      </c>
      <c r="M210" t="n">
        <v>1</v>
      </c>
      <c r="N210" t="n">
        <v>0</v>
      </c>
      <c r="O210" t="n">
        <v>0</v>
      </c>
      <c r="P210" t="n">
        <v>0</v>
      </c>
      <c r="Q210" t="n">
        <v>1</v>
      </c>
      <c r="R210" t="n">
        <v>1</v>
      </c>
      <c r="S210" t="n">
        <v>1</v>
      </c>
      <c r="T210" t="n">
        <v>1</v>
      </c>
      <c r="U210" t="n">
        <v>1</v>
      </c>
      <c r="V210" s="2" t="inlineStr">
        <is>
          <t>Strandviol</t>
        </is>
      </c>
      <c r="W210">
        <f>HYPERLINK("https://klasma.github.io/Logging_0980/artfynd/A 49847-2023 artfynd.xlsx", "A 49847-2023")</f>
        <v/>
      </c>
      <c r="X210">
        <f>HYPERLINK("https://klasma.github.io/Logging_0980/kartor/A 49847-2023 karta.png", "A 49847-2023")</f>
        <v/>
      </c>
      <c r="Y210">
        <f>HYPERLINK("https://klasma.github.io/Logging_0980/kartor_geotiff/A 49847-2023 georefererad karta.tif", "A 49847-2023")</f>
        <v/>
      </c>
      <c r="AA210">
        <f>HYPERLINK("https://klasma.github.io/Logging_0980/klagomål/A 49847-2023 FSC-klagomål.docx", "A 49847-2023")</f>
        <v/>
      </c>
      <c r="AB210">
        <f>HYPERLINK("https://klasma.github.io/Logging_0980/klagomålsmail/A 49847-2023 FSC-klagomål mail.docx", "A 49847-2023")</f>
        <v/>
      </c>
      <c r="AC210">
        <f>HYPERLINK("https://klasma.github.io/Logging_0980/tillsyn/A 49847-2023 tillsynsbegäran.docx", "A 49847-2023")</f>
        <v/>
      </c>
      <c r="AD210">
        <f>HYPERLINK("https://klasma.github.io/Logging_0980/tillsynsmail/A 49847-2023 tillsynsbegäran mail.docx", "A 49847-2023")</f>
        <v/>
      </c>
    </row>
    <row r="211" ht="15" customHeight="1">
      <c r="A211" t="inlineStr">
        <is>
          <t>A 56115-2023</t>
        </is>
      </c>
      <c r="B211" t="inlineStr">
        <is>
          <t>avverkningsanmälan</t>
        </is>
      </c>
      <c r="C211" t="inlineStr">
        <is>
          <t>Avverkning för annat ändamål</t>
        </is>
      </c>
      <c r="D211" s="1" t="n">
        <v>45236</v>
      </c>
      <c r="E211" s="1" t="n">
        <v>46253</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t="n">
        <v>1</v>
      </c>
      <c r="V211" s="2" t="inlineStr">
        <is>
          <t>Skogsknipprot</t>
        </is>
      </c>
      <c r="W211">
        <f>HYPERLINK("https://klasma.github.io/Logging_0980/artfynd/A 56115-2023 artfynd.xlsx", "A 56115-2023")</f>
        <v/>
      </c>
      <c r="X211">
        <f>HYPERLINK("https://klasma.github.io/Logging_0980/kartor/A 56115-2023 karta.png", "A 56115-2023")</f>
        <v/>
      </c>
      <c r="Y211">
        <f>HYPERLINK("https://klasma.github.io/Logging_0980/kartor_geotiff/A 56115-2023 georefererad karta.tif", "A 56115-2023")</f>
        <v/>
      </c>
      <c r="AA211">
        <f>HYPERLINK("https://klasma.github.io/Logging_0980/klagomål/A 56115-2023 FSC-klagomål.docx", "A 56115-2023")</f>
        <v/>
      </c>
      <c r="AB211">
        <f>HYPERLINK("https://klasma.github.io/Logging_0980/klagomålsmail/A 56115-2023 FSC-klagomål mail.docx", "A 56115-2023")</f>
        <v/>
      </c>
      <c r="AC211">
        <f>HYPERLINK("https://klasma.github.io/Logging_0980/tillsyn/A 56115-2023 tillsynsbegäran.docx", "A 56115-2023")</f>
        <v/>
      </c>
      <c r="AD211">
        <f>HYPERLINK("https://klasma.github.io/Logging_0980/tillsynsmail/A 56115-2023 tillsynsbegäran mail.docx", "A 56115-2023")</f>
        <v/>
      </c>
    </row>
    <row r="212" ht="15" customHeight="1">
      <c r="A212" t="inlineStr">
        <is>
          <t>S 2744-2023</t>
        </is>
      </c>
      <c r="B212" t="inlineStr">
        <is>
          <t>samrådsanmälan</t>
        </is>
      </c>
      <c r="C212" t="inlineStr">
        <is>
          <t>Annan skogsbruksåtgärd</t>
        </is>
      </c>
      <c r="D212" s="1" t="n">
        <v>45159</v>
      </c>
      <c r="E212" s="1" t="n">
        <v>46253</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46253</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46253</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46253</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46253</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46253</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46253</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46253</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46253</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46253</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46253</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46253</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46253</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46253</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46253</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46253</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46253</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46253</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46253</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46253</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46253</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46253</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13498-2022</t>
        </is>
      </c>
      <c r="B234" t="inlineStr">
        <is>
          <t>avverkningsanmälan</t>
        </is>
      </c>
      <c r="C234" t="inlineStr">
        <is>
          <t>Föryngringsavverkning</t>
        </is>
      </c>
      <c r="D234" s="1" t="n">
        <v>44647</v>
      </c>
      <c r="E234" s="1" t="n">
        <v>46253</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13500-2022</t>
        </is>
      </c>
      <c r="B235" t="inlineStr">
        <is>
          <t>avverkningsanmälan</t>
        </is>
      </c>
      <c r="C235" t="inlineStr">
        <is>
          <t>Föryngringsavverkning</t>
        </is>
      </c>
      <c r="D235" s="1" t="n">
        <v>44647</v>
      </c>
      <c r="E235" s="1" t="n">
        <v>46253</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57219-2021</t>
        </is>
      </c>
      <c r="B236" t="inlineStr">
        <is>
          <t>avverkningsanmälan</t>
        </is>
      </c>
      <c r="C236" t="inlineStr">
        <is>
          <t>Föryngringsavverkning</t>
        </is>
      </c>
      <c r="D236" s="1" t="n">
        <v>44483</v>
      </c>
      <c r="E236" s="1" t="n">
        <v>46253</v>
      </c>
      <c r="F236" t="inlineStr">
        <is>
          <t>GOTLANDS LÄN</t>
        </is>
      </c>
      <c r="G236" t="inlineStr">
        <is>
          <t>GOTLAND</t>
        </is>
      </c>
      <c r="H236" t="inlineStr">
        <is>
          <t>Kyrkan</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30282-2022</t>
        </is>
      </c>
      <c r="B237" t="inlineStr">
        <is>
          <t>avverkningsanmälan</t>
        </is>
      </c>
      <c r="C237" t="inlineStr">
        <is>
          <t>Föryngringsavverkning</t>
        </is>
      </c>
      <c r="D237" s="1" t="n">
        <v>44760</v>
      </c>
      <c r="E237" s="1" t="n">
        <v>46253</v>
      </c>
      <c r="F237" t="inlineStr">
        <is>
          <t>GOTLANDS LÄN</t>
        </is>
      </c>
      <c r="G237" t="inlineStr">
        <is>
          <t>GOTLAND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22031-2024</t>
        </is>
      </c>
      <c r="B238" t="inlineStr">
        <is>
          <t>avverkningsanmälan</t>
        </is>
      </c>
      <c r="C238" t="inlineStr">
        <is>
          <t>Föryngringsavverkning</t>
        </is>
      </c>
      <c r="D238" s="1" t="n">
        <v>45443</v>
      </c>
      <c r="E238" s="1" t="n">
        <v>46253</v>
      </c>
      <c r="F238" t="inlineStr">
        <is>
          <t>GOTLANDS LÄN</t>
        </is>
      </c>
      <c r="G238" t="inlineStr">
        <is>
          <t>GOTLAND</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44919-2022</t>
        </is>
      </c>
      <c r="B239" t="inlineStr">
        <is>
          <t>avverkningsanmälan</t>
        </is>
      </c>
      <c r="C239" t="inlineStr">
        <is>
          <t>Föryngringsavverkning</t>
        </is>
      </c>
      <c r="D239" s="1" t="n">
        <v>44841</v>
      </c>
      <c r="E239" s="1" t="n">
        <v>46253</v>
      </c>
      <c r="F239" t="inlineStr">
        <is>
          <t>GOTLANDS LÄN</t>
        </is>
      </c>
      <c r="G239" t="inlineStr">
        <is>
          <t>GOTLAND</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46253</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44649-2021</t>
        </is>
      </c>
      <c r="B241" t="inlineStr">
        <is>
          <t>avverkningsanmälan</t>
        </is>
      </c>
      <c r="C241" t="inlineStr">
        <is>
          <t>Föryngringsavverkning</t>
        </is>
      </c>
      <c r="D241" s="1" t="n">
        <v>44437</v>
      </c>
      <c r="E241" s="1" t="n">
        <v>46253</v>
      </c>
      <c r="F241" t="inlineStr">
        <is>
          <t>GOTLANDS LÄN</t>
        </is>
      </c>
      <c r="G241" t="inlineStr">
        <is>
          <t>GOTLAND</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9947-2024</t>
        </is>
      </c>
      <c r="B242" t="inlineStr">
        <is>
          <t>avverkningsanmälan</t>
        </is>
      </c>
      <c r="C242" t="inlineStr">
        <is>
          <t>Föryngringsavverkning</t>
        </is>
      </c>
      <c r="D242" s="1" t="n">
        <v>45363</v>
      </c>
      <c r="E242" s="1" t="n">
        <v>46253</v>
      </c>
      <c r="F242" t="inlineStr">
        <is>
          <t>GOTLANDS LÄN</t>
        </is>
      </c>
      <c r="G242" t="inlineStr">
        <is>
          <t>GOTLAND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17682-2024</t>
        </is>
      </c>
      <c r="B243" t="inlineStr">
        <is>
          <t>avverkningsanmälan</t>
        </is>
      </c>
      <c r="C243" t="inlineStr">
        <is>
          <t>Föryngringsavverkning</t>
        </is>
      </c>
      <c r="D243" s="1" t="n">
        <v>45418</v>
      </c>
      <c r="E243" s="1" t="n">
        <v>46253</v>
      </c>
      <c r="F243" t="inlineStr">
        <is>
          <t>GOTLANDS LÄN</t>
        </is>
      </c>
      <c r="G243" t="inlineStr">
        <is>
          <t>GOTLAND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57522-2022</t>
        </is>
      </c>
      <c r="B244" t="inlineStr">
        <is>
          <t>avverkningsanmälan</t>
        </is>
      </c>
      <c r="C244" t="inlineStr">
        <is>
          <t>Föryngringsavverkning</t>
        </is>
      </c>
      <c r="D244" s="1" t="n">
        <v>44896</v>
      </c>
      <c r="E244" s="1" t="n">
        <v>46253</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48503-2023</t>
        </is>
      </c>
      <c r="B245" t="inlineStr">
        <is>
          <t>avverkningsanmälan</t>
        </is>
      </c>
      <c r="C245" t="inlineStr">
        <is>
          <t>Föryngringsavverkning</t>
        </is>
      </c>
      <c r="D245" s="1" t="n">
        <v>45207</v>
      </c>
      <c r="E245" s="1" t="n">
        <v>46253</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63516-2023</t>
        </is>
      </c>
      <c r="B246" t="inlineStr">
        <is>
          <t>avverkningsanmälan</t>
        </is>
      </c>
      <c r="C246" t="inlineStr">
        <is>
          <t>Föryngringsavverkning</t>
        </is>
      </c>
      <c r="D246" s="1" t="n">
        <v>45274</v>
      </c>
      <c r="E246" s="1" t="n">
        <v>46253</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1681-2023</t>
        </is>
      </c>
      <c r="B247" t="inlineStr">
        <is>
          <t>avverkningsanmälan</t>
        </is>
      </c>
      <c r="C247" t="inlineStr">
        <is>
          <t>Föryngringsavverkning</t>
        </is>
      </c>
      <c r="D247" s="1" t="n">
        <v>44938</v>
      </c>
      <c r="E247" s="1" t="n">
        <v>46253</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30365-2024</t>
        </is>
      </c>
      <c r="B248" t="inlineStr">
        <is>
          <t>avverkningsanmälan</t>
        </is>
      </c>
      <c r="C248" t="inlineStr">
        <is>
          <t>Föryngringsavverkning</t>
        </is>
      </c>
      <c r="D248" s="1" t="n">
        <v>45491</v>
      </c>
      <c r="E248" s="1" t="n">
        <v>46253</v>
      </c>
      <c r="F248" t="inlineStr">
        <is>
          <t>GOTLANDS LÄN</t>
        </is>
      </c>
      <c r="G248" t="inlineStr">
        <is>
          <t>GOTLAND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58780-2024</t>
        </is>
      </c>
      <c r="B249" t="inlineStr">
        <is>
          <t>avverkningsanmälan</t>
        </is>
      </c>
      <c r="C249" t="inlineStr">
        <is>
          <t>Föryngringsavverkning</t>
        </is>
      </c>
      <c r="D249" s="1" t="n">
        <v>45635</v>
      </c>
      <c r="E249" s="1" t="n">
        <v>46253</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6099-2024</t>
        </is>
      </c>
      <c r="B250" t="inlineStr">
        <is>
          <t>avverkningsanmälan</t>
        </is>
      </c>
      <c r="C250" t="inlineStr">
        <is>
          <t>Föryngringsavverkning</t>
        </is>
      </c>
      <c r="D250" s="1" t="n">
        <v>45337</v>
      </c>
      <c r="E250" s="1" t="n">
        <v>46253</v>
      </c>
      <c r="F250" t="inlineStr">
        <is>
          <t>GOTLANDS LÄN</t>
        </is>
      </c>
      <c r="G250" t="inlineStr">
        <is>
          <t>GOTLAND</t>
        </is>
      </c>
      <c r="I250" t="n">
        <v>12.6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28285-2024</t>
        </is>
      </c>
      <c r="B251" t="inlineStr">
        <is>
          <t>avverkningsanmälan</t>
        </is>
      </c>
      <c r="C251" t="inlineStr">
        <is>
          <t>Avverkning för annat ändamål</t>
        </is>
      </c>
      <c r="D251" s="1" t="n">
        <v>45477</v>
      </c>
      <c r="E251" s="1" t="n">
        <v>46253</v>
      </c>
      <c r="F251" t="inlineStr">
        <is>
          <t>GOTLANDS LÄN</t>
        </is>
      </c>
      <c r="G251" t="inlineStr">
        <is>
          <t>GOTLAND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61682-2024</t>
        </is>
      </c>
      <c r="B252" t="inlineStr">
        <is>
          <t>avverkningsanmälan</t>
        </is>
      </c>
      <c r="C252" t="inlineStr">
        <is>
          <t>Föryngringsavverkning</t>
        </is>
      </c>
      <c r="D252" s="1" t="n">
        <v>45647</v>
      </c>
      <c r="E252" s="1" t="n">
        <v>46253</v>
      </c>
      <c r="F252" t="inlineStr">
        <is>
          <t>GOTLANDS LÄN</t>
        </is>
      </c>
      <c r="G252" t="inlineStr">
        <is>
          <t>GOTLAND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33876-2024</t>
        </is>
      </c>
      <c r="B253" t="inlineStr">
        <is>
          <t>avverkningsanmälan</t>
        </is>
      </c>
      <c r="C253" t="inlineStr">
        <is>
          <t>Föryngringsavverkning</t>
        </is>
      </c>
      <c r="D253" s="1" t="n">
        <v>45521</v>
      </c>
      <c r="E253" s="1" t="n">
        <v>46253</v>
      </c>
      <c r="F253" t="inlineStr">
        <is>
          <t>GOTLANDS LÄN</t>
        </is>
      </c>
      <c r="G253" t="inlineStr">
        <is>
          <t>GOTLAND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17688-2024</t>
        </is>
      </c>
      <c r="B254" t="inlineStr">
        <is>
          <t>avverkningsanmälan</t>
        </is>
      </c>
      <c r="C254" t="inlineStr">
        <is>
          <t>Föryngringsavverkning</t>
        </is>
      </c>
      <c r="D254" s="1" t="n">
        <v>45418</v>
      </c>
      <c r="E254" s="1" t="n">
        <v>46253</v>
      </c>
      <c r="F254" t="inlineStr">
        <is>
          <t>GOTLANDS LÄN</t>
        </is>
      </c>
      <c r="G254" t="inlineStr">
        <is>
          <t>GOTLAND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7837-2024</t>
        </is>
      </c>
      <c r="B255" t="inlineStr">
        <is>
          <t>avverkningsanmälan</t>
        </is>
      </c>
      <c r="C255" t="inlineStr">
        <is>
          <t>Föryngringsavverkning</t>
        </is>
      </c>
      <c r="D255" s="1" t="n">
        <v>45349</v>
      </c>
      <c r="E255" s="1" t="n">
        <v>46253</v>
      </c>
      <c r="F255" t="inlineStr">
        <is>
          <t>GOTLANDS LÄN</t>
        </is>
      </c>
      <c r="G255" t="inlineStr">
        <is>
          <t>GOTLAND</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7850-2025</t>
        </is>
      </c>
      <c r="B256" t="inlineStr">
        <is>
          <t>avverkningsanmälan</t>
        </is>
      </c>
      <c r="C256" t="inlineStr">
        <is>
          <t>Föryngringsavverkning</t>
        </is>
      </c>
      <c r="D256" s="1" t="n">
        <v>45706</v>
      </c>
      <c r="E256" s="1" t="n">
        <v>46253</v>
      </c>
      <c r="F256" t="inlineStr">
        <is>
          <t>GOTLANDS LÄN</t>
        </is>
      </c>
      <c r="G256" t="inlineStr">
        <is>
          <t>GOTLAND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8444-2025</t>
        </is>
      </c>
      <c r="B257" t="inlineStr">
        <is>
          <t>avverkningsanmälan</t>
        </is>
      </c>
      <c r="C257" t="inlineStr">
        <is>
          <t>Föryngringsavverkning</t>
        </is>
      </c>
      <c r="D257" s="1" t="n">
        <v>45709</v>
      </c>
      <c r="E257" s="1" t="n">
        <v>46253</v>
      </c>
      <c r="F257" t="inlineStr">
        <is>
          <t>GOTLANDS LÄN</t>
        </is>
      </c>
      <c r="G257" t="inlineStr">
        <is>
          <t>GOTLAND</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29196-2025</t>
        </is>
      </c>
      <c r="B258" t="inlineStr">
        <is>
          <t>avverkningsanmälan</t>
        </is>
      </c>
      <c r="C258" t="inlineStr">
        <is>
          <t>Föryngringsavverkning</t>
        </is>
      </c>
      <c r="D258" s="1" t="n">
        <v>45822</v>
      </c>
      <c r="E258" s="1" t="n">
        <v>46253</v>
      </c>
      <c r="F258" t="inlineStr">
        <is>
          <t>GOTLANDS LÄN</t>
        </is>
      </c>
      <c r="G258" t="inlineStr">
        <is>
          <t>GOTLAND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35512-2023</t>
        </is>
      </c>
      <c r="B259" t="inlineStr">
        <is>
          <t>avverkningsanmälan</t>
        </is>
      </c>
      <c r="C259" t="inlineStr">
        <is>
          <t>Föryngringsavverkning</t>
        </is>
      </c>
      <c r="D259" s="1" t="n">
        <v>45147</v>
      </c>
      <c r="E259" s="1" t="n">
        <v>46253</v>
      </c>
      <c r="F259" t="inlineStr">
        <is>
          <t>GOTLANDS LÄN</t>
        </is>
      </c>
      <c r="G259" t="inlineStr">
        <is>
          <t>GOTLAND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5905-2024</t>
        </is>
      </c>
      <c r="B260" t="inlineStr">
        <is>
          <t>avverkningsanmälan</t>
        </is>
      </c>
      <c r="C260" t="inlineStr">
        <is>
          <t>Föryngringsavverkning</t>
        </is>
      </c>
      <c r="D260" s="1" t="n">
        <v>45335</v>
      </c>
      <c r="E260" s="1" t="n">
        <v>46253</v>
      </c>
      <c r="F260" t="inlineStr">
        <is>
          <t>GOTLANDS LÄN</t>
        </is>
      </c>
      <c r="G260" t="inlineStr">
        <is>
          <t>GOTLAND</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4646-2026</t>
        </is>
      </c>
      <c r="B261" t="inlineStr">
        <is>
          <t>avverkningsanmälan</t>
        </is>
      </c>
      <c r="C261" t="inlineStr">
        <is>
          <t>Föryngringsavverkning</t>
        </is>
      </c>
      <c r="D261" s="1" t="n">
        <v>46048</v>
      </c>
      <c r="E261" s="1" t="n">
        <v>46253</v>
      </c>
      <c r="F261" t="inlineStr">
        <is>
          <t>GOTLANDS LÄN</t>
        </is>
      </c>
      <c r="G261" t="inlineStr">
        <is>
          <t>GOTLAND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4634-2026</t>
        </is>
      </c>
      <c r="B262" t="inlineStr">
        <is>
          <t>avverkningsanmälan</t>
        </is>
      </c>
      <c r="C262" t="inlineStr">
        <is>
          <t>Föryngringsavverkning</t>
        </is>
      </c>
      <c r="D262" s="1" t="n">
        <v>46048</v>
      </c>
      <c r="E262" s="1" t="n">
        <v>46253</v>
      </c>
      <c r="F262" t="inlineStr">
        <is>
          <t>GOTLANDS LÄN</t>
        </is>
      </c>
      <c r="G262" t="inlineStr">
        <is>
          <t>GOTLAND</t>
        </is>
      </c>
      <c r="I262" t="n">
        <v>7.8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4670-2026</t>
        </is>
      </c>
      <c r="B263" t="inlineStr">
        <is>
          <t>avverkningsanmälan</t>
        </is>
      </c>
      <c r="C263" t="inlineStr">
        <is>
          <t>Föryngringsavverkning</t>
        </is>
      </c>
      <c r="D263" s="1" t="n">
        <v>46048</v>
      </c>
      <c r="E263" s="1" t="n">
        <v>46253</v>
      </c>
      <c r="F263" t="inlineStr">
        <is>
          <t>GOTLANDS LÄN</t>
        </is>
      </c>
      <c r="G263" t="inlineStr">
        <is>
          <t>GOTLAND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1291-2023</t>
        </is>
      </c>
      <c r="B264" t="inlineStr">
        <is>
          <t>avverkningsanmälan</t>
        </is>
      </c>
      <c r="C264" t="inlineStr">
        <is>
          <t>Föryngringsavverkning</t>
        </is>
      </c>
      <c r="D264" s="1" t="n">
        <v>44936</v>
      </c>
      <c r="E264" s="1" t="n">
        <v>46253</v>
      </c>
      <c r="F264" t="inlineStr">
        <is>
          <t>GOTLANDS LÄN</t>
        </is>
      </c>
      <c r="G264" t="inlineStr">
        <is>
          <t>GOTLAND</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57652-2023</t>
        </is>
      </c>
      <c r="B265" t="inlineStr">
        <is>
          <t>avverkningsanmälan</t>
        </is>
      </c>
      <c r="C265" t="inlineStr">
        <is>
          <t>Avverkning för annat ändamål</t>
        </is>
      </c>
      <c r="D265" s="1" t="n">
        <v>45246</v>
      </c>
      <c r="E265" s="1" t="n">
        <v>46253</v>
      </c>
      <c r="F265" t="inlineStr">
        <is>
          <t>GOTLANDS LÄN</t>
        </is>
      </c>
      <c r="G265" t="inlineStr">
        <is>
          <t>GOTLAND</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30061-2025</t>
        </is>
      </c>
      <c r="B266" t="inlineStr">
        <is>
          <t>avverkningsanmälan</t>
        </is>
      </c>
      <c r="C266" t="inlineStr">
        <is>
          <t>Föryngringsavverkning</t>
        </is>
      </c>
      <c r="D266" s="1" t="n">
        <v>45826</v>
      </c>
      <c r="E266" s="1" t="n">
        <v>46253</v>
      </c>
      <c r="F266" t="inlineStr">
        <is>
          <t>GOTLANDS LÄN</t>
        </is>
      </c>
      <c r="G266" t="inlineStr">
        <is>
          <t>GOTLAND</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49315-2024</t>
        </is>
      </c>
      <c r="B267" t="inlineStr">
        <is>
          <t>avverkningsanmälan</t>
        </is>
      </c>
      <c r="C267" t="inlineStr">
        <is>
          <t>Avverkning för annat ändamål</t>
        </is>
      </c>
      <c r="D267" s="1" t="n">
        <v>45595</v>
      </c>
      <c r="E267" s="1" t="n">
        <v>46253</v>
      </c>
      <c r="F267" t="inlineStr">
        <is>
          <t>GOTLANDS LÄN</t>
        </is>
      </c>
      <c r="G267" t="inlineStr">
        <is>
          <t>GOTLAND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12599-2025</t>
        </is>
      </c>
      <c r="B268" t="inlineStr">
        <is>
          <t>avverkningsanmälan</t>
        </is>
      </c>
      <c r="C268" t="inlineStr">
        <is>
          <t>Föryngringsavverkning</t>
        </is>
      </c>
      <c r="D268" s="1" t="n">
        <v>45733</v>
      </c>
      <c r="E268" s="1" t="n">
        <v>46253</v>
      </c>
      <c r="F268" t="inlineStr">
        <is>
          <t>GOTLANDS LÄN</t>
        </is>
      </c>
      <c r="G268" t="inlineStr">
        <is>
          <t>GOTLAND</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58160-2024</t>
        </is>
      </c>
      <c r="B269" t="inlineStr">
        <is>
          <t>avverkningsanmälan</t>
        </is>
      </c>
      <c r="C269" t="inlineStr">
        <is>
          <t>Föryngringsavverkning</t>
        </is>
      </c>
      <c r="D269" s="1" t="n">
        <v>45632</v>
      </c>
      <c r="E269" s="1" t="n">
        <v>46253</v>
      </c>
      <c r="F269" t="inlineStr">
        <is>
          <t>GOTLANDS LÄN</t>
        </is>
      </c>
      <c r="G269" t="inlineStr">
        <is>
          <t>GOTLAND</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35141-2025</t>
        </is>
      </c>
      <c r="B270" t="inlineStr">
        <is>
          <t>avverkningsanmälan</t>
        </is>
      </c>
      <c r="C270" t="inlineStr">
        <is>
          <t>Föryngringsavverkning</t>
        </is>
      </c>
      <c r="D270" s="1" t="n">
        <v>45852</v>
      </c>
      <c r="E270" s="1" t="n">
        <v>46253</v>
      </c>
      <c r="F270" t="inlineStr">
        <is>
          <t>GOTLANDS LÄN</t>
        </is>
      </c>
      <c r="G270" t="inlineStr">
        <is>
          <t>GOTLAND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35142-2025</t>
        </is>
      </c>
      <c r="B271" t="inlineStr">
        <is>
          <t>avverkningsanmälan</t>
        </is>
      </c>
      <c r="C271" t="inlineStr">
        <is>
          <t>Föryngringsavverkning</t>
        </is>
      </c>
      <c r="D271" s="1" t="n">
        <v>45852</v>
      </c>
      <c r="E271" s="1" t="n">
        <v>46253</v>
      </c>
      <c r="F271" t="inlineStr">
        <is>
          <t>GOTLANDS LÄN</t>
        </is>
      </c>
      <c r="G271" t="inlineStr">
        <is>
          <t>GOTLAND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2676-2023</t>
        </is>
      </c>
      <c r="B272" t="inlineStr">
        <is>
          <t>avverkningsanmälan</t>
        </is>
      </c>
      <c r="C272" t="inlineStr">
        <is>
          <t>Avverkning för annat ändamål</t>
        </is>
      </c>
      <c r="D272" s="1" t="n">
        <v>44944</v>
      </c>
      <c r="E272" s="1" t="n">
        <v>46253</v>
      </c>
      <c r="F272" t="inlineStr">
        <is>
          <t>GOTLANDS LÄN</t>
        </is>
      </c>
      <c r="G272" t="inlineStr">
        <is>
          <t>GOTLAND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8484-2025</t>
        </is>
      </c>
      <c r="B273" t="inlineStr">
        <is>
          <t>avverkningsanmälan</t>
        </is>
      </c>
      <c r="C273" t="inlineStr">
        <is>
          <t>Avverkning för annat ändamål</t>
        </is>
      </c>
      <c r="D273" s="1" t="n">
        <v>45709</v>
      </c>
      <c r="E273" s="1" t="n">
        <v>46253</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7636-2025</t>
        </is>
      </c>
      <c r="B274" t="inlineStr">
        <is>
          <t>avverkningsanmälan</t>
        </is>
      </c>
      <c r="C274" t="inlineStr">
        <is>
          <t>Föryngringsavverkning</t>
        </is>
      </c>
      <c r="D274" s="1" t="n">
        <v>45705</v>
      </c>
      <c r="E274" s="1" t="n">
        <v>46253</v>
      </c>
      <c r="F274" t="inlineStr">
        <is>
          <t>GOTLANDS LÄN</t>
        </is>
      </c>
      <c r="G274" t="inlineStr">
        <is>
          <t>GOTLAND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7639-2025</t>
        </is>
      </c>
      <c r="B275" t="inlineStr">
        <is>
          <t>avverkningsanmälan</t>
        </is>
      </c>
      <c r="C275" t="inlineStr">
        <is>
          <t>Föryngringsavverkning</t>
        </is>
      </c>
      <c r="D275" s="1" t="n">
        <v>45705</v>
      </c>
      <c r="E275" s="1" t="n">
        <v>46253</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20356-2022</t>
        </is>
      </c>
      <c r="B276" t="inlineStr">
        <is>
          <t>avverkningsanmälan</t>
        </is>
      </c>
      <c r="C276" t="inlineStr">
        <is>
          <t>Avverkning för annat ändamål</t>
        </is>
      </c>
      <c r="D276" s="1" t="n">
        <v>44699</v>
      </c>
      <c r="E276" s="1" t="n">
        <v>46253</v>
      </c>
      <c r="F276" t="inlineStr">
        <is>
          <t>GOTLANDS LÄN</t>
        </is>
      </c>
      <c r="G276" t="inlineStr">
        <is>
          <t>GOTLAND</t>
        </is>
      </c>
      <c r="H276" t="inlineStr">
        <is>
          <t>Övriga Aktiebolag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48734-2022</t>
        </is>
      </c>
      <c r="B277" t="inlineStr">
        <is>
          <t>avverkningsanmälan</t>
        </is>
      </c>
      <c r="C277" t="inlineStr">
        <is>
          <t>Föryngringsavverkning</t>
        </is>
      </c>
      <c r="D277" s="1" t="n">
        <v>44855</v>
      </c>
      <c r="E277" s="1" t="n">
        <v>46253</v>
      </c>
      <c r="F277" t="inlineStr">
        <is>
          <t>GOTLANDS LÄN</t>
        </is>
      </c>
      <c r="G277" t="inlineStr">
        <is>
          <t>GOTLAND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39816-2025</t>
        </is>
      </c>
      <c r="B278" t="inlineStr">
        <is>
          <t>avverkningsanmälan</t>
        </is>
      </c>
      <c r="C278" t="inlineStr">
        <is>
          <t>Föryngringsavverkning</t>
        </is>
      </c>
      <c r="D278" s="1" t="n">
        <v>45891</v>
      </c>
      <c r="E278" s="1" t="n">
        <v>46253</v>
      </c>
      <c r="F278" t="inlineStr">
        <is>
          <t>GOTLANDS LÄN</t>
        </is>
      </c>
      <c r="G278" t="inlineStr">
        <is>
          <t>GOTLAND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40373-2025</t>
        </is>
      </c>
      <c r="B279" t="inlineStr">
        <is>
          <t>avverkningsanmälan</t>
        </is>
      </c>
      <c r="C279" t="inlineStr">
        <is>
          <t>Föryngringsavverkning</t>
        </is>
      </c>
      <c r="D279" s="1" t="n">
        <v>45895</v>
      </c>
      <c r="E279" s="1" t="n">
        <v>46253</v>
      </c>
      <c r="F279" t="inlineStr">
        <is>
          <t>GOTLANDS LÄN</t>
        </is>
      </c>
      <c r="G279" t="inlineStr">
        <is>
          <t>GOTLAND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40372-2025</t>
        </is>
      </c>
      <c r="B280" t="inlineStr">
        <is>
          <t>avverkningsanmälan</t>
        </is>
      </c>
      <c r="C280" t="inlineStr">
        <is>
          <t>Föryngringsavverkning</t>
        </is>
      </c>
      <c r="D280" s="1" t="n">
        <v>45895</v>
      </c>
      <c r="E280" s="1" t="n">
        <v>46253</v>
      </c>
      <c r="F280" t="inlineStr">
        <is>
          <t>GOTLANDS LÄN</t>
        </is>
      </c>
      <c r="G280" t="inlineStr">
        <is>
          <t>GOTLAND</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7627-2026</t>
        </is>
      </c>
      <c r="B281" t="inlineStr">
        <is>
          <t>avverkningsanmälan</t>
        </is>
      </c>
      <c r="C281" t="inlineStr">
        <is>
          <t>Föryngringsavverkning</t>
        </is>
      </c>
      <c r="D281" s="1" t="n">
        <v>46062</v>
      </c>
      <c r="E281" s="1" t="n">
        <v>46253</v>
      </c>
      <c r="F281" t="inlineStr">
        <is>
          <t>GOTLANDS LÄN</t>
        </is>
      </c>
      <c r="G281" t="inlineStr">
        <is>
          <t>GOTLAND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2135-2026</t>
        </is>
      </c>
      <c r="B282" t="inlineStr">
        <is>
          <t>avverkningsanmälan</t>
        </is>
      </c>
      <c r="C282" t="inlineStr">
        <is>
          <t>Avverkning för annat ändamål</t>
        </is>
      </c>
      <c r="D282" s="1" t="n">
        <v>46036</v>
      </c>
      <c r="E282" s="1" t="n">
        <v>46253</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57685-2022</t>
        </is>
      </c>
      <c r="B283" t="inlineStr">
        <is>
          <t>avverkningsanmälan</t>
        </is>
      </c>
      <c r="C283" t="inlineStr">
        <is>
          <t>Föryngringsavverkning</t>
        </is>
      </c>
      <c r="D283" s="1" t="n">
        <v>44897</v>
      </c>
      <c r="E283" s="1" t="n">
        <v>46253</v>
      </c>
      <c r="F283" t="inlineStr">
        <is>
          <t>GOTLANDS LÄN</t>
        </is>
      </c>
      <c r="G283" t="inlineStr">
        <is>
          <t>GOTLAND</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30815-2023</t>
        </is>
      </c>
      <c r="B284" t="inlineStr">
        <is>
          <t>avverkningsanmälan</t>
        </is>
      </c>
      <c r="C284" t="inlineStr">
        <is>
          <t>Avverkning för annat ändamål</t>
        </is>
      </c>
      <c r="D284" s="1" t="n">
        <v>45112</v>
      </c>
      <c r="E284" s="1" t="n">
        <v>46253</v>
      </c>
      <c r="F284" t="inlineStr">
        <is>
          <t>GOTLANDS LÄN</t>
        </is>
      </c>
      <c r="G284" t="inlineStr">
        <is>
          <t>GOTLAND</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9518-2026</t>
        </is>
      </c>
      <c r="B285" t="inlineStr">
        <is>
          <t>avverkningsanmälan</t>
        </is>
      </c>
      <c r="C285" t="inlineStr">
        <is>
          <t>Föryngringsavverkning</t>
        </is>
      </c>
      <c r="D285" s="1" t="n">
        <v>46071</v>
      </c>
      <c r="E285" s="1" t="n">
        <v>46253</v>
      </c>
      <c r="F285" t="inlineStr">
        <is>
          <t>GOTLANDS LÄN</t>
        </is>
      </c>
      <c r="G285" t="inlineStr">
        <is>
          <t>GOTLAND</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9519-2026</t>
        </is>
      </c>
      <c r="B286" t="inlineStr">
        <is>
          <t>avverkningsanmälan</t>
        </is>
      </c>
      <c r="C286" t="inlineStr">
        <is>
          <t>Föryngringsavverkning</t>
        </is>
      </c>
      <c r="D286" s="1" t="n">
        <v>46071</v>
      </c>
      <c r="E286" s="1" t="n">
        <v>46253</v>
      </c>
      <c r="F286" t="inlineStr">
        <is>
          <t>GOTLANDS LÄN</t>
        </is>
      </c>
      <c r="G286" t="inlineStr">
        <is>
          <t>GOTLAND</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9540-2026</t>
        </is>
      </c>
      <c r="B287" t="inlineStr">
        <is>
          <t>avverkningsanmälan</t>
        </is>
      </c>
      <c r="C287" t="inlineStr">
        <is>
          <t>Föryngringsavverkning</t>
        </is>
      </c>
      <c r="D287" s="1" t="n">
        <v>46071</v>
      </c>
      <c r="E287" s="1" t="n">
        <v>46253</v>
      </c>
      <c r="F287" t="inlineStr">
        <is>
          <t>GOTLANDS LÄN</t>
        </is>
      </c>
      <c r="G287" t="inlineStr">
        <is>
          <t>GOTLAND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9521-2026</t>
        </is>
      </c>
      <c r="B288" t="inlineStr">
        <is>
          <t>avverkningsanmälan</t>
        </is>
      </c>
      <c r="C288" t="inlineStr">
        <is>
          <t>Föryngringsavverkning</t>
        </is>
      </c>
      <c r="D288" s="1" t="n">
        <v>46071</v>
      </c>
      <c r="E288" s="1" t="n">
        <v>46253</v>
      </c>
      <c r="F288" t="inlineStr">
        <is>
          <t>GOTLANDS LÄN</t>
        </is>
      </c>
      <c r="G288" t="inlineStr">
        <is>
          <t>GOTLAND</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9524-2026</t>
        </is>
      </c>
      <c r="B289" t="inlineStr">
        <is>
          <t>avverkningsanmälan</t>
        </is>
      </c>
      <c r="C289" t="inlineStr">
        <is>
          <t>Föryngringsavverkning</t>
        </is>
      </c>
      <c r="D289" s="1" t="n">
        <v>46071</v>
      </c>
      <c r="E289" s="1" t="n">
        <v>46253</v>
      </c>
      <c r="F289" t="inlineStr">
        <is>
          <t>GOTLANDS LÄN</t>
        </is>
      </c>
      <c r="G289" t="inlineStr">
        <is>
          <t>GOTLAND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9543-2026</t>
        </is>
      </c>
      <c r="B290" t="inlineStr">
        <is>
          <t>avverkningsanmälan</t>
        </is>
      </c>
      <c r="C290" t="inlineStr">
        <is>
          <t>Föryngringsavverkning</t>
        </is>
      </c>
      <c r="D290" s="1" t="n">
        <v>46071</v>
      </c>
      <c r="E290" s="1" t="n">
        <v>46253</v>
      </c>
      <c r="F290" t="inlineStr">
        <is>
          <t>GOTLANDS LÄN</t>
        </is>
      </c>
      <c r="G290" t="inlineStr">
        <is>
          <t>GOTLAND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7034-2023</t>
        </is>
      </c>
      <c r="B291" t="inlineStr">
        <is>
          <t>avverkningsanmälan</t>
        </is>
      </c>
      <c r="C291" t="inlineStr">
        <is>
          <t>Föryngringsavverkning</t>
        </is>
      </c>
      <c r="D291" s="1" t="n">
        <v>44968</v>
      </c>
      <c r="E291" s="1" t="n">
        <v>46253</v>
      </c>
      <c r="F291" t="inlineStr">
        <is>
          <t>GOTLANDS LÄN</t>
        </is>
      </c>
      <c r="G291" t="inlineStr">
        <is>
          <t>GOTLAND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23516-2023</t>
        </is>
      </c>
      <c r="B292" t="inlineStr">
        <is>
          <t>avverkningsanmälan</t>
        </is>
      </c>
      <c r="C292" t="inlineStr">
        <is>
          <t>Föryngringsavverkning</t>
        </is>
      </c>
      <c r="D292" s="1" t="n">
        <v>45076</v>
      </c>
      <c r="E292" s="1" t="n">
        <v>46253</v>
      </c>
      <c r="F292" t="inlineStr">
        <is>
          <t>GOTLANDS LÄN</t>
        </is>
      </c>
      <c r="G292" t="inlineStr">
        <is>
          <t>GOTLAND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64660-2023</t>
        </is>
      </c>
      <c r="B293" t="inlineStr">
        <is>
          <t>avverkningsanmälan</t>
        </is>
      </c>
      <c r="C293" t="inlineStr">
        <is>
          <t>Föryngringsavverkning</t>
        </is>
      </c>
      <c r="D293" s="1" t="n">
        <v>45281</v>
      </c>
      <c r="E293" s="1" t="n">
        <v>46253</v>
      </c>
      <c r="F293" t="inlineStr">
        <is>
          <t>GOTLANDS LÄN</t>
        </is>
      </c>
      <c r="G293" t="inlineStr">
        <is>
          <t>GOTLAND</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46253</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63763-2023</t>
        </is>
      </c>
      <c r="B295" t="inlineStr">
        <is>
          <t>avverkningsanmälan</t>
        </is>
      </c>
      <c r="C295" t="inlineStr">
        <is>
          <t>Föryngringsavverkning</t>
        </is>
      </c>
      <c r="D295" s="1" t="n">
        <v>45278</v>
      </c>
      <c r="E295" s="1" t="n">
        <v>46253</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10284-2026</t>
        </is>
      </c>
      <c r="B296" t="inlineStr">
        <is>
          <t>avverkningsanmälan</t>
        </is>
      </c>
      <c r="C296" t="inlineStr">
        <is>
          <t>Avverkning för annat ändamål</t>
        </is>
      </c>
      <c r="D296" s="1" t="n">
        <v>46076</v>
      </c>
      <c r="E296" s="1" t="n">
        <v>46253</v>
      </c>
      <c r="F296" t="inlineStr">
        <is>
          <t>GOTLANDS LÄN</t>
        </is>
      </c>
      <c r="G296" t="inlineStr">
        <is>
          <t>GOTLAND</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11424-2026</t>
        </is>
      </c>
      <c r="B297" t="inlineStr">
        <is>
          <t>avverkningsanmälan</t>
        </is>
      </c>
      <c r="C297" t="inlineStr">
        <is>
          <t>Föryngringsavverkning</t>
        </is>
      </c>
      <c r="D297" s="1" t="n">
        <v>46083</v>
      </c>
      <c r="E297" s="1" t="n">
        <v>46253</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3067-2026</t>
        </is>
      </c>
      <c r="B298" t="inlineStr">
        <is>
          <t>avverkningsanmälan</t>
        </is>
      </c>
      <c r="C298" t="inlineStr">
        <is>
          <t>Föryngringsavverkning</t>
        </is>
      </c>
      <c r="D298" s="1" t="n">
        <v>46040</v>
      </c>
      <c r="E298" s="1" t="n">
        <v>46253</v>
      </c>
      <c r="F298" t="inlineStr">
        <is>
          <t>GOTLANDS LÄN</t>
        </is>
      </c>
      <c r="G298" t="inlineStr">
        <is>
          <t>GOTLAND</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43951-2025</t>
        </is>
      </c>
      <c r="B299" t="inlineStr">
        <is>
          <t>avverkningsanmälan</t>
        </is>
      </c>
      <c r="C299" t="inlineStr">
        <is>
          <t>Föryngringsavverkning</t>
        </is>
      </c>
      <c r="D299" s="1" t="n">
        <v>45915</v>
      </c>
      <c r="E299" s="1" t="n">
        <v>46253</v>
      </c>
      <c r="F299" t="inlineStr">
        <is>
          <t>GOTLANDS LÄN</t>
        </is>
      </c>
      <c r="G299" t="inlineStr">
        <is>
          <t>GOTLAND</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42201-2023</t>
        </is>
      </c>
      <c r="B300" t="inlineStr">
        <is>
          <t>avverkningsanmälan</t>
        </is>
      </c>
      <c r="C300" t="inlineStr">
        <is>
          <t>Föryngringsavverkning</t>
        </is>
      </c>
      <c r="D300" s="1" t="n">
        <v>45179</v>
      </c>
      <c r="E300" s="1" t="n">
        <v>46253</v>
      </c>
      <c r="F300" t="inlineStr">
        <is>
          <t>GOTLANDS LÄN</t>
        </is>
      </c>
      <c r="G300" t="inlineStr">
        <is>
          <t>GOTLAND</t>
        </is>
      </c>
      <c r="I300" t="n">
        <v>11.9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1734-2025</t>
        </is>
      </c>
      <c r="B301" t="inlineStr">
        <is>
          <t>avverkningsanmälan</t>
        </is>
      </c>
      <c r="C301" t="inlineStr">
        <is>
          <t>Föryngringsavverkning</t>
        </is>
      </c>
      <c r="D301" s="1" t="n">
        <v>45671</v>
      </c>
      <c r="E301" s="1" t="n">
        <v>46253</v>
      </c>
      <c r="F301" t="inlineStr">
        <is>
          <t>GOTLANDS LÄN</t>
        </is>
      </c>
      <c r="G301" t="inlineStr">
        <is>
          <t>GOTLAND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20993-2023</t>
        </is>
      </c>
      <c r="B302" t="inlineStr">
        <is>
          <t>avverkningsanmälan</t>
        </is>
      </c>
      <c r="C302" t="inlineStr">
        <is>
          <t>Föryngringsavverkning</t>
        </is>
      </c>
      <c r="D302" s="1" t="n">
        <v>45056</v>
      </c>
      <c r="E302" s="1" t="n">
        <v>46253</v>
      </c>
      <c r="F302" t="inlineStr">
        <is>
          <t>GOTLANDS LÄN</t>
        </is>
      </c>
      <c r="G302" t="inlineStr">
        <is>
          <t>GOTLAND</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12596-2023</t>
        </is>
      </c>
      <c r="B303" t="inlineStr">
        <is>
          <t>avverkningsanmälan</t>
        </is>
      </c>
      <c r="C303" t="inlineStr">
        <is>
          <t>Föryngringsavverkning</t>
        </is>
      </c>
      <c r="D303" s="1" t="n">
        <v>45000</v>
      </c>
      <c r="E303" s="1" t="n">
        <v>46253</v>
      </c>
      <c r="F303" t="inlineStr">
        <is>
          <t>GOTLANDS LÄN</t>
        </is>
      </c>
      <c r="G303" t="inlineStr">
        <is>
          <t>GOTLAND</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2125-2025</t>
        </is>
      </c>
      <c r="B304" t="inlineStr">
        <is>
          <t>avverkningsanmälan</t>
        </is>
      </c>
      <c r="C304" t="inlineStr">
        <is>
          <t>Föryngringsavverkning</t>
        </is>
      </c>
      <c r="D304" s="1" t="n">
        <v>45672</v>
      </c>
      <c r="E304" s="1" t="n">
        <v>46253</v>
      </c>
      <c r="F304" t="inlineStr">
        <is>
          <t>GOTLANDS LÄN</t>
        </is>
      </c>
      <c r="G304" t="inlineStr">
        <is>
          <t>GOTLAND</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12155-2023</t>
        </is>
      </c>
      <c r="B305" t="inlineStr">
        <is>
          <t>avverkningsanmälan</t>
        </is>
      </c>
      <c r="C305" t="inlineStr">
        <is>
          <t>Föryngringsavverkning</t>
        </is>
      </c>
      <c r="D305" s="1" t="n">
        <v>44998</v>
      </c>
      <c r="E305" s="1" t="n">
        <v>46253</v>
      </c>
      <c r="F305" t="inlineStr">
        <is>
          <t>GOTLANDS LÄN</t>
        </is>
      </c>
      <c r="G305" t="inlineStr">
        <is>
          <t>GOTLAND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457-2023</t>
        </is>
      </c>
      <c r="B306" t="inlineStr">
        <is>
          <t>avverkningsanmälan</t>
        </is>
      </c>
      <c r="C306" t="inlineStr">
        <is>
          <t>Föryngringsavverkning</t>
        </is>
      </c>
      <c r="D306" s="1" t="n">
        <v>44929</v>
      </c>
      <c r="E306" s="1" t="n">
        <v>46253</v>
      </c>
      <c r="F306" t="inlineStr">
        <is>
          <t>GOTLANDS LÄN</t>
        </is>
      </c>
      <c r="G306" t="inlineStr">
        <is>
          <t>GOTLAND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459-2023</t>
        </is>
      </c>
      <c r="B307" t="inlineStr">
        <is>
          <t>avverkningsanmälan</t>
        </is>
      </c>
      <c r="C307" t="inlineStr">
        <is>
          <t>Föryngringsavverkning</t>
        </is>
      </c>
      <c r="D307" s="1" t="n">
        <v>44929</v>
      </c>
      <c r="E307" s="1" t="n">
        <v>46253</v>
      </c>
      <c r="F307" t="inlineStr">
        <is>
          <t>GOTLANDS LÄN</t>
        </is>
      </c>
      <c r="G307" t="inlineStr">
        <is>
          <t>GOTLAND</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38234-2023</t>
        </is>
      </c>
      <c r="B308" t="inlineStr">
        <is>
          <t>avverkningsanmälan</t>
        </is>
      </c>
      <c r="C308" t="inlineStr">
        <is>
          <t>Föryngringsavverkning</t>
        </is>
      </c>
      <c r="D308" s="1" t="n">
        <v>45161</v>
      </c>
      <c r="E308" s="1" t="n">
        <v>46253</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50744-2024</t>
        </is>
      </c>
      <c r="B309" t="inlineStr">
        <is>
          <t>avverkningsanmälan</t>
        </is>
      </c>
      <c r="C309" t="inlineStr">
        <is>
          <t>Föryngringsavverkning</t>
        </is>
      </c>
      <c r="D309" s="1" t="n">
        <v>45602</v>
      </c>
      <c r="E309" s="1" t="n">
        <v>46253</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63000-2025</t>
        </is>
      </c>
      <c r="B310" t="inlineStr">
        <is>
          <t>avverkningsanmälan</t>
        </is>
      </c>
      <c r="C310" t="inlineStr">
        <is>
          <t>Föryngringsavverkning</t>
        </is>
      </c>
      <c r="D310" s="1" t="n">
        <v>46009</v>
      </c>
      <c r="E310" s="1" t="n">
        <v>46253</v>
      </c>
      <c r="F310" t="inlineStr">
        <is>
          <t>GOTLANDS LÄN</t>
        </is>
      </c>
      <c r="G310" t="inlineStr">
        <is>
          <t>GOTLAND</t>
        </is>
      </c>
      <c r="H310" t="inlineStr">
        <is>
          <t>Övriga Aktiebolag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13486-2026</t>
        </is>
      </c>
      <c r="B311" t="inlineStr">
        <is>
          <t>avverkningsanmälan</t>
        </is>
      </c>
      <c r="C311" t="inlineStr">
        <is>
          <t>Föryngringsavverkning</t>
        </is>
      </c>
      <c r="D311" s="1" t="n">
        <v>46094</v>
      </c>
      <c r="E311" s="1" t="n">
        <v>46253</v>
      </c>
      <c r="F311" t="inlineStr">
        <is>
          <t>GOTLANDS LÄN</t>
        </is>
      </c>
      <c r="G311" t="inlineStr">
        <is>
          <t>GOTLAND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26391-2025</t>
        </is>
      </c>
      <c r="B312" t="inlineStr">
        <is>
          <t>avverkningsanmälan</t>
        </is>
      </c>
      <c r="C312" t="inlineStr">
        <is>
          <t>Avverkning för annat ändamål</t>
        </is>
      </c>
      <c r="D312" s="1" t="n">
        <v>45806</v>
      </c>
      <c r="E312" s="1" t="n">
        <v>46253</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62751-2025</t>
        </is>
      </c>
      <c r="B313" t="inlineStr">
        <is>
          <t>avverkningsanmälan</t>
        </is>
      </c>
      <c r="C313" t="inlineStr">
        <is>
          <t>Föryngringsavverkning</t>
        </is>
      </c>
      <c r="D313" s="1" t="n">
        <v>46008</v>
      </c>
      <c r="E313" s="1" t="n">
        <v>46253</v>
      </c>
      <c r="F313" t="inlineStr">
        <is>
          <t>GOTLANDS LÄN</t>
        </is>
      </c>
      <c r="G313" t="inlineStr">
        <is>
          <t>GOTLAND</t>
        </is>
      </c>
      <c r="H313" t="inlineStr">
        <is>
          <t>Övriga Aktiebolag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46836-2025</t>
        </is>
      </c>
      <c r="B314" t="inlineStr">
        <is>
          <t>avverkningsanmälan</t>
        </is>
      </c>
      <c r="C314" t="inlineStr">
        <is>
          <t>Föryngringsavverkning</t>
        </is>
      </c>
      <c r="D314" s="1" t="n">
        <v>45928</v>
      </c>
      <c r="E314" s="1" t="n">
        <v>46253</v>
      </c>
      <c r="F314" t="inlineStr">
        <is>
          <t>GOTLANDS LÄN</t>
        </is>
      </c>
      <c r="G314" t="inlineStr">
        <is>
          <t>GOTLAND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1446-2025</t>
        </is>
      </c>
      <c r="B315" t="inlineStr">
        <is>
          <t>avverkningsanmälan</t>
        </is>
      </c>
      <c r="C315" t="inlineStr">
        <is>
          <t>Föryngringsavverkning</t>
        </is>
      </c>
      <c r="D315" s="1" t="n">
        <v>45669</v>
      </c>
      <c r="E315" s="1" t="n">
        <v>46253</v>
      </c>
      <c r="F315" t="inlineStr">
        <is>
          <t>GOTLANDS LÄN</t>
        </is>
      </c>
      <c r="G315" t="inlineStr">
        <is>
          <t>GOTLAND</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47637-2025</t>
        </is>
      </c>
      <c r="B316" t="inlineStr">
        <is>
          <t>avverkningsanmälan</t>
        </is>
      </c>
      <c r="C316" t="inlineStr">
        <is>
          <t>Föryngringsavverkning</t>
        </is>
      </c>
      <c r="D316" s="1" t="n">
        <v>45931</v>
      </c>
      <c r="E316" s="1" t="n">
        <v>46253</v>
      </c>
      <c r="F316" t="inlineStr">
        <is>
          <t>GOTLANDS LÄN</t>
        </is>
      </c>
      <c r="G316" t="inlineStr">
        <is>
          <t>GOTLAND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43901-2023</t>
        </is>
      </c>
      <c r="B317" t="inlineStr">
        <is>
          <t>avverkningsanmälan</t>
        </is>
      </c>
      <c r="C317" t="inlineStr">
        <is>
          <t>Föryngringsavverkning</t>
        </is>
      </c>
      <c r="D317" s="1" t="n">
        <v>45187</v>
      </c>
      <c r="E317" s="1" t="n">
        <v>46253</v>
      </c>
      <c r="F317" t="inlineStr">
        <is>
          <t>GOTLANDS LÄN</t>
        </is>
      </c>
      <c r="G317" t="inlineStr">
        <is>
          <t>GOTLAND</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10746-2025</t>
        </is>
      </c>
      <c r="B318" t="inlineStr">
        <is>
          <t>avverkningsanmälan</t>
        </is>
      </c>
      <c r="C318" t="inlineStr">
        <is>
          <t>Föryngringsavverkning</t>
        </is>
      </c>
      <c r="D318" s="1" t="n">
        <v>45722</v>
      </c>
      <c r="E318" s="1" t="n">
        <v>46253</v>
      </c>
      <c r="F318" t="inlineStr">
        <is>
          <t>GOTLANDS LÄN</t>
        </is>
      </c>
      <c r="G318" t="inlineStr">
        <is>
          <t>GOTLAND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16501-2023</t>
        </is>
      </c>
      <c r="B319" t="inlineStr">
        <is>
          <t>avverkningsanmälan</t>
        </is>
      </c>
      <c r="C319" t="inlineStr">
        <is>
          <t>Avverkning för att bevara och utveckla /försöksver</t>
        </is>
      </c>
      <c r="D319" s="1" t="n">
        <v>45029</v>
      </c>
      <c r="E319" s="1" t="n">
        <v>46253</v>
      </c>
      <c r="F319" t="inlineStr">
        <is>
          <t>GOTLANDS LÄN</t>
        </is>
      </c>
      <c r="G319" t="inlineStr">
        <is>
          <t>GOTLAND</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35123-2025</t>
        </is>
      </c>
      <c r="B320" t="inlineStr">
        <is>
          <t>avverkningsanmälan</t>
        </is>
      </c>
      <c r="C320" t="inlineStr">
        <is>
          <t>Föryngringsavverkning</t>
        </is>
      </c>
      <c r="D320" s="1" t="n">
        <v>45852</v>
      </c>
      <c r="E320" s="1" t="n">
        <v>46253</v>
      </c>
      <c r="F320" t="inlineStr">
        <is>
          <t>GOTLANDS LÄN</t>
        </is>
      </c>
      <c r="G320" t="inlineStr">
        <is>
          <t>GOTLAND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35550-2025</t>
        </is>
      </c>
      <c r="B321" t="inlineStr">
        <is>
          <t>avverkningsanmälan</t>
        </is>
      </c>
      <c r="C321" t="inlineStr">
        <is>
          <t>Föryngringsavverkning</t>
        </is>
      </c>
      <c r="D321" s="1" t="n">
        <v>45856</v>
      </c>
      <c r="E321" s="1" t="n">
        <v>46253</v>
      </c>
      <c r="F321" t="inlineStr">
        <is>
          <t>GOTLANDS LÄN</t>
        </is>
      </c>
      <c r="G321" t="inlineStr">
        <is>
          <t>GOTLAND</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47578-2025</t>
        </is>
      </c>
      <c r="B322" t="inlineStr">
        <is>
          <t>avverkningsanmälan</t>
        </is>
      </c>
      <c r="C322" t="inlineStr">
        <is>
          <t>Avverkning för annat ändamål</t>
        </is>
      </c>
      <c r="D322" s="1" t="n">
        <v>45931</v>
      </c>
      <c r="E322" s="1" t="n">
        <v>46253</v>
      </c>
      <c r="F322" t="inlineStr">
        <is>
          <t>GOTLANDS LÄN</t>
        </is>
      </c>
      <c r="G322" t="inlineStr">
        <is>
          <t>GOTLAND</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61962-2024</t>
        </is>
      </c>
      <c r="B323" t="inlineStr">
        <is>
          <t>avverkningsanmälan</t>
        </is>
      </c>
      <c r="C323" t="inlineStr">
        <is>
          <t>Föryngringsavverkning</t>
        </is>
      </c>
      <c r="D323" s="1" t="n">
        <v>45653</v>
      </c>
      <c r="E323" s="1" t="n">
        <v>46253</v>
      </c>
      <c r="F323" t="inlineStr">
        <is>
          <t>GOTLANDS LÄN</t>
        </is>
      </c>
      <c r="G323" t="inlineStr">
        <is>
          <t>GOTLAND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10492-2023</t>
        </is>
      </c>
      <c r="B324" t="inlineStr">
        <is>
          <t>avverkningsanmälan</t>
        </is>
      </c>
      <c r="C324" t="inlineStr">
        <is>
          <t>Föryngringsavverkning</t>
        </is>
      </c>
      <c r="D324" s="1" t="n">
        <v>44987</v>
      </c>
      <c r="E324" s="1" t="n">
        <v>46253</v>
      </c>
      <c r="F324" t="inlineStr">
        <is>
          <t>GOTLANDS LÄN</t>
        </is>
      </c>
      <c r="G324" t="inlineStr">
        <is>
          <t>GOTLAND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49730-2025</t>
        </is>
      </c>
      <c r="B325" t="inlineStr">
        <is>
          <t>avverkningsanmälan</t>
        </is>
      </c>
      <c r="C325" t="inlineStr">
        <is>
          <t>Föryngringsavverkning</t>
        </is>
      </c>
      <c r="D325" s="1" t="n">
        <v>45939</v>
      </c>
      <c r="E325" s="1" t="n">
        <v>46253</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49690-2025</t>
        </is>
      </c>
      <c r="B326" t="inlineStr">
        <is>
          <t>avverkningsanmälan</t>
        </is>
      </c>
      <c r="C326" t="inlineStr">
        <is>
          <t>Föryngringsavverkning</t>
        </is>
      </c>
      <c r="D326" s="1" t="n">
        <v>45939</v>
      </c>
      <c r="E326" s="1" t="n">
        <v>46253</v>
      </c>
      <c r="F326" t="inlineStr">
        <is>
          <t>GOTLANDS LÄN</t>
        </is>
      </c>
      <c r="G326" t="inlineStr">
        <is>
          <t>GOTLAND</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32669-2024</t>
        </is>
      </c>
      <c r="B327" t="inlineStr">
        <is>
          <t>avverkningsanmälan</t>
        </is>
      </c>
      <c r="C327" t="inlineStr">
        <is>
          <t>Föryngringsavverkning</t>
        </is>
      </c>
      <c r="D327" s="1" t="n">
        <v>45514</v>
      </c>
      <c r="E327" s="1" t="n">
        <v>46253</v>
      </c>
      <c r="F327" t="inlineStr">
        <is>
          <t>GOTLANDS LÄN</t>
        </is>
      </c>
      <c r="G327" t="inlineStr">
        <is>
          <t>GOTLAND</t>
        </is>
      </c>
      <c r="I327" t="n">
        <v>9.699999999999999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10653-2023</t>
        </is>
      </c>
      <c r="B328" t="inlineStr">
        <is>
          <t>avverkningsanmälan</t>
        </is>
      </c>
      <c r="C328" t="inlineStr">
        <is>
          <t>Föryngringsavverkning</t>
        </is>
      </c>
      <c r="D328" s="1" t="n">
        <v>44988</v>
      </c>
      <c r="E328" s="1" t="n">
        <v>46253</v>
      </c>
      <c r="F328" t="inlineStr">
        <is>
          <t>GOTLANDS LÄN</t>
        </is>
      </c>
      <c r="G328" t="inlineStr">
        <is>
          <t>GOTLAND</t>
        </is>
      </c>
      <c r="H328" t="inlineStr">
        <is>
          <t>Kyrkan</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4990-2025</t>
        </is>
      </c>
      <c r="B329" t="inlineStr">
        <is>
          <t>avverkningsanmälan</t>
        </is>
      </c>
      <c r="C329" t="inlineStr">
        <is>
          <t>Föryngringsavverkning</t>
        </is>
      </c>
      <c r="D329" s="1" t="n">
        <v>45691</v>
      </c>
      <c r="E329" s="1" t="n">
        <v>46253</v>
      </c>
      <c r="F329" t="inlineStr">
        <is>
          <t>GOTLANDS LÄN</t>
        </is>
      </c>
      <c r="G329" t="inlineStr">
        <is>
          <t>GOTLAND</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16993-2026</t>
        </is>
      </c>
      <c r="B330" t="inlineStr">
        <is>
          <t>avverkningsanmälan</t>
        </is>
      </c>
      <c r="C330" t="inlineStr">
        <is>
          <t>Föryngringsavverkning</t>
        </is>
      </c>
      <c r="D330" s="1" t="n">
        <v>46114</v>
      </c>
      <c r="E330" s="1" t="n">
        <v>46253</v>
      </c>
      <c r="F330" t="inlineStr">
        <is>
          <t>GOTLANDS LÄN</t>
        </is>
      </c>
      <c r="G330" t="inlineStr">
        <is>
          <t>GOTLAND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43081-2022</t>
        </is>
      </c>
      <c r="B331" t="inlineStr">
        <is>
          <t>avverkningsanmälan</t>
        </is>
      </c>
      <c r="C331" t="inlineStr">
        <is>
          <t>Föryngringsavverkning</t>
        </is>
      </c>
      <c r="D331" s="1" t="n">
        <v>44833</v>
      </c>
      <c r="E331" s="1" t="n">
        <v>46253</v>
      </c>
      <c r="F331" t="inlineStr">
        <is>
          <t>GOTLANDS LÄN</t>
        </is>
      </c>
      <c r="G331" t="inlineStr">
        <is>
          <t>GOTLAND</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5884-2025</t>
        </is>
      </c>
      <c r="B332" t="inlineStr">
        <is>
          <t>avverkningsanmälan</t>
        </is>
      </c>
      <c r="C332" t="inlineStr">
        <is>
          <t>Föryngringsavverkning</t>
        </is>
      </c>
      <c r="D332" s="1" t="n">
        <v>45695</v>
      </c>
      <c r="E332" s="1" t="n">
        <v>46253</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5897-2025</t>
        </is>
      </c>
      <c r="B333" t="inlineStr">
        <is>
          <t>avverkningsanmälan</t>
        </is>
      </c>
      <c r="C333" t="inlineStr">
        <is>
          <t>Föryngringsavverkning</t>
        </is>
      </c>
      <c r="D333" s="1" t="n">
        <v>45695</v>
      </c>
      <c r="E333" s="1" t="n">
        <v>46253</v>
      </c>
      <c r="F333" t="inlineStr">
        <is>
          <t>GOTLANDS LÄN</t>
        </is>
      </c>
      <c r="G333" t="inlineStr">
        <is>
          <t>GOTLAND</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49697-2023</t>
        </is>
      </c>
      <c r="B334" t="inlineStr">
        <is>
          <t>avverkningsanmälan</t>
        </is>
      </c>
      <c r="C334" t="inlineStr">
        <is>
          <t>Föryngringsavverkning</t>
        </is>
      </c>
      <c r="D334" s="1" t="n">
        <v>45212</v>
      </c>
      <c r="E334" s="1" t="n">
        <v>46253</v>
      </c>
      <c r="F334" t="inlineStr">
        <is>
          <t>GOTLANDS LÄN</t>
        </is>
      </c>
      <c r="G334" t="inlineStr">
        <is>
          <t>GOTLAND</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17901-2023</t>
        </is>
      </c>
      <c r="B335" t="inlineStr">
        <is>
          <t>avverkningsanmälan</t>
        </is>
      </c>
      <c r="C335" t="inlineStr">
        <is>
          <t>Föryngringsavverkning</t>
        </is>
      </c>
      <c r="D335" s="1" t="n">
        <v>45039</v>
      </c>
      <c r="E335" s="1" t="n">
        <v>46253</v>
      </c>
      <c r="F335" t="inlineStr">
        <is>
          <t>GOTLANDS LÄN</t>
        </is>
      </c>
      <c r="G335" t="inlineStr">
        <is>
          <t>GOTLAND</t>
        </is>
      </c>
      <c r="H335" t="inlineStr">
        <is>
          <t>Kyrkan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15216-2025</t>
        </is>
      </c>
      <c r="B336" t="inlineStr">
        <is>
          <t>avverkningsanmälan</t>
        </is>
      </c>
      <c r="C336" t="inlineStr">
        <is>
          <t>Föryngringsavverkning</t>
        </is>
      </c>
      <c r="D336" s="1" t="n">
        <v>45744</v>
      </c>
      <c r="E336" s="1" t="n">
        <v>46253</v>
      </c>
      <c r="F336" t="inlineStr">
        <is>
          <t>GOTLANDS LÄN</t>
        </is>
      </c>
      <c r="G336" t="inlineStr">
        <is>
          <t>GOTLAND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52892-2021</t>
        </is>
      </c>
      <c r="B337" t="inlineStr">
        <is>
          <t>avverkningsanmälan</t>
        </is>
      </c>
      <c r="C337" t="inlineStr">
        <is>
          <t>Föryngringsavverkning</t>
        </is>
      </c>
      <c r="D337" s="1" t="n">
        <v>44467</v>
      </c>
      <c r="E337" s="1" t="n">
        <v>46253</v>
      </c>
      <c r="F337" t="inlineStr">
        <is>
          <t>GOTLANDS LÄN</t>
        </is>
      </c>
      <c r="G337" t="inlineStr">
        <is>
          <t>GOTLAND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62836-2025</t>
        </is>
      </c>
      <c r="B338" t="inlineStr">
        <is>
          <t>avverkningsanmälan</t>
        </is>
      </c>
      <c r="C338" t="inlineStr">
        <is>
          <t>Föryngringsavverkning</t>
        </is>
      </c>
      <c r="D338" s="1" t="n">
        <v>46008</v>
      </c>
      <c r="E338" s="1" t="n">
        <v>46253</v>
      </c>
      <c r="F338" t="inlineStr">
        <is>
          <t>GOTLANDS LÄN</t>
        </is>
      </c>
      <c r="G338" t="inlineStr">
        <is>
          <t>GOTLAND</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43790-2024</t>
        </is>
      </c>
      <c r="B339" t="inlineStr">
        <is>
          <t>avverkningsanmälan</t>
        </is>
      </c>
      <c r="C339" t="inlineStr">
        <is>
          <t>Föryngringsavverkning</t>
        </is>
      </c>
      <c r="D339" s="1" t="n">
        <v>45571</v>
      </c>
      <c r="E339" s="1" t="n">
        <v>46253</v>
      </c>
      <c r="F339" t="inlineStr">
        <is>
          <t>GOTLANDS LÄN</t>
        </is>
      </c>
      <c r="G339" t="inlineStr">
        <is>
          <t>GOTLAND</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15001-2025</t>
        </is>
      </c>
      <c r="B340" t="inlineStr">
        <is>
          <t>avverkningsanmälan</t>
        </is>
      </c>
      <c r="C340" t="inlineStr">
        <is>
          <t>Föryngringsavverkning</t>
        </is>
      </c>
      <c r="D340" s="1" t="n">
        <v>45743</v>
      </c>
      <c r="E340" s="1" t="n">
        <v>46253</v>
      </c>
      <c r="F340" t="inlineStr">
        <is>
          <t>GOTLANDS LÄN</t>
        </is>
      </c>
      <c r="G340" t="inlineStr">
        <is>
          <t>GOTLAND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46396-2023</t>
        </is>
      </c>
      <c r="B341" t="inlineStr">
        <is>
          <t>avverkningsanmälan</t>
        </is>
      </c>
      <c r="C341" t="inlineStr">
        <is>
          <t>Föryngringsavverkning</t>
        </is>
      </c>
      <c r="D341" s="1" t="n">
        <v>45197</v>
      </c>
      <c r="E341" s="1" t="n">
        <v>46253</v>
      </c>
      <c r="F341" t="inlineStr">
        <is>
          <t>GOTLANDS LÄN</t>
        </is>
      </c>
      <c r="G341" t="inlineStr">
        <is>
          <t>GOTLAND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30488-2025</t>
        </is>
      </c>
      <c r="B342" t="inlineStr">
        <is>
          <t>avverkningsanmälan</t>
        </is>
      </c>
      <c r="C342" t="inlineStr">
        <is>
          <t>Föryngringsavverkning</t>
        </is>
      </c>
      <c r="D342" s="1" t="n">
        <v>45830</v>
      </c>
      <c r="E342" s="1" t="n">
        <v>46253</v>
      </c>
      <c r="F342" t="inlineStr">
        <is>
          <t>GOTLANDS LÄN</t>
        </is>
      </c>
      <c r="G342" t="inlineStr">
        <is>
          <t>GOTLAND</t>
        </is>
      </c>
      <c r="H342" t="inlineStr">
        <is>
          <t>Kyrkan</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17847-2025</t>
        </is>
      </c>
      <c r="B343" t="inlineStr">
        <is>
          <t>avverkningsanmälan</t>
        </is>
      </c>
      <c r="C343" t="inlineStr">
        <is>
          <t>Föryngringsavverkning</t>
        </is>
      </c>
      <c r="D343" s="1" t="n">
        <v>45758</v>
      </c>
      <c r="E343" s="1" t="n">
        <v>46253</v>
      </c>
      <c r="F343" t="inlineStr">
        <is>
          <t>GOTLANDS LÄN</t>
        </is>
      </c>
      <c r="G343" t="inlineStr">
        <is>
          <t>GOTLAND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17724-2024</t>
        </is>
      </c>
      <c r="B344" t="inlineStr">
        <is>
          <t>avverkningsanmälan</t>
        </is>
      </c>
      <c r="C344" t="inlineStr">
        <is>
          <t>Föryngringsavverkning</t>
        </is>
      </c>
      <c r="D344" s="1" t="n">
        <v>45418</v>
      </c>
      <c r="E344" s="1" t="n">
        <v>46253</v>
      </c>
      <c r="F344" t="inlineStr">
        <is>
          <t>GOTLANDS LÄN</t>
        </is>
      </c>
      <c r="G344" t="inlineStr">
        <is>
          <t>GOTLAND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18804-2026</t>
        </is>
      </c>
      <c r="B345" t="inlineStr">
        <is>
          <t>avverkningsanmälan</t>
        </is>
      </c>
      <c r="C345" t="inlineStr">
        <is>
          <t>Föryngringsavverkning</t>
        </is>
      </c>
      <c r="D345" s="1" t="n">
        <v>46128</v>
      </c>
      <c r="E345" s="1" t="n">
        <v>46253</v>
      </c>
      <c r="F345" t="inlineStr">
        <is>
          <t>GOTLANDS LÄN</t>
        </is>
      </c>
      <c r="G345" t="inlineStr">
        <is>
          <t>GOTLAND</t>
        </is>
      </c>
      <c r="H345" t="inlineStr">
        <is>
          <t>Kyrkan</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18742-2025</t>
        </is>
      </c>
      <c r="B346" t="inlineStr">
        <is>
          <t>avverkningsanmälan</t>
        </is>
      </c>
      <c r="C346" t="inlineStr">
        <is>
          <t>Avverkning för annat ändamål</t>
        </is>
      </c>
      <c r="D346" s="1" t="n">
        <v>45763</v>
      </c>
      <c r="E346" s="1" t="n">
        <v>46253</v>
      </c>
      <c r="F346" t="inlineStr">
        <is>
          <t>GOTLANDS LÄN</t>
        </is>
      </c>
      <c r="G346" t="inlineStr">
        <is>
          <t>GOTLAND</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35129-2025</t>
        </is>
      </c>
      <c r="B347" t="inlineStr">
        <is>
          <t>avverkningsanmälan</t>
        </is>
      </c>
      <c r="C347" t="inlineStr">
        <is>
          <t>Föryngringsavverkning</t>
        </is>
      </c>
      <c r="D347" s="1" t="n">
        <v>45852</v>
      </c>
      <c r="E347" s="1" t="n">
        <v>46253</v>
      </c>
      <c r="F347" t="inlineStr">
        <is>
          <t>GOTLANDS LÄN</t>
        </is>
      </c>
      <c r="G347" t="inlineStr">
        <is>
          <t>GOTLAND</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26467-2025</t>
        </is>
      </c>
      <c r="B348" t="inlineStr">
        <is>
          <t>avverkningsanmälan</t>
        </is>
      </c>
      <c r="C348" t="inlineStr">
        <is>
          <t>Föryngringsavverkning</t>
        </is>
      </c>
      <c r="D348" s="1" t="n">
        <v>45807</v>
      </c>
      <c r="E348" s="1" t="n">
        <v>46253</v>
      </c>
      <c r="F348" t="inlineStr">
        <is>
          <t>GOTLANDS LÄN</t>
        </is>
      </c>
      <c r="G348" t="inlineStr">
        <is>
          <t>GOTLAND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7638-2025</t>
        </is>
      </c>
      <c r="B349" t="inlineStr">
        <is>
          <t>avverkningsanmälan</t>
        </is>
      </c>
      <c r="C349" t="inlineStr">
        <is>
          <t>Föryngringsavverkning</t>
        </is>
      </c>
      <c r="D349" s="1" t="n">
        <v>45705</v>
      </c>
      <c r="E349" s="1" t="n">
        <v>46253</v>
      </c>
      <c r="F349" t="inlineStr">
        <is>
          <t>GOTLANDS LÄN</t>
        </is>
      </c>
      <c r="G349" t="inlineStr">
        <is>
          <t>GOTLAND</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50482-2024</t>
        </is>
      </c>
      <c r="B350" t="inlineStr">
        <is>
          <t>avverkningsanmälan</t>
        </is>
      </c>
      <c r="C350" t="inlineStr">
        <is>
          <t>Föryngringsavverkning</t>
        </is>
      </c>
      <c r="D350" s="1" t="n">
        <v>45601</v>
      </c>
      <c r="E350" s="1" t="n">
        <v>46253</v>
      </c>
      <c r="F350" t="inlineStr">
        <is>
          <t>GOTLANDS LÄN</t>
        </is>
      </c>
      <c r="G350" t="inlineStr">
        <is>
          <t>GOTLAND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29207-2025</t>
        </is>
      </c>
      <c r="B351" t="inlineStr">
        <is>
          <t>avverkningsanmälan</t>
        </is>
      </c>
      <c r="C351" t="inlineStr">
        <is>
          <t>Föryngringsavverkning</t>
        </is>
      </c>
      <c r="D351" s="1" t="n">
        <v>45823</v>
      </c>
      <c r="E351" s="1" t="n">
        <v>46253</v>
      </c>
      <c r="F351" t="inlineStr">
        <is>
          <t>GOTLANDS LÄN</t>
        </is>
      </c>
      <c r="G351" t="inlineStr">
        <is>
          <t>GOTLAND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1394-2023</t>
        </is>
      </c>
      <c r="B352" t="inlineStr">
        <is>
          <t>avverkningsanmälan</t>
        </is>
      </c>
      <c r="C352" t="inlineStr">
        <is>
          <t>Föryngringsavverkning</t>
        </is>
      </c>
      <c r="D352" s="1" t="n">
        <v>44936</v>
      </c>
      <c r="E352" s="1" t="n">
        <v>46253</v>
      </c>
      <c r="F352" t="inlineStr">
        <is>
          <t>GOTLANDS LÄN</t>
        </is>
      </c>
      <c r="G352" t="inlineStr">
        <is>
          <t>GOTLAND</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25796-2025</t>
        </is>
      </c>
      <c r="B353" t="inlineStr">
        <is>
          <t>avverkningsanmälan</t>
        </is>
      </c>
      <c r="C353" t="inlineStr">
        <is>
          <t>Föryngringsavverkning</t>
        </is>
      </c>
      <c r="D353" s="1" t="n">
        <v>45804</v>
      </c>
      <c r="E353" s="1" t="n">
        <v>46253</v>
      </c>
      <c r="F353" t="inlineStr">
        <is>
          <t>GOTLANDS LÄN</t>
        </is>
      </c>
      <c r="G353" t="inlineStr">
        <is>
          <t>GOTLAND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2180-2025</t>
        </is>
      </c>
      <c r="B354" t="inlineStr">
        <is>
          <t>avverkningsanmälan</t>
        </is>
      </c>
      <c r="C354" t="inlineStr">
        <is>
          <t>Föryngringsavverkning</t>
        </is>
      </c>
      <c r="D354" s="1" t="n">
        <v>45673</v>
      </c>
      <c r="E354" s="1" t="n">
        <v>46253</v>
      </c>
      <c r="F354" t="inlineStr">
        <is>
          <t>GOTLANDS LÄN</t>
        </is>
      </c>
      <c r="G354" t="inlineStr">
        <is>
          <t>GOTLAND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1462-2025</t>
        </is>
      </c>
      <c r="B355" t="inlineStr">
        <is>
          <t>avverkningsanmälan</t>
        </is>
      </c>
      <c r="C355" t="inlineStr">
        <is>
          <t>Föryngringsavverkning</t>
        </is>
      </c>
      <c r="D355" s="1" t="n">
        <v>45670</v>
      </c>
      <c r="E355" s="1" t="n">
        <v>46253</v>
      </c>
      <c r="F355" t="inlineStr">
        <is>
          <t>GOTLANDS LÄN</t>
        </is>
      </c>
      <c r="G355" t="inlineStr">
        <is>
          <t>GOTLAND</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62754-2025</t>
        </is>
      </c>
      <c r="B356" t="inlineStr">
        <is>
          <t>avverkningsanmälan</t>
        </is>
      </c>
      <c r="C356" t="inlineStr">
        <is>
          <t>Föryngringsavverkning</t>
        </is>
      </c>
      <c r="D356" s="1" t="n">
        <v>46008</v>
      </c>
      <c r="E356" s="1" t="n">
        <v>46253</v>
      </c>
      <c r="F356" t="inlineStr">
        <is>
          <t>GOTLANDS LÄN</t>
        </is>
      </c>
      <c r="G356" t="inlineStr">
        <is>
          <t>GOTLAND</t>
        </is>
      </c>
      <c r="H356" t="inlineStr">
        <is>
          <t>Övriga Aktiebolag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20225-2025</t>
        </is>
      </c>
      <c r="B357" t="inlineStr">
        <is>
          <t>avverkningsanmälan</t>
        </is>
      </c>
      <c r="C357" t="inlineStr">
        <is>
          <t>Föryngringsavverkning</t>
        </is>
      </c>
      <c r="D357" s="1" t="n">
        <v>45772</v>
      </c>
      <c r="E357" s="1" t="n">
        <v>46253</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32379-2025</t>
        </is>
      </c>
      <c r="B358" t="inlineStr">
        <is>
          <t>avverkningsanmälan</t>
        </is>
      </c>
      <c r="C358" t="inlineStr">
        <is>
          <t>Föryngringsavverkning</t>
        </is>
      </c>
      <c r="D358" s="1" t="n">
        <v>45837</v>
      </c>
      <c r="E358" s="1" t="n">
        <v>46253</v>
      </c>
      <c r="F358" t="inlineStr">
        <is>
          <t>GOTLANDS LÄN</t>
        </is>
      </c>
      <c r="G358" t="inlineStr">
        <is>
          <t>GOTLAND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45112-2024</t>
        </is>
      </c>
      <c r="B359" t="inlineStr">
        <is>
          <t>avverkningsanmälan</t>
        </is>
      </c>
      <c r="C359" t="inlineStr">
        <is>
          <t>Föryngringsavverkning</t>
        </is>
      </c>
      <c r="D359" s="1" t="n">
        <v>45575</v>
      </c>
      <c r="E359" s="1" t="n">
        <v>46253</v>
      </c>
      <c r="F359" t="inlineStr">
        <is>
          <t>GOTLANDS LÄN</t>
        </is>
      </c>
      <c r="G359" t="inlineStr">
        <is>
          <t>GOTLAND</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1854-2026</t>
        </is>
      </c>
      <c r="B360" t="inlineStr">
        <is>
          <t>avverkningsanmälan</t>
        </is>
      </c>
      <c r="C360" t="inlineStr">
        <is>
          <t>Föryngringsavverkning</t>
        </is>
      </c>
      <c r="D360" s="1" t="n">
        <v>46035</v>
      </c>
      <c r="E360" s="1" t="n">
        <v>46253</v>
      </c>
      <c r="F360" t="inlineStr">
        <is>
          <t>GOTLANDS LÄN</t>
        </is>
      </c>
      <c r="G360" t="inlineStr">
        <is>
          <t>GOTLAND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25129-2023</t>
        </is>
      </c>
      <c r="B361" t="inlineStr">
        <is>
          <t>avverkningsanmälan</t>
        </is>
      </c>
      <c r="C361" t="inlineStr">
        <is>
          <t>Föryngringsavverkning</t>
        </is>
      </c>
      <c r="D361" s="1" t="n">
        <v>45086</v>
      </c>
      <c r="E361" s="1" t="n">
        <v>46253</v>
      </c>
      <c r="F361" t="inlineStr">
        <is>
          <t>GOTLANDS LÄN</t>
        </is>
      </c>
      <c r="G361" t="inlineStr">
        <is>
          <t>GOTLAND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24192-2023</t>
        </is>
      </c>
      <c r="B362" t="inlineStr">
        <is>
          <t>avverkningsanmälan</t>
        </is>
      </c>
      <c r="C362" t="inlineStr">
        <is>
          <t>Föryngringsavverkning</t>
        </is>
      </c>
      <c r="D362" s="1" t="n">
        <v>45079</v>
      </c>
      <c r="E362" s="1" t="n">
        <v>46253</v>
      </c>
      <c r="F362" t="inlineStr">
        <is>
          <t>GOTLANDS LÄN</t>
        </is>
      </c>
      <c r="G362" t="inlineStr">
        <is>
          <t>GOTLAND</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13910-2025</t>
        </is>
      </c>
      <c r="B363" t="inlineStr">
        <is>
          <t>avverkningsanmälan</t>
        </is>
      </c>
      <c r="C363" t="inlineStr">
        <is>
          <t>Föryngringsavverkning</t>
        </is>
      </c>
      <c r="D363" s="1" t="n">
        <v>45737</v>
      </c>
      <c r="E363" s="1" t="n">
        <v>46253</v>
      </c>
      <c r="F363" t="inlineStr">
        <is>
          <t>GOTLANDS LÄN</t>
        </is>
      </c>
      <c r="G363" t="inlineStr">
        <is>
          <t>GOTLAND</t>
        </is>
      </c>
      <c r="H363" t="inlineStr">
        <is>
          <t>Kommuner</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5386-2023</t>
        </is>
      </c>
      <c r="B364" t="inlineStr">
        <is>
          <t>avverkningsanmälan</t>
        </is>
      </c>
      <c r="C364" t="inlineStr">
        <is>
          <t>Föryngringsavverkning</t>
        </is>
      </c>
      <c r="D364" s="1" t="n">
        <v>44959</v>
      </c>
      <c r="E364" s="1" t="n">
        <v>46253</v>
      </c>
      <c r="F364" t="inlineStr">
        <is>
          <t>GOTLANDS LÄN</t>
        </is>
      </c>
      <c r="G364" t="inlineStr">
        <is>
          <t>GOTLAND</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7026-2023</t>
        </is>
      </c>
      <c r="B365" t="inlineStr">
        <is>
          <t>avverkningsanmälan</t>
        </is>
      </c>
      <c r="C365" t="inlineStr">
        <is>
          <t>Föryngringsavverkning</t>
        </is>
      </c>
      <c r="D365" s="1" t="n">
        <v>44968</v>
      </c>
      <c r="E365" s="1" t="n">
        <v>46253</v>
      </c>
      <c r="F365" t="inlineStr">
        <is>
          <t>GOTLANDS LÄN</t>
        </is>
      </c>
      <c r="G365" t="inlineStr">
        <is>
          <t>GOTLAND</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20855-2023</t>
        </is>
      </c>
      <c r="B366" t="inlineStr">
        <is>
          <t>avverkningsanmälan</t>
        </is>
      </c>
      <c r="C366" t="inlineStr">
        <is>
          <t>Föryngringsavverkning</t>
        </is>
      </c>
      <c r="D366" s="1" t="n">
        <v>45058</v>
      </c>
      <c r="E366" s="1" t="n">
        <v>46253</v>
      </c>
      <c r="F366" t="inlineStr">
        <is>
          <t>GOTLANDS LÄN</t>
        </is>
      </c>
      <c r="G366" t="inlineStr">
        <is>
          <t>GOTLAND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1000-2024</t>
        </is>
      </c>
      <c r="B367" t="inlineStr">
        <is>
          <t>avverkningsanmälan</t>
        </is>
      </c>
      <c r="C367" t="inlineStr">
        <is>
          <t>Föryngringsavverkning</t>
        </is>
      </c>
      <c r="D367" s="1" t="n">
        <v>45301</v>
      </c>
      <c r="E367" s="1" t="n">
        <v>46253</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56799-2025</t>
        </is>
      </c>
      <c r="B368" t="inlineStr">
        <is>
          <t>avverkningsanmälan</t>
        </is>
      </c>
      <c r="C368" t="inlineStr">
        <is>
          <t>Föryngringsavverkning</t>
        </is>
      </c>
      <c r="D368" s="1" t="n">
        <v>45978</v>
      </c>
      <c r="E368" s="1" t="n">
        <v>46253</v>
      </c>
      <c r="F368" t="inlineStr">
        <is>
          <t>GOTLANDS LÄN</t>
        </is>
      </c>
      <c r="G368" t="inlineStr">
        <is>
          <t>GOTLAND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6959-2026</t>
        </is>
      </c>
      <c r="B369" t="inlineStr">
        <is>
          <t>avverkningsanmälan</t>
        </is>
      </c>
      <c r="C369" t="inlineStr">
        <is>
          <t>Föryngringsavverkning</t>
        </is>
      </c>
      <c r="D369" s="1" t="n">
        <v>46057</v>
      </c>
      <c r="E369" s="1" t="n">
        <v>46253</v>
      </c>
      <c r="F369" t="inlineStr">
        <is>
          <t>GOTLANDS LÄN</t>
        </is>
      </c>
      <c r="G369" t="inlineStr">
        <is>
          <t>GOTLAND</t>
        </is>
      </c>
      <c r="H369" t="inlineStr">
        <is>
          <t>Kyrkan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38165-2023</t>
        </is>
      </c>
      <c r="B370" t="inlineStr">
        <is>
          <t>avverkningsanmälan</t>
        </is>
      </c>
      <c r="C370" t="inlineStr">
        <is>
          <t>Föryngringsavverkning</t>
        </is>
      </c>
      <c r="D370" s="1" t="n">
        <v>45161</v>
      </c>
      <c r="E370" s="1" t="n">
        <v>46253</v>
      </c>
      <c r="F370" t="inlineStr">
        <is>
          <t>GOTLANDS LÄN</t>
        </is>
      </c>
      <c r="G370" t="inlineStr">
        <is>
          <t>GOTLAND</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47762-2023</t>
        </is>
      </c>
      <c r="B371" t="inlineStr">
        <is>
          <t>avverkningsanmälan</t>
        </is>
      </c>
      <c r="C371" t="inlineStr">
        <is>
          <t>Föryngringsavverkning</t>
        </is>
      </c>
      <c r="D371" s="1" t="n">
        <v>45203</v>
      </c>
      <c r="E371" s="1" t="n">
        <v>46253</v>
      </c>
      <c r="F371" t="inlineStr">
        <is>
          <t>GOTLANDS LÄN</t>
        </is>
      </c>
      <c r="G371" t="inlineStr">
        <is>
          <t>GOTLAND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60086-2022</t>
        </is>
      </c>
      <c r="B372" t="inlineStr">
        <is>
          <t>avverkningsanmälan</t>
        </is>
      </c>
      <c r="C372" t="inlineStr">
        <is>
          <t>Föryngringsavverkning</t>
        </is>
      </c>
      <c r="D372" s="1" t="n">
        <v>44909</v>
      </c>
      <c r="E372" s="1" t="n">
        <v>46253</v>
      </c>
      <c r="F372" t="inlineStr">
        <is>
          <t>GOTLANDS LÄN</t>
        </is>
      </c>
      <c r="G372" t="inlineStr">
        <is>
          <t>GOTLAND</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6108-2025</t>
        </is>
      </c>
      <c r="B373" t="inlineStr">
        <is>
          <t>avverkningsanmälan</t>
        </is>
      </c>
      <c r="C373" t="inlineStr">
        <is>
          <t>Föryngringsavverkning</t>
        </is>
      </c>
      <c r="D373" s="1" t="n">
        <v>45698</v>
      </c>
      <c r="E373" s="1" t="n">
        <v>46253</v>
      </c>
      <c r="F373" t="inlineStr">
        <is>
          <t>GOTLANDS LÄN</t>
        </is>
      </c>
      <c r="G373" t="inlineStr">
        <is>
          <t>GOTLAND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21142-2025</t>
        </is>
      </c>
      <c r="B374" t="inlineStr">
        <is>
          <t>avverkningsanmälan</t>
        </is>
      </c>
      <c r="C374" t="inlineStr">
        <is>
          <t>Föryngringsavverkning</t>
        </is>
      </c>
      <c r="D374" s="1" t="n">
        <v>45779</v>
      </c>
      <c r="E374" s="1" t="n">
        <v>46253</v>
      </c>
      <c r="F374" t="inlineStr">
        <is>
          <t>GOTLANDS LÄN</t>
        </is>
      </c>
      <c r="G374" t="inlineStr">
        <is>
          <t>GOTLAND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28485-2023</t>
        </is>
      </c>
      <c r="B375" t="inlineStr">
        <is>
          <t>avverkningsanmälan</t>
        </is>
      </c>
      <c r="C375" t="inlineStr">
        <is>
          <t>Föryngringsavverkning</t>
        </is>
      </c>
      <c r="D375" s="1" t="n">
        <v>45103</v>
      </c>
      <c r="E375" s="1" t="n">
        <v>46253</v>
      </c>
      <c r="F375" t="inlineStr">
        <is>
          <t>GOTLANDS LÄN</t>
        </is>
      </c>
      <c r="G375" t="inlineStr">
        <is>
          <t>GOTLAND</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35537-2025</t>
        </is>
      </c>
      <c r="B376" t="inlineStr">
        <is>
          <t>avverkningsanmälan</t>
        </is>
      </c>
      <c r="C376" t="inlineStr">
        <is>
          <t>Föryngringsavverkning</t>
        </is>
      </c>
      <c r="D376" s="1" t="n">
        <v>45856</v>
      </c>
      <c r="E376" s="1" t="n">
        <v>46253</v>
      </c>
      <c r="F376" t="inlineStr">
        <is>
          <t>GOTLANDS LÄN</t>
        </is>
      </c>
      <c r="G376" t="inlineStr">
        <is>
          <t>GOTLAND</t>
        </is>
      </c>
      <c r="I376" t="n">
        <v>16.8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17343-2025</t>
        </is>
      </c>
      <c r="B377" t="inlineStr">
        <is>
          <t>avverkningsanmälan</t>
        </is>
      </c>
      <c r="C377" t="inlineStr">
        <is>
          <t>Föryngringsavverkning</t>
        </is>
      </c>
      <c r="D377" s="1" t="n">
        <v>45756</v>
      </c>
      <c r="E377" s="1" t="n">
        <v>46253</v>
      </c>
      <c r="F377" t="inlineStr">
        <is>
          <t>GOTLANDS LÄN</t>
        </is>
      </c>
      <c r="G377" t="inlineStr">
        <is>
          <t>GOTLAND</t>
        </is>
      </c>
      <c r="I377" t="n">
        <v>9.699999999999999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18938-2025</t>
        </is>
      </c>
      <c r="B378" t="inlineStr">
        <is>
          <t>avverkningsanmälan</t>
        </is>
      </c>
      <c r="C378" t="inlineStr">
        <is>
          <t>Föryngringsavverkning</t>
        </is>
      </c>
      <c r="D378" s="1" t="n">
        <v>45764</v>
      </c>
      <c r="E378" s="1" t="n">
        <v>46253</v>
      </c>
      <c r="F378" t="inlineStr">
        <is>
          <t>GOTLANDS LÄN</t>
        </is>
      </c>
      <c r="G378" t="inlineStr">
        <is>
          <t>GOTLAND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44949-2023</t>
        </is>
      </c>
      <c r="B379" t="inlineStr">
        <is>
          <t>avverkningsanmälan</t>
        </is>
      </c>
      <c r="C379" t="inlineStr">
        <is>
          <t>Föryngringsavverkning</t>
        </is>
      </c>
      <c r="D379" s="1" t="n">
        <v>45190</v>
      </c>
      <c r="E379" s="1" t="n">
        <v>46253</v>
      </c>
      <c r="F379" t="inlineStr">
        <is>
          <t>GOTLANDS LÄN</t>
        </is>
      </c>
      <c r="G379" t="inlineStr">
        <is>
          <t>GOTLAND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20307-2025</t>
        </is>
      </c>
      <c r="B380" t="inlineStr">
        <is>
          <t>avverkningsanmälan</t>
        </is>
      </c>
      <c r="C380" t="inlineStr">
        <is>
          <t>Föryngringsavverkning</t>
        </is>
      </c>
      <c r="D380" s="1" t="n">
        <v>45774</v>
      </c>
      <c r="E380" s="1" t="n">
        <v>46253</v>
      </c>
      <c r="F380" t="inlineStr">
        <is>
          <t>GOTLANDS LÄN</t>
        </is>
      </c>
      <c r="G380" t="inlineStr">
        <is>
          <t>GOTLAND</t>
        </is>
      </c>
      <c r="I380" t="n">
        <v>6.8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3964-2024</t>
        </is>
      </c>
      <c r="B381" t="inlineStr">
        <is>
          <t>avverkningsanmälan</t>
        </is>
      </c>
      <c r="C381" t="inlineStr">
        <is>
          <t>Föryngringsavverkning</t>
        </is>
      </c>
      <c r="D381" s="1" t="n">
        <v>45322</v>
      </c>
      <c r="E381" s="1" t="n">
        <v>46253</v>
      </c>
      <c r="F381" t="inlineStr">
        <is>
          <t>GOTLANDS LÄN</t>
        </is>
      </c>
      <c r="G381" t="inlineStr">
        <is>
          <t>GOTLAND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20356-2022</t>
        </is>
      </c>
      <c r="B382" t="inlineStr">
        <is>
          <t>avverkningsanmälan</t>
        </is>
      </c>
      <c r="C382" t="inlineStr">
        <is>
          <t>Avverkning för annat ändamål</t>
        </is>
      </c>
      <c r="D382" s="1" t="n">
        <v>44699</v>
      </c>
      <c r="E382" s="1" t="n">
        <v>46253</v>
      </c>
      <c r="F382" t="inlineStr">
        <is>
          <t>GOTLANDS LÄN</t>
        </is>
      </c>
      <c r="G382" t="inlineStr">
        <is>
          <t>GOTLAND</t>
        </is>
      </c>
      <c r="H382" t="inlineStr">
        <is>
          <t>Övriga Aktiebolag</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45084-2024</t>
        </is>
      </c>
      <c r="B383" t="inlineStr">
        <is>
          <t>avverkningsanmälan</t>
        </is>
      </c>
      <c r="C383" t="inlineStr">
        <is>
          <t>Föryngringsavverkning</t>
        </is>
      </c>
      <c r="D383" s="1" t="n">
        <v>45575</v>
      </c>
      <c r="E383" s="1" t="n">
        <v>46253</v>
      </c>
      <c r="F383" t="inlineStr">
        <is>
          <t>GOTLANDS LÄN</t>
        </is>
      </c>
      <c r="G383" t="inlineStr">
        <is>
          <t>GOTLAND</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36319-2025</t>
        </is>
      </c>
      <c r="B384" t="inlineStr">
        <is>
          <t>avverkningsanmälan</t>
        </is>
      </c>
      <c r="C384" t="inlineStr">
        <is>
          <t>Föryngringsavverkning</t>
        </is>
      </c>
      <c r="D384" s="1" t="n">
        <v>45868</v>
      </c>
      <c r="E384" s="1" t="n">
        <v>46253</v>
      </c>
      <c r="F384" t="inlineStr">
        <is>
          <t>GOTLANDS LÄN</t>
        </is>
      </c>
      <c r="G384" t="inlineStr">
        <is>
          <t>GOTLAND</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5217-2023</t>
        </is>
      </c>
      <c r="B385" t="inlineStr">
        <is>
          <t>avverkningsanmälan</t>
        </is>
      </c>
      <c r="C385" t="inlineStr">
        <is>
          <t>Föryngringsavverkning</t>
        </is>
      </c>
      <c r="D385" s="1" t="n">
        <v>44959</v>
      </c>
      <c r="E385" s="1" t="n">
        <v>46253</v>
      </c>
      <c r="F385" t="inlineStr">
        <is>
          <t>GOTLANDS LÄN</t>
        </is>
      </c>
      <c r="G385" t="inlineStr">
        <is>
          <t>GOTLAND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45244-2024</t>
        </is>
      </c>
      <c r="B386" t="inlineStr">
        <is>
          <t>avverkningsanmälan</t>
        </is>
      </c>
      <c r="C386" t="inlineStr">
        <is>
          <t>Avverkning för annat ändamål</t>
        </is>
      </c>
      <c r="D386" s="1" t="n">
        <v>45576</v>
      </c>
      <c r="E386" s="1" t="n">
        <v>46253</v>
      </c>
      <c r="F386" t="inlineStr">
        <is>
          <t>GOTLANDS LÄN</t>
        </is>
      </c>
      <c r="G386" t="inlineStr">
        <is>
          <t>GOTLAND</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8260-2023</t>
        </is>
      </c>
      <c r="B387" t="inlineStr">
        <is>
          <t>avverkningsanmälan</t>
        </is>
      </c>
      <c r="C387" t="inlineStr">
        <is>
          <t>Föryngringsavverkning</t>
        </is>
      </c>
      <c r="D387" s="1" t="n">
        <v>44974</v>
      </c>
      <c r="E387" s="1" t="n">
        <v>46253</v>
      </c>
      <c r="F387" t="inlineStr">
        <is>
          <t>GOTLANDS LÄN</t>
        </is>
      </c>
      <c r="G387" t="inlineStr">
        <is>
          <t>GOTLAND</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64969-2023</t>
        </is>
      </c>
      <c r="B388" t="inlineStr">
        <is>
          <t>avverkningsanmälan</t>
        </is>
      </c>
      <c r="C388" t="inlineStr">
        <is>
          <t>Föryngringsavverkning</t>
        </is>
      </c>
      <c r="D388" s="1" t="n">
        <v>45284</v>
      </c>
      <c r="E388" s="1" t="n">
        <v>46253</v>
      </c>
      <c r="F388" t="inlineStr">
        <is>
          <t>GOTLANDS LÄN</t>
        </is>
      </c>
      <c r="G388" t="inlineStr">
        <is>
          <t>GOTLAND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48843-2024</t>
        </is>
      </c>
      <c r="B389" t="inlineStr">
        <is>
          <t>avverkningsanmälan</t>
        </is>
      </c>
      <c r="C389" t="inlineStr">
        <is>
          <t>Föryngringsavverkning</t>
        </is>
      </c>
      <c r="D389" s="1" t="n">
        <v>45593</v>
      </c>
      <c r="E389" s="1" t="n">
        <v>46253</v>
      </c>
      <c r="F389" t="inlineStr">
        <is>
          <t>GOTLANDS LÄN</t>
        </is>
      </c>
      <c r="G389" t="inlineStr">
        <is>
          <t>GOTLAND</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17541-2024</t>
        </is>
      </c>
      <c r="B390" t="inlineStr">
        <is>
          <t>avverkningsanmälan</t>
        </is>
      </c>
      <c r="C390" t="inlineStr">
        <is>
          <t>Föryngringsavverkning</t>
        </is>
      </c>
      <c r="D390" s="1" t="n">
        <v>45415</v>
      </c>
      <c r="E390" s="1" t="n">
        <v>46253</v>
      </c>
      <c r="F390" t="inlineStr">
        <is>
          <t>GOTLANDS LÄN</t>
        </is>
      </c>
      <c r="G390" t="inlineStr">
        <is>
          <t>GOTLAND</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63002-2025</t>
        </is>
      </c>
      <c r="B391" t="inlineStr">
        <is>
          <t>avverkningsanmälan</t>
        </is>
      </c>
      <c r="C391" t="inlineStr">
        <is>
          <t>Föryngringsavverkning</t>
        </is>
      </c>
      <c r="D391" s="1" t="n">
        <v>46009</v>
      </c>
      <c r="E391" s="1" t="n">
        <v>46253</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15434-2024</t>
        </is>
      </c>
      <c r="B392" t="inlineStr">
        <is>
          <t>avverkningsanmälan</t>
        </is>
      </c>
      <c r="C392" t="inlineStr">
        <is>
          <t>Föryngringsavverkning</t>
        </is>
      </c>
      <c r="D392" s="1" t="n">
        <v>45401</v>
      </c>
      <c r="E392" s="1" t="n">
        <v>46253</v>
      </c>
      <c r="F392" t="inlineStr">
        <is>
          <t>GOTLANDS LÄN</t>
        </is>
      </c>
      <c r="G392" t="inlineStr">
        <is>
          <t>GOTLAND</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61078-2025</t>
        </is>
      </c>
      <c r="B393" t="inlineStr">
        <is>
          <t>avverkningsanmälan</t>
        </is>
      </c>
      <c r="C393" t="inlineStr">
        <is>
          <t>Föryngringsavverkning</t>
        </is>
      </c>
      <c r="D393" s="1" t="n">
        <v>46000</v>
      </c>
      <c r="E393" s="1" t="n">
        <v>46253</v>
      </c>
      <c r="F393" t="inlineStr">
        <is>
          <t>GOTLANDS LÄN</t>
        </is>
      </c>
      <c r="G393" t="inlineStr">
        <is>
          <t>GOTLAND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36-2026</t>
        </is>
      </c>
      <c r="B394" t="inlineStr">
        <is>
          <t>avverkningsanmälan</t>
        </is>
      </c>
      <c r="C394" t="inlineStr">
        <is>
          <t>Föryngringsavverkning</t>
        </is>
      </c>
      <c r="D394" s="1" t="n">
        <v>46024</v>
      </c>
      <c r="E394" s="1" t="n">
        <v>46253</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5943-2024</t>
        </is>
      </c>
      <c r="B395" t="inlineStr">
        <is>
          <t>avverkningsanmälan</t>
        </is>
      </c>
      <c r="C395" t="inlineStr">
        <is>
          <t>Avverkning för annat ändamål</t>
        </is>
      </c>
      <c r="D395" s="1" t="n">
        <v>45336</v>
      </c>
      <c r="E395" s="1" t="n">
        <v>46253</v>
      </c>
      <c r="F395" t="inlineStr">
        <is>
          <t>GOTLANDS LÄN</t>
        </is>
      </c>
      <c r="G395" t="inlineStr">
        <is>
          <t>GOTLAND</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22275-2026</t>
        </is>
      </c>
      <c r="B396" t="inlineStr">
        <is>
          <t>avverkningsanmälan</t>
        </is>
      </c>
      <c r="C396" t="inlineStr">
        <is>
          <t>Föryngringsavverkning</t>
        </is>
      </c>
      <c r="D396" s="1" t="n">
        <v>46154</v>
      </c>
      <c r="E396" s="1" t="n">
        <v>46253</v>
      </c>
      <c r="F396" t="inlineStr">
        <is>
          <t>GOTLANDS LÄN</t>
        </is>
      </c>
      <c r="G396" t="inlineStr">
        <is>
          <t>GOTLAND</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22281-2026</t>
        </is>
      </c>
      <c r="B397" t="inlineStr">
        <is>
          <t>avverkningsanmälan</t>
        </is>
      </c>
      <c r="C397" t="inlineStr">
        <is>
          <t>Avverkning för annat ändamål</t>
        </is>
      </c>
      <c r="D397" s="1" t="n">
        <v>46154</v>
      </c>
      <c r="E397" s="1" t="n">
        <v>46253</v>
      </c>
      <c r="F397" t="inlineStr">
        <is>
          <t>GOTLANDS LÄN</t>
        </is>
      </c>
      <c r="G397" t="inlineStr">
        <is>
          <t>GOTLAND</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54073-2022</t>
        </is>
      </c>
      <c r="B398" t="inlineStr">
        <is>
          <t>avverkningsanmälan</t>
        </is>
      </c>
      <c r="C398" t="inlineStr">
        <is>
          <t>Föryngringsavverkning</t>
        </is>
      </c>
      <c r="D398" s="1" t="n">
        <v>44881</v>
      </c>
      <c r="E398" s="1" t="n">
        <v>46253</v>
      </c>
      <c r="F398" t="inlineStr">
        <is>
          <t>GOTLANDS LÄN</t>
        </is>
      </c>
      <c r="G398" t="inlineStr">
        <is>
          <t>GOTLAND</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16361-2024</t>
        </is>
      </c>
      <c r="B399" t="inlineStr">
        <is>
          <t>avverkningsanmälan</t>
        </is>
      </c>
      <c r="C399" t="inlineStr">
        <is>
          <t>Föryngringsavverkning</t>
        </is>
      </c>
      <c r="D399" s="1" t="n">
        <v>45407</v>
      </c>
      <c r="E399" s="1" t="n">
        <v>46253</v>
      </c>
      <c r="F399" t="inlineStr">
        <is>
          <t>GOTLANDS LÄN</t>
        </is>
      </c>
      <c r="G399" t="inlineStr">
        <is>
          <t>GOTLAND</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41038-2023</t>
        </is>
      </c>
      <c r="B400" t="inlineStr">
        <is>
          <t>avverkningsanmälan</t>
        </is>
      </c>
      <c r="C400" t="inlineStr">
        <is>
          <t>Föryngringsavverkning</t>
        </is>
      </c>
      <c r="D400" s="1" t="n">
        <v>45173</v>
      </c>
      <c r="E400" s="1" t="n">
        <v>46253</v>
      </c>
      <c r="F400" t="inlineStr">
        <is>
          <t>GOTLANDS LÄN</t>
        </is>
      </c>
      <c r="G400" t="inlineStr">
        <is>
          <t>GOTLAND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22348-2026</t>
        </is>
      </c>
      <c r="B401" t="inlineStr">
        <is>
          <t>avverkningsanmälan</t>
        </is>
      </c>
      <c r="C401" t="inlineStr">
        <is>
          <t>Föryngringsavverkning</t>
        </is>
      </c>
      <c r="D401" s="1" t="n">
        <v>46154</v>
      </c>
      <c r="E401" s="1" t="n">
        <v>46253</v>
      </c>
      <c r="F401" t="inlineStr">
        <is>
          <t>GOTLANDS LÄN</t>
        </is>
      </c>
      <c r="G401" t="inlineStr">
        <is>
          <t>GOTLAND</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22351-2026</t>
        </is>
      </c>
      <c r="B402" t="inlineStr">
        <is>
          <t>avverkningsanmälan</t>
        </is>
      </c>
      <c r="C402" t="inlineStr">
        <is>
          <t>Föryngringsavverkning</t>
        </is>
      </c>
      <c r="D402" s="1" t="n">
        <v>46154</v>
      </c>
      <c r="E402" s="1" t="n">
        <v>46253</v>
      </c>
      <c r="F402" t="inlineStr">
        <is>
          <t>GOTLANDS LÄN</t>
        </is>
      </c>
      <c r="G402" t="inlineStr">
        <is>
          <t>GOTLAND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14427-2024</t>
        </is>
      </c>
      <c r="B403" t="inlineStr">
        <is>
          <t>avverkningsanmälan</t>
        </is>
      </c>
      <c r="C403" t="inlineStr">
        <is>
          <t>Avverkning för att bevara och utveckla /försöksver</t>
        </is>
      </c>
      <c r="D403" s="1" t="n">
        <v>45394</v>
      </c>
      <c r="E403" s="1" t="n">
        <v>46253</v>
      </c>
      <c r="F403" t="inlineStr">
        <is>
          <t>GOTLANDS LÄN</t>
        </is>
      </c>
      <c r="G403" t="inlineStr">
        <is>
          <t>GOTLAND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31802-2024</t>
        </is>
      </c>
      <c r="B404" t="inlineStr">
        <is>
          <t>avverkningsanmälan</t>
        </is>
      </c>
      <c r="C404" t="inlineStr">
        <is>
          <t>Avverkning för annat ändamål</t>
        </is>
      </c>
      <c r="D404" s="1" t="n">
        <v>45509</v>
      </c>
      <c r="E404" s="1" t="n">
        <v>46253</v>
      </c>
      <c r="F404" t="inlineStr">
        <is>
          <t>GOTLANDS LÄN</t>
        </is>
      </c>
      <c r="G404" t="inlineStr">
        <is>
          <t>GOTLAND</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2415-2026</t>
        </is>
      </c>
      <c r="B405" t="inlineStr">
        <is>
          <t>avverkningsanmälan</t>
        </is>
      </c>
      <c r="C405" t="inlineStr">
        <is>
          <t>Föryngringsavverkning</t>
        </is>
      </c>
      <c r="D405" s="1" t="n">
        <v>46036</v>
      </c>
      <c r="E405" s="1" t="n">
        <v>46253</v>
      </c>
      <c r="F405" t="inlineStr">
        <is>
          <t>GOTLANDS LÄN</t>
        </is>
      </c>
      <c r="G405" t="inlineStr">
        <is>
          <t>GOTLAND</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35096-2025</t>
        </is>
      </c>
      <c r="B406" t="inlineStr">
        <is>
          <t>avverkningsanmälan</t>
        </is>
      </c>
      <c r="C406" t="inlineStr">
        <is>
          <t>Föryngringsavverkning</t>
        </is>
      </c>
      <c r="D406" s="1" t="n">
        <v>45852</v>
      </c>
      <c r="E406" s="1" t="n">
        <v>46253</v>
      </c>
      <c r="F406" t="inlineStr">
        <is>
          <t>GOTLANDS LÄN</t>
        </is>
      </c>
      <c r="G406" t="inlineStr">
        <is>
          <t>GOTLAND</t>
        </is>
      </c>
      <c r="H406" t="inlineStr">
        <is>
          <t>Kyrkan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22887-2026</t>
        </is>
      </c>
      <c r="B407" t="inlineStr">
        <is>
          <t>avverkningsanmälan</t>
        </is>
      </c>
      <c r="C407" t="inlineStr">
        <is>
          <t>Avverkning för att bevara och utveckla /försöksver</t>
        </is>
      </c>
      <c r="D407" s="1" t="n">
        <v>46160</v>
      </c>
      <c r="E407" s="1" t="n">
        <v>46253</v>
      </c>
      <c r="F407" t="inlineStr">
        <is>
          <t>GOTLANDS LÄN</t>
        </is>
      </c>
      <c r="G407" t="inlineStr">
        <is>
          <t>GOTLAND</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12846-2025</t>
        </is>
      </c>
      <c r="B408" t="inlineStr">
        <is>
          <t>avverkningsanmälan</t>
        </is>
      </c>
      <c r="C408" t="inlineStr">
        <is>
          <t>Föryngringsavverkning</t>
        </is>
      </c>
      <c r="D408" s="1" t="n">
        <v>45733</v>
      </c>
      <c r="E408" s="1" t="n">
        <v>46253</v>
      </c>
      <c r="F408" t="inlineStr">
        <is>
          <t>GOTLANDS LÄN</t>
        </is>
      </c>
      <c r="G408" t="inlineStr">
        <is>
          <t>GOTLAND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23103-2026</t>
        </is>
      </c>
      <c r="B409" t="inlineStr">
        <is>
          <t>avverkningsanmälan</t>
        </is>
      </c>
      <c r="C409" t="inlineStr">
        <is>
          <t>Föryngringsavverkning</t>
        </is>
      </c>
      <c r="D409" s="1" t="n">
        <v>46161</v>
      </c>
      <c r="E409" s="1" t="n">
        <v>46253</v>
      </c>
      <c r="F409" t="inlineStr">
        <is>
          <t>GOTLANDS LÄN</t>
        </is>
      </c>
      <c r="G409" t="inlineStr">
        <is>
          <t>GOTLAND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46949-2024</t>
        </is>
      </c>
      <c r="B410" t="inlineStr">
        <is>
          <t>avverkningsanmälan</t>
        </is>
      </c>
      <c r="C410" t="inlineStr">
        <is>
          <t>Föryngringsavverkning</t>
        </is>
      </c>
      <c r="D410" s="1" t="n">
        <v>45585</v>
      </c>
      <c r="E410" s="1" t="n">
        <v>46253</v>
      </c>
      <c r="F410" t="inlineStr">
        <is>
          <t>GOTLANDS LÄN</t>
        </is>
      </c>
      <c r="G410" t="inlineStr">
        <is>
          <t>GOTLAND</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10650-2022</t>
        </is>
      </c>
      <c r="B411" t="inlineStr">
        <is>
          <t>avverkningsanmälan</t>
        </is>
      </c>
      <c r="C411" t="inlineStr">
        <is>
          <t>Föryngringsavverkning</t>
        </is>
      </c>
      <c r="D411" s="1" t="n">
        <v>44624</v>
      </c>
      <c r="E411" s="1" t="n">
        <v>46253</v>
      </c>
      <c r="F411" t="inlineStr">
        <is>
          <t>GOTLANDS LÄN</t>
        </is>
      </c>
      <c r="G411" t="inlineStr">
        <is>
          <t>GOTLAND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23504-2026</t>
        </is>
      </c>
      <c r="B412" t="inlineStr">
        <is>
          <t>avverkningsanmälan</t>
        </is>
      </c>
      <c r="C412" t="inlineStr">
        <is>
          <t>Föryngringsavverkning</t>
        </is>
      </c>
      <c r="D412" s="1" t="n">
        <v>46163</v>
      </c>
      <c r="E412" s="1" t="n">
        <v>46253</v>
      </c>
      <c r="F412" t="inlineStr">
        <is>
          <t>GOTLANDS LÄN</t>
        </is>
      </c>
      <c r="G412" t="inlineStr">
        <is>
          <t>GOTLAND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1351-2025</t>
        </is>
      </c>
      <c r="B413" t="inlineStr">
        <is>
          <t>avverkningsanmälan</t>
        </is>
      </c>
      <c r="C413" t="inlineStr">
        <is>
          <t>Föryngringsavverkning</t>
        </is>
      </c>
      <c r="D413" s="1" t="n">
        <v>45667</v>
      </c>
      <c r="E413" s="1" t="n">
        <v>46253</v>
      </c>
      <c r="F413" t="inlineStr">
        <is>
          <t>GOTLANDS LÄN</t>
        </is>
      </c>
      <c r="G413" t="inlineStr">
        <is>
          <t>GOTLAND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39496-2022</t>
        </is>
      </c>
      <c r="B414" t="inlineStr">
        <is>
          <t>avverkningsanmälan</t>
        </is>
      </c>
      <c r="C414" t="inlineStr">
        <is>
          <t>Föryngringsavverkning</t>
        </is>
      </c>
      <c r="D414" s="1" t="n">
        <v>44818</v>
      </c>
      <c r="E414" s="1" t="n">
        <v>46253</v>
      </c>
      <c r="F414" t="inlineStr">
        <is>
          <t>GOTLANDS LÄN</t>
        </is>
      </c>
      <c r="G414" t="inlineStr">
        <is>
          <t>GOTLAND</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49874-2024</t>
        </is>
      </c>
      <c r="B415" t="inlineStr">
        <is>
          <t>avverkningsanmälan</t>
        </is>
      </c>
      <c r="C415" t="inlineStr">
        <is>
          <t>Föryngringsavverkning</t>
        </is>
      </c>
      <c r="D415" s="1" t="n">
        <v>45597</v>
      </c>
      <c r="E415" s="1" t="n">
        <v>46253</v>
      </c>
      <c r="F415" t="inlineStr">
        <is>
          <t>GOTLANDS LÄN</t>
        </is>
      </c>
      <c r="G415" t="inlineStr">
        <is>
          <t>GOTLAND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46400-2023</t>
        </is>
      </c>
      <c r="B416" t="inlineStr">
        <is>
          <t>avverkningsanmälan</t>
        </is>
      </c>
      <c r="C416" t="inlineStr">
        <is>
          <t>Föryngringsavverkning</t>
        </is>
      </c>
      <c r="D416" s="1" t="n">
        <v>45197</v>
      </c>
      <c r="E416" s="1" t="n">
        <v>46253</v>
      </c>
      <c r="F416" t="inlineStr">
        <is>
          <t>GOTLANDS LÄN</t>
        </is>
      </c>
      <c r="G416" t="inlineStr">
        <is>
          <t>GOTLAND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21164-2024</t>
        </is>
      </c>
      <c r="B417" t="inlineStr">
        <is>
          <t>avverkningsanmälan</t>
        </is>
      </c>
      <c r="C417" t="inlineStr">
        <is>
          <t>Föryngringsavverkning</t>
        </is>
      </c>
      <c r="D417" s="1" t="n">
        <v>45440</v>
      </c>
      <c r="E417" s="1" t="n">
        <v>46253</v>
      </c>
      <c r="F417" t="inlineStr">
        <is>
          <t>GOTLANDS LÄN</t>
        </is>
      </c>
      <c r="G417" t="inlineStr">
        <is>
          <t>GOTLAND</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8045-2022</t>
        </is>
      </c>
      <c r="B418" t="inlineStr">
        <is>
          <t>avverkningsanmälan</t>
        </is>
      </c>
      <c r="C418" t="inlineStr">
        <is>
          <t>Föryngringsavverkning</t>
        </is>
      </c>
      <c r="D418" s="1" t="n">
        <v>44609</v>
      </c>
      <c r="E418" s="1" t="n">
        <v>46253</v>
      </c>
      <c r="F418" t="inlineStr">
        <is>
          <t>GOTLANDS LÄN</t>
        </is>
      </c>
      <c r="G418" t="inlineStr">
        <is>
          <t>GOTLAND</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30926-2026</t>
        </is>
      </c>
      <c r="B419" t="inlineStr">
        <is>
          <t>avverkningsanmälan</t>
        </is>
      </c>
      <c r="C419" t="inlineStr">
        <is>
          <t>Föryngringsavverkning</t>
        </is>
      </c>
      <c r="D419" s="1" t="n">
        <v>46213</v>
      </c>
      <c r="E419" s="1" t="n">
        <v>46253</v>
      </c>
      <c r="F419" t="inlineStr">
        <is>
          <t>GOTLANDS LÄN</t>
        </is>
      </c>
      <c r="G419" t="inlineStr">
        <is>
          <t>GOTLAND</t>
        </is>
      </c>
      <c r="I419" t="n">
        <v>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30925-2026</t>
        </is>
      </c>
      <c r="B420" t="inlineStr">
        <is>
          <t>avverkningsanmälan</t>
        </is>
      </c>
      <c r="C420" t="inlineStr">
        <is>
          <t>Föryngringsavverkning</t>
        </is>
      </c>
      <c r="D420" s="1" t="n">
        <v>46213</v>
      </c>
      <c r="E420" s="1" t="n">
        <v>46253</v>
      </c>
      <c r="F420" t="inlineStr">
        <is>
          <t>GOTLANDS LÄN</t>
        </is>
      </c>
      <c r="G420" t="inlineStr">
        <is>
          <t>GOTLAND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24448-2026</t>
        </is>
      </c>
      <c r="B421" t="inlineStr">
        <is>
          <t>avverkningsanmälan</t>
        </is>
      </c>
      <c r="C421" t="inlineStr">
        <is>
          <t>Föryngringsavverkning</t>
        </is>
      </c>
      <c r="D421" s="1" t="n">
        <v>46170</v>
      </c>
      <c r="E421" s="1" t="n">
        <v>46253</v>
      </c>
      <c r="F421" t="inlineStr">
        <is>
          <t>GOTLANDS LÄN</t>
        </is>
      </c>
      <c r="G421" t="inlineStr">
        <is>
          <t>GOTLAND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22897-2023</t>
        </is>
      </c>
      <c r="B422" t="inlineStr">
        <is>
          <t>avverkningsanmälan</t>
        </is>
      </c>
      <c r="C422" t="inlineStr">
        <is>
          <t>Föryngringsavverkning</t>
        </is>
      </c>
      <c r="D422" s="1" t="n">
        <v>45072</v>
      </c>
      <c r="E422" s="1" t="n">
        <v>46253</v>
      </c>
      <c r="F422" t="inlineStr">
        <is>
          <t>GOTLANDS LÄN</t>
        </is>
      </c>
      <c r="G422" t="inlineStr">
        <is>
          <t>GOTLAND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61897-2024</t>
        </is>
      </c>
      <c r="B423" t="inlineStr">
        <is>
          <t>avverkningsanmälan</t>
        </is>
      </c>
      <c r="C423" t="inlineStr">
        <is>
          <t>Föryngringsavverkning</t>
        </is>
      </c>
      <c r="D423" s="1" t="n">
        <v>45652</v>
      </c>
      <c r="E423" s="1" t="n">
        <v>46253</v>
      </c>
      <c r="F423" t="inlineStr">
        <is>
          <t>GOTLANDS LÄN</t>
        </is>
      </c>
      <c r="G423" t="inlineStr">
        <is>
          <t>GOTLAND</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20165-2022</t>
        </is>
      </c>
      <c r="B424" t="inlineStr">
        <is>
          <t>avverkningsanmälan</t>
        </is>
      </c>
      <c r="C424" t="inlineStr">
        <is>
          <t>Föryngringsavverkning</t>
        </is>
      </c>
      <c r="D424" s="1" t="n">
        <v>44698</v>
      </c>
      <c r="E424" s="1" t="n">
        <v>46253</v>
      </c>
      <c r="F424" t="inlineStr">
        <is>
          <t>GOTLANDS LÄN</t>
        </is>
      </c>
      <c r="G424" t="inlineStr">
        <is>
          <t>GOTLAND</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12032-2025</t>
        </is>
      </c>
      <c r="B425" t="inlineStr">
        <is>
          <t>avverkningsanmälan</t>
        </is>
      </c>
      <c r="C425" t="inlineStr">
        <is>
          <t>Föryngringsavverkning</t>
        </is>
      </c>
      <c r="D425" s="1" t="n">
        <v>45728</v>
      </c>
      <c r="E425" s="1" t="n">
        <v>46253</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38787-2023</t>
        </is>
      </c>
      <c r="B426" t="inlineStr">
        <is>
          <t>avverkningsanmälan</t>
        </is>
      </c>
      <c r="C426" t="inlineStr">
        <is>
          <t>Föryngringsavverkning</t>
        </is>
      </c>
      <c r="D426" s="1" t="n">
        <v>45163</v>
      </c>
      <c r="E426" s="1" t="n">
        <v>46253</v>
      </c>
      <c r="F426" t="inlineStr">
        <is>
          <t>GOTLANDS LÄN</t>
        </is>
      </c>
      <c r="G426" t="inlineStr">
        <is>
          <t>GOTLAND</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43231-2023</t>
        </is>
      </c>
      <c r="B427" t="inlineStr">
        <is>
          <t>avverkningsanmälan</t>
        </is>
      </c>
      <c r="C427" t="inlineStr">
        <is>
          <t>Föryngringsavverkning</t>
        </is>
      </c>
      <c r="D427" s="1" t="n">
        <v>45183</v>
      </c>
      <c r="E427" s="1" t="n">
        <v>46253</v>
      </c>
      <c r="F427" t="inlineStr">
        <is>
          <t>GOTLANDS LÄN</t>
        </is>
      </c>
      <c r="G427" t="inlineStr">
        <is>
          <t>GOTLAND</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17532-2024</t>
        </is>
      </c>
      <c r="B428" t="inlineStr">
        <is>
          <t>avverkningsanmälan</t>
        </is>
      </c>
      <c r="C428" t="inlineStr">
        <is>
          <t>Föryngringsavverkning</t>
        </is>
      </c>
      <c r="D428" s="1" t="n">
        <v>45415</v>
      </c>
      <c r="E428" s="1" t="n">
        <v>46253</v>
      </c>
      <c r="F428" t="inlineStr">
        <is>
          <t>GOTLANDS LÄN</t>
        </is>
      </c>
      <c r="G428" t="inlineStr">
        <is>
          <t>GOTLAND</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31695-2026</t>
        </is>
      </c>
      <c r="B429" t="inlineStr">
        <is>
          <t>avverkningsanmälan</t>
        </is>
      </c>
      <c r="C429" t="inlineStr">
        <is>
          <t>Föryngringsavverkning</t>
        </is>
      </c>
      <c r="D429" s="1" t="n">
        <v>46226</v>
      </c>
      <c r="E429" s="1" t="n">
        <v>46253</v>
      </c>
      <c r="F429" t="inlineStr">
        <is>
          <t>GOTLANDS LÄN</t>
        </is>
      </c>
      <c r="G429" t="inlineStr">
        <is>
          <t>GOTLAND</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27354-2026</t>
        </is>
      </c>
      <c r="B430" t="inlineStr">
        <is>
          <t>avverkningsanmälan</t>
        </is>
      </c>
      <c r="C430" t="inlineStr">
        <is>
          <t>Föryngringsavverkning</t>
        </is>
      </c>
      <c r="D430" s="1" t="n">
        <v>46184</v>
      </c>
      <c r="E430" s="1" t="n">
        <v>46253</v>
      </c>
      <c r="F430" t="inlineStr">
        <is>
          <t>GOTLANDS LÄN</t>
        </is>
      </c>
      <c r="G430" t="inlineStr">
        <is>
          <t>GOTLAND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31693-2026</t>
        </is>
      </c>
      <c r="B431" t="inlineStr">
        <is>
          <t>avverkningsanmälan</t>
        </is>
      </c>
      <c r="C431" t="inlineStr">
        <is>
          <t>Föryngringsavverkning</t>
        </is>
      </c>
      <c r="D431" s="1" t="n">
        <v>46226</v>
      </c>
      <c r="E431" s="1" t="n">
        <v>46253</v>
      </c>
      <c r="F431" t="inlineStr">
        <is>
          <t>GOTLANDS LÄN</t>
        </is>
      </c>
      <c r="G431" t="inlineStr">
        <is>
          <t>GOTLAND</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27164-2026</t>
        </is>
      </c>
      <c r="B432" t="inlineStr">
        <is>
          <t>avverkningsanmälan</t>
        </is>
      </c>
      <c r="C432" t="inlineStr">
        <is>
          <t>Föryngringsavverkning</t>
        </is>
      </c>
      <c r="D432" s="1" t="n">
        <v>46188</v>
      </c>
      <c r="E432" s="1" t="n">
        <v>46253</v>
      </c>
      <c r="F432" t="inlineStr">
        <is>
          <t>GOTLANDS LÄN</t>
        </is>
      </c>
      <c r="G432" t="inlineStr">
        <is>
          <t>GOTLAND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27346-2026</t>
        </is>
      </c>
      <c r="B433" t="inlineStr">
        <is>
          <t>avverkningsanmälan</t>
        </is>
      </c>
      <c r="C433" t="inlineStr">
        <is>
          <t>Föryngringsavverkning</t>
        </is>
      </c>
      <c r="D433" s="1" t="n">
        <v>46188</v>
      </c>
      <c r="E433" s="1" t="n">
        <v>46253</v>
      </c>
      <c r="F433" t="inlineStr">
        <is>
          <t>GOTLANDS LÄN</t>
        </is>
      </c>
      <c r="G433" t="inlineStr">
        <is>
          <t>GOTLAND</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31287-2026</t>
        </is>
      </c>
      <c r="B434" t="inlineStr">
        <is>
          <t>avverkningsanmälan</t>
        </is>
      </c>
      <c r="C434" t="inlineStr">
        <is>
          <t>Föryngringsavverkning</t>
        </is>
      </c>
      <c r="D434" s="1" t="n">
        <v>46218</v>
      </c>
      <c r="E434" s="1" t="n">
        <v>46253</v>
      </c>
      <c r="F434" t="inlineStr">
        <is>
          <t>GOTLANDS LÄN</t>
        </is>
      </c>
      <c r="G434" t="inlineStr">
        <is>
          <t>GOTLAND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42338-2023</t>
        </is>
      </c>
      <c r="B435" t="inlineStr">
        <is>
          <t>avverkningsanmälan</t>
        </is>
      </c>
      <c r="C435" t="inlineStr">
        <is>
          <t>Föryngringsavverkning</t>
        </is>
      </c>
      <c r="D435" s="1" t="n">
        <v>45180</v>
      </c>
      <c r="E435" s="1" t="n">
        <v>46253</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27341-2026</t>
        </is>
      </c>
      <c r="B436" t="inlineStr">
        <is>
          <t>avverkningsanmälan</t>
        </is>
      </c>
      <c r="C436" t="inlineStr">
        <is>
          <t>Föryngringsavverkning</t>
        </is>
      </c>
      <c r="D436" s="1" t="n">
        <v>46188</v>
      </c>
      <c r="E436" s="1" t="n">
        <v>46253</v>
      </c>
      <c r="F436" t="inlineStr">
        <is>
          <t>GOTLANDS LÄN</t>
        </is>
      </c>
      <c r="G436" t="inlineStr">
        <is>
          <t>GOTLAND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32239-2026</t>
        </is>
      </c>
      <c r="B437" t="inlineStr">
        <is>
          <t>avverkningsanmälan</t>
        </is>
      </c>
      <c r="C437" t="inlineStr">
        <is>
          <t>Föryngringsavverkning</t>
        </is>
      </c>
      <c r="D437" s="1" t="n">
        <v>46237</v>
      </c>
      <c r="E437" s="1" t="n">
        <v>46253</v>
      </c>
      <c r="F437" t="inlineStr">
        <is>
          <t>GOTLANDS LÄN</t>
        </is>
      </c>
      <c r="G437" t="inlineStr">
        <is>
          <t>GOTLAND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28012-2026</t>
        </is>
      </c>
      <c r="B438" t="inlineStr">
        <is>
          <t>avverkningsanmälan</t>
        </is>
      </c>
      <c r="C438" t="inlineStr">
        <is>
          <t>Föryngringsavverkning</t>
        </is>
      </c>
      <c r="D438" s="1" t="n">
        <v>46195</v>
      </c>
      <c r="E438" s="1" t="n">
        <v>46253</v>
      </c>
      <c r="F438" t="inlineStr">
        <is>
          <t>GOTLANDS LÄN</t>
        </is>
      </c>
      <c r="G438" t="inlineStr">
        <is>
          <t>GOTLAND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873-2024</t>
        </is>
      </c>
      <c r="B439" t="inlineStr">
        <is>
          <t>avverkningsanmälan</t>
        </is>
      </c>
      <c r="C439" t="inlineStr">
        <is>
          <t>Avverkning för annat ändamål</t>
        </is>
      </c>
      <c r="D439" s="1" t="n">
        <v>45301</v>
      </c>
      <c r="E439" s="1" t="n">
        <v>46253</v>
      </c>
      <c r="F439" t="inlineStr">
        <is>
          <t>GOTLANDS LÄN</t>
        </is>
      </c>
      <c r="G439" t="inlineStr">
        <is>
          <t>GOTLAND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32553-2026</t>
        </is>
      </c>
      <c r="B440" t="inlineStr">
        <is>
          <t>avverkningsanmälan</t>
        </is>
      </c>
      <c r="C440" t="inlineStr">
        <is>
          <t>Föryngringsavverkning</t>
        </is>
      </c>
      <c r="D440" s="1" t="n">
        <v>46239</v>
      </c>
      <c r="E440" s="1" t="n">
        <v>46253</v>
      </c>
      <c r="F440" t="inlineStr">
        <is>
          <t>GOTLANDS LÄN</t>
        </is>
      </c>
      <c r="G440" t="inlineStr">
        <is>
          <t>GOTLAND</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22275-2023</t>
        </is>
      </c>
      <c r="B441" t="inlineStr">
        <is>
          <t>avverkningsanmälan</t>
        </is>
      </c>
      <c r="C441" t="inlineStr">
        <is>
          <t>Föryngringsavverkning</t>
        </is>
      </c>
      <c r="D441" s="1" t="n">
        <v>45070</v>
      </c>
      <c r="E441" s="1" t="n">
        <v>46253</v>
      </c>
      <c r="F441" t="inlineStr">
        <is>
          <t>GOTLANDS LÄN</t>
        </is>
      </c>
      <c r="G441" t="inlineStr">
        <is>
          <t>GOTLAND</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12322-2025</t>
        </is>
      </c>
      <c r="B442" t="inlineStr">
        <is>
          <t>avverkningsanmälan</t>
        </is>
      </c>
      <c r="C442" t="inlineStr">
        <is>
          <t>Föryngringsavverkning</t>
        </is>
      </c>
      <c r="D442" s="1" t="n">
        <v>45730</v>
      </c>
      <c r="E442" s="1" t="n">
        <v>46253</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14797-2024</t>
        </is>
      </c>
      <c r="B443" t="inlineStr">
        <is>
          <t>avverkningsanmälan</t>
        </is>
      </c>
      <c r="C443" t="inlineStr">
        <is>
          <t>Föryngringsavverkning</t>
        </is>
      </c>
      <c r="D443" s="1" t="n">
        <v>45397</v>
      </c>
      <c r="E443" s="1" t="n">
        <v>46253</v>
      </c>
      <c r="F443" t="inlineStr">
        <is>
          <t>GOTLANDS LÄN</t>
        </is>
      </c>
      <c r="G443" t="inlineStr">
        <is>
          <t>GOTLAND</t>
        </is>
      </c>
      <c r="I443" t="n">
        <v>8.1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999-2024</t>
        </is>
      </c>
      <c r="B444" t="inlineStr">
        <is>
          <t>avverkningsanmälan</t>
        </is>
      </c>
      <c r="C444" t="inlineStr">
        <is>
          <t>Föryngringsavverkning</t>
        </is>
      </c>
      <c r="D444" s="1" t="n">
        <v>45301</v>
      </c>
      <c r="E444" s="1" t="n">
        <v>46253</v>
      </c>
      <c r="F444" t="inlineStr">
        <is>
          <t>GOTLANDS LÄN</t>
        </is>
      </c>
      <c r="G444" t="inlineStr">
        <is>
          <t>GOTLAND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32626-2026</t>
        </is>
      </c>
      <c r="B445" t="inlineStr">
        <is>
          <t>avverkningsanmälan</t>
        </is>
      </c>
      <c r="C445" t="inlineStr">
        <is>
          <t>Föryngringsavverkning</t>
        </is>
      </c>
      <c r="D445" s="1" t="n">
        <v>46240</v>
      </c>
      <c r="E445" s="1" t="n">
        <v>46253</v>
      </c>
      <c r="F445" t="inlineStr">
        <is>
          <t>GOTLANDS LÄN</t>
        </is>
      </c>
      <c r="G445" t="inlineStr">
        <is>
          <t>GOTLAND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61596-2023</t>
        </is>
      </c>
      <c r="B446" t="inlineStr">
        <is>
          <t>avverkningsanmälan</t>
        </is>
      </c>
      <c r="C446" t="inlineStr">
        <is>
          <t>Föryngringsavverkning</t>
        </is>
      </c>
      <c r="D446" s="1" t="n">
        <v>45265</v>
      </c>
      <c r="E446" s="1" t="n">
        <v>46253</v>
      </c>
      <c r="F446" t="inlineStr">
        <is>
          <t>GOTLANDS LÄN</t>
        </is>
      </c>
      <c r="G446" t="inlineStr">
        <is>
          <t>GOTLAND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60675-2021</t>
        </is>
      </c>
      <c r="B447" t="inlineStr">
        <is>
          <t>avverkningsanmälan</t>
        </is>
      </c>
      <c r="C447" t="inlineStr">
        <is>
          <t>Föryngringsavverkning</t>
        </is>
      </c>
      <c r="D447" s="1" t="n">
        <v>44496</v>
      </c>
      <c r="E447" s="1" t="n">
        <v>46253</v>
      </c>
      <c r="F447" t="inlineStr">
        <is>
          <t>GOTLANDS LÄN</t>
        </is>
      </c>
      <c r="G447" t="inlineStr">
        <is>
          <t>GOTLAND</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37728-2024</t>
        </is>
      </c>
      <c r="B448" t="inlineStr">
        <is>
          <t>avverkningsanmälan</t>
        </is>
      </c>
      <c r="C448" t="inlineStr">
        <is>
          <t>Föryngringsavverkning</t>
        </is>
      </c>
      <c r="D448" s="1" t="n">
        <v>45541</v>
      </c>
      <c r="E448" s="1" t="n">
        <v>46253</v>
      </c>
      <c r="F448" t="inlineStr">
        <is>
          <t>GOTLANDS LÄN</t>
        </is>
      </c>
      <c r="G448" t="inlineStr">
        <is>
          <t>GOTLAND</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28839-2026</t>
        </is>
      </c>
      <c r="B449" t="inlineStr">
        <is>
          <t>avverkningsanmälan</t>
        </is>
      </c>
      <c r="C449" t="inlineStr">
        <is>
          <t>Föryngringsavverkning</t>
        </is>
      </c>
      <c r="D449" s="1" t="n">
        <v>46198</v>
      </c>
      <c r="E449" s="1" t="n">
        <v>46253</v>
      </c>
      <c r="F449" t="inlineStr">
        <is>
          <t>GOTLANDS LÄN</t>
        </is>
      </c>
      <c r="G449" t="inlineStr">
        <is>
          <t>GOTLAND</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28843-2026</t>
        </is>
      </c>
      <c r="B450" t="inlineStr">
        <is>
          <t>avverkningsanmälan</t>
        </is>
      </c>
      <c r="C450" t="inlineStr">
        <is>
          <t>Föryngringsavverkning</t>
        </is>
      </c>
      <c r="D450" s="1" t="n">
        <v>46198</v>
      </c>
      <c r="E450" s="1" t="n">
        <v>46253</v>
      </c>
      <c r="F450" t="inlineStr">
        <is>
          <t>GOTLANDS LÄN</t>
        </is>
      </c>
      <c r="G450" t="inlineStr">
        <is>
          <t>GOTLAND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22287-2022</t>
        </is>
      </c>
      <c r="B451" t="inlineStr">
        <is>
          <t>avverkningsanmälan</t>
        </is>
      </c>
      <c r="C451" t="inlineStr">
        <is>
          <t>Avverkning för annat ändamål</t>
        </is>
      </c>
      <c r="D451" s="1" t="n">
        <v>44712</v>
      </c>
      <c r="E451" s="1" t="n">
        <v>46253</v>
      </c>
      <c r="F451" t="inlineStr">
        <is>
          <t>GOTLANDS LÄN</t>
        </is>
      </c>
      <c r="G451" t="inlineStr">
        <is>
          <t>GOTLAND</t>
        </is>
      </c>
      <c r="I451" t="n">
        <v>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54074-2022</t>
        </is>
      </c>
      <c r="B452" t="inlineStr">
        <is>
          <t>avverkningsanmälan</t>
        </is>
      </c>
      <c r="C452" t="inlineStr">
        <is>
          <t>Föryngringsavverkning</t>
        </is>
      </c>
      <c r="D452" s="1" t="n">
        <v>44881</v>
      </c>
      <c r="E452" s="1" t="n">
        <v>46253</v>
      </c>
      <c r="F452" t="inlineStr">
        <is>
          <t>GOTLANDS LÄN</t>
        </is>
      </c>
      <c r="G452" t="inlineStr">
        <is>
          <t>GOTLAND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65249-2023</t>
        </is>
      </c>
      <c r="B453" t="inlineStr">
        <is>
          <t>avverkningsanmälan</t>
        </is>
      </c>
      <c r="C453" t="inlineStr">
        <is>
          <t>Föryngringsavverkning</t>
        </is>
      </c>
      <c r="D453" s="1" t="n">
        <v>45290</v>
      </c>
      <c r="E453" s="1" t="n">
        <v>46253</v>
      </c>
      <c r="F453" t="inlineStr">
        <is>
          <t>GOTLANDS LÄN</t>
        </is>
      </c>
      <c r="G453" t="inlineStr">
        <is>
          <t>GOTLAND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29370-2026</t>
        </is>
      </c>
      <c r="B454" t="inlineStr">
        <is>
          <t>avverkningsanmälan</t>
        </is>
      </c>
      <c r="C454" t="inlineStr">
        <is>
          <t>Föryngringsavverkning</t>
        </is>
      </c>
      <c r="D454" s="1" t="n">
        <v>46203</v>
      </c>
      <c r="E454" s="1" t="n">
        <v>46253</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33289-2026</t>
        </is>
      </c>
      <c r="B455" t="inlineStr">
        <is>
          <t>avverkningsanmälan</t>
        </is>
      </c>
      <c r="C455" t="inlineStr">
        <is>
          <t>Föryngringsavverkning</t>
        </is>
      </c>
      <c r="D455" s="1" t="n">
        <v>46246</v>
      </c>
      <c r="E455" s="1" t="n">
        <v>46253</v>
      </c>
      <c r="F455" t="inlineStr">
        <is>
          <t>GOTLANDS LÄN</t>
        </is>
      </c>
      <c r="G455" t="inlineStr">
        <is>
          <t>GOTLAND</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17780-2022</t>
        </is>
      </c>
      <c r="B456" t="inlineStr">
        <is>
          <t>avverkningsanmälan</t>
        </is>
      </c>
      <c r="C456" t="inlineStr">
        <is>
          <t>Föryngringsavverkning</t>
        </is>
      </c>
      <c r="D456" s="1" t="n">
        <v>44682</v>
      </c>
      <c r="E456" s="1" t="n">
        <v>46253</v>
      </c>
      <c r="F456" t="inlineStr">
        <is>
          <t>GOTLANDS LÄN</t>
        </is>
      </c>
      <c r="G456" t="inlineStr">
        <is>
          <t>GOTLAND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59986-2022</t>
        </is>
      </c>
      <c r="B457" t="inlineStr">
        <is>
          <t>avverkningsanmälan</t>
        </is>
      </c>
      <c r="C457" t="inlineStr">
        <is>
          <t>Avverkning för annat ändamål</t>
        </is>
      </c>
      <c r="D457" s="1" t="n">
        <v>44909</v>
      </c>
      <c r="E457" s="1" t="n">
        <v>46253</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11874-2024</t>
        </is>
      </c>
      <c r="B458" t="inlineStr">
        <is>
          <t>avverkningsanmälan</t>
        </is>
      </c>
      <c r="C458" t="inlineStr">
        <is>
          <t>Föryngringsavverkning</t>
        </is>
      </c>
      <c r="D458" s="1" t="n">
        <v>45376</v>
      </c>
      <c r="E458" s="1" t="n">
        <v>46253</v>
      </c>
      <c r="F458" t="inlineStr">
        <is>
          <t>GOTLANDS LÄN</t>
        </is>
      </c>
      <c r="G458" t="inlineStr">
        <is>
          <t>GOTLAND</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42041-2024</t>
        </is>
      </c>
      <c r="B459" t="inlineStr">
        <is>
          <t>avverkningsanmälan</t>
        </is>
      </c>
      <c r="C459" t="inlineStr">
        <is>
          <t>Föryngringsavverkning</t>
        </is>
      </c>
      <c r="D459" s="1" t="n">
        <v>45561</v>
      </c>
      <c r="E459" s="1" t="n">
        <v>46253</v>
      </c>
      <c r="F459" t="inlineStr">
        <is>
          <t>GOTLANDS LÄN</t>
        </is>
      </c>
      <c r="G459" t="inlineStr">
        <is>
          <t>GOTLAND</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61694-2023</t>
        </is>
      </c>
      <c r="B460" t="inlineStr">
        <is>
          <t>avverkningsanmälan</t>
        </is>
      </c>
      <c r="C460" t="inlineStr">
        <is>
          <t>Föryngringsavverkning</t>
        </is>
      </c>
      <c r="D460" s="1" t="n">
        <v>45264</v>
      </c>
      <c r="E460" s="1" t="n">
        <v>46253</v>
      </c>
      <c r="F460" t="inlineStr">
        <is>
          <t>GOTLANDS LÄN</t>
        </is>
      </c>
      <c r="G460" t="inlineStr">
        <is>
          <t>GOTLAND</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32698-2026</t>
        </is>
      </c>
      <c r="B461" t="inlineStr">
        <is>
          <t>avverkningsanmälan</t>
        </is>
      </c>
      <c r="C461" t="inlineStr">
        <is>
          <t>Föryngringsavverkning</t>
        </is>
      </c>
      <c r="D461" s="1" t="n">
        <v>46240</v>
      </c>
      <c r="E461" s="1" t="n">
        <v>46253</v>
      </c>
      <c r="F461" t="inlineStr">
        <is>
          <t>GOTLANDS LÄN</t>
        </is>
      </c>
      <c r="G461" t="inlineStr">
        <is>
          <t>GOTLAND</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64555-2023</t>
        </is>
      </c>
      <c r="B462" t="inlineStr">
        <is>
          <t>avverkningsanmälan</t>
        </is>
      </c>
      <c r="C462" t="inlineStr">
        <is>
          <t>Avverkning för annat ändamål</t>
        </is>
      </c>
      <c r="D462" s="1" t="n">
        <v>45281</v>
      </c>
      <c r="E462" s="1" t="n">
        <v>46253</v>
      </c>
      <c r="F462" t="inlineStr">
        <is>
          <t>GOTLANDS LÄN</t>
        </is>
      </c>
      <c r="G462" t="inlineStr">
        <is>
          <t>GOTLAND</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64831-2023</t>
        </is>
      </c>
      <c r="B463" t="inlineStr">
        <is>
          <t>avverkningsanmälan</t>
        </is>
      </c>
      <c r="C463" t="inlineStr">
        <is>
          <t>Föryngringsavverkning</t>
        </is>
      </c>
      <c r="D463" s="1" t="n">
        <v>45282</v>
      </c>
      <c r="E463" s="1" t="n">
        <v>46253</v>
      </c>
      <c r="F463" t="inlineStr">
        <is>
          <t>GOTLANDS LÄN</t>
        </is>
      </c>
      <c r="G463" t="inlineStr">
        <is>
          <t>GOTLAND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4377-2023</t>
        </is>
      </c>
      <c r="B464" t="inlineStr">
        <is>
          <t>avverkningsanmälan</t>
        </is>
      </c>
      <c r="C464" t="inlineStr">
        <is>
          <t>Föryngringsavverkning</t>
        </is>
      </c>
      <c r="D464" s="1" t="n">
        <v>44955</v>
      </c>
      <c r="E464" s="1" t="n">
        <v>46253</v>
      </c>
      <c r="F464" t="inlineStr">
        <is>
          <t>GOTLANDS LÄN</t>
        </is>
      </c>
      <c r="G464" t="inlineStr">
        <is>
          <t>GOTLAND</t>
        </is>
      </c>
      <c r="H464" t="inlineStr">
        <is>
          <t>Kyrkan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4387-2023</t>
        </is>
      </c>
      <c r="B465" t="inlineStr">
        <is>
          <t>avverkningsanmälan</t>
        </is>
      </c>
      <c r="C465" t="inlineStr">
        <is>
          <t>Föryngringsavverkning</t>
        </is>
      </c>
      <c r="D465" s="1" t="n">
        <v>44955</v>
      </c>
      <c r="E465" s="1" t="n">
        <v>46253</v>
      </c>
      <c r="F465" t="inlineStr">
        <is>
          <t>GOTLANDS LÄN</t>
        </is>
      </c>
      <c r="G465" t="inlineStr">
        <is>
          <t>GOTLAND</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39479-2022</t>
        </is>
      </c>
      <c r="B466" t="inlineStr">
        <is>
          <t>avverkningsanmälan</t>
        </is>
      </c>
      <c r="C466" t="inlineStr">
        <is>
          <t>Föryngringsavverkning</t>
        </is>
      </c>
      <c r="D466" s="1" t="n">
        <v>44818</v>
      </c>
      <c r="E466" s="1" t="n">
        <v>46253</v>
      </c>
      <c r="F466" t="inlineStr">
        <is>
          <t>GOTLANDS LÄN</t>
        </is>
      </c>
      <c r="G466" t="inlineStr">
        <is>
          <t>GOTLAND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51963-2024</t>
        </is>
      </c>
      <c r="B467" t="inlineStr">
        <is>
          <t>avverkningsanmälan</t>
        </is>
      </c>
      <c r="C467" t="inlineStr">
        <is>
          <t>Föryngringsavverkning</t>
        </is>
      </c>
      <c r="D467" s="1" t="n">
        <v>45607</v>
      </c>
      <c r="E467" s="1" t="n">
        <v>46253</v>
      </c>
      <c r="F467" t="inlineStr">
        <is>
          <t>GOTLANDS LÄN</t>
        </is>
      </c>
      <c r="G467" t="inlineStr">
        <is>
          <t>GOTLAND</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811-2023</t>
        </is>
      </c>
      <c r="B468" t="inlineStr">
        <is>
          <t>avverkningsanmälan</t>
        </is>
      </c>
      <c r="C468" t="inlineStr">
        <is>
          <t>Föryngringsavverkning</t>
        </is>
      </c>
      <c r="D468" s="1" t="n">
        <v>44931</v>
      </c>
      <c r="E468" s="1" t="n">
        <v>46253</v>
      </c>
      <c r="F468" t="inlineStr">
        <is>
          <t>GOTLANDS LÄN</t>
        </is>
      </c>
      <c r="G468" t="inlineStr">
        <is>
          <t>GOTLAND</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46389-2021</t>
        </is>
      </c>
      <c r="B469" t="inlineStr">
        <is>
          <t>avverkningsanmälan</t>
        </is>
      </c>
      <c r="C469" t="inlineStr">
        <is>
          <t>Föryngringsavverkning</t>
        </is>
      </c>
      <c r="D469" s="1" t="n">
        <v>44443</v>
      </c>
      <c r="E469" s="1" t="n">
        <v>46253</v>
      </c>
      <c r="F469" t="inlineStr">
        <is>
          <t>GOTLANDS LÄN</t>
        </is>
      </c>
      <c r="G469" t="inlineStr">
        <is>
          <t>GOTLAND</t>
        </is>
      </c>
      <c r="H469" t="inlineStr">
        <is>
          <t>Kyrkan</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5923-2023</t>
        </is>
      </c>
      <c r="B470" t="inlineStr">
        <is>
          <t>avverkningsanmälan</t>
        </is>
      </c>
      <c r="C470" t="inlineStr">
        <is>
          <t>Föryngringsavverkning</t>
        </is>
      </c>
      <c r="D470" s="1" t="n">
        <v>44963</v>
      </c>
      <c r="E470" s="1" t="n">
        <v>46253</v>
      </c>
      <c r="F470" t="inlineStr">
        <is>
          <t>GOTLANDS LÄN</t>
        </is>
      </c>
      <c r="G470" t="inlineStr">
        <is>
          <t>GOTLAND</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18918-2025</t>
        </is>
      </c>
      <c r="B471" t="inlineStr">
        <is>
          <t>avverkningsanmälan</t>
        </is>
      </c>
      <c r="C471" t="inlineStr">
        <is>
          <t>Avverkning för annat ändamål</t>
        </is>
      </c>
      <c r="D471" s="1" t="n">
        <v>45764</v>
      </c>
      <c r="E471" s="1" t="n">
        <v>46253</v>
      </c>
      <c r="F471" t="inlineStr">
        <is>
          <t>GOTLANDS LÄN</t>
        </is>
      </c>
      <c r="G471" t="inlineStr">
        <is>
          <t>GOTLAND</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2674-2023</t>
        </is>
      </c>
      <c r="B472" t="inlineStr">
        <is>
          <t>avverkningsanmälan</t>
        </is>
      </c>
      <c r="C472" t="inlineStr">
        <is>
          <t>Avverkning för annat ändamål</t>
        </is>
      </c>
      <c r="D472" s="1" t="n">
        <v>44944</v>
      </c>
      <c r="E472" s="1" t="n">
        <v>46253</v>
      </c>
      <c r="F472" t="inlineStr">
        <is>
          <t>GOTLANDS LÄN</t>
        </is>
      </c>
      <c r="G472" t="inlineStr">
        <is>
          <t>GOTLAND</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10655-2023</t>
        </is>
      </c>
      <c r="B473" t="inlineStr">
        <is>
          <t>avverkningsanmälan</t>
        </is>
      </c>
      <c r="C473" t="inlineStr">
        <is>
          <t>Föryngringsavverkning</t>
        </is>
      </c>
      <c r="D473" s="1" t="n">
        <v>44988</v>
      </c>
      <c r="E473" s="1" t="n">
        <v>46253</v>
      </c>
      <c r="F473" t="inlineStr">
        <is>
          <t>GOTLANDS LÄN</t>
        </is>
      </c>
      <c r="G473" t="inlineStr">
        <is>
          <t>GOTLAND</t>
        </is>
      </c>
      <c r="H473" t="inlineStr">
        <is>
          <t>Kyrkan</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2719-2023</t>
        </is>
      </c>
      <c r="B474" t="inlineStr">
        <is>
          <t>avverkningsanmälan</t>
        </is>
      </c>
      <c r="C474" t="inlineStr">
        <is>
          <t>Föryngringsavverkning</t>
        </is>
      </c>
      <c r="D474" s="1" t="n">
        <v>44944</v>
      </c>
      <c r="E474" s="1" t="n">
        <v>46253</v>
      </c>
      <c r="F474" t="inlineStr">
        <is>
          <t>GOTLANDS LÄN</t>
        </is>
      </c>
      <c r="G474" t="inlineStr">
        <is>
          <t>GOTLAND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42007-2023</t>
        </is>
      </c>
      <c r="B475" t="inlineStr">
        <is>
          <t>avverkningsanmälan</t>
        </is>
      </c>
      <c r="C475" t="inlineStr">
        <is>
          <t>Avverkning för annat ändamål</t>
        </is>
      </c>
      <c r="D475" s="1" t="n">
        <v>45177</v>
      </c>
      <c r="E475" s="1" t="n">
        <v>46253</v>
      </c>
      <c r="F475" t="inlineStr">
        <is>
          <t>GOTLANDS LÄN</t>
        </is>
      </c>
      <c r="G475" t="inlineStr">
        <is>
          <t>GOTLAND</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9887-2025</t>
        </is>
      </c>
      <c r="B476" t="inlineStr">
        <is>
          <t>avverkningsanmälan</t>
        </is>
      </c>
      <c r="C476" t="inlineStr">
        <is>
          <t>Föryngringsavverkning</t>
        </is>
      </c>
      <c r="D476" s="1" t="n">
        <v>45716</v>
      </c>
      <c r="E476" s="1" t="n">
        <v>46253</v>
      </c>
      <c r="F476" t="inlineStr">
        <is>
          <t>GOTLANDS LÄN</t>
        </is>
      </c>
      <c r="G476" t="inlineStr">
        <is>
          <t>GOTLAND</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27596-2023</t>
        </is>
      </c>
      <c r="B477" t="inlineStr">
        <is>
          <t>avverkningsanmälan</t>
        </is>
      </c>
      <c r="C477" t="inlineStr">
        <is>
          <t>Avverkning för annat ändamål</t>
        </is>
      </c>
      <c r="D477" s="1" t="n">
        <v>45097</v>
      </c>
      <c r="E477" s="1" t="n">
        <v>46253</v>
      </c>
      <c r="F477" t="inlineStr">
        <is>
          <t>GOTLANDS LÄN</t>
        </is>
      </c>
      <c r="G477" t="inlineStr">
        <is>
          <t>GOTLAND</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24825-2024</t>
        </is>
      </c>
      <c r="B478" t="inlineStr">
        <is>
          <t>avverkningsanmälan</t>
        </is>
      </c>
      <c r="C478" t="inlineStr">
        <is>
          <t>Avverkning för annat ändamål</t>
        </is>
      </c>
      <c r="D478" s="1" t="n">
        <v>45461</v>
      </c>
      <c r="E478" s="1" t="n">
        <v>46253</v>
      </c>
      <c r="F478" t="inlineStr">
        <is>
          <t>GOTLANDS LÄN</t>
        </is>
      </c>
      <c r="G478" t="inlineStr">
        <is>
          <t>GOTLAND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6696-2023</t>
        </is>
      </c>
      <c r="B479" t="inlineStr">
        <is>
          <t>avverkningsanmälan</t>
        </is>
      </c>
      <c r="C479" t="inlineStr">
        <is>
          <t>Föryngringsavverkning</t>
        </is>
      </c>
      <c r="D479" s="1" t="n">
        <v>44966</v>
      </c>
      <c r="E479" s="1" t="n">
        <v>46253</v>
      </c>
      <c r="F479" t="inlineStr">
        <is>
          <t>GOTLANDS LÄN</t>
        </is>
      </c>
      <c r="G479" t="inlineStr">
        <is>
          <t>GOTLAND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21247-2022</t>
        </is>
      </c>
      <c r="B480" t="inlineStr">
        <is>
          <t>avverkningsanmälan</t>
        </is>
      </c>
      <c r="C480" t="inlineStr">
        <is>
          <t>Föryngringsavverkning</t>
        </is>
      </c>
      <c r="D480" s="1" t="n">
        <v>44705</v>
      </c>
      <c r="E480" s="1" t="n">
        <v>46253</v>
      </c>
      <c r="F480" t="inlineStr">
        <is>
          <t>GOTLANDS LÄN</t>
        </is>
      </c>
      <c r="G480" t="inlineStr">
        <is>
          <t>GOTLAND</t>
        </is>
      </c>
      <c r="I480" t="n">
        <v>16.2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456-2023</t>
        </is>
      </c>
      <c r="B481" t="inlineStr">
        <is>
          <t>avverkningsanmälan</t>
        </is>
      </c>
      <c r="C481" t="inlineStr">
        <is>
          <t>Föryngringsavverkning</t>
        </is>
      </c>
      <c r="D481" s="1" t="n">
        <v>44929</v>
      </c>
      <c r="E481" s="1" t="n">
        <v>46253</v>
      </c>
      <c r="F481" t="inlineStr">
        <is>
          <t>GOTLANDS LÄN</t>
        </is>
      </c>
      <c r="G481" t="inlineStr">
        <is>
          <t>GOTLAND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2714-2023</t>
        </is>
      </c>
      <c r="B482" t="inlineStr">
        <is>
          <t>avverkningsanmälan</t>
        </is>
      </c>
      <c r="C482" t="inlineStr">
        <is>
          <t>Föryngringsavverkning</t>
        </is>
      </c>
      <c r="D482" s="1" t="n">
        <v>44944</v>
      </c>
      <c r="E482" s="1" t="n">
        <v>46253</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4421-2024</t>
        </is>
      </c>
      <c r="B483" t="inlineStr">
        <is>
          <t>avverkningsanmälan</t>
        </is>
      </c>
      <c r="C483" t="inlineStr">
        <is>
          <t>Föryngringsavverkning</t>
        </is>
      </c>
      <c r="D483" s="1" t="n">
        <v>45327</v>
      </c>
      <c r="E483" s="1" t="n">
        <v>46253</v>
      </c>
      <c r="F483" t="inlineStr">
        <is>
          <t>GOTLANDS LÄN</t>
        </is>
      </c>
      <c r="G483" t="inlineStr">
        <is>
          <t>GOTLAND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51782-2023</t>
        </is>
      </c>
      <c r="B484" t="inlineStr">
        <is>
          <t>avverkningsanmälan</t>
        </is>
      </c>
      <c r="C484" t="inlineStr">
        <is>
          <t>Föryngringsavverkning</t>
        </is>
      </c>
      <c r="D484" s="1" t="n">
        <v>45222</v>
      </c>
      <c r="E484" s="1" t="n">
        <v>46253</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54268-2022</t>
        </is>
      </c>
      <c r="B485" t="inlineStr">
        <is>
          <t>avverkningsanmälan</t>
        </is>
      </c>
      <c r="C485" t="inlineStr">
        <is>
          <t>Föryngringsavverkning</t>
        </is>
      </c>
      <c r="D485" s="1" t="n">
        <v>44882</v>
      </c>
      <c r="E485" s="1" t="n">
        <v>46253</v>
      </c>
      <c r="F485" t="inlineStr">
        <is>
          <t>GOTLANDS LÄN</t>
        </is>
      </c>
      <c r="G485" t="inlineStr">
        <is>
          <t>GOTLAND</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25866-2022</t>
        </is>
      </c>
      <c r="B486" t="inlineStr">
        <is>
          <t>avverkningsanmälan</t>
        </is>
      </c>
      <c r="C486" t="inlineStr">
        <is>
          <t>Föryngringsavverkning</t>
        </is>
      </c>
      <c r="D486" s="1" t="n">
        <v>44733</v>
      </c>
      <c r="E486" s="1" t="n">
        <v>46253</v>
      </c>
      <c r="F486" t="inlineStr">
        <is>
          <t>GOTLANDS LÄN</t>
        </is>
      </c>
      <c r="G486" t="inlineStr">
        <is>
          <t>GOTLAND</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43229-2023</t>
        </is>
      </c>
      <c r="B487" t="inlineStr">
        <is>
          <t>avverkningsanmälan</t>
        </is>
      </c>
      <c r="C487" t="inlineStr">
        <is>
          <t>Föryngringsavverkning</t>
        </is>
      </c>
      <c r="D487" s="1" t="n">
        <v>45183</v>
      </c>
      <c r="E487" s="1" t="n">
        <v>46253</v>
      </c>
      <c r="F487" t="inlineStr">
        <is>
          <t>GOTLANDS LÄN</t>
        </is>
      </c>
      <c r="G487" t="inlineStr">
        <is>
          <t>GOTLAND</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27095-2022</t>
        </is>
      </c>
      <c r="B488" t="inlineStr">
        <is>
          <t>avverkningsanmälan</t>
        </is>
      </c>
      <c r="C488" t="inlineStr">
        <is>
          <t>Avverkning för annat ändamål</t>
        </is>
      </c>
      <c r="D488" s="1" t="n">
        <v>44741</v>
      </c>
      <c r="E488" s="1" t="n">
        <v>46253</v>
      </c>
      <c r="F488" t="inlineStr">
        <is>
          <t>GOTLANDS LÄN</t>
        </is>
      </c>
      <c r="G488" t="inlineStr">
        <is>
          <t>GOTLAND</t>
        </is>
      </c>
      <c r="H488" t="inlineStr">
        <is>
          <t>Övriga Aktiebolag</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22899-2023</t>
        </is>
      </c>
      <c r="B489" t="inlineStr">
        <is>
          <t>avverkningsanmälan</t>
        </is>
      </c>
      <c r="C489" t="inlineStr">
        <is>
          <t>Föryngringsavverkning</t>
        </is>
      </c>
      <c r="D489" s="1" t="n">
        <v>45072</v>
      </c>
      <c r="E489" s="1" t="n">
        <v>46253</v>
      </c>
      <c r="F489" t="inlineStr">
        <is>
          <t>GOTLANDS LÄN</t>
        </is>
      </c>
      <c r="G489" t="inlineStr">
        <is>
          <t>GOTLAND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23978-2023</t>
        </is>
      </c>
      <c r="B490" t="inlineStr">
        <is>
          <t>avverkningsanmälan</t>
        </is>
      </c>
      <c r="C490" t="inlineStr">
        <is>
          <t>Föryngringsavverkning</t>
        </is>
      </c>
      <c r="D490" s="1" t="n">
        <v>45078</v>
      </c>
      <c r="E490" s="1" t="n">
        <v>46253</v>
      </c>
      <c r="F490" t="inlineStr">
        <is>
          <t>GOTLANDS LÄN</t>
        </is>
      </c>
      <c r="G490" t="inlineStr">
        <is>
          <t>GOTLAND</t>
        </is>
      </c>
      <c r="H490" t="inlineStr">
        <is>
          <t>Naturvårdsverket</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34407-2023</t>
        </is>
      </c>
      <c r="B491" t="inlineStr">
        <is>
          <t>avverkningsanmälan</t>
        </is>
      </c>
      <c r="C491" t="inlineStr">
        <is>
          <t>Föryngringsavverkning</t>
        </is>
      </c>
      <c r="D491" s="1" t="n">
        <v>45132</v>
      </c>
      <c r="E491" s="1" t="n">
        <v>46253</v>
      </c>
      <c r="F491" t="inlineStr">
        <is>
          <t>GOTLANDS LÄN</t>
        </is>
      </c>
      <c r="G491" t="inlineStr">
        <is>
          <t>GOTLAND</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11013-2024</t>
        </is>
      </c>
      <c r="B492" t="inlineStr">
        <is>
          <t>avverkningsanmälan</t>
        </is>
      </c>
      <c r="C492" t="inlineStr">
        <is>
          <t>Föryngringsavverkning</t>
        </is>
      </c>
      <c r="D492" s="1" t="n">
        <v>45370</v>
      </c>
      <c r="E492" s="1" t="n">
        <v>46253</v>
      </c>
      <c r="F492" t="inlineStr">
        <is>
          <t>GOTLANDS LÄN</t>
        </is>
      </c>
      <c r="G492" t="inlineStr">
        <is>
          <t>GOTLAND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27694-2024</t>
        </is>
      </c>
      <c r="B493" t="inlineStr">
        <is>
          <t>avverkningsanmälan</t>
        </is>
      </c>
      <c r="C493" t="inlineStr">
        <is>
          <t>Föryngringsavverkning</t>
        </is>
      </c>
      <c r="D493" s="1" t="n">
        <v>45475</v>
      </c>
      <c r="E493" s="1" t="n">
        <v>46253</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15083-2025</t>
        </is>
      </c>
      <c r="B494" t="inlineStr">
        <is>
          <t>avverkningsanmälan</t>
        </is>
      </c>
      <c r="C494" t="inlineStr">
        <is>
          <t>Avverkning för annat ändamål</t>
        </is>
      </c>
      <c r="D494" s="1" t="n">
        <v>45743</v>
      </c>
      <c r="E494" s="1" t="n">
        <v>46253</v>
      </c>
      <c r="F494" t="inlineStr">
        <is>
          <t>GOTLANDS LÄN</t>
        </is>
      </c>
      <c r="G494" t="inlineStr">
        <is>
          <t>GOTLAND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13037-2025</t>
        </is>
      </c>
      <c r="B495" t="inlineStr">
        <is>
          <t>avverkningsanmälan</t>
        </is>
      </c>
      <c r="C495" t="inlineStr">
        <is>
          <t>Avverkning för att bevara och utveckla /försöksver</t>
        </is>
      </c>
      <c r="D495" s="1" t="n">
        <v>45734</v>
      </c>
      <c r="E495" s="1" t="n">
        <v>46253</v>
      </c>
      <c r="F495" t="inlineStr">
        <is>
          <t>GOTLANDS LÄN</t>
        </is>
      </c>
      <c r="G495" t="inlineStr">
        <is>
          <t>GOTLAND</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44228-2022</t>
        </is>
      </c>
      <c r="B496" t="inlineStr">
        <is>
          <t>avverkningsanmälan</t>
        </is>
      </c>
      <c r="C496" t="inlineStr">
        <is>
          <t>Föryngringsavverkning</t>
        </is>
      </c>
      <c r="D496" s="1" t="n">
        <v>44839</v>
      </c>
      <c r="E496" s="1" t="n">
        <v>46253</v>
      </c>
      <c r="F496" t="inlineStr">
        <is>
          <t>GOTLANDS LÄN</t>
        </is>
      </c>
      <c r="G496" t="inlineStr">
        <is>
          <t>GOTLAND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58132-2023</t>
        </is>
      </c>
      <c r="B497" t="inlineStr">
        <is>
          <t>avverkningsanmälan</t>
        </is>
      </c>
      <c r="C497" t="inlineStr">
        <is>
          <t>Föryngringsavverkning</t>
        </is>
      </c>
      <c r="D497" s="1" t="n">
        <v>45250</v>
      </c>
      <c r="E497" s="1" t="n">
        <v>46253</v>
      </c>
      <c r="F497" t="inlineStr">
        <is>
          <t>GOTLANDS LÄN</t>
        </is>
      </c>
      <c r="G497" t="inlineStr">
        <is>
          <t>GOTLAND</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49884-2023</t>
        </is>
      </c>
      <c r="B498" t="inlineStr">
        <is>
          <t>avverkningsanmälan</t>
        </is>
      </c>
      <c r="C498" t="inlineStr">
        <is>
          <t>Föryngringsavverkning</t>
        </is>
      </c>
      <c r="D498" s="1" t="n">
        <v>45213</v>
      </c>
      <c r="E498" s="1" t="n">
        <v>46253</v>
      </c>
      <c r="F498" t="inlineStr">
        <is>
          <t>GOTLANDS LÄN</t>
        </is>
      </c>
      <c r="G498" t="inlineStr">
        <is>
          <t>GOTLAND</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876-2024</t>
        </is>
      </c>
      <c r="B499" t="inlineStr">
        <is>
          <t>avverkningsanmälan</t>
        </is>
      </c>
      <c r="C499" t="inlineStr">
        <is>
          <t>Avverkning för annat ändamål</t>
        </is>
      </c>
      <c r="D499" s="1" t="n">
        <v>45301</v>
      </c>
      <c r="E499" s="1" t="n">
        <v>46253</v>
      </c>
      <c r="F499" t="inlineStr">
        <is>
          <t>GOTLANDS LÄN</t>
        </is>
      </c>
      <c r="G499" t="inlineStr">
        <is>
          <t>GOTLAND</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22704-2023</t>
        </is>
      </c>
      <c r="B500" t="inlineStr">
        <is>
          <t>avverkningsanmälan</t>
        </is>
      </c>
      <c r="C500" t="inlineStr">
        <is>
          <t>Föryngringsavverkning</t>
        </is>
      </c>
      <c r="D500" s="1" t="n">
        <v>45071</v>
      </c>
      <c r="E500" s="1" t="n">
        <v>46253</v>
      </c>
      <c r="F500" t="inlineStr">
        <is>
          <t>GOTLANDS LÄN</t>
        </is>
      </c>
      <c r="G500" t="inlineStr">
        <is>
          <t>GOTLAND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28425-2023</t>
        </is>
      </c>
      <c r="B501" t="inlineStr">
        <is>
          <t>avverkningsanmälan</t>
        </is>
      </c>
      <c r="C501" t="inlineStr">
        <is>
          <t>Föryngringsavverkning</t>
        </is>
      </c>
      <c r="D501" s="1" t="n">
        <v>45102</v>
      </c>
      <c r="E501" s="1" t="n">
        <v>46253</v>
      </c>
      <c r="F501" t="inlineStr">
        <is>
          <t>GOTLANDS LÄN</t>
        </is>
      </c>
      <c r="G501" t="inlineStr">
        <is>
          <t>GOTLAND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43223-2023</t>
        </is>
      </c>
      <c r="B502" t="inlineStr">
        <is>
          <t>avverkningsanmälan</t>
        </is>
      </c>
      <c r="C502" t="inlineStr">
        <is>
          <t>Föryngringsavverkning</t>
        </is>
      </c>
      <c r="D502" s="1" t="n">
        <v>45183</v>
      </c>
      <c r="E502" s="1" t="n">
        <v>46253</v>
      </c>
      <c r="F502" t="inlineStr">
        <is>
          <t>GOTLANDS LÄN</t>
        </is>
      </c>
      <c r="G502" t="inlineStr">
        <is>
          <t>GOTLAND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3431-2025</t>
        </is>
      </c>
      <c r="B503" t="inlineStr">
        <is>
          <t>avverkningsanmälan</t>
        </is>
      </c>
      <c r="C503" t="inlineStr">
        <is>
          <t>Föryngringsavverkning</t>
        </is>
      </c>
      <c r="D503" s="1" t="n">
        <v>45680</v>
      </c>
      <c r="E503" s="1" t="n">
        <v>46253</v>
      </c>
      <c r="F503" t="inlineStr">
        <is>
          <t>GOTLANDS LÄN</t>
        </is>
      </c>
      <c r="G503" t="inlineStr">
        <is>
          <t>GOTLAND</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37202-2024</t>
        </is>
      </c>
      <c r="B504" t="inlineStr">
        <is>
          <t>avverkningsanmälan</t>
        </is>
      </c>
      <c r="C504" t="inlineStr">
        <is>
          <t>Föryngringsavverkning</t>
        </is>
      </c>
      <c r="D504" s="1" t="n">
        <v>45539</v>
      </c>
      <c r="E504" s="1" t="n">
        <v>46253</v>
      </c>
      <c r="F504" t="inlineStr">
        <is>
          <t>GOTLANDS LÄN</t>
        </is>
      </c>
      <c r="G504" t="inlineStr">
        <is>
          <t>GOTLAND</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46527-2023</t>
        </is>
      </c>
      <c r="B505" t="inlineStr">
        <is>
          <t>avverkningsanmälan</t>
        </is>
      </c>
      <c r="C505" t="inlineStr">
        <is>
          <t>Avverkning för annat ändamål</t>
        </is>
      </c>
      <c r="D505" s="1" t="n">
        <v>45197</v>
      </c>
      <c r="E505" s="1" t="n">
        <v>46253</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2774-2024</t>
        </is>
      </c>
      <c r="B506" t="inlineStr">
        <is>
          <t>avverkningsanmälan</t>
        </is>
      </c>
      <c r="C506" t="inlineStr">
        <is>
          <t>Föryngringsavverkning</t>
        </is>
      </c>
      <c r="D506" s="1" t="n">
        <v>45314</v>
      </c>
      <c r="E506" s="1" t="n">
        <v>46253</v>
      </c>
      <c r="F506" t="inlineStr">
        <is>
          <t>GOTLANDS LÄN</t>
        </is>
      </c>
      <c r="G506" t="inlineStr">
        <is>
          <t>GOTLAND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60709-2023</t>
        </is>
      </c>
      <c r="B507" t="inlineStr">
        <is>
          <t>avverkningsanmälan</t>
        </is>
      </c>
      <c r="C507" t="inlineStr">
        <is>
          <t>Föryngringsavverkning</t>
        </is>
      </c>
      <c r="D507" s="1" t="n">
        <v>45260</v>
      </c>
      <c r="E507" s="1" t="n">
        <v>46253</v>
      </c>
      <c r="F507" t="inlineStr">
        <is>
          <t>GOTLANDS LÄN</t>
        </is>
      </c>
      <c r="G507" t="inlineStr">
        <is>
          <t>GOTLAND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39764-2022</t>
        </is>
      </c>
      <c r="B508" t="inlineStr">
        <is>
          <t>avverkningsanmälan</t>
        </is>
      </c>
      <c r="C508" t="inlineStr">
        <is>
          <t>Föryngringsavverkning</t>
        </is>
      </c>
      <c r="D508" s="1" t="n">
        <v>44819</v>
      </c>
      <c r="E508" s="1" t="n">
        <v>46253</v>
      </c>
      <c r="F508" t="inlineStr">
        <is>
          <t>GOTLANDS LÄN</t>
        </is>
      </c>
      <c r="G508" t="inlineStr">
        <is>
          <t>GOTLAND</t>
        </is>
      </c>
      <c r="H508" t="inlineStr">
        <is>
          <t>Kyrkan</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30956-2024</t>
        </is>
      </c>
      <c r="B509" t="inlineStr">
        <is>
          <t>avverkningsanmälan</t>
        </is>
      </c>
      <c r="C509" t="inlineStr">
        <is>
          <t>Föryngringsavverkning</t>
        </is>
      </c>
      <c r="D509" s="1" t="n">
        <v>45499</v>
      </c>
      <c r="E509" s="1" t="n">
        <v>46253</v>
      </c>
      <c r="F509" t="inlineStr">
        <is>
          <t>GOTLANDS LÄN</t>
        </is>
      </c>
      <c r="G509" t="inlineStr">
        <is>
          <t>GOTLAND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30892-2024</t>
        </is>
      </c>
      <c r="B510" t="inlineStr">
        <is>
          <t>avverkningsanmälan</t>
        </is>
      </c>
      <c r="C510" t="inlineStr">
        <is>
          <t>Föryngringsavverkning</t>
        </is>
      </c>
      <c r="D510" s="1" t="n">
        <v>45491</v>
      </c>
      <c r="E510" s="1" t="n">
        <v>46253</v>
      </c>
      <c r="F510" t="inlineStr">
        <is>
          <t>GOTLANDS LÄN</t>
        </is>
      </c>
      <c r="G510" t="inlineStr">
        <is>
          <t>GOTLAND</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14635-2023</t>
        </is>
      </c>
      <c r="B511" t="inlineStr">
        <is>
          <t>avverkningsanmälan</t>
        </is>
      </c>
      <c r="C511" t="inlineStr">
        <is>
          <t>Föryngringsavverkning</t>
        </is>
      </c>
      <c r="D511" s="1" t="n">
        <v>45013</v>
      </c>
      <c r="E511" s="1" t="n">
        <v>46253</v>
      </c>
      <c r="F511" t="inlineStr">
        <is>
          <t>GOTLANDS LÄN</t>
        </is>
      </c>
      <c r="G511" t="inlineStr">
        <is>
          <t>GOTLAND</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59469-2024</t>
        </is>
      </c>
      <c r="B512" t="inlineStr">
        <is>
          <t>avverkningsanmälan</t>
        </is>
      </c>
      <c r="C512" t="inlineStr">
        <is>
          <t>Föryngringsavverkning</t>
        </is>
      </c>
      <c r="D512" s="1" t="n">
        <v>45638</v>
      </c>
      <c r="E512" s="1" t="n">
        <v>46253</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7858-2025</t>
        </is>
      </c>
      <c r="B513" t="inlineStr">
        <is>
          <t>avverkningsanmälan</t>
        </is>
      </c>
      <c r="C513" t="inlineStr">
        <is>
          <t>Föryngringsavverkning</t>
        </is>
      </c>
      <c r="D513" s="1" t="n">
        <v>45706</v>
      </c>
      <c r="E513" s="1" t="n">
        <v>46253</v>
      </c>
      <c r="F513" t="inlineStr">
        <is>
          <t>GOTLANDS LÄN</t>
        </is>
      </c>
      <c r="G513" t="inlineStr">
        <is>
          <t>GOTLAND</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53935-2024</t>
        </is>
      </c>
      <c r="B514" t="inlineStr">
        <is>
          <t>avverkningsanmälan</t>
        </is>
      </c>
      <c r="C514" t="inlineStr">
        <is>
          <t>Föryngringsavverkning</t>
        </is>
      </c>
      <c r="D514" s="1" t="n">
        <v>45615</v>
      </c>
      <c r="E514" s="1" t="n">
        <v>46253</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4420-2025</t>
        </is>
      </c>
      <c r="B515" t="inlineStr">
        <is>
          <t>avverkningsanmälan</t>
        </is>
      </c>
      <c r="C515" t="inlineStr">
        <is>
          <t>Föryngringsavverkning</t>
        </is>
      </c>
      <c r="D515" s="1" t="n">
        <v>45686</v>
      </c>
      <c r="E515" s="1" t="n">
        <v>46253</v>
      </c>
      <c r="F515" t="inlineStr">
        <is>
          <t>GOTLANDS LÄN</t>
        </is>
      </c>
      <c r="G515" t="inlineStr">
        <is>
          <t>GOTLAND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5891-2025</t>
        </is>
      </c>
      <c r="B516" t="inlineStr">
        <is>
          <t>avverkningsanmälan</t>
        </is>
      </c>
      <c r="C516" t="inlineStr">
        <is>
          <t>Föryngringsavverkning</t>
        </is>
      </c>
      <c r="D516" s="1" t="n">
        <v>45695</v>
      </c>
      <c r="E516" s="1" t="n">
        <v>46253</v>
      </c>
      <c r="F516" t="inlineStr">
        <is>
          <t>GOTLANDS LÄN</t>
        </is>
      </c>
      <c r="G516" t="inlineStr">
        <is>
          <t>GOTLAND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7835-2024</t>
        </is>
      </c>
      <c r="B517" t="inlineStr">
        <is>
          <t>avverkningsanmälan</t>
        </is>
      </c>
      <c r="C517" t="inlineStr">
        <is>
          <t>Föryngringsavverkning</t>
        </is>
      </c>
      <c r="D517" s="1" t="n">
        <v>45349</v>
      </c>
      <c r="E517" s="1" t="n">
        <v>46253</v>
      </c>
      <c r="F517" t="inlineStr">
        <is>
          <t>GOTLANDS LÄN</t>
        </is>
      </c>
      <c r="G517" t="inlineStr">
        <is>
          <t>GOTLAND</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21389-2025</t>
        </is>
      </c>
      <c r="B518" t="inlineStr">
        <is>
          <t>avverkningsanmälan</t>
        </is>
      </c>
      <c r="C518" t="inlineStr">
        <is>
          <t>Föryngringsavverkning</t>
        </is>
      </c>
      <c r="D518" s="1" t="n">
        <v>45782</v>
      </c>
      <c r="E518" s="1" t="n">
        <v>46253</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57356-2023</t>
        </is>
      </c>
      <c r="B519" t="inlineStr">
        <is>
          <t>avverkningsanmälan</t>
        </is>
      </c>
      <c r="C519" t="inlineStr">
        <is>
          <t>Föryngringsavverkning</t>
        </is>
      </c>
      <c r="D519" s="1" t="n">
        <v>45240</v>
      </c>
      <c r="E519" s="1" t="n">
        <v>46253</v>
      </c>
      <c r="F519" t="inlineStr">
        <is>
          <t>GOTLANDS LÄN</t>
        </is>
      </c>
      <c r="G519" t="inlineStr">
        <is>
          <t>GOTLAND</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10656-2024</t>
        </is>
      </c>
      <c r="B520" t="inlineStr">
        <is>
          <t>avverkningsanmälan</t>
        </is>
      </c>
      <c r="C520" t="inlineStr">
        <is>
          <t>Föryngringsavverkning</t>
        </is>
      </c>
      <c r="D520" s="1" t="n">
        <v>45368</v>
      </c>
      <c r="E520" s="1" t="n">
        <v>46253</v>
      </c>
      <c r="F520" t="inlineStr">
        <is>
          <t>GOTLANDS LÄN</t>
        </is>
      </c>
      <c r="G520" t="inlineStr">
        <is>
          <t>GOTLAND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46253</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21420-2024</t>
        </is>
      </c>
      <c r="B522" t="inlineStr">
        <is>
          <t>avverkningsanmälan</t>
        </is>
      </c>
      <c r="C522" t="inlineStr">
        <is>
          <t>Föryngringsavverkning</t>
        </is>
      </c>
      <c r="D522" s="1" t="n">
        <v>45441</v>
      </c>
      <c r="E522" s="1" t="n">
        <v>46253</v>
      </c>
      <c r="F522" t="inlineStr">
        <is>
          <t>GOTLANDS LÄN</t>
        </is>
      </c>
      <c r="G522" t="inlineStr">
        <is>
          <t>GOTLAND</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23188-2025</t>
        </is>
      </c>
      <c r="B523" t="inlineStr">
        <is>
          <t>avverkningsanmälan</t>
        </is>
      </c>
      <c r="C523" t="inlineStr">
        <is>
          <t>Avverkning för annat ändamål</t>
        </is>
      </c>
      <c r="D523" s="1" t="n">
        <v>45791</v>
      </c>
      <c r="E523" s="1" t="n">
        <v>46253</v>
      </c>
      <c r="F523" t="inlineStr">
        <is>
          <t>GOTLANDS LÄN</t>
        </is>
      </c>
      <c r="G523" t="inlineStr">
        <is>
          <t>GOTLAND</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46253</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46253</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23698-2025</t>
        </is>
      </c>
      <c r="B526" t="inlineStr">
        <is>
          <t>avverkningsanmälan</t>
        </is>
      </c>
      <c r="C526" t="inlineStr">
        <is>
          <t>Föryngringsavverkning</t>
        </is>
      </c>
      <c r="D526" s="1" t="n">
        <v>45793</v>
      </c>
      <c r="E526" s="1" t="n">
        <v>46253</v>
      </c>
      <c r="F526" t="inlineStr">
        <is>
          <t>GOTLANDS LÄN</t>
        </is>
      </c>
      <c r="G526" t="inlineStr">
        <is>
          <t>GOTLAND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5462-2025</t>
        </is>
      </c>
      <c r="B527" t="inlineStr">
        <is>
          <t>avverkningsanmälan</t>
        </is>
      </c>
      <c r="C527" t="inlineStr">
        <is>
          <t>Föryngringsavverkning</t>
        </is>
      </c>
      <c r="D527" s="1" t="n">
        <v>45693</v>
      </c>
      <c r="E527" s="1" t="n">
        <v>46253</v>
      </c>
      <c r="F527" t="inlineStr">
        <is>
          <t>GOTLANDS LÄN</t>
        </is>
      </c>
      <c r="G527" t="inlineStr">
        <is>
          <t>GOTLAND</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1331-2024</t>
        </is>
      </c>
      <c r="B528" t="inlineStr">
        <is>
          <t>samrådsanmälan</t>
        </is>
      </c>
      <c r="C528" t="inlineStr">
        <is>
          <t>Annan skogsbruksåtgärd</t>
        </is>
      </c>
      <c r="D528" s="1" t="n">
        <v>45406</v>
      </c>
      <c r="E528" s="1" t="n">
        <v>46253</v>
      </c>
      <c r="F528" t="inlineStr">
        <is>
          <t>GOTLANDS LÄN</t>
        </is>
      </c>
      <c r="G528" t="inlineStr">
        <is>
          <t>GOTLAND</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537-2024</t>
        </is>
      </c>
      <c r="B529" t="inlineStr">
        <is>
          <t>samrådsanmälan</t>
        </is>
      </c>
      <c r="C529" t="inlineStr">
        <is>
          <t>Annan skogsbruksåtgärd</t>
        </is>
      </c>
      <c r="D529" s="1" t="n">
        <v>45350</v>
      </c>
      <c r="E529" s="1" t="n">
        <v>46253</v>
      </c>
      <c r="F529" t="inlineStr">
        <is>
          <t>GOTLANDS LÄN</t>
        </is>
      </c>
      <c r="G529" t="inlineStr">
        <is>
          <t>GOTLAND</t>
        </is>
      </c>
      <c r="I529" t="n">
        <v>18.9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3545-2023</t>
        </is>
      </c>
      <c r="B530" t="inlineStr">
        <is>
          <t>samrådsanmälan</t>
        </is>
      </c>
      <c r="C530" t="inlineStr">
        <is>
          <t>Annan skogsbruksåtgärd</t>
        </is>
      </c>
      <c r="D530" s="1" t="n">
        <v>45209</v>
      </c>
      <c r="E530" s="1" t="n">
        <v>46253</v>
      </c>
      <c r="F530" t="inlineStr">
        <is>
          <t>GOTLANDS LÄN</t>
        </is>
      </c>
      <c r="G530" t="inlineStr">
        <is>
          <t>GOTLAND</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5746-2022</t>
        </is>
      </c>
      <c r="B531" t="inlineStr">
        <is>
          <t>samrådsanmälan</t>
        </is>
      </c>
      <c r="C531" t="inlineStr">
        <is>
          <t>Annan skogsbruksåtgärd</t>
        </is>
      </c>
      <c r="D531" s="1" t="n">
        <v>44846</v>
      </c>
      <c r="E531" s="1" t="n">
        <v>46253</v>
      </c>
      <c r="F531" t="inlineStr">
        <is>
          <t>GOTLANDS LÄN</t>
        </is>
      </c>
      <c r="G531" t="inlineStr">
        <is>
          <t>GOTLAND</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1077-2024</t>
        </is>
      </c>
      <c r="B532" t="inlineStr">
        <is>
          <t>samrådsanmälan</t>
        </is>
      </c>
      <c r="C532" t="inlineStr">
        <is>
          <t>Annan skogsbruksåtgärd</t>
        </is>
      </c>
      <c r="D532" s="1" t="n">
        <v>45390</v>
      </c>
      <c r="E532" s="1" t="n">
        <v>46253</v>
      </c>
      <c r="F532" t="inlineStr">
        <is>
          <t>GOTLANDS LÄN</t>
        </is>
      </c>
      <c r="G532" t="inlineStr">
        <is>
          <t>GOTLAND</t>
        </is>
      </c>
      <c r="I532" t="n">
        <v>7.8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3900-2023</t>
        </is>
      </c>
      <c r="B533" t="inlineStr">
        <is>
          <t>samrådsanmälan</t>
        </is>
      </c>
      <c r="C533" t="inlineStr">
        <is>
          <t>Annan skogsbruksåtgärd</t>
        </is>
      </c>
      <c r="D533" s="1" t="n">
        <v>45237</v>
      </c>
      <c r="E533" s="1" t="n">
        <v>46253</v>
      </c>
      <c r="F533" t="inlineStr">
        <is>
          <t>GOTLANDS LÄN</t>
        </is>
      </c>
      <c r="G533" t="inlineStr">
        <is>
          <t>GOTLAND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5133-2024</t>
        </is>
      </c>
      <c r="B534" t="inlineStr">
        <is>
          <t>samrådsanmälan</t>
        </is>
      </c>
      <c r="C534" t="inlineStr">
        <is>
          <t>Annan skogsbruksåtgärd</t>
        </is>
      </c>
      <c r="D534" s="1" t="n">
        <v>45645</v>
      </c>
      <c r="E534" s="1" t="n">
        <v>46253</v>
      </c>
      <c r="F534" t="inlineStr">
        <is>
          <t>GOTLANDS LÄN</t>
        </is>
      </c>
      <c r="G534" t="inlineStr">
        <is>
          <t>GOTLAND</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1436-2025</t>
        </is>
      </c>
      <c r="B535" t="inlineStr">
        <is>
          <t>samrådsanmälan</t>
        </is>
      </c>
      <c r="C535" t="inlineStr">
        <is>
          <t>Annan skogsbruksåtgärd</t>
        </is>
      </c>
      <c r="D535" s="1" t="n">
        <v>45784</v>
      </c>
      <c r="E535" s="1" t="n">
        <v>46253</v>
      </c>
      <c r="F535" t="inlineStr">
        <is>
          <t>GOTLANDS LÄN</t>
        </is>
      </c>
      <c r="G535" t="inlineStr">
        <is>
          <t>GOTLAND</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2281-2025</t>
        </is>
      </c>
      <c r="B536" t="inlineStr">
        <is>
          <t>samrådsanmälan</t>
        </is>
      </c>
      <c r="C536" t="inlineStr">
        <is>
          <t>Annan skogsbruksåtgärd</t>
        </is>
      </c>
      <c r="D536" s="1" t="n">
        <v>45876</v>
      </c>
      <c r="E536" s="1" t="n">
        <v>46253</v>
      </c>
      <c r="F536" t="inlineStr">
        <is>
          <t>GOTLANDS LÄN</t>
        </is>
      </c>
      <c r="G536" t="inlineStr">
        <is>
          <t>GOTLAND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1192-2026</t>
        </is>
      </c>
      <c r="B537" t="inlineStr">
        <is>
          <t>samrådsanmälan</t>
        </is>
      </c>
      <c r="C537" t="inlineStr">
        <is>
          <t>Annan skogsbruksåtgärd</t>
        </is>
      </c>
      <c r="D537" s="1" t="n">
        <v>46139</v>
      </c>
      <c r="E537" s="1" t="n">
        <v>46253</v>
      </c>
      <c r="F537" t="inlineStr">
        <is>
          <t>GOTLANDS LÄN</t>
        </is>
      </c>
      <c r="G537" t="inlineStr">
        <is>
          <t>GOTLAND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752-2025</t>
        </is>
      </c>
      <c r="B538" t="inlineStr">
        <is>
          <t>samrådsanmälan</t>
        </is>
      </c>
      <c r="C538" t="inlineStr">
        <is>
          <t>Annan skogsbruksåtgärd</t>
        </is>
      </c>
      <c r="D538" s="1" t="n">
        <v>45726</v>
      </c>
      <c r="E538" s="1" t="n">
        <v>46253</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1330-2026</t>
        </is>
      </c>
      <c r="B539" t="inlineStr">
        <is>
          <t>samrådsanmälan</t>
        </is>
      </c>
      <c r="C539" t="inlineStr">
        <is>
          <t>Annan skogsbruksåtgärd</t>
        </is>
      </c>
      <c r="D539" s="1" t="n">
        <v>46149</v>
      </c>
      <c r="E539" s="1" t="n">
        <v>46253</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2064-2026</t>
        </is>
      </c>
      <c r="B540" t="inlineStr">
        <is>
          <t>samrådsanmälan</t>
        </is>
      </c>
      <c r="C540" t="inlineStr">
        <is>
          <t>Annan skogsbruksåtgärd</t>
        </is>
      </c>
      <c r="D540" s="1" t="n">
        <v>46226</v>
      </c>
      <c r="E540" s="1" t="n">
        <v>46253</v>
      </c>
      <c r="F540" t="inlineStr">
        <is>
          <t>GOTLANDS LÄN</t>
        </is>
      </c>
      <c r="G540" t="inlineStr">
        <is>
          <t>GOTLAND</t>
        </is>
      </c>
      <c r="I540" t="n">
        <v>0.4</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2026-08-19T01:50:41Z</dcterms:created>
  <dcterms:modified xmlns:dcterms="http://purl.org/dc/terms/" xmlns:xsi="http://www.w3.org/2001/XMLSchema-instance" xsi:type="dcterms:W3CDTF">2026-08-19T01:50:42Z</dcterms:modified>
</cp:coreProperties>
</file>