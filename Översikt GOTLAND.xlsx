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518"/>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4716-2024</t>
        </is>
      </c>
      <c r="B2" t="inlineStr">
        <is>
          <t>avverkningsanmälan</t>
        </is>
      </c>
      <c r="C2" t="inlineStr">
        <is>
          <t>Föryngringsavverkning</t>
        </is>
      </c>
      <c r="D2" s="1" t="n">
        <v>45328</v>
      </c>
      <c r="E2" s="1" t="n">
        <v>46321</v>
      </c>
      <c r="F2" t="inlineStr">
        <is>
          <t>GOTLANDS LÄN</t>
        </is>
      </c>
      <c r="G2" t="inlineStr">
        <is>
          <t>GOTLAND</t>
        </is>
      </c>
      <c r="I2" t="n">
        <v>8</v>
      </c>
      <c r="J2" t="n">
        <v>15</v>
      </c>
      <c r="K2" t="n">
        <v>10</v>
      </c>
      <c r="L2" t="n">
        <v>15</v>
      </c>
      <c r="M2" t="n">
        <v>19</v>
      </c>
      <c r="N2" t="n">
        <v>1</v>
      </c>
      <c r="O2" t="n">
        <v>0</v>
      </c>
      <c r="P2" t="n">
        <v>0</v>
      </c>
      <c r="Q2" t="n">
        <v>36</v>
      </c>
      <c r="R2" t="n">
        <v>20</v>
      </c>
      <c r="S2" t="n">
        <v>57</v>
      </c>
      <c r="T2" t="n">
        <v>239</v>
      </c>
      <c r="U2" t="n">
        <v>74</v>
      </c>
      <c r="V2" s="2" t="inlineStr">
        <is>
          <t>Blek bananspindling
Bredbrämad bastardsvärmare
Bullspindling
Droppskivling
Duvspindling
Dvärgfjällskivling
Fjällfotad musseron
Fågelträcksspindling
Gulsträngad fagerspindling
Mörkfjällig olivspindling
Narrspindling
Praktspindling
Sammetsbockrot
Svartgrön spindling
Tallvaxskivling
Tvillingspindling
Ullmusseron
Violettfläckig spindling
Violettrandad spindling
Vit taggsvamp
Backtimjan
Barrfagerspindling
Blekspindling agg.
Denisespindling
Dropptaggsvamp
Dårgräsfjäril
Flattoppad klubbsvamp
Gulsparv
Jordtistel
Kryddspindling
Majviva
Odörspindling
Reliktbock
Sandkremla
Slåtterfibbla
Pärlchampinjon
Anisspindling
Besk kastanjemusseron
Diskvaxskivling
Kastanjefjällskivling
Murgröna
Olivspindling
Purpurknipprot
Rödgul trumpetsvamp
Skogsknipprot
Strimspindling
Blåsippa
Grönsiska
Kråka
Skogsduva
Skogsödla
Brudsporre
Grönvit nattviol
Johannesnycklar
Kärrknipprot
Nattviol
Sankt pers nycklar</t>
        </is>
      </c>
      <c r="W2">
        <f>HYPERLINK("https://klasma.github.io/Logging_0980/artfynd/A 4716-2024 artfynd.xlsx", "A 4716-2024")</f>
        <v/>
      </c>
      <c r="X2">
        <f>HYPERLINK("https://klasma.github.io/Logging_0980/kartor/A 4716-2024 karta.png", "A 4716-2024")</f>
        <v/>
      </c>
      <c r="Y2">
        <f>HYPERLINK("https://klasma.github.io/Logging_0980/kartor_geotiff/A 4716-2024 georefererad karta.tif", "A 4716-2024")</f>
        <v/>
      </c>
      <c r="AA2">
        <f>HYPERLINK("https://klasma.github.io/Logging_0980/klagomål/A 4716-2024 FSC-klagomål.docx", "A 4716-2024")</f>
        <v/>
      </c>
      <c r="AB2">
        <f>HYPERLINK("https://klasma.github.io/Logging_0980/klagomålsmail/A 4716-2024 FSC-klagomål mail.docx", "A 4716-2024")</f>
        <v/>
      </c>
      <c r="AC2">
        <f>HYPERLINK("https://klasma.github.io/Logging_0980/tillsyn/A 4716-2024 tillsynsbegäran.docx", "A 4716-2024")</f>
        <v/>
      </c>
      <c r="AD2">
        <f>HYPERLINK("https://klasma.github.io/Logging_0980/tillsynsmail/A 4716-2024 tillsynsbegäran mail.docx", "A 4716-2024")</f>
        <v/>
      </c>
      <c r="AE2">
        <f>HYPERLINK("https://klasma.github.io/Logging_0980/fåglar/A 4716-2024 prioriterade fågelarter.docx", "A 4716-2024")</f>
        <v/>
      </c>
    </row>
    <row r="3" ht="15" customHeight="1">
      <c r="A3" t="inlineStr">
        <is>
          <t>A 9064-2024</t>
        </is>
      </c>
      <c r="B3" t="inlineStr">
        <is>
          <t>avverkningsanmälan</t>
        </is>
      </c>
      <c r="C3" t="inlineStr">
        <is>
          <t>Föryngringsavverkning</t>
        </is>
      </c>
      <c r="D3" s="1" t="n">
        <v>45357</v>
      </c>
      <c r="E3" s="1" t="n">
        <v>46321</v>
      </c>
      <c r="F3" t="inlineStr">
        <is>
          <t>GOTLANDS LÄN</t>
        </is>
      </c>
      <c r="G3" t="inlineStr">
        <is>
          <t>GOTLAND</t>
        </is>
      </c>
      <c r="I3" t="n">
        <v>21.5</v>
      </c>
      <c r="J3" t="n">
        <v>13</v>
      </c>
      <c r="K3" t="n">
        <v>16</v>
      </c>
      <c r="L3" t="n">
        <v>13</v>
      </c>
      <c r="M3" t="n">
        <v>10</v>
      </c>
      <c r="N3" t="n">
        <v>0</v>
      </c>
      <c r="O3" t="n">
        <v>0</v>
      </c>
      <c r="P3" t="n">
        <v>0</v>
      </c>
      <c r="Q3" t="n">
        <v>23</v>
      </c>
      <c r="R3" t="n">
        <v>10</v>
      </c>
      <c r="S3" t="n">
        <v>46</v>
      </c>
      <c r="T3" t="n">
        <v>438</v>
      </c>
      <c r="U3" t="n">
        <v>419</v>
      </c>
      <c r="V3" s="2" t="inlineStr">
        <is>
          <t>Bullspindling
Duvspindling
Garderönn
Granrotspindling
Gulsträngad fagerspindling
Sammetsbockrot
Svartgrön spindling
Trollspindling
Tvillingspindling
Vit taggsvamp
Backtimjan
Blå slemspindling
Denisespindling
Dårgräsfjäril
Flattoppad klubbsvamp
Gulsparv
Jordtistel
Odörspindling
Rödfläckig zontaggsvamp
Skarp dropptaggsvamp
Slåtterfibbla
Svinrot
Tallticka
Anisspindling
Besk kastanjemusseron
Blåmossa
Diskvaxskivling
Fransig jordstjärna
Kalktallört
Kastanjefjällskivling
Kragjordstjärna
Murgröna
Nästrot
Olivspindling
Purpurknipprot
Rödgul trumpetsvamp
Skogsknipprot
Svavelriska
Zontaggsvamp
Blåsippa
Nattskärra
Spillkråka
Havsörn
Kungsfågel
Skogsduva
Sankt pers nycklar</t>
        </is>
      </c>
      <c r="W3">
        <f>HYPERLINK("https://klasma.github.io/Logging_0980/artfynd/A 9064-2024 artfynd.xlsx", "A 9064-2024")</f>
        <v/>
      </c>
      <c r="X3">
        <f>HYPERLINK("https://klasma.github.io/Logging_0980/kartor/A 9064-2024 karta.png", "A 9064-2024")</f>
        <v/>
      </c>
      <c r="Y3">
        <f>HYPERLINK("https://klasma.github.io/Logging_0980/kartor_geotiff/A 9064-2024 georefererad karta.tif", "A 9064-2024")</f>
        <v/>
      </c>
      <c r="AA3">
        <f>HYPERLINK("https://klasma.github.io/Logging_0980/klagomål/A 9064-2024 FSC-klagomål.docx", "A 9064-2024")</f>
        <v/>
      </c>
      <c r="AB3">
        <f>HYPERLINK("https://klasma.github.io/Logging_0980/klagomålsmail/A 9064-2024 FSC-klagomål mail.docx", "A 9064-2024")</f>
        <v/>
      </c>
      <c r="AC3">
        <f>HYPERLINK("https://klasma.github.io/Logging_0980/tillsyn/A 9064-2024 tillsynsbegäran.docx", "A 9064-2024")</f>
        <v/>
      </c>
      <c r="AD3">
        <f>HYPERLINK("https://klasma.github.io/Logging_0980/tillsynsmail/A 9064-2024 tillsynsbegäran mail.docx", "A 9064-2024")</f>
        <v/>
      </c>
      <c r="AE3">
        <f>HYPERLINK("https://klasma.github.io/Logging_0980/fåglar/A 9064-2024 prioriterade fågelarter.docx", "A 9064-2024")</f>
        <v/>
      </c>
    </row>
    <row r="4" ht="15" customHeight="1">
      <c r="A4" t="inlineStr">
        <is>
          <t>A 584-2023</t>
        </is>
      </c>
      <c r="B4" t="inlineStr">
        <is>
          <t>avverkningsanmälan</t>
        </is>
      </c>
      <c r="C4" t="inlineStr">
        <is>
          <t>Föryngringsavverkning</t>
        </is>
      </c>
      <c r="D4" s="1" t="n">
        <v>44930</v>
      </c>
      <c r="E4" s="1" t="n">
        <v>46321</v>
      </c>
      <c r="F4" t="inlineStr">
        <is>
          <t>GOTLANDS LÄN</t>
        </is>
      </c>
      <c r="G4" t="inlineStr">
        <is>
          <t>GOTLAND</t>
        </is>
      </c>
      <c r="I4" t="n">
        <v>27.2</v>
      </c>
      <c r="J4" t="n">
        <v>6</v>
      </c>
      <c r="K4" t="n">
        <v>9</v>
      </c>
      <c r="L4" t="n">
        <v>17</v>
      </c>
      <c r="M4" t="n">
        <v>10</v>
      </c>
      <c r="N4" t="n">
        <v>0</v>
      </c>
      <c r="O4" t="n">
        <v>0</v>
      </c>
      <c r="P4" t="n">
        <v>0</v>
      </c>
      <c r="Q4" t="n">
        <v>28</v>
      </c>
      <c r="R4" t="n">
        <v>10</v>
      </c>
      <c r="S4" t="n">
        <v>40</v>
      </c>
      <c r="T4" t="n">
        <v>184</v>
      </c>
      <c r="U4" t="n">
        <v>179</v>
      </c>
      <c r="V4" s="2" t="inlineStr">
        <is>
          <t>Blårödling
Duvspindling
Fågelträcksspindling
Garderönn
Granrotspindling
Gulsträngad fagerspindling
Läderdoftande fingersvamp
Svartgrön spindling
Violettfläckig spindling
Vit taggsvamp
Backtimjan
Barrviolspindling
Blå slemspindling
Denisespindling
Duvhök
Dårgräsfjäril
Enkelbeckasin
Flattoppad klubbsvamp
Jungfrulin
Kattfotslav
Kryddspindling
Odörspindling
Reliktbock
Sandkremla
Solvända
Vippärt
Äggspindling
Grynspindling
Anisspindling
Bronshjon
Fransig jordstjärna
Olivspindling
Rödgul trumpetsvamp
Svavelriska
Thomsons trägnagare
Toppvaxing
Vågbandad barkbock
Getrams
Spillkråka
Sankt pers nycklar</t>
        </is>
      </c>
      <c r="W4">
        <f>HYPERLINK("https://klasma.github.io/Logging_0980/artfynd/A 584-2023 artfynd.xlsx", "A 584-2023")</f>
        <v/>
      </c>
      <c r="X4">
        <f>HYPERLINK("https://klasma.github.io/Logging_0980/kartor/A 584-2023 karta.png", "A 584-2023")</f>
        <v/>
      </c>
      <c r="Y4">
        <f>HYPERLINK("https://klasma.github.io/Logging_0980/kartor_geotiff/A 584-2023 georefererad karta.tif", "A 584-2023")</f>
        <v/>
      </c>
      <c r="AA4">
        <f>HYPERLINK("https://klasma.github.io/Logging_0980/klagomål/A 584-2023 FSC-klagomål.docx", "A 584-2023")</f>
        <v/>
      </c>
      <c r="AB4">
        <f>HYPERLINK("https://klasma.github.io/Logging_0980/klagomålsmail/A 584-2023 FSC-klagomål mail.docx", "A 584-2023")</f>
        <v/>
      </c>
      <c r="AC4">
        <f>HYPERLINK("https://klasma.github.io/Logging_0980/tillsyn/A 584-2023 tillsynsbegäran.docx", "A 584-2023")</f>
        <v/>
      </c>
      <c r="AD4">
        <f>HYPERLINK("https://klasma.github.io/Logging_0980/tillsynsmail/A 584-2023 tillsynsbegäran mail.docx", "A 584-2023")</f>
        <v/>
      </c>
      <c r="AE4">
        <f>HYPERLINK("https://klasma.github.io/Logging_0980/fåglar/A 584-2023 prioriterade fågelarter.docx", "A 584-2023")</f>
        <v/>
      </c>
    </row>
    <row r="5" ht="15" customHeight="1">
      <c r="A5" t="inlineStr">
        <is>
          <t>A 4572-2025</t>
        </is>
      </c>
      <c r="B5" t="inlineStr">
        <is>
          <t>avverkningsanmälan</t>
        </is>
      </c>
      <c r="C5" t="inlineStr">
        <is>
          <t>Föryngringsavverkning</t>
        </is>
      </c>
      <c r="D5" s="1" t="n">
        <v>45687</v>
      </c>
      <c r="E5" s="1" t="n">
        <v>46321</v>
      </c>
      <c r="F5" t="inlineStr">
        <is>
          <t>GOTLANDS LÄN</t>
        </is>
      </c>
      <c r="G5" t="inlineStr">
        <is>
          <t>GOTLAND</t>
        </is>
      </c>
      <c r="I5" t="n">
        <v>6.2</v>
      </c>
      <c r="J5" t="n">
        <v>14</v>
      </c>
      <c r="K5" t="n">
        <v>11</v>
      </c>
      <c r="L5" t="n">
        <v>13</v>
      </c>
      <c r="M5" t="n">
        <v>7</v>
      </c>
      <c r="N5" t="n">
        <v>1</v>
      </c>
      <c r="O5" t="n">
        <v>0</v>
      </c>
      <c r="P5" t="n">
        <v>0</v>
      </c>
      <c r="Q5" t="n">
        <v>21</v>
      </c>
      <c r="R5" t="n">
        <v>8</v>
      </c>
      <c r="S5" t="n">
        <v>39</v>
      </c>
      <c r="T5" t="n">
        <v>280</v>
      </c>
      <c r="U5" t="n">
        <v>280</v>
      </c>
      <c r="V5" s="2" t="inlineStr">
        <is>
          <t>Brun glada
Granrotspindling
Gulsträngad fagerspindling
Läderdoftande fingersvamp
Narrspindling
Svartfläckig blåvinge
Svartgrön spindling
Violettfläckig spindling
Apollofjäril
Axveronika
Backstarr
Backtimjan
Blå slemspindling
Fjällig taggsvamp s.str.
Fyrflikig jordstjärna
Jordtistel
Mindre hackspett
Odörspindling
Reliktbock
Skarp dropptaggsvamp
Solvända
Anisspindling
Fransig jordstjärna
Grovticka
Grönpyrola
Kamjordstjärna
Nästrot
Purpurknipprot
Rödbrun jordstjärna
Skogsknipprot
Svavelriska
Toppvaxing
Blåsippa
Spillkråka
Havsörn
Brudsporre
Grönvit nattviol
Nattviol
Sankt pers nycklar</t>
        </is>
      </c>
      <c r="W5">
        <f>HYPERLINK("https://klasma.github.io/Logging_0980/artfynd/A 4572-2025 artfynd.xlsx", "A 4572-2025")</f>
        <v/>
      </c>
      <c r="X5">
        <f>HYPERLINK("https://klasma.github.io/Logging_0980/kartor/A 4572-2025 karta.png", "A 4572-2025")</f>
        <v/>
      </c>
      <c r="Y5">
        <f>HYPERLINK("https://klasma.github.io/Logging_0980/kartor_geotiff/A 4572-2025 georefererad karta.tif", "A 4572-2025")</f>
        <v/>
      </c>
      <c r="AA5">
        <f>HYPERLINK("https://klasma.github.io/Logging_0980/klagomål/A 4572-2025 FSC-klagomål.docx", "A 4572-2025")</f>
        <v/>
      </c>
      <c r="AB5">
        <f>HYPERLINK("https://klasma.github.io/Logging_0980/klagomålsmail/A 4572-2025 FSC-klagomål mail.docx", "A 4572-2025")</f>
        <v/>
      </c>
      <c r="AC5">
        <f>HYPERLINK("https://klasma.github.io/Logging_0980/tillsyn/A 4572-2025 tillsynsbegäran.docx", "A 4572-2025")</f>
        <v/>
      </c>
      <c r="AD5">
        <f>HYPERLINK("https://klasma.github.io/Logging_0980/tillsynsmail/A 4572-2025 tillsynsbegäran mail.docx", "A 4572-2025")</f>
        <v/>
      </c>
      <c r="AE5">
        <f>HYPERLINK("https://klasma.github.io/Logging_0980/fåglar/A 4572-2025 prioriterade fågelarter.docx", "A 4572-2025")</f>
        <v/>
      </c>
    </row>
    <row r="6" ht="15" customHeight="1">
      <c r="A6" t="inlineStr">
        <is>
          <t>A 33728-2025</t>
        </is>
      </c>
      <c r="B6" t="inlineStr">
        <is>
          <t>avverkningsanmälan</t>
        </is>
      </c>
      <c r="C6" t="inlineStr">
        <is>
          <t>Föryngringsavverkning</t>
        </is>
      </c>
      <c r="D6" s="1" t="n">
        <v>45842</v>
      </c>
      <c r="E6" s="1" t="n">
        <v>46321</v>
      </c>
      <c r="F6" t="inlineStr">
        <is>
          <t>GOTLANDS LÄN</t>
        </is>
      </c>
      <c r="G6" t="inlineStr">
        <is>
          <t>GOTLAND</t>
        </is>
      </c>
      <c r="I6" t="n">
        <v>9.5</v>
      </c>
      <c r="J6" t="n">
        <v>5</v>
      </c>
      <c r="K6" t="n">
        <v>8</v>
      </c>
      <c r="L6" t="n">
        <v>16</v>
      </c>
      <c r="M6" t="n">
        <v>10</v>
      </c>
      <c r="N6" t="n">
        <v>2</v>
      </c>
      <c r="O6" t="n">
        <v>0</v>
      </c>
      <c r="P6" t="n">
        <v>0</v>
      </c>
      <c r="Q6" t="n">
        <v>28</v>
      </c>
      <c r="R6" t="n">
        <v>12</v>
      </c>
      <c r="S6" t="n">
        <v>37</v>
      </c>
      <c r="T6" t="n">
        <v>164</v>
      </c>
      <c r="U6" t="n">
        <v>160</v>
      </c>
      <c r="V6" s="2" t="inlineStr">
        <is>
          <t>Ask
Sienamusseron
Gotlandsmåra
Gotländsk haverrot
Granrotspindling
Läderdoftande fingersvamp
Mörkfjällig olivspindling
Narrspindling
Rostspindling
Svartfläckig blåvinge
Svartgrön spindling
Violettfläckig spindling
Axveronika
Backtimjan
Barrviolspindling
Bittermusseron
Duvhök
Fjällig taggsvamp s.str.
Flattoppad klubbsvamp
Jordtistel
Kryddspindling
Kungsspindling
Odörspindling
Rödfläckig zontaggsvamp
Skarp dropptaggsvamp
Solvända
Svinrot
Tjockfotad fingersvamp
Blomkålssvamp
Kalktallört
Olivspindling
Rökmusseron
Skogsknipprot
Strimspindling
Svavelriska
Trådticka
Grönsiska</t>
        </is>
      </c>
      <c r="W6">
        <f>HYPERLINK("https://klasma.github.io/Logging_0980/artfynd/A 33728-2025 artfynd.xlsx", "A 33728-2025")</f>
        <v/>
      </c>
      <c r="X6">
        <f>HYPERLINK("https://klasma.github.io/Logging_0980/kartor/A 33728-2025 karta.png", "A 33728-2025")</f>
        <v/>
      </c>
      <c r="Y6">
        <f>HYPERLINK("https://klasma.github.io/Logging_0980/kartor_geotiff/A 33728-2025 georefererad karta.tif", "A 33728-2025")</f>
        <v/>
      </c>
      <c r="AA6">
        <f>HYPERLINK("https://klasma.github.io/Logging_0980/klagomål/A 33728-2025 FSC-klagomål.docx", "A 33728-2025")</f>
        <v/>
      </c>
      <c r="AB6">
        <f>HYPERLINK("https://klasma.github.io/Logging_0980/klagomålsmail/A 33728-2025 FSC-klagomål mail.docx", "A 33728-2025")</f>
        <v/>
      </c>
      <c r="AC6">
        <f>HYPERLINK("https://klasma.github.io/Logging_0980/tillsyn/A 33728-2025 tillsynsbegäran.docx", "A 33728-2025")</f>
        <v/>
      </c>
      <c r="AD6">
        <f>HYPERLINK("https://klasma.github.io/Logging_0980/tillsynsmail/A 33728-2025 tillsynsbegäran mail.docx", "A 33728-2025")</f>
        <v/>
      </c>
      <c r="AE6">
        <f>HYPERLINK("https://klasma.github.io/Logging_0980/fåglar/A 33728-2025 prioriterade fågelarter.docx", "A 33728-2025")</f>
        <v/>
      </c>
    </row>
    <row r="7" ht="15" customHeight="1">
      <c r="A7" t="inlineStr">
        <is>
          <t>A 9921-2023</t>
        </is>
      </c>
      <c r="B7" t="inlineStr">
        <is>
          <t>avverkningsanmälan</t>
        </is>
      </c>
      <c r="C7" t="inlineStr">
        <is>
          <t>Föryngringsavverkning</t>
        </is>
      </c>
      <c r="D7" s="1" t="n">
        <v>44985</v>
      </c>
      <c r="E7" s="1" t="n">
        <v>46321</v>
      </c>
      <c r="F7" t="inlineStr">
        <is>
          <t>GOTLANDS LÄN</t>
        </is>
      </c>
      <c r="G7" t="inlineStr">
        <is>
          <t>GOTLAND</t>
        </is>
      </c>
      <c r="H7" t="inlineStr">
        <is>
          <t>Kyrkan</t>
        </is>
      </c>
      <c r="I7" t="n">
        <v>16.3</v>
      </c>
      <c r="J7" t="n">
        <v>4</v>
      </c>
      <c r="K7" t="n">
        <v>10</v>
      </c>
      <c r="L7" t="n">
        <v>15</v>
      </c>
      <c r="M7" t="n">
        <v>9</v>
      </c>
      <c r="N7" t="n">
        <v>0</v>
      </c>
      <c r="O7" t="n">
        <v>0</v>
      </c>
      <c r="P7" t="n">
        <v>0</v>
      </c>
      <c r="Q7" t="n">
        <v>24</v>
      </c>
      <c r="R7" t="n">
        <v>9</v>
      </c>
      <c r="S7" t="n">
        <v>37</v>
      </c>
      <c r="T7" t="n">
        <v>215</v>
      </c>
      <c r="U7" t="n">
        <v>155</v>
      </c>
      <c r="V7" s="2" t="inlineStr">
        <is>
          <t>Duvspindling
Granrotspindling
Gul lammticka
Gulsträngad fagerspindling
Svartgrön spindling
Taggfingersvamp
Tvillingspindling
Violettfläckig spindling
Vit taggsvamp
Axveronika
Backtimjan
Berggräsfjäril
Blå slemspindling
Denisespindling
Doftskinn
Dropptaggsvamp
Flattoppad klubbsvamp
Grönnopping
Jordtistel
Odörspindling
Rödfläckig zontaggsvamp
Solvända
Tallticka
Vårärt
Anisspindling
Besk kastanjemusseron
Diskvaxskivling
Fransig jordstjärna
Kastanjefjällskivling
Mindre märgborre
Nästrot
Olivspindling
Rödgul trumpetsvamp
Vågbandad barkbock
Blåsippa
Spillkråka
Sankt pers nycklar</t>
        </is>
      </c>
      <c r="W7">
        <f>HYPERLINK("https://klasma.github.io/Logging_0980/artfynd/A 9921-2023 artfynd.xlsx", "A 9921-2023")</f>
        <v/>
      </c>
      <c r="X7">
        <f>HYPERLINK("https://klasma.github.io/Logging_0980/kartor/A 9921-2023 karta.png", "A 9921-2023")</f>
        <v/>
      </c>
      <c r="Y7">
        <f>HYPERLINK("https://klasma.github.io/Logging_0980/kartor_geotiff/A 9921-2023 georefererad karta.tif", "A 9921-2023")</f>
        <v/>
      </c>
      <c r="AA7">
        <f>HYPERLINK("https://klasma.github.io/Logging_0980/klagomål/A 9921-2023 FSC-klagomål.docx", "A 9921-2023")</f>
        <v/>
      </c>
      <c r="AB7">
        <f>HYPERLINK("https://klasma.github.io/Logging_0980/klagomålsmail/A 9921-2023 FSC-klagomål mail.docx", "A 9921-2023")</f>
        <v/>
      </c>
      <c r="AC7">
        <f>HYPERLINK("https://klasma.github.io/Logging_0980/tillsyn/A 9921-2023 tillsynsbegäran.docx", "A 9921-2023")</f>
        <v/>
      </c>
      <c r="AD7">
        <f>HYPERLINK("https://klasma.github.io/Logging_0980/tillsynsmail/A 9921-2023 tillsynsbegäran mail.docx", "A 9921-2023")</f>
        <v/>
      </c>
      <c r="AE7">
        <f>HYPERLINK("https://klasma.github.io/Logging_0980/fåglar/A 9921-2023 prioriterade fågelarter.docx", "A 9921-2023")</f>
        <v/>
      </c>
    </row>
    <row r="8" ht="15" customHeight="1">
      <c r="A8" t="inlineStr">
        <is>
          <t>A 14450-2023</t>
        </is>
      </c>
      <c r="B8" t="inlineStr">
        <is>
          <t>avverkningsanmälan</t>
        </is>
      </c>
      <c r="C8" t="inlineStr">
        <is>
          <t>Föryngringsavverkning</t>
        </is>
      </c>
      <c r="D8" s="1" t="n">
        <v>45012</v>
      </c>
      <c r="E8" s="1" t="n">
        <v>46321</v>
      </c>
      <c r="F8" t="inlineStr">
        <is>
          <t>GOTLANDS LÄN</t>
        </is>
      </c>
      <c r="G8" t="inlineStr">
        <is>
          <t>GOTLAND</t>
        </is>
      </c>
      <c r="I8" t="n">
        <v>11.6</v>
      </c>
      <c r="J8" t="n">
        <v>6</v>
      </c>
      <c r="K8" t="n">
        <v>10</v>
      </c>
      <c r="L8" t="n">
        <v>15</v>
      </c>
      <c r="M8" t="n">
        <v>9</v>
      </c>
      <c r="N8" t="n">
        <v>0</v>
      </c>
      <c r="O8" t="n">
        <v>0</v>
      </c>
      <c r="P8" t="n">
        <v>0</v>
      </c>
      <c r="Q8" t="n">
        <v>24</v>
      </c>
      <c r="R8" t="n">
        <v>9</v>
      </c>
      <c r="S8" t="n">
        <v>37</v>
      </c>
      <c r="T8" t="n">
        <v>185</v>
      </c>
      <c r="U8" t="n">
        <v>178</v>
      </c>
      <c r="V8" s="2" t="inlineStr">
        <is>
          <t>Bullspindling
Duvspindling
Granrotspindling
Gulsträngad fagerspindling
Pluggtrattskivling
Svartgrön spindling
Trollspindling
Ullmusseron
Vit taggsvamp
Backtimjan
Bittermusseron
Blå slemspindling
Denisespindling
Dårgräsfjäril
Fjällig taggsvamp s.str.
Flattoppad klubbsvamp
Grönnopping
Gulsparv
Jordtistel
Kattfotslav
Mjölsvärting
Odörspindling
Rödfläckig zontaggsvamp
Svinrot
Anisspindling
Diskvaxskivling
Fransig jordstjärna
Kastanjefjällskivling
Mindre märgborre
Murgröna
Nästrot
Olivspindling
Rödgul trumpetsvamp
Vågbandad barkbock
Blåsippa
Sankt pers nycklar
Gullviva</t>
        </is>
      </c>
      <c r="W8">
        <f>HYPERLINK("https://klasma.github.io/Logging_0980/artfynd/A 14450-2023 artfynd.xlsx", "A 14450-2023")</f>
        <v/>
      </c>
      <c r="X8">
        <f>HYPERLINK("https://klasma.github.io/Logging_0980/kartor/A 14450-2023 karta.png", "A 14450-2023")</f>
        <v/>
      </c>
      <c r="Y8">
        <f>HYPERLINK("https://klasma.github.io/Logging_0980/kartor_geotiff/A 14450-2023 georefererad karta.tif", "A 14450-2023")</f>
        <v/>
      </c>
      <c r="AA8">
        <f>HYPERLINK("https://klasma.github.io/Logging_0980/klagomål/A 14450-2023 FSC-klagomål.docx", "A 14450-2023")</f>
        <v/>
      </c>
      <c r="AB8">
        <f>HYPERLINK("https://klasma.github.io/Logging_0980/klagomålsmail/A 14450-2023 FSC-klagomål mail.docx", "A 14450-2023")</f>
        <v/>
      </c>
      <c r="AC8">
        <f>HYPERLINK("https://klasma.github.io/Logging_0980/tillsyn/A 14450-2023 tillsynsbegäran.docx", "A 14450-2023")</f>
        <v/>
      </c>
      <c r="AD8">
        <f>HYPERLINK("https://klasma.github.io/Logging_0980/tillsynsmail/A 14450-2023 tillsynsbegäran mail.docx", "A 14450-2023")</f>
        <v/>
      </c>
      <c r="AE8">
        <f>HYPERLINK("https://klasma.github.io/Logging_0980/fåglar/A 14450-2023 prioriterade fågelarter.docx", "A 14450-2023")</f>
        <v/>
      </c>
    </row>
    <row r="9" ht="15" customHeight="1">
      <c r="A9" t="inlineStr">
        <is>
          <t>A 6153-2024</t>
        </is>
      </c>
      <c r="B9" t="inlineStr">
        <is>
          <t>avverkningsanmälan</t>
        </is>
      </c>
      <c r="C9" t="inlineStr">
        <is>
          <t>Föryngringsavverkning</t>
        </is>
      </c>
      <c r="D9" s="1" t="n">
        <v>45337</v>
      </c>
      <c r="E9" s="1" t="n">
        <v>46321</v>
      </c>
      <c r="F9" t="inlineStr">
        <is>
          <t>GOTLANDS LÄN</t>
        </is>
      </c>
      <c r="G9" t="inlineStr">
        <is>
          <t>GOTLAND</t>
        </is>
      </c>
      <c r="I9" t="n">
        <v>14.2</v>
      </c>
      <c r="J9" t="n">
        <v>2</v>
      </c>
      <c r="K9" t="n">
        <v>6</v>
      </c>
      <c r="L9" t="n">
        <v>12</v>
      </c>
      <c r="M9" t="n">
        <v>13</v>
      </c>
      <c r="N9" t="n">
        <v>2</v>
      </c>
      <c r="O9" t="n">
        <v>0</v>
      </c>
      <c r="P9" t="n">
        <v>0</v>
      </c>
      <c r="Q9" t="n">
        <v>27</v>
      </c>
      <c r="R9" t="n">
        <v>15</v>
      </c>
      <c r="S9" t="n">
        <v>35</v>
      </c>
      <c r="T9" t="n">
        <v>128</v>
      </c>
      <c r="U9" t="n">
        <v>128</v>
      </c>
      <c r="V9" s="2" t="inlineStr">
        <is>
          <t>Ask
Svartnande fingersvamp
Bredbrämad bastardsvärmare
Granrotspindling
Gul lammticka
Gulsträngad fagerspindling
Ljungsnärja
Läderdoftande fingersvamp
Mörkfjällig olivspindling
Narrspindling
Sexfläckig bastardsvärmare
Solvändesäckmal
Svartfläckig blåvinge
Svartgrön spindling
Violettfläckig spindling
Backtimjan
Blå slemspindling
Brokigt timjansmott
Fjällig taggsvamp s.str.
Jordtistel
Kryddspindling
Mindre tåtelsmygare
Odörspindling
Sandkremla
Slåtterfibbla
Solvända
Svinrot
Anisspindling
Diskvaxskivling
Mindre märgborre
Murgröna
Olivspindling
Strimspindling
Kattfot
Åkergroda</t>
        </is>
      </c>
      <c r="W9">
        <f>HYPERLINK("https://klasma.github.io/Logging_0980/artfynd/A 6153-2024 artfynd.xlsx", "A 6153-2024")</f>
        <v/>
      </c>
      <c r="X9">
        <f>HYPERLINK("https://klasma.github.io/Logging_0980/kartor/A 6153-2024 karta.png", "A 6153-2024")</f>
        <v/>
      </c>
      <c r="Y9">
        <f>HYPERLINK("https://klasma.github.io/Logging_0980/kartor_geotiff/A 6153-2024 georefererad karta.tif", "A 6153-2024")</f>
        <v/>
      </c>
      <c r="AA9">
        <f>HYPERLINK("https://klasma.github.io/Logging_0980/klagomål/A 6153-2024 FSC-klagomål.docx", "A 6153-2024")</f>
        <v/>
      </c>
      <c r="AB9">
        <f>HYPERLINK("https://klasma.github.io/Logging_0980/klagomålsmail/A 6153-2024 FSC-klagomål mail.docx", "A 6153-2024")</f>
        <v/>
      </c>
      <c r="AC9">
        <f>HYPERLINK("https://klasma.github.io/Logging_0980/tillsyn/A 6153-2024 tillsynsbegäran.docx", "A 6153-2024")</f>
        <v/>
      </c>
      <c r="AD9">
        <f>HYPERLINK("https://klasma.github.io/Logging_0980/tillsynsmail/A 6153-2024 tillsynsbegäran mail.docx", "A 6153-2024")</f>
        <v/>
      </c>
    </row>
    <row r="10" ht="15" customHeight="1">
      <c r="A10" t="inlineStr">
        <is>
          <t>A 30236-2025</t>
        </is>
      </c>
      <c r="B10" t="inlineStr">
        <is>
          <t>avverkningsanmälan</t>
        </is>
      </c>
      <c r="C10" t="inlineStr">
        <is>
          <t>Föryngringsavverkning</t>
        </is>
      </c>
      <c r="D10" s="1" t="n">
        <v>45827</v>
      </c>
      <c r="E10" s="1" t="n">
        <v>46321</v>
      </c>
      <c r="F10" t="inlineStr">
        <is>
          <t>GOTLANDS LÄN</t>
        </is>
      </c>
      <c r="G10" t="inlineStr">
        <is>
          <t>GOTLAND</t>
        </is>
      </c>
      <c r="I10" t="n">
        <v>13.6</v>
      </c>
      <c r="J10" t="n">
        <v>10</v>
      </c>
      <c r="K10" t="n">
        <v>11</v>
      </c>
      <c r="L10" t="n">
        <v>9</v>
      </c>
      <c r="M10" t="n">
        <v>10</v>
      </c>
      <c r="N10" t="n">
        <v>0</v>
      </c>
      <c r="O10" t="n">
        <v>0</v>
      </c>
      <c r="P10" t="n">
        <v>0</v>
      </c>
      <c r="Q10" t="n">
        <v>19</v>
      </c>
      <c r="R10" t="n">
        <v>10</v>
      </c>
      <c r="S10" t="n">
        <v>34</v>
      </c>
      <c r="T10" t="n">
        <v>151</v>
      </c>
      <c r="U10" t="n">
        <v>151</v>
      </c>
      <c r="V10" s="2" t="inlineStr">
        <is>
          <t>Bullspindling
Duvspindling
Garderönn
Granrotspindling
Gulsträngad fagerspindling
Läderdoftande fingersvamp
Stor granspindling
Svartgrön spindling
Tallpraktspindling
Vit taggsvamp
Blå slemspindling
Denisespindling
Jordtistel
Kungsörn
Odörspindling
Reliktbock
Rödfläckig zontaggsvamp
Svinrot
Sårläka
Anisspindling
Blåmossa
Grönpyrola
Jordstjärnesläktet
Kantjordstjärna
Nästrot
Olivspindling
Purpurknipprot
Tvåblad
Vit skogslilja
Zontaggsvamp
Spillkråka
Grönvit nattviol
Nattviol
Sankt pers nycklar</t>
        </is>
      </c>
      <c r="W10">
        <f>HYPERLINK("https://klasma.github.io/Logging_0980/artfynd/A 30236-2025 artfynd.xlsx", "A 30236-2025")</f>
        <v/>
      </c>
      <c r="X10">
        <f>HYPERLINK("https://klasma.github.io/Logging_0980/kartor/A 30236-2025 karta.png", "A 30236-2025")</f>
        <v/>
      </c>
      <c r="Y10">
        <f>HYPERLINK("https://klasma.github.io/Logging_0980/kartor_geotiff/A 30236-2025 georefererad karta.tif", "A 30236-2025")</f>
        <v/>
      </c>
      <c r="AA10">
        <f>HYPERLINK("https://klasma.github.io/Logging_0980/klagomål/A 30236-2025 FSC-klagomål.docx", "A 30236-2025")</f>
        <v/>
      </c>
      <c r="AB10">
        <f>HYPERLINK("https://klasma.github.io/Logging_0980/klagomålsmail/A 30236-2025 FSC-klagomål mail.docx", "A 30236-2025")</f>
        <v/>
      </c>
      <c r="AC10">
        <f>HYPERLINK("https://klasma.github.io/Logging_0980/tillsyn/A 30236-2025 tillsynsbegäran.docx", "A 30236-2025")</f>
        <v/>
      </c>
      <c r="AD10">
        <f>HYPERLINK("https://klasma.github.io/Logging_0980/tillsynsmail/A 30236-2025 tillsynsbegäran mail.docx", "A 30236-2025")</f>
        <v/>
      </c>
      <c r="AE10">
        <f>HYPERLINK("https://klasma.github.io/Logging_0980/fåglar/A 30236-2025 prioriterade fågelarter.docx", "A 30236-2025")</f>
        <v/>
      </c>
    </row>
    <row r="11" ht="15" customHeight="1">
      <c r="A11" t="inlineStr">
        <is>
          <t>A 30542-2025</t>
        </is>
      </c>
      <c r="B11" t="inlineStr">
        <is>
          <t>avverkningsanmälan</t>
        </is>
      </c>
      <c r="C11" t="inlineStr">
        <is>
          <t>Föryngringsavverkning</t>
        </is>
      </c>
      <c r="D11" s="1" t="n">
        <v>45831</v>
      </c>
      <c r="E11" s="1" t="n">
        <v>46321</v>
      </c>
      <c r="F11" t="inlineStr">
        <is>
          <t>GOTLANDS LÄN</t>
        </is>
      </c>
      <c r="G11" t="inlineStr">
        <is>
          <t>GOTLAND</t>
        </is>
      </c>
      <c r="I11" t="n">
        <v>8.300000000000001</v>
      </c>
      <c r="J11" t="n">
        <v>7</v>
      </c>
      <c r="K11" t="n">
        <v>7</v>
      </c>
      <c r="L11" t="n">
        <v>14</v>
      </c>
      <c r="M11" t="n">
        <v>7</v>
      </c>
      <c r="N11" t="n">
        <v>2</v>
      </c>
      <c r="O11" t="n">
        <v>0</v>
      </c>
      <c r="P11" t="n">
        <v>0</v>
      </c>
      <c r="Q11" t="n">
        <v>23</v>
      </c>
      <c r="R11" t="n">
        <v>9</v>
      </c>
      <c r="S11" t="n">
        <v>34</v>
      </c>
      <c r="T11" t="n">
        <v>126</v>
      </c>
      <c r="U11" t="n">
        <v>121</v>
      </c>
      <c r="V11" s="2" t="inlineStr">
        <is>
          <t>Ask
Sienamusseron
Granrotspindling
Gulsträngad fagerspindling
Kopparspindling
Narrspindling
Svartgrön spindling
Trollspindling
Violettfläckig spindling
Apollofjäril
Axveronika
Backtimjan
Barrfagerspindling
Blå slemspindling
Dårgräsfjäril
Fjällig taggsvamp s.str.
Jordtistel
Odörspindling
Solvända
Svinrot
Sårläka
Äggspindling
Ängsstarr
Anisspindling
Blåmossa
Grovticka
Jordstjärnesläktet
Olivspindling
Skogsknipprot
Tvåblad
Ormbär
Spillkråka
Brudsporre
Fläcknycklar</t>
        </is>
      </c>
      <c r="W11">
        <f>HYPERLINK("https://klasma.github.io/Logging_0980/artfynd/A 30542-2025 artfynd.xlsx", "A 30542-2025")</f>
        <v/>
      </c>
      <c r="X11">
        <f>HYPERLINK("https://klasma.github.io/Logging_0980/kartor/A 30542-2025 karta.png", "A 30542-2025")</f>
        <v/>
      </c>
      <c r="Y11">
        <f>HYPERLINK("https://klasma.github.io/Logging_0980/kartor_geotiff/A 30542-2025 georefererad karta.tif", "A 30542-2025")</f>
        <v/>
      </c>
      <c r="AA11">
        <f>HYPERLINK("https://klasma.github.io/Logging_0980/klagomål/A 30542-2025 FSC-klagomål.docx", "A 30542-2025")</f>
        <v/>
      </c>
      <c r="AB11">
        <f>HYPERLINK("https://klasma.github.io/Logging_0980/klagomålsmail/A 30542-2025 FSC-klagomål mail.docx", "A 30542-2025")</f>
        <v/>
      </c>
      <c r="AC11">
        <f>HYPERLINK("https://klasma.github.io/Logging_0980/tillsyn/A 30542-2025 tillsynsbegäran.docx", "A 30542-2025")</f>
        <v/>
      </c>
      <c r="AD11">
        <f>HYPERLINK("https://klasma.github.io/Logging_0980/tillsynsmail/A 30542-2025 tillsynsbegäran mail.docx", "A 30542-2025")</f>
        <v/>
      </c>
      <c r="AE11">
        <f>HYPERLINK("https://klasma.github.io/Logging_0980/fåglar/A 30542-2025 prioriterade fågelarter.docx", "A 30542-2025")</f>
        <v/>
      </c>
    </row>
    <row r="12" ht="15" customHeight="1">
      <c r="A12" t="inlineStr">
        <is>
          <t>A 40235-2025</t>
        </is>
      </c>
      <c r="B12" t="inlineStr">
        <is>
          <t>avverkningsanmälan</t>
        </is>
      </c>
      <c r="C12" t="inlineStr">
        <is>
          <t>Föryngringsavverkning</t>
        </is>
      </c>
      <c r="D12" s="1" t="n">
        <v>45894</v>
      </c>
      <c r="E12" s="1" t="n">
        <v>46321</v>
      </c>
      <c r="F12" t="inlineStr">
        <is>
          <t>GOTLANDS LÄN</t>
        </is>
      </c>
      <c r="G12" t="inlineStr">
        <is>
          <t>GOTLAND</t>
        </is>
      </c>
      <c r="I12" t="n">
        <v>10.6</v>
      </c>
      <c r="J12" t="n">
        <v>11</v>
      </c>
      <c r="K12" t="n">
        <v>8</v>
      </c>
      <c r="L12" t="n">
        <v>11</v>
      </c>
      <c r="M12" t="n">
        <v>6</v>
      </c>
      <c r="N12" t="n">
        <v>0</v>
      </c>
      <c r="O12" t="n">
        <v>0</v>
      </c>
      <c r="P12" t="n">
        <v>0</v>
      </c>
      <c r="Q12" t="n">
        <v>17</v>
      </c>
      <c r="R12" t="n">
        <v>6</v>
      </c>
      <c r="S12" t="n">
        <v>33</v>
      </c>
      <c r="T12" t="n">
        <v>170</v>
      </c>
      <c r="U12" t="n">
        <v>170</v>
      </c>
      <c r="V12" s="2" t="inlineStr">
        <is>
          <t>Bullspindling
Duvspindling
Gulsträngad fagerspindling
Läderdoftande fingersvamp
Svartgrön spindling
Ängsblåvinge
Backtimjan
Blå slemspindling
Blå taggsvamp
Denisespindling
Dropptaggsvamp
Dårgräsfjäril
Flattoppad klubbsvamp
Jordtistel
Loppstarr
Odörspindling
Rödfläckig zontaggsvamp
Besk kastanjemusseron
Kalktallört
Kärrlilja
Mindre märgborre
Olivspindling
Purpurknipprot
Toppvaxing
Tvåblad
Brudsporre
Dubbelnycklar
Fläcknycklar
Grönvit nattviol
Kärrknipprot
Nattviol
Salepsrot
Ängsnycklar</t>
        </is>
      </c>
      <c r="W12">
        <f>HYPERLINK("https://klasma.github.io/Logging_0980/artfynd/A 40235-2025 artfynd.xlsx", "A 40235-2025")</f>
        <v/>
      </c>
      <c r="X12">
        <f>HYPERLINK("https://klasma.github.io/Logging_0980/kartor/A 40235-2025 karta.png", "A 40235-2025")</f>
        <v/>
      </c>
      <c r="Y12">
        <f>HYPERLINK("https://klasma.github.io/Logging_0980/kartor_geotiff/A 40235-2025 georefererad karta.tif", "A 40235-2025")</f>
        <v/>
      </c>
      <c r="AA12">
        <f>HYPERLINK("https://klasma.github.io/Logging_0980/klagomål/A 40235-2025 FSC-klagomål.docx", "A 40235-2025")</f>
        <v/>
      </c>
      <c r="AB12">
        <f>HYPERLINK("https://klasma.github.io/Logging_0980/klagomålsmail/A 40235-2025 FSC-klagomål mail.docx", "A 40235-2025")</f>
        <v/>
      </c>
      <c r="AC12">
        <f>HYPERLINK("https://klasma.github.io/Logging_0980/tillsyn/A 40235-2025 tillsynsbegäran.docx", "A 40235-2025")</f>
        <v/>
      </c>
      <c r="AD12">
        <f>HYPERLINK("https://klasma.github.io/Logging_0980/tillsynsmail/A 40235-2025 tillsynsbegäran mail.docx", "A 40235-2025")</f>
        <v/>
      </c>
    </row>
    <row r="13" ht="15" customHeight="1">
      <c r="A13" t="inlineStr">
        <is>
          <t>A 33289-2026</t>
        </is>
      </c>
      <c r="B13" t="inlineStr">
        <is>
          <t>avverkningsanmälan</t>
        </is>
      </c>
      <c r="C13" t="inlineStr">
        <is>
          <t>Föryngringsavverkning</t>
        </is>
      </c>
      <c r="D13" s="1" t="n">
        <v>46246</v>
      </c>
      <c r="E13" s="1" t="n">
        <v>46321</v>
      </c>
      <c r="F13" t="inlineStr">
        <is>
          <t>GOTLANDS LÄN</t>
        </is>
      </c>
      <c r="G13" t="inlineStr">
        <is>
          <t>GOTLAND</t>
        </is>
      </c>
      <c r="I13" t="n">
        <v>3.8</v>
      </c>
      <c r="J13" t="n">
        <v>7</v>
      </c>
      <c r="K13" t="n">
        <v>12</v>
      </c>
      <c r="L13" t="n">
        <v>12</v>
      </c>
      <c r="M13" t="n">
        <v>3</v>
      </c>
      <c r="N13" t="n">
        <v>1</v>
      </c>
      <c r="O13" t="n">
        <v>0</v>
      </c>
      <c r="P13" t="n">
        <v>0</v>
      </c>
      <c r="Q13" t="n">
        <v>16</v>
      </c>
      <c r="R13" t="n">
        <v>4</v>
      </c>
      <c r="S13" t="n">
        <v>33</v>
      </c>
      <c r="T13" t="n">
        <v>117</v>
      </c>
      <c r="U13" t="n">
        <v>117</v>
      </c>
      <c r="V13" s="2" t="inlineStr">
        <is>
          <t>Ask
Bullspindling
Gulsträngad fagerspindling
Trollspindling
Axveronika
Backtimjan
Blå slemspindling
Fjällig taggsvamp s.str.
Flattoppad klubbsvamp
Jordtistel
Majviva
Odörspindling
Solvända
Svinrot
Säfferot
Sårläka
Anisspindling
Axag
Blåmossa
Kalktallört
Kantarellvaxing
Nästrot
Olivspindling
Purpurknipprot
Skogsknipprot
Strimspindling
Strävlosta
Svavelriska
Ormbär
Spillkråka
Brudsporre
Fläcknycklar
Kärrknipprot</t>
        </is>
      </c>
      <c r="W13">
        <f>HYPERLINK("https://klasma.github.io/Logging_0980/artfynd/A 33289-2026 artfynd.xlsx", "A 33289-2026")</f>
        <v/>
      </c>
      <c r="X13">
        <f>HYPERLINK("https://klasma.github.io/Logging_0980/kartor/A 33289-2026 karta.png", "A 33289-2026")</f>
        <v/>
      </c>
      <c r="Y13">
        <f>HYPERLINK("https://klasma.github.io/Logging_0980/kartor_geotiff/A 33289-2026 georefererad karta.tif", "A 33289-2026")</f>
        <v/>
      </c>
      <c r="AA13">
        <f>HYPERLINK("https://klasma.github.io/Logging_0980/klagomål/A 33289-2026 FSC-klagomål.docx", "A 33289-2026")</f>
        <v/>
      </c>
      <c r="AB13">
        <f>HYPERLINK("https://klasma.github.io/Logging_0980/klagomålsmail/A 33289-2026 FSC-klagomål mail.docx", "A 33289-2026")</f>
        <v/>
      </c>
      <c r="AC13">
        <f>HYPERLINK("https://klasma.github.io/Logging_0980/tillsyn/A 33289-2026 tillsynsbegäran.docx", "A 33289-2026")</f>
        <v/>
      </c>
      <c r="AD13">
        <f>HYPERLINK("https://klasma.github.io/Logging_0980/tillsynsmail/A 33289-2026 tillsynsbegäran mail.docx", "A 33289-2026")</f>
        <v/>
      </c>
      <c r="AE13">
        <f>HYPERLINK("https://klasma.github.io/Logging_0980/fåglar/A 33289-2026 prioriterade fågelarter.docx", "A 33289-2026")</f>
        <v/>
      </c>
    </row>
    <row r="14" ht="15" customHeight="1">
      <c r="A14" t="inlineStr">
        <is>
          <t>A 27759-2026</t>
        </is>
      </c>
      <c r="B14" t="inlineStr">
        <is>
          <t>avverkningsanmälan</t>
        </is>
      </c>
      <c r="C14" t="inlineStr">
        <is>
          <t>Föryngringsavverkning</t>
        </is>
      </c>
      <c r="D14" s="1" t="n">
        <v>46191</v>
      </c>
      <c r="E14" s="1" t="n">
        <v>46321</v>
      </c>
      <c r="F14" t="inlineStr">
        <is>
          <t>GOTLANDS LÄN</t>
        </is>
      </c>
      <c r="G14" t="inlineStr">
        <is>
          <t>GOTLAND</t>
        </is>
      </c>
      <c r="I14" t="n">
        <v>12.1</v>
      </c>
      <c r="J14" t="n">
        <v>8</v>
      </c>
      <c r="K14" t="n">
        <v>10</v>
      </c>
      <c r="L14" t="n">
        <v>6</v>
      </c>
      <c r="M14" t="n">
        <v>5</v>
      </c>
      <c r="N14" t="n">
        <v>2</v>
      </c>
      <c r="O14" t="n">
        <v>2</v>
      </c>
      <c r="P14" t="n">
        <v>0</v>
      </c>
      <c r="Q14" t="n">
        <v>15</v>
      </c>
      <c r="R14" t="n">
        <v>9</v>
      </c>
      <c r="S14" t="n">
        <v>32</v>
      </c>
      <c r="T14" t="n">
        <v>113</v>
      </c>
      <c r="U14" t="n">
        <v>79</v>
      </c>
      <c r="V14" s="2" t="inlineStr">
        <is>
          <t>Cinnoberfläck
Coniocarpon fallax
Ask
Lundalm
Aspfjädermossa
Gulsträngad fagerspindling
Mörk kraterlav
Tvådoftspindling
Ädellav
Fjällig taggsvamp s.str.
Kattfotslav
Odörspindling
Svinrot
Sårläka
Vårärt
Anisspindling
Havstulpanlav
Korallblylav
Murgröna
Pluteus cyanopus
Rikfruktig blemlav
Skogsknipprot
Svavelriska
Tvåblad
Underviol
Ormbär
Spillkråka
Kråka
Skogsduva
Fläcknycklar
Grönvit nattviol
Revlummer</t>
        </is>
      </c>
      <c r="W14">
        <f>HYPERLINK("https://klasma.github.io/Logging_0980/artfynd/A 27759-2026 artfynd.xlsx", "A 27759-2026")</f>
        <v/>
      </c>
      <c r="X14">
        <f>HYPERLINK("https://klasma.github.io/Logging_0980/kartor/A 27759-2026 karta.png", "A 27759-2026")</f>
        <v/>
      </c>
      <c r="Y14">
        <f>HYPERLINK("https://klasma.github.io/Logging_0980/kartor_geotiff/A 27759-2026 georefererad karta.tif", "A 27759-2026")</f>
        <v/>
      </c>
      <c r="AA14">
        <f>HYPERLINK("https://klasma.github.io/Logging_0980/klagomål/A 27759-2026 FSC-klagomål.docx", "A 27759-2026")</f>
        <v/>
      </c>
      <c r="AB14">
        <f>HYPERLINK("https://klasma.github.io/Logging_0980/klagomålsmail/A 27759-2026 FSC-klagomål mail.docx", "A 27759-2026")</f>
        <v/>
      </c>
      <c r="AC14">
        <f>HYPERLINK("https://klasma.github.io/Logging_0980/tillsyn/A 27759-2026 tillsynsbegäran.docx", "A 27759-2026")</f>
        <v/>
      </c>
      <c r="AD14">
        <f>HYPERLINK("https://klasma.github.io/Logging_0980/tillsynsmail/A 27759-2026 tillsynsbegäran mail.docx", "A 27759-2026")</f>
        <v/>
      </c>
      <c r="AE14">
        <f>HYPERLINK("https://klasma.github.io/Logging_0980/fåglar/A 27759-2026 prioriterade fågelarter.docx", "A 27759-2026")</f>
        <v/>
      </c>
    </row>
    <row r="15" ht="15" customHeight="1">
      <c r="A15" t="inlineStr">
        <is>
          <t>A 530-2024</t>
        </is>
      </c>
      <c r="B15" t="inlineStr">
        <is>
          <t>avverkningsanmälan</t>
        </is>
      </c>
      <c r="C15" t="inlineStr">
        <is>
          <t>Föryngringsavverkning</t>
        </is>
      </c>
      <c r="D15" s="1" t="n">
        <v>45299</v>
      </c>
      <c r="E15" s="1" t="n">
        <v>46321</v>
      </c>
      <c r="F15" t="inlineStr">
        <is>
          <t>GOTLANDS LÄN</t>
        </is>
      </c>
      <c r="G15" t="inlineStr">
        <is>
          <t>GOTLAND</t>
        </is>
      </c>
      <c r="I15" t="n">
        <v>6.5</v>
      </c>
      <c r="J15" t="n">
        <v>11</v>
      </c>
      <c r="K15" t="n">
        <v>6</v>
      </c>
      <c r="L15" t="n">
        <v>11</v>
      </c>
      <c r="M15" t="n">
        <v>5</v>
      </c>
      <c r="N15" t="n">
        <v>3</v>
      </c>
      <c r="O15" t="n">
        <v>0</v>
      </c>
      <c r="P15" t="n">
        <v>0</v>
      </c>
      <c r="Q15" t="n">
        <v>19</v>
      </c>
      <c r="R15" t="n">
        <v>8</v>
      </c>
      <c r="S15" t="n">
        <v>32</v>
      </c>
      <c r="T15" t="n">
        <v>134</v>
      </c>
      <c r="U15" t="n">
        <v>117</v>
      </c>
      <c r="V15" s="2" t="inlineStr">
        <is>
          <t>Ask
Blek bananspindling
Klenodspindling
Granrotspindling
Gulsträngad fagerspindling
Mörkfjällig olivspindling
Svartgrön spindling
Trollspindling
Bittermusseron
Blå slemspindling
Fjällig taggsvamp s.str.
Flattoppad klubbsvamp
Grönsångare
Odörspindling
Phellodon dititomentosus
Skarp dropptaggsvamp
Svart taggsvamp
Svinrot
Äggspindling
Anisspindling
Nästrot
Olivspindling
Skogsknipprot
Svavelriska
Tvåblad
Blåsippa
Spillkråka
Grönsiska
Halsbandsflugsnappare
Fläcknycklar
Nattviol
Sankt pers nycklar</t>
        </is>
      </c>
      <c r="W15">
        <f>HYPERLINK("https://klasma.github.io/Logging_0980/artfynd/A 530-2024 artfynd.xlsx", "A 530-2024")</f>
        <v/>
      </c>
      <c r="X15">
        <f>HYPERLINK("https://klasma.github.io/Logging_0980/kartor/A 530-2024 karta.png", "A 530-2024")</f>
        <v/>
      </c>
      <c r="Y15">
        <f>HYPERLINK("https://klasma.github.io/Logging_0980/kartor_geotiff/A 530-2024 georefererad karta.tif", "A 530-2024")</f>
        <v/>
      </c>
      <c r="AA15">
        <f>HYPERLINK("https://klasma.github.io/Logging_0980/klagomål/A 530-2024 FSC-klagomål.docx", "A 530-2024")</f>
        <v/>
      </c>
      <c r="AB15">
        <f>HYPERLINK("https://klasma.github.io/Logging_0980/klagomålsmail/A 530-2024 FSC-klagomål mail.docx", "A 530-2024")</f>
        <v/>
      </c>
      <c r="AC15">
        <f>HYPERLINK("https://klasma.github.io/Logging_0980/tillsyn/A 530-2024 tillsynsbegäran.docx", "A 530-2024")</f>
        <v/>
      </c>
      <c r="AD15">
        <f>HYPERLINK("https://klasma.github.io/Logging_0980/tillsynsmail/A 530-2024 tillsynsbegäran mail.docx", "A 530-2024")</f>
        <v/>
      </c>
      <c r="AE15">
        <f>HYPERLINK("https://klasma.github.io/Logging_0980/fåglar/A 530-2024 prioriterade fågelarter.docx", "A 530-2024")</f>
        <v/>
      </c>
    </row>
    <row r="16" ht="15" customHeight="1">
      <c r="A16" t="inlineStr">
        <is>
          <t>A 43785-2024</t>
        </is>
      </c>
      <c r="B16" t="inlineStr">
        <is>
          <t>avverkningsanmälan</t>
        </is>
      </c>
      <c r="C16" t="inlineStr">
        <is>
          <t>Avverkning för annat ändamål</t>
        </is>
      </c>
      <c r="D16" s="1" t="n">
        <v>45570</v>
      </c>
      <c r="E16" s="1" t="n">
        <v>46321</v>
      </c>
      <c r="F16" t="inlineStr">
        <is>
          <t>GOTLANDS LÄN</t>
        </is>
      </c>
      <c r="G16" t="inlineStr">
        <is>
          <t>GOTLAND</t>
        </is>
      </c>
      <c r="I16" t="n">
        <v>12.6</v>
      </c>
      <c r="J16" t="n">
        <v>2</v>
      </c>
      <c r="K16" t="n">
        <v>8</v>
      </c>
      <c r="L16" t="n">
        <v>13</v>
      </c>
      <c r="M16" t="n">
        <v>7</v>
      </c>
      <c r="N16" t="n">
        <v>1</v>
      </c>
      <c r="O16" t="n">
        <v>0</v>
      </c>
      <c r="P16" t="n">
        <v>0</v>
      </c>
      <c r="Q16" t="n">
        <v>21</v>
      </c>
      <c r="R16" t="n">
        <v>8</v>
      </c>
      <c r="S16" t="n">
        <v>31</v>
      </c>
      <c r="T16" t="n">
        <v>147</v>
      </c>
      <c r="U16" t="n">
        <v>147</v>
      </c>
      <c r="V16" s="2" t="inlineStr">
        <is>
          <t>Tallharticka
Duvspindling
Fläckfingersvamp
Granrotspindling
Gul lammticka
Gulsträngad fagerspindling
Svartgrön spindling
Violettfläckig spindling
Barrviolspindling
Blå slemspindling
Denisespindling
Fjällig taggsvamp s.str.
Flattoppad klubbsvamp
Jordtistel
Kryddspindling
Odörspindling
Rödfläckig zontaggsvamp
Skarp dropptaggsvamp
Sårläka
Tjockfotad fingersvamp
Äggspindling
Anisspindling
Besk kastanjemusseron
Fransig jordstjärna
Gulgrön kantmusseron
Mindre märgborre
Olivspindling
Strimspindling
Svavelriska
Spillkråka
Nattviol</t>
        </is>
      </c>
      <c r="W16">
        <f>HYPERLINK("https://klasma.github.io/Logging_0980/artfynd/A 43785-2024 artfynd.xlsx", "A 43785-2024")</f>
        <v/>
      </c>
      <c r="X16">
        <f>HYPERLINK("https://klasma.github.io/Logging_0980/kartor/A 43785-2024 karta.png", "A 43785-2024")</f>
        <v/>
      </c>
      <c r="Y16">
        <f>HYPERLINK("https://klasma.github.io/Logging_0980/kartor_geotiff/A 43785-2024 georefererad karta.tif", "A 43785-2024")</f>
        <v/>
      </c>
      <c r="AA16">
        <f>HYPERLINK("https://klasma.github.io/Logging_0980/klagomål/A 43785-2024 FSC-klagomål.docx", "A 43785-2024")</f>
        <v/>
      </c>
      <c r="AB16">
        <f>HYPERLINK("https://klasma.github.io/Logging_0980/klagomålsmail/A 43785-2024 FSC-klagomål mail.docx", "A 43785-2024")</f>
        <v/>
      </c>
      <c r="AC16">
        <f>HYPERLINK("https://klasma.github.io/Logging_0980/tillsyn/A 43785-2024 tillsynsbegäran.docx", "A 43785-2024")</f>
        <v/>
      </c>
      <c r="AD16">
        <f>HYPERLINK("https://klasma.github.io/Logging_0980/tillsynsmail/A 43785-2024 tillsynsbegäran mail.docx", "A 43785-2024")</f>
        <v/>
      </c>
      <c r="AE16">
        <f>HYPERLINK("https://klasma.github.io/Logging_0980/fåglar/A 43785-2024 prioriterade fågelarter.docx", "A 43785-2024")</f>
        <v/>
      </c>
    </row>
    <row r="17" ht="15" customHeight="1">
      <c r="A17" t="inlineStr">
        <is>
          <t>A 1769-2022</t>
        </is>
      </c>
      <c r="B17" t="inlineStr">
        <is>
          <t>avverkningsanmälan</t>
        </is>
      </c>
      <c r="C17" t="inlineStr">
        <is>
          <t>Föryngringsavverkning</t>
        </is>
      </c>
      <c r="D17" s="1" t="n">
        <v>44574</v>
      </c>
      <c r="E17" s="1" t="n">
        <v>46321</v>
      </c>
      <c r="F17" t="inlineStr">
        <is>
          <t>GOTLANDS LÄN</t>
        </is>
      </c>
      <c r="G17" t="inlineStr">
        <is>
          <t>GOTLAND</t>
        </is>
      </c>
      <c r="I17" t="n">
        <v>31.3</v>
      </c>
      <c r="J17" t="n">
        <v>5</v>
      </c>
      <c r="K17" t="n">
        <v>5</v>
      </c>
      <c r="L17" t="n">
        <v>12</v>
      </c>
      <c r="M17" t="n">
        <v>8</v>
      </c>
      <c r="N17" t="n">
        <v>2</v>
      </c>
      <c r="O17" t="n">
        <v>0</v>
      </c>
      <c r="P17" t="n">
        <v>0</v>
      </c>
      <c r="Q17" t="n">
        <v>22</v>
      </c>
      <c r="R17" t="n">
        <v>10</v>
      </c>
      <c r="S17" t="n">
        <v>31</v>
      </c>
      <c r="T17" t="n">
        <v>83</v>
      </c>
      <c r="U17" t="n">
        <v>79</v>
      </c>
      <c r="V17" s="2" t="inlineStr">
        <is>
          <t>Sträv jordstjärna
Svartnande fingersvamp
Clitopaxillus alexandri
Duvspindling
Gulsträngad fagerspindling
Narrspindling
Svartgrön spindling
Trollspindling
Ullmusseron
Vit taggsvamp
Axveronika
Backtimjan
Barrviolspindling
Bittermusseron
Blå slemspindling
Denisespindling
Kryddspindling
Loppstarr
Majviva
Odörspindling
Solvända
Ängsstarr
Anisspindling
Besk kastanjemusseron
Flugblomster
Fransig jordstjärna
Olivspindling
Brudsporre
Grönvit nattviol
Kärrknipprot
Vanliga ängsnycklar</t>
        </is>
      </c>
      <c r="W17">
        <f>HYPERLINK("https://klasma.github.io/Logging_0980/artfynd/A 1769-2022 artfynd.xlsx", "A 1769-2022")</f>
        <v/>
      </c>
      <c r="X17">
        <f>HYPERLINK("https://klasma.github.io/Logging_0980/kartor/A 1769-2022 karta.png", "A 1769-2022")</f>
        <v/>
      </c>
      <c r="Y17">
        <f>HYPERLINK("https://klasma.github.io/Logging_0980/kartor_geotiff/A 1769-2022 georefererad karta.tif", "A 1769-2022")</f>
        <v/>
      </c>
      <c r="AA17">
        <f>HYPERLINK("https://klasma.github.io/Logging_0980/klagomål/A 1769-2022 FSC-klagomål.docx", "A 1769-2022")</f>
        <v/>
      </c>
      <c r="AB17">
        <f>HYPERLINK("https://klasma.github.io/Logging_0980/klagomålsmail/A 1769-2022 FSC-klagomål mail.docx", "A 1769-2022")</f>
        <v/>
      </c>
      <c r="AC17">
        <f>HYPERLINK("https://klasma.github.io/Logging_0980/tillsyn/A 1769-2022 tillsynsbegäran.docx", "A 1769-2022")</f>
        <v/>
      </c>
      <c r="AD17">
        <f>HYPERLINK("https://klasma.github.io/Logging_0980/tillsynsmail/A 1769-2022 tillsynsbegäran mail.docx", "A 1769-2022")</f>
        <v/>
      </c>
    </row>
    <row r="18" ht="15" customHeight="1">
      <c r="A18" t="inlineStr">
        <is>
          <t>A 15075-2025</t>
        </is>
      </c>
      <c r="B18" t="inlineStr">
        <is>
          <t>avverkningsanmälan</t>
        </is>
      </c>
      <c r="C18" t="inlineStr">
        <is>
          <t>Avverkning för annat ändamål</t>
        </is>
      </c>
      <c r="D18" s="1" t="n">
        <v>45743</v>
      </c>
      <c r="E18" s="1" t="n">
        <v>46321</v>
      </c>
      <c r="F18" t="inlineStr">
        <is>
          <t>GOTLANDS LÄN</t>
        </is>
      </c>
      <c r="G18" t="inlineStr">
        <is>
          <t>GOTLAND</t>
        </is>
      </c>
      <c r="I18" t="n">
        <v>20.9</v>
      </c>
      <c r="J18" t="n">
        <v>4</v>
      </c>
      <c r="K18" t="n">
        <v>9</v>
      </c>
      <c r="L18" t="n">
        <v>8</v>
      </c>
      <c r="M18" t="n">
        <v>9</v>
      </c>
      <c r="N18" t="n">
        <v>1</v>
      </c>
      <c r="O18" t="n">
        <v>0</v>
      </c>
      <c r="P18" t="n">
        <v>0</v>
      </c>
      <c r="Q18" t="n">
        <v>18</v>
      </c>
      <c r="R18" t="n">
        <v>10</v>
      </c>
      <c r="S18" t="n">
        <v>30</v>
      </c>
      <c r="T18" t="n">
        <v>131</v>
      </c>
      <c r="U18" t="n">
        <v>131</v>
      </c>
      <c r="V18" s="2" t="inlineStr">
        <is>
          <t>Violgubbe
Bananspindling
Granrotspindling
Läderdoftande fingersvamp
Narrspindling
Svartgrön spindling
Taggfingersvamp
Tallpraktspindling
Trollspindling
Violettfläckig spindling
Barrviolspindling
Blå slemspindling
Fjällig taggsvamp s.str.
Kattfotslav
Kryddspindling
Odörspindling
Sårläka
Äggspindling
Anisspindling
Blåmossa
Grönpyrola
Kalktallört
Olivspindling
Rödgul trumpetsvamp
Skogsknipprot
Svavelriska
Toppvaxing
Spillkråka
Kungsfågel
Nattviol</t>
        </is>
      </c>
      <c r="W18">
        <f>HYPERLINK("https://klasma.github.io/Logging_0980/artfynd/A 15075-2025 artfynd.xlsx", "A 15075-2025")</f>
        <v/>
      </c>
      <c r="X18">
        <f>HYPERLINK("https://klasma.github.io/Logging_0980/kartor/A 15075-2025 karta.png", "A 15075-2025")</f>
        <v/>
      </c>
      <c r="Y18">
        <f>HYPERLINK("https://klasma.github.io/Logging_0980/kartor_geotiff/A 15075-2025 georefererad karta.tif", "A 15075-2025")</f>
        <v/>
      </c>
      <c r="AA18">
        <f>HYPERLINK("https://klasma.github.io/Logging_0980/klagomål/A 15075-2025 FSC-klagomål.docx", "A 15075-2025")</f>
        <v/>
      </c>
      <c r="AB18">
        <f>HYPERLINK("https://klasma.github.io/Logging_0980/klagomålsmail/A 15075-2025 FSC-klagomål mail.docx", "A 15075-2025")</f>
        <v/>
      </c>
      <c r="AC18">
        <f>HYPERLINK("https://klasma.github.io/Logging_0980/tillsyn/A 15075-2025 tillsynsbegäran.docx", "A 15075-2025")</f>
        <v/>
      </c>
      <c r="AD18">
        <f>HYPERLINK("https://klasma.github.io/Logging_0980/tillsynsmail/A 15075-2025 tillsynsbegäran mail.docx", "A 15075-2025")</f>
        <v/>
      </c>
      <c r="AE18">
        <f>HYPERLINK("https://klasma.github.io/Logging_0980/fåglar/A 15075-2025 prioriterade fågelarter.docx", "A 15075-2025")</f>
        <v/>
      </c>
    </row>
    <row r="19" ht="15" customHeight="1">
      <c r="A19" t="inlineStr">
        <is>
          <t>S 2823-2025</t>
        </is>
      </c>
      <c r="B19" t="inlineStr">
        <is>
          <t>samrådsanmälan</t>
        </is>
      </c>
      <c r="C19" t="inlineStr">
        <is>
          <t>Annan skogsbruksåtgärd</t>
        </is>
      </c>
      <c r="D19" s="1" t="n">
        <v>45939</v>
      </c>
      <c r="E19" s="1" t="n">
        <v>46321</v>
      </c>
      <c r="F19" t="inlineStr">
        <is>
          <t>GOTLANDS LÄN</t>
        </is>
      </c>
      <c r="G19" t="inlineStr">
        <is>
          <t>GOTLAND</t>
        </is>
      </c>
      <c r="I19" t="n">
        <v>87</v>
      </c>
      <c r="J19" t="n">
        <v>2</v>
      </c>
      <c r="K19" t="n">
        <v>8</v>
      </c>
      <c r="L19" t="n">
        <v>10</v>
      </c>
      <c r="M19" t="n">
        <v>11</v>
      </c>
      <c r="N19" t="n">
        <v>0</v>
      </c>
      <c r="O19" t="n">
        <v>0</v>
      </c>
      <c r="P19" t="n">
        <v>0</v>
      </c>
      <c r="Q19" t="n">
        <v>21</v>
      </c>
      <c r="R19" t="n">
        <v>11</v>
      </c>
      <c r="S19" t="n">
        <v>30</v>
      </c>
      <c r="T19" t="n">
        <v>121</v>
      </c>
      <c r="U19" t="n">
        <v>1</v>
      </c>
      <c r="V19" s="2" t="inlineStr">
        <is>
          <t>Blåfotad fagerspindling
Bullspindling
Granrotspindling
Gul lammticka
Gulsträngad fagerspindling
Lammticka
Naveljordstjärna
Svartgrön spindling
Tvillingspindling
Violettfläckig spindling
Vit taggsvamp
Apollofjäril
Barrfagerspindling
Blå slemspindling
Fjällig taggsvamp s.str.
Motaggsvamp
Odörspindling
Paddfot
Svart taggsvamp
Tallticka
Äggspindling
Anisspindling
Fransig jordstjärna
Kragjordstjärna
Olivspindling
Rödbrun jordstjärna
Rödgul trumpetsvamp
Svavelriska
Zontaggsvamp
Spillkråka</t>
        </is>
      </c>
      <c r="W19">
        <f>HYPERLINK("https://klasma.github.io/Logging_0980/artfynd/S 2823-2025 artfynd.xlsx", "S 2823-2025")</f>
        <v/>
      </c>
      <c r="X19">
        <f>HYPERLINK("https://klasma.github.io/Logging_0980/kartor/S 2823-2025 karta.png", "S 2823-2025")</f>
        <v/>
      </c>
      <c r="Y19">
        <f>HYPERLINK("https://klasma.github.io/Logging_0980/kartor_geotiff/S 2823-2025 georefererad karta.tif", "S 2823-2025")</f>
        <v/>
      </c>
      <c r="AA19">
        <f>HYPERLINK("https://klasma.github.io/Logging_0980/klagomål/S 2823-2025 FSC-klagomål.docx", "S 2823-2025")</f>
        <v/>
      </c>
      <c r="AB19">
        <f>HYPERLINK("https://klasma.github.io/Logging_0980/klagomålsmail/S 2823-2025 FSC-klagomål mail.docx", "S 2823-2025")</f>
        <v/>
      </c>
      <c r="AC19">
        <f>HYPERLINK("https://klasma.github.io/Logging_0980/tillsyn/S 2823-2025 tillsynsbegäran.docx", "S 2823-2025")</f>
        <v/>
      </c>
      <c r="AD19">
        <f>HYPERLINK("https://klasma.github.io/Logging_0980/tillsynsmail/S 2823-2025 tillsynsbegäran mail.docx", "S 2823-2025")</f>
        <v/>
      </c>
      <c r="AE19">
        <f>HYPERLINK("https://klasma.github.io/Logging_0980/fåglar/S 2823-2025 prioriterade fågelarter.docx", "S 2823-2025")</f>
        <v/>
      </c>
    </row>
    <row r="20" ht="15" customHeight="1">
      <c r="A20" t="inlineStr">
        <is>
          <t>A 45536-2025</t>
        </is>
      </c>
      <c r="B20" t="inlineStr">
        <is>
          <t>avverkningsanmälan</t>
        </is>
      </c>
      <c r="C20" t="inlineStr">
        <is>
          <t>Föryngringsavverkning</t>
        </is>
      </c>
      <c r="D20" s="1" t="n">
        <v>45922</v>
      </c>
      <c r="E20" s="1" t="n">
        <v>46321</v>
      </c>
      <c r="F20" t="inlineStr">
        <is>
          <t>GOTLANDS LÄN</t>
        </is>
      </c>
      <c r="G20" t="inlineStr">
        <is>
          <t>GOTLAND</t>
        </is>
      </c>
      <c r="I20" t="n">
        <v>10.4</v>
      </c>
      <c r="J20" t="n">
        <v>3</v>
      </c>
      <c r="K20" t="n">
        <v>6</v>
      </c>
      <c r="L20" t="n">
        <v>10</v>
      </c>
      <c r="M20" t="n">
        <v>8</v>
      </c>
      <c r="N20" t="n">
        <v>2</v>
      </c>
      <c r="O20" t="n">
        <v>0</v>
      </c>
      <c r="P20" t="n">
        <v>0</v>
      </c>
      <c r="Q20" t="n">
        <v>21</v>
      </c>
      <c r="R20" t="n">
        <v>10</v>
      </c>
      <c r="S20" t="n">
        <v>29</v>
      </c>
      <c r="T20" t="n">
        <v>92</v>
      </c>
      <c r="U20" t="n">
        <v>91</v>
      </c>
      <c r="V20" s="2" t="inlineStr">
        <is>
          <t>Slät taggsvamp
Sotbandad spindling
Granrotspindling
Gulsträngad fagerspindling
Läderdoftande fingersvamp
Narrspindling
Stor granspindling
Svartgrön spindling
Violettfläckig spindling
Violettrandad spindling
Backtimjan
Blå slemspindling
Fjällig taggsvamp s.str.
Kattfotslav
Kryddspindling
Mindre tåtelsmygare
Odörspindling
Skarp dropptaggsvamp
Sårläka
Tjockfotad fingersvamp
Grynspindling
Anisspindling
Blåmossa
Fransig jordstjärna
Mindre märgborre
Nästrot
Olivspindling
Spillkråka
Huggorm</t>
        </is>
      </c>
      <c r="W20">
        <f>HYPERLINK("https://klasma.github.io/Logging_0980/artfynd/A 45536-2025 artfynd.xlsx", "A 45536-2025")</f>
        <v/>
      </c>
      <c r="X20">
        <f>HYPERLINK("https://klasma.github.io/Logging_0980/kartor/A 45536-2025 karta.png", "A 45536-2025")</f>
        <v/>
      </c>
      <c r="Y20">
        <f>HYPERLINK("https://klasma.github.io/Logging_0980/kartor_geotiff/A 45536-2025 georefererad karta.tif", "A 45536-2025")</f>
        <v/>
      </c>
      <c r="AA20">
        <f>HYPERLINK("https://klasma.github.io/Logging_0980/klagomål/A 45536-2025 FSC-klagomål.docx", "A 45536-2025")</f>
        <v/>
      </c>
      <c r="AB20">
        <f>HYPERLINK("https://klasma.github.io/Logging_0980/klagomålsmail/A 45536-2025 FSC-klagomål mail.docx", "A 45536-2025")</f>
        <v/>
      </c>
      <c r="AC20">
        <f>HYPERLINK("https://klasma.github.io/Logging_0980/tillsyn/A 45536-2025 tillsynsbegäran.docx", "A 45536-2025")</f>
        <v/>
      </c>
      <c r="AD20">
        <f>HYPERLINK("https://klasma.github.io/Logging_0980/tillsynsmail/A 45536-2025 tillsynsbegäran mail.docx", "A 45536-2025")</f>
        <v/>
      </c>
      <c r="AE20">
        <f>HYPERLINK("https://klasma.github.io/Logging_0980/fåglar/A 45536-2025 prioriterade fågelarter.docx", "A 45536-2025")</f>
        <v/>
      </c>
    </row>
    <row r="21" ht="15" customHeight="1">
      <c r="A21" t="inlineStr">
        <is>
          <t>A 62551-2022</t>
        </is>
      </c>
      <c r="B21" t="inlineStr">
        <is>
          <t>avverkningsanmälan</t>
        </is>
      </c>
      <c r="C21" t="inlineStr">
        <is>
          <t>Föryngringsavverkning</t>
        </is>
      </c>
      <c r="D21" s="1" t="n">
        <v>44924</v>
      </c>
      <c r="E21" s="1" t="n">
        <v>46321</v>
      </c>
      <c r="F21" t="inlineStr">
        <is>
          <t>GOTLANDS LÄN</t>
        </is>
      </c>
      <c r="G21" t="inlineStr">
        <is>
          <t>GOTLAND</t>
        </is>
      </c>
      <c r="I21" t="n">
        <v>7.9</v>
      </c>
      <c r="J21" t="n">
        <v>5</v>
      </c>
      <c r="K21" t="n">
        <v>9</v>
      </c>
      <c r="L21" t="n">
        <v>9</v>
      </c>
      <c r="M21" t="n">
        <v>8</v>
      </c>
      <c r="N21" t="n">
        <v>2</v>
      </c>
      <c r="O21" t="n">
        <v>0</v>
      </c>
      <c r="P21" t="n">
        <v>0</v>
      </c>
      <c r="Q21" t="n">
        <v>19</v>
      </c>
      <c r="R21" t="n">
        <v>10</v>
      </c>
      <c r="S21" t="n">
        <v>29</v>
      </c>
      <c r="T21" t="n">
        <v>133</v>
      </c>
      <c r="U21" t="n">
        <v>105</v>
      </c>
      <c r="V21" s="2" t="inlineStr">
        <is>
          <t>Sienamusseron
Svartnande fingersvamp
Fågelträcksspindling
Granrotspindling
Gulsträngad fagerspindling
Mörkfjällig olivspindling
Svartfläckig blåvinge
Svartgrön spindling
Tvillingspindling
Vit taggsvamp
Backtimjan
Blå slemspindling
Dårgräsfjäril
Kryddspindling
Odörspindling
Slåtterfibbla
Solvända
Svinrot
Äggspindling
Anisspindling
Blomkålssvamp
Blåmossa
Diskvaxskivling
Fransig jordstjärna
Nästrot
Purpurknipprot
Rödgul trumpetsvamp
Toppvaxing
Alvarstånds</t>
        </is>
      </c>
      <c r="W21">
        <f>HYPERLINK("https://klasma.github.io/Logging_0980/artfynd/A 62551-2022 artfynd.xlsx", "A 62551-2022")</f>
        <v/>
      </c>
      <c r="X21">
        <f>HYPERLINK("https://klasma.github.io/Logging_0980/kartor/A 62551-2022 karta.png", "A 62551-2022")</f>
        <v/>
      </c>
      <c r="Y21">
        <f>HYPERLINK("https://klasma.github.io/Logging_0980/kartor_geotiff/A 62551-2022 georefererad karta.tif", "A 62551-2022")</f>
        <v/>
      </c>
      <c r="AA21">
        <f>HYPERLINK("https://klasma.github.io/Logging_0980/klagomål/A 62551-2022 FSC-klagomål.docx", "A 62551-2022")</f>
        <v/>
      </c>
      <c r="AB21">
        <f>HYPERLINK("https://klasma.github.io/Logging_0980/klagomålsmail/A 62551-2022 FSC-klagomål mail.docx", "A 62551-2022")</f>
        <v/>
      </c>
      <c r="AC21">
        <f>HYPERLINK("https://klasma.github.io/Logging_0980/tillsyn/A 62551-2022 tillsynsbegäran.docx", "A 62551-2022")</f>
        <v/>
      </c>
      <c r="AD21">
        <f>HYPERLINK("https://klasma.github.io/Logging_0980/tillsynsmail/A 62551-2022 tillsynsbegäran mail.docx", "A 62551-2022")</f>
        <v/>
      </c>
    </row>
    <row r="22" ht="15" customHeight="1">
      <c r="A22" t="inlineStr">
        <is>
          <t>A 42411-2026</t>
        </is>
      </c>
      <c r="B22" t="inlineStr">
        <is>
          <t>avverkningsanmälan</t>
        </is>
      </c>
      <c r="C22" t="inlineStr">
        <is>
          <t>Avverkning för annat ändamål</t>
        </is>
      </c>
      <c r="D22" s="1" t="n">
        <v>46307</v>
      </c>
      <c r="E22" s="1" t="n">
        <v>46321</v>
      </c>
      <c r="F22" t="inlineStr">
        <is>
          <t>GOTLANDS LÄN</t>
        </is>
      </c>
      <c r="G22" t="inlineStr">
        <is>
          <t>GOTLAND</t>
        </is>
      </c>
      <c r="I22" t="n">
        <v>1</v>
      </c>
      <c r="J22" t="n">
        <v>1</v>
      </c>
      <c r="K22" t="n">
        <v>5</v>
      </c>
      <c r="L22" t="n">
        <v>12</v>
      </c>
      <c r="M22" t="n">
        <v>9</v>
      </c>
      <c r="N22" t="n">
        <v>0</v>
      </c>
      <c r="O22" t="n">
        <v>0</v>
      </c>
      <c r="P22" t="n">
        <v>0</v>
      </c>
      <c r="Q22" t="n">
        <v>21</v>
      </c>
      <c r="R22" t="n">
        <v>9</v>
      </c>
      <c r="S22" t="n">
        <v>27</v>
      </c>
      <c r="T22" t="n">
        <v>69</v>
      </c>
      <c r="U22" t="n">
        <v>61</v>
      </c>
      <c r="V22" s="2" t="inlineStr">
        <is>
          <t>Bullspindling
Duvspindling
Granrotspindling
Gulsträngad fagerspindling
Pluggtrattskivling
Svartgrön spindling
Trollspindling
Vit taggsvamp
Ädellav
Blå slemspindling
Blå taggsvamp
Fjällig taggsvamp s.str.
Flattoppad klubbsvamp
Odörspindling
Orangepudrad klotterlav
Rödfläckig zontaggsvamp
Skarp dropptaggsvamp
Svart taggsvamp
Sårläka
Vårärt
Äggspindling
Anisspindling
Brandmusseron
Fransig jordstjärna
Kragjordstjärna
Nästrot
Kransmossa</t>
        </is>
      </c>
      <c r="W22">
        <f>HYPERLINK("https://klasma.github.io/Logging_0980/artfynd/A 42411-2026 artfynd.xlsx", "A 42411-2026")</f>
        <v/>
      </c>
      <c r="X22">
        <f>HYPERLINK("https://klasma.github.io/Logging_0980/kartor/A 42411-2026 karta.png", "A 42411-2026")</f>
        <v/>
      </c>
      <c r="Y22">
        <f>HYPERLINK("https://klasma.github.io/Logging_0980/kartor_geotiff/A 42411-2026 georefererad karta.tif", "A 42411-2026")</f>
        <v/>
      </c>
      <c r="AA22">
        <f>HYPERLINK("https://klasma.github.io/Logging_0980/klagomål/A 42411-2026 FSC-klagomål.docx", "A 42411-2026")</f>
        <v/>
      </c>
      <c r="AB22">
        <f>HYPERLINK("https://klasma.github.io/Logging_0980/klagomålsmail/A 42411-2026 FSC-klagomål mail.docx", "A 42411-2026")</f>
        <v/>
      </c>
      <c r="AC22">
        <f>HYPERLINK("https://klasma.github.io/Logging_0980/tillsyn/A 42411-2026 tillsynsbegäran.docx", "A 42411-2026")</f>
        <v/>
      </c>
      <c r="AD22">
        <f>HYPERLINK("https://klasma.github.io/Logging_0980/tillsynsmail/A 42411-2026 tillsynsbegäran mail.docx", "A 42411-2026")</f>
        <v/>
      </c>
    </row>
    <row r="23" ht="15" customHeight="1">
      <c r="A23" t="inlineStr">
        <is>
          <t>A 6159-2023</t>
        </is>
      </c>
      <c r="B23" t="inlineStr">
        <is>
          <t>avverkningsanmälan</t>
        </is>
      </c>
      <c r="C23" t="inlineStr">
        <is>
          <t>Föryngringsavverkning</t>
        </is>
      </c>
      <c r="D23" s="1" t="n">
        <v>44964</v>
      </c>
      <c r="E23" s="1" t="n">
        <v>46321</v>
      </c>
      <c r="F23" t="inlineStr">
        <is>
          <t>GOTLANDS LÄN</t>
        </is>
      </c>
      <c r="G23" t="inlineStr">
        <is>
          <t>GOTLAND</t>
        </is>
      </c>
      <c r="I23" t="n">
        <v>2</v>
      </c>
      <c r="J23" t="n">
        <v>1</v>
      </c>
      <c r="K23" t="n">
        <v>4</v>
      </c>
      <c r="L23" t="n">
        <v>11</v>
      </c>
      <c r="M23" t="n">
        <v>7</v>
      </c>
      <c r="N23" t="n">
        <v>1</v>
      </c>
      <c r="O23" t="n">
        <v>1</v>
      </c>
      <c r="P23" t="n">
        <v>0</v>
      </c>
      <c r="Q23" t="n">
        <v>20</v>
      </c>
      <c r="R23" t="n">
        <v>9</v>
      </c>
      <c r="S23" t="n">
        <v>26</v>
      </c>
      <c r="T23" t="n">
        <v>90</v>
      </c>
      <c r="U23" t="n">
        <v>81</v>
      </c>
      <c r="V23" s="2" t="inlineStr">
        <is>
          <t>Coniocarpon fallax
Knölig taggsvamp
Duvspindling
Granrotspindling
Gul lammticka
Gulsträngad fagerspindling
Gyllenspindling
Svartgrön spindling
Trollspindling
Blek fingersvamp
Blå slemspindling
Dofttaggsvamp
Fjällig taggsvamp s.str.
Kryddspindling
Odörspindling
Orange taggsvamp
Rödfläckig zontaggsvamp
Svart taggsvamp
Vårärt
Äggspindling
Anisspindling
Brandmusseron
Fransig jordstjärna
Olivspindling
Kransmossa
Spillkråka</t>
        </is>
      </c>
      <c r="W23">
        <f>HYPERLINK("https://klasma.github.io/Logging_0980/artfynd/A 6159-2023 artfynd.xlsx", "A 6159-2023")</f>
        <v/>
      </c>
      <c r="X23">
        <f>HYPERLINK("https://klasma.github.io/Logging_0980/kartor/A 6159-2023 karta.png", "A 6159-2023")</f>
        <v/>
      </c>
      <c r="Y23">
        <f>HYPERLINK("https://klasma.github.io/Logging_0980/kartor_geotiff/A 6159-2023 georefererad karta.tif", "A 6159-2023")</f>
        <v/>
      </c>
      <c r="AA23">
        <f>HYPERLINK("https://klasma.github.io/Logging_0980/klagomål/A 6159-2023 FSC-klagomål.docx", "A 6159-2023")</f>
        <v/>
      </c>
      <c r="AB23">
        <f>HYPERLINK("https://klasma.github.io/Logging_0980/klagomålsmail/A 6159-2023 FSC-klagomål mail.docx", "A 6159-2023")</f>
        <v/>
      </c>
      <c r="AC23">
        <f>HYPERLINK("https://klasma.github.io/Logging_0980/tillsyn/A 6159-2023 tillsynsbegäran.docx", "A 6159-2023")</f>
        <v/>
      </c>
      <c r="AD23">
        <f>HYPERLINK("https://klasma.github.io/Logging_0980/tillsynsmail/A 6159-2023 tillsynsbegäran mail.docx", "A 6159-2023")</f>
        <v/>
      </c>
      <c r="AE23">
        <f>HYPERLINK("https://klasma.github.io/Logging_0980/fåglar/A 6159-2023 prioriterade fågelarter.docx", "A 6159-2023")</f>
        <v/>
      </c>
    </row>
    <row r="24" ht="15" customHeight="1">
      <c r="A24" t="inlineStr">
        <is>
          <t>A 569-2023</t>
        </is>
      </c>
      <c r="B24" t="inlineStr">
        <is>
          <t>avverkningsanmälan</t>
        </is>
      </c>
      <c r="C24" t="inlineStr">
        <is>
          <t>Föryngringsavverkning</t>
        </is>
      </c>
      <c r="D24" s="1" t="n">
        <v>44930</v>
      </c>
      <c r="E24" s="1" t="n">
        <v>46321</v>
      </c>
      <c r="F24" t="inlineStr">
        <is>
          <t>GOTLANDS LÄN</t>
        </is>
      </c>
      <c r="G24" t="inlineStr">
        <is>
          <t>GOTLAND</t>
        </is>
      </c>
      <c r="I24" t="n">
        <v>12.8</v>
      </c>
      <c r="J24" t="n">
        <v>5</v>
      </c>
      <c r="K24" t="n">
        <v>4</v>
      </c>
      <c r="L24" t="n">
        <v>10</v>
      </c>
      <c r="M24" t="n">
        <v>7</v>
      </c>
      <c r="N24" t="n">
        <v>0</v>
      </c>
      <c r="O24" t="n">
        <v>0</v>
      </c>
      <c r="P24" t="n">
        <v>0</v>
      </c>
      <c r="Q24" t="n">
        <v>17</v>
      </c>
      <c r="R24" t="n">
        <v>7</v>
      </c>
      <c r="S24" t="n">
        <v>24</v>
      </c>
      <c r="T24" t="n">
        <v>63</v>
      </c>
      <c r="U24" t="n">
        <v>42</v>
      </c>
      <c r="V24" s="2" t="inlineStr">
        <is>
          <t>Bullspindling
Duvspindling
Eumedonia eumedon praticola
Granrotspindling
Gulsträngad fagerspindling
Mörkfjällig olivspindling
Ängsblåvinge
Axveronika
Backtimjan
Blå slemspindling
Dårgräsfjäril
Flattoppad klubbsvamp
Gulsparv
Jordtistel
Oxtungssvamp
Solvända
Svinrot
Anisspindling
Blomkålssvamp
Havstulpanlav
Rödgul trumpetsvamp
Blåsippa
Halsbandsflugsnappare
Sankt pers nycklar</t>
        </is>
      </c>
      <c r="W24">
        <f>HYPERLINK("https://klasma.github.io/Logging_0980/artfynd/A 569-2023 artfynd.xlsx", "A 569-2023")</f>
        <v/>
      </c>
      <c r="X24">
        <f>HYPERLINK("https://klasma.github.io/Logging_0980/kartor/A 569-2023 karta.png", "A 569-2023")</f>
        <v/>
      </c>
      <c r="Y24">
        <f>HYPERLINK("https://klasma.github.io/Logging_0980/kartor_geotiff/A 569-2023 georefererad karta.tif", "A 569-2023")</f>
        <v/>
      </c>
      <c r="AA24">
        <f>HYPERLINK("https://klasma.github.io/Logging_0980/klagomål/A 569-2023 FSC-klagomål.docx", "A 569-2023")</f>
        <v/>
      </c>
      <c r="AB24">
        <f>HYPERLINK("https://klasma.github.io/Logging_0980/klagomålsmail/A 569-2023 FSC-klagomål mail.docx", "A 569-2023")</f>
        <v/>
      </c>
      <c r="AC24">
        <f>HYPERLINK("https://klasma.github.io/Logging_0980/tillsyn/A 569-2023 tillsynsbegäran.docx", "A 569-2023")</f>
        <v/>
      </c>
      <c r="AD24">
        <f>HYPERLINK("https://klasma.github.io/Logging_0980/tillsynsmail/A 569-2023 tillsynsbegäran mail.docx", "A 569-2023")</f>
        <v/>
      </c>
      <c r="AE24">
        <f>HYPERLINK("https://klasma.github.io/Logging_0980/fåglar/A 569-2023 prioriterade fågelarter.docx", "A 569-2023")</f>
        <v/>
      </c>
    </row>
    <row r="25" ht="15" customHeight="1">
      <c r="A25" t="inlineStr">
        <is>
          <t>A 922-2023</t>
        </is>
      </c>
      <c r="B25" t="inlineStr">
        <is>
          <t>avverkningsanmälan</t>
        </is>
      </c>
      <c r="C25" t="inlineStr">
        <is>
          <t>Föryngringsavverkning</t>
        </is>
      </c>
      <c r="D25" s="1" t="n">
        <v>44932</v>
      </c>
      <c r="E25" s="1" t="n">
        <v>46321</v>
      </c>
      <c r="F25" t="inlineStr">
        <is>
          <t>GOTLANDS LÄN</t>
        </is>
      </c>
      <c r="G25" t="inlineStr">
        <is>
          <t>GOTLAND</t>
        </is>
      </c>
      <c r="I25" t="n">
        <v>6.9</v>
      </c>
      <c r="J25" t="n">
        <v>4</v>
      </c>
      <c r="K25" t="n">
        <v>8</v>
      </c>
      <c r="L25" t="n">
        <v>7</v>
      </c>
      <c r="M25" t="n">
        <v>7</v>
      </c>
      <c r="N25" t="n">
        <v>0</v>
      </c>
      <c r="O25" t="n">
        <v>0</v>
      </c>
      <c r="P25" t="n">
        <v>0</v>
      </c>
      <c r="Q25" t="n">
        <v>14</v>
      </c>
      <c r="R25" t="n">
        <v>7</v>
      </c>
      <c r="S25" t="n">
        <v>24</v>
      </c>
      <c r="T25" t="n">
        <v>104</v>
      </c>
      <c r="U25" t="n">
        <v>88</v>
      </c>
      <c r="V25" s="2" t="inlineStr">
        <is>
          <t>Bredbrämad bastardsvärmare
Granrotspindling
Gulsträngad fagerspindling
Läderdoftande fingersvamp
Svartgrön spindling
Tvillingspindling
Violettfläckig spindling
Barrviolspindling
Blå slemspindling
Dårgräsfjäril
Odörspindling
Svinrot
Tallticka
Äggspindling
Anisspindling
Fransig jordstjärna
Olivspindling
Purpurknipprot
Rödbrun jordstjärna
Rödgul trumpetsvamp
Skogsknipprot
Svavelriska
Ormbär
Spillkråka</t>
        </is>
      </c>
      <c r="W25">
        <f>HYPERLINK("https://klasma.github.io/Logging_0980/artfynd/A 922-2023 artfynd.xlsx", "A 922-2023")</f>
        <v/>
      </c>
      <c r="X25">
        <f>HYPERLINK("https://klasma.github.io/Logging_0980/kartor/A 922-2023 karta.png", "A 922-2023")</f>
        <v/>
      </c>
      <c r="Y25">
        <f>HYPERLINK("https://klasma.github.io/Logging_0980/kartor_geotiff/A 922-2023 georefererad karta.tif", "A 922-2023")</f>
        <v/>
      </c>
      <c r="AA25">
        <f>HYPERLINK("https://klasma.github.io/Logging_0980/klagomål/A 922-2023 FSC-klagomål.docx", "A 922-2023")</f>
        <v/>
      </c>
      <c r="AB25">
        <f>HYPERLINK("https://klasma.github.io/Logging_0980/klagomålsmail/A 922-2023 FSC-klagomål mail.docx", "A 922-2023")</f>
        <v/>
      </c>
      <c r="AC25">
        <f>HYPERLINK("https://klasma.github.io/Logging_0980/tillsyn/A 922-2023 tillsynsbegäran.docx", "A 922-2023")</f>
        <v/>
      </c>
      <c r="AD25">
        <f>HYPERLINK("https://klasma.github.io/Logging_0980/tillsynsmail/A 922-2023 tillsynsbegäran mail.docx", "A 922-2023")</f>
        <v/>
      </c>
      <c r="AE25">
        <f>HYPERLINK("https://klasma.github.io/Logging_0980/fåglar/A 922-2023 prioriterade fågelarter.docx", "A 922-2023")</f>
        <v/>
      </c>
    </row>
    <row r="26" ht="15" customHeight="1">
      <c r="A26" t="inlineStr">
        <is>
          <t>A 2222-2024</t>
        </is>
      </c>
      <c r="B26" t="inlineStr">
        <is>
          <t>avverkningsanmälan</t>
        </is>
      </c>
      <c r="C26" t="inlineStr">
        <is>
          <t>Föryngringsavverkning</t>
        </is>
      </c>
      <c r="D26" s="1" t="n">
        <v>45309</v>
      </c>
      <c r="E26" s="1" t="n">
        <v>46321</v>
      </c>
      <c r="F26" t="inlineStr">
        <is>
          <t>GOTLANDS LÄN</t>
        </is>
      </c>
      <c r="G26" t="inlineStr">
        <is>
          <t>GOTLAND</t>
        </is>
      </c>
      <c r="H26" t="inlineStr">
        <is>
          <t>Kyrkan</t>
        </is>
      </c>
      <c r="I26" t="n">
        <v>10.6</v>
      </c>
      <c r="J26" t="n">
        <v>1</v>
      </c>
      <c r="K26" t="n">
        <v>5</v>
      </c>
      <c r="L26" t="n">
        <v>10</v>
      </c>
      <c r="M26" t="n">
        <v>6</v>
      </c>
      <c r="N26" t="n">
        <v>0</v>
      </c>
      <c r="O26" t="n">
        <v>0</v>
      </c>
      <c r="P26" t="n">
        <v>0</v>
      </c>
      <c r="Q26" t="n">
        <v>16</v>
      </c>
      <c r="R26" t="n">
        <v>6</v>
      </c>
      <c r="S26" t="n">
        <v>22</v>
      </c>
      <c r="T26" t="n">
        <v>119</v>
      </c>
      <c r="U26" t="n">
        <v>51</v>
      </c>
      <c r="V26" s="2" t="inlineStr">
        <is>
          <t>Granrotspindling
Gulsträngad fagerspindling
Svartgrön spindling
Tvillingspindling
Violettrandad spindling
Vit taggsvamp
Axveronika
Backtimjan
Blå slemspindling
Denisespindling
Dropptaggsvamp
Jordtistel
Odörspindling
Rödfläckig zontaggsvamp
Solvända
Svinrot
Anisspindling
Diskvaxskivling
Fransig jordstjärna
Olivspindling
Vågbandad barkbock
Spillkråka</t>
        </is>
      </c>
      <c r="W26">
        <f>HYPERLINK("https://klasma.github.io/Logging_0980/artfynd/A 2222-2024 artfynd.xlsx", "A 2222-2024")</f>
        <v/>
      </c>
      <c r="X26">
        <f>HYPERLINK("https://klasma.github.io/Logging_0980/kartor/A 2222-2024 karta.png", "A 2222-2024")</f>
        <v/>
      </c>
      <c r="Y26">
        <f>HYPERLINK("https://klasma.github.io/Logging_0980/kartor_geotiff/A 2222-2024 georefererad karta.tif", "A 2222-2024")</f>
        <v/>
      </c>
      <c r="AA26">
        <f>HYPERLINK("https://klasma.github.io/Logging_0980/klagomål/A 2222-2024 FSC-klagomål.docx", "A 2222-2024")</f>
        <v/>
      </c>
      <c r="AB26">
        <f>HYPERLINK("https://klasma.github.io/Logging_0980/klagomålsmail/A 2222-2024 FSC-klagomål mail.docx", "A 2222-2024")</f>
        <v/>
      </c>
      <c r="AC26">
        <f>HYPERLINK("https://klasma.github.io/Logging_0980/tillsyn/A 2222-2024 tillsynsbegäran.docx", "A 2222-2024")</f>
        <v/>
      </c>
      <c r="AD26">
        <f>HYPERLINK("https://klasma.github.io/Logging_0980/tillsynsmail/A 2222-2024 tillsynsbegäran mail.docx", "A 2222-2024")</f>
        <v/>
      </c>
      <c r="AE26">
        <f>HYPERLINK("https://klasma.github.io/Logging_0980/fåglar/A 2222-2024 prioriterade fågelarter.docx", "A 2222-2024")</f>
        <v/>
      </c>
    </row>
    <row r="27" ht="15" customHeight="1">
      <c r="A27" t="inlineStr">
        <is>
          <t>A 17762-2024</t>
        </is>
      </c>
      <c r="B27" t="inlineStr">
        <is>
          <t>avverkningsanmälan</t>
        </is>
      </c>
      <c r="C27" t="inlineStr">
        <is>
          <t>Föryngringsavverkning</t>
        </is>
      </c>
      <c r="D27" s="1" t="n">
        <v>45418</v>
      </c>
      <c r="E27" s="1" t="n">
        <v>46321</v>
      </c>
      <c r="F27" t="inlineStr">
        <is>
          <t>GOTLANDS LÄN</t>
        </is>
      </c>
      <c r="G27" t="inlineStr">
        <is>
          <t>GOTLAND</t>
        </is>
      </c>
      <c r="I27" t="n">
        <v>5.8</v>
      </c>
      <c r="J27" t="n">
        <v>6</v>
      </c>
      <c r="K27" t="n">
        <v>2</v>
      </c>
      <c r="L27" t="n">
        <v>9</v>
      </c>
      <c r="M27" t="n">
        <v>4</v>
      </c>
      <c r="N27" t="n">
        <v>0</v>
      </c>
      <c r="O27" t="n">
        <v>1</v>
      </c>
      <c r="P27" t="n">
        <v>0</v>
      </c>
      <c r="Q27" t="n">
        <v>14</v>
      </c>
      <c r="R27" t="n">
        <v>5</v>
      </c>
      <c r="S27" t="n">
        <v>22</v>
      </c>
      <c r="T27" t="n">
        <v>124</v>
      </c>
      <c r="U27" t="n">
        <v>119</v>
      </c>
      <c r="V27" s="2" t="inlineStr">
        <is>
          <t>Järnek
Gråfingerört
Mindre blåvinge
Naveljordstjärna
Svartfläckig blåvinge
Axveronika
Backstarr
Backtimjan
Crepis tectorum subsp. tectorum
Grönnopping
Kalkvaxing
Odörspindling
Solvända
Svinrot
Anisspindling
Mindre märgborre
Blåsippa
Kattfot
Bredarun
Grönvit nattviol
Nattviol
Sankt pers nycklar</t>
        </is>
      </c>
      <c r="W27">
        <f>HYPERLINK("https://klasma.github.io/Logging_0980/artfynd/A 17762-2024 artfynd.xlsx", "A 17762-2024")</f>
        <v/>
      </c>
      <c r="X27">
        <f>HYPERLINK("https://klasma.github.io/Logging_0980/kartor/A 17762-2024 karta.png", "A 17762-2024")</f>
        <v/>
      </c>
      <c r="Y27">
        <f>HYPERLINK("https://klasma.github.io/Logging_0980/kartor_geotiff/A 17762-2024 georefererad karta.tif", "A 17762-2024")</f>
        <v/>
      </c>
      <c r="AA27">
        <f>HYPERLINK("https://klasma.github.io/Logging_0980/klagomål/A 17762-2024 FSC-klagomål.docx", "A 17762-2024")</f>
        <v/>
      </c>
      <c r="AB27">
        <f>HYPERLINK("https://klasma.github.io/Logging_0980/klagomålsmail/A 17762-2024 FSC-klagomål mail.docx", "A 17762-2024")</f>
        <v/>
      </c>
      <c r="AC27">
        <f>HYPERLINK("https://klasma.github.io/Logging_0980/tillsyn/A 17762-2024 tillsynsbegäran.docx", "A 17762-2024")</f>
        <v/>
      </c>
      <c r="AD27">
        <f>HYPERLINK("https://klasma.github.io/Logging_0980/tillsynsmail/A 17762-2024 tillsynsbegäran mail.docx", "A 17762-2024")</f>
        <v/>
      </c>
    </row>
    <row r="28" ht="15" customHeight="1">
      <c r="A28" t="inlineStr">
        <is>
          <t>A 42798-2026</t>
        </is>
      </c>
      <c r="B28" t="inlineStr">
        <is>
          <t>avverkningsanmälan</t>
        </is>
      </c>
      <c r="C28" t="inlineStr">
        <is>
          <t>Avverkning för annat ändamål</t>
        </is>
      </c>
      <c r="D28" s="1" t="n">
        <v>46309</v>
      </c>
      <c r="E28" s="1" t="n">
        <v>46321</v>
      </c>
      <c r="F28" t="inlineStr">
        <is>
          <t>GOTLANDS LÄN</t>
        </is>
      </c>
      <c r="G28" t="inlineStr">
        <is>
          <t>GOTLAND</t>
        </is>
      </c>
      <c r="I28" t="n">
        <v>20.3</v>
      </c>
      <c r="J28" t="n">
        <v>0</v>
      </c>
      <c r="K28" t="n">
        <v>8</v>
      </c>
      <c r="L28" t="n">
        <v>7</v>
      </c>
      <c r="M28" t="n">
        <v>6</v>
      </c>
      <c r="N28" t="n">
        <v>0</v>
      </c>
      <c r="O28" t="n">
        <v>0</v>
      </c>
      <c r="P28" t="n">
        <v>0</v>
      </c>
      <c r="Q28" t="n">
        <v>13</v>
      </c>
      <c r="R28" t="n">
        <v>6</v>
      </c>
      <c r="S28" t="n">
        <v>22</v>
      </c>
      <c r="T28" t="n">
        <v>34</v>
      </c>
      <c r="U28" t="n">
        <v>32</v>
      </c>
      <c r="V28" s="2" t="inlineStr">
        <is>
          <t>Clitopaxillus alexandri
Gul lammticka
Gulsträngad fagerspindling
Phellodon melilotinus
Slemringad vaxskivling
Violettfläckig spindling
Blå slemspindling
Denisespindling
Flattoppad klubbsvamp
Kattfotslav
Odörspindling
Solvända
Sårläka
Anisspindling
Brun klibbskivling
Fransig jordstjärna
Grönpyrola
Kragjordstjärna
Olivspindling
Rödgul trumpetsvamp
Västlig hakmossa
Kransmossa</t>
        </is>
      </c>
      <c r="W28">
        <f>HYPERLINK("https://klasma.github.io/Logging_0980/artfynd/A 42798-2026 artfynd.xlsx", "A 42798-2026")</f>
        <v/>
      </c>
      <c r="X28">
        <f>HYPERLINK("https://klasma.github.io/Logging_0980/kartor/A 42798-2026 karta.png", "A 42798-2026")</f>
        <v/>
      </c>
      <c r="Y28">
        <f>HYPERLINK("https://klasma.github.io/Logging_0980/kartor_geotiff/A 42798-2026 georefererad karta.tif", "A 42798-2026")</f>
        <v/>
      </c>
      <c r="AA28">
        <f>HYPERLINK("https://klasma.github.io/Logging_0980/klagomål/A 42798-2026 FSC-klagomål.docx", "A 42798-2026")</f>
        <v/>
      </c>
      <c r="AB28">
        <f>HYPERLINK("https://klasma.github.io/Logging_0980/klagomålsmail/A 42798-2026 FSC-klagomål mail.docx", "A 42798-2026")</f>
        <v/>
      </c>
      <c r="AC28">
        <f>HYPERLINK("https://klasma.github.io/Logging_0980/tillsyn/A 42798-2026 tillsynsbegäran.docx", "A 42798-2026")</f>
        <v/>
      </c>
      <c r="AD28">
        <f>HYPERLINK("https://klasma.github.io/Logging_0980/tillsynsmail/A 42798-2026 tillsynsbegäran mail.docx", "A 42798-2026")</f>
        <v/>
      </c>
    </row>
    <row r="29" ht="15" customHeight="1">
      <c r="A29" t="inlineStr">
        <is>
          <t>A 15850-2025</t>
        </is>
      </c>
      <c r="B29" t="inlineStr">
        <is>
          <t>avverkningsanmälan</t>
        </is>
      </c>
      <c r="C29" t="inlineStr">
        <is>
          <t>Föryngringsavverkning</t>
        </is>
      </c>
      <c r="D29" s="1" t="n">
        <v>45748</v>
      </c>
      <c r="E29" s="1" t="n">
        <v>46321</v>
      </c>
      <c r="F29" t="inlineStr">
        <is>
          <t>GOTLANDS LÄN</t>
        </is>
      </c>
      <c r="G29" t="inlineStr">
        <is>
          <t>GOTLAND</t>
        </is>
      </c>
      <c r="I29" t="n">
        <v>5.1</v>
      </c>
      <c r="J29" t="n">
        <v>6</v>
      </c>
      <c r="K29" t="n">
        <v>5</v>
      </c>
      <c r="L29" t="n">
        <v>8</v>
      </c>
      <c r="M29" t="n">
        <v>6</v>
      </c>
      <c r="N29" t="n">
        <v>0</v>
      </c>
      <c r="O29" t="n">
        <v>0</v>
      </c>
      <c r="P29" t="n">
        <v>0</v>
      </c>
      <c r="Q29" t="n">
        <v>14</v>
      </c>
      <c r="R29" t="n">
        <v>6</v>
      </c>
      <c r="S29" t="n">
        <v>21</v>
      </c>
      <c r="T29" t="n">
        <v>143</v>
      </c>
      <c r="U29" t="n">
        <v>106</v>
      </c>
      <c r="V29" s="2" t="inlineStr">
        <is>
          <t>Granrotspindling
Gulsträngad fagerspindling
Narrspindling
Trollspindling
Tvillingspindling
Violettfläckig spindling
Backtimjan
Blå slemspindling
Denisespindling
Dårgräsfjäril
Gulsparv
Jordtistel
Odörspindling
Svinrot
Anisspindling
Grönpyrola
Mindre märgborre
Nästrot
Skogsknipprot
Spillkråka
Sankt pers nycklar</t>
        </is>
      </c>
      <c r="W29">
        <f>HYPERLINK("https://klasma.github.io/Logging_0980/artfynd/A 15850-2025 artfynd.xlsx", "A 15850-2025")</f>
        <v/>
      </c>
      <c r="X29">
        <f>HYPERLINK("https://klasma.github.io/Logging_0980/kartor/A 15850-2025 karta.png", "A 15850-2025")</f>
        <v/>
      </c>
      <c r="Y29">
        <f>HYPERLINK("https://klasma.github.io/Logging_0980/kartor_geotiff/A 15850-2025 georefererad karta.tif", "A 15850-2025")</f>
        <v/>
      </c>
      <c r="AA29">
        <f>HYPERLINK("https://klasma.github.io/Logging_0980/klagomål/A 15850-2025 FSC-klagomål.docx", "A 15850-2025")</f>
        <v/>
      </c>
      <c r="AB29">
        <f>HYPERLINK("https://klasma.github.io/Logging_0980/klagomålsmail/A 15850-2025 FSC-klagomål mail.docx", "A 15850-2025")</f>
        <v/>
      </c>
      <c r="AC29">
        <f>HYPERLINK("https://klasma.github.io/Logging_0980/tillsyn/A 15850-2025 tillsynsbegäran.docx", "A 15850-2025")</f>
        <v/>
      </c>
      <c r="AD29">
        <f>HYPERLINK("https://klasma.github.io/Logging_0980/tillsynsmail/A 15850-2025 tillsynsbegäran mail.docx", "A 15850-2025")</f>
        <v/>
      </c>
      <c r="AE29">
        <f>HYPERLINK("https://klasma.github.io/Logging_0980/fåglar/A 15850-2025 prioriterade fågelarter.docx", "A 15850-2025")</f>
        <v/>
      </c>
    </row>
    <row r="30" ht="15" customHeight="1">
      <c r="A30" t="inlineStr">
        <is>
          <t>A 1477-2024</t>
        </is>
      </c>
      <c r="B30" t="inlineStr">
        <is>
          <t>avverkningsanmälan</t>
        </is>
      </c>
      <c r="C30" t="inlineStr">
        <is>
          <t>Föryngringsavverkning</t>
        </is>
      </c>
      <c r="D30" s="1" t="n">
        <v>45305</v>
      </c>
      <c r="E30" s="1" t="n">
        <v>46321</v>
      </c>
      <c r="F30" t="inlineStr">
        <is>
          <t>GOTLANDS LÄN</t>
        </is>
      </c>
      <c r="G30" t="inlineStr">
        <is>
          <t>GOTLAND</t>
        </is>
      </c>
      <c r="I30" t="n">
        <v>6.9</v>
      </c>
      <c r="J30" t="n">
        <v>5</v>
      </c>
      <c r="K30" t="n">
        <v>7</v>
      </c>
      <c r="L30" t="n">
        <v>5</v>
      </c>
      <c r="M30" t="n">
        <v>6</v>
      </c>
      <c r="N30" t="n">
        <v>1</v>
      </c>
      <c r="O30" t="n">
        <v>0</v>
      </c>
      <c r="P30" t="n">
        <v>0</v>
      </c>
      <c r="Q30" t="n">
        <v>12</v>
      </c>
      <c r="R30" t="n">
        <v>7</v>
      </c>
      <c r="S30" t="n">
        <v>21</v>
      </c>
      <c r="T30" t="n">
        <v>47</v>
      </c>
      <c r="U30" t="n">
        <v>47</v>
      </c>
      <c r="V30" s="2" t="inlineStr">
        <is>
          <t>Ask
Fågelträcksspindling
Granrotspindling
Igelkott
Knärot
Svartgrön spindling
Vit taggsvamp
Backtimjan
Blå slemspindling
Flattoppad klubbsvamp
Odörspindling
Sårläka
Anisspindling
Diskvaxskivling
Grönpyrola
Nästrot
Purpurknipprot
Skogsknipprot
Svavelriska
Kransmossa
Spillkråka</t>
        </is>
      </c>
      <c r="W30">
        <f>HYPERLINK("https://klasma.github.io/Logging_0980/artfynd/A 1477-2024 artfynd.xlsx", "A 1477-2024")</f>
        <v/>
      </c>
      <c r="X30">
        <f>HYPERLINK("https://klasma.github.io/Logging_0980/kartor/A 1477-2024 karta.png", "A 1477-2024")</f>
        <v/>
      </c>
      <c r="Y30">
        <f>HYPERLINK("https://klasma.github.io/Logging_0980/kartor_geotiff/A 1477-2024 georefererad karta.tif", "A 1477-2024")</f>
        <v/>
      </c>
      <c r="Z30">
        <f>HYPERLINK("https://klasma.github.io/Logging_0980/knärot/A 1477-2024 karta knärot.png", "A 1477-2024")</f>
        <v/>
      </c>
      <c r="AA30">
        <f>HYPERLINK("https://klasma.github.io/Logging_0980/klagomål/A 1477-2024 FSC-klagomål.docx", "A 1477-2024")</f>
        <v/>
      </c>
      <c r="AB30">
        <f>HYPERLINK("https://klasma.github.io/Logging_0980/klagomålsmail/A 1477-2024 FSC-klagomål mail.docx", "A 1477-2024")</f>
        <v/>
      </c>
      <c r="AC30">
        <f>HYPERLINK("https://klasma.github.io/Logging_0980/tillsyn/A 1477-2024 tillsynsbegäran.docx", "A 1477-2024")</f>
        <v/>
      </c>
      <c r="AD30">
        <f>HYPERLINK("https://klasma.github.io/Logging_0980/tillsynsmail/A 1477-2024 tillsynsbegäran mail.docx", "A 1477-2024")</f>
        <v/>
      </c>
      <c r="AE30">
        <f>HYPERLINK("https://klasma.github.io/Logging_0980/fåglar/A 1477-2024 prioriterade fågelarter.docx", "A 1477-2024")</f>
        <v/>
      </c>
    </row>
    <row r="31" ht="15" customHeight="1">
      <c r="A31" t="inlineStr">
        <is>
          <t>A 999-2023</t>
        </is>
      </c>
      <c r="B31" t="inlineStr">
        <is>
          <t>avverkningsanmälan</t>
        </is>
      </c>
      <c r="C31" t="inlineStr">
        <is>
          <t>Föryngringsavverkning</t>
        </is>
      </c>
      <c r="D31" s="1" t="n">
        <v>44935</v>
      </c>
      <c r="E31" s="1" t="n">
        <v>46321</v>
      </c>
      <c r="F31" t="inlineStr">
        <is>
          <t>GOTLANDS LÄN</t>
        </is>
      </c>
      <c r="G31" t="inlineStr">
        <is>
          <t>GOTLAND</t>
        </is>
      </c>
      <c r="I31" t="n">
        <v>4.7</v>
      </c>
      <c r="J31" t="n">
        <v>3</v>
      </c>
      <c r="K31" t="n">
        <v>3</v>
      </c>
      <c r="L31" t="n">
        <v>9</v>
      </c>
      <c r="M31" t="n">
        <v>5</v>
      </c>
      <c r="N31" t="n">
        <v>2</v>
      </c>
      <c r="O31" t="n">
        <v>0</v>
      </c>
      <c r="P31" t="n">
        <v>0</v>
      </c>
      <c r="Q31" t="n">
        <v>16</v>
      </c>
      <c r="R31" t="n">
        <v>7</v>
      </c>
      <c r="S31" t="n">
        <v>20</v>
      </c>
      <c r="T31" t="n">
        <v>120</v>
      </c>
      <c r="U31" t="n">
        <v>120</v>
      </c>
      <c r="V31" s="2" t="inlineStr">
        <is>
          <t>Ask
Sienamusseron
Garderönn
Gulsträngad fagerspindling
Svartgrön spindling
Trollspindling
Violettfläckig spindling
Backtimjan
Blå slemspindling
Denisespindling
Dårgräsfjäril
Flattoppad klubbsvamp
Odörspindling
Solvända
Svinrot
Vårärt
Anisspindling
Grovticka
Olivspindling
Spillkråka</t>
        </is>
      </c>
      <c r="W31">
        <f>HYPERLINK("https://klasma.github.io/Logging_0980/artfynd/A 999-2023 artfynd.xlsx", "A 999-2023")</f>
        <v/>
      </c>
      <c r="X31">
        <f>HYPERLINK("https://klasma.github.io/Logging_0980/kartor/A 999-2023 karta.png", "A 999-2023")</f>
        <v/>
      </c>
      <c r="Y31">
        <f>HYPERLINK("https://klasma.github.io/Logging_0980/kartor_geotiff/A 999-2023 georefererad karta.tif", "A 999-2023")</f>
        <v/>
      </c>
      <c r="AA31">
        <f>HYPERLINK("https://klasma.github.io/Logging_0980/klagomål/A 999-2023 FSC-klagomål.docx", "A 999-2023")</f>
        <v/>
      </c>
      <c r="AB31">
        <f>HYPERLINK("https://klasma.github.io/Logging_0980/klagomålsmail/A 999-2023 FSC-klagomål mail.docx", "A 999-2023")</f>
        <v/>
      </c>
      <c r="AC31">
        <f>HYPERLINK("https://klasma.github.io/Logging_0980/tillsyn/A 999-2023 tillsynsbegäran.docx", "A 999-2023")</f>
        <v/>
      </c>
      <c r="AD31">
        <f>HYPERLINK("https://klasma.github.io/Logging_0980/tillsynsmail/A 999-2023 tillsynsbegäran mail.docx", "A 999-2023")</f>
        <v/>
      </c>
      <c r="AE31">
        <f>HYPERLINK("https://klasma.github.io/Logging_0980/fåglar/A 999-2023 prioriterade fågelarter.docx", "A 999-2023")</f>
        <v/>
      </c>
    </row>
    <row r="32" ht="15" customHeight="1">
      <c r="A32" t="inlineStr">
        <is>
          <t>A 15068-2025</t>
        </is>
      </c>
      <c r="B32" t="inlineStr">
        <is>
          <t>avverkningsanmälan</t>
        </is>
      </c>
      <c r="C32" t="inlineStr">
        <is>
          <t>Avverkning för annat ändamål</t>
        </is>
      </c>
      <c r="D32" s="1" t="n">
        <v>45743</v>
      </c>
      <c r="E32" s="1" t="n">
        <v>46321</v>
      </c>
      <c r="F32" t="inlineStr">
        <is>
          <t>GOTLANDS LÄN</t>
        </is>
      </c>
      <c r="G32" t="inlineStr">
        <is>
          <t>GOTLAND</t>
        </is>
      </c>
      <c r="I32" t="n">
        <v>37.3</v>
      </c>
      <c r="J32" t="n">
        <v>5</v>
      </c>
      <c r="K32" t="n">
        <v>3</v>
      </c>
      <c r="L32" t="n">
        <v>6</v>
      </c>
      <c r="M32" t="n">
        <v>4</v>
      </c>
      <c r="N32" t="n">
        <v>0</v>
      </c>
      <c r="O32" t="n">
        <v>0</v>
      </c>
      <c r="P32" t="n">
        <v>0</v>
      </c>
      <c r="Q32" t="n">
        <v>11</v>
      </c>
      <c r="R32" t="n">
        <v>4</v>
      </c>
      <c r="S32" t="n">
        <v>19</v>
      </c>
      <c r="T32" t="n">
        <v>49</v>
      </c>
      <c r="U32" t="n">
        <v>19</v>
      </c>
      <c r="V32" s="2" t="inlineStr">
        <is>
          <t>Granrotspindling
Gulsträngad fagerspindling
Källnate
Violettfläckig spindling
Backtimjan
Kattfotslav
Majviva
Odörspindling
Silversmygare
Ängsstarr
Blodkula
Anisspindling
Axag
Granbarkgnagare
Brudsporre
Dubbelnycklar
Kärrknipprot
Vanliga ängsnycklar
Ängsnycklar</t>
        </is>
      </c>
      <c r="W32">
        <f>HYPERLINK("https://klasma.github.io/Logging_0980/artfynd/A 15068-2025 artfynd.xlsx", "A 15068-2025")</f>
        <v/>
      </c>
      <c r="X32">
        <f>HYPERLINK("https://klasma.github.io/Logging_0980/kartor/A 15068-2025 karta.png", "A 15068-2025")</f>
        <v/>
      </c>
      <c r="Y32">
        <f>HYPERLINK("https://klasma.github.io/Logging_0980/kartor_geotiff/A 15068-2025 georefererad karta.tif", "A 15068-2025")</f>
        <v/>
      </c>
      <c r="AA32">
        <f>HYPERLINK("https://klasma.github.io/Logging_0980/klagomål/A 15068-2025 FSC-klagomål.docx", "A 15068-2025")</f>
        <v/>
      </c>
      <c r="AB32">
        <f>HYPERLINK("https://klasma.github.io/Logging_0980/klagomålsmail/A 15068-2025 FSC-klagomål mail.docx", "A 15068-2025")</f>
        <v/>
      </c>
      <c r="AC32">
        <f>HYPERLINK("https://klasma.github.io/Logging_0980/tillsyn/A 15068-2025 tillsynsbegäran.docx", "A 15068-2025")</f>
        <v/>
      </c>
      <c r="AD32">
        <f>HYPERLINK("https://klasma.github.io/Logging_0980/tillsynsmail/A 15068-2025 tillsynsbegäran mail.docx", "A 15068-2025")</f>
        <v/>
      </c>
    </row>
    <row r="33" ht="15" customHeight="1">
      <c r="A33" t="inlineStr">
        <is>
          <t>A 8645-2025</t>
        </is>
      </c>
      <c r="B33" t="inlineStr">
        <is>
          <t>avverkningsanmälan</t>
        </is>
      </c>
      <c r="C33" t="inlineStr">
        <is>
          <t>Föryngringsavverkning</t>
        </is>
      </c>
      <c r="D33" s="1" t="n">
        <v>45712</v>
      </c>
      <c r="E33" s="1" t="n">
        <v>46321</v>
      </c>
      <c r="F33" t="inlineStr">
        <is>
          <t>GOTLANDS LÄN</t>
        </is>
      </c>
      <c r="G33" t="inlineStr">
        <is>
          <t>GOTLAND</t>
        </is>
      </c>
      <c r="I33" t="n">
        <v>21.9</v>
      </c>
      <c r="J33" t="n">
        <v>10</v>
      </c>
      <c r="K33" t="n">
        <v>7</v>
      </c>
      <c r="L33" t="n">
        <v>5</v>
      </c>
      <c r="M33" t="n">
        <v>0</v>
      </c>
      <c r="N33" t="n">
        <v>1</v>
      </c>
      <c r="O33" t="n">
        <v>0</v>
      </c>
      <c r="P33" t="n">
        <v>0</v>
      </c>
      <c r="Q33" t="n">
        <v>6</v>
      </c>
      <c r="R33" t="n">
        <v>1</v>
      </c>
      <c r="S33" t="n">
        <v>19</v>
      </c>
      <c r="T33" t="n">
        <v>97</v>
      </c>
      <c r="U33" t="n">
        <v>97</v>
      </c>
      <c r="V33" s="2" t="inlineStr">
        <is>
          <t>Ask
Backtimjan
Dårgräsfjäril
Loppstarr
Solvända
Svinrot
Blåmossa
Grönpyrola
Kalktallört
Nästrot
Skogsknipprot
Strävlosta
Tvåblad
Spillkråka
Grönsiska
Fläcknycklar
Grönvit nattviol
Nattviol
Sankt pers nycklar</t>
        </is>
      </c>
      <c r="W33">
        <f>HYPERLINK("https://klasma.github.io/Logging_0980/artfynd/A 8645-2025 artfynd.xlsx", "A 8645-2025")</f>
        <v/>
      </c>
      <c r="X33">
        <f>HYPERLINK("https://klasma.github.io/Logging_0980/kartor/A 8645-2025 karta.png", "A 8645-2025")</f>
        <v/>
      </c>
      <c r="Y33">
        <f>HYPERLINK("https://klasma.github.io/Logging_0980/kartor_geotiff/A 8645-2025 georefererad karta.tif", "A 8645-2025")</f>
        <v/>
      </c>
      <c r="AA33">
        <f>HYPERLINK("https://klasma.github.io/Logging_0980/klagomål/A 8645-2025 FSC-klagomål.docx", "A 8645-2025")</f>
        <v/>
      </c>
      <c r="AB33">
        <f>HYPERLINK("https://klasma.github.io/Logging_0980/klagomålsmail/A 8645-2025 FSC-klagomål mail.docx", "A 8645-2025")</f>
        <v/>
      </c>
      <c r="AC33">
        <f>HYPERLINK("https://klasma.github.io/Logging_0980/tillsyn/A 8645-2025 tillsynsbegäran.docx", "A 8645-2025")</f>
        <v/>
      </c>
      <c r="AD33">
        <f>HYPERLINK("https://klasma.github.io/Logging_0980/tillsynsmail/A 8645-2025 tillsynsbegäran mail.docx", "A 8645-2025")</f>
        <v/>
      </c>
      <c r="AE33">
        <f>HYPERLINK("https://klasma.github.io/Logging_0980/fåglar/A 8645-2025 prioriterade fågelarter.docx", "A 8645-2025")</f>
        <v/>
      </c>
    </row>
    <row r="34" ht="15" customHeight="1">
      <c r="A34" t="inlineStr">
        <is>
          <t>A 61664-2023</t>
        </is>
      </c>
      <c r="B34" t="inlineStr">
        <is>
          <t>avverkningsanmälan</t>
        </is>
      </c>
      <c r="C34" t="inlineStr">
        <is>
          <t>Föryngringsavverkning</t>
        </is>
      </c>
      <c r="D34" s="1" t="n">
        <v>45265</v>
      </c>
      <c r="E34" s="1" t="n">
        <v>46321</v>
      </c>
      <c r="F34" t="inlineStr">
        <is>
          <t>GOTLANDS LÄN</t>
        </is>
      </c>
      <c r="G34" t="inlineStr">
        <is>
          <t>GOTLAND</t>
        </is>
      </c>
      <c r="I34" t="n">
        <v>4.8</v>
      </c>
      <c r="J34" t="n">
        <v>6</v>
      </c>
      <c r="K34" t="n">
        <v>7</v>
      </c>
      <c r="L34" t="n">
        <v>5</v>
      </c>
      <c r="M34" t="n">
        <v>2</v>
      </c>
      <c r="N34" t="n">
        <v>1</v>
      </c>
      <c r="O34" t="n">
        <v>0</v>
      </c>
      <c r="P34" t="n">
        <v>0</v>
      </c>
      <c r="Q34" t="n">
        <v>8</v>
      </c>
      <c r="R34" t="n">
        <v>3</v>
      </c>
      <c r="S34" t="n">
        <v>19</v>
      </c>
      <c r="T34" t="n">
        <v>59</v>
      </c>
      <c r="U34" t="n">
        <v>48</v>
      </c>
      <c r="V34" s="2" t="inlineStr">
        <is>
          <t>Klenodspindling
Duvspindling
Gulsträngad fagerspindling
Blå slemspindling
Majviva
Odörspindling
Svinrot
Ängsstarr
Anisspindling
Axag
Blåmossa
Kärrlilja
Nästrot
Skogsknipprot
Svavelriska
Spillkråka
Brudsporre
Kärrknipprot
Ängsnycklar</t>
        </is>
      </c>
      <c r="W34">
        <f>HYPERLINK("https://klasma.github.io/Logging_0980/artfynd/A 61664-2023 artfynd.xlsx", "A 61664-2023")</f>
        <v/>
      </c>
      <c r="X34">
        <f>HYPERLINK("https://klasma.github.io/Logging_0980/kartor/A 61664-2023 karta.png", "A 61664-2023")</f>
        <v/>
      </c>
      <c r="Y34">
        <f>HYPERLINK("https://klasma.github.io/Logging_0980/kartor_geotiff/A 61664-2023 georefererad karta.tif", "A 61664-2023")</f>
        <v/>
      </c>
      <c r="AA34">
        <f>HYPERLINK("https://klasma.github.io/Logging_0980/klagomål/A 61664-2023 FSC-klagomål.docx", "A 61664-2023")</f>
        <v/>
      </c>
      <c r="AB34">
        <f>HYPERLINK("https://klasma.github.io/Logging_0980/klagomålsmail/A 61664-2023 FSC-klagomål mail.docx", "A 61664-2023")</f>
        <v/>
      </c>
      <c r="AC34">
        <f>HYPERLINK("https://klasma.github.io/Logging_0980/tillsyn/A 61664-2023 tillsynsbegäran.docx", "A 61664-2023")</f>
        <v/>
      </c>
      <c r="AD34">
        <f>HYPERLINK("https://klasma.github.io/Logging_0980/tillsynsmail/A 61664-2023 tillsynsbegäran mail.docx", "A 61664-2023")</f>
        <v/>
      </c>
      <c r="AE34">
        <f>HYPERLINK("https://klasma.github.io/Logging_0980/fåglar/A 61664-2023 prioriterade fågelarter.docx", "A 61664-2023")</f>
        <v/>
      </c>
    </row>
    <row r="35" ht="15" customHeight="1">
      <c r="A35" t="inlineStr">
        <is>
          <t>A 63872-2021</t>
        </is>
      </c>
      <c r="B35" t="inlineStr">
        <is>
          <t>avverkningsanmälan</t>
        </is>
      </c>
      <c r="C35" t="inlineStr">
        <is>
          <t>Föryngringsavverkning</t>
        </is>
      </c>
      <c r="D35" s="1" t="n">
        <v>44509</v>
      </c>
      <c r="E35" s="1" t="n">
        <v>46321</v>
      </c>
      <c r="F35" t="inlineStr">
        <is>
          <t>GOTLANDS LÄN</t>
        </is>
      </c>
      <c r="G35" t="inlineStr">
        <is>
          <t>GOTLAND</t>
        </is>
      </c>
      <c r="I35" t="n">
        <v>20.5</v>
      </c>
      <c r="J35" t="n">
        <v>4</v>
      </c>
      <c r="K35" t="n">
        <v>1</v>
      </c>
      <c r="L35" t="n">
        <v>7</v>
      </c>
      <c r="M35" t="n">
        <v>7</v>
      </c>
      <c r="N35" t="n">
        <v>0</v>
      </c>
      <c r="O35" t="n">
        <v>0</v>
      </c>
      <c r="P35" t="n">
        <v>0</v>
      </c>
      <c r="Q35" t="n">
        <v>14</v>
      </c>
      <c r="R35" t="n">
        <v>7</v>
      </c>
      <c r="S35" t="n">
        <v>18</v>
      </c>
      <c r="T35" t="n">
        <v>47</v>
      </c>
      <c r="U35" t="n">
        <v>36</v>
      </c>
      <c r="V35" s="2" t="inlineStr">
        <is>
          <t>Duvspindling
Gulsträngad fagerspindling
Lundvaxskivling
Narrspindling
Svartfläckig blåvinge
Svartgrön spindling
Tallpraktspindling
Backtimjan
Barrfagerspindling
Jordtistel
Jungfrulin
Kristallporing
Odörspindling
Svinrot
Fransig jordstjärna
Blåsippa
Spillkråka
Sankt pers nycklar</t>
        </is>
      </c>
      <c r="W35">
        <f>HYPERLINK("https://klasma.github.io/Logging_0980/artfynd/A 63872-2021 artfynd.xlsx", "A 63872-2021")</f>
        <v/>
      </c>
      <c r="X35">
        <f>HYPERLINK("https://klasma.github.io/Logging_0980/kartor/A 63872-2021 karta.png", "A 63872-2021")</f>
        <v/>
      </c>
      <c r="Y35">
        <f>HYPERLINK("https://klasma.github.io/Logging_0980/kartor_geotiff/A 63872-2021 georefererad karta.tif", "A 63872-2021")</f>
        <v/>
      </c>
      <c r="AA35">
        <f>HYPERLINK("https://klasma.github.io/Logging_0980/klagomål/A 63872-2021 FSC-klagomål.docx", "A 63872-2021")</f>
        <v/>
      </c>
      <c r="AB35">
        <f>HYPERLINK("https://klasma.github.io/Logging_0980/klagomålsmail/A 63872-2021 FSC-klagomål mail.docx", "A 63872-2021")</f>
        <v/>
      </c>
      <c r="AC35">
        <f>HYPERLINK("https://klasma.github.io/Logging_0980/tillsyn/A 63872-2021 tillsynsbegäran.docx", "A 63872-2021")</f>
        <v/>
      </c>
      <c r="AD35">
        <f>HYPERLINK("https://klasma.github.io/Logging_0980/tillsynsmail/A 63872-2021 tillsynsbegäran mail.docx", "A 63872-2021")</f>
        <v/>
      </c>
      <c r="AE35">
        <f>HYPERLINK("https://klasma.github.io/Logging_0980/fåglar/A 63872-2021 prioriterade fågelarter.docx", "A 63872-2021")</f>
        <v/>
      </c>
    </row>
    <row r="36" ht="15" customHeight="1">
      <c r="A36" t="inlineStr">
        <is>
          <t>A 15629-2024</t>
        </is>
      </c>
      <c r="B36" t="inlineStr">
        <is>
          <t>avverkningsanmälan</t>
        </is>
      </c>
      <c r="C36" t="inlineStr">
        <is>
          <t>Föryngringsavverkning</t>
        </is>
      </c>
      <c r="D36" s="1" t="n">
        <v>45402</v>
      </c>
      <c r="E36" s="1" t="n">
        <v>46321</v>
      </c>
      <c r="F36" t="inlineStr">
        <is>
          <t>GOTLANDS LÄN</t>
        </is>
      </c>
      <c r="G36" t="inlineStr">
        <is>
          <t>GOTLAND</t>
        </is>
      </c>
      <c r="I36" t="n">
        <v>6.3</v>
      </c>
      <c r="J36" t="n">
        <v>6</v>
      </c>
      <c r="K36" t="n">
        <v>2</v>
      </c>
      <c r="L36" t="n">
        <v>10</v>
      </c>
      <c r="M36" t="n">
        <v>2</v>
      </c>
      <c r="N36" t="n">
        <v>0</v>
      </c>
      <c r="O36" t="n">
        <v>0</v>
      </c>
      <c r="P36" t="n">
        <v>0</v>
      </c>
      <c r="Q36" t="n">
        <v>12</v>
      </c>
      <c r="R36" t="n">
        <v>2</v>
      </c>
      <c r="S36" t="n">
        <v>18</v>
      </c>
      <c r="T36" t="n">
        <v>100</v>
      </c>
      <c r="U36" t="n">
        <v>96</v>
      </c>
      <c r="V36" s="2" t="inlineStr">
        <is>
          <t>Jordhår
Solvändesäckmal
Apollofjäril
Axveronika
Backtimjan
Crepis tectorum subsp. tectorum
Jordtistel
Kalkkoppmossa
Kattfotslav
Orellia scorzonerae
Solvända
Svinrot
Blåmossa
Nästrot
Blåsippa
Spillkråka
Sankt pers nycklar
Gullviva</t>
        </is>
      </c>
      <c r="W36">
        <f>HYPERLINK("https://klasma.github.io/Logging_0980/artfynd/A 15629-2024 artfynd.xlsx", "A 15629-2024")</f>
        <v/>
      </c>
      <c r="X36">
        <f>HYPERLINK("https://klasma.github.io/Logging_0980/kartor/A 15629-2024 karta.png", "A 15629-2024")</f>
        <v/>
      </c>
      <c r="Y36">
        <f>HYPERLINK("https://klasma.github.io/Logging_0980/kartor_geotiff/A 15629-2024 georefererad karta.tif", "A 15629-2024")</f>
        <v/>
      </c>
      <c r="AA36">
        <f>HYPERLINK("https://klasma.github.io/Logging_0980/klagomål/A 15629-2024 FSC-klagomål.docx", "A 15629-2024")</f>
        <v/>
      </c>
      <c r="AB36">
        <f>HYPERLINK("https://klasma.github.io/Logging_0980/klagomålsmail/A 15629-2024 FSC-klagomål mail.docx", "A 15629-2024")</f>
        <v/>
      </c>
      <c r="AC36">
        <f>HYPERLINK("https://klasma.github.io/Logging_0980/tillsyn/A 15629-2024 tillsynsbegäran.docx", "A 15629-2024")</f>
        <v/>
      </c>
      <c r="AD36">
        <f>HYPERLINK("https://klasma.github.io/Logging_0980/tillsynsmail/A 15629-2024 tillsynsbegäran mail.docx", "A 15629-2024")</f>
        <v/>
      </c>
      <c r="AE36">
        <f>HYPERLINK("https://klasma.github.io/Logging_0980/fåglar/A 15629-2024 prioriterade fågelarter.docx", "A 15629-2024")</f>
        <v/>
      </c>
    </row>
    <row r="37" ht="15" customHeight="1">
      <c r="A37" t="inlineStr">
        <is>
          <t>A 59132-2024</t>
        </is>
      </c>
      <c r="B37" t="inlineStr">
        <is>
          <t>avverkningsanmälan</t>
        </is>
      </c>
      <c r="C37" t="inlineStr">
        <is>
          <t>Föryngringsavverkning</t>
        </is>
      </c>
      <c r="D37" s="1" t="n">
        <v>45637</v>
      </c>
      <c r="E37" s="1" t="n">
        <v>46321</v>
      </c>
      <c r="F37" t="inlineStr">
        <is>
          <t>GOTLANDS LÄN</t>
        </is>
      </c>
      <c r="G37" t="inlineStr">
        <is>
          <t>GOTLAND</t>
        </is>
      </c>
      <c r="I37" t="n">
        <v>3.5</v>
      </c>
      <c r="J37" t="n">
        <v>3</v>
      </c>
      <c r="K37" t="n">
        <v>4</v>
      </c>
      <c r="L37" t="n">
        <v>8</v>
      </c>
      <c r="M37" t="n">
        <v>2</v>
      </c>
      <c r="N37" t="n">
        <v>2</v>
      </c>
      <c r="O37" t="n">
        <v>0</v>
      </c>
      <c r="P37" t="n">
        <v>0</v>
      </c>
      <c r="Q37" t="n">
        <v>13</v>
      </c>
      <c r="R37" t="n">
        <v>4</v>
      </c>
      <c r="S37" t="n">
        <v>18</v>
      </c>
      <c r="T37" t="n">
        <v>28</v>
      </c>
      <c r="U37" t="n">
        <v>28</v>
      </c>
      <c r="V37" s="2" t="inlineStr">
        <is>
          <t>Almlav
Ask
Mörk kraterlav
Pälsticka
Klasefibbla
Korkmusslingsmal
Korskovall
Slåtterfibbla
Solvända
Svinrot
Vippärt
Vårärt
Amphisphaeria umbrina
Myskmadra
Skogsknipprot
Tvåblad
Underviol
Sankt pers nycklar</t>
        </is>
      </c>
      <c r="W37">
        <f>HYPERLINK("https://klasma.github.io/Logging_0980/artfynd/A 59132-2024 artfynd.xlsx", "A 59132-2024")</f>
        <v/>
      </c>
      <c r="X37">
        <f>HYPERLINK("https://klasma.github.io/Logging_0980/kartor/A 59132-2024 karta.png", "A 59132-2024")</f>
        <v/>
      </c>
      <c r="Y37">
        <f>HYPERLINK("https://klasma.github.io/Logging_0980/kartor_geotiff/A 59132-2024 georefererad karta.tif", "A 59132-2024")</f>
        <v/>
      </c>
      <c r="AA37">
        <f>HYPERLINK("https://klasma.github.io/Logging_0980/klagomål/A 59132-2024 FSC-klagomål.docx", "A 59132-2024")</f>
        <v/>
      </c>
      <c r="AB37">
        <f>HYPERLINK("https://klasma.github.io/Logging_0980/klagomålsmail/A 59132-2024 FSC-klagomål mail.docx", "A 59132-2024")</f>
        <v/>
      </c>
      <c r="AC37">
        <f>HYPERLINK("https://klasma.github.io/Logging_0980/tillsyn/A 59132-2024 tillsynsbegäran.docx", "A 59132-2024")</f>
        <v/>
      </c>
      <c r="AD37">
        <f>HYPERLINK("https://klasma.github.io/Logging_0980/tillsynsmail/A 59132-2024 tillsynsbegäran mail.docx", "A 59132-2024")</f>
        <v/>
      </c>
    </row>
    <row r="38" ht="15" customHeight="1">
      <c r="A38" t="inlineStr">
        <is>
          <t>A 26987-2026</t>
        </is>
      </c>
      <c r="B38" t="inlineStr">
        <is>
          <t>avverkningsanmälan</t>
        </is>
      </c>
      <c r="C38" t="inlineStr">
        <is>
          <t>Föryngringsavverkning</t>
        </is>
      </c>
      <c r="D38" s="1" t="n">
        <v>46185</v>
      </c>
      <c r="E38" s="1" t="n">
        <v>46321</v>
      </c>
      <c r="F38" t="inlineStr">
        <is>
          <t>GOTLANDS LÄN</t>
        </is>
      </c>
      <c r="G38" t="inlineStr">
        <is>
          <t>GOTLAND</t>
        </is>
      </c>
      <c r="I38" t="n">
        <v>4.6</v>
      </c>
      <c r="J38" t="n">
        <v>6</v>
      </c>
      <c r="K38" t="n">
        <v>2</v>
      </c>
      <c r="L38" t="n">
        <v>11</v>
      </c>
      <c r="M38" t="n">
        <v>1</v>
      </c>
      <c r="N38" t="n">
        <v>1</v>
      </c>
      <c r="O38" t="n">
        <v>0</v>
      </c>
      <c r="P38" t="n">
        <v>0</v>
      </c>
      <c r="Q38" t="n">
        <v>13</v>
      </c>
      <c r="R38" t="n">
        <v>2</v>
      </c>
      <c r="S38" t="n">
        <v>18</v>
      </c>
      <c r="T38" t="n">
        <v>52</v>
      </c>
      <c r="U38" t="n">
        <v>44</v>
      </c>
      <c r="V38" s="2" t="inlineStr">
        <is>
          <t>Ask
Granrotspindling
Backtimjan
Blå slemspindling
Dårgräsfjäril
Grönsångare
Odörspindling
Reliktbock
Röd skogslilja
Solvända
Svinrot
Sårläka
Ängsstarr
Skogsknipprot
Svavelriska
Ormbär
Spillkråka
Halsbandsflugsnappare</t>
        </is>
      </c>
      <c r="W38">
        <f>HYPERLINK("https://klasma.github.io/Logging_0980/artfynd/A 26987-2026 artfynd.xlsx", "A 26987-2026")</f>
        <v/>
      </c>
      <c r="X38">
        <f>HYPERLINK("https://klasma.github.io/Logging_0980/kartor/A 26987-2026 karta.png", "A 26987-2026")</f>
        <v/>
      </c>
      <c r="Y38">
        <f>HYPERLINK("https://klasma.github.io/Logging_0980/kartor_geotiff/A 26987-2026 georefererad karta.tif", "A 26987-2026")</f>
        <v/>
      </c>
      <c r="AA38">
        <f>HYPERLINK("https://klasma.github.io/Logging_0980/klagomål/A 26987-2026 FSC-klagomål.docx", "A 26987-2026")</f>
        <v/>
      </c>
      <c r="AB38">
        <f>HYPERLINK("https://klasma.github.io/Logging_0980/klagomålsmail/A 26987-2026 FSC-klagomål mail.docx", "A 26987-2026")</f>
        <v/>
      </c>
      <c r="AC38">
        <f>HYPERLINK("https://klasma.github.io/Logging_0980/tillsyn/A 26987-2026 tillsynsbegäran.docx", "A 26987-2026")</f>
        <v/>
      </c>
      <c r="AD38">
        <f>HYPERLINK("https://klasma.github.io/Logging_0980/tillsynsmail/A 26987-2026 tillsynsbegäran mail.docx", "A 26987-2026")</f>
        <v/>
      </c>
      <c r="AE38">
        <f>HYPERLINK("https://klasma.github.io/Logging_0980/fåglar/A 26987-2026 prioriterade fågelarter.docx", "A 26987-2026")</f>
        <v/>
      </c>
    </row>
    <row r="39" ht="15" customHeight="1">
      <c r="A39" t="inlineStr">
        <is>
          <t>A 7837-2024</t>
        </is>
      </c>
      <c r="B39" t="inlineStr">
        <is>
          <t>avverkningsanmälan</t>
        </is>
      </c>
      <c r="C39" t="inlineStr">
        <is>
          <t>Föryngringsavverkning</t>
        </is>
      </c>
      <c r="D39" s="1" t="n">
        <v>45349</v>
      </c>
      <c r="E39" s="1" t="n">
        <v>46321</v>
      </c>
      <c r="F39" t="inlineStr">
        <is>
          <t>GOTLANDS LÄN</t>
        </is>
      </c>
      <c r="G39" t="inlineStr">
        <is>
          <t>GOTLAND</t>
        </is>
      </c>
      <c r="I39" t="n">
        <v>5</v>
      </c>
      <c r="J39" t="n">
        <v>1</v>
      </c>
      <c r="K39" t="n">
        <v>4</v>
      </c>
      <c r="L39" t="n">
        <v>7</v>
      </c>
      <c r="M39" t="n">
        <v>6</v>
      </c>
      <c r="N39" t="n">
        <v>0</v>
      </c>
      <c r="O39" t="n">
        <v>0</v>
      </c>
      <c r="P39" t="n">
        <v>0</v>
      </c>
      <c r="Q39" t="n">
        <v>13</v>
      </c>
      <c r="R39" t="n">
        <v>6</v>
      </c>
      <c r="S39" t="n">
        <v>18</v>
      </c>
      <c r="T39" t="n">
        <v>28</v>
      </c>
      <c r="U39" t="n">
        <v>28</v>
      </c>
      <c r="V39" s="2" t="inlineStr">
        <is>
          <t>Fågelträcksspindling
Granrotspindling
Gul lammticka
Gulsträngad fagerspindling
Trollspindling
Vit taggsvamp
Backtimjan
Blå slemspindling
Fjällig taggsvamp s.str.
Flattoppad klubbsvamp
Gammelgransskål
Odörspindling
Svart taggsvamp
Anisspindling
Diskvaxskivling
Fransig jordstjärna
Svavelriska
Spillkråka</t>
        </is>
      </c>
      <c r="W39">
        <f>HYPERLINK("https://klasma.github.io/Logging_0980/artfynd/A 7837-2024 artfynd.xlsx", "A 7837-2024")</f>
        <v/>
      </c>
      <c r="X39">
        <f>HYPERLINK("https://klasma.github.io/Logging_0980/kartor/A 7837-2024 karta.png", "A 7837-2024")</f>
        <v/>
      </c>
      <c r="Y39">
        <f>HYPERLINK("https://klasma.github.io/Logging_0980/kartor_geotiff/A 7837-2024 georefererad karta.tif", "A 7837-2024")</f>
        <v/>
      </c>
      <c r="AA39">
        <f>HYPERLINK("https://klasma.github.io/Logging_0980/klagomål/A 7837-2024 FSC-klagomål.docx", "A 7837-2024")</f>
        <v/>
      </c>
      <c r="AB39">
        <f>HYPERLINK("https://klasma.github.io/Logging_0980/klagomålsmail/A 7837-2024 FSC-klagomål mail.docx", "A 7837-2024")</f>
        <v/>
      </c>
      <c r="AC39">
        <f>HYPERLINK("https://klasma.github.io/Logging_0980/tillsyn/A 7837-2024 tillsynsbegäran.docx", "A 7837-2024")</f>
        <v/>
      </c>
      <c r="AD39">
        <f>HYPERLINK("https://klasma.github.io/Logging_0980/tillsynsmail/A 7837-2024 tillsynsbegäran mail.docx", "A 7837-2024")</f>
        <v/>
      </c>
      <c r="AE39">
        <f>HYPERLINK("https://klasma.github.io/Logging_0980/fåglar/A 7837-2024 prioriterade fågelarter.docx", "A 7837-2024")</f>
        <v/>
      </c>
    </row>
    <row r="40" ht="15" customHeight="1">
      <c r="A40" t="inlineStr">
        <is>
          <t>A 39376-2023</t>
        </is>
      </c>
      <c r="B40" t="inlineStr">
        <is>
          <t>avverkningsanmälan</t>
        </is>
      </c>
      <c r="C40" t="inlineStr">
        <is>
          <t>Avverkning för annat ändamål</t>
        </is>
      </c>
      <c r="D40" s="1" t="n">
        <v>45166</v>
      </c>
      <c r="E40" s="1" t="n">
        <v>46321</v>
      </c>
      <c r="F40" t="inlineStr">
        <is>
          <t>GOTLANDS LÄN</t>
        </is>
      </c>
      <c r="G40" t="inlineStr">
        <is>
          <t>GOTLAND</t>
        </is>
      </c>
      <c r="I40" t="n">
        <v>9.199999999999999</v>
      </c>
      <c r="J40" t="n">
        <v>1</v>
      </c>
      <c r="K40" t="n">
        <v>6</v>
      </c>
      <c r="L40" t="n">
        <v>9</v>
      </c>
      <c r="M40" t="n">
        <v>3</v>
      </c>
      <c r="N40" t="n">
        <v>0</v>
      </c>
      <c r="O40" t="n">
        <v>0</v>
      </c>
      <c r="P40" t="n">
        <v>0</v>
      </c>
      <c r="Q40" t="n">
        <v>12</v>
      </c>
      <c r="R40" t="n">
        <v>3</v>
      </c>
      <c r="S40" t="n">
        <v>18</v>
      </c>
      <c r="T40" t="n">
        <v>32</v>
      </c>
      <c r="U40" t="n">
        <v>32</v>
      </c>
      <c r="V40" s="2" t="inlineStr">
        <is>
          <t>Granrotspindling
Kopparspindling
Narrspindling
Blå slemspindling
Denisespindling
Fjällig taggsvamp s.str.
Flattoppad klubbsvamp
Kattfotslav
Odörspindling
Persiljespindling
Skarp dropptaggsvamp
Äggspindling
Anisspindling
Björksplintborre
Olivspindling
Rödgul trumpetsvamp
Skogsknipprot
Svavelriska</t>
        </is>
      </c>
      <c r="W40">
        <f>HYPERLINK("https://klasma.github.io/Logging_0980/artfynd/A 39376-2023 artfynd.xlsx", "A 39376-2023")</f>
        <v/>
      </c>
      <c r="X40">
        <f>HYPERLINK("https://klasma.github.io/Logging_0980/kartor/A 39376-2023 karta.png", "A 39376-2023")</f>
        <v/>
      </c>
      <c r="Y40">
        <f>HYPERLINK("https://klasma.github.io/Logging_0980/kartor_geotiff/A 39376-2023 georefererad karta.tif", "A 39376-2023")</f>
        <v/>
      </c>
      <c r="AA40">
        <f>HYPERLINK("https://klasma.github.io/Logging_0980/klagomål/A 39376-2023 FSC-klagomål.docx", "A 39376-2023")</f>
        <v/>
      </c>
      <c r="AB40">
        <f>HYPERLINK("https://klasma.github.io/Logging_0980/klagomålsmail/A 39376-2023 FSC-klagomål mail.docx", "A 39376-2023")</f>
        <v/>
      </c>
      <c r="AC40">
        <f>HYPERLINK("https://klasma.github.io/Logging_0980/tillsyn/A 39376-2023 tillsynsbegäran.docx", "A 39376-2023")</f>
        <v/>
      </c>
      <c r="AD40">
        <f>HYPERLINK("https://klasma.github.io/Logging_0980/tillsynsmail/A 39376-2023 tillsynsbegäran mail.docx", "A 39376-2023")</f>
        <v/>
      </c>
    </row>
    <row r="41" ht="15" customHeight="1">
      <c r="A41" t="inlineStr">
        <is>
          <t>A 61697-2023</t>
        </is>
      </c>
      <c r="B41" t="inlineStr">
        <is>
          <t>avverkningsanmälan</t>
        </is>
      </c>
      <c r="C41" t="inlineStr">
        <is>
          <t>Föryngringsavverkning</t>
        </is>
      </c>
      <c r="D41" s="1" t="n">
        <v>45265</v>
      </c>
      <c r="E41" s="1" t="n">
        <v>46321</v>
      </c>
      <c r="F41" t="inlineStr">
        <is>
          <t>GOTLANDS LÄN</t>
        </is>
      </c>
      <c r="G41" t="inlineStr">
        <is>
          <t>GOTLAND</t>
        </is>
      </c>
      <c r="I41" t="n">
        <v>8.699999999999999</v>
      </c>
      <c r="J41" t="n">
        <v>3</v>
      </c>
      <c r="K41" t="n">
        <v>3</v>
      </c>
      <c r="L41" t="n">
        <v>4</v>
      </c>
      <c r="M41" t="n">
        <v>8</v>
      </c>
      <c r="N41" t="n">
        <v>1</v>
      </c>
      <c r="O41" t="n">
        <v>0</v>
      </c>
      <c r="P41" t="n">
        <v>0</v>
      </c>
      <c r="Q41" t="n">
        <v>13</v>
      </c>
      <c r="R41" t="n">
        <v>9</v>
      </c>
      <c r="S41" t="n">
        <v>17</v>
      </c>
      <c r="T41" t="n">
        <v>41</v>
      </c>
      <c r="U41" t="n">
        <v>11</v>
      </c>
      <c r="V41" s="2" t="inlineStr">
        <is>
          <t>Tallkejsarspindling
Bullspindling
Duvspindling
Granrotspindling
Gulsträngad fagerspindling
Läderdoftande fingersvamp
Ryl
Svartgrön spindling
Violettrandad spindling
Denisespindling
Odörspindling
Röd skogslilja
Säfferot
Anisspindling
Murgröna
Nästrot
Blåsippa</t>
        </is>
      </c>
      <c r="W41">
        <f>HYPERLINK("https://klasma.github.io/Logging_0980/artfynd/A 61697-2023 artfynd.xlsx", "A 61697-2023")</f>
        <v/>
      </c>
      <c r="X41">
        <f>HYPERLINK("https://klasma.github.io/Logging_0980/kartor/A 61697-2023 karta.png", "A 61697-2023")</f>
        <v/>
      </c>
      <c r="Y41">
        <f>HYPERLINK("https://klasma.github.io/Logging_0980/kartor_geotiff/A 61697-2023 georefererad karta.tif", "A 61697-2023")</f>
        <v/>
      </c>
      <c r="AA41">
        <f>HYPERLINK("https://klasma.github.io/Logging_0980/klagomål/A 61697-2023 FSC-klagomål.docx", "A 61697-2023")</f>
        <v/>
      </c>
      <c r="AB41">
        <f>HYPERLINK("https://klasma.github.io/Logging_0980/klagomålsmail/A 61697-2023 FSC-klagomål mail.docx", "A 61697-2023")</f>
        <v/>
      </c>
      <c r="AC41">
        <f>HYPERLINK("https://klasma.github.io/Logging_0980/tillsyn/A 61697-2023 tillsynsbegäran.docx", "A 61697-2023")</f>
        <v/>
      </c>
      <c r="AD41">
        <f>HYPERLINK("https://klasma.github.io/Logging_0980/tillsynsmail/A 61697-2023 tillsynsbegäran mail.docx", "A 61697-2023")</f>
        <v/>
      </c>
    </row>
    <row r="42" ht="15" customHeight="1">
      <c r="A42" t="inlineStr">
        <is>
          <t>A 62132-2023</t>
        </is>
      </c>
      <c r="B42" t="inlineStr">
        <is>
          <t>avverkningsanmälan</t>
        </is>
      </c>
      <c r="C42" t="inlineStr">
        <is>
          <t>Föryngringsavverkning</t>
        </is>
      </c>
      <c r="D42" s="1" t="n">
        <v>45267</v>
      </c>
      <c r="E42" s="1" t="n">
        <v>46321</v>
      </c>
      <c r="F42" t="inlineStr">
        <is>
          <t>GOTLANDS LÄN</t>
        </is>
      </c>
      <c r="G42" t="inlineStr">
        <is>
          <t>GOTLAND</t>
        </is>
      </c>
      <c r="I42" t="n">
        <v>13.9</v>
      </c>
      <c r="J42" t="n">
        <v>5</v>
      </c>
      <c r="K42" t="n">
        <v>4</v>
      </c>
      <c r="L42" t="n">
        <v>7</v>
      </c>
      <c r="M42" t="n">
        <v>4</v>
      </c>
      <c r="N42" t="n">
        <v>0</v>
      </c>
      <c r="O42" t="n">
        <v>0</v>
      </c>
      <c r="P42" t="n">
        <v>0</v>
      </c>
      <c r="Q42" t="n">
        <v>11</v>
      </c>
      <c r="R42" t="n">
        <v>4</v>
      </c>
      <c r="S42" t="n">
        <v>17</v>
      </c>
      <c r="T42" t="n">
        <v>35</v>
      </c>
      <c r="U42" t="n">
        <v>21</v>
      </c>
      <c r="V42" s="2" t="inlineStr">
        <is>
          <t>Granrotspindling
Gulsträngad fagerspindling
Källnate
Vit taggsvamp
Backtimjan
Blå slemspindling
Dårgräsfjäril
Jordtistel
Odörspindling
Solvända
Äggspindling
Blåmossa
Mindre märgborre
Nästrot
Skogsknipprot
Spillkråka
Sankt pers nycklar</t>
        </is>
      </c>
      <c r="W42">
        <f>HYPERLINK("https://klasma.github.io/Logging_0980/artfynd/A 62132-2023 artfynd.xlsx", "A 62132-2023")</f>
        <v/>
      </c>
      <c r="X42">
        <f>HYPERLINK("https://klasma.github.io/Logging_0980/kartor/A 62132-2023 karta.png", "A 62132-2023")</f>
        <v/>
      </c>
      <c r="Y42">
        <f>HYPERLINK("https://klasma.github.io/Logging_0980/kartor_geotiff/A 62132-2023 georefererad karta.tif", "A 62132-2023")</f>
        <v/>
      </c>
      <c r="AA42">
        <f>HYPERLINK("https://klasma.github.io/Logging_0980/klagomål/A 62132-2023 FSC-klagomål.docx", "A 62132-2023")</f>
        <v/>
      </c>
      <c r="AB42">
        <f>HYPERLINK("https://klasma.github.io/Logging_0980/klagomålsmail/A 62132-2023 FSC-klagomål mail.docx", "A 62132-2023")</f>
        <v/>
      </c>
      <c r="AC42">
        <f>HYPERLINK("https://klasma.github.io/Logging_0980/tillsyn/A 62132-2023 tillsynsbegäran.docx", "A 62132-2023")</f>
        <v/>
      </c>
      <c r="AD42">
        <f>HYPERLINK("https://klasma.github.io/Logging_0980/tillsynsmail/A 62132-2023 tillsynsbegäran mail.docx", "A 62132-2023")</f>
        <v/>
      </c>
      <c r="AE42">
        <f>HYPERLINK("https://klasma.github.io/Logging_0980/fåglar/A 62132-2023 prioriterade fågelarter.docx", "A 62132-2023")</f>
        <v/>
      </c>
    </row>
    <row r="43" ht="15" customHeight="1">
      <c r="A43" t="inlineStr">
        <is>
          <t>A 35141-2022</t>
        </is>
      </c>
      <c r="B43" t="inlineStr">
        <is>
          <t>avverkningsanmälan</t>
        </is>
      </c>
      <c r="C43" t="inlineStr">
        <is>
          <t>Föryngringsavverkning</t>
        </is>
      </c>
      <c r="D43" s="1" t="n">
        <v>44797</v>
      </c>
      <c r="E43" s="1" t="n">
        <v>46321</v>
      </c>
      <c r="F43" t="inlineStr">
        <is>
          <t>GOTLANDS LÄN</t>
        </is>
      </c>
      <c r="G43" t="inlineStr">
        <is>
          <t>GOTLAND</t>
        </is>
      </c>
      <c r="I43" t="n">
        <v>1.8</v>
      </c>
      <c r="J43" t="n">
        <v>1</v>
      </c>
      <c r="K43" t="n">
        <v>8</v>
      </c>
      <c r="L43" t="n">
        <v>4</v>
      </c>
      <c r="M43" t="n">
        <v>4</v>
      </c>
      <c r="N43" t="n">
        <v>0</v>
      </c>
      <c r="O43" t="n">
        <v>0</v>
      </c>
      <c r="P43" t="n">
        <v>0</v>
      </c>
      <c r="Q43" t="n">
        <v>8</v>
      </c>
      <c r="R43" t="n">
        <v>4</v>
      </c>
      <c r="S43" t="n">
        <v>16</v>
      </c>
      <c r="T43" t="n">
        <v>24</v>
      </c>
      <c r="U43" t="n">
        <v>24</v>
      </c>
      <c r="V43" s="2" t="inlineStr">
        <is>
          <t>Dvärgfjällskivling
Granrotspindling
Svartgrön spindling
Violettfläckig spindling
Bittermusseron
Denisespindling
Flattoppad klubbsvamp
Odörspindling
Anisspindling
Fransig jordstjärna
Kambräken
Nästrot
Olivspindling
Rödgul trumpetsvamp
Svavelriska
Vågbandad barkbock</t>
        </is>
      </c>
      <c r="W43">
        <f>HYPERLINK("https://klasma.github.io/Logging_0980/artfynd/A 35141-2022 artfynd.xlsx", "A 35141-2022")</f>
        <v/>
      </c>
      <c r="X43">
        <f>HYPERLINK("https://klasma.github.io/Logging_0980/kartor/A 35141-2022 karta.png", "A 35141-2022")</f>
        <v/>
      </c>
      <c r="Y43">
        <f>HYPERLINK("https://klasma.github.io/Logging_0980/kartor_geotiff/A 35141-2022 georefererad karta.tif", "A 35141-2022")</f>
        <v/>
      </c>
      <c r="AA43">
        <f>HYPERLINK("https://klasma.github.io/Logging_0980/klagomål/A 35141-2022 FSC-klagomål.docx", "A 35141-2022")</f>
        <v/>
      </c>
      <c r="AB43">
        <f>HYPERLINK("https://klasma.github.io/Logging_0980/klagomålsmail/A 35141-2022 FSC-klagomål mail.docx", "A 35141-2022")</f>
        <v/>
      </c>
      <c r="AC43">
        <f>HYPERLINK("https://klasma.github.io/Logging_0980/tillsyn/A 35141-2022 tillsynsbegäran.docx", "A 35141-2022")</f>
        <v/>
      </c>
      <c r="AD43">
        <f>HYPERLINK("https://klasma.github.io/Logging_0980/tillsynsmail/A 35141-2022 tillsynsbegäran mail.docx", "A 35141-2022")</f>
        <v/>
      </c>
    </row>
    <row r="44" ht="15" customHeight="1">
      <c r="A44" t="inlineStr">
        <is>
          <t>A 2213-2023</t>
        </is>
      </c>
      <c r="B44" t="inlineStr">
        <is>
          <t>avverkningsanmälan</t>
        </is>
      </c>
      <c r="C44" t="inlineStr">
        <is>
          <t>Föryngringsavverkning</t>
        </is>
      </c>
      <c r="D44" s="1" t="n">
        <v>44942</v>
      </c>
      <c r="E44" s="1" t="n">
        <v>46321</v>
      </c>
      <c r="F44" t="inlineStr">
        <is>
          <t>GOTLANDS LÄN</t>
        </is>
      </c>
      <c r="G44" t="inlineStr">
        <is>
          <t>GOTLAND</t>
        </is>
      </c>
      <c r="I44" t="n">
        <v>2.7</v>
      </c>
      <c r="J44" t="n">
        <v>1</v>
      </c>
      <c r="K44" t="n">
        <v>2</v>
      </c>
      <c r="L44" t="n">
        <v>10</v>
      </c>
      <c r="M44" t="n">
        <v>4</v>
      </c>
      <c r="N44" t="n">
        <v>0</v>
      </c>
      <c r="O44" t="n">
        <v>0</v>
      </c>
      <c r="P44" t="n">
        <v>0</v>
      </c>
      <c r="Q44" t="n">
        <v>14</v>
      </c>
      <c r="R44" t="n">
        <v>4</v>
      </c>
      <c r="S44" t="n">
        <v>16</v>
      </c>
      <c r="T44" t="n">
        <v>35</v>
      </c>
      <c r="U44" t="n">
        <v>18</v>
      </c>
      <c r="V44" s="2" t="inlineStr">
        <is>
          <t>Garderönn
Granrotspindling
Gulsträngad fagerspindling
Violettfläckig spindling
Backtimjan
Blå slemspindling
Dropptaggsvamp
Fjällig taggsvamp s.str.
Flattoppad klubbsvamp
Kryddspindling
Odörspindling
Smedbock
Solvända
Svinrot
Anisspindling
Olivspindling</t>
        </is>
      </c>
      <c r="W44">
        <f>HYPERLINK("https://klasma.github.io/Logging_0980/artfynd/A 2213-2023 artfynd.xlsx", "A 2213-2023")</f>
        <v/>
      </c>
      <c r="X44">
        <f>HYPERLINK("https://klasma.github.io/Logging_0980/kartor/A 2213-2023 karta.png", "A 2213-2023")</f>
        <v/>
      </c>
      <c r="Y44">
        <f>HYPERLINK("https://klasma.github.io/Logging_0980/kartor_geotiff/A 2213-2023 georefererad karta.tif", "A 2213-2023")</f>
        <v/>
      </c>
      <c r="AA44">
        <f>HYPERLINK("https://klasma.github.io/Logging_0980/klagomål/A 2213-2023 FSC-klagomål.docx", "A 2213-2023")</f>
        <v/>
      </c>
      <c r="AB44">
        <f>HYPERLINK("https://klasma.github.io/Logging_0980/klagomålsmail/A 2213-2023 FSC-klagomål mail.docx", "A 2213-2023")</f>
        <v/>
      </c>
      <c r="AC44">
        <f>HYPERLINK("https://klasma.github.io/Logging_0980/tillsyn/A 2213-2023 tillsynsbegäran.docx", "A 2213-2023")</f>
        <v/>
      </c>
      <c r="AD44">
        <f>HYPERLINK("https://klasma.github.io/Logging_0980/tillsynsmail/A 2213-2023 tillsynsbegäran mail.docx", "A 2213-2023")</f>
        <v/>
      </c>
    </row>
    <row r="45" ht="15" customHeight="1">
      <c r="A45" t="inlineStr">
        <is>
          <t>A 25779-2022</t>
        </is>
      </c>
      <c r="B45" t="inlineStr">
        <is>
          <t>avverkningsanmälan</t>
        </is>
      </c>
      <c r="C45" t="inlineStr">
        <is>
          <t>Föryngringsavverkning</t>
        </is>
      </c>
      <c r="D45" s="1" t="n">
        <v>44733</v>
      </c>
      <c r="E45" s="1" t="n">
        <v>46321</v>
      </c>
      <c r="F45" t="inlineStr">
        <is>
          <t>GOTLANDS LÄN</t>
        </is>
      </c>
      <c r="G45" t="inlineStr">
        <is>
          <t>GOTLAND</t>
        </is>
      </c>
      <c r="I45" t="n">
        <v>12.6</v>
      </c>
      <c r="J45" t="n">
        <v>4</v>
      </c>
      <c r="K45" t="n">
        <v>8</v>
      </c>
      <c r="L45" t="n">
        <v>5</v>
      </c>
      <c r="M45" t="n">
        <v>2</v>
      </c>
      <c r="N45" t="n">
        <v>1</v>
      </c>
      <c r="O45" t="n">
        <v>0</v>
      </c>
      <c r="P45" t="n">
        <v>0</v>
      </c>
      <c r="Q45" t="n">
        <v>8</v>
      </c>
      <c r="R45" t="n">
        <v>3</v>
      </c>
      <c r="S45" t="n">
        <v>16</v>
      </c>
      <c r="T45" t="n">
        <v>30</v>
      </c>
      <c r="U45" t="n">
        <v>5</v>
      </c>
      <c r="V45" s="2" t="inlineStr">
        <is>
          <t>Ruttaggsvamp
Duvspindling
Knärot
Blå slemspindling
Flattoppad klubbsvamp
Jordtistel
Odörspindling
Solvända
Nästrot
Rödgul trumpetsvamp
Skogsknipprot
Strimspindling
Strävlosta
Svavelriska
Vit skogslilja
Zontaggsvamp</t>
        </is>
      </c>
      <c r="W45">
        <f>HYPERLINK("https://klasma.github.io/Logging_0980/artfynd/A 25779-2022 artfynd.xlsx", "A 25779-2022")</f>
        <v/>
      </c>
      <c r="X45">
        <f>HYPERLINK("https://klasma.github.io/Logging_0980/kartor/A 25779-2022 karta.png", "A 25779-2022")</f>
        <v/>
      </c>
      <c r="Y45">
        <f>HYPERLINK("https://klasma.github.io/Logging_0980/kartor_geotiff/A 25779-2022 georefererad karta.tif", "A 25779-2022")</f>
        <v/>
      </c>
      <c r="Z45">
        <f>HYPERLINK("https://klasma.github.io/Logging_0980/knärot/A 25779-2022 karta knärot.png", "A 25779-2022")</f>
        <v/>
      </c>
      <c r="AA45">
        <f>HYPERLINK("https://klasma.github.io/Logging_0980/klagomål/A 25779-2022 FSC-klagomål.docx", "A 25779-2022")</f>
        <v/>
      </c>
      <c r="AB45">
        <f>HYPERLINK("https://klasma.github.io/Logging_0980/klagomålsmail/A 25779-2022 FSC-klagomål mail.docx", "A 25779-2022")</f>
        <v/>
      </c>
      <c r="AC45">
        <f>HYPERLINK("https://klasma.github.io/Logging_0980/tillsyn/A 25779-2022 tillsynsbegäran.docx", "A 25779-2022")</f>
        <v/>
      </c>
      <c r="AD45">
        <f>HYPERLINK("https://klasma.github.io/Logging_0980/tillsynsmail/A 25779-2022 tillsynsbegäran mail.docx", "A 25779-2022")</f>
        <v/>
      </c>
    </row>
    <row r="46" ht="15" customHeight="1">
      <c r="A46" t="inlineStr">
        <is>
          <t>A 9540-2026</t>
        </is>
      </c>
      <c r="B46" t="inlineStr">
        <is>
          <t>avverkningsanmälan</t>
        </is>
      </c>
      <c r="C46" t="inlineStr">
        <is>
          <t>Föryngringsavverkning</t>
        </is>
      </c>
      <c r="D46" s="1" t="n">
        <v>46071</v>
      </c>
      <c r="E46" s="1" t="n">
        <v>46321</v>
      </c>
      <c r="F46" t="inlineStr">
        <is>
          <t>GOTLANDS LÄN</t>
        </is>
      </c>
      <c r="G46" t="inlineStr">
        <is>
          <t>GOTLAND</t>
        </is>
      </c>
      <c r="I46" t="n">
        <v>2.8</v>
      </c>
      <c r="J46" t="n">
        <v>0</v>
      </c>
      <c r="K46" t="n">
        <v>5</v>
      </c>
      <c r="L46" t="n">
        <v>5</v>
      </c>
      <c r="M46" t="n">
        <v>6</v>
      </c>
      <c r="N46" t="n">
        <v>0</v>
      </c>
      <c r="O46" t="n">
        <v>0</v>
      </c>
      <c r="P46" t="n">
        <v>0</v>
      </c>
      <c r="Q46" t="n">
        <v>11</v>
      </c>
      <c r="R46" t="n">
        <v>6</v>
      </c>
      <c r="S46" t="n">
        <v>16</v>
      </c>
      <c r="T46" t="n">
        <v>48</v>
      </c>
      <c r="U46" t="n">
        <v>48</v>
      </c>
      <c r="V46" s="2" t="inlineStr">
        <is>
          <t>Clitopaxillus alexandri
Duvspindling
Granrotspindling
Gulsträngad fagerspindling
Svartgrön spindling
Trollspindling
Blå slemspindling
Blå taggsvamp
Fjällig taggsvamp s.str.
Odörspindling
Vårärt
Anisspindling
Olivspindling
Rödbrun jordstjärna
Svavelriska
Toppvaxing</t>
        </is>
      </c>
      <c r="W46">
        <f>HYPERLINK("https://klasma.github.io/Logging_0980/artfynd/A 9540-2026 artfynd.xlsx", "A 9540-2026")</f>
        <v/>
      </c>
      <c r="X46">
        <f>HYPERLINK("https://klasma.github.io/Logging_0980/kartor/A 9540-2026 karta.png", "A 9540-2026")</f>
        <v/>
      </c>
      <c r="Y46">
        <f>HYPERLINK("https://klasma.github.io/Logging_0980/kartor_geotiff/A 9540-2026 georefererad karta.tif", "A 9540-2026")</f>
        <v/>
      </c>
      <c r="AA46">
        <f>HYPERLINK("https://klasma.github.io/Logging_0980/klagomål/A 9540-2026 FSC-klagomål.docx", "A 9540-2026")</f>
        <v/>
      </c>
      <c r="AB46">
        <f>HYPERLINK("https://klasma.github.io/Logging_0980/klagomålsmail/A 9540-2026 FSC-klagomål mail.docx", "A 9540-2026")</f>
        <v/>
      </c>
      <c r="AC46">
        <f>HYPERLINK("https://klasma.github.io/Logging_0980/tillsyn/A 9540-2026 tillsynsbegäran.docx", "A 9540-2026")</f>
        <v/>
      </c>
      <c r="AD46">
        <f>HYPERLINK("https://klasma.github.io/Logging_0980/tillsynsmail/A 9540-2026 tillsynsbegäran mail.docx", "A 9540-2026")</f>
        <v/>
      </c>
    </row>
    <row r="47" ht="15" customHeight="1">
      <c r="A47" t="inlineStr">
        <is>
          <t>A 44204-2022</t>
        </is>
      </c>
      <c r="B47" t="inlineStr">
        <is>
          <t>avverkningsanmälan</t>
        </is>
      </c>
      <c r="C47" t="inlineStr">
        <is>
          <t>Föryngringsavverkning</t>
        </is>
      </c>
      <c r="D47" s="1" t="n">
        <v>44839</v>
      </c>
      <c r="E47" s="1" t="n">
        <v>46321</v>
      </c>
      <c r="F47" t="inlineStr">
        <is>
          <t>GOTLANDS LÄN</t>
        </is>
      </c>
      <c r="G47" t="inlineStr">
        <is>
          <t>GOTLAND</t>
        </is>
      </c>
      <c r="I47" t="n">
        <v>2.3</v>
      </c>
      <c r="J47" t="n">
        <v>4</v>
      </c>
      <c r="K47" t="n">
        <v>3</v>
      </c>
      <c r="L47" t="n">
        <v>6</v>
      </c>
      <c r="M47" t="n">
        <v>3</v>
      </c>
      <c r="N47" t="n">
        <v>2</v>
      </c>
      <c r="O47" t="n">
        <v>0</v>
      </c>
      <c r="P47" t="n">
        <v>0</v>
      </c>
      <c r="Q47" t="n">
        <v>11</v>
      </c>
      <c r="R47" t="n">
        <v>5</v>
      </c>
      <c r="S47" t="n">
        <v>16</v>
      </c>
      <c r="T47" t="n">
        <v>104</v>
      </c>
      <c r="U47" t="n">
        <v>104</v>
      </c>
      <c r="V47" s="2" t="inlineStr">
        <is>
          <t>Bitter taggsvamp
Sienamusseron
Fläckfingersvamp
Granrotspindling
Violettfläckig spindling
Blå slemspindling
Denisespindling
Duvhök
Dårgräsfjäril
Odörspindling
Tjockfotad fingersvamp
Anisspindling
Blomkålssvamp
Olivspindling
Spillkråka
Nattviol</t>
        </is>
      </c>
      <c r="W47">
        <f>HYPERLINK("https://klasma.github.io/Logging_0980/artfynd/A 44204-2022 artfynd.xlsx", "A 44204-2022")</f>
        <v/>
      </c>
      <c r="X47">
        <f>HYPERLINK("https://klasma.github.io/Logging_0980/kartor/A 44204-2022 karta.png", "A 44204-2022")</f>
        <v/>
      </c>
      <c r="Y47">
        <f>HYPERLINK("https://klasma.github.io/Logging_0980/kartor_geotiff/A 44204-2022 georefererad karta.tif", "A 44204-2022")</f>
        <v/>
      </c>
      <c r="AA47">
        <f>HYPERLINK("https://klasma.github.io/Logging_0980/klagomål/A 44204-2022 FSC-klagomål.docx", "A 44204-2022")</f>
        <v/>
      </c>
      <c r="AB47">
        <f>HYPERLINK("https://klasma.github.io/Logging_0980/klagomålsmail/A 44204-2022 FSC-klagomål mail.docx", "A 44204-2022")</f>
        <v/>
      </c>
      <c r="AC47">
        <f>HYPERLINK("https://klasma.github.io/Logging_0980/tillsyn/A 44204-2022 tillsynsbegäran.docx", "A 44204-2022")</f>
        <v/>
      </c>
      <c r="AD47">
        <f>HYPERLINK("https://klasma.github.io/Logging_0980/tillsynsmail/A 44204-2022 tillsynsbegäran mail.docx", "A 44204-2022")</f>
        <v/>
      </c>
      <c r="AE47">
        <f>HYPERLINK("https://klasma.github.io/Logging_0980/fåglar/A 44204-2022 prioriterade fågelarter.docx", "A 44204-2022")</f>
        <v/>
      </c>
    </row>
    <row r="48" ht="15" customHeight="1">
      <c r="A48" t="inlineStr">
        <is>
          <t>A 43201-2023</t>
        </is>
      </c>
      <c r="B48" t="inlineStr">
        <is>
          <t>avverkningsanmälan</t>
        </is>
      </c>
      <c r="C48" t="inlineStr">
        <is>
          <t>Avverkning för annat ändamål</t>
        </is>
      </c>
      <c r="D48" s="1" t="n">
        <v>45183</v>
      </c>
      <c r="E48" s="1" t="n">
        <v>46321</v>
      </c>
      <c r="F48" t="inlineStr">
        <is>
          <t>GOTLANDS LÄN</t>
        </is>
      </c>
      <c r="G48" t="inlineStr">
        <is>
          <t>GOTLAND</t>
        </is>
      </c>
      <c r="I48" t="n">
        <v>5.6</v>
      </c>
      <c r="J48" t="n">
        <v>0</v>
      </c>
      <c r="K48" t="n">
        <v>6</v>
      </c>
      <c r="L48" t="n">
        <v>4</v>
      </c>
      <c r="M48" t="n">
        <v>3</v>
      </c>
      <c r="N48" t="n">
        <v>2</v>
      </c>
      <c r="O48" t="n">
        <v>0</v>
      </c>
      <c r="P48" t="n">
        <v>0</v>
      </c>
      <c r="Q48" t="n">
        <v>9</v>
      </c>
      <c r="R48" t="n">
        <v>5</v>
      </c>
      <c r="S48" t="n">
        <v>15</v>
      </c>
      <c r="T48" t="n">
        <v>36</v>
      </c>
      <c r="U48" t="n">
        <v>0</v>
      </c>
      <c r="V48" s="2" t="inlineStr">
        <is>
          <t>Almlav
Mörk lundlav
Blek kraterlav
Mörk kraterlav
Ädellav
Hjälmbrosklav
Lunglav
Rosa skärelav
Skuggorangelav
Guldlockmossa
Gulpudrad spiklav
Lönnlav
Rostfläck
Slät lönnlav
Vitskivlav</t>
        </is>
      </c>
      <c r="W48">
        <f>HYPERLINK("https://klasma.github.io/Logging_0980/artfynd/A 43201-2023 artfynd.xlsx", "A 43201-2023")</f>
        <v/>
      </c>
      <c r="X48">
        <f>HYPERLINK("https://klasma.github.io/Logging_0980/kartor/A 43201-2023 karta.png", "A 43201-2023")</f>
        <v/>
      </c>
      <c r="Y48">
        <f>HYPERLINK("https://klasma.github.io/Logging_0980/kartor_geotiff/A 43201-2023 georefererad karta.tif", "A 43201-2023")</f>
        <v/>
      </c>
      <c r="AA48">
        <f>HYPERLINK("https://klasma.github.io/Logging_0980/klagomål/A 43201-2023 FSC-klagomål.docx", "A 43201-2023")</f>
        <v/>
      </c>
      <c r="AB48">
        <f>HYPERLINK("https://klasma.github.io/Logging_0980/klagomålsmail/A 43201-2023 FSC-klagomål mail.docx", "A 43201-2023")</f>
        <v/>
      </c>
      <c r="AC48">
        <f>HYPERLINK("https://klasma.github.io/Logging_0980/tillsyn/A 43201-2023 tillsynsbegäran.docx", "A 43201-2023")</f>
        <v/>
      </c>
      <c r="AD48">
        <f>HYPERLINK("https://klasma.github.io/Logging_0980/tillsynsmail/A 43201-2023 tillsynsbegäran mail.docx", "A 43201-2023")</f>
        <v/>
      </c>
    </row>
    <row r="49" ht="15" customHeight="1">
      <c r="A49" t="inlineStr">
        <is>
          <t>A 3324-2023</t>
        </is>
      </c>
      <c r="B49" t="inlineStr">
        <is>
          <t>avverkningsanmälan</t>
        </is>
      </c>
      <c r="C49" t="inlineStr">
        <is>
          <t>Avverkning för annat ändamål</t>
        </is>
      </c>
      <c r="D49" s="1" t="n">
        <v>44949</v>
      </c>
      <c r="E49" s="1" t="n">
        <v>46321</v>
      </c>
      <c r="F49" t="inlineStr">
        <is>
          <t>GOTLANDS LÄN</t>
        </is>
      </c>
      <c r="G49" t="inlineStr">
        <is>
          <t>GOTLAND</t>
        </is>
      </c>
      <c r="I49" t="n">
        <v>6.2</v>
      </c>
      <c r="J49" t="n">
        <v>0</v>
      </c>
      <c r="K49" t="n">
        <v>4</v>
      </c>
      <c r="L49" t="n">
        <v>3</v>
      </c>
      <c r="M49" t="n">
        <v>8</v>
      </c>
      <c r="N49" t="n">
        <v>0</v>
      </c>
      <c r="O49" t="n">
        <v>0</v>
      </c>
      <c r="P49" t="n">
        <v>0</v>
      </c>
      <c r="Q49" t="n">
        <v>11</v>
      </c>
      <c r="R49" t="n">
        <v>8</v>
      </c>
      <c r="S49" t="n">
        <v>15</v>
      </c>
      <c r="T49" t="n">
        <v>103</v>
      </c>
      <c r="U49" t="n">
        <v>30</v>
      </c>
      <c r="V49" s="2" t="inlineStr">
        <is>
          <t>Blåfotad fagerspindling
Duvspindling
Granrotspindling
Gulsträngad fagerspindling
Svartgrön spindling
Trollspindling
Tvillingspindling
Violettrandad spindling
Blå slemspindling
Odörspindling
Äggspindling
Anisspindling
Besk kastanjemusseron
Olivspindling
Rödgul trumpetsvamp</t>
        </is>
      </c>
      <c r="W49">
        <f>HYPERLINK("https://klasma.github.io/Logging_0980/artfynd/A 3324-2023 artfynd.xlsx", "A 3324-2023")</f>
        <v/>
      </c>
      <c r="X49">
        <f>HYPERLINK("https://klasma.github.io/Logging_0980/kartor/A 3324-2023 karta.png", "A 3324-2023")</f>
        <v/>
      </c>
      <c r="Y49">
        <f>HYPERLINK("https://klasma.github.io/Logging_0980/kartor_geotiff/A 3324-2023 georefererad karta.tif", "A 3324-2023")</f>
        <v/>
      </c>
      <c r="AA49">
        <f>HYPERLINK("https://klasma.github.io/Logging_0980/klagomål/A 3324-2023 FSC-klagomål.docx", "A 3324-2023")</f>
        <v/>
      </c>
      <c r="AB49">
        <f>HYPERLINK("https://klasma.github.io/Logging_0980/klagomålsmail/A 3324-2023 FSC-klagomål mail.docx", "A 3324-2023")</f>
        <v/>
      </c>
      <c r="AC49">
        <f>HYPERLINK("https://klasma.github.io/Logging_0980/tillsyn/A 3324-2023 tillsynsbegäran.docx", "A 3324-2023")</f>
        <v/>
      </c>
      <c r="AD49">
        <f>HYPERLINK("https://klasma.github.io/Logging_0980/tillsynsmail/A 3324-2023 tillsynsbegäran mail.docx", "A 3324-2023")</f>
        <v/>
      </c>
    </row>
    <row r="50" ht="15" customHeight="1">
      <c r="A50" t="inlineStr">
        <is>
          <t>A 63149-2025</t>
        </is>
      </c>
      <c r="B50" t="inlineStr">
        <is>
          <t>avverkningsanmälan</t>
        </is>
      </c>
      <c r="C50" t="inlineStr">
        <is>
          <t>Föryngringsavverkning</t>
        </is>
      </c>
      <c r="D50" s="1" t="n">
        <v>46010</v>
      </c>
      <c r="E50" s="1" t="n">
        <v>46321</v>
      </c>
      <c r="F50" t="inlineStr">
        <is>
          <t>GOTLANDS LÄN</t>
        </is>
      </c>
      <c r="G50" t="inlineStr">
        <is>
          <t>GOTLAND</t>
        </is>
      </c>
      <c r="I50" t="n">
        <v>4.3</v>
      </c>
      <c r="J50" t="n">
        <v>8</v>
      </c>
      <c r="K50" t="n">
        <v>2</v>
      </c>
      <c r="L50" t="n">
        <v>7</v>
      </c>
      <c r="M50" t="n">
        <v>1</v>
      </c>
      <c r="N50" t="n">
        <v>0</v>
      </c>
      <c r="O50" t="n">
        <v>0</v>
      </c>
      <c r="P50" t="n">
        <v>0</v>
      </c>
      <c r="Q50" t="n">
        <v>8</v>
      </c>
      <c r="R50" t="n">
        <v>1</v>
      </c>
      <c r="S50" t="n">
        <v>15</v>
      </c>
      <c r="T50" t="n">
        <v>106</v>
      </c>
      <c r="U50" t="n">
        <v>105</v>
      </c>
      <c r="V50" s="2" t="inlineStr">
        <is>
          <t>Backsippa
Backtimjan
Berggräsfjäril
Dårgräsfjäril
Gulsparv
Odörspindling
Solvända
Svinrot
Anisspindling
Skogsknipprot
Ormbär
Spillkråka
Fläcknycklar
Nattviol
Sankt pers nycklar</t>
        </is>
      </c>
      <c r="W50">
        <f>HYPERLINK("https://klasma.github.io/Logging_0980/artfynd/A 63149-2025 artfynd.xlsx", "A 63149-2025")</f>
        <v/>
      </c>
      <c r="X50">
        <f>HYPERLINK("https://klasma.github.io/Logging_0980/kartor/A 63149-2025 karta.png", "A 63149-2025")</f>
        <v/>
      </c>
      <c r="Y50">
        <f>HYPERLINK("https://klasma.github.io/Logging_0980/kartor_geotiff/A 63149-2025 georefererad karta.tif", "A 63149-2025")</f>
        <v/>
      </c>
      <c r="AA50">
        <f>HYPERLINK("https://klasma.github.io/Logging_0980/klagomål/A 63149-2025 FSC-klagomål.docx", "A 63149-2025")</f>
        <v/>
      </c>
      <c r="AB50">
        <f>HYPERLINK("https://klasma.github.io/Logging_0980/klagomålsmail/A 63149-2025 FSC-klagomål mail.docx", "A 63149-2025")</f>
        <v/>
      </c>
      <c r="AC50">
        <f>HYPERLINK("https://klasma.github.io/Logging_0980/tillsyn/A 63149-2025 tillsynsbegäran.docx", "A 63149-2025")</f>
        <v/>
      </c>
      <c r="AD50">
        <f>HYPERLINK("https://klasma.github.io/Logging_0980/tillsynsmail/A 63149-2025 tillsynsbegäran mail.docx", "A 63149-2025")</f>
        <v/>
      </c>
      <c r="AE50">
        <f>HYPERLINK("https://klasma.github.io/Logging_0980/fåglar/A 63149-2025 prioriterade fågelarter.docx", "A 63149-2025")</f>
        <v/>
      </c>
    </row>
    <row r="51" ht="15" customHeight="1">
      <c r="A51" t="inlineStr">
        <is>
          <t>A 44928-2022</t>
        </is>
      </c>
      <c r="B51" t="inlineStr">
        <is>
          <t>avverkningsanmälan</t>
        </is>
      </c>
      <c r="C51" t="inlineStr">
        <is>
          <t>Föryngringsavverkning</t>
        </is>
      </c>
      <c r="D51" s="1" t="n">
        <v>44841</v>
      </c>
      <c r="E51" s="1" t="n">
        <v>46321</v>
      </c>
      <c r="F51" t="inlineStr">
        <is>
          <t>GOTLANDS LÄN</t>
        </is>
      </c>
      <c r="G51" t="inlineStr">
        <is>
          <t>GOTLAND</t>
        </is>
      </c>
      <c r="I51" t="n">
        <v>3.7</v>
      </c>
      <c r="J51" t="n">
        <v>1</v>
      </c>
      <c r="K51" t="n">
        <v>4</v>
      </c>
      <c r="L51" t="n">
        <v>5</v>
      </c>
      <c r="M51" t="n">
        <v>3</v>
      </c>
      <c r="N51" t="n">
        <v>1</v>
      </c>
      <c r="O51" t="n">
        <v>0</v>
      </c>
      <c r="P51" t="n">
        <v>0</v>
      </c>
      <c r="Q51" t="n">
        <v>10</v>
      </c>
      <c r="R51" t="n">
        <v>4</v>
      </c>
      <c r="S51" t="n">
        <v>14</v>
      </c>
      <c r="T51" t="n">
        <v>18</v>
      </c>
      <c r="U51" t="n">
        <v>15</v>
      </c>
      <c r="V51" s="2" t="inlineStr">
        <is>
          <t>Barkkvastmossa
Gulsträngad fagerspindling
Mörk kraterlav
Tvillingspindling
Blå slemspindling
Kattfotslav
Odörspindling
Puderspindling
Ängsstarr
Frostig asplav
Anisspindling
Axag
Kärrlilja
Svavelriska</t>
        </is>
      </c>
      <c r="W51">
        <f>HYPERLINK("https://klasma.github.io/Logging_0980/artfynd/A 44928-2022 artfynd.xlsx", "A 44928-2022")</f>
        <v/>
      </c>
      <c r="X51">
        <f>HYPERLINK("https://klasma.github.io/Logging_0980/kartor/A 44928-2022 karta.png", "A 44928-2022")</f>
        <v/>
      </c>
      <c r="Y51">
        <f>HYPERLINK("https://klasma.github.io/Logging_0980/kartor_geotiff/A 44928-2022 georefererad karta.tif", "A 44928-2022")</f>
        <v/>
      </c>
      <c r="AA51">
        <f>HYPERLINK("https://klasma.github.io/Logging_0980/klagomål/A 44928-2022 FSC-klagomål.docx", "A 44928-2022")</f>
        <v/>
      </c>
      <c r="AB51">
        <f>HYPERLINK("https://klasma.github.io/Logging_0980/klagomålsmail/A 44928-2022 FSC-klagomål mail.docx", "A 44928-2022")</f>
        <v/>
      </c>
      <c r="AC51">
        <f>HYPERLINK("https://klasma.github.io/Logging_0980/tillsyn/A 44928-2022 tillsynsbegäran.docx", "A 44928-2022")</f>
        <v/>
      </c>
      <c r="AD51">
        <f>HYPERLINK("https://klasma.github.io/Logging_0980/tillsynsmail/A 44928-2022 tillsynsbegäran mail.docx", "A 44928-2022")</f>
        <v/>
      </c>
    </row>
    <row r="52" ht="15" customHeight="1">
      <c r="A52" t="inlineStr">
        <is>
          <t>A 11176-2024</t>
        </is>
      </c>
      <c r="B52" t="inlineStr">
        <is>
          <t>avverkningsanmälan</t>
        </is>
      </c>
      <c r="C52" t="inlineStr">
        <is>
          <t>Föryngringsavverkning</t>
        </is>
      </c>
      <c r="D52" s="1" t="n">
        <v>45371</v>
      </c>
      <c r="E52" s="1" t="n">
        <v>46321</v>
      </c>
      <c r="F52" t="inlineStr">
        <is>
          <t>GOTLANDS LÄN</t>
        </is>
      </c>
      <c r="G52" t="inlineStr">
        <is>
          <t>GOTLAND</t>
        </is>
      </c>
      <c r="I52" t="n">
        <v>1.7</v>
      </c>
      <c r="J52" t="n">
        <v>0</v>
      </c>
      <c r="K52" t="n">
        <v>4</v>
      </c>
      <c r="L52" t="n">
        <v>3</v>
      </c>
      <c r="M52" t="n">
        <v>7</v>
      </c>
      <c r="N52" t="n">
        <v>0</v>
      </c>
      <c r="O52" t="n">
        <v>0</v>
      </c>
      <c r="P52" t="n">
        <v>0</v>
      </c>
      <c r="Q52" t="n">
        <v>10</v>
      </c>
      <c r="R52" t="n">
        <v>7</v>
      </c>
      <c r="S52" t="n">
        <v>14</v>
      </c>
      <c r="T52" t="n">
        <v>25</v>
      </c>
      <c r="U52" t="n">
        <v>0</v>
      </c>
      <c r="V52" s="2" t="inlineStr">
        <is>
          <t>Granrotspindling
Gul lammticka
Gulsträngad fagerspindling
Svartgrön spindling
Tvillingspindling
Violettfläckig spindling
Vit taggsvamp
Bittermusseron
Blå slemspindling
Odörspindling
Anisspindling
Olivspindling
Rödbrun jordstjärna
Svavelriska</t>
        </is>
      </c>
      <c r="W52">
        <f>HYPERLINK("https://klasma.github.io/Logging_0980/artfynd/A 11176-2024 artfynd.xlsx", "A 11176-2024")</f>
        <v/>
      </c>
      <c r="X52">
        <f>HYPERLINK("https://klasma.github.io/Logging_0980/kartor/A 11176-2024 karta.png", "A 11176-2024")</f>
        <v/>
      </c>
      <c r="Y52">
        <f>HYPERLINK("https://klasma.github.io/Logging_0980/kartor_geotiff/A 11176-2024 georefererad karta.tif", "A 11176-2024")</f>
        <v/>
      </c>
      <c r="AA52">
        <f>HYPERLINK("https://klasma.github.io/Logging_0980/klagomål/A 11176-2024 FSC-klagomål.docx", "A 11176-2024")</f>
        <v/>
      </c>
      <c r="AB52">
        <f>HYPERLINK("https://klasma.github.io/Logging_0980/klagomålsmail/A 11176-2024 FSC-klagomål mail.docx", "A 11176-2024")</f>
        <v/>
      </c>
      <c r="AC52">
        <f>HYPERLINK("https://klasma.github.io/Logging_0980/tillsyn/A 11176-2024 tillsynsbegäran.docx", "A 11176-2024")</f>
        <v/>
      </c>
      <c r="AD52">
        <f>HYPERLINK("https://klasma.github.io/Logging_0980/tillsynsmail/A 11176-2024 tillsynsbegäran mail.docx", "A 11176-2024")</f>
        <v/>
      </c>
    </row>
    <row r="53" ht="15" customHeight="1">
      <c r="A53" t="inlineStr">
        <is>
          <t>A 33153-2024</t>
        </is>
      </c>
      <c r="B53" t="inlineStr">
        <is>
          <t>avverkningsanmälan</t>
        </is>
      </c>
      <c r="C53" t="inlineStr">
        <is>
          <t>Avverkning för annat ändamål</t>
        </is>
      </c>
      <c r="D53" s="1" t="n">
        <v>45518</v>
      </c>
      <c r="E53" s="1" t="n">
        <v>46321</v>
      </c>
      <c r="F53" t="inlineStr">
        <is>
          <t>GOTLANDS LÄN</t>
        </is>
      </c>
      <c r="G53" t="inlineStr">
        <is>
          <t>GOTLAND</t>
        </is>
      </c>
      <c r="I53" t="n">
        <v>10.3</v>
      </c>
      <c r="J53" t="n">
        <v>3</v>
      </c>
      <c r="K53" t="n">
        <v>8</v>
      </c>
      <c r="L53" t="n">
        <v>5</v>
      </c>
      <c r="M53" t="n">
        <v>1</v>
      </c>
      <c r="N53" t="n">
        <v>0</v>
      </c>
      <c r="O53" t="n">
        <v>0</v>
      </c>
      <c r="P53" t="n">
        <v>0</v>
      </c>
      <c r="Q53" t="n">
        <v>6</v>
      </c>
      <c r="R53" t="n">
        <v>1</v>
      </c>
      <c r="S53" t="n">
        <v>14</v>
      </c>
      <c r="T53" t="n">
        <v>23</v>
      </c>
      <c r="U53" t="n">
        <v>0</v>
      </c>
      <c r="V53" s="2" t="inlineStr">
        <is>
          <t>Duvspindling
Blå slemspindling
Flattoppad klubbsvamp
Jordtistel
Odörspindling
Solvända
Nästrot
Rödgul trumpetsvamp
Skogsknipprot
Strimspindling
Strävlosta
Svavelriska
Vit skogslilja
Zontaggsvamp</t>
        </is>
      </c>
      <c r="W53">
        <f>HYPERLINK("https://klasma.github.io/Logging_0980/artfynd/A 33153-2024 artfynd.xlsx", "A 33153-2024")</f>
        <v/>
      </c>
      <c r="X53">
        <f>HYPERLINK("https://klasma.github.io/Logging_0980/kartor/A 33153-2024 karta.png", "A 33153-2024")</f>
        <v/>
      </c>
      <c r="Y53">
        <f>HYPERLINK("https://klasma.github.io/Logging_0980/kartor_geotiff/A 33153-2024 georefererad karta.tif", "A 33153-2024")</f>
        <v/>
      </c>
      <c r="Z53">
        <f>HYPERLINK("https://klasma.github.io/Logging_0980/knärot/A 33153-2024 karta knärot.png", "A 33153-2024")</f>
        <v/>
      </c>
      <c r="AA53">
        <f>HYPERLINK("https://klasma.github.io/Logging_0980/klagomål/A 33153-2024 FSC-klagomål.docx", "A 33153-2024")</f>
        <v/>
      </c>
      <c r="AB53">
        <f>HYPERLINK("https://klasma.github.io/Logging_0980/klagomålsmail/A 33153-2024 FSC-klagomål mail.docx", "A 33153-2024")</f>
        <v/>
      </c>
      <c r="AC53">
        <f>HYPERLINK("https://klasma.github.io/Logging_0980/tillsyn/A 33153-2024 tillsynsbegäran.docx", "A 33153-2024")</f>
        <v/>
      </c>
      <c r="AD53">
        <f>HYPERLINK("https://klasma.github.io/Logging_0980/tillsynsmail/A 33153-2024 tillsynsbegäran mail.docx", "A 33153-2024")</f>
        <v/>
      </c>
    </row>
    <row r="54" ht="15" customHeight="1">
      <c r="A54" t="inlineStr">
        <is>
          <t>A 14354-2024</t>
        </is>
      </c>
      <c r="B54" t="inlineStr">
        <is>
          <t>avverkningsanmälan</t>
        </is>
      </c>
      <c r="C54" t="inlineStr">
        <is>
          <t>Föryngringsavverkning</t>
        </is>
      </c>
      <c r="D54" s="1" t="n">
        <v>45393</v>
      </c>
      <c r="E54" s="1" t="n">
        <v>46321</v>
      </c>
      <c r="F54" t="inlineStr">
        <is>
          <t>GOTLANDS LÄN</t>
        </is>
      </c>
      <c r="G54" t="inlineStr">
        <is>
          <t>GOTLAND</t>
        </is>
      </c>
      <c r="I54" t="n">
        <v>2.4</v>
      </c>
      <c r="J54" t="n">
        <v>10</v>
      </c>
      <c r="K54" t="n">
        <v>4</v>
      </c>
      <c r="L54" t="n">
        <v>6</v>
      </c>
      <c r="M54" t="n">
        <v>0</v>
      </c>
      <c r="N54" t="n">
        <v>0</v>
      </c>
      <c r="O54" t="n">
        <v>0</v>
      </c>
      <c r="P54" t="n">
        <v>0</v>
      </c>
      <c r="Q54" t="n">
        <v>6</v>
      </c>
      <c r="R54" t="n">
        <v>0</v>
      </c>
      <c r="S54" t="n">
        <v>14</v>
      </c>
      <c r="T54" t="n">
        <v>125</v>
      </c>
      <c r="U54" t="n">
        <v>110</v>
      </c>
      <c r="V54" s="2" t="inlineStr">
        <is>
          <t>Dårgräsfjäril
Entita
Grönsångare
Smedbock
Svinrot
Ängsskära
Blåmossa
Nästrot
Skogsknipprot
Tvåblad
Blåsippa
Spillkråka
Fläcknycklar
Nattviol</t>
        </is>
      </c>
      <c r="W54">
        <f>HYPERLINK("https://klasma.github.io/Logging_0980/artfynd/A 14354-2024 artfynd.xlsx", "A 14354-2024")</f>
        <v/>
      </c>
      <c r="X54">
        <f>HYPERLINK("https://klasma.github.io/Logging_0980/kartor/A 14354-2024 karta.png", "A 14354-2024")</f>
        <v/>
      </c>
      <c r="Y54">
        <f>HYPERLINK("https://klasma.github.io/Logging_0980/kartor_geotiff/A 14354-2024 georefererad karta.tif", "A 14354-2024")</f>
        <v/>
      </c>
      <c r="AA54">
        <f>HYPERLINK("https://klasma.github.io/Logging_0980/klagomål/A 14354-2024 FSC-klagomål.docx", "A 14354-2024")</f>
        <v/>
      </c>
      <c r="AB54">
        <f>HYPERLINK("https://klasma.github.io/Logging_0980/klagomålsmail/A 14354-2024 FSC-klagomål mail.docx", "A 14354-2024")</f>
        <v/>
      </c>
      <c r="AC54">
        <f>HYPERLINK("https://klasma.github.io/Logging_0980/tillsyn/A 14354-2024 tillsynsbegäran.docx", "A 14354-2024")</f>
        <v/>
      </c>
      <c r="AD54">
        <f>HYPERLINK("https://klasma.github.io/Logging_0980/tillsynsmail/A 14354-2024 tillsynsbegäran mail.docx", "A 14354-2024")</f>
        <v/>
      </c>
      <c r="AE54">
        <f>HYPERLINK("https://klasma.github.io/Logging_0980/fåglar/A 14354-2024 prioriterade fågelarter.docx", "A 14354-2024")</f>
        <v/>
      </c>
    </row>
    <row r="55" ht="15" customHeight="1">
      <c r="A55" t="inlineStr">
        <is>
          <t>A 10274-2026</t>
        </is>
      </c>
      <c r="B55" t="inlineStr">
        <is>
          <t>avverkningsanmälan</t>
        </is>
      </c>
      <c r="C55" t="inlineStr">
        <is>
          <t>Föryngringsavverkning</t>
        </is>
      </c>
      <c r="D55" s="1" t="n">
        <v>46076</v>
      </c>
      <c r="E55" s="1" t="n">
        <v>46321</v>
      </c>
      <c r="F55" t="inlineStr">
        <is>
          <t>GOTLANDS LÄN</t>
        </is>
      </c>
      <c r="G55" t="inlineStr">
        <is>
          <t>GOTLAND</t>
        </is>
      </c>
      <c r="I55" t="n">
        <v>9.800000000000001</v>
      </c>
      <c r="J55" t="n">
        <v>6</v>
      </c>
      <c r="K55" t="n">
        <v>3</v>
      </c>
      <c r="L55" t="n">
        <v>5</v>
      </c>
      <c r="M55" t="n">
        <v>2</v>
      </c>
      <c r="N55" t="n">
        <v>0</v>
      </c>
      <c r="O55" t="n">
        <v>0</v>
      </c>
      <c r="P55" t="n">
        <v>0</v>
      </c>
      <c r="Q55" t="n">
        <v>7</v>
      </c>
      <c r="R55" t="n">
        <v>2</v>
      </c>
      <c r="S55" t="n">
        <v>14</v>
      </c>
      <c r="T55" t="n">
        <v>45</v>
      </c>
      <c r="U55" t="n">
        <v>39</v>
      </c>
      <c r="V55" s="2" t="inlineStr">
        <is>
          <t>Garderönn
Gråfingerört
Backstarr
Backtimjan
Dårgräsfjäril
Reliktbock
Vippärt
Axag
Grönpyrola
Kragjordstjärna
Spillkråka
Alvarstånds
Nattviol
Sankt pers nycklar</t>
        </is>
      </c>
      <c r="W55">
        <f>HYPERLINK("https://klasma.github.io/Logging_0980/artfynd/A 10274-2026 artfynd.xlsx", "A 10274-2026")</f>
        <v/>
      </c>
      <c r="X55">
        <f>HYPERLINK("https://klasma.github.io/Logging_0980/kartor/A 10274-2026 karta.png", "A 10274-2026")</f>
        <v/>
      </c>
      <c r="Y55">
        <f>HYPERLINK("https://klasma.github.io/Logging_0980/kartor_geotiff/A 10274-2026 georefererad karta.tif", "A 10274-2026")</f>
        <v/>
      </c>
      <c r="AA55">
        <f>HYPERLINK("https://klasma.github.io/Logging_0980/klagomål/A 10274-2026 FSC-klagomål.docx", "A 10274-2026")</f>
        <v/>
      </c>
      <c r="AB55">
        <f>HYPERLINK("https://klasma.github.io/Logging_0980/klagomålsmail/A 10274-2026 FSC-klagomål mail.docx", "A 10274-2026")</f>
        <v/>
      </c>
      <c r="AC55">
        <f>HYPERLINK("https://klasma.github.io/Logging_0980/tillsyn/A 10274-2026 tillsynsbegäran.docx", "A 10274-2026")</f>
        <v/>
      </c>
      <c r="AD55">
        <f>HYPERLINK("https://klasma.github.io/Logging_0980/tillsynsmail/A 10274-2026 tillsynsbegäran mail.docx", "A 10274-2026")</f>
        <v/>
      </c>
      <c r="AE55">
        <f>HYPERLINK("https://klasma.github.io/Logging_0980/fåglar/A 10274-2026 prioriterade fågelarter.docx", "A 10274-2026")</f>
        <v/>
      </c>
    </row>
    <row r="56" ht="15" customHeight="1">
      <c r="A56" t="inlineStr">
        <is>
          <t>A 27168-2022</t>
        </is>
      </c>
      <c r="B56" t="inlineStr">
        <is>
          <t>avverkningsanmälan</t>
        </is>
      </c>
      <c r="C56" t="inlineStr">
        <is>
          <t>Föryngringsavverkning</t>
        </is>
      </c>
      <c r="D56" s="1" t="n">
        <v>44741</v>
      </c>
      <c r="E56" s="1" t="n">
        <v>46321</v>
      </c>
      <c r="F56" t="inlineStr">
        <is>
          <t>GOTLANDS LÄN</t>
        </is>
      </c>
      <c r="G56" t="inlineStr">
        <is>
          <t>GOTLAND</t>
        </is>
      </c>
      <c r="I56" t="n">
        <v>2.2</v>
      </c>
      <c r="J56" t="n">
        <v>9</v>
      </c>
      <c r="K56" t="n">
        <v>4</v>
      </c>
      <c r="L56" t="n">
        <v>2</v>
      </c>
      <c r="M56" t="n">
        <v>2</v>
      </c>
      <c r="N56" t="n">
        <v>0</v>
      </c>
      <c r="O56" t="n">
        <v>0</v>
      </c>
      <c r="P56" t="n">
        <v>0</v>
      </c>
      <c r="Q56" t="n">
        <v>4</v>
      </c>
      <c r="R56" t="n">
        <v>2</v>
      </c>
      <c r="S56" t="n">
        <v>13</v>
      </c>
      <c r="T56" t="n">
        <v>29</v>
      </c>
      <c r="U56" t="n">
        <v>29</v>
      </c>
      <c r="V56" s="2" t="inlineStr">
        <is>
          <t>Bredbrämad bastardsvärmare
Gotlandsmåra
Solvända
Svinrot
Purpurknipprot
Skogsknipprot
Tvåblad
Vit skogslilja
Citronfläckad kärrtrollslända
Brudsporre
Fläcknycklar
Kärrknipprot
Nattviol</t>
        </is>
      </c>
      <c r="W56">
        <f>HYPERLINK("https://klasma.github.io/Logging_0980/artfynd/A 27168-2022 artfynd.xlsx", "A 27168-2022")</f>
        <v/>
      </c>
      <c r="X56">
        <f>HYPERLINK("https://klasma.github.io/Logging_0980/kartor/A 27168-2022 karta.png", "A 27168-2022")</f>
        <v/>
      </c>
      <c r="Y56">
        <f>HYPERLINK("https://klasma.github.io/Logging_0980/kartor_geotiff/A 27168-2022 georefererad karta.tif", "A 27168-2022")</f>
        <v/>
      </c>
      <c r="AA56">
        <f>HYPERLINK("https://klasma.github.io/Logging_0980/klagomål/A 27168-2022 FSC-klagomål.docx", "A 27168-2022")</f>
        <v/>
      </c>
      <c r="AB56">
        <f>HYPERLINK("https://klasma.github.io/Logging_0980/klagomålsmail/A 27168-2022 FSC-klagomål mail.docx", "A 27168-2022")</f>
        <v/>
      </c>
      <c r="AC56">
        <f>HYPERLINK("https://klasma.github.io/Logging_0980/tillsyn/A 27168-2022 tillsynsbegäran.docx", "A 27168-2022")</f>
        <v/>
      </c>
      <c r="AD56">
        <f>HYPERLINK("https://klasma.github.io/Logging_0980/tillsynsmail/A 27168-2022 tillsynsbegäran mail.docx", "A 27168-2022")</f>
        <v/>
      </c>
    </row>
    <row r="57" ht="15" customHeight="1">
      <c r="A57" t="inlineStr">
        <is>
          <t>A 6052-2024</t>
        </is>
      </c>
      <c r="B57" t="inlineStr">
        <is>
          <t>avverkningsanmälan</t>
        </is>
      </c>
      <c r="C57" t="inlineStr">
        <is>
          <t>Föryngringsavverkning</t>
        </is>
      </c>
      <c r="D57" s="1" t="n">
        <v>45336</v>
      </c>
      <c r="E57" s="1" t="n">
        <v>46321</v>
      </c>
      <c r="F57" t="inlineStr">
        <is>
          <t>GOTLANDS LÄN</t>
        </is>
      </c>
      <c r="G57" t="inlineStr">
        <is>
          <t>GOTLAND</t>
        </is>
      </c>
      <c r="I57" t="n">
        <v>10.3</v>
      </c>
      <c r="J57" t="n">
        <v>1</v>
      </c>
      <c r="K57" t="n">
        <v>3</v>
      </c>
      <c r="L57" t="n">
        <v>7</v>
      </c>
      <c r="M57" t="n">
        <v>2</v>
      </c>
      <c r="N57" t="n">
        <v>0</v>
      </c>
      <c r="O57" t="n">
        <v>0</v>
      </c>
      <c r="P57" t="n">
        <v>0</v>
      </c>
      <c r="Q57" t="n">
        <v>9</v>
      </c>
      <c r="R57" t="n">
        <v>2</v>
      </c>
      <c r="S57" t="n">
        <v>12</v>
      </c>
      <c r="T57" t="n">
        <v>14</v>
      </c>
      <c r="U57" t="n">
        <v>3</v>
      </c>
      <c r="V57" s="2" t="inlineStr">
        <is>
          <t>Lansettfibbla
Narrspindling
Ladlav
Odörspindling
Smedbock
Svinrot
Tallticka
Vippärt
Vårärt
Anisspindling
Nästrot
Olivspindling</t>
        </is>
      </c>
      <c r="W57">
        <f>HYPERLINK("https://klasma.github.io/Logging_0980/artfynd/A 6052-2024 artfynd.xlsx", "A 6052-2024")</f>
        <v/>
      </c>
      <c r="X57">
        <f>HYPERLINK("https://klasma.github.io/Logging_0980/kartor/A 6052-2024 karta.png", "A 6052-2024")</f>
        <v/>
      </c>
      <c r="Y57">
        <f>HYPERLINK("https://klasma.github.io/Logging_0980/kartor_geotiff/A 6052-2024 georefererad karta.tif", "A 6052-2024")</f>
        <v/>
      </c>
      <c r="AA57">
        <f>HYPERLINK("https://klasma.github.io/Logging_0980/klagomål/A 6052-2024 FSC-klagomål.docx", "A 6052-2024")</f>
        <v/>
      </c>
      <c r="AB57">
        <f>HYPERLINK("https://klasma.github.io/Logging_0980/klagomålsmail/A 6052-2024 FSC-klagomål mail.docx", "A 6052-2024")</f>
        <v/>
      </c>
      <c r="AC57">
        <f>HYPERLINK("https://klasma.github.io/Logging_0980/tillsyn/A 6052-2024 tillsynsbegäran.docx", "A 6052-2024")</f>
        <v/>
      </c>
      <c r="AD57">
        <f>HYPERLINK("https://klasma.github.io/Logging_0980/tillsynsmail/A 6052-2024 tillsynsbegäran mail.docx", "A 6052-2024")</f>
        <v/>
      </c>
    </row>
    <row r="58" ht="15" customHeight="1">
      <c r="A58" t="inlineStr">
        <is>
          <t>A 28287-2024</t>
        </is>
      </c>
      <c r="B58" t="inlineStr">
        <is>
          <t>avverkningsanmälan</t>
        </is>
      </c>
      <c r="C58" t="inlineStr">
        <is>
          <t>Avverkning för annat ändamål</t>
        </is>
      </c>
      <c r="D58" s="1" t="n">
        <v>45477</v>
      </c>
      <c r="E58" s="1" t="n">
        <v>46321</v>
      </c>
      <c r="F58" t="inlineStr">
        <is>
          <t>GOTLANDS LÄN</t>
        </is>
      </c>
      <c r="G58" t="inlineStr">
        <is>
          <t>GOTLAND</t>
        </is>
      </c>
      <c r="I58" t="n">
        <v>23.4</v>
      </c>
      <c r="J58" t="n">
        <v>2</v>
      </c>
      <c r="K58" t="n">
        <v>0</v>
      </c>
      <c r="L58" t="n">
        <v>10</v>
      </c>
      <c r="M58" t="n">
        <v>0</v>
      </c>
      <c r="N58" t="n">
        <v>1</v>
      </c>
      <c r="O58" t="n">
        <v>0</v>
      </c>
      <c r="P58" t="n">
        <v>0</v>
      </c>
      <c r="Q58" t="n">
        <v>11</v>
      </c>
      <c r="R58" t="n">
        <v>1</v>
      </c>
      <c r="S58" t="n">
        <v>12</v>
      </c>
      <c r="T58" t="n">
        <v>112</v>
      </c>
      <c r="U58" t="n">
        <v>111</v>
      </c>
      <c r="V58" s="2" t="inlineStr">
        <is>
          <t>Ask
Axveronika
Backtimjan
Flentimotej
Gulsparv
Jordtistel
Piggtistel
Silversmygare
Smedbock
Solvända
Vårstarr
Blåsippa</t>
        </is>
      </c>
      <c r="W58">
        <f>HYPERLINK("https://klasma.github.io/Logging_0980/artfynd/A 28287-2024 artfynd.xlsx", "A 28287-2024")</f>
        <v/>
      </c>
      <c r="X58">
        <f>HYPERLINK("https://klasma.github.io/Logging_0980/kartor/A 28287-2024 karta.png", "A 28287-2024")</f>
        <v/>
      </c>
      <c r="Y58">
        <f>HYPERLINK("https://klasma.github.io/Logging_0980/kartor_geotiff/A 28287-2024 georefererad karta.tif", "A 28287-2024")</f>
        <v/>
      </c>
      <c r="AA58">
        <f>HYPERLINK("https://klasma.github.io/Logging_0980/klagomål/A 28287-2024 FSC-klagomål.docx", "A 28287-2024")</f>
        <v/>
      </c>
      <c r="AB58">
        <f>HYPERLINK("https://klasma.github.io/Logging_0980/klagomålsmail/A 28287-2024 FSC-klagomål mail.docx", "A 28287-2024")</f>
        <v/>
      </c>
      <c r="AC58">
        <f>HYPERLINK("https://klasma.github.io/Logging_0980/tillsyn/A 28287-2024 tillsynsbegäran.docx", "A 28287-2024")</f>
        <v/>
      </c>
      <c r="AD58">
        <f>HYPERLINK("https://klasma.github.io/Logging_0980/tillsynsmail/A 28287-2024 tillsynsbegäran mail.docx", "A 28287-2024")</f>
        <v/>
      </c>
      <c r="AE58">
        <f>HYPERLINK("https://klasma.github.io/Logging_0980/fåglar/A 28287-2024 prioriterade fågelarter.docx", "A 28287-2024")</f>
        <v/>
      </c>
    </row>
    <row r="59" ht="15" customHeight="1">
      <c r="A59" t="inlineStr">
        <is>
          <t>A 17766-2024</t>
        </is>
      </c>
      <c r="B59" t="inlineStr">
        <is>
          <t>avverkningsanmälan</t>
        </is>
      </c>
      <c r="C59" t="inlineStr">
        <is>
          <t>Föryngringsavverkning</t>
        </is>
      </c>
      <c r="D59" s="1" t="n">
        <v>45418</v>
      </c>
      <c r="E59" s="1" t="n">
        <v>46321</v>
      </c>
      <c r="F59" t="inlineStr">
        <is>
          <t>GOTLANDS LÄN</t>
        </is>
      </c>
      <c r="G59" t="inlineStr">
        <is>
          <t>GOTLAND</t>
        </is>
      </c>
      <c r="I59" t="n">
        <v>1.3</v>
      </c>
      <c r="J59" t="n">
        <v>2</v>
      </c>
      <c r="K59" t="n">
        <v>3</v>
      </c>
      <c r="L59" t="n">
        <v>3</v>
      </c>
      <c r="M59" t="n">
        <v>5</v>
      </c>
      <c r="N59" t="n">
        <v>1</v>
      </c>
      <c r="O59" t="n">
        <v>0</v>
      </c>
      <c r="P59" t="n">
        <v>0</v>
      </c>
      <c r="Q59" t="n">
        <v>9</v>
      </c>
      <c r="R59" t="n">
        <v>6</v>
      </c>
      <c r="S59" t="n">
        <v>12</v>
      </c>
      <c r="T59" t="n">
        <v>47</v>
      </c>
      <c r="U59" t="n">
        <v>24</v>
      </c>
      <c r="V59" s="2" t="inlineStr">
        <is>
          <t>Svartnande fingersvamp
Bredbrämad bastardsvärmare
Gråfingerört
Gulsträngad fagerspindling
Naveljordstjärna
Svartfläckig blåvinge
Fyrflikig jordstjärna
Timjansnyltrot
Vippärt
Besk kastanjemusseron
Kragjordstjärna
Rödgul trumpetsvamp</t>
        </is>
      </c>
      <c r="W59">
        <f>HYPERLINK("https://klasma.github.io/Logging_0980/artfynd/A 17766-2024 artfynd.xlsx", "A 17766-2024")</f>
        <v/>
      </c>
      <c r="X59">
        <f>HYPERLINK("https://klasma.github.io/Logging_0980/kartor/A 17766-2024 karta.png", "A 17766-2024")</f>
        <v/>
      </c>
      <c r="Y59">
        <f>HYPERLINK("https://klasma.github.io/Logging_0980/kartor_geotiff/A 17766-2024 georefererad karta.tif", "A 17766-2024")</f>
        <v/>
      </c>
      <c r="AA59">
        <f>HYPERLINK("https://klasma.github.io/Logging_0980/klagomål/A 17766-2024 FSC-klagomål.docx", "A 17766-2024")</f>
        <v/>
      </c>
      <c r="AB59">
        <f>HYPERLINK("https://klasma.github.io/Logging_0980/klagomålsmail/A 17766-2024 FSC-klagomål mail.docx", "A 17766-2024")</f>
        <v/>
      </c>
      <c r="AC59">
        <f>HYPERLINK("https://klasma.github.io/Logging_0980/tillsyn/A 17766-2024 tillsynsbegäran.docx", "A 17766-2024")</f>
        <v/>
      </c>
      <c r="AD59">
        <f>HYPERLINK("https://klasma.github.io/Logging_0980/tillsynsmail/A 17766-2024 tillsynsbegäran mail.docx", "A 17766-2024")</f>
        <v/>
      </c>
    </row>
    <row r="60" ht="15" customHeight="1">
      <c r="A60" t="inlineStr">
        <is>
          <t>A 42201-2023</t>
        </is>
      </c>
      <c r="B60" t="inlineStr">
        <is>
          <t>avverkningsanmälan</t>
        </is>
      </c>
      <c r="C60" t="inlineStr">
        <is>
          <t>Föryngringsavverkning</t>
        </is>
      </c>
      <c r="D60" s="1" t="n">
        <v>45179</v>
      </c>
      <c r="E60" s="1" t="n">
        <v>46321</v>
      </c>
      <c r="F60" t="inlineStr">
        <is>
          <t>GOTLANDS LÄN</t>
        </is>
      </c>
      <c r="G60" t="inlineStr">
        <is>
          <t>GOTLAND</t>
        </is>
      </c>
      <c r="I60" t="n">
        <v>11.9</v>
      </c>
      <c r="J60" t="n">
        <v>1</v>
      </c>
      <c r="K60" t="n">
        <v>4</v>
      </c>
      <c r="L60" t="n">
        <v>4</v>
      </c>
      <c r="M60" t="n">
        <v>4</v>
      </c>
      <c r="N60" t="n">
        <v>0</v>
      </c>
      <c r="O60" t="n">
        <v>0</v>
      </c>
      <c r="P60" t="n">
        <v>0</v>
      </c>
      <c r="Q60" t="n">
        <v>8</v>
      </c>
      <c r="R60" t="n">
        <v>4</v>
      </c>
      <c r="S60" t="n">
        <v>12</v>
      </c>
      <c r="T60" t="n">
        <v>56</v>
      </c>
      <c r="U60" t="n">
        <v>56</v>
      </c>
      <c r="V60" s="2" t="inlineStr">
        <is>
          <t>Gulsträngad fagerspindling
Mörkfjällig olivspindling
Narrspindling
Violettfläckig spindling
Motaggsvamp
Odörspindling
Puderspindling
Äggspindling
Anisspindling
Olivspindling
Skogsknipprot
Svavelriska</t>
        </is>
      </c>
      <c r="W60">
        <f>HYPERLINK("https://klasma.github.io/Logging_0980/artfynd/A 42201-2023 artfynd.xlsx", "A 42201-2023")</f>
        <v/>
      </c>
      <c r="X60">
        <f>HYPERLINK("https://klasma.github.io/Logging_0980/kartor/A 42201-2023 karta.png", "A 42201-2023")</f>
        <v/>
      </c>
      <c r="Y60">
        <f>HYPERLINK("https://klasma.github.io/Logging_0980/kartor_geotiff/A 42201-2023 georefererad karta.tif", "A 42201-2023")</f>
        <v/>
      </c>
      <c r="AA60">
        <f>HYPERLINK("https://klasma.github.io/Logging_0980/klagomål/A 42201-2023 FSC-klagomål.docx", "A 42201-2023")</f>
        <v/>
      </c>
      <c r="AB60">
        <f>HYPERLINK("https://klasma.github.io/Logging_0980/klagomålsmail/A 42201-2023 FSC-klagomål mail.docx", "A 42201-2023")</f>
        <v/>
      </c>
      <c r="AC60">
        <f>HYPERLINK("https://klasma.github.io/Logging_0980/tillsyn/A 42201-2023 tillsynsbegäran.docx", "A 42201-2023")</f>
        <v/>
      </c>
      <c r="AD60">
        <f>HYPERLINK("https://klasma.github.io/Logging_0980/tillsynsmail/A 42201-2023 tillsynsbegäran mail.docx", "A 42201-2023")</f>
        <v/>
      </c>
    </row>
    <row r="61" ht="15" customHeight="1">
      <c r="A61" t="inlineStr">
        <is>
          <t>A 34809-2024</t>
        </is>
      </c>
      <c r="B61" t="inlineStr">
        <is>
          <t>avverkningsanmälan</t>
        </is>
      </c>
      <c r="C61" t="inlineStr">
        <is>
          <t>Föryngringsavverkning</t>
        </is>
      </c>
      <c r="D61" s="1" t="n">
        <v>45526</v>
      </c>
      <c r="E61" s="1" t="n">
        <v>46321</v>
      </c>
      <c r="F61" t="inlineStr">
        <is>
          <t>GOTLANDS LÄN</t>
        </is>
      </c>
      <c r="G61" t="inlineStr">
        <is>
          <t>GOTLAND</t>
        </is>
      </c>
      <c r="I61" t="n">
        <v>9.9</v>
      </c>
      <c r="J61" t="n">
        <v>1</v>
      </c>
      <c r="K61" t="n">
        <v>3</v>
      </c>
      <c r="L61" t="n">
        <v>4</v>
      </c>
      <c r="M61" t="n">
        <v>5</v>
      </c>
      <c r="N61" t="n">
        <v>0</v>
      </c>
      <c r="O61" t="n">
        <v>0</v>
      </c>
      <c r="P61" t="n">
        <v>0</v>
      </c>
      <c r="Q61" t="n">
        <v>9</v>
      </c>
      <c r="R61" t="n">
        <v>5</v>
      </c>
      <c r="S61" t="n">
        <v>12</v>
      </c>
      <c r="T61" t="n">
        <v>39</v>
      </c>
      <c r="U61" t="n">
        <v>38</v>
      </c>
      <c r="V61" s="2" t="inlineStr">
        <is>
          <t>Granrotspindling
Gulsträngad fagerspindling
Narrspindling
Trollspindling
Vit taggsvamp
Blå slemspindling
Brun ögontröst
Flattoppad klubbsvamp
Odörspindling
Anisspindling
Besk kastanjemusseron
Svavelriska</t>
        </is>
      </c>
      <c r="W61">
        <f>HYPERLINK("https://klasma.github.io/Logging_0980/artfynd/A 34809-2024 artfynd.xlsx", "A 34809-2024")</f>
        <v/>
      </c>
      <c r="X61">
        <f>HYPERLINK("https://klasma.github.io/Logging_0980/kartor/A 34809-2024 karta.png", "A 34809-2024")</f>
        <v/>
      </c>
      <c r="Y61">
        <f>HYPERLINK("https://klasma.github.io/Logging_0980/kartor_geotiff/A 34809-2024 georefererad karta.tif", "A 34809-2024")</f>
        <v/>
      </c>
      <c r="AA61">
        <f>HYPERLINK("https://klasma.github.io/Logging_0980/klagomål/A 34809-2024 FSC-klagomål.docx", "A 34809-2024")</f>
        <v/>
      </c>
      <c r="AB61">
        <f>HYPERLINK("https://klasma.github.io/Logging_0980/klagomålsmail/A 34809-2024 FSC-klagomål mail.docx", "A 34809-2024")</f>
        <v/>
      </c>
      <c r="AC61">
        <f>HYPERLINK("https://klasma.github.io/Logging_0980/tillsyn/A 34809-2024 tillsynsbegäran.docx", "A 34809-2024")</f>
        <v/>
      </c>
      <c r="AD61">
        <f>HYPERLINK("https://klasma.github.io/Logging_0980/tillsynsmail/A 34809-2024 tillsynsbegäran mail.docx", "A 34809-2024")</f>
        <v/>
      </c>
    </row>
    <row r="62" ht="15" customHeight="1">
      <c r="A62" t="inlineStr">
        <is>
          <t>A 2649-2023</t>
        </is>
      </c>
      <c r="B62" t="inlineStr">
        <is>
          <t>avverkningsanmälan</t>
        </is>
      </c>
      <c r="C62" t="inlineStr">
        <is>
          <t>Föryngringsavverkning</t>
        </is>
      </c>
      <c r="D62" s="1" t="n">
        <v>44943</v>
      </c>
      <c r="E62" s="1" t="n">
        <v>46321</v>
      </c>
      <c r="F62" t="inlineStr">
        <is>
          <t>GOTLANDS LÄN</t>
        </is>
      </c>
      <c r="G62" t="inlineStr">
        <is>
          <t>GOTLAND</t>
        </is>
      </c>
      <c r="I62" t="n">
        <v>2.6</v>
      </c>
      <c r="J62" t="n">
        <v>1</v>
      </c>
      <c r="K62" t="n">
        <v>2</v>
      </c>
      <c r="L62" t="n">
        <v>2</v>
      </c>
      <c r="M62" t="n">
        <v>7</v>
      </c>
      <c r="N62" t="n">
        <v>0</v>
      </c>
      <c r="O62" t="n">
        <v>0</v>
      </c>
      <c r="P62" t="n">
        <v>0</v>
      </c>
      <c r="Q62" t="n">
        <v>9</v>
      </c>
      <c r="R62" t="n">
        <v>7</v>
      </c>
      <c r="S62" t="n">
        <v>11</v>
      </c>
      <c r="T62" t="n">
        <v>32</v>
      </c>
      <c r="U62" t="n">
        <v>14</v>
      </c>
      <c r="V62" s="2" t="inlineStr">
        <is>
          <t>Duvspindling
Garderönn
Granrotspindling
Gul lammticka
Gulsträngad fagerspindling
Svartgrön spindling
Violettfläckig spindling
Blå slemspindling
Svinrot
Anisspindling
Olivspindling</t>
        </is>
      </c>
      <c r="W62">
        <f>HYPERLINK("https://klasma.github.io/Logging_0980/artfynd/A 2649-2023 artfynd.xlsx", "A 2649-2023")</f>
        <v/>
      </c>
      <c r="X62">
        <f>HYPERLINK("https://klasma.github.io/Logging_0980/kartor/A 2649-2023 karta.png", "A 2649-2023")</f>
        <v/>
      </c>
      <c r="Y62">
        <f>HYPERLINK("https://klasma.github.io/Logging_0980/kartor_geotiff/A 2649-2023 georefererad karta.tif", "A 2649-2023")</f>
        <v/>
      </c>
      <c r="AA62">
        <f>HYPERLINK("https://klasma.github.io/Logging_0980/klagomål/A 2649-2023 FSC-klagomål.docx", "A 2649-2023")</f>
        <v/>
      </c>
      <c r="AB62">
        <f>HYPERLINK("https://klasma.github.io/Logging_0980/klagomålsmail/A 2649-2023 FSC-klagomål mail.docx", "A 2649-2023")</f>
        <v/>
      </c>
      <c r="AC62">
        <f>HYPERLINK("https://klasma.github.io/Logging_0980/tillsyn/A 2649-2023 tillsynsbegäran.docx", "A 2649-2023")</f>
        <v/>
      </c>
      <c r="AD62">
        <f>HYPERLINK("https://klasma.github.io/Logging_0980/tillsynsmail/A 2649-2023 tillsynsbegäran mail.docx", "A 2649-2023")</f>
        <v/>
      </c>
    </row>
    <row r="63" ht="15" customHeight="1">
      <c r="A63" t="inlineStr">
        <is>
          <t>A 20307-2025</t>
        </is>
      </c>
      <c r="B63" t="inlineStr">
        <is>
          <t>avverkningsanmälan</t>
        </is>
      </c>
      <c r="C63" t="inlineStr">
        <is>
          <t>Föryngringsavverkning</t>
        </is>
      </c>
      <c r="D63" s="1" t="n">
        <v>45774</v>
      </c>
      <c r="E63" s="1" t="n">
        <v>46321</v>
      </c>
      <c r="F63" t="inlineStr">
        <is>
          <t>GOTLANDS LÄN</t>
        </is>
      </c>
      <c r="G63" t="inlineStr">
        <is>
          <t>GOTLAND</t>
        </is>
      </c>
      <c r="I63" t="n">
        <v>6.8</v>
      </c>
      <c r="J63" t="n">
        <v>0</v>
      </c>
      <c r="K63" t="n">
        <v>4</v>
      </c>
      <c r="L63" t="n">
        <v>5</v>
      </c>
      <c r="M63" t="n">
        <v>2</v>
      </c>
      <c r="N63" t="n">
        <v>0</v>
      </c>
      <c r="O63" t="n">
        <v>0</v>
      </c>
      <c r="P63" t="n">
        <v>0</v>
      </c>
      <c r="Q63" t="n">
        <v>7</v>
      </c>
      <c r="R63" t="n">
        <v>2</v>
      </c>
      <c r="S63" t="n">
        <v>11</v>
      </c>
      <c r="T63" t="n">
        <v>58</v>
      </c>
      <c r="U63" t="n">
        <v>58</v>
      </c>
      <c r="V63" s="2" t="inlineStr">
        <is>
          <t>Gulsträngad fagerspindling
Trollspindling
Barrfagerspindling
Blå slemspindling
Fjällig taggsvamp s.str.
Odörspindling
Skarp dropptaggsvamp
Anisspindling
Olivspindling
Rödgul trumpetsvamp
Svavelriska</t>
        </is>
      </c>
      <c r="W63">
        <f>HYPERLINK("https://klasma.github.io/Logging_0980/artfynd/A 20307-2025 artfynd.xlsx", "A 20307-2025")</f>
        <v/>
      </c>
      <c r="X63">
        <f>HYPERLINK("https://klasma.github.io/Logging_0980/kartor/A 20307-2025 karta.png", "A 20307-2025")</f>
        <v/>
      </c>
      <c r="Y63">
        <f>HYPERLINK("https://klasma.github.io/Logging_0980/kartor_geotiff/A 20307-2025 georefererad karta.tif", "A 20307-2025")</f>
        <v/>
      </c>
      <c r="AA63">
        <f>HYPERLINK("https://klasma.github.io/Logging_0980/klagomål/A 20307-2025 FSC-klagomål.docx", "A 20307-2025")</f>
        <v/>
      </c>
      <c r="AB63">
        <f>HYPERLINK("https://klasma.github.io/Logging_0980/klagomålsmail/A 20307-2025 FSC-klagomål mail.docx", "A 20307-2025")</f>
        <v/>
      </c>
      <c r="AC63">
        <f>HYPERLINK("https://klasma.github.io/Logging_0980/tillsyn/A 20307-2025 tillsynsbegäran.docx", "A 20307-2025")</f>
        <v/>
      </c>
      <c r="AD63">
        <f>HYPERLINK("https://klasma.github.io/Logging_0980/tillsynsmail/A 20307-2025 tillsynsbegäran mail.docx", "A 20307-2025")</f>
        <v/>
      </c>
    </row>
    <row r="64" ht="15" customHeight="1">
      <c r="A64" t="inlineStr">
        <is>
          <t>A 27280-2023</t>
        </is>
      </c>
      <c r="B64" t="inlineStr">
        <is>
          <t>avverkningsanmälan</t>
        </is>
      </c>
      <c r="C64" t="inlineStr">
        <is>
          <t>Föryngringsavverkning</t>
        </is>
      </c>
      <c r="D64" s="1" t="n">
        <v>45096</v>
      </c>
      <c r="E64" s="1" t="n">
        <v>46321</v>
      </c>
      <c r="F64" t="inlineStr">
        <is>
          <t>GOTLANDS LÄN</t>
        </is>
      </c>
      <c r="G64" t="inlineStr">
        <is>
          <t>GOTLAND</t>
        </is>
      </c>
      <c r="I64" t="n">
        <v>2.7</v>
      </c>
      <c r="J64" t="n">
        <v>11</v>
      </c>
      <c r="K64" t="n">
        <v>2</v>
      </c>
      <c r="L64" t="n">
        <v>2</v>
      </c>
      <c r="M64" t="n">
        <v>1</v>
      </c>
      <c r="N64" t="n">
        <v>1</v>
      </c>
      <c r="O64" t="n">
        <v>0</v>
      </c>
      <c r="P64" t="n">
        <v>0</v>
      </c>
      <c r="Q64" t="n">
        <v>4</v>
      </c>
      <c r="R64" t="n">
        <v>2</v>
      </c>
      <c r="S64" t="n">
        <v>11</v>
      </c>
      <c r="T64" t="n">
        <v>14</v>
      </c>
      <c r="U64" t="n">
        <v>14</v>
      </c>
      <c r="V64" s="2" t="inlineStr">
        <is>
          <t>Sommargylling
Stare
Björktrast
Mindre hackspett
Skogsknipprot
Tvåblad
Spillkråka
Brudsporre
Fläcknycklar
Grönvit nattviol
Nattviol</t>
        </is>
      </c>
      <c r="W64">
        <f>HYPERLINK("https://klasma.github.io/Logging_0980/artfynd/A 27280-2023 artfynd.xlsx", "A 27280-2023")</f>
        <v/>
      </c>
      <c r="X64">
        <f>HYPERLINK("https://klasma.github.io/Logging_0980/kartor/A 27280-2023 karta.png", "A 27280-2023")</f>
        <v/>
      </c>
      <c r="Y64">
        <f>HYPERLINK("https://klasma.github.io/Logging_0980/kartor_geotiff/A 27280-2023 georefererad karta.tif", "A 27280-2023")</f>
        <v/>
      </c>
      <c r="AA64">
        <f>HYPERLINK("https://klasma.github.io/Logging_0980/klagomål/A 27280-2023 FSC-klagomål.docx", "A 27280-2023")</f>
        <v/>
      </c>
      <c r="AB64">
        <f>HYPERLINK("https://klasma.github.io/Logging_0980/klagomålsmail/A 27280-2023 FSC-klagomål mail.docx", "A 27280-2023")</f>
        <v/>
      </c>
      <c r="AC64">
        <f>HYPERLINK("https://klasma.github.io/Logging_0980/tillsyn/A 27280-2023 tillsynsbegäran.docx", "A 27280-2023")</f>
        <v/>
      </c>
      <c r="AD64">
        <f>HYPERLINK("https://klasma.github.io/Logging_0980/tillsynsmail/A 27280-2023 tillsynsbegäran mail.docx", "A 27280-2023")</f>
        <v/>
      </c>
      <c r="AE64">
        <f>HYPERLINK("https://klasma.github.io/Logging_0980/fåglar/A 27280-2023 prioriterade fågelarter.docx", "A 27280-2023")</f>
        <v/>
      </c>
    </row>
    <row r="65" ht="15" customHeight="1">
      <c r="A65" t="inlineStr">
        <is>
          <t>S 160-2026</t>
        </is>
      </c>
      <c r="B65" t="inlineStr">
        <is>
          <t>samrådsanmälan</t>
        </is>
      </c>
      <c r="C65" t="inlineStr">
        <is>
          <t>Annan skogsbruksåtgärd</t>
        </is>
      </c>
      <c r="D65" s="1" t="n">
        <v>46044</v>
      </c>
      <c r="E65" s="1" t="n">
        <v>46321</v>
      </c>
      <c r="F65" t="inlineStr">
        <is>
          <t>GOTLANDS LÄN</t>
        </is>
      </c>
      <c r="G65" t="inlineStr">
        <is>
          <t>GOTLAND</t>
        </is>
      </c>
      <c r="I65" t="n">
        <v>16.2</v>
      </c>
      <c r="J65" t="n">
        <v>1</v>
      </c>
      <c r="K65" t="n">
        <v>3</v>
      </c>
      <c r="L65" t="n">
        <v>5</v>
      </c>
      <c r="M65" t="n">
        <v>2</v>
      </c>
      <c r="N65" t="n">
        <v>0</v>
      </c>
      <c r="O65" t="n">
        <v>0</v>
      </c>
      <c r="P65" t="n">
        <v>0</v>
      </c>
      <c r="Q65" t="n">
        <v>7</v>
      </c>
      <c r="R65" t="n">
        <v>2</v>
      </c>
      <c r="S65" t="n">
        <v>11</v>
      </c>
      <c r="T65" t="n">
        <v>26</v>
      </c>
      <c r="U65" t="n">
        <v>7</v>
      </c>
      <c r="V65" s="2" t="inlineStr">
        <is>
          <t>Djävulssopp
Igelkott
Bleknande kamskivling
Oxtungssvamp
Rotsopp
Skugglosta
Svinrot
Hasselsopp
Strävlosta
Underviol
Kråka</t>
        </is>
      </c>
      <c r="W65">
        <f>HYPERLINK("https://klasma.github.io/Logging_0980/artfynd/S 160-2026 artfynd.xlsx", "S 160-2026")</f>
        <v/>
      </c>
      <c r="X65">
        <f>HYPERLINK("https://klasma.github.io/Logging_0980/kartor/S 160-2026 karta.png", "S 160-2026")</f>
        <v/>
      </c>
      <c r="Y65">
        <f>HYPERLINK("https://klasma.github.io/Logging_0980/kartor_geotiff/S 160-2026 georefererad karta.tif", "S 160-2026")</f>
        <v/>
      </c>
      <c r="AA65">
        <f>HYPERLINK("https://klasma.github.io/Logging_0980/klagomål/S 160-2026 FSC-klagomål.docx", "S 160-2026")</f>
        <v/>
      </c>
      <c r="AB65">
        <f>HYPERLINK("https://klasma.github.io/Logging_0980/klagomålsmail/S 160-2026 FSC-klagomål mail.docx", "S 160-2026")</f>
        <v/>
      </c>
      <c r="AC65">
        <f>HYPERLINK("https://klasma.github.io/Logging_0980/tillsyn/S 160-2026 tillsynsbegäran.docx", "S 160-2026")</f>
        <v/>
      </c>
      <c r="AD65">
        <f>HYPERLINK("https://klasma.github.io/Logging_0980/tillsynsmail/S 160-2026 tillsynsbegäran mail.docx", "S 160-2026")</f>
        <v/>
      </c>
    </row>
    <row r="66" ht="15" customHeight="1">
      <c r="A66" t="inlineStr">
        <is>
          <t>A 66091-2021</t>
        </is>
      </c>
      <c r="B66" t="inlineStr">
        <is>
          <t>avverkningsanmälan</t>
        </is>
      </c>
      <c r="C66" t="inlineStr">
        <is>
          <t>Avverkning för annat ändamål</t>
        </is>
      </c>
      <c r="D66" s="1" t="n">
        <v>44517</v>
      </c>
      <c r="E66" s="1" t="n">
        <v>46321</v>
      </c>
      <c r="F66" t="inlineStr">
        <is>
          <t>GOTLANDS LÄN</t>
        </is>
      </c>
      <c r="G66" t="inlineStr">
        <is>
          <t>GOTLAND</t>
        </is>
      </c>
      <c r="I66" t="n">
        <v>11.7</v>
      </c>
      <c r="J66" t="n">
        <v>5</v>
      </c>
      <c r="K66" t="n">
        <v>1</v>
      </c>
      <c r="L66" t="n">
        <v>5</v>
      </c>
      <c r="M66" t="n">
        <v>0</v>
      </c>
      <c r="N66" t="n">
        <v>1</v>
      </c>
      <c r="O66" t="n">
        <v>0</v>
      </c>
      <c r="P66" t="n">
        <v>0</v>
      </c>
      <c r="Q66" t="n">
        <v>6</v>
      </c>
      <c r="R66" t="n">
        <v>1</v>
      </c>
      <c r="S66" t="n">
        <v>10</v>
      </c>
      <c r="T66" t="n">
        <v>10</v>
      </c>
      <c r="U66" t="n">
        <v>5</v>
      </c>
      <c r="V66" s="2" t="inlineStr">
        <is>
          <t>Pärluggla
Axveronika
Göktyta
Kattfotslav
Solvända
Säfferot
Havstulpanlav
Nattskärra
Trädlärka
Salepsrot</t>
        </is>
      </c>
      <c r="W66">
        <f>HYPERLINK("https://klasma.github.io/Logging_0980/artfynd/A 66091-2021 artfynd.xlsx", "A 66091-2021")</f>
        <v/>
      </c>
      <c r="X66">
        <f>HYPERLINK("https://klasma.github.io/Logging_0980/kartor/A 66091-2021 karta.png", "A 66091-2021")</f>
        <v/>
      </c>
      <c r="Y66">
        <f>HYPERLINK("https://klasma.github.io/Logging_0980/kartor_geotiff/A 66091-2021 georefererad karta.tif", "A 66091-2021")</f>
        <v/>
      </c>
      <c r="AA66">
        <f>HYPERLINK("https://klasma.github.io/Logging_0980/klagomål/A 66091-2021 FSC-klagomål.docx", "A 66091-2021")</f>
        <v/>
      </c>
      <c r="AB66">
        <f>HYPERLINK("https://klasma.github.io/Logging_0980/klagomålsmail/A 66091-2021 FSC-klagomål mail.docx", "A 66091-2021")</f>
        <v/>
      </c>
      <c r="AC66">
        <f>HYPERLINK("https://klasma.github.io/Logging_0980/tillsyn/A 66091-2021 tillsynsbegäran.docx", "A 66091-2021")</f>
        <v/>
      </c>
      <c r="AD66">
        <f>HYPERLINK("https://klasma.github.io/Logging_0980/tillsynsmail/A 66091-2021 tillsynsbegäran mail.docx", "A 66091-2021")</f>
        <v/>
      </c>
      <c r="AE66">
        <f>HYPERLINK("https://klasma.github.io/Logging_0980/fåglar/A 66091-2021 prioriterade fågelarter.docx", "A 66091-2021")</f>
        <v/>
      </c>
    </row>
    <row r="67" ht="15" customHeight="1">
      <c r="A67" t="inlineStr">
        <is>
          <t>A 186-2023</t>
        </is>
      </c>
      <c r="B67" t="inlineStr">
        <is>
          <t>avverkningsanmälan</t>
        </is>
      </c>
      <c r="C67" t="inlineStr">
        <is>
          <t>Föryngringsavverkning</t>
        </is>
      </c>
      <c r="D67" s="1" t="n">
        <v>44928</v>
      </c>
      <c r="E67" s="1" t="n">
        <v>46321</v>
      </c>
      <c r="F67" t="inlineStr">
        <is>
          <t>GOTLANDS LÄN</t>
        </is>
      </c>
      <c r="G67" t="inlineStr">
        <is>
          <t>GOTLAND</t>
        </is>
      </c>
      <c r="I67" t="n">
        <v>2.2</v>
      </c>
      <c r="J67" t="n">
        <v>2</v>
      </c>
      <c r="K67" t="n">
        <v>4</v>
      </c>
      <c r="L67" t="n">
        <v>4</v>
      </c>
      <c r="M67" t="n">
        <v>2</v>
      </c>
      <c r="N67" t="n">
        <v>0</v>
      </c>
      <c r="O67" t="n">
        <v>0</v>
      </c>
      <c r="P67" t="n">
        <v>0</v>
      </c>
      <c r="Q67" t="n">
        <v>6</v>
      </c>
      <c r="R67" t="n">
        <v>2</v>
      </c>
      <c r="S67" t="n">
        <v>10</v>
      </c>
      <c r="T67" t="n">
        <v>11</v>
      </c>
      <c r="U67" t="n">
        <v>6</v>
      </c>
      <c r="V67" s="2" t="inlineStr">
        <is>
          <t>Svartgrön spindling
Vit taggsvamp
Blå slemspindling
Bronspraktbagge
Odörspindling
Smedbock
Anisspindling
Mindre märgborre
Nästrot
Skogsknipprot</t>
        </is>
      </c>
      <c r="W67">
        <f>HYPERLINK("https://klasma.github.io/Logging_0980/artfynd/A 186-2023 artfynd.xlsx", "A 186-2023")</f>
        <v/>
      </c>
      <c r="X67">
        <f>HYPERLINK("https://klasma.github.io/Logging_0980/kartor/A 186-2023 karta.png", "A 186-2023")</f>
        <v/>
      </c>
      <c r="Y67">
        <f>HYPERLINK("https://klasma.github.io/Logging_0980/kartor_geotiff/A 186-2023 georefererad karta.tif", "A 186-2023")</f>
        <v/>
      </c>
      <c r="AA67">
        <f>HYPERLINK("https://klasma.github.io/Logging_0980/klagomål/A 186-2023 FSC-klagomål.docx", "A 186-2023")</f>
        <v/>
      </c>
      <c r="AB67">
        <f>HYPERLINK("https://klasma.github.io/Logging_0980/klagomålsmail/A 186-2023 FSC-klagomål mail.docx", "A 186-2023")</f>
        <v/>
      </c>
      <c r="AC67">
        <f>HYPERLINK("https://klasma.github.io/Logging_0980/tillsyn/A 186-2023 tillsynsbegäran.docx", "A 186-2023")</f>
        <v/>
      </c>
      <c r="AD67">
        <f>HYPERLINK("https://klasma.github.io/Logging_0980/tillsynsmail/A 186-2023 tillsynsbegäran mail.docx", "A 186-2023")</f>
        <v/>
      </c>
    </row>
    <row r="68" ht="15" customHeight="1">
      <c r="A68" t="inlineStr">
        <is>
          <t>A 32326-2024</t>
        </is>
      </c>
      <c r="B68" t="inlineStr">
        <is>
          <t>avverkningsanmälan</t>
        </is>
      </c>
      <c r="C68" t="inlineStr">
        <is>
          <t>Föryngringsavverkning</t>
        </is>
      </c>
      <c r="D68" s="1" t="n">
        <v>45512</v>
      </c>
      <c r="E68" s="1" t="n">
        <v>46321</v>
      </c>
      <c r="F68" t="inlineStr">
        <is>
          <t>GOTLANDS LÄN</t>
        </is>
      </c>
      <c r="G68" t="inlineStr">
        <is>
          <t>GOTLAND</t>
        </is>
      </c>
      <c r="I68" t="n">
        <v>9.199999999999999</v>
      </c>
      <c r="J68" t="n">
        <v>4</v>
      </c>
      <c r="K68" t="n">
        <v>2</v>
      </c>
      <c r="L68" t="n">
        <v>5</v>
      </c>
      <c r="M68" t="n">
        <v>1</v>
      </c>
      <c r="N68" t="n">
        <v>0</v>
      </c>
      <c r="O68" t="n">
        <v>0</v>
      </c>
      <c r="P68" t="n">
        <v>0</v>
      </c>
      <c r="Q68" t="n">
        <v>6</v>
      </c>
      <c r="R68" t="n">
        <v>1</v>
      </c>
      <c r="S68" t="n">
        <v>10</v>
      </c>
      <c r="T68" t="n">
        <v>41</v>
      </c>
      <c r="U68" t="n">
        <v>40</v>
      </c>
      <c r="V68" s="2" t="inlineStr">
        <is>
          <t>Tallgångbagge
Backruta
Backtimjan
Jordtistel
Svinrot
Säfferot
Purpurknipprot
Skogsknipprot
Nattskärra
Brudsporre</t>
        </is>
      </c>
      <c r="W68">
        <f>HYPERLINK("https://klasma.github.io/Logging_0980/artfynd/A 32326-2024 artfynd.xlsx", "A 32326-2024")</f>
        <v/>
      </c>
      <c r="X68">
        <f>HYPERLINK("https://klasma.github.io/Logging_0980/kartor/A 32326-2024 karta.png", "A 32326-2024")</f>
        <v/>
      </c>
      <c r="Y68">
        <f>HYPERLINK("https://klasma.github.io/Logging_0980/kartor_geotiff/A 32326-2024 georefererad karta.tif", "A 32326-2024")</f>
        <v/>
      </c>
      <c r="AA68">
        <f>HYPERLINK("https://klasma.github.io/Logging_0980/klagomål/A 32326-2024 FSC-klagomål.docx", "A 32326-2024")</f>
        <v/>
      </c>
      <c r="AB68">
        <f>HYPERLINK("https://klasma.github.io/Logging_0980/klagomålsmail/A 32326-2024 FSC-klagomål mail.docx", "A 32326-2024")</f>
        <v/>
      </c>
      <c r="AC68">
        <f>HYPERLINK("https://klasma.github.io/Logging_0980/tillsyn/A 32326-2024 tillsynsbegäran.docx", "A 32326-2024")</f>
        <v/>
      </c>
      <c r="AD68">
        <f>HYPERLINK("https://klasma.github.io/Logging_0980/tillsynsmail/A 32326-2024 tillsynsbegäran mail.docx", "A 32326-2024")</f>
        <v/>
      </c>
      <c r="AE68">
        <f>HYPERLINK("https://klasma.github.io/Logging_0980/fåglar/A 32326-2024 prioriterade fågelarter.docx", "A 32326-2024")</f>
        <v/>
      </c>
    </row>
    <row r="69" ht="15" customHeight="1">
      <c r="A69" t="inlineStr">
        <is>
          <t>A 30892-2024</t>
        </is>
      </c>
      <c r="B69" t="inlineStr">
        <is>
          <t>avverkningsanmälan</t>
        </is>
      </c>
      <c r="C69" t="inlineStr">
        <is>
          <t>Föryngringsavverkning</t>
        </is>
      </c>
      <c r="D69" s="1" t="n">
        <v>45491</v>
      </c>
      <c r="E69" s="1" t="n">
        <v>46321</v>
      </c>
      <c r="F69" t="inlineStr">
        <is>
          <t>GOTLANDS LÄN</t>
        </is>
      </c>
      <c r="G69" t="inlineStr">
        <is>
          <t>GOTLAND</t>
        </is>
      </c>
      <c r="I69" t="n">
        <v>6.1</v>
      </c>
      <c r="J69" t="n">
        <v>0</v>
      </c>
      <c r="K69" t="n">
        <v>3</v>
      </c>
      <c r="L69" t="n">
        <v>2</v>
      </c>
      <c r="M69" t="n">
        <v>4</v>
      </c>
      <c r="N69" t="n">
        <v>0</v>
      </c>
      <c r="O69" t="n">
        <v>0</v>
      </c>
      <c r="P69" t="n">
        <v>0</v>
      </c>
      <c r="Q69" t="n">
        <v>6</v>
      </c>
      <c r="R69" t="n">
        <v>4</v>
      </c>
      <c r="S69" t="n">
        <v>10</v>
      </c>
      <c r="T69" t="n">
        <v>26</v>
      </c>
      <c r="U69" t="n">
        <v>26</v>
      </c>
      <c r="V69" s="2" t="inlineStr">
        <is>
          <t>Blårödling
Gulsträngad fagerspindling
Svartgrön spindling
Trollspindling
Flattoppad klubbsvamp
Odörspindling
Anisspindling
Rödgul trumpetsvamp
Svavelriska
Kransmossa</t>
        </is>
      </c>
      <c r="W69">
        <f>HYPERLINK("https://klasma.github.io/Logging_0980/artfynd/A 30892-2024 artfynd.xlsx", "A 30892-2024")</f>
        <v/>
      </c>
      <c r="X69">
        <f>HYPERLINK("https://klasma.github.io/Logging_0980/kartor/A 30892-2024 karta.png", "A 30892-2024")</f>
        <v/>
      </c>
      <c r="Y69">
        <f>HYPERLINK("https://klasma.github.io/Logging_0980/kartor_geotiff/A 30892-2024 georefererad karta.tif", "A 30892-2024")</f>
        <v/>
      </c>
      <c r="AA69">
        <f>HYPERLINK("https://klasma.github.io/Logging_0980/klagomål/A 30892-2024 FSC-klagomål.docx", "A 30892-2024")</f>
        <v/>
      </c>
      <c r="AB69">
        <f>HYPERLINK("https://klasma.github.io/Logging_0980/klagomålsmail/A 30892-2024 FSC-klagomål mail.docx", "A 30892-2024")</f>
        <v/>
      </c>
      <c r="AC69">
        <f>HYPERLINK("https://klasma.github.io/Logging_0980/tillsyn/A 30892-2024 tillsynsbegäran.docx", "A 30892-2024")</f>
        <v/>
      </c>
      <c r="AD69">
        <f>HYPERLINK("https://klasma.github.io/Logging_0980/tillsynsmail/A 30892-2024 tillsynsbegäran mail.docx", "A 30892-2024")</f>
        <v/>
      </c>
    </row>
    <row r="70" ht="15" customHeight="1">
      <c r="A70" t="inlineStr">
        <is>
          <t>A 22404-2024</t>
        </is>
      </c>
      <c r="B70" t="inlineStr">
        <is>
          <t>avverkningsanmälan</t>
        </is>
      </c>
      <c r="C70" t="inlineStr">
        <is>
          <t>Avverkning för annat ändamål</t>
        </is>
      </c>
      <c r="D70" s="1" t="n">
        <v>45446</v>
      </c>
      <c r="E70" s="1" t="n">
        <v>46321</v>
      </c>
      <c r="F70" t="inlineStr">
        <is>
          <t>GOTLANDS LÄN</t>
        </is>
      </c>
      <c r="G70" t="inlineStr">
        <is>
          <t>GOTLAND</t>
        </is>
      </c>
      <c r="I70" t="n">
        <v>11.4</v>
      </c>
      <c r="J70" t="n">
        <v>3</v>
      </c>
      <c r="K70" t="n">
        <v>5</v>
      </c>
      <c r="L70" t="n">
        <v>2</v>
      </c>
      <c r="M70" t="n">
        <v>3</v>
      </c>
      <c r="N70" t="n">
        <v>0</v>
      </c>
      <c r="O70" t="n">
        <v>0</v>
      </c>
      <c r="P70" t="n">
        <v>0</v>
      </c>
      <c r="Q70" t="n">
        <v>5</v>
      </c>
      <c r="R70" t="n">
        <v>3</v>
      </c>
      <c r="S70" t="n">
        <v>10</v>
      </c>
      <c r="T70" t="n">
        <v>10</v>
      </c>
      <c r="U70" t="n">
        <v>3</v>
      </c>
      <c r="V70" s="2" t="inlineStr">
        <is>
          <t>Blåfotad fagerspindling
Bullspindling
Vit taggsvamp
Barrfagerspindling
Blå slemspindling
Flugblomster
Purpurknipprot
Rödgul trumpetsvamp
Svavelriska
Tvåblad</t>
        </is>
      </c>
      <c r="W70">
        <f>HYPERLINK("https://klasma.github.io/Logging_0980/artfynd/A 22404-2024 artfynd.xlsx", "A 22404-2024")</f>
        <v/>
      </c>
      <c r="X70">
        <f>HYPERLINK("https://klasma.github.io/Logging_0980/kartor/A 22404-2024 karta.png", "A 22404-2024")</f>
        <v/>
      </c>
      <c r="Y70">
        <f>HYPERLINK("https://klasma.github.io/Logging_0980/kartor_geotiff/A 22404-2024 georefererad karta.tif", "A 22404-2024")</f>
        <v/>
      </c>
      <c r="AA70">
        <f>HYPERLINK("https://klasma.github.io/Logging_0980/klagomål/A 22404-2024 FSC-klagomål.docx", "A 22404-2024")</f>
        <v/>
      </c>
      <c r="AB70">
        <f>HYPERLINK("https://klasma.github.io/Logging_0980/klagomålsmail/A 22404-2024 FSC-klagomål mail.docx", "A 22404-2024")</f>
        <v/>
      </c>
      <c r="AC70">
        <f>HYPERLINK("https://klasma.github.io/Logging_0980/tillsyn/A 22404-2024 tillsynsbegäran.docx", "A 22404-2024")</f>
        <v/>
      </c>
      <c r="AD70">
        <f>HYPERLINK("https://klasma.github.io/Logging_0980/tillsynsmail/A 22404-2024 tillsynsbegäran mail.docx", "A 22404-2024")</f>
        <v/>
      </c>
    </row>
    <row r="71" ht="15" customHeight="1">
      <c r="A71" t="inlineStr">
        <is>
          <t>A 45248-2024</t>
        </is>
      </c>
      <c r="B71" t="inlineStr">
        <is>
          <t>avverkningsanmälan</t>
        </is>
      </c>
      <c r="C71" t="inlineStr">
        <is>
          <t>Avverkning för annat ändamål</t>
        </is>
      </c>
      <c r="D71" s="1" t="n">
        <v>45576</v>
      </c>
      <c r="E71" s="1" t="n">
        <v>46321</v>
      </c>
      <c r="F71" t="inlineStr">
        <is>
          <t>GOTLANDS LÄN</t>
        </is>
      </c>
      <c r="G71" t="inlineStr">
        <is>
          <t>GOTLAND</t>
        </is>
      </c>
      <c r="I71" t="n">
        <v>9.4</v>
      </c>
      <c r="J71" t="n">
        <v>0</v>
      </c>
      <c r="K71" t="n">
        <v>5</v>
      </c>
      <c r="L71" t="n">
        <v>3</v>
      </c>
      <c r="M71" t="n">
        <v>0</v>
      </c>
      <c r="N71" t="n">
        <v>2</v>
      </c>
      <c r="O71" t="n">
        <v>0</v>
      </c>
      <c r="P71" t="n">
        <v>0</v>
      </c>
      <c r="Q71" t="n">
        <v>5</v>
      </c>
      <c r="R71" t="n">
        <v>2</v>
      </c>
      <c r="S71" t="n">
        <v>10</v>
      </c>
      <c r="T71" t="n">
        <v>11</v>
      </c>
      <c r="U71" t="n">
        <v>9</v>
      </c>
      <c r="V71" s="2" t="inlineStr">
        <is>
          <t>Ask
Lundalm
Blå slemspindling
Mjölspindling
Oxtungssvamp
Bolmörtsskivling
Myskmadra
Stinkbrosking
Toppvaxing
Underviol</t>
        </is>
      </c>
      <c r="W71">
        <f>HYPERLINK("https://klasma.github.io/Logging_0980/artfynd/A 45248-2024 artfynd.xlsx", "A 45248-2024")</f>
        <v/>
      </c>
      <c r="X71">
        <f>HYPERLINK("https://klasma.github.io/Logging_0980/kartor/A 45248-2024 karta.png", "A 45248-2024")</f>
        <v/>
      </c>
      <c r="Y71">
        <f>HYPERLINK("https://klasma.github.io/Logging_0980/kartor_geotiff/A 45248-2024 georefererad karta.tif", "A 45248-2024")</f>
        <v/>
      </c>
      <c r="AA71">
        <f>HYPERLINK("https://klasma.github.io/Logging_0980/klagomål/A 45248-2024 FSC-klagomål.docx", "A 45248-2024")</f>
        <v/>
      </c>
      <c r="AB71">
        <f>HYPERLINK("https://klasma.github.io/Logging_0980/klagomålsmail/A 45248-2024 FSC-klagomål mail.docx", "A 45248-2024")</f>
        <v/>
      </c>
      <c r="AC71">
        <f>HYPERLINK("https://klasma.github.io/Logging_0980/tillsyn/A 45248-2024 tillsynsbegäran.docx", "A 45248-2024")</f>
        <v/>
      </c>
      <c r="AD71">
        <f>HYPERLINK("https://klasma.github.io/Logging_0980/tillsynsmail/A 45248-2024 tillsynsbegäran mail.docx", "A 45248-2024")</f>
        <v/>
      </c>
    </row>
    <row r="72" ht="15" customHeight="1">
      <c r="A72" t="inlineStr">
        <is>
          <t>A 4984-2025</t>
        </is>
      </c>
      <c r="B72" t="inlineStr">
        <is>
          <t>avverkningsanmälan</t>
        </is>
      </c>
      <c r="C72" t="inlineStr">
        <is>
          <t>Föryngringsavverkning</t>
        </is>
      </c>
      <c r="D72" s="1" t="n">
        <v>45691</v>
      </c>
      <c r="E72" s="1" t="n">
        <v>46321</v>
      </c>
      <c r="F72" t="inlineStr">
        <is>
          <t>GOTLANDS LÄN</t>
        </is>
      </c>
      <c r="G72" t="inlineStr">
        <is>
          <t>GOTLAND</t>
        </is>
      </c>
      <c r="I72" t="n">
        <v>1.3</v>
      </c>
      <c r="J72" t="n">
        <v>6</v>
      </c>
      <c r="K72" t="n">
        <v>2</v>
      </c>
      <c r="L72" t="n">
        <v>4</v>
      </c>
      <c r="M72" t="n">
        <v>0</v>
      </c>
      <c r="N72" t="n">
        <v>0</v>
      </c>
      <c r="O72" t="n">
        <v>0</v>
      </c>
      <c r="P72" t="n">
        <v>0</v>
      </c>
      <c r="Q72" t="n">
        <v>4</v>
      </c>
      <c r="R72" t="n">
        <v>0</v>
      </c>
      <c r="S72" t="n">
        <v>10</v>
      </c>
      <c r="T72" t="n">
        <v>32</v>
      </c>
      <c r="U72" t="n">
        <v>30</v>
      </c>
      <c r="V72" s="2" t="inlineStr">
        <is>
          <t>Gulsparv
Jordtistel
Sminkrot
Svinrot
Grönpyrola
Tvåblad
Ärtsångare
Brudsporre
Kärrknipprot
Nattviol</t>
        </is>
      </c>
      <c r="W72">
        <f>HYPERLINK("https://klasma.github.io/Logging_0980/artfynd/A 4984-2025 artfynd.xlsx", "A 4984-2025")</f>
        <v/>
      </c>
      <c r="X72">
        <f>HYPERLINK("https://klasma.github.io/Logging_0980/kartor/A 4984-2025 karta.png", "A 4984-2025")</f>
        <v/>
      </c>
      <c r="Y72">
        <f>HYPERLINK("https://klasma.github.io/Logging_0980/kartor_geotiff/A 4984-2025 georefererad karta.tif", "A 4984-2025")</f>
        <v/>
      </c>
      <c r="AA72">
        <f>HYPERLINK("https://klasma.github.io/Logging_0980/klagomål/A 4984-2025 FSC-klagomål.docx", "A 4984-2025")</f>
        <v/>
      </c>
      <c r="AB72">
        <f>HYPERLINK("https://klasma.github.io/Logging_0980/klagomålsmail/A 4984-2025 FSC-klagomål mail.docx", "A 4984-2025")</f>
        <v/>
      </c>
      <c r="AC72">
        <f>HYPERLINK("https://klasma.github.io/Logging_0980/tillsyn/A 4984-2025 tillsynsbegäran.docx", "A 4984-2025")</f>
        <v/>
      </c>
      <c r="AD72">
        <f>HYPERLINK("https://klasma.github.io/Logging_0980/tillsynsmail/A 4984-2025 tillsynsbegäran mail.docx", "A 4984-2025")</f>
        <v/>
      </c>
      <c r="AE72">
        <f>HYPERLINK("https://klasma.github.io/Logging_0980/fåglar/A 4984-2025 prioriterade fågelarter.docx", "A 4984-2025")</f>
        <v/>
      </c>
    </row>
    <row r="73" ht="15" customHeight="1">
      <c r="A73" t="inlineStr">
        <is>
          <t>A 44117-2026</t>
        </is>
      </c>
      <c r="B73" t="inlineStr">
        <is>
          <t>avverkningsanmälan</t>
        </is>
      </c>
      <c r="C73" t="inlineStr">
        <is>
          <t>Föryngringsavverkning</t>
        </is>
      </c>
      <c r="D73" s="1" t="n">
        <v>46318</v>
      </c>
      <c r="E73" s="1" t="n">
        <v>46321</v>
      </c>
      <c r="F73" t="inlineStr">
        <is>
          <t>GOTLANDS LÄN</t>
        </is>
      </c>
      <c r="G73" t="inlineStr">
        <is>
          <t>GOTLAND</t>
        </is>
      </c>
      <c r="I73" t="n">
        <v>16.3</v>
      </c>
      <c r="J73" t="n">
        <v>5</v>
      </c>
      <c r="K73" t="n">
        <v>4</v>
      </c>
      <c r="L73" t="n">
        <v>3</v>
      </c>
      <c r="M73" t="n">
        <v>2</v>
      </c>
      <c r="N73" t="n">
        <v>0</v>
      </c>
      <c r="O73" t="n">
        <v>0</v>
      </c>
      <c r="P73" t="n">
        <v>0</v>
      </c>
      <c r="Q73" t="n">
        <v>5</v>
      </c>
      <c r="R73" t="n">
        <v>2</v>
      </c>
      <c r="S73" t="n">
        <v>10</v>
      </c>
      <c r="T73" t="n">
        <v>15</v>
      </c>
      <c r="U73" t="n">
        <v>0</v>
      </c>
      <c r="V73" s="2" t="inlineStr">
        <is>
          <t>Honungsblomster
Ryl
Blå slemspindling
Jordtistel
Odörspindling
Flugblomster
Nästrot
Rödgul trumpetsvamp
Skogsknipprot
Fläcknycklar</t>
        </is>
      </c>
      <c r="W73">
        <f>HYPERLINK("https://klasma.github.io/Logging_0980/artfynd/A 44117-2026 artfynd.xlsx", "A 44117-2026")</f>
        <v/>
      </c>
      <c r="X73">
        <f>HYPERLINK("https://klasma.github.io/Logging_0980/kartor/A 44117-2026 karta.png", "A 44117-2026")</f>
        <v/>
      </c>
      <c r="Y73">
        <f>HYPERLINK("https://klasma.github.io/Logging_0980/kartor_geotiff/A 44117-2026 georefererad karta.tif", "A 44117-2026")</f>
        <v/>
      </c>
      <c r="AA73">
        <f>HYPERLINK("https://klasma.github.io/Logging_0980/klagomål/A 44117-2026 FSC-klagomål.docx", "A 44117-2026")</f>
        <v/>
      </c>
      <c r="AB73">
        <f>HYPERLINK("https://klasma.github.io/Logging_0980/klagomålsmail/A 44117-2026 FSC-klagomål mail.docx", "A 44117-2026")</f>
        <v/>
      </c>
      <c r="AC73">
        <f>HYPERLINK("https://klasma.github.io/Logging_0980/tillsyn/A 44117-2026 tillsynsbegäran.docx", "A 44117-2026")</f>
        <v/>
      </c>
      <c r="AD73">
        <f>HYPERLINK("https://klasma.github.io/Logging_0980/tillsynsmail/A 44117-2026 tillsynsbegäran mail.docx", "A 44117-2026")</f>
        <v/>
      </c>
    </row>
    <row r="74" ht="15" customHeight="1">
      <c r="A74" t="inlineStr">
        <is>
          <t>A 18541-2024</t>
        </is>
      </c>
      <c r="B74" t="inlineStr">
        <is>
          <t>avverkningsanmälan</t>
        </is>
      </c>
      <c r="C74" t="inlineStr">
        <is>
          <t>Föryngringsavverkning</t>
        </is>
      </c>
      <c r="D74" s="1" t="n">
        <v>45425</v>
      </c>
      <c r="E74" s="1" t="n">
        <v>46321</v>
      </c>
      <c r="F74" t="inlineStr">
        <is>
          <t>GOTLANDS LÄN</t>
        </is>
      </c>
      <c r="G74" t="inlineStr">
        <is>
          <t>GOTLAND</t>
        </is>
      </c>
      <c r="H74" t="inlineStr">
        <is>
          <t>Övriga statliga verk och myndigheter</t>
        </is>
      </c>
      <c r="I74" t="n">
        <v>2.2</v>
      </c>
      <c r="J74" t="n">
        <v>7</v>
      </c>
      <c r="K74" t="n">
        <v>2</v>
      </c>
      <c r="L74" t="n">
        <v>4</v>
      </c>
      <c r="M74" t="n">
        <v>1</v>
      </c>
      <c r="N74" t="n">
        <v>0</v>
      </c>
      <c r="O74" t="n">
        <v>0</v>
      </c>
      <c r="P74" t="n">
        <v>0</v>
      </c>
      <c r="Q74" t="n">
        <v>5</v>
      </c>
      <c r="R74" t="n">
        <v>1</v>
      </c>
      <c r="S74" t="n">
        <v>10</v>
      </c>
      <c r="T74" t="n">
        <v>26</v>
      </c>
      <c r="U74" t="n">
        <v>26</v>
      </c>
      <c r="V74" s="2" t="inlineStr">
        <is>
          <t>Garderönn
Backtimjan
Dårgräsfjäril
Solvända
Svinrot
Nästrot
Tvåblad
Kungsfågel
Skogsduva
Fläcknycklar</t>
        </is>
      </c>
      <c r="W74">
        <f>HYPERLINK("https://klasma.github.io/Logging_0980/artfynd/A 18541-2024 artfynd.xlsx", "A 18541-2024")</f>
        <v/>
      </c>
      <c r="X74">
        <f>HYPERLINK("https://klasma.github.io/Logging_0980/kartor/A 18541-2024 karta.png", "A 18541-2024")</f>
        <v/>
      </c>
      <c r="Y74">
        <f>HYPERLINK("https://klasma.github.io/Logging_0980/kartor_geotiff/A 18541-2024 georefererad karta.tif", "A 18541-2024")</f>
        <v/>
      </c>
      <c r="AA74">
        <f>HYPERLINK("https://klasma.github.io/Logging_0980/klagomål/A 18541-2024 FSC-klagomål.docx", "A 18541-2024")</f>
        <v/>
      </c>
      <c r="AB74">
        <f>HYPERLINK("https://klasma.github.io/Logging_0980/klagomålsmail/A 18541-2024 FSC-klagomål mail.docx", "A 18541-2024")</f>
        <v/>
      </c>
      <c r="AC74">
        <f>HYPERLINK("https://klasma.github.io/Logging_0980/tillsyn/A 18541-2024 tillsynsbegäran.docx", "A 18541-2024")</f>
        <v/>
      </c>
      <c r="AD74">
        <f>HYPERLINK("https://klasma.github.io/Logging_0980/tillsynsmail/A 18541-2024 tillsynsbegäran mail.docx", "A 18541-2024")</f>
        <v/>
      </c>
    </row>
    <row r="75" ht="15" customHeight="1">
      <c r="A75" t="inlineStr">
        <is>
          <t>A 44944-2022</t>
        </is>
      </c>
      <c r="B75" t="inlineStr">
        <is>
          <t>avverkningsanmälan</t>
        </is>
      </c>
      <c r="C75" t="inlineStr">
        <is>
          <t>Föryngringsavverkning</t>
        </is>
      </c>
      <c r="D75" s="1" t="n">
        <v>44841</v>
      </c>
      <c r="E75" s="1" t="n">
        <v>46321</v>
      </c>
      <c r="F75" t="inlineStr">
        <is>
          <t>GOTLANDS LÄN</t>
        </is>
      </c>
      <c r="G75" t="inlineStr">
        <is>
          <t>GOTLAND</t>
        </is>
      </c>
      <c r="I75" t="n">
        <v>2.8</v>
      </c>
      <c r="J75" t="n">
        <v>0</v>
      </c>
      <c r="K75" t="n">
        <v>3</v>
      </c>
      <c r="L75" t="n">
        <v>4</v>
      </c>
      <c r="M75" t="n">
        <v>2</v>
      </c>
      <c r="N75" t="n">
        <v>1</v>
      </c>
      <c r="O75" t="n">
        <v>0</v>
      </c>
      <c r="P75" t="n">
        <v>0</v>
      </c>
      <c r="Q75" t="n">
        <v>7</v>
      </c>
      <c r="R75" t="n">
        <v>3</v>
      </c>
      <c r="S75" t="n">
        <v>10</v>
      </c>
      <c r="T75" t="n">
        <v>13</v>
      </c>
      <c r="U75" t="n">
        <v>9</v>
      </c>
      <c r="V75" s="2" t="inlineStr">
        <is>
          <t>Sienamusseron
Bredbrämad bastardsvärmare
Gotlandsmåra
Axveronika
Denisespindling
Fjällig taggsvamp s.str.
Odörspindling
Anisspindling
Olivspindling
Rödgul trumpetsvamp</t>
        </is>
      </c>
      <c r="W75">
        <f>HYPERLINK("https://klasma.github.io/Logging_0980/artfynd/A 44944-2022 artfynd.xlsx", "A 44944-2022")</f>
        <v/>
      </c>
      <c r="X75">
        <f>HYPERLINK("https://klasma.github.io/Logging_0980/kartor/A 44944-2022 karta.png", "A 44944-2022")</f>
        <v/>
      </c>
      <c r="Y75">
        <f>HYPERLINK("https://klasma.github.io/Logging_0980/kartor_geotiff/A 44944-2022 georefererad karta.tif", "A 44944-2022")</f>
        <v/>
      </c>
      <c r="AA75">
        <f>HYPERLINK("https://klasma.github.io/Logging_0980/klagomål/A 44944-2022 FSC-klagomål.docx", "A 44944-2022")</f>
        <v/>
      </c>
      <c r="AB75">
        <f>HYPERLINK("https://klasma.github.io/Logging_0980/klagomålsmail/A 44944-2022 FSC-klagomål mail.docx", "A 44944-2022")</f>
        <v/>
      </c>
      <c r="AC75">
        <f>HYPERLINK("https://klasma.github.io/Logging_0980/tillsyn/A 44944-2022 tillsynsbegäran.docx", "A 44944-2022")</f>
        <v/>
      </c>
      <c r="AD75">
        <f>HYPERLINK("https://klasma.github.io/Logging_0980/tillsynsmail/A 44944-2022 tillsynsbegäran mail.docx", "A 44944-2022")</f>
        <v/>
      </c>
    </row>
    <row r="76" ht="15" customHeight="1">
      <c r="A76" t="inlineStr">
        <is>
          <t>A 55649-2024</t>
        </is>
      </c>
      <c r="B76" t="inlineStr">
        <is>
          <t>avverkningsanmälan</t>
        </is>
      </c>
      <c r="C76" t="inlineStr">
        <is>
          <t>Föryngringsavverkning</t>
        </is>
      </c>
      <c r="D76" s="1" t="n">
        <v>45622</v>
      </c>
      <c r="E76" s="1" t="n">
        <v>46321</v>
      </c>
      <c r="F76" t="inlineStr">
        <is>
          <t>GOTLANDS LÄN</t>
        </is>
      </c>
      <c r="G76" t="inlineStr">
        <is>
          <t>GOTLAND</t>
        </is>
      </c>
      <c r="I76" t="n">
        <v>4.6</v>
      </c>
      <c r="J76" t="n">
        <v>3</v>
      </c>
      <c r="K76" t="n">
        <v>1</v>
      </c>
      <c r="L76" t="n">
        <v>6</v>
      </c>
      <c r="M76" t="n">
        <v>0</v>
      </c>
      <c r="N76" t="n">
        <v>0</v>
      </c>
      <c r="O76" t="n">
        <v>0</v>
      </c>
      <c r="P76" t="n">
        <v>0</v>
      </c>
      <c r="Q76" t="n">
        <v>6</v>
      </c>
      <c r="R76" t="n">
        <v>0</v>
      </c>
      <c r="S76" t="n">
        <v>10</v>
      </c>
      <c r="T76" t="n">
        <v>20</v>
      </c>
      <c r="U76" t="n">
        <v>0</v>
      </c>
      <c r="V76" s="2" t="inlineStr">
        <is>
          <t>Backtimjan
Jordtistel
Jungfrulin
Solvända
Svinrot
Ängsnätfjäril
Guldlockmossa
Blåsippa
Sankt pers nycklar
Gullviva</t>
        </is>
      </c>
      <c r="W76">
        <f>HYPERLINK("https://klasma.github.io/Logging_0980/artfynd/A 55649-2024 artfynd.xlsx", "A 55649-2024")</f>
        <v/>
      </c>
      <c r="X76">
        <f>HYPERLINK("https://klasma.github.io/Logging_0980/kartor/A 55649-2024 karta.png", "A 55649-2024")</f>
        <v/>
      </c>
      <c r="Y76">
        <f>HYPERLINK("https://klasma.github.io/Logging_0980/kartor_geotiff/A 55649-2024 georefererad karta.tif", "A 55649-2024")</f>
        <v/>
      </c>
      <c r="AA76">
        <f>HYPERLINK("https://klasma.github.io/Logging_0980/klagomål/A 55649-2024 FSC-klagomål.docx", "A 55649-2024")</f>
        <v/>
      </c>
      <c r="AB76">
        <f>HYPERLINK("https://klasma.github.io/Logging_0980/klagomålsmail/A 55649-2024 FSC-klagomål mail.docx", "A 55649-2024")</f>
        <v/>
      </c>
      <c r="AC76">
        <f>HYPERLINK("https://klasma.github.io/Logging_0980/tillsyn/A 55649-2024 tillsynsbegäran.docx", "A 55649-2024")</f>
        <v/>
      </c>
      <c r="AD76">
        <f>HYPERLINK("https://klasma.github.io/Logging_0980/tillsynsmail/A 55649-2024 tillsynsbegäran mail.docx", "A 55649-2024")</f>
        <v/>
      </c>
    </row>
    <row r="77" ht="15" customHeight="1">
      <c r="A77" t="inlineStr">
        <is>
          <t>A 20833-2024</t>
        </is>
      </c>
      <c r="B77" t="inlineStr">
        <is>
          <t>avverkningsanmälan</t>
        </is>
      </c>
      <c r="C77" t="inlineStr">
        <is>
          <t>Föryngringsavverkning</t>
        </is>
      </c>
      <c r="D77" s="1" t="n">
        <v>45439</v>
      </c>
      <c r="E77" s="1" t="n">
        <v>46321</v>
      </c>
      <c r="F77" t="inlineStr">
        <is>
          <t>GOTLANDS LÄN</t>
        </is>
      </c>
      <c r="G77" t="inlineStr">
        <is>
          <t>GOTLAND</t>
        </is>
      </c>
      <c r="I77" t="n">
        <v>0.9</v>
      </c>
      <c r="J77" t="n">
        <v>5</v>
      </c>
      <c r="K77" t="n">
        <v>2</v>
      </c>
      <c r="L77" t="n">
        <v>5</v>
      </c>
      <c r="M77" t="n">
        <v>1</v>
      </c>
      <c r="N77" t="n">
        <v>0</v>
      </c>
      <c r="O77" t="n">
        <v>0</v>
      </c>
      <c r="P77" t="n">
        <v>0</v>
      </c>
      <c r="Q77" t="n">
        <v>6</v>
      </c>
      <c r="R77" t="n">
        <v>1</v>
      </c>
      <c r="S77" t="n">
        <v>9</v>
      </c>
      <c r="T77" t="n">
        <v>30</v>
      </c>
      <c r="U77" t="n">
        <v>30</v>
      </c>
      <c r="V77" s="2" t="inlineStr">
        <is>
          <t>Svartfläckig blåvinge
Backtimjan
Dårgräsfjäril
Jordtistel
Solvända
Svinrot
Skogsknipprot
Tvåblad
Spillkråka</t>
        </is>
      </c>
      <c r="W77">
        <f>HYPERLINK("https://klasma.github.io/Logging_0980/artfynd/A 20833-2024 artfynd.xlsx", "A 20833-2024")</f>
        <v/>
      </c>
      <c r="X77">
        <f>HYPERLINK("https://klasma.github.io/Logging_0980/kartor/A 20833-2024 karta.png", "A 20833-2024")</f>
        <v/>
      </c>
      <c r="Y77">
        <f>HYPERLINK("https://klasma.github.io/Logging_0980/kartor_geotiff/A 20833-2024 georefererad karta.tif", "A 20833-2024")</f>
        <v/>
      </c>
      <c r="AA77">
        <f>HYPERLINK("https://klasma.github.io/Logging_0980/klagomål/A 20833-2024 FSC-klagomål.docx", "A 20833-2024")</f>
        <v/>
      </c>
      <c r="AB77">
        <f>HYPERLINK("https://klasma.github.io/Logging_0980/klagomålsmail/A 20833-2024 FSC-klagomål mail.docx", "A 20833-2024")</f>
        <v/>
      </c>
      <c r="AC77">
        <f>HYPERLINK("https://klasma.github.io/Logging_0980/tillsyn/A 20833-2024 tillsynsbegäran.docx", "A 20833-2024")</f>
        <v/>
      </c>
      <c r="AD77">
        <f>HYPERLINK("https://klasma.github.io/Logging_0980/tillsynsmail/A 20833-2024 tillsynsbegäran mail.docx", "A 20833-2024")</f>
        <v/>
      </c>
      <c r="AE77">
        <f>HYPERLINK("https://klasma.github.io/Logging_0980/fåglar/A 20833-2024 prioriterade fågelarter.docx", "A 20833-2024")</f>
        <v/>
      </c>
    </row>
    <row r="78" ht="15" customHeight="1">
      <c r="A78" t="inlineStr">
        <is>
          <t>A 63152-2025</t>
        </is>
      </c>
      <c r="B78" t="inlineStr">
        <is>
          <t>avverkningsanmälan</t>
        </is>
      </c>
      <c r="C78" t="inlineStr">
        <is>
          <t>Föryngringsavverkning</t>
        </is>
      </c>
      <c r="D78" s="1" t="n">
        <v>46010</v>
      </c>
      <c r="E78" s="1" t="n">
        <v>46321</v>
      </c>
      <c r="F78" t="inlineStr">
        <is>
          <t>GOTLANDS LÄN</t>
        </is>
      </c>
      <c r="G78" t="inlineStr">
        <is>
          <t>GOTLAND</t>
        </is>
      </c>
      <c r="I78" t="n">
        <v>1.5</v>
      </c>
      <c r="J78" t="n">
        <v>4</v>
      </c>
      <c r="K78" t="n">
        <v>1</v>
      </c>
      <c r="L78" t="n">
        <v>5</v>
      </c>
      <c r="M78" t="n">
        <v>0</v>
      </c>
      <c r="N78" t="n">
        <v>0</v>
      </c>
      <c r="O78" t="n">
        <v>0</v>
      </c>
      <c r="P78" t="n">
        <v>0</v>
      </c>
      <c r="Q78" t="n">
        <v>5</v>
      </c>
      <c r="R78" t="n">
        <v>0</v>
      </c>
      <c r="S78" t="n">
        <v>9</v>
      </c>
      <c r="T78" t="n">
        <v>52</v>
      </c>
      <c r="U78" t="n">
        <v>52</v>
      </c>
      <c r="V78" s="2" t="inlineStr">
        <is>
          <t>Berggräsfjäril
Blekspindling agg.
Dårgräsfjäril
Odörspindling
Svinrot
Nästrot
Spillkråka
Sälg
Sankt pers nycklar</t>
        </is>
      </c>
      <c r="W78">
        <f>HYPERLINK("https://klasma.github.io/Logging_0980/artfynd/A 63152-2025 artfynd.xlsx", "A 63152-2025")</f>
        <v/>
      </c>
      <c r="X78">
        <f>HYPERLINK("https://klasma.github.io/Logging_0980/kartor/A 63152-2025 karta.png", "A 63152-2025")</f>
        <v/>
      </c>
      <c r="Y78">
        <f>HYPERLINK("https://klasma.github.io/Logging_0980/kartor_geotiff/A 63152-2025 georefererad karta.tif", "A 63152-2025")</f>
        <v/>
      </c>
      <c r="AA78">
        <f>HYPERLINK("https://klasma.github.io/Logging_0980/klagomål/A 63152-2025 FSC-klagomål.docx", "A 63152-2025")</f>
        <v/>
      </c>
      <c r="AB78">
        <f>HYPERLINK("https://klasma.github.io/Logging_0980/klagomålsmail/A 63152-2025 FSC-klagomål mail.docx", "A 63152-2025")</f>
        <v/>
      </c>
      <c r="AC78">
        <f>HYPERLINK("https://klasma.github.io/Logging_0980/tillsyn/A 63152-2025 tillsynsbegäran.docx", "A 63152-2025")</f>
        <v/>
      </c>
      <c r="AD78">
        <f>HYPERLINK("https://klasma.github.io/Logging_0980/tillsynsmail/A 63152-2025 tillsynsbegäran mail.docx", "A 63152-2025")</f>
        <v/>
      </c>
      <c r="AE78">
        <f>HYPERLINK("https://klasma.github.io/Logging_0980/fåglar/A 63152-2025 prioriterade fågelarter.docx", "A 63152-2025")</f>
        <v/>
      </c>
    </row>
    <row r="79" ht="15" customHeight="1">
      <c r="A79" t="inlineStr">
        <is>
          <t>A 17328-2026</t>
        </is>
      </c>
      <c r="B79" t="inlineStr">
        <is>
          <t>avverkningsanmälan</t>
        </is>
      </c>
      <c r="C79" t="inlineStr">
        <is>
          <t>Föryngringsavverkning</t>
        </is>
      </c>
      <c r="D79" s="1" t="n">
        <v>46119</v>
      </c>
      <c r="E79" s="1" t="n">
        <v>46321</v>
      </c>
      <c r="F79" t="inlineStr">
        <is>
          <t>GOTLANDS LÄN</t>
        </is>
      </c>
      <c r="G79" t="inlineStr">
        <is>
          <t>GOTLAND</t>
        </is>
      </c>
      <c r="H79" t="inlineStr">
        <is>
          <t>Kyrkan</t>
        </is>
      </c>
      <c r="I79" t="n">
        <v>4</v>
      </c>
      <c r="J79" t="n">
        <v>3</v>
      </c>
      <c r="K79" t="n">
        <v>0</v>
      </c>
      <c r="L79" t="n">
        <v>6</v>
      </c>
      <c r="M79" t="n">
        <v>1</v>
      </c>
      <c r="N79" t="n">
        <v>1</v>
      </c>
      <c r="O79" t="n">
        <v>0</v>
      </c>
      <c r="P79" t="n">
        <v>0</v>
      </c>
      <c r="Q79" t="n">
        <v>8</v>
      </c>
      <c r="R79" t="n">
        <v>2</v>
      </c>
      <c r="S79" t="n">
        <v>9</v>
      </c>
      <c r="T79" t="n">
        <v>40</v>
      </c>
      <c r="U79" t="n">
        <v>40</v>
      </c>
      <c r="V79" s="2" t="inlineStr">
        <is>
          <t>Ask
Garderönn
Backtimjan
Bergjohannesört
Dårgräsfjäril
Jordtistel
Solvända
Svinrot
Spillkråka</t>
        </is>
      </c>
      <c r="W79">
        <f>HYPERLINK("https://klasma.github.io/Logging_0980/artfynd/A 17328-2026 artfynd.xlsx", "A 17328-2026")</f>
        <v/>
      </c>
      <c r="X79">
        <f>HYPERLINK("https://klasma.github.io/Logging_0980/kartor/A 17328-2026 karta.png", "A 17328-2026")</f>
        <v/>
      </c>
      <c r="Y79">
        <f>HYPERLINK("https://klasma.github.io/Logging_0980/kartor_geotiff/A 17328-2026 georefererad karta.tif", "A 17328-2026")</f>
        <v/>
      </c>
      <c r="AA79">
        <f>HYPERLINK("https://klasma.github.io/Logging_0980/klagomål/A 17328-2026 FSC-klagomål.docx", "A 17328-2026")</f>
        <v/>
      </c>
      <c r="AB79">
        <f>HYPERLINK("https://klasma.github.io/Logging_0980/klagomålsmail/A 17328-2026 FSC-klagomål mail.docx", "A 17328-2026")</f>
        <v/>
      </c>
      <c r="AC79">
        <f>HYPERLINK("https://klasma.github.io/Logging_0980/tillsyn/A 17328-2026 tillsynsbegäran.docx", "A 17328-2026")</f>
        <v/>
      </c>
      <c r="AD79">
        <f>HYPERLINK("https://klasma.github.io/Logging_0980/tillsynsmail/A 17328-2026 tillsynsbegäran mail.docx", "A 17328-2026")</f>
        <v/>
      </c>
      <c r="AE79">
        <f>HYPERLINK("https://klasma.github.io/Logging_0980/fåglar/A 17328-2026 prioriterade fågelarter.docx", "A 17328-2026")</f>
        <v/>
      </c>
    </row>
    <row r="80" ht="15" customHeight="1">
      <c r="A80" t="inlineStr">
        <is>
          <t>A 447-2023</t>
        </is>
      </c>
      <c r="B80" t="inlineStr">
        <is>
          <t>avverkningsanmälan</t>
        </is>
      </c>
      <c r="C80" t="inlineStr">
        <is>
          <t>Föryngringsavverkning</t>
        </is>
      </c>
      <c r="D80" s="1" t="n">
        <v>44929</v>
      </c>
      <c r="E80" s="1" t="n">
        <v>46321</v>
      </c>
      <c r="F80" t="inlineStr">
        <is>
          <t>GOTLANDS LÄN</t>
        </is>
      </c>
      <c r="G80" t="inlineStr">
        <is>
          <t>GOTLAND</t>
        </is>
      </c>
      <c r="I80" t="n">
        <v>5.1</v>
      </c>
      <c r="J80" t="n">
        <v>0</v>
      </c>
      <c r="K80" t="n">
        <v>3</v>
      </c>
      <c r="L80" t="n">
        <v>3</v>
      </c>
      <c r="M80" t="n">
        <v>3</v>
      </c>
      <c r="N80" t="n">
        <v>0</v>
      </c>
      <c r="O80" t="n">
        <v>0</v>
      </c>
      <c r="P80" t="n">
        <v>0</v>
      </c>
      <c r="Q80" t="n">
        <v>6</v>
      </c>
      <c r="R80" t="n">
        <v>3</v>
      </c>
      <c r="S80" t="n">
        <v>9</v>
      </c>
      <c r="T80" t="n">
        <v>18</v>
      </c>
      <c r="U80" t="n">
        <v>17</v>
      </c>
      <c r="V80" s="2" t="inlineStr">
        <is>
          <t>Gul lammticka
Gulsträngad fagerspindling
Vit taggsvamp
Kryddspindling
Odörspindling
Äggspindling
Anisspindling
Fransig jordstjärna
Olivspindling</t>
        </is>
      </c>
      <c r="W80">
        <f>HYPERLINK("https://klasma.github.io/Logging_0980/artfynd/A 447-2023 artfynd.xlsx", "A 447-2023")</f>
        <v/>
      </c>
      <c r="X80">
        <f>HYPERLINK("https://klasma.github.io/Logging_0980/kartor/A 447-2023 karta.png", "A 447-2023")</f>
        <v/>
      </c>
      <c r="Y80">
        <f>HYPERLINK("https://klasma.github.io/Logging_0980/kartor_geotiff/A 447-2023 georefererad karta.tif", "A 447-2023")</f>
        <v/>
      </c>
      <c r="AA80">
        <f>HYPERLINK("https://klasma.github.io/Logging_0980/klagomål/A 447-2023 FSC-klagomål.docx", "A 447-2023")</f>
        <v/>
      </c>
      <c r="AB80">
        <f>HYPERLINK("https://klasma.github.io/Logging_0980/klagomålsmail/A 447-2023 FSC-klagomål mail.docx", "A 447-2023")</f>
        <v/>
      </c>
      <c r="AC80">
        <f>HYPERLINK("https://klasma.github.io/Logging_0980/tillsyn/A 447-2023 tillsynsbegäran.docx", "A 447-2023")</f>
        <v/>
      </c>
      <c r="AD80">
        <f>HYPERLINK("https://klasma.github.io/Logging_0980/tillsynsmail/A 447-2023 tillsynsbegäran mail.docx", "A 447-2023")</f>
        <v/>
      </c>
    </row>
    <row r="81" ht="15" customHeight="1">
      <c r="A81" t="inlineStr">
        <is>
          <t>A 7039-2023</t>
        </is>
      </c>
      <c r="B81" t="inlineStr">
        <is>
          <t>avverkningsanmälan</t>
        </is>
      </c>
      <c r="C81" t="inlineStr">
        <is>
          <t>Föryngringsavverkning</t>
        </is>
      </c>
      <c r="D81" s="1" t="n">
        <v>44968</v>
      </c>
      <c r="E81" s="1" t="n">
        <v>46321</v>
      </c>
      <c r="F81" t="inlineStr">
        <is>
          <t>GOTLANDS LÄN</t>
        </is>
      </c>
      <c r="G81" t="inlineStr">
        <is>
          <t>GOTLAND</t>
        </is>
      </c>
      <c r="I81" t="n">
        <v>2.9</v>
      </c>
      <c r="J81" t="n">
        <v>1</v>
      </c>
      <c r="K81" t="n">
        <v>3</v>
      </c>
      <c r="L81" t="n">
        <v>2</v>
      </c>
      <c r="M81" t="n">
        <v>2</v>
      </c>
      <c r="N81" t="n">
        <v>0</v>
      </c>
      <c r="O81" t="n">
        <v>1</v>
      </c>
      <c r="P81" t="n">
        <v>0</v>
      </c>
      <c r="Q81" t="n">
        <v>6</v>
      </c>
      <c r="R81" t="n">
        <v>3</v>
      </c>
      <c r="S81" t="n">
        <v>9</v>
      </c>
      <c r="T81" t="n">
        <v>14</v>
      </c>
      <c r="U81" t="n">
        <v>0</v>
      </c>
      <c r="V81" s="2" t="inlineStr">
        <is>
          <t>Stor blanklav
Mörk kraterlav
Ädellav
Dårgräsfjäril
Svinrot
Frostig asplav
Havstulpanlav
Klippfrullania
Stubbspretmossa</t>
        </is>
      </c>
      <c r="W81">
        <f>HYPERLINK("https://klasma.github.io/Logging_0980/artfynd/A 7039-2023 artfynd.xlsx", "A 7039-2023")</f>
        <v/>
      </c>
      <c r="X81">
        <f>HYPERLINK("https://klasma.github.io/Logging_0980/kartor/A 7039-2023 karta.png", "A 7039-2023")</f>
        <v/>
      </c>
      <c r="Y81">
        <f>HYPERLINK("https://klasma.github.io/Logging_0980/kartor_geotiff/A 7039-2023 georefererad karta.tif", "A 7039-2023")</f>
        <v/>
      </c>
      <c r="AA81">
        <f>HYPERLINK("https://klasma.github.io/Logging_0980/klagomål/A 7039-2023 FSC-klagomål.docx", "A 7039-2023")</f>
        <v/>
      </c>
      <c r="AB81">
        <f>HYPERLINK("https://klasma.github.io/Logging_0980/klagomålsmail/A 7039-2023 FSC-klagomål mail.docx", "A 7039-2023")</f>
        <v/>
      </c>
      <c r="AC81">
        <f>HYPERLINK("https://klasma.github.io/Logging_0980/tillsyn/A 7039-2023 tillsynsbegäran.docx", "A 7039-2023")</f>
        <v/>
      </c>
      <c r="AD81">
        <f>HYPERLINK("https://klasma.github.io/Logging_0980/tillsynsmail/A 7039-2023 tillsynsbegäran mail.docx", "A 7039-2023")</f>
        <v/>
      </c>
    </row>
    <row r="82" ht="15" customHeight="1">
      <c r="A82" t="inlineStr">
        <is>
          <t>S 423-2024</t>
        </is>
      </c>
      <c r="B82" t="inlineStr">
        <is>
          <t>samrådsanmälan</t>
        </is>
      </c>
      <c r="C82" t="inlineStr">
        <is>
          <t>Annan skogsbruksåtgärd</t>
        </is>
      </c>
      <c r="D82" s="1" t="n">
        <v>45336</v>
      </c>
      <c r="E82" s="1" t="n">
        <v>46321</v>
      </c>
      <c r="F82" t="inlineStr">
        <is>
          <t>GOTLANDS LÄN</t>
        </is>
      </c>
      <c r="G82" t="inlineStr">
        <is>
          <t>GOTLAND</t>
        </is>
      </c>
      <c r="H82" t="inlineStr">
        <is>
          <t>Kyrkan</t>
        </is>
      </c>
      <c r="I82" t="n">
        <v>0.3</v>
      </c>
      <c r="J82" t="n">
        <v>1</v>
      </c>
      <c r="K82" t="n">
        <v>5</v>
      </c>
      <c r="L82" t="n">
        <v>3</v>
      </c>
      <c r="M82" t="n">
        <v>1</v>
      </c>
      <c r="N82" t="n">
        <v>0</v>
      </c>
      <c r="O82" t="n">
        <v>0</v>
      </c>
      <c r="P82" t="n">
        <v>0</v>
      </c>
      <c r="Q82" t="n">
        <v>4</v>
      </c>
      <c r="R82" t="n">
        <v>1</v>
      </c>
      <c r="S82" t="n">
        <v>9</v>
      </c>
      <c r="T82" t="n">
        <v>11</v>
      </c>
      <c r="U82" t="n">
        <v>4</v>
      </c>
      <c r="V82" s="2" t="inlineStr">
        <is>
          <t>Elaphomyces barrioi
Knottrig rottryffel
Lunglav
Svinrot
Lönnlav
Rikfruktig blemlav
Slät lönnlav
Tvåblad
Underviol</t>
        </is>
      </c>
      <c r="W82">
        <f>HYPERLINK("https://klasma.github.io/Logging_0980/artfynd/S 423-2024 artfynd.xlsx", "S 423-2024")</f>
        <v/>
      </c>
      <c r="X82">
        <f>HYPERLINK("https://klasma.github.io/Logging_0980/kartor/S 423-2024 karta.png", "S 423-2024")</f>
        <v/>
      </c>
      <c r="Y82">
        <f>HYPERLINK("https://klasma.github.io/Logging_0980/kartor_geotiff/S 423-2024 georefererad karta.tif", "S 423-2024")</f>
        <v/>
      </c>
      <c r="AA82">
        <f>HYPERLINK("https://klasma.github.io/Logging_0980/klagomål/S 423-2024 FSC-klagomål.docx", "S 423-2024")</f>
        <v/>
      </c>
      <c r="AB82">
        <f>HYPERLINK("https://klasma.github.io/Logging_0980/klagomålsmail/S 423-2024 FSC-klagomål mail.docx", "S 423-2024")</f>
        <v/>
      </c>
      <c r="AC82">
        <f>HYPERLINK("https://klasma.github.io/Logging_0980/tillsyn/S 423-2024 tillsynsbegäran.docx", "S 423-2024")</f>
        <v/>
      </c>
      <c r="AD82">
        <f>HYPERLINK("https://klasma.github.io/Logging_0980/tillsynsmail/S 423-2024 tillsynsbegäran mail.docx", "S 423-2024")</f>
        <v/>
      </c>
    </row>
    <row r="83" ht="15" customHeight="1">
      <c r="A83" t="inlineStr">
        <is>
          <t>A 20831-2024</t>
        </is>
      </c>
      <c r="B83" t="inlineStr">
        <is>
          <t>avverkningsanmälan</t>
        </is>
      </c>
      <c r="C83" t="inlineStr">
        <is>
          <t>Föryngringsavverkning</t>
        </is>
      </c>
      <c r="D83" s="1" t="n">
        <v>45439</v>
      </c>
      <c r="E83" s="1" t="n">
        <v>46321</v>
      </c>
      <c r="F83" t="inlineStr">
        <is>
          <t>GOTLANDS LÄN</t>
        </is>
      </c>
      <c r="G83" t="inlineStr">
        <is>
          <t>GOTLAND</t>
        </is>
      </c>
      <c r="I83" t="n">
        <v>2.9</v>
      </c>
      <c r="J83" t="n">
        <v>2</v>
      </c>
      <c r="K83" t="n">
        <v>1</v>
      </c>
      <c r="L83" t="n">
        <v>6</v>
      </c>
      <c r="M83" t="n">
        <v>1</v>
      </c>
      <c r="N83" t="n">
        <v>0</v>
      </c>
      <c r="O83" t="n">
        <v>0</v>
      </c>
      <c r="P83" t="n">
        <v>0</v>
      </c>
      <c r="Q83" t="n">
        <v>7</v>
      </c>
      <c r="R83" t="n">
        <v>1</v>
      </c>
      <c r="S83" t="n">
        <v>8</v>
      </c>
      <c r="T83" t="n">
        <v>33</v>
      </c>
      <c r="U83" t="n">
        <v>32</v>
      </c>
      <c r="V83" s="2" t="inlineStr">
        <is>
          <t>Vit taggsvamp
Axveronika
Backtimjan
Dårgräsfjäril
Jordtistel
Solvända
Svinrot
Skogsknipprot</t>
        </is>
      </c>
      <c r="W83">
        <f>HYPERLINK("https://klasma.github.io/Logging_0980/artfynd/A 20831-2024 artfynd.xlsx", "A 20831-2024")</f>
        <v/>
      </c>
      <c r="X83">
        <f>HYPERLINK("https://klasma.github.io/Logging_0980/kartor/A 20831-2024 karta.png", "A 20831-2024")</f>
        <v/>
      </c>
      <c r="Y83">
        <f>HYPERLINK("https://klasma.github.io/Logging_0980/kartor_geotiff/A 20831-2024 georefererad karta.tif", "A 20831-2024")</f>
        <v/>
      </c>
      <c r="AA83">
        <f>HYPERLINK("https://klasma.github.io/Logging_0980/klagomål/A 20831-2024 FSC-klagomål.docx", "A 20831-2024")</f>
        <v/>
      </c>
      <c r="AB83">
        <f>HYPERLINK("https://klasma.github.io/Logging_0980/klagomålsmail/A 20831-2024 FSC-klagomål mail.docx", "A 20831-2024")</f>
        <v/>
      </c>
      <c r="AC83">
        <f>HYPERLINK("https://klasma.github.io/Logging_0980/tillsyn/A 20831-2024 tillsynsbegäran.docx", "A 20831-2024")</f>
        <v/>
      </c>
      <c r="AD83">
        <f>HYPERLINK("https://klasma.github.io/Logging_0980/tillsynsmail/A 20831-2024 tillsynsbegäran mail.docx", "A 20831-2024")</f>
        <v/>
      </c>
    </row>
    <row r="84" ht="15" customHeight="1">
      <c r="A84" t="inlineStr">
        <is>
          <t>A 57773-2025</t>
        </is>
      </c>
      <c r="B84" t="inlineStr">
        <is>
          <t>avverkningsanmälan</t>
        </is>
      </c>
      <c r="C84" t="inlineStr">
        <is>
          <t>Föryngringsavverkning</t>
        </is>
      </c>
      <c r="D84" s="1" t="n">
        <v>45981</v>
      </c>
      <c r="E84" s="1" t="n">
        <v>46321</v>
      </c>
      <c r="F84" t="inlineStr">
        <is>
          <t>GOTLANDS LÄN</t>
        </is>
      </c>
      <c r="G84" t="inlineStr">
        <is>
          <t>GOTLAND</t>
        </is>
      </c>
      <c r="I84" t="n">
        <v>4.4</v>
      </c>
      <c r="J84" t="n">
        <v>0</v>
      </c>
      <c r="K84" t="n">
        <v>5</v>
      </c>
      <c r="L84" t="n">
        <v>1</v>
      </c>
      <c r="M84" t="n">
        <v>2</v>
      </c>
      <c r="N84" t="n">
        <v>0</v>
      </c>
      <c r="O84" t="n">
        <v>0</v>
      </c>
      <c r="P84" t="n">
        <v>0</v>
      </c>
      <c r="Q84" t="n">
        <v>3</v>
      </c>
      <c r="R84" t="n">
        <v>2</v>
      </c>
      <c r="S84" t="n">
        <v>8</v>
      </c>
      <c r="T84" t="n">
        <v>14</v>
      </c>
      <c r="U84" t="n">
        <v>0</v>
      </c>
      <c r="V84" s="2" t="inlineStr">
        <is>
          <t>Duvspindling
Mörkfjällig olivspindling
Backklöver
Besk kastanjemusseron
Brun klibbskivling
Olivspindling
Rödgul trumpetsvamp
Strimspindling</t>
        </is>
      </c>
      <c r="W84">
        <f>HYPERLINK("https://klasma.github.io/Logging_0980/artfynd/A 57773-2025 artfynd.xlsx", "A 57773-2025")</f>
        <v/>
      </c>
      <c r="X84">
        <f>HYPERLINK("https://klasma.github.io/Logging_0980/kartor/A 57773-2025 karta.png", "A 57773-2025")</f>
        <v/>
      </c>
      <c r="Y84">
        <f>HYPERLINK("https://klasma.github.io/Logging_0980/kartor_geotiff/A 57773-2025 georefererad karta.tif", "A 57773-2025")</f>
        <v/>
      </c>
      <c r="AA84">
        <f>HYPERLINK("https://klasma.github.io/Logging_0980/klagomål/A 57773-2025 FSC-klagomål.docx", "A 57773-2025")</f>
        <v/>
      </c>
      <c r="AB84">
        <f>HYPERLINK("https://klasma.github.io/Logging_0980/klagomålsmail/A 57773-2025 FSC-klagomål mail.docx", "A 57773-2025")</f>
        <v/>
      </c>
      <c r="AC84">
        <f>HYPERLINK("https://klasma.github.io/Logging_0980/tillsyn/A 57773-2025 tillsynsbegäran.docx", "A 57773-2025")</f>
        <v/>
      </c>
      <c r="AD84">
        <f>HYPERLINK("https://klasma.github.io/Logging_0980/tillsynsmail/A 57773-2025 tillsynsbegäran mail.docx", "A 57773-2025")</f>
        <v/>
      </c>
    </row>
    <row r="85" ht="15" customHeight="1">
      <c r="A85" t="inlineStr">
        <is>
          <t>A 9518-2026</t>
        </is>
      </c>
      <c r="B85" t="inlineStr">
        <is>
          <t>avverkningsanmälan</t>
        </is>
      </c>
      <c r="C85" t="inlineStr">
        <is>
          <t>Föryngringsavverkning</t>
        </is>
      </c>
      <c r="D85" s="1" t="n">
        <v>46071</v>
      </c>
      <c r="E85" s="1" t="n">
        <v>46321</v>
      </c>
      <c r="F85" t="inlineStr">
        <is>
          <t>GOTLANDS LÄN</t>
        </is>
      </c>
      <c r="G85" t="inlineStr">
        <is>
          <t>GOTLAND</t>
        </is>
      </c>
      <c r="I85" t="n">
        <v>6.2</v>
      </c>
      <c r="J85" t="n">
        <v>0</v>
      </c>
      <c r="K85" t="n">
        <v>1</v>
      </c>
      <c r="L85" t="n">
        <v>4</v>
      </c>
      <c r="M85" t="n">
        <v>3</v>
      </c>
      <c r="N85" t="n">
        <v>0</v>
      </c>
      <c r="O85" t="n">
        <v>0</v>
      </c>
      <c r="P85" t="n">
        <v>0</v>
      </c>
      <c r="Q85" t="n">
        <v>7</v>
      </c>
      <c r="R85" t="n">
        <v>3</v>
      </c>
      <c r="S85" t="n">
        <v>8</v>
      </c>
      <c r="T85" t="n">
        <v>16</v>
      </c>
      <c r="U85" t="n">
        <v>16</v>
      </c>
      <c r="V85" s="2" t="inlineStr">
        <is>
          <t>Clitopaxillus alexandri
Duvspindling
Svartgrön spindling
Blå slemspindling
Fjällig taggsvamp s.str.
Odörspindling
Vårärt
Anisspindling</t>
        </is>
      </c>
      <c r="W85">
        <f>HYPERLINK("https://klasma.github.io/Logging_0980/artfynd/A 9518-2026 artfynd.xlsx", "A 9518-2026")</f>
        <v/>
      </c>
      <c r="X85">
        <f>HYPERLINK("https://klasma.github.io/Logging_0980/kartor/A 9518-2026 karta.png", "A 9518-2026")</f>
        <v/>
      </c>
      <c r="Y85">
        <f>HYPERLINK("https://klasma.github.io/Logging_0980/kartor_geotiff/A 9518-2026 georefererad karta.tif", "A 9518-2026")</f>
        <v/>
      </c>
      <c r="AA85">
        <f>HYPERLINK("https://klasma.github.io/Logging_0980/klagomål/A 9518-2026 FSC-klagomål.docx", "A 9518-2026")</f>
        <v/>
      </c>
      <c r="AB85">
        <f>HYPERLINK("https://klasma.github.io/Logging_0980/klagomålsmail/A 9518-2026 FSC-klagomål mail.docx", "A 9518-2026")</f>
        <v/>
      </c>
      <c r="AC85">
        <f>HYPERLINK("https://klasma.github.io/Logging_0980/tillsyn/A 9518-2026 tillsynsbegäran.docx", "A 9518-2026")</f>
        <v/>
      </c>
      <c r="AD85">
        <f>HYPERLINK("https://klasma.github.io/Logging_0980/tillsynsmail/A 9518-2026 tillsynsbegäran mail.docx", "A 9518-2026")</f>
        <v/>
      </c>
    </row>
    <row r="86" ht="15" customHeight="1">
      <c r="A86" t="inlineStr">
        <is>
          <t>A 9543-2026</t>
        </is>
      </c>
      <c r="B86" t="inlineStr">
        <is>
          <t>avverkningsanmälan</t>
        </is>
      </c>
      <c r="C86" t="inlineStr">
        <is>
          <t>Föryngringsavverkning</t>
        </is>
      </c>
      <c r="D86" s="1" t="n">
        <v>46071</v>
      </c>
      <c r="E86" s="1" t="n">
        <v>46321</v>
      </c>
      <c r="F86" t="inlineStr">
        <is>
          <t>GOTLANDS LÄN</t>
        </is>
      </c>
      <c r="G86" t="inlineStr">
        <is>
          <t>GOTLAND</t>
        </is>
      </c>
      <c r="I86" t="n">
        <v>2.6</v>
      </c>
      <c r="J86" t="n">
        <v>0</v>
      </c>
      <c r="K86" t="n">
        <v>3</v>
      </c>
      <c r="L86" t="n">
        <v>4</v>
      </c>
      <c r="M86" t="n">
        <v>1</v>
      </c>
      <c r="N86" t="n">
        <v>0</v>
      </c>
      <c r="O86" t="n">
        <v>0</v>
      </c>
      <c r="P86" t="n">
        <v>0</v>
      </c>
      <c r="Q86" t="n">
        <v>5</v>
      </c>
      <c r="R86" t="n">
        <v>1</v>
      </c>
      <c r="S86" t="n">
        <v>8</v>
      </c>
      <c r="T86" t="n">
        <v>24</v>
      </c>
      <c r="U86" t="n">
        <v>24</v>
      </c>
      <c r="V86" s="2" t="inlineStr">
        <is>
          <t>Vit taggsvamp
Flattoppad klubbsvamp
Loppstarr
Odörspindling
Svinrot
Anisspindling
Olivspindling
Svavelriska</t>
        </is>
      </c>
      <c r="W86">
        <f>HYPERLINK("https://klasma.github.io/Logging_0980/artfynd/A 9543-2026 artfynd.xlsx", "A 9543-2026")</f>
        <v/>
      </c>
      <c r="X86">
        <f>HYPERLINK("https://klasma.github.io/Logging_0980/kartor/A 9543-2026 karta.png", "A 9543-2026")</f>
        <v/>
      </c>
      <c r="Y86">
        <f>HYPERLINK("https://klasma.github.io/Logging_0980/kartor_geotiff/A 9543-2026 georefererad karta.tif", "A 9543-2026")</f>
        <v/>
      </c>
      <c r="AA86">
        <f>HYPERLINK("https://klasma.github.io/Logging_0980/klagomål/A 9543-2026 FSC-klagomål.docx", "A 9543-2026")</f>
        <v/>
      </c>
      <c r="AB86">
        <f>HYPERLINK("https://klasma.github.io/Logging_0980/klagomålsmail/A 9543-2026 FSC-klagomål mail.docx", "A 9543-2026")</f>
        <v/>
      </c>
      <c r="AC86">
        <f>HYPERLINK("https://klasma.github.io/Logging_0980/tillsyn/A 9543-2026 tillsynsbegäran.docx", "A 9543-2026")</f>
        <v/>
      </c>
      <c r="AD86">
        <f>HYPERLINK("https://klasma.github.io/Logging_0980/tillsynsmail/A 9543-2026 tillsynsbegäran mail.docx", "A 9543-2026")</f>
        <v/>
      </c>
    </row>
    <row r="87" ht="15" customHeight="1">
      <c r="A87" t="inlineStr">
        <is>
          <t>A 54527-2023</t>
        </is>
      </c>
      <c r="B87" t="inlineStr">
        <is>
          <t>avverkningsanmälan</t>
        </is>
      </c>
      <c r="C87" t="inlineStr">
        <is>
          <t>Avverkning för annat ändamål</t>
        </is>
      </c>
      <c r="D87" s="1" t="n">
        <v>45233</v>
      </c>
      <c r="E87" s="1" t="n">
        <v>46321</v>
      </c>
      <c r="F87" t="inlineStr">
        <is>
          <t>GOTLANDS LÄN</t>
        </is>
      </c>
      <c r="G87" t="inlineStr">
        <is>
          <t>GOTLAND</t>
        </is>
      </c>
      <c r="I87" t="n">
        <v>28.5</v>
      </c>
      <c r="J87" t="n">
        <v>2</v>
      </c>
      <c r="K87" t="n">
        <v>0</v>
      </c>
      <c r="L87" t="n">
        <v>4</v>
      </c>
      <c r="M87" t="n">
        <v>1</v>
      </c>
      <c r="N87" t="n">
        <v>1</v>
      </c>
      <c r="O87" t="n">
        <v>0</v>
      </c>
      <c r="P87" t="n">
        <v>0</v>
      </c>
      <c r="Q87" t="n">
        <v>6</v>
      </c>
      <c r="R87" t="n">
        <v>2</v>
      </c>
      <c r="S87" t="n">
        <v>8</v>
      </c>
      <c r="T87" t="n">
        <v>40</v>
      </c>
      <c r="U87" t="n">
        <v>0</v>
      </c>
      <c r="V87" s="2" t="inlineStr">
        <is>
          <t>Ask
Sexfläckig bastardsvärmare
Backstarr
Backtimjan
Jordtistel
Solvända
Nattskärra
Brudsporre</t>
        </is>
      </c>
      <c r="W87">
        <f>HYPERLINK("https://klasma.github.io/Logging_0980/artfynd/A 54527-2023 artfynd.xlsx", "A 54527-2023")</f>
        <v/>
      </c>
      <c r="X87">
        <f>HYPERLINK("https://klasma.github.io/Logging_0980/kartor/A 54527-2023 karta.png", "A 54527-2023")</f>
        <v/>
      </c>
      <c r="Y87">
        <f>HYPERLINK("https://klasma.github.io/Logging_0980/kartor_geotiff/A 54527-2023 georefererad karta.tif", "A 54527-2023")</f>
        <v/>
      </c>
      <c r="AA87">
        <f>HYPERLINK("https://klasma.github.io/Logging_0980/klagomål/A 54527-2023 FSC-klagomål.docx", "A 54527-2023")</f>
        <v/>
      </c>
      <c r="AB87">
        <f>HYPERLINK("https://klasma.github.io/Logging_0980/klagomålsmail/A 54527-2023 FSC-klagomål mail.docx", "A 54527-2023")</f>
        <v/>
      </c>
      <c r="AC87">
        <f>HYPERLINK("https://klasma.github.io/Logging_0980/tillsyn/A 54527-2023 tillsynsbegäran.docx", "A 54527-2023")</f>
        <v/>
      </c>
      <c r="AD87">
        <f>HYPERLINK("https://klasma.github.io/Logging_0980/tillsynsmail/A 54527-2023 tillsynsbegäran mail.docx", "A 54527-2023")</f>
        <v/>
      </c>
      <c r="AE87">
        <f>HYPERLINK("https://klasma.github.io/Logging_0980/fåglar/A 54527-2023 prioriterade fågelarter.docx", "A 54527-2023")</f>
        <v/>
      </c>
    </row>
    <row r="88" ht="15" customHeight="1">
      <c r="A88" t="inlineStr">
        <is>
          <t>A 1971-2023</t>
        </is>
      </c>
      <c r="B88" t="inlineStr">
        <is>
          <t>avverkningsanmälan</t>
        </is>
      </c>
      <c r="C88" t="inlineStr">
        <is>
          <t>Föryngringsavverkning</t>
        </is>
      </c>
      <c r="D88" s="1" t="n">
        <v>44939</v>
      </c>
      <c r="E88" s="1" t="n">
        <v>46321</v>
      </c>
      <c r="F88" t="inlineStr">
        <is>
          <t>GOTLANDS LÄN</t>
        </is>
      </c>
      <c r="G88" t="inlineStr">
        <is>
          <t>GOTLAND</t>
        </is>
      </c>
      <c r="I88" t="n">
        <v>5.5</v>
      </c>
      <c r="J88" t="n">
        <v>0</v>
      </c>
      <c r="K88" t="n">
        <v>3</v>
      </c>
      <c r="L88" t="n">
        <v>3</v>
      </c>
      <c r="M88" t="n">
        <v>2</v>
      </c>
      <c r="N88" t="n">
        <v>0</v>
      </c>
      <c r="O88" t="n">
        <v>0</v>
      </c>
      <c r="P88" t="n">
        <v>0</v>
      </c>
      <c r="Q88" t="n">
        <v>5</v>
      </c>
      <c r="R88" t="n">
        <v>2</v>
      </c>
      <c r="S88" t="n">
        <v>8</v>
      </c>
      <c r="T88" t="n">
        <v>9</v>
      </c>
      <c r="U88" t="n">
        <v>2</v>
      </c>
      <c r="V88" s="2" t="inlineStr">
        <is>
          <t>Granrotspindling
Gulsträngad fagerspindling
Fjällig taggsvamp s.str.
Sandviol
Svinrot
Blomkålssvamp
Olivspindling
Rödbrun jordstjärna</t>
        </is>
      </c>
      <c r="W88">
        <f>HYPERLINK("https://klasma.github.io/Logging_0980/artfynd/A 1971-2023 artfynd.xlsx", "A 1971-2023")</f>
        <v/>
      </c>
      <c r="X88">
        <f>HYPERLINK("https://klasma.github.io/Logging_0980/kartor/A 1971-2023 karta.png", "A 1971-2023")</f>
        <v/>
      </c>
      <c r="Y88">
        <f>HYPERLINK("https://klasma.github.io/Logging_0980/kartor_geotiff/A 1971-2023 georefererad karta.tif", "A 1971-2023")</f>
        <v/>
      </c>
      <c r="AA88">
        <f>HYPERLINK("https://klasma.github.io/Logging_0980/klagomål/A 1971-2023 FSC-klagomål.docx", "A 1971-2023")</f>
        <v/>
      </c>
      <c r="AB88">
        <f>HYPERLINK("https://klasma.github.io/Logging_0980/klagomålsmail/A 1971-2023 FSC-klagomål mail.docx", "A 1971-2023")</f>
        <v/>
      </c>
      <c r="AC88">
        <f>HYPERLINK("https://klasma.github.io/Logging_0980/tillsyn/A 1971-2023 tillsynsbegäran.docx", "A 1971-2023")</f>
        <v/>
      </c>
      <c r="AD88">
        <f>HYPERLINK("https://klasma.github.io/Logging_0980/tillsynsmail/A 1971-2023 tillsynsbegäran mail.docx", "A 1971-2023")</f>
        <v/>
      </c>
    </row>
    <row r="89" ht="15" customHeight="1">
      <c r="A89" t="inlineStr">
        <is>
          <t>A 6836-2026</t>
        </is>
      </c>
      <c r="B89" t="inlineStr">
        <is>
          <t>avverkningsanmälan</t>
        </is>
      </c>
      <c r="C89" t="inlineStr">
        <is>
          <t>Föryngringsavverkning</t>
        </is>
      </c>
      <c r="D89" s="1" t="n">
        <v>46057</v>
      </c>
      <c r="E89" s="1" t="n">
        <v>46321</v>
      </c>
      <c r="F89" t="inlineStr">
        <is>
          <t>GOTLANDS LÄN</t>
        </is>
      </c>
      <c r="G89" t="inlineStr">
        <is>
          <t>GOTLAND</t>
        </is>
      </c>
      <c r="I89" t="n">
        <v>3.8</v>
      </c>
      <c r="J89" t="n">
        <v>1</v>
      </c>
      <c r="K89" t="n">
        <v>3</v>
      </c>
      <c r="L89" t="n">
        <v>2</v>
      </c>
      <c r="M89" t="n">
        <v>3</v>
      </c>
      <c r="N89" t="n">
        <v>0</v>
      </c>
      <c r="O89" t="n">
        <v>0</v>
      </c>
      <c r="P89" t="n">
        <v>0</v>
      </c>
      <c r="Q89" t="n">
        <v>5</v>
      </c>
      <c r="R89" t="n">
        <v>3</v>
      </c>
      <c r="S89" t="n">
        <v>8</v>
      </c>
      <c r="T89" t="n">
        <v>10</v>
      </c>
      <c r="U89" t="n">
        <v>1</v>
      </c>
      <c r="V89" s="2" t="inlineStr">
        <is>
          <t>Knärot
Svartgrön spindling
Violettfläckig spindling
Odörspindling
Skarp dropptaggsvamp
Fransig jordstjärna
Rödgul trumpetsvamp
Svavelriska</t>
        </is>
      </c>
      <c r="W89">
        <f>HYPERLINK("https://klasma.github.io/Logging_0980/artfynd/A 6836-2026 artfynd.xlsx", "A 6836-2026")</f>
        <v/>
      </c>
      <c r="X89">
        <f>HYPERLINK("https://klasma.github.io/Logging_0980/kartor/A 6836-2026 karta.png", "A 6836-2026")</f>
        <v/>
      </c>
      <c r="Y89">
        <f>HYPERLINK("https://klasma.github.io/Logging_0980/kartor_geotiff/A 6836-2026 georefererad karta.tif", "A 6836-2026")</f>
        <v/>
      </c>
      <c r="Z89">
        <f>HYPERLINK("https://klasma.github.io/Logging_0980/knärot/A 6836-2026 karta knärot.png", "A 6836-2026")</f>
        <v/>
      </c>
      <c r="AA89">
        <f>HYPERLINK("https://klasma.github.io/Logging_0980/klagomål/A 6836-2026 FSC-klagomål.docx", "A 6836-2026")</f>
        <v/>
      </c>
      <c r="AB89">
        <f>HYPERLINK("https://klasma.github.io/Logging_0980/klagomålsmail/A 6836-2026 FSC-klagomål mail.docx", "A 6836-2026")</f>
        <v/>
      </c>
      <c r="AC89">
        <f>HYPERLINK("https://klasma.github.io/Logging_0980/tillsyn/A 6836-2026 tillsynsbegäran.docx", "A 6836-2026")</f>
        <v/>
      </c>
      <c r="AD89">
        <f>HYPERLINK("https://klasma.github.io/Logging_0980/tillsynsmail/A 6836-2026 tillsynsbegäran mail.docx", "A 6836-2026")</f>
        <v/>
      </c>
    </row>
    <row r="90" ht="15" customHeight="1">
      <c r="A90" t="inlineStr">
        <is>
          <t>A 27170-2026</t>
        </is>
      </c>
      <c r="B90" t="inlineStr">
        <is>
          <t>avverkningsanmälan</t>
        </is>
      </c>
      <c r="C90" t="inlineStr">
        <is>
          <t>Föryngringsavverkning</t>
        </is>
      </c>
      <c r="D90" s="1" t="n">
        <v>46188</v>
      </c>
      <c r="E90" s="1" t="n">
        <v>46321</v>
      </c>
      <c r="F90" t="inlineStr">
        <is>
          <t>GOTLANDS LÄN</t>
        </is>
      </c>
      <c r="G90" t="inlineStr">
        <is>
          <t>GOTLAND</t>
        </is>
      </c>
      <c r="I90" t="n">
        <v>1.8</v>
      </c>
      <c r="J90" t="n">
        <v>3</v>
      </c>
      <c r="K90" t="n">
        <v>2</v>
      </c>
      <c r="L90" t="n">
        <v>2</v>
      </c>
      <c r="M90" t="n">
        <v>0</v>
      </c>
      <c r="N90" t="n">
        <v>0</v>
      </c>
      <c r="O90" t="n">
        <v>0</v>
      </c>
      <c r="P90" t="n">
        <v>0</v>
      </c>
      <c r="Q90" t="n">
        <v>2</v>
      </c>
      <c r="R90" t="n">
        <v>0</v>
      </c>
      <c r="S90" t="n">
        <v>8</v>
      </c>
      <c r="T90" t="n">
        <v>25</v>
      </c>
      <c r="U90" t="n">
        <v>25</v>
      </c>
      <c r="V90" s="2" t="inlineStr">
        <is>
          <t>Dårgräsfjäril
Svinrot
Blåmossa
Skogsknipprot
Liljekonvalj
Majbräken
Ormbär
Fläcknycklar</t>
        </is>
      </c>
      <c r="W90">
        <f>HYPERLINK("https://klasma.github.io/Logging_0980/artfynd/A 27170-2026 artfynd.xlsx", "A 27170-2026")</f>
        <v/>
      </c>
      <c r="X90">
        <f>HYPERLINK("https://klasma.github.io/Logging_0980/kartor/A 27170-2026 karta.png", "A 27170-2026")</f>
        <v/>
      </c>
      <c r="Y90">
        <f>HYPERLINK("https://klasma.github.io/Logging_0980/kartor_geotiff/A 27170-2026 georefererad karta.tif", "A 27170-2026")</f>
        <v/>
      </c>
      <c r="AA90">
        <f>HYPERLINK("https://klasma.github.io/Logging_0980/klagomål/A 27170-2026 FSC-klagomål.docx", "A 27170-2026")</f>
        <v/>
      </c>
      <c r="AB90">
        <f>HYPERLINK("https://klasma.github.io/Logging_0980/klagomålsmail/A 27170-2026 FSC-klagomål mail.docx", "A 27170-2026")</f>
        <v/>
      </c>
      <c r="AC90">
        <f>HYPERLINK("https://klasma.github.io/Logging_0980/tillsyn/A 27170-2026 tillsynsbegäran.docx", "A 27170-2026")</f>
        <v/>
      </c>
      <c r="AD90">
        <f>HYPERLINK("https://klasma.github.io/Logging_0980/tillsynsmail/A 27170-2026 tillsynsbegäran mail.docx", "A 27170-2026")</f>
        <v/>
      </c>
    </row>
    <row r="91" ht="15" customHeight="1">
      <c r="A91" t="inlineStr">
        <is>
          <t>A 54527-2023</t>
        </is>
      </c>
      <c r="B91" t="inlineStr">
        <is>
          <t>avverkningsanmälan</t>
        </is>
      </c>
      <c r="C91" t="inlineStr">
        <is>
          <t>Avverkning för annat ändamål</t>
        </is>
      </c>
      <c r="D91" s="1" t="n">
        <v>45233</v>
      </c>
      <c r="E91" s="1" t="n">
        <v>46321</v>
      </c>
      <c r="F91" t="inlineStr">
        <is>
          <t>GOTLANDS LÄN</t>
        </is>
      </c>
      <c r="G91" t="inlineStr">
        <is>
          <t>GOTLAND</t>
        </is>
      </c>
      <c r="I91" t="n">
        <v>28.5</v>
      </c>
      <c r="J91" t="n">
        <v>2</v>
      </c>
      <c r="K91" t="n">
        <v>0</v>
      </c>
      <c r="L91" t="n">
        <v>4</v>
      </c>
      <c r="M91" t="n">
        <v>1</v>
      </c>
      <c r="N91" t="n">
        <v>1</v>
      </c>
      <c r="O91" t="n">
        <v>0</v>
      </c>
      <c r="P91" t="n">
        <v>0</v>
      </c>
      <c r="Q91" t="n">
        <v>6</v>
      </c>
      <c r="R91" t="n">
        <v>2</v>
      </c>
      <c r="S91" t="n">
        <v>8</v>
      </c>
      <c r="T91" t="n">
        <v>40</v>
      </c>
      <c r="U91" t="n">
        <v>0</v>
      </c>
      <c r="V91" s="2" t="inlineStr">
        <is>
          <t>Ask
Sexfläckig bastardsvärmare
Backstarr
Backtimjan
Jordtistel
Solvända
Nattskärra
Brudsporre</t>
        </is>
      </c>
      <c r="W91">
        <f>HYPERLINK("https://klasma.github.io/Logging_0980/artfynd/A 54527-2023 artfynd.xlsx", "A 54527-2023")</f>
        <v/>
      </c>
      <c r="X91">
        <f>HYPERLINK("https://klasma.github.io/Logging_0980/kartor/A 54527-2023 karta.png", "A 54527-2023")</f>
        <v/>
      </c>
      <c r="Y91">
        <f>HYPERLINK("https://klasma.github.io/Logging_0980/kartor_geotiff/A 54527-2023 georefererad karta.tif", "A 54527-2023")</f>
        <v/>
      </c>
      <c r="AA91">
        <f>HYPERLINK("https://klasma.github.io/Logging_0980/klagomål/A 54527-2023 FSC-klagomål.docx", "A 54527-2023")</f>
        <v/>
      </c>
      <c r="AB91">
        <f>HYPERLINK("https://klasma.github.io/Logging_0980/klagomålsmail/A 54527-2023 FSC-klagomål mail.docx", "A 54527-2023")</f>
        <v/>
      </c>
      <c r="AC91">
        <f>HYPERLINK("https://klasma.github.io/Logging_0980/tillsyn/A 54527-2023 tillsynsbegäran.docx", "A 54527-2023")</f>
        <v/>
      </c>
      <c r="AD91">
        <f>HYPERLINK("https://klasma.github.io/Logging_0980/tillsynsmail/A 54527-2023 tillsynsbegäran mail.docx", "A 54527-2023")</f>
        <v/>
      </c>
      <c r="AE91">
        <f>HYPERLINK("https://klasma.github.io/Logging_0980/fåglar/A 54527-2023 prioriterade fågelarter.docx", "A 54527-2023")</f>
        <v/>
      </c>
    </row>
    <row r="92" ht="15" customHeight="1">
      <c r="A92" t="inlineStr">
        <is>
          <t>A 7038-2023</t>
        </is>
      </c>
      <c r="B92" t="inlineStr">
        <is>
          <t>avverkningsanmälan</t>
        </is>
      </c>
      <c r="C92" t="inlineStr">
        <is>
          <t>Föryngringsavverkning</t>
        </is>
      </c>
      <c r="D92" s="1" t="n">
        <v>44968</v>
      </c>
      <c r="E92" s="1" t="n">
        <v>46321</v>
      </c>
      <c r="F92" t="inlineStr">
        <is>
          <t>GOTLANDS LÄN</t>
        </is>
      </c>
      <c r="G92" t="inlineStr">
        <is>
          <t>GOTLAND</t>
        </is>
      </c>
      <c r="I92" t="n">
        <v>5.2</v>
      </c>
      <c r="J92" t="n">
        <v>1</v>
      </c>
      <c r="K92" t="n">
        <v>2</v>
      </c>
      <c r="L92" t="n">
        <v>1</v>
      </c>
      <c r="M92" t="n">
        <v>2</v>
      </c>
      <c r="N92" t="n">
        <v>1</v>
      </c>
      <c r="O92" t="n">
        <v>0</v>
      </c>
      <c r="P92" t="n">
        <v>0</v>
      </c>
      <c r="Q92" t="n">
        <v>6</v>
      </c>
      <c r="R92" t="n">
        <v>3</v>
      </c>
      <c r="S92" t="n">
        <v>8</v>
      </c>
      <c r="T92" t="n">
        <v>13</v>
      </c>
      <c r="U92" t="n">
        <v>0</v>
      </c>
      <c r="V92" s="2" t="inlineStr">
        <is>
          <t>Liten ädellav
Tät korallorangelav
Ädellav
Dårgräsfjäril
Blemlavsklotter
Frostig asplav
Guldlockmossa
Havstulpanlav</t>
        </is>
      </c>
      <c r="W92">
        <f>HYPERLINK("https://klasma.github.io/Logging_0980/artfynd/A 7038-2023 artfynd.xlsx", "A 7038-2023")</f>
        <v/>
      </c>
      <c r="X92">
        <f>HYPERLINK("https://klasma.github.io/Logging_0980/kartor/A 7038-2023 karta.png", "A 7038-2023")</f>
        <v/>
      </c>
      <c r="Y92">
        <f>HYPERLINK("https://klasma.github.io/Logging_0980/kartor_geotiff/A 7038-2023 georefererad karta.tif", "A 7038-2023")</f>
        <v/>
      </c>
      <c r="AA92">
        <f>HYPERLINK("https://klasma.github.io/Logging_0980/klagomål/A 7038-2023 FSC-klagomål.docx", "A 7038-2023")</f>
        <v/>
      </c>
      <c r="AB92">
        <f>HYPERLINK("https://klasma.github.io/Logging_0980/klagomålsmail/A 7038-2023 FSC-klagomål mail.docx", "A 7038-2023")</f>
        <v/>
      </c>
      <c r="AC92">
        <f>HYPERLINK("https://klasma.github.io/Logging_0980/tillsyn/A 7038-2023 tillsynsbegäran.docx", "A 7038-2023")</f>
        <v/>
      </c>
      <c r="AD92">
        <f>HYPERLINK("https://klasma.github.io/Logging_0980/tillsynsmail/A 7038-2023 tillsynsbegäran mail.docx", "A 7038-2023")</f>
        <v/>
      </c>
    </row>
    <row r="93" ht="15" customHeight="1">
      <c r="A93" t="inlineStr">
        <is>
          <t>A 10419-2025</t>
        </is>
      </c>
      <c r="B93" t="inlineStr">
        <is>
          <t>avverkningsanmälan</t>
        </is>
      </c>
      <c r="C93" t="inlineStr">
        <is>
          <t>Avverkning för att bevara och utveckla /försöksver</t>
        </is>
      </c>
      <c r="D93" s="1" t="n">
        <v>45720</v>
      </c>
      <c r="E93" s="1" t="n">
        <v>46321</v>
      </c>
      <c r="F93" t="inlineStr">
        <is>
          <t>GOTLANDS LÄN</t>
        </is>
      </c>
      <c r="G93" t="inlineStr">
        <is>
          <t>GOTLAND</t>
        </is>
      </c>
      <c r="I93" t="n">
        <v>1.2</v>
      </c>
      <c r="J93" t="n">
        <v>0</v>
      </c>
      <c r="K93" t="n">
        <v>2</v>
      </c>
      <c r="L93" t="n">
        <v>3</v>
      </c>
      <c r="M93" t="n">
        <v>2</v>
      </c>
      <c r="N93" t="n">
        <v>0</v>
      </c>
      <c r="O93" t="n">
        <v>0</v>
      </c>
      <c r="P93" t="n">
        <v>0</v>
      </c>
      <c r="Q93" t="n">
        <v>5</v>
      </c>
      <c r="R93" t="n">
        <v>2</v>
      </c>
      <c r="S93" t="n">
        <v>7</v>
      </c>
      <c r="T93" t="n">
        <v>16</v>
      </c>
      <c r="U93" t="n">
        <v>0</v>
      </c>
      <c r="V93" s="2" t="inlineStr">
        <is>
          <t>Mörkfjällig olivspindling
Violettfläckig spindling
Blå slemspindling
Fjällig taggsvamp s.str.
Kryddspindling
Anisspindling
Olivspindling</t>
        </is>
      </c>
      <c r="W93">
        <f>HYPERLINK("https://klasma.github.io/Logging_0980/artfynd/A 10419-2025 artfynd.xlsx", "A 10419-2025")</f>
        <v/>
      </c>
      <c r="X93">
        <f>HYPERLINK("https://klasma.github.io/Logging_0980/kartor/A 10419-2025 karta.png", "A 10419-2025")</f>
        <v/>
      </c>
      <c r="Y93">
        <f>HYPERLINK("https://klasma.github.io/Logging_0980/kartor_geotiff/A 10419-2025 georefererad karta.tif", "A 10419-2025")</f>
        <v/>
      </c>
      <c r="AA93">
        <f>HYPERLINK("https://klasma.github.io/Logging_0980/klagomål/A 10419-2025 FSC-klagomål.docx", "A 10419-2025")</f>
        <v/>
      </c>
      <c r="AB93">
        <f>HYPERLINK("https://klasma.github.io/Logging_0980/klagomålsmail/A 10419-2025 FSC-klagomål mail.docx", "A 10419-2025")</f>
        <v/>
      </c>
      <c r="AC93">
        <f>HYPERLINK("https://klasma.github.io/Logging_0980/tillsyn/A 10419-2025 tillsynsbegäran.docx", "A 10419-2025")</f>
        <v/>
      </c>
      <c r="AD93">
        <f>HYPERLINK("https://klasma.github.io/Logging_0980/tillsynsmail/A 10419-2025 tillsynsbegäran mail.docx", "A 10419-2025")</f>
        <v/>
      </c>
    </row>
    <row r="94" ht="15" customHeight="1">
      <c r="A94" t="inlineStr">
        <is>
          <t>A 35293-2025</t>
        </is>
      </c>
      <c r="B94" t="inlineStr">
        <is>
          <t>avverkningsanmälan</t>
        </is>
      </c>
      <c r="C94" t="inlineStr">
        <is>
          <t>Föryngringsavverkning</t>
        </is>
      </c>
      <c r="D94" s="1" t="n">
        <v>45854</v>
      </c>
      <c r="E94" s="1" t="n">
        <v>46321</v>
      </c>
      <c r="F94" t="inlineStr">
        <is>
          <t>GOTLANDS LÄN</t>
        </is>
      </c>
      <c r="G94" t="inlineStr">
        <is>
          <t>GOTLAND</t>
        </is>
      </c>
      <c r="I94" t="n">
        <v>9.199999999999999</v>
      </c>
      <c r="J94" t="n">
        <v>1</v>
      </c>
      <c r="K94" t="n">
        <v>1</v>
      </c>
      <c r="L94" t="n">
        <v>5</v>
      </c>
      <c r="M94" t="n">
        <v>1</v>
      </c>
      <c r="N94" t="n">
        <v>0</v>
      </c>
      <c r="O94" t="n">
        <v>0</v>
      </c>
      <c r="P94" t="n">
        <v>0</v>
      </c>
      <c r="Q94" t="n">
        <v>6</v>
      </c>
      <c r="R94" t="n">
        <v>1</v>
      </c>
      <c r="S94" t="n">
        <v>7</v>
      </c>
      <c r="T94" t="n">
        <v>16</v>
      </c>
      <c r="U94" t="n">
        <v>16</v>
      </c>
      <c r="V94" s="2" t="inlineStr">
        <is>
          <t>Knutört
Axveronika
Krusfrö
Loppstarr
Svinrot
Ängsstarr
Skogsknipprot</t>
        </is>
      </c>
      <c r="W94">
        <f>HYPERLINK("https://klasma.github.io/Logging_0980/artfynd/A 35293-2025 artfynd.xlsx", "A 35293-2025")</f>
        <v/>
      </c>
      <c r="X94">
        <f>HYPERLINK("https://klasma.github.io/Logging_0980/kartor/A 35293-2025 karta.png", "A 35293-2025")</f>
        <v/>
      </c>
      <c r="Y94">
        <f>HYPERLINK("https://klasma.github.io/Logging_0980/kartor_geotiff/A 35293-2025 georefererad karta.tif", "A 35293-2025")</f>
        <v/>
      </c>
      <c r="AA94">
        <f>HYPERLINK("https://klasma.github.io/Logging_0980/klagomål/A 35293-2025 FSC-klagomål.docx", "A 35293-2025")</f>
        <v/>
      </c>
      <c r="AB94">
        <f>HYPERLINK("https://klasma.github.io/Logging_0980/klagomålsmail/A 35293-2025 FSC-klagomål mail.docx", "A 35293-2025")</f>
        <v/>
      </c>
      <c r="AC94">
        <f>HYPERLINK("https://klasma.github.io/Logging_0980/tillsyn/A 35293-2025 tillsynsbegäran.docx", "A 35293-2025")</f>
        <v/>
      </c>
      <c r="AD94">
        <f>HYPERLINK("https://klasma.github.io/Logging_0980/tillsynsmail/A 35293-2025 tillsynsbegäran mail.docx", "A 35293-2025")</f>
        <v/>
      </c>
    </row>
    <row r="95" ht="15" customHeight="1">
      <c r="A95" t="inlineStr">
        <is>
          <t>A 2085-2023</t>
        </is>
      </c>
      <c r="B95" t="inlineStr">
        <is>
          <t>avverkningsanmälan</t>
        </is>
      </c>
      <c r="C95" t="inlineStr">
        <is>
          <t>Föryngringsavverkning</t>
        </is>
      </c>
      <c r="D95" s="1" t="n">
        <v>44939</v>
      </c>
      <c r="E95" s="1" t="n">
        <v>46321</v>
      </c>
      <c r="F95" t="inlineStr">
        <is>
          <t>GOTLANDS LÄN</t>
        </is>
      </c>
      <c r="G95" t="inlineStr">
        <is>
          <t>GOTLAND</t>
        </is>
      </c>
      <c r="I95" t="n">
        <v>0.9</v>
      </c>
      <c r="J95" t="n">
        <v>2</v>
      </c>
      <c r="K95" t="n">
        <v>4</v>
      </c>
      <c r="L95" t="n">
        <v>2</v>
      </c>
      <c r="M95" t="n">
        <v>0</v>
      </c>
      <c r="N95" t="n">
        <v>0</v>
      </c>
      <c r="O95" t="n">
        <v>0</v>
      </c>
      <c r="P95" t="n">
        <v>0</v>
      </c>
      <c r="Q95" t="n">
        <v>2</v>
      </c>
      <c r="R95" t="n">
        <v>0</v>
      </c>
      <c r="S95" t="n">
        <v>7</v>
      </c>
      <c r="T95" t="n">
        <v>14</v>
      </c>
      <c r="U95" t="n">
        <v>14</v>
      </c>
      <c r="V95" s="2" t="inlineStr">
        <is>
          <t>Blå slemspindling
Kattfotslav
Blåmossa
Mindre märgborre
Skogsknipprot
Vågbandad barkbock
Skogsduva</t>
        </is>
      </c>
      <c r="W95">
        <f>HYPERLINK("https://klasma.github.io/Logging_0980/artfynd/A 2085-2023 artfynd.xlsx", "A 2085-2023")</f>
        <v/>
      </c>
      <c r="X95">
        <f>HYPERLINK("https://klasma.github.io/Logging_0980/kartor/A 2085-2023 karta.png", "A 2085-2023")</f>
        <v/>
      </c>
      <c r="Y95">
        <f>HYPERLINK("https://klasma.github.io/Logging_0980/kartor_geotiff/A 2085-2023 georefererad karta.tif", "A 2085-2023")</f>
        <v/>
      </c>
      <c r="AA95">
        <f>HYPERLINK("https://klasma.github.io/Logging_0980/klagomål/A 2085-2023 FSC-klagomål.docx", "A 2085-2023")</f>
        <v/>
      </c>
      <c r="AB95">
        <f>HYPERLINK("https://klasma.github.io/Logging_0980/klagomålsmail/A 2085-2023 FSC-klagomål mail.docx", "A 2085-2023")</f>
        <v/>
      </c>
      <c r="AC95">
        <f>HYPERLINK("https://klasma.github.io/Logging_0980/tillsyn/A 2085-2023 tillsynsbegäran.docx", "A 2085-2023")</f>
        <v/>
      </c>
      <c r="AD95">
        <f>HYPERLINK("https://klasma.github.io/Logging_0980/tillsynsmail/A 2085-2023 tillsynsbegäran mail.docx", "A 2085-2023")</f>
        <v/>
      </c>
    </row>
    <row r="96" ht="15" customHeight="1">
      <c r="A96" t="inlineStr">
        <is>
          <t>A 62552-2022</t>
        </is>
      </c>
      <c r="B96" t="inlineStr">
        <is>
          <t>avverkningsanmälan</t>
        </is>
      </c>
      <c r="C96" t="inlineStr">
        <is>
          <t>Föryngringsavverkning</t>
        </is>
      </c>
      <c r="D96" s="1" t="n">
        <v>44924</v>
      </c>
      <c r="E96" s="1" t="n">
        <v>46321</v>
      </c>
      <c r="F96" t="inlineStr">
        <is>
          <t>GOTLANDS LÄN</t>
        </is>
      </c>
      <c r="G96" t="inlineStr">
        <is>
          <t>GOTLAND</t>
        </is>
      </c>
      <c r="I96" t="n">
        <v>1.6</v>
      </c>
      <c r="J96" t="n">
        <v>0</v>
      </c>
      <c r="K96" t="n">
        <v>2</v>
      </c>
      <c r="L96" t="n">
        <v>2</v>
      </c>
      <c r="M96" t="n">
        <v>3</v>
      </c>
      <c r="N96" t="n">
        <v>0</v>
      </c>
      <c r="O96" t="n">
        <v>0</v>
      </c>
      <c r="P96" t="n">
        <v>0</v>
      </c>
      <c r="Q96" t="n">
        <v>5</v>
      </c>
      <c r="R96" t="n">
        <v>3</v>
      </c>
      <c r="S96" t="n">
        <v>7</v>
      </c>
      <c r="T96" t="n">
        <v>14</v>
      </c>
      <c r="U96" t="n">
        <v>13</v>
      </c>
      <c r="V96" s="2" t="inlineStr">
        <is>
          <t>Fågelträcksspindling
Gulsträngad fagerspindling
Trollspindling
Odörspindling
Äggspindling
Anisspindling
Olivspindling</t>
        </is>
      </c>
      <c r="W96">
        <f>HYPERLINK("https://klasma.github.io/Logging_0980/artfynd/A 62552-2022 artfynd.xlsx", "A 62552-2022")</f>
        <v/>
      </c>
      <c r="X96">
        <f>HYPERLINK("https://klasma.github.io/Logging_0980/kartor/A 62552-2022 karta.png", "A 62552-2022")</f>
        <v/>
      </c>
      <c r="Y96">
        <f>HYPERLINK("https://klasma.github.io/Logging_0980/kartor_geotiff/A 62552-2022 georefererad karta.tif", "A 62552-2022")</f>
        <v/>
      </c>
      <c r="AA96">
        <f>HYPERLINK("https://klasma.github.io/Logging_0980/klagomål/A 62552-2022 FSC-klagomål.docx", "A 62552-2022")</f>
        <v/>
      </c>
      <c r="AB96">
        <f>HYPERLINK("https://klasma.github.io/Logging_0980/klagomålsmail/A 62552-2022 FSC-klagomål mail.docx", "A 62552-2022")</f>
        <v/>
      </c>
      <c r="AC96">
        <f>HYPERLINK("https://klasma.github.io/Logging_0980/tillsyn/A 62552-2022 tillsynsbegäran.docx", "A 62552-2022")</f>
        <v/>
      </c>
      <c r="AD96">
        <f>HYPERLINK("https://klasma.github.io/Logging_0980/tillsynsmail/A 62552-2022 tillsynsbegäran mail.docx", "A 62552-2022")</f>
        <v/>
      </c>
    </row>
    <row r="97" ht="15" customHeight="1">
      <c r="A97" t="inlineStr">
        <is>
          <t>A 1854-2026</t>
        </is>
      </c>
      <c r="B97" t="inlineStr">
        <is>
          <t>avverkningsanmälan</t>
        </is>
      </c>
      <c r="C97" t="inlineStr">
        <is>
          <t>Föryngringsavverkning</t>
        </is>
      </c>
      <c r="D97" s="1" t="n">
        <v>46035</v>
      </c>
      <c r="E97" s="1" t="n">
        <v>46321</v>
      </c>
      <c r="F97" t="inlineStr">
        <is>
          <t>GOTLANDS LÄN</t>
        </is>
      </c>
      <c r="G97" t="inlineStr">
        <is>
          <t>GOTLAND</t>
        </is>
      </c>
      <c r="I97" t="n">
        <v>3</v>
      </c>
      <c r="J97" t="n">
        <v>1</v>
      </c>
      <c r="K97" t="n">
        <v>0</v>
      </c>
      <c r="L97" t="n">
        <v>3</v>
      </c>
      <c r="M97" t="n">
        <v>0</v>
      </c>
      <c r="N97" t="n">
        <v>2</v>
      </c>
      <c r="O97" t="n">
        <v>0</v>
      </c>
      <c r="P97" t="n">
        <v>0</v>
      </c>
      <c r="Q97" t="n">
        <v>5</v>
      </c>
      <c r="R97" t="n">
        <v>2</v>
      </c>
      <c r="S97" t="n">
        <v>7</v>
      </c>
      <c r="T97" t="n">
        <v>41</v>
      </c>
      <c r="U97" t="n">
        <v>41</v>
      </c>
      <c r="V97" s="2" t="inlineStr">
        <is>
          <t>Ask
Lundalm
Blå slemspindling
Sårläka
Tallticka
Blåsippa
Kransmossa</t>
        </is>
      </c>
      <c r="W97">
        <f>HYPERLINK("https://klasma.github.io/Logging_0980/artfynd/A 1854-2026 artfynd.xlsx", "A 1854-2026")</f>
        <v/>
      </c>
      <c r="X97">
        <f>HYPERLINK("https://klasma.github.io/Logging_0980/kartor/A 1854-2026 karta.png", "A 1854-2026")</f>
        <v/>
      </c>
      <c r="Y97">
        <f>HYPERLINK("https://klasma.github.io/Logging_0980/kartor_geotiff/A 1854-2026 georefererad karta.tif", "A 1854-2026")</f>
        <v/>
      </c>
      <c r="AA97">
        <f>HYPERLINK("https://klasma.github.io/Logging_0980/klagomål/A 1854-2026 FSC-klagomål.docx", "A 1854-2026")</f>
        <v/>
      </c>
      <c r="AB97">
        <f>HYPERLINK("https://klasma.github.io/Logging_0980/klagomålsmail/A 1854-2026 FSC-klagomål mail.docx", "A 1854-2026")</f>
        <v/>
      </c>
      <c r="AC97">
        <f>HYPERLINK("https://klasma.github.io/Logging_0980/tillsyn/A 1854-2026 tillsynsbegäran.docx", "A 1854-2026")</f>
        <v/>
      </c>
      <c r="AD97">
        <f>HYPERLINK("https://klasma.github.io/Logging_0980/tillsynsmail/A 1854-2026 tillsynsbegäran mail.docx", "A 1854-2026")</f>
        <v/>
      </c>
    </row>
    <row r="98" ht="15" customHeight="1">
      <c r="A98" t="inlineStr">
        <is>
          <t>A 34142-2024</t>
        </is>
      </c>
      <c r="B98" t="inlineStr">
        <is>
          <t>avverkningsanmälan</t>
        </is>
      </c>
      <c r="C98" t="inlineStr">
        <is>
          <t>Föryngringsavverkning</t>
        </is>
      </c>
      <c r="D98" s="1" t="n">
        <v>45524</v>
      </c>
      <c r="E98" s="1" t="n">
        <v>46321</v>
      </c>
      <c r="F98" t="inlineStr">
        <is>
          <t>GOTLANDS LÄN</t>
        </is>
      </c>
      <c r="G98" t="inlineStr">
        <is>
          <t>GOTLAND</t>
        </is>
      </c>
      <c r="I98" t="n">
        <v>6</v>
      </c>
      <c r="J98" t="n">
        <v>1</v>
      </c>
      <c r="K98" t="n">
        <v>2</v>
      </c>
      <c r="L98" t="n">
        <v>3</v>
      </c>
      <c r="M98" t="n">
        <v>2</v>
      </c>
      <c r="N98" t="n">
        <v>0</v>
      </c>
      <c r="O98" t="n">
        <v>0</v>
      </c>
      <c r="P98" t="n">
        <v>0</v>
      </c>
      <c r="Q98" t="n">
        <v>5</v>
      </c>
      <c r="R98" t="n">
        <v>2</v>
      </c>
      <c r="S98" t="n">
        <v>7</v>
      </c>
      <c r="T98" t="n">
        <v>14</v>
      </c>
      <c r="U98" t="n">
        <v>14</v>
      </c>
      <c r="V98" s="2" t="inlineStr">
        <is>
          <t>Duvspindling
Igelkott
Blå slemspindling
Odörspindling
Rödfläckig zontaggsvamp
Anisspindling
Nästrot</t>
        </is>
      </c>
      <c r="W98">
        <f>HYPERLINK("https://klasma.github.io/Logging_0980/artfynd/A 34142-2024 artfynd.xlsx", "A 34142-2024")</f>
        <v/>
      </c>
      <c r="X98">
        <f>HYPERLINK("https://klasma.github.io/Logging_0980/kartor/A 34142-2024 karta.png", "A 34142-2024")</f>
        <v/>
      </c>
      <c r="Y98">
        <f>HYPERLINK("https://klasma.github.io/Logging_0980/kartor_geotiff/A 34142-2024 georefererad karta.tif", "A 34142-2024")</f>
        <v/>
      </c>
      <c r="AA98">
        <f>HYPERLINK("https://klasma.github.io/Logging_0980/klagomål/A 34142-2024 FSC-klagomål.docx", "A 34142-2024")</f>
        <v/>
      </c>
      <c r="AB98">
        <f>HYPERLINK("https://klasma.github.io/Logging_0980/klagomålsmail/A 34142-2024 FSC-klagomål mail.docx", "A 34142-2024")</f>
        <v/>
      </c>
      <c r="AC98">
        <f>HYPERLINK("https://klasma.github.io/Logging_0980/tillsyn/A 34142-2024 tillsynsbegäran.docx", "A 34142-2024")</f>
        <v/>
      </c>
      <c r="AD98">
        <f>HYPERLINK("https://klasma.github.io/Logging_0980/tillsynsmail/A 34142-2024 tillsynsbegäran mail.docx", "A 34142-2024")</f>
        <v/>
      </c>
    </row>
    <row r="99" ht="15" customHeight="1">
      <c r="A99" t="inlineStr">
        <is>
          <t>S 3948-2024</t>
        </is>
      </c>
      <c r="B99" t="inlineStr">
        <is>
          <t>samrådsanmälan</t>
        </is>
      </c>
      <c r="C99" t="inlineStr">
        <is>
          <t>Annan skogsbruksåtgärd</t>
        </is>
      </c>
      <c r="D99" s="1" t="n">
        <v>45567</v>
      </c>
      <c r="E99" s="1" t="n">
        <v>46321</v>
      </c>
      <c r="F99" t="inlineStr">
        <is>
          <t>GOTLANDS LÄN</t>
        </is>
      </c>
      <c r="G99" t="inlineStr">
        <is>
          <t>GOTLAND</t>
        </is>
      </c>
      <c r="I99" t="n">
        <v>2</v>
      </c>
      <c r="J99" t="n">
        <v>1</v>
      </c>
      <c r="K99" t="n">
        <v>4</v>
      </c>
      <c r="L99" t="n">
        <v>2</v>
      </c>
      <c r="M99" t="n">
        <v>0</v>
      </c>
      <c r="N99" t="n">
        <v>0</v>
      </c>
      <c r="O99" t="n">
        <v>0</v>
      </c>
      <c r="P99" t="n">
        <v>0</v>
      </c>
      <c r="Q99" t="n">
        <v>2</v>
      </c>
      <c r="R99" t="n">
        <v>0</v>
      </c>
      <c r="S99" t="n">
        <v>7</v>
      </c>
      <c r="T99" t="n">
        <v>7</v>
      </c>
      <c r="U99" t="n">
        <v>1</v>
      </c>
      <c r="V99" s="2" t="inlineStr">
        <is>
          <t>Barrfagerspindling
Blå slemspindling
Anisspindling
Brandmusseron
Rödgul trumpetsvamp
Svavelriska
Svartvit flugsnappare</t>
        </is>
      </c>
      <c r="W99">
        <f>HYPERLINK("https://klasma.github.io/Logging_0980/artfynd/S 3948-2024 artfynd.xlsx", "S 3948-2024")</f>
        <v/>
      </c>
      <c r="X99">
        <f>HYPERLINK("https://klasma.github.io/Logging_0980/kartor/S 3948-2024 karta.png", "S 3948-2024")</f>
        <v/>
      </c>
      <c r="Y99">
        <f>HYPERLINK("https://klasma.github.io/Logging_0980/kartor_geotiff/S 3948-2024 georefererad karta.tif", "S 3948-2024")</f>
        <v/>
      </c>
      <c r="AA99">
        <f>HYPERLINK("https://klasma.github.io/Logging_0980/klagomål/S 3948-2024 FSC-klagomål.docx", "S 3948-2024")</f>
        <v/>
      </c>
      <c r="AB99">
        <f>HYPERLINK("https://klasma.github.io/Logging_0980/klagomålsmail/S 3948-2024 FSC-klagomål mail.docx", "S 3948-2024")</f>
        <v/>
      </c>
      <c r="AC99">
        <f>HYPERLINK("https://klasma.github.io/Logging_0980/tillsyn/S 3948-2024 tillsynsbegäran.docx", "S 3948-2024")</f>
        <v/>
      </c>
      <c r="AD99">
        <f>HYPERLINK("https://klasma.github.io/Logging_0980/tillsynsmail/S 3948-2024 tillsynsbegäran mail.docx", "S 3948-2024")</f>
        <v/>
      </c>
    </row>
    <row r="100" ht="15" customHeight="1">
      <c r="A100" t="inlineStr">
        <is>
          <t>A 48126-2022</t>
        </is>
      </c>
      <c r="B100" t="inlineStr">
        <is>
          <t>avverkningsanmälan</t>
        </is>
      </c>
      <c r="C100" t="inlineStr">
        <is>
          <t>Föryngringsavverkning</t>
        </is>
      </c>
      <c r="D100" s="1" t="n">
        <v>44857</v>
      </c>
      <c r="E100" s="1" t="n">
        <v>46321</v>
      </c>
      <c r="F100" t="inlineStr">
        <is>
          <t>GOTLANDS LÄN</t>
        </is>
      </c>
      <c r="G100" t="inlineStr">
        <is>
          <t>GOTLAND</t>
        </is>
      </c>
      <c r="I100" t="n">
        <v>9.800000000000001</v>
      </c>
      <c r="J100" t="n">
        <v>3</v>
      </c>
      <c r="K100" t="n">
        <v>0</v>
      </c>
      <c r="L100" t="n">
        <v>3</v>
      </c>
      <c r="M100" t="n">
        <v>0</v>
      </c>
      <c r="N100" t="n">
        <v>0</v>
      </c>
      <c r="O100" t="n">
        <v>0</v>
      </c>
      <c r="P100" t="n">
        <v>0</v>
      </c>
      <c r="Q100" t="n">
        <v>3</v>
      </c>
      <c r="R100" t="n">
        <v>0</v>
      </c>
      <c r="S100" t="n">
        <v>6</v>
      </c>
      <c r="T100" t="n">
        <v>7</v>
      </c>
      <c r="U100" t="n">
        <v>1</v>
      </c>
      <c r="V100" s="2" t="inlineStr">
        <is>
          <t>Jordtistel
Jungfrulin
Svinrot
Spillkråka
Näktergal
Skogsduva</t>
        </is>
      </c>
      <c r="W100">
        <f>HYPERLINK("https://klasma.github.io/Logging_0980/artfynd/A 48126-2022 artfynd.xlsx", "A 48126-2022")</f>
        <v/>
      </c>
      <c r="X100">
        <f>HYPERLINK("https://klasma.github.io/Logging_0980/kartor/A 48126-2022 karta.png", "A 48126-2022")</f>
        <v/>
      </c>
      <c r="Y100">
        <f>HYPERLINK("https://klasma.github.io/Logging_0980/kartor_geotiff/A 48126-2022 georefererad karta.tif", "A 48126-2022")</f>
        <v/>
      </c>
      <c r="AA100">
        <f>HYPERLINK("https://klasma.github.io/Logging_0980/klagomål/A 48126-2022 FSC-klagomål.docx", "A 48126-2022")</f>
        <v/>
      </c>
      <c r="AB100">
        <f>HYPERLINK("https://klasma.github.io/Logging_0980/klagomålsmail/A 48126-2022 FSC-klagomål mail.docx", "A 48126-2022")</f>
        <v/>
      </c>
      <c r="AC100">
        <f>HYPERLINK("https://klasma.github.io/Logging_0980/tillsyn/A 48126-2022 tillsynsbegäran.docx", "A 48126-2022")</f>
        <v/>
      </c>
      <c r="AD100">
        <f>HYPERLINK("https://klasma.github.io/Logging_0980/tillsynsmail/A 48126-2022 tillsynsbegäran mail.docx", "A 48126-2022")</f>
        <v/>
      </c>
      <c r="AE100">
        <f>HYPERLINK("https://klasma.github.io/Logging_0980/fåglar/A 48126-2022 prioriterade fågelarter.docx", "A 48126-2022")</f>
        <v/>
      </c>
    </row>
    <row r="101" ht="15" customHeight="1">
      <c r="A101" t="inlineStr">
        <is>
          <t>A 49709-2025</t>
        </is>
      </c>
      <c r="B101" t="inlineStr">
        <is>
          <t>avverkningsanmälan</t>
        </is>
      </c>
      <c r="C101" t="inlineStr">
        <is>
          <t>Föryngringsavverkning</t>
        </is>
      </c>
      <c r="D101" s="1" t="n">
        <v>45939</v>
      </c>
      <c r="E101" s="1" t="n">
        <v>46321</v>
      </c>
      <c r="F101" t="inlineStr">
        <is>
          <t>GOTLANDS LÄN</t>
        </is>
      </c>
      <c r="G101" t="inlineStr">
        <is>
          <t>GOTLAND</t>
        </is>
      </c>
      <c r="I101" t="n">
        <v>10.2</v>
      </c>
      <c r="J101" t="n">
        <v>1</v>
      </c>
      <c r="K101" t="n">
        <v>3</v>
      </c>
      <c r="L101" t="n">
        <v>3</v>
      </c>
      <c r="M101" t="n">
        <v>0</v>
      </c>
      <c r="N101" t="n">
        <v>0</v>
      </c>
      <c r="O101" t="n">
        <v>0</v>
      </c>
      <c r="P101" t="n">
        <v>0</v>
      </c>
      <c r="Q101" t="n">
        <v>3</v>
      </c>
      <c r="R101" t="n">
        <v>0</v>
      </c>
      <c r="S101" t="n">
        <v>6</v>
      </c>
      <c r="T101" t="n">
        <v>8</v>
      </c>
      <c r="U101" t="n">
        <v>0</v>
      </c>
      <c r="V101" s="2" t="inlineStr">
        <is>
          <t>Mindre hackspett
Mörk dunört
Tallticka
Blåmossa
Grovticka
Kambräken</t>
        </is>
      </c>
      <c r="W101">
        <f>HYPERLINK("https://klasma.github.io/Logging_0980/artfynd/A 49709-2025 artfynd.xlsx", "A 49709-2025")</f>
        <v/>
      </c>
      <c r="X101">
        <f>HYPERLINK("https://klasma.github.io/Logging_0980/kartor/A 49709-2025 karta.png", "A 49709-2025")</f>
        <v/>
      </c>
      <c r="Y101">
        <f>HYPERLINK("https://klasma.github.io/Logging_0980/kartor_geotiff/A 49709-2025 georefererad karta.tif", "A 49709-2025")</f>
        <v/>
      </c>
      <c r="AA101">
        <f>HYPERLINK("https://klasma.github.io/Logging_0980/klagomål/A 49709-2025 FSC-klagomål.docx", "A 49709-2025")</f>
        <v/>
      </c>
      <c r="AB101">
        <f>HYPERLINK("https://klasma.github.io/Logging_0980/klagomålsmail/A 49709-2025 FSC-klagomål mail.docx", "A 49709-2025")</f>
        <v/>
      </c>
      <c r="AC101">
        <f>HYPERLINK("https://klasma.github.io/Logging_0980/tillsyn/A 49709-2025 tillsynsbegäran.docx", "A 49709-2025")</f>
        <v/>
      </c>
      <c r="AD101">
        <f>HYPERLINK("https://klasma.github.io/Logging_0980/tillsynsmail/A 49709-2025 tillsynsbegäran mail.docx", "A 49709-2025")</f>
        <v/>
      </c>
      <c r="AE101">
        <f>HYPERLINK("https://klasma.github.io/Logging_0980/fåglar/A 49709-2025 prioriterade fågelarter.docx", "A 49709-2025")</f>
        <v/>
      </c>
    </row>
    <row r="102" ht="15" customHeight="1">
      <c r="A102" t="inlineStr">
        <is>
          <t>A 49884-2023</t>
        </is>
      </c>
      <c r="B102" t="inlineStr">
        <is>
          <t>avverkningsanmälan</t>
        </is>
      </c>
      <c r="C102" t="inlineStr">
        <is>
          <t>Föryngringsavverkning</t>
        </is>
      </c>
      <c r="D102" s="1" t="n">
        <v>45213</v>
      </c>
      <c r="E102" s="1" t="n">
        <v>46321</v>
      </c>
      <c r="F102" t="inlineStr">
        <is>
          <t>GOTLANDS LÄN</t>
        </is>
      </c>
      <c r="G102" t="inlineStr">
        <is>
          <t>GOTLAND</t>
        </is>
      </c>
      <c r="I102" t="n">
        <v>8.9</v>
      </c>
      <c r="J102" t="n">
        <v>2</v>
      </c>
      <c r="K102" t="n">
        <v>5</v>
      </c>
      <c r="L102" t="n">
        <v>1</v>
      </c>
      <c r="M102" t="n">
        <v>0</v>
      </c>
      <c r="N102" t="n">
        <v>0</v>
      </c>
      <c r="O102" t="n">
        <v>0</v>
      </c>
      <c r="P102" t="n">
        <v>0</v>
      </c>
      <c r="Q102" t="n">
        <v>1</v>
      </c>
      <c r="R102" t="n">
        <v>0</v>
      </c>
      <c r="S102" t="n">
        <v>6</v>
      </c>
      <c r="T102" t="n">
        <v>9</v>
      </c>
      <c r="U102" t="n">
        <v>9</v>
      </c>
      <c r="V102" s="2" t="inlineStr">
        <is>
          <t>Blå slemspindling
Nästrot
Olivspindling
Rödgul trumpetsvamp
Skogsknipprot
Svavelriska</t>
        </is>
      </c>
      <c r="W102">
        <f>HYPERLINK("https://klasma.github.io/Logging_0980/artfynd/A 49884-2023 artfynd.xlsx", "A 49884-2023")</f>
        <v/>
      </c>
      <c r="X102">
        <f>HYPERLINK("https://klasma.github.io/Logging_0980/kartor/A 49884-2023 karta.png", "A 49884-2023")</f>
        <v/>
      </c>
      <c r="Y102">
        <f>HYPERLINK("https://klasma.github.io/Logging_0980/kartor_geotiff/A 49884-2023 georefererad karta.tif", "A 49884-2023")</f>
        <v/>
      </c>
      <c r="AA102">
        <f>HYPERLINK("https://klasma.github.io/Logging_0980/klagomål/A 49884-2023 FSC-klagomål.docx", "A 49884-2023")</f>
        <v/>
      </c>
      <c r="AB102">
        <f>HYPERLINK("https://klasma.github.io/Logging_0980/klagomålsmail/A 49884-2023 FSC-klagomål mail.docx", "A 49884-2023")</f>
        <v/>
      </c>
      <c r="AC102">
        <f>HYPERLINK("https://klasma.github.io/Logging_0980/tillsyn/A 49884-2023 tillsynsbegäran.docx", "A 49884-2023")</f>
        <v/>
      </c>
      <c r="AD102">
        <f>HYPERLINK("https://klasma.github.io/Logging_0980/tillsynsmail/A 49884-2023 tillsynsbegäran mail.docx", "A 49884-2023")</f>
        <v/>
      </c>
    </row>
    <row r="103" ht="15" customHeight="1">
      <c r="A103" t="inlineStr">
        <is>
          <t>A 43200-2023</t>
        </is>
      </c>
      <c r="B103" t="inlineStr">
        <is>
          <t>avverkningsanmälan</t>
        </is>
      </c>
      <c r="C103" t="inlineStr">
        <is>
          <t>Föryngringsavverkning</t>
        </is>
      </c>
      <c r="D103" s="1" t="n">
        <v>45183</v>
      </c>
      <c r="E103" s="1" t="n">
        <v>46321</v>
      </c>
      <c r="F103" t="inlineStr">
        <is>
          <t>GOTLANDS LÄN</t>
        </is>
      </c>
      <c r="G103" t="inlineStr">
        <is>
          <t>GOTLAND</t>
        </is>
      </c>
      <c r="I103" t="n">
        <v>0.5</v>
      </c>
      <c r="J103" t="n">
        <v>2</v>
      </c>
      <c r="K103" t="n">
        <v>3</v>
      </c>
      <c r="L103" t="n">
        <v>3</v>
      </c>
      <c r="M103" t="n">
        <v>0</v>
      </c>
      <c r="N103" t="n">
        <v>0</v>
      </c>
      <c r="O103" t="n">
        <v>0</v>
      </c>
      <c r="P103" t="n">
        <v>0</v>
      </c>
      <c r="Q103" t="n">
        <v>3</v>
      </c>
      <c r="R103" t="n">
        <v>0</v>
      </c>
      <c r="S103" t="n">
        <v>6</v>
      </c>
      <c r="T103" t="n">
        <v>8</v>
      </c>
      <c r="U103" t="n">
        <v>0</v>
      </c>
      <c r="V103" s="2" t="inlineStr">
        <is>
          <t>Kattfotslav
Sårläka
Vårärt
Kalktallört
Nästrot
Skogsknipprot</t>
        </is>
      </c>
      <c r="W103">
        <f>HYPERLINK("https://klasma.github.io/Logging_0980/artfynd/A 43200-2023 artfynd.xlsx", "A 43200-2023")</f>
        <v/>
      </c>
      <c r="X103">
        <f>HYPERLINK("https://klasma.github.io/Logging_0980/kartor/A 43200-2023 karta.png", "A 43200-2023")</f>
        <v/>
      </c>
      <c r="Y103">
        <f>HYPERLINK("https://klasma.github.io/Logging_0980/kartor_geotiff/A 43200-2023 georefererad karta.tif", "A 43200-2023")</f>
        <v/>
      </c>
      <c r="AA103">
        <f>HYPERLINK("https://klasma.github.io/Logging_0980/klagomål/A 43200-2023 FSC-klagomål.docx", "A 43200-2023")</f>
        <v/>
      </c>
      <c r="AB103">
        <f>HYPERLINK("https://klasma.github.io/Logging_0980/klagomålsmail/A 43200-2023 FSC-klagomål mail.docx", "A 43200-2023")</f>
        <v/>
      </c>
      <c r="AC103">
        <f>HYPERLINK("https://klasma.github.io/Logging_0980/tillsyn/A 43200-2023 tillsynsbegäran.docx", "A 43200-2023")</f>
        <v/>
      </c>
      <c r="AD103">
        <f>HYPERLINK("https://klasma.github.io/Logging_0980/tillsynsmail/A 43200-2023 tillsynsbegäran mail.docx", "A 43200-2023")</f>
        <v/>
      </c>
    </row>
    <row r="104" ht="15" customHeight="1">
      <c r="A104" t="inlineStr">
        <is>
          <t>A 20838-2024</t>
        </is>
      </c>
      <c r="B104" t="inlineStr">
        <is>
          <t>avverkningsanmälan</t>
        </is>
      </c>
      <c r="C104" t="inlineStr">
        <is>
          <t>Föryngringsavverkning</t>
        </is>
      </c>
      <c r="D104" s="1" t="n">
        <v>45439</v>
      </c>
      <c r="E104" s="1" t="n">
        <v>46321</v>
      </c>
      <c r="F104" t="inlineStr">
        <is>
          <t>GOTLANDS LÄN</t>
        </is>
      </c>
      <c r="G104" t="inlineStr">
        <is>
          <t>GOTLAND</t>
        </is>
      </c>
      <c r="I104" t="n">
        <v>0.7</v>
      </c>
      <c r="J104" t="n">
        <v>4</v>
      </c>
      <c r="K104" t="n">
        <v>2</v>
      </c>
      <c r="L104" t="n">
        <v>3</v>
      </c>
      <c r="M104" t="n">
        <v>0</v>
      </c>
      <c r="N104" t="n">
        <v>0</v>
      </c>
      <c r="O104" t="n">
        <v>0</v>
      </c>
      <c r="P104" t="n">
        <v>0</v>
      </c>
      <c r="Q104" t="n">
        <v>3</v>
      </c>
      <c r="R104" t="n">
        <v>0</v>
      </c>
      <c r="S104" t="n">
        <v>6</v>
      </c>
      <c r="T104" t="n">
        <v>15</v>
      </c>
      <c r="U104" t="n">
        <v>15</v>
      </c>
      <c r="V104" s="2" t="inlineStr">
        <is>
          <t>Backtimjan
Dårgräsfjäril
Solvända
Skogsknipprot
Tvåblad
Spillkråka</t>
        </is>
      </c>
      <c r="W104">
        <f>HYPERLINK("https://klasma.github.io/Logging_0980/artfynd/A 20838-2024 artfynd.xlsx", "A 20838-2024")</f>
        <v/>
      </c>
      <c r="X104">
        <f>HYPERLINK("https://klasma.github.io/Logging_0980/kartor/A 20838-2024 karta.png", "A 20838-2024")</f>
        <v/>
      </c>
      <c r="Y104">
        <f>HYPERLINK("https://klasma.github.io/Logging_0980/kartor_geotiff/A 20838-2024 georefererad karta.tif", "A 20838-2024")</f>
        <v/>
      </c>
      <c r="AA104">
        <f>HYPERLINK("https://klasma.github.io/Logging_0980/klagomål/A 20838-2024 FSC-klagomål.docx", "A 20838-2024")</f>
        <v/>
      </c>
      <c r="AB104">
        <f>HYPERLINK("https://klasma.github.io/Logging_0980/klagomålsmail/A 20838-2024 FSC-klagomål mail.docx", "A 20838-2024")</f>
        <v/>
      </c>
      <c r="AC104">
        <f>HYPERLINK("https://klasma.github.io/Logging_0980/tillsyn/A 20838-2024 tillsynsbegäran.docx", "A 20838-2024")</f>
        <v/>
      </c>
      <c r="AD104">
        <f>HYPERLINK("https://klasma.github.io/Logging_0980/tillsynsmail/A 20838-2024 tillsynsbegäran mail.docx", "A 20838-2024")</f>
        <v/>
      </c>
      <c r="AE104">
        <f>HYPERLINK("https://klasma.github.io/Logging_0980/fåglar/A 20838-2024 prioriterade fågelarter.docx", "A 20838-2024")</f>
        <v/>
      </c>
    </row>
    <row r="105" ht="15" customHeight="1">
      <c r="A105" t="inlineStr">
        <is>
          <t>A 64208-2021</t>
        </is>
      </c>
      <c r="B105" t="inlineStr">
        <is>
          <t>avverkningsanmälan</t>
        </is>
      </c>
      <c r="C105" t="inlineStr">
        <is>
          <t>Föryngringsavverkning</t>
        </is>
      </c>
      <c r="D105" s="1" t="n">
        <v>44510</v>
      </c>
      <c r="E105" s="1" t="n">
        <v>46321</v>
      </c>
      <c r="F105" t="inlineStr">
        <is>
          <t>GOTLANDS LÄN</t>
        </is>
      </c>
      <c r="G105" t="inlineStr">
        <is>
          <t>GOTLAND</t>
        </is>
      </c>
      <c r="I105" t="n">
        <v>4.7</v>
      </c>
      <c r="J105" t="n">
        <v>2</v>
      </c>
      <c r="K105" t="n">
        <v>0</v>
      </c>
      <c r="L105" t="n">
        <v>4</v>
      </c>
      <c r="M105" t="n">
        <v>1</v>
      </c>
      <c r="N105" t="n">
        <v>0</v>
      </c>
      <c r="O105" t="n">
        <v>0</v>
      </c>
      <c r="P105" t="n">
        <v>0</v>
      </c>
      <c r="Q105" t="n">
        <v>5</v>
      </c>
      <c r="R105" t="n">
        <v>1</v>
      </c>
      <c r="S105" t="n">
        <v>6</v>
      </c>
      <c r="T105" t="n">
        <v>9</v>
      </c>
      <c r="U105" t="n">
        <v>9</v>
      </c>
      <c r="V105" s="2" t="inlineStr">
        <is>
          <t>Svartfläckig blåvinge
Axveronika
Backtimjan
Jordtistel
Solvända
Alvarstånds</t>
        </is>
      </c>
      <c r="W105">
        <f>HYPERLINK("https://klasma.github.io/Logging_0980/artfynd/A 64208-2021 artfynd.xlsx", "A 64208-2021")</f>
        <v/>
      </c>
      <c r="X105">
        <f>HYPERLINK("https://klasma.github.io/Logging_0980/kartor/A 64208-2021 karta.png", "A 64208-2021")</f>
        <v/>
      </c>
      <c r="Y105">
        <f>HYPERLINK("https://klasma.github.io/Logging_0980/kartor_geotiff/A 64208-2021 georefererad karta.tif", "A 64208-2021")</f>
        <v/>
      </c>
      <c r="AA105">
        <f>HYPERLINK("https://klasma.github.io/Logging_0980/klagomål/A 64208-2021 FSC-klagomål.docx", "A 64208-2021")</f>
        <v/>
      </c>
      <c r="AB105">
        <f>HYPERLINK("https://klasma.github.io/Logging_0980/klagomålsmail/A 64208-2021 FSC-klagomål mail.docx", "A 64208-2021")</f>
        <v/>
      </c>
      <c r="AC105">
        <f>HYPERLINK("https://klasma.github.io/Logging_0980/tillsyn/A 64208-2021 tillsynsbegäran.docx", "A 64208-2021")</f>
        <v/>
      </c>
      <c r="AD105">
        <f>HYPERLINK("https://klasma.github.io/Logging_0980/tillsynsmail/A 64208-2021 tillsynsbegäran mail.docx", "A 64208-2021")</f>
        <v/>
      </c>
    </row>
    <row r="106" ht="15" customHeight="1">
      <c r="A106" t="inlineStr">
        <is>
          <t>A 31693-2026</t>
        </is>
      </c>
      <c r="B106" t="inlineStr">
        <is>
          <t>avverkningsanmälan</t>
        </is>
      </c>
      <c r="C106" t="inlineStr">
        <is>
          <t>Föryngringsavverkning</t>
        </is>
      </c>
      <c r="D106" s="1" t="n">
        <v>46226</v>
      </c>
      <c r="E106" s="1" t="n">
        <v>46321</v>
      </c>
      <c r="F106" t="inlineStr">
        <is>
          <t>GOTLANDS LÄN</t>
        </is>
      </c>
      <c r="G106" t="inlineStr">
        <is>
          <t>GOTLAND</t>
        </is>
      </c>
      <c r="I106" t="n">
        <v>4.8</v>
      </c>
      <c r="J106" t="n">
        <v>0</v>
      </c>
      <c r="K106" t="n">
        <v>2</v>
      </c>
      <c r="L106" t="n">
        <v>4</v>
      </c>
      <c r="M106" t="n">
        <v>0</v>
      </c>
      <c r="N106" t="n">
        <v>0</v>
      </c>
      <c r="O106" t="n">
        <v>0</v>
      </c>
      <c r="P106" t="n">
        <v>0</v>
      </c>
      <c r="Q106" t="n">
        <v>4</v>
      </c>
      <c r="R106" t="n">
        <v>0</v>
      </c>
      <c r="S106" t="n">
        <v>6</v>
      </c>
      <c r="T106" t="n">
        <v>11</v>
      </c>
      <c r="U106" t="n">
        <v>11</v>
      </c>
      <c r="V106" s="2" t="inlineStr">
        <is>
          <t>Blå slemspindling
Fjällig taggsvamp s.str.
Lädervaxing
Odörspindling
Olivspindling
Svavelriska</t>
        </is>
      </c>
      <c r="W106">
        <f>HYPERLINK("https://klasma.github.io/Logging_0980/artfynd/A 31693-2026 artfynd.xlsx", "A 31693-2026")</f>
        <v/>
      </c>
      <c r="X106">
        <f>HYPERLINK("https://klasma.github.io/Logging_0980/kartor/A 31693-2026 karta.png", "A 31693-2026")</f>
        <v/>
      </c>
      <c r="Y106">
        <f>HYPERLINK("https://klasma.github.io/Logging_0980/kartor_geotiff/A 31693-2026 georefererad karta.tif", "A 31693-2026")</f>
        <v/>
      </c>
      <c r="AA106">
        <f>HYPERLINK("https://klasma.github.io/Logging_0980/klagomål/A 31693-2026 FSC-klagomål.docx", "A 31693-2026")</f>
        <v/>
      </c>
      <c r="AB106">
        <f>HYPERLINK("https://klasma.github.io/Logging_0980/klagomålsmail/A 31693-2026 FSC-klagomål mail.docx", "A 31693-2026")</f>
        <v/>
      </c>
      <c r="AC106">
        <f>HYPERLINK("https://klasma.github.io/Logging_0980/tillsyn/A 31693-2026 tillsynsbegäran.docx", "A 31693-2026")</f>
        <v/>
      </c>
      <c r="AD106">
        <f>HYPERLINK("https://klasma.github.io/Logging_0980/tillsynsmail/A 31693-2026 tillsynsbegäran mail.docx", "A 31693-2026")</f>
        <v/>
      </c>
    </row>
    <row r="107" ht="15" customHeight="1">
      <c r="A107" t="inlineStr">
        <is>
          <t>A 39400-2026</t>
        </is>
      </c>
      <c r="B107" t="inlineStr">
        <is>
          <t>avverkningsanmälan</t>
        </is>
      </c>
      <c r="C107" t="inlineStr">
        <is>
          <t>Föryngringsavverkning</t>
        </is>
      </c>
      <c r="D107" s="1" t="n">
        <v>46288</v>
      </c>
      <c r="E107" s="1" t="n">
        <v>46321</v>
      </c>
      <c r="F107" t="inlineStr">
        <is>
          <t>GOTLANDS LÄN</t>
        </is>
      </c>
      <c r="G107" t="inlineStr">
        <is>
          <t>GOTLAND</t>
        </is>
      </c>
      <c r="I107" t="n">
        <v>5.4</v>
      </c>
      <c r="J107" t="n">
        <v>1</v>
      </c>
      <c r="K107" t="n">
        <v>2</v>
      </c>
      <c r="L107" t="n">
        <v>1</v>
      </c>
      <c r="M107" t="n">
        <v>3</v>
      </c>
      <c r="N107" t="n">
        <v>0</v>
      </c>
      <c r="O107" t="n">
        <v>0</v>
      </c>
      <c r="P107" t="n">
        <v>0</v>
      </c>
      <c r="Q107" t="n">
        <v>4</v>
      </c>
      <c r="R107" t="n">
        <v>3</v>
      </c>
      <c r="S107" t="n">
        <v>6</v>
      </c>
      <c r="T107" t="n">
        <v>8</v>
      </c>
      <c r="U107" t="n">
        <v>8</v>
      </c>
      <c r="V107" s="2" t="inlineStr">
        <is>
          <t>Gulsträngad fagerspindling
Svartgrön spindling
Trollspindling
Kungsörn
Anisspindling
Rödbrun jordstjärna</t>
        </is>
      </c>
      <c r="W107">
        <f>HYPERLINK("https://klasma.github.io/Logging_0980/artfynd/A 39400-2026 artfynd.xlsx", "A 39400-2026")</f>
        <v/>
      </c>
      <c r="X107">
        <f>HYPERLINK("https://klasma.github.io/Logging_0980/kartor/A 39400-2026 karta.png", "A 39400-2026")</f>
        <v/>
      </c>
      <c r="Y107">
        <f>HYPERLINK("https://klasma.github.io/Logging_0980/kartor_geotiff/A 39400-2026 georefererad karta.tif", "A 39400-2026")</f>
        <v/>
      </c>
      <c r="AA107">
        <f>HYPERLINK("https://klasma.github.io/Logging_0980/klagomål/A 39400-2026 FSC-klagomål.docx", "A 39400-2026")</f>
        <v/>
      </c>
      <c r="AB107">
        <f>HYPERLINK("https://klasma.github.io/Logging_0980/klagomålsmail/A 39400-2026 FSC-klagomål mail.docx", "A 39400-2026")</f>
        <v/>
      </c>
      <c r="AC107">
        <f>HYPERLINK("https://klasma.github.io/Logging_0980/tillsyn/A 39400-2026 tillsynsbegäran.docx", "A 39400-2026")</f>
        <v/>
      </c>
      <c r="AD107">
        <f>HYPERLINK("https://klasma.github.io/Logging_0980/tillsynsmail/A 39400-2026 tillsynsbegäran mail.docx", "A 39400-2026")</f>
        <v/>
      </c>
      <c r="AE107">
        <f>HYPERLINK("https://klasma.github.io/Logging_0980/fåglar/A 39400-2026 prioriterade fågelarter.docx", "A 39400-2026")</f>
        <v/>
      </c>
    </row>
    <row r="108" ht="15" customHeight="1">
      <c r="A108" t="inlineStr">
        <is>
          <t>A 16823-2024</t>
        </is>
      </c>
      <c r="B108" t="inlineStr">
        <is>
          <t>avverkningsanmälan</t>
        </is>
      </c>
      <c r="C108" t="inlineStr">
        <is>
          <t>Avverkning för annat ändamål</t>
        </is>
      </c>
      <c r="D108" s="1" t="n">
        <v>45411</v>
      </c>
      <c r="E108" s="1" t="n">
        <v>46321</v>
      </c>
      <c r="F108" t="inlineStr">
        <is>
          <t>GOTLANDS LÄN</t>
        </is>
      </c>
      <c r="G108" t="inlineStr">
        <is>
          <t>GOTLAND</t>
        </is>
      </c>
      <c r="I108" t="n">
        <v>25.4</v>
      </c>
      <c r="J108" t="n">
        <v>5</v>
      </c>
      <c r="K108" t="n">
        <v>1</v>
      </c>
      <c r="L108" t="n">
        <v>2</v>
      </c>
      <c r="M108" t="n">
        <v>0</v>
      </c>
      <c r="N108" t="n">
        <v>0</v>
      </c>
      <c r="O108" t="n">
        <v>0</v>
      </c>
      <c r="P108" t="n">
        <v>0</v>
      </c>
      <c r="Q108" t="n">
        <v>2</v>
      </c>
      <c r="R108" t="n">
        <v>0</v>
      </c>
      <c r="S108" t="n">
        <v>6</v>
      </c>
      <c r="T108" t="n">
        <v>8</v>
      </c>
      <c r="U108" t="n">
        <v>7</v>
      </c>
      <c r="V108" s="2" t="inlineStr">
        <is>
          <t>Gulsparv
Jordtistel
Flugblomster
Brudsporre
Johannesnycklar
Sankt pers nycklar</t>
        </is>
      </c>
      <c r="W108">
        <f>HYPERLINK("https://klasma.github.io/Logging_0980/artfynd/A 16823-2024 artfynd.xlsx", "A 16823-2024")</f>
        <v/>
      </c>
      <c r="X108">
        <f>HYPERLINK("https://klasma.github.io/Logging_0980/kartor/A 16823-2024 karta.png", "A 16823-2024")</f>
        <v/>
      </c>
      <c r="Y108">
        <f>HYPERLINK("https://klasma.github.io/Logging_0980/kartor_geotiff/A 16823-2024 georefererad karta.tif", "A 16823-2024")</f>
        <v/>
      </c>
      <c r="AA108">
        <f>HYPERLINK("https://klasma.github.io/Logging_0980/klagomål/A 16823-2024 FSC-klagomål.docx", "A 16823-2024")</f>
        <v/>
      </c>
      <c r="AB108">
        <f>HYPERLINK("https://klasma.github.io/Logging_0980/klagomålsmail/A 16823-2024 FSC-klagomål mail.docx", "A 16823-2024")</f>
        <v/>
      </c>
      <c r="AC108">
        <f>HYPERLINK("https://klasma.github.io/Logging_0980/tillsyn/A 16823-2024 tillsynsbegäran.docx", "A 16823-2024")</f>
        <v/>
      </c>
      <c r="AD108">
        <f>HYPERLINK("https://klasma.github.io/Logging_0980/tillsynsmail/A 16823-2024 tillsynsbegäran mail.docx", "A 16823-2024")</f>
        <v/>
      </c>
      <c r="AE108">
        <f>HYPERLINK("https://klasma.github.io/Logging_0980/fåglar/A 16823-2024 prioriterade fågelarter.docx", "A 16823-2024")</f>
        <v/>
      </c>
    </row>
    <row r="109" ht="15" customHeight="1">
      <c r="A109" t="inlineStr">
        <is>
          <t>S 452-2025</t>
        </is>
      </c>
      <c r="B109" t="inlineStr">
        <is>
          <t>samrådsanmälan</t>
        </is>
      </c>
      <c r="C109" t="inlineStr">
        <is>
          <t>Askåterföring</t>
        </is>
      </c>
      <c r="D109" s="1" t="n">
        <v>45701</v>
      </c>
      <c r="E109" s="1" t="n">
        <v>46321</v>
      </c>
      <c r="F109" t="inlineStr">
        <is>
          <t>GOTLANDS LÄN</t>
        </is>
      </c>
      <c r="G109" t="inlineStr">
        <is>
          <t>GOTLAND</t>
        </is>
      </c>
      <c r="H109" t="inlineStr">
        <is>
          <t>Övriga statliga verk och myndigheter</t>
        </is>
      </c>
      <c r="I109" t="n">
        <v>31.5</v>
      </c>
      <c r="J109" t="n">
        <v>1</v>
      </c>
      <c r="K109" t="n">
        <v>0</v>
      </c>
      <c r="L109" t="n">
        <v>4</v>
      </c>
      <c r="M109" t="n">
        <v>2</v>
      </c>
      <c r="N109" t="n">
        <v>0</v>
      </c>
      <c r="O109" t="n">
        <v>0</v>
      </c>
      <c r="P109" t="n">
        <v>0</v>
      </c>
      <c r="Q109" t="n">
        <v>6</v>
      </c>
      <c r="R109" t="n">
        <v>2</v>
      </c>
      <c r="S109" t="n">
        <v>6</v>
      </c>
      <c r="T109" t="n">
        <v>6</v>
      </c>
      <c r="U109" t="n">
        <v>4</v>
      </c>
      <c r="V109" s="2" t="inlineStr">
        <is>
          <t>Sexfläckig bastardsvärmare
Sommarklynne
Apollofjäril
Grådådra
Vippärt
Åkerranunkel</t>
        </is>
      </c>
      <c r="W109">
        <f>HYPERLINK("https://klasma.github.io/Logging_0980/artfynd/S 452-2025 artfynd.xlsx", "S 452-2025")</f>
        <v/>
      </c>
      <c r="X109">
        <f>HYPERLINK("https://klasma.github.io/Logging_0980/kartor/S 452-2025 karta.png", "S 452-2025")</f>
        <v/>
      </c>
      <c r="Y109">
        <f>HYPERLINK("https://klasma.github.io/Logging_0980/kartor_geotiff/S 452-2025 georefererad karta.tif", "S 452-2025")</f>
        <v/>
      </c>
      <c r="AA109">
        <f>HYPERLINK("https://klasma.github.io/Logging_0980/klagomål/S 452-2025 FSC-klagomål.docx", "S 452-2025")</f>
        <v/>
      </c>
      <c r="AB109">
        <f>HYPERLINK("https://klasma.github.io/Logging_0980/klagomålsmail/S 452-2025 FSC-klagomål mail.docx", "S 452-2025")</f>
        <v/>
      </c>
      <c r="AC109">
        <f>HYPERLINK("https://klasma.github.io/Logging_0980/tillsyn/S 452-2025 tillsynsbegäran.docx", "S 452-2025")</f>
        <v/>
      </c>
      <c r="AD109">
        <f>HYPERLINK("https://klasma.github.io/Logging_0980/tillsynsmail/S 452-2025 tillsynsbegäran mail.docx", "S 452-2025")</f>
        <v/>
      </c>
    </row>
    <row r="110" ht="15" customHeight="1">
      <c r="A110" t="inlineStr">
        <is>
          <t>A 5904-2024</t>
        </is>
      </c>
      <c r="B110" t="inlineStr">
        <is>
          <t>avverkningsanmälan</t>
        </is>
      </c>
      <c r="C110" t="inlineStr">
        <is>
          <t>Föryngringsavverkning</t>
        </is>
      </c>
      <c r="D110" s="1" t="n">
        <v>45335</v>
      </c>
      <c r="E110" s="1" t="n">
        <v>46321</v>
      </c>
      <c r="F110" t="inlineStr">
        <is>
          <t>GOTLANDS LÄN</t>
        </is>
      </c>
      <c r="G110" t="inlineStr">
        <is>
          <t>GOTLAND</t>
        </is>
      </c>
      <c r="I110" t="n">
        <v>6.4</v>
      </c>
      <c r="J110" t="n">
        <v>1</v>
      </c>
      <c r="K110" t="n">
        <v>1</v>
      </c>
      <c r="L110" t="n">
        <v>3</v>
      </c>
      <c r="M110" t="n">
        <v>0</v>
      </c>
      <c r="N110" t="n">
        <v>0</v>
      </c>
      <c r="O110" t="n">
        <v>0</v>
      </c>
      <c r="P110" t="n">
        <v>0</v>
      </c>
      <c r="Q110" t="n">
        <v>3</v>
      </c>
      <c r="R110" t="n">
        <v>0</v>
      </c>
      <c r="S110" t="n">
        <v>5</v>
      </c>
      <c r="T110" t="n">
        <v>11</v>
      </c>
      <c r="U110" t="n">
        <v>8</v>
      </c>
      <c r="V110" s="2" t="inlineStr">
        <is>
          <t>Backstarr
Backtimjan
Kattfotslav
Blåmossa
Sankt pers nycklar</t>
        </is>
      </c>
      <c r="W110">
        <f>HYPERLINK("https://klasma.github.io/Logging_0980/artfynd/A 5904-2024 artfynd.xlsx", "A 5904-2024")</f>
        <v/>
      </c>
      <c r="X110">
        <f>HYPERLINK("https://klasma.github.io/Logging_0980/kartor/A 5904-2024 karta.png", "A 5904-2024")</f>
        <v/>
      </c>
      <c r="Y110">
        <f>HYPERLINK("https://klasma.github.io/Logging_0980/kartor_geotiff/A 5904-2024 georefererad karta.tif", "A 5904-2024")</f>
        <v/>
      </c>
      <c r="AA110">
        <f>HYPERLINK("https://klasma.github.io/Logging_0980/klagomål/A 5904-2024 FSC-klagomål.docx", "A 5904-2024")</f>
        <v/>
      </c>
      <c r="AB110">
        <f>HYPERLINK("https://klasma.github.io/Logging_0980/klagomålsmail/A 5904-2024 FSC-klagomål mail.docx", "A 5904-2024")</f>
        <v/>
      </c>
      <c r="AC110">
        <f>HYPERLINK("https://klasma.github.io/Logging_0980/tillsyn/A 5904-2024 tillsynsbegäran.docx", "A 5904-2024")</f>
        <v/>
      </c>
      <c r="AD110">
        <f>HYPERLINK("https://klasma.github.io/Logging_0980/tillsynsmail/A 5904-2024 tillsynsbegäran mail.docx", "A 5904-2024")</f>
        <v/>
      </c>
    </row>
    <row r="111" ht="15" customHeight="1">
      <c r="A111" t="inlineStr">
        <is>
          <t>A 8265-2023</t>
        </is>
      </c>
      <c r="B111" t="inlineStr">
        <is>
          <t>avverkningsanmälan</t>
        </is>
      </c>
      <c r="C111" t="inlineStr">
        <is>
          <t>Föryngringsavverkning</t>
        </is>
      </c>
      <c r="D111" s="1" t="n">
        <v>44974</v>
      </c>
      <c r="E111" s="1" t="n">
        <v>46321</v>
      </c>
      <c r="F111" t="inlineStr">
        <is>
          <t>GOTLANDS LÄN</t>
        </is>
      </c>
      <c r="G111" t="inlineStr">
        <is>
          <t>GOTLAND</t>
        </is>
      </c>
      <c r="I111" t="n">
        <v>3.3</v>
      </c>
      <c r="J111" t="n">
        <v>4</v>
      </c>
      <c r="K111" t="n">
        <v>3</v>
      </c>
      <c r="L111" t="n">
        <v>1</v>
      </c>
      <c r="M111" t="n">
        <v>0</v>
      </c>
      <c r="N111" t="n">
        <v>0</v>
      </c>
      <c r="O111" t="n">
        <v>0</v>
      </c>
      <c r="P111" t="n">
        <v>0</v>
      </c>
      <c r="Q111" t="n">
        <v>1</v>
      </c>
      <c r="R111" t="n">
        <v>0</v>
      </c>
      <c r="S111" t="n">
        <v>5</v>
      </c>
      <c r="T111" t="n">
        <v>9</v>
      </c>
      <c r="U111" t="n">
        <v>9</v>
      </c>
      <c r="V111" s="2" t="inlineStr">
        <is>
          <t>Säfferot
Flugblomster
Purpurknipprot
Tvåblad
Salepsrot</t>
        </is>
      </c>
      <c r="W111">
        <f>HYPERLINK("https://klasma.github.io/Logging_0980/artfynd/A 8265-2023 artfynd.xlsx", "A 8265-2023")</f>
        <v/>
      </c>
      <c r="X111">
        <f>HYPERLINK("https://klasma.github.io/Logging_0980/kartor/A 8265-2023 karta.png", "A 8265-2023")</f>
        <v/>
      </c>
      <c r="Y111">
        <f>HYPERLINK("https://klasma.github.io/Logging_0980/kartor_geotiff/A 8265-2023 georefererad karta.tif", "A 8265-2023")</f>
        <v/>
      </c>
      <c r="AA111">
        <f>HYPERLINK("https://klasma.github.io/Logging_0980/klagomål/A 8265-2023 FSC-klagomål.docx", "A 8265-2023")</f>
        <v/>
      </c>
      <c r="AB111">
        <f>HYPERLINK("https://klasma.github.io/Logging_0980/klagomålsmail/A 8265-2023 FSC-klagomål mail.docx", "A 8265-2023")</f>
        <v/>
      </c>
      <c r="AC111">
        <f>HYPERLINK("https://klasma.github.io/Logging_0980/tillsyn/A 8265-2023 tillsynsbegäran.docx", "A 8265-2023")</f>
        <v/>
      </c>
      <c r="AD111">
        <f>HYPERLINK("https://klasma.github.io/Logging_0980/tillsynsmail/A 8265-2023 tillsynsbegäran mail.docx", "A 8265-2023")</f>
        <v/>
      </c>
    </row>
    <row r="112" ht="15" customHeight="1">
      <c r="A112" t="inlineStr">
        <is>
          <t>A 73144-2021</t>
        </is>
      </c>
      <c r="B112" t="inlineStr">
        <is>
          <t>avverkningsanmälan</t>
        </is>
      </c>
      <c r="C112" t="inlineStr">
        <is>
          <t>Föryngringsavverkning</t>
        </is>
      </c>
      <c r="D112" s="1" t="n">
        <v>44550</v>
      </c>
      <c r="E112" s="1" t="n">
        <v>46321</v>
      </c>
      <c r="F112" t="inlineStr">
        <is>
          <t>GOTLANDS LÄN</t>
        </is>
      </c>
      <c r="G112" t="inlineStr">
        <is>
          <t>GOTLAND</t>
        </is>
      </c>
      <c r="I112" t="n">
        <v>1.9</v>
      </c>
      <c r="J112" t="n">
        <v>0</v>
      </c>
      <c r="K112" t="n">
        <v>1</v>
      </c>
      <c r="L112" t="n">
        <v>1</v>
      </c>
      <c r="M112" t="n">
        <v>3</v>
      </c>
      <c r="N112" t="n">
        <v>0</v>
      </c>
      <c r="O112" t="n">
        <v>0</v>
      </c>
      <c r="P112" t="n">
        <v>0</v>
      </c>
      <c r="Q112" t="n">
        <v>4</v>
      </c>
      <c r="R112" t="n">
        <v>3</v>
      </c>
      <c r="S112" t="n">
        <v>5</v>
      </c>
      <c r="T112" t="n">
        <v>7</v>
      </c>
      <c r="U112" t="n">
        <v>7</v>
      </c>
      <c r="V112" s="2" t="inlineStr">
        <is>
          <t>Igelkott
Skogskorn
Svartgrön spindling
Äggspindling
Kambräken</t>
        </is>
      </c>
      <c r="W112">
        <f>HYPERLINK("https://klasma.github.io/Logging_0980/artfynd/A 73144-2021 artfynd.xlsx", "A 73144-2021")</f>
        <v/>
      </c>
      <c r="X112">
        <f>HYPERLINK("https://klasma.github.io/Logging_0980/kartor/A 73144-2021 karta.png", "A 73144-2021")</f>
        <v/>
      </c>
      <c r="Y112">
        <f>HYPERLINK("https://klasma.github.io/Logging_0980/kartor_geotiff/A 73144-2021 georefererad karta.tif", "A 73144-2021")</f>
        <v/>
      </c>
      <c r="AA112">
        <f>HYPERLINK("https://klasma.github.io/Logging_0980/klagomål/A 73144-2021 FSC-klagomål.docx", "A 73144-2021")</f>
        <v/>
      </c>
      <c r="AB112">
        <f>HYPERLINK("https://klasma.github.io/Logging_0980/klagomålsmail/A 73144-2021 FSC-klagomål mail.docx", "A 73144-2021")</f>
        <v/>
      </c>
      <c r="AC112">
        <f>HYPERLINK("https://klasma.github.io/Logging_0980/tillsyn/A 73144-2021 tillsynsbegäran.docx", "A 73144-2021")</f>
        <v/>
      </c>
      <c r="AD112">
        <f>HYPERLINK("https://klasma.github.io/Logging_0980/tillsynsmail/A 73144-2021 tillsynsbegäran mail.docx", "A 73144-2021")</f>
        <v/>
      </c>
    </row>
    <row r="113" ht="15" customHeight="1">
      <c r="A113" t="inlineStr">
        <is>
          <t>A 57463-2025</t>
        </is>
      </c>
      <c r="B113" t="inlineStr">
        <is>
          <t>avverkningsanmälan</t>
        </is>
      </c>
      <c r="C113" t="inlineStr">
        <is>
          <t>Föryngringsavverkning</t>
        </is>
      </c>
      <c r="D113" s="1" t="n">
        <v>45980</v>
      </c>
      <c r="E113" s="1" t="n">
        <v>46321</v>
      </c>
      <c r="F113" t="inlineStr">
        <is>
          <t>GOTLANDS LÄN</t>
        </is>
      </c>
      <c r="G113" t="inlineStr">
        <is>
          <t>GOTLAND</t>
        </is>
      </c>
      <c r="I113" t="n">
        <v>3.8</v>
      </c>
      <c r="J113" t="n">
        <v>0</v>
      </c>
      <c r="K113" t="n">
        <v>0</v>
      </c>
      <c r="L113" t="n">
        <v>2</v>
      </c>
      <c r="M113" t="n">
        <v>3</v>
      </c>
      <c r="N113" t="n">
        <v>0</v>
      </c>
      <c r="O113" t="n">
        <v>0</v>
      </c>
      <c r="P113" t="n">
        <v>0</v>
      </c>
      <c r="Q113" t="n">
        <v>5</v>
      </c>
      <c r="R113" t="n">
        <v>3</v>
      </c>
      <c r="S113" t="n">
        <v>5</v>
      </c>
      <c r="T113" t="n">
        <v>7</v>
      </c>
      <c r="U113" t="n">
        <v>0</v>
      </c>
      <c r="V113" s="2" t="inlineStr">
        <is>
          <t>Bullspindling
Gulsträngad fagerspindling
Tvillingspindling
Blå slemspindling
Odörspindling</t>
        </is>
      </c>
      <c r="W113">
        <f>HYPERLINK("https://klasma.github.io/Logging_0980/artfynd/A 57463-2025 artfynd.xlsx", "A 57463-2025")</f>
        <v/>
      </c>
      <c r="X113">
        <f>HYPERLINK("https://klasma.github.io/Logging_0980/kartor/A 57463-2025 karta.png", "A 57463-2025")</f>
        <v/>
      </c>
      <c r="Y113">
        <f>HYPERLINK("https://klasma.github.io/Logging_0980/kartor_geotiff/A 57463-2025 georefererad karta.tif", "A 57463-2025")</f>
        <v/>
      </c>
      <c r="AA113">
        <f>HYPERLINK("https://klasma.github.io/Logging_0980/klagomål/A 57463-2025 FSC-klagomål.docx", "A 57463-2025")</f>
        <v/>
      </c>
      <c r="AB113">
        <f>HYPERLINK("https://klasma.github.io/Logging_0980/klagomålsmail/A 57463-2025 FSC-klagomål mail.docx", "A 57463-2025")</f>
        <v/>
      </c>
      <c r="AC113">
        <f>HYPERLINK("https://klasma.github.io/Logging_0980/tillsyn/A 57463-2025 tillsynsbegäran.docx", "A 57463-2025")</f>
        <v/>
      </c>
      <c r="AD113">
        <f>HYPERLINK("https://klasma.github.io/Logging_0980/tillsynsmail/A 57463-2025 tillsynsbegäran mail.docx", "A 57463-2025")</f>
        <v/>
      </c>
    </row>
    <row r="114" ht="15" customHeight="1">
      <c r="A114" t="inlineStr">
        <is>
          <t>A 54055-2022</t>
        </is>
      </c>
      <c r="B114" t="inlineStr">
        <is>
          <t>avverkningsanmälan</t>
        </is>
      </c>
      <c r="C114" t="inlineStr">
        <is>
          <t>Föryngringsavverkning</t>
        </is>
      </c>
      <c r="D114" s="1" t="n">
        <v>44881</v>
      </c>
      <c r="E114" s="1" t="n">
        <v>46321</v>
      </c>
      <c r="F114" t="inlineStr">
        <is>
          <t>GOTLANDS LÄN</t>
        </is>
      </c>
      <c r="G114" t="inlineStr">
        <is>
          <t>GOTLAND</t>
        </is>
      </c>
      <c r="I114" t="n">
        <v>4.6</v>
      </c>
      <c r="J114" t="n">
        <v>0</v>
      </c>
      <c r="K114" t="n">
        <v>2</v>
      </c>
      <c r="L114" t="n">
        <v>2</v>
      </c>
      <c r="M114" t="n">
        <v>1</v>
      </c>
      <c r="N114" t="n">
        <v>0</v>
      </c>
      <c r="O114" t="n">
        <v>0</v>
      </c>
      <c r="P114" t="n">
        <v>0</v>
      </c>
      <c r="Q114" t="n">
        <v>3</v>
      </c>
      <c r="R114" t="n">
        <v>1</v>
      </c>
      <c r="S114" t="n">
        <v>5</v>
      </c>
      <c r="T114" t="n">
        <v>8</v>
      </c>
      <c r="U114" t="n">
        <v>0</v>
      </c>
      <c r="V114" s="2" t="inlineStr">
        <is>
          <t>Duvspindling
Kryddspindling
Odörspindling
Diskvaxskivling
Olivspindling</t>
        </is>
      </c>
      <c r="W114">
        <f>HYPERLINK("https://klasma.github.io/Logging_0980/artfynd/A 54055-2022 artfynd.xlsx", "A 54055-2022")</f>
        <v/>
      </c>
      <c r="X114">
        <f>HYPERLINK("https://klasma.github.io/Logging_0980/kartor/A 54055-2022 karta.png", "A 54055-2022")</f>
        <v/>
      </c>
      <c r="Y114">
        <f>HYPERLINK("https://klasma.github.io/Logging_0980/kartor_geotiff/A 54055-2022 georefererad karta.tif", "A 54055-2022")</f>
        <v/>
      </c>
      <c r="AA114">
        <f>HYPERLINK("https://klasma.github.io/Logging_0980/klagomål/A 54055-2022 FSC-klagomål.docx", "A 54055-2022")</f>
        <v/>
      </c>
      <c r="AB114">
        <f>HYPERLINK("https://klasma.github.io/Logging_0980/klagomålsmail/A 54055-2022 FSC-klagomål mail.docx", "A 54055-2022")</f>
        <v/>
      </c>
      <c r="AC114">
        <f>HYPERLINK("https://klasma.github.io/Logging_0980/tillsyn/A 54055-2022 tillsynsbegäran.docx", "A 54055-2022")</f>
        <v/>
      </c>
      <c r="AD114">
        <f>HYPERLINK("https://klasma.github.io/Logging_0980/tillsynsmail/A 54055-2022 tillsynsbegäran mail.docx", "A 54055-2022")</f>
        <v/>
      </c>
    </row>
    <row r="115" ht="15" customHeight="1">
      <c r="A115" t="inlineStr">
        <is>
          <t>A 62836-2025</t>
        </is>
      </c>
      <c r="B115" t="inlineStr">
        <is>
          <t>avverkningsanmälan</t>
        </is>
      </c>
      <c r="C115" t="inlineStr">
        <is>
          <t>Föryngringsavverkning</t>
        </is>
      </c>
      <c r="D115" s="1" t="n">
        <v>46008</v>
      </c>
      <c r="E115" s="1" t="n">
        <v>46321</v>
      </c>
      <c r="F115" t="inlineStr">
        <is>
          <t>GOTLANDS LÄN</t>
        </is>
      </c>
      <c r="G115" t="inlineStr">
        <is>
          <t>GOTLAND</t>
        </is>
      </c>
      <c r="I115" t="n">
        <v>6.5</v>
      </c>
      <c r="J115" t="n">
        <v>0</v>
      </c>
      <c r="K115" t="n">
        <v>1</v>
      </c>
      <c r="L115" t="n">
        <v>3</v>
      </c>
      <c r="M115" t="n">
        <v>1</v>
      </c>
      <c r="N115" t="n">
        <v>0</v>
      </c>
      <c r="O115" t="n">
        <v>0</v>
      </c>
      <c r="P115" t="n">
        <v>0</v>
      </c>
      <c r="Q115" t="n">
        <v>4</v>
      </c>
      <c r="R115" t="n">
        <v>1</v>
      </c>
      <c r="S115" t="n">
        <v>5</v>
      </c>
      <c r="T115" t="n">
        <v>5</v>
      </c>
      <c r="U115" t="n">
        <v>5</v>
      </c>
      <c r="V115" s="2" t="inlineStr">
        <is>
          <t>Svartgrön spindling
Dropptaggsvamp
Flattoppad klubbsvamp
Kryddspindling
Svavelriska</t>
        </is>
      </c>
      <c r="W115">
        <f>HYPERLINK("https://klasma.github.io/Logging_0980/artfynd/A 62836-2025 artfynd.xlsx", "A 62836-2025")</f>
        <v/>
      </c>
      <c r="X115">
        <f>HYPERLINK("https://klasma.github.io/Logging_0980/kartor/A 62836-2025 karta.png", "A 62836-2025")</f>
        <v/>
      </c>
      <c r="Y115">
        <f>HYPERLINK("https://klasma.github.io/Logging_0980/kartor_geotiff/A 62836-2025 georefererad karta.tif", "A 62836-2025")</f>
        <v/>
      </c>
      <c r="AA115">
        <f>HYPERLINK("https://klasma.github.io/Logging_0980/klagomål/A 62836-2025 FSC-klagomål.docx", "A 62836-2025")</f>
        <v/>
      </c>
      <c r="AB115">
        <f>HYPERLINK("https://klasma.github.io/Logging_0980/klagomålsmail/A 62836-2025 FSC-klagomål mail.docx", "A 62836-2025")</f>
        <v/>
      </c>
      <c r="AC115">
        <f>HYPERLINK("https://klasma.github.io/Logging_0980/tillsyn/A 62836-2025 tillsynsbegäran.docx", "A 62836-2025")</f>
        <v/>
      </c>
      <c r="AD115">
        <f>HYPERLINK("https://klasma.github.io/Logging_0980/tillsynsmail/A 62836-2025 tillsynsbegäran mail.docx", "A 62836-2025")</f>
        <v/>
      </c>
    </row>
    <row r="116" ht="15" customHeight="1">
      <c r="A116" t="inlineStr">
        <is>
          <t>A 43197-2023</t>
        </is>
      </c>
      <c r="B116" t="inlineStr">
        <is>
          <t>avverkningsanmälan</t>
        </is>
      </c>
      <c r="C116" t="inlineStr">
        <is>
          <t>Föryngringsavverkning</t>
        </is>
      </c>
      <c r="D116" s="1" t="n">
        <v>45183</v>
      </c>
      <c r="E116" s="1" t="n">
        <v>46321</v>
      </c>
      <c r="F116" t="inlineStr">
        <is>
          <t>GOTLANDS LÄN</t>
        </is>
      </c>
      <c r="G116" t="inlineStr">
        <is>
          <t>GOTLAND</t>
        </is>
      </c>
      <c r="I116" t="n">
        <v>3.7</v>
      </c>
      <c r="J116" t="n">
        <v>2</v>
      </c>
      <c r="K116" t="n">
        <v>1</v>
      </c>
      <c r="L116" t="n">
        <v>1</v>
      </c>
      <c r="M116" t="n">
        <v>1</v>
      </c>
      <c r="N116" t="n">
        <v>1</v>
      </c>
      <c r="O116" t="n">
        <v>0</v>
      </c>
      <c r="P116" t="n">
        <v>0</v>
      </c>
      <c r="Q116" t="n">
        <v>3</v>
      </c>
      <c r="R116" t="n">
        <v>2</v>
      </c>
      <c r="S116" t="n">
        <v>5</v>
      </c>
      <c r="T116" t="n">
        <v>7</v>
      </c>
      <c r="U116" t="n">
        <v>0</v>
      </c>
      <c r="V116" s="2" t="inlineStr">
        <is>
          <t>Ask
Allékantlav
Svinrot
Skogsknipprot
Revlummer</t>
        </is>
      </c>
      <c r="W116">
        <f>HYPERLINK("https://klasma.github.io/Logging_0980/artfynd/A 43197-2023 artfynd.xlsx", "A 43197-2023")</f>
        <v/>
      </c>
      <c r="X116">
        <f>HYPERLINK("https://klasma.github.io/Logging_0980/kartor/A 43197-2023 karta.png", "A 43197-2023")</f>
        <v/>
      </c>
      <c r="Y116">
        <f>HYPERLINK("https://klasma.github.io/Logging_0980/kartor_geotiff/A 43197-2023 georefererad karta.tif", "A 43197-2023")</f>
        <v/>
      </c>
      <c r="AA116">
        <f>HYPERLINK("https://klasma.github.io/Logging_0980/klagomål/A 43197-2023 FSC-klagomål.docx", "A 43197-2023")</f>
        <v/>
      </c>
      <c r="AB116">
        <f>HYPERLINK("https://klasma.github.io/Logging_0980/klagomålsmail/A 43197-2023 FSC-klagomål mail.docx", "A 43197-2023")</f>
        <v/>
      </c>
      <c r="AC116">
        <f>HYPERLINK("https://klasma.github.io/Logging_0980/tillsyn/A 43197-2023 tillsynsbegäran.docx", "A 43197-2023")</f>
        <v/>
      </c>
      <c r="AD116">
        <f>HYPERLINK("https://klasma.github.io/Logging_0980/tillsynsmail/A 43197-2023 tillsynsbegäran mail.docx", "A 43197-2023")</f>
        <v/>
      </c>
    </row>
    <row r="117" ht="15" customHeight="1">
      <c r="A117" t="inlineStr">
        <is>
          <t>A 42936-2024</t>
        </is>
      </c>
      <c r="B117" t="inlineStr">
        <is>
          <t>avverkningsanmälan</t>
        </is>
      </c>
      <c r="C117" t="inlineStr">
        <is>
          <t>Föryngringsavverkning</t>
        </is>
      </c>
      <c r="D117" s="1" t="n">
        <v>45567</v>
      </c>
      <c r="E117" s="1" t="n">
        <v>46321</v>
      </c>
      <c r="F117" t="inlineStr">
        <is>
          <t>GOTLANDS LÄN</t>
        </is>
      </c>
      <c r="G117" t="inlineStr">
        <is>
          <t>GOTLAND</t>
        </is>
      </c>
      <c r="I117" t="n">
        <v>3.4</v>
      </c>
      <c r="J117" t="n">
        <v>0</v>
      </c>
      <c r="K117" t="n">
        <v>1</v>
      </c>
      <c r="L117" t="n">
        <v>3</v>
      </c>
      <c r="M117" t="n">
        <v>1</v>
      </c>
      <c r="N117" t="n">
        <v>0</v>
      </c>
      <c r="O117" t="n">
        <v>0</v>
      </c>
      <c r="P117" t="n">
        <v>0</v>
      </c>
      <c r="Q117" t="n">
        <v>4</v>
      </c>
      <c r="R117" t="n">
        <v>1</v>
      </c>
      <c r="S117" t="n">
        <v>5</v>
      </c>
      <c r="T117" t="n">
        <v>5</v>
      </c>
      <c r="U117" t="n">
        <v>0</v>
      </c>
      <c r="V117" s="2" t="inlineStr">
        <is>
          <t>Vit taggsvamp
Barrfagerspindling
Blå slemspindling
Äggspindling
Svavelriska</t>
        </is>
      </c>
      <c r="W117">
        <f>HYPERLINK("https://klasma.github.io/Logging_0980/artfynd/A 42936-2024 artfynd.xlsx", "A 42936-2024")</f>
        <v/>
      </c>
      <c r="X117">
        <f>HYPERLINK("https://klasma.github.io/Logging_0980/kartor/A 42936-2024 karta.png", "A 42936-2024")</f>
        <v/>
      </c>
      <c r="Y117">
        <f>HYPERLINK("https://klasma.github.io/Logging_0980/kartor_geotiff/A 42936-2024 georefererad karta.tif", "A 42936-2024")</f>
        <v/>
      </c>
      <c r="AA117">
        <f>HYPERLINK("https://klasma.github.io/Logging_0980/klagomål/A 42936-2024 FSC-klagomål.docx", "A 42936-2024")</f>
        <v/>
      </c>
      <c r="AB117">
        <f>HYPERLINK("https://klasma.github.io/Logging_0980/klagomålsmail/A 42936-2024 FSC-klagomål mail.docx", "A 42936-2024")</f>
        <v/>
      </c>
      <c r="AC117">
        <f>HYPERLINK("https://klasma.github.io/Logging_0980/tillsyn/A 42936-2024 tillsynsbegäran.docx", "A 42936-2024")</f>
        <v/>
      </c>
      <c r="AD117">
        <f>HYPERLINK("https://klasma.github.io/Logging_0980/tillsynsmail/A 42936-2024 tillsynsbegäran mail.docx", "A 42936-2024")</f>
        <v/>
      </c>
    </row>
    <row r="118" ht="15" customHeight="1">
      <c r="A118" t="inlineStr">
        <is>
          <t>A 39425-2023</t>
        </is>
      </c>
      <c r="B118" t="inlineStr">
        <is>
          <t>avverkningsanmälan</t>
        </is>
      </c>
      <c r="C118" t="inlineStr">
        <is>
          <t>Avverkning för annat ändamål</t>
        </is>
      </c>
      <c r="D118" s="1" t="n">
        <v>45166</v>
      </c>
      <c r="E118" s="1" t="n">
        <v>46321</v>
      </c>
      <c r="F118" t="inlineStr">
        <is>
          <t>GOTLANDS LÄN</t>
        </is>
      </c>
      <c r="G118" t="inlineStr">
        <is>
          <t>GOTLAND</t>
        </is>
      </c>
      <c r="I118" t="n">
        <v>3.9</v>
      </c>
      <c r="J118" t="n">
        <v>1</v>
      </c>
      <c r="K118" t="n">
        <v>3</v>
      </c>
      <c r="L118" t="n">
        <v>0</v>
      </c>
      <c r="M118" t="n">
        <v>1</v>
      </c>
      <c r="N118" t="n">
        <v>1</v>
      </c>
      <c r="O118" t="n">
        <v>0</v>
      </c>
      <c r="P118" t="n">
        <v>0</v>
      </c>
      <c r="Q118" t="n">
        <v>2</v>
      </c>
      <c r="R118" t="n">
        <v>2</v>
      </c>
      <c r="S118" t="n">
        <v>5</v>
      </c>
      <c r="T118" t="n">
        <v>7</v>
      </c>
      <c r="U118" t="n">
        <v>7</v>
      </c>
      <c r="V118" s="2" t="inlineStr">
        <is>
          <t>Violgubbe
Knärot
Anisspindling
Rödgul trumpetsvamp
Svavelriska</t>
        </is>
      </c>
      <c r="W118">
        <f>HYPERLINK("https://klasma.github.io/Logging_0980/artfynd/A 39425-2023 artfynd.xlsx", "A 39425-2023")</f>
        <v/>
      </c>
      <c r="X118">
        <f>HYPERLINK("https://klasma.github.io/Logging_0980/kartor/A 39425-2023 karta.png", "A 39425-2023")</f>
        <v/>
      </c>
      <c r="Y118">
        <f>HYPERLINK("https://klasma.github.io/Logging_0980/kartor_geotiff/A 39425-2023 georefererad karta.tif", "A 39425-2023")</f>
        <v/>
      </c>
      <c r="Z118">
        <f>HYPERLINK("https://klasma.github.io/Logging_0980/knärot/A 39425-2023 karta knärot.png", "A 39425-2023")</f>
        <v/>
      </c>
      <c r="AA118">
        <f>HYPERLINK("https://klasma.github.io/Logging_0980/klagomål/A 39425-2023 FSC-klagomål.docx", "A 39425-2023")</f>
        <v/>
      </c>
      <c r="AB118">
        <f>HYPERLINK("https://klasma.github.io/Logging_0980/klagomålsmail/A 39425-2023 FSC-klagomål mail.docx", "A 39425-2023")</f>
        <v/>
      </c>
      <c r="AC118">
        <f>HYPERLINK("https://klasma.github.io/Logging_0980/tillsyn/A 39425-2023 tillsynsbegäran.docx", "A 39425-2023")</f>
        <v/>
      </c>
      <c r="AD118">
        <f>HYPERLINK("https://klasma.github.io/Logging_0980/tillsynsmail/A 39425-2023 tillsynsbegäran mail.docx", "A 39425-2023")</f>
        <v/>
      </c>
    </row>
    <row r="119" ht="15" customHeight="1">
      <c r="A119" t="inlineStr">
        <is>
          <t>S 1702-2020</t>
        </is>
      </c>
      <c r="B119" t="inlineStr">
        <is>
          <t>samrådsanmälan</t>
        </is>
      </c>
      <c r="C119" t="n">
        <v/>
      </c>
      <c r="D119" s="1" t="n">
        <v>44040</v>
      </c>
      <c r="E119" s="1" t="n">
        <v>46321</v>
      </c>
      <c r="F119" t="inlineStr">
        <is>
          <t>GOTLANDS LÄN</t>
        </is>
      </c>
      <c r="G119" t="inlineStr">
        <is>
          <t>GOTLAND</t>
        </is>
      </c>
      <c r="I119" t="n">
        <v>2.7</v>
      </c>
      <c r="J119" t="n">
        <v>0</v>
      </c>
      <c r="K119" t="n">
        <v>0</v>
      </c>
      <c r="L119" t="n">
        <v>0</v>
      </c>
      <c r="M119" t="n">
        <v>2</v>
      </c>
      <c r="N119" t="n">
        <v>3</v>
      </c>
      <c r="O119" t="n">
        <v>0</v>
      </c>
      <c r="P119" t="n">
        <v>0</v>
      </c>
      <c r="Q119" t="n">
        <v>5</v>
      </c>
      <c r="R119" t="n">
        <v>5</v>
      </c>
      <c r="S119" t="n">
        <v>5</v>
      </c>
      <c r="T119" t="n">
        <v>7</v>
      </c>
      <c r="U119" t="n">
        <v>7</v>
      </c>
      <c r="V119" s="2" t="inlineStr">
        <is>
          <t>Almlav
Lundalm
Savlundlav
Blek kraterlav
Klosterlav</t>
        </is>
      </c>
      <c r="W119">
        <f>HYPERLINK("https://klasma.github.io/Logging_0980/artfynd/S 1702-2020 artfynd.xlsx", "S 1702-2020")</f>
        <v/>
      </c>
      <c r="X119">
        <f>HYPERLINK("https://klasma.github.io/Logging_0980/kartor/S 1702-2020 karta.png", "S 1702-2020")</f>
        <v/>
      </c>
      <c r="Y119">
        <f>HYPERLINK("https://klasma.github.io/Logging_0980/kartor_geotiff/S 1702-2020 georefererad karta.tif", "S 1702-2020")</f>
        <v/>
      </c>
      <c r="AA119">
        <f>HYPERLINK("https://klasma.github.io/Logging_0980/klagomål/S 1702-2020 FSC-klagomål.docx", "S 1702-2020")</f>
        <v/>
      </c>
      <c r="AB119">
        <f>HYPERLINK("https://klasma.github.io/Logging_0980/klagomålsmail/S 1702-2020 FSC-klagomål mail.docx", "S 1702-2020")</f>
        <v/>
      </c>
      <c r="AC119">
        <f>HYPERLINK("https://klasma.github.io/Logging_0980/tillsyn/S 1702-2020 tillsynsbegäran.docx", "S 1702-2020")</f>
        <v/>
      </c>
      <c r="AD119">
        <f>HYPERLINK("https://klasma.github.io/Logging_0980/tillsynsmail/S 1702-2020 tillsynsbegäran mail.docx", "S 1702-2020")</f>
        <v/>
      </c>
    </row>
    <row r="120" ht="15" customHeight="1">
      <c r="A120" t="inlineStr">
        <is>
          <t>A 35550-2025</t>
        </is>
      </c>
      <c r="B120" t="inlineStr">
        <is>
          <t>avverkningsanmälan</t>
        </is>
      </c>
      <c r="C120" t="inlineStr">
        <is>
          <t>Föryngringsavverkning</t>
        </is>
      </c>
      <c r="D120" s="1" t="n">
        <v>45856</v>
      </c>
      <c r="E120" s="1" t="n">
        <v>46321</v>
      </c>
      <c r="F120" t="inlineStr">
        <is>
          <t>GOTLANDS LÄN</t>
        </is>
      </c>
      <c r="G120" t="inlineStr">
        <is>
          <t>GOTLAND</t>
        </is>
      </c>
      <c r="I120" t="n">
        <v>3.2</v>
      </c>
      <c r="J120" t="n">
        <v>1</v>
      </c>
      <c r="K120" t="n">
        <v>2</v>
      </c>
      <c r="L120" t="n">
        <v>1</v>
      </c>
      <c r="M120" t="n">
        <v>0</v>
      </c>
      <c r="N120" t="n">
        <v>0</v>
      </c>
      <c r="O120" t="n">
        <v>0</v>
      </c>
      <c r="P120" t="n">
        <v>0</v>
      </c>
      <c r="Q120" t="n">
        <v>1</v>
      </c>
      <c r="R120" t="n">
        <v>0</v>
      </c>
      <c r="S120" t="n">
        <v>4</v>
      </c>
      <c r="T120" t="n">
        <v>7</v>
      </c>
      <c r="U120" t="n">
        <v>7</v>
      </c>
      <c r="V120" s="2" t="inlineStr">
        <is>
          <t>Sårläka
Skogsknipprot
Strimspindling
Kransmossa</t>
        </is>
      </c>
      <c r="W120">
        <f>HYPERLINK("https://klasma.github.io/Logging_0980/artfynd/A 35550-2025 artfynd.xlsx", "A 35550-2025")</f>
        <v/>
      </c>
      <c r="X120">
        <f>HYPERLINK("https://klasma.github.io/Logging_0980/kartor/A 35550-2025 karta.png", "A 35550-2025")</f>
        <v/>
      </c>
      <c r="Y120">
        <f>HYPERLINK("https://klasma.github.io/Logging_0980/kartor_geotiff/A 35550-2025 georefererad karta.tif", "A 35550-2025")</f>
        <v/>
      </c>
      <c r="AA120">
        <f>HYPERLINK("https://klasma.github.io/Logging_0980/klagomål/A 35550-2025 FSC-klagomål.docx", "A 35550-2025")</f>
        <v/>
      </c>
      <c r="AB120">
        <f>HYPERLINK("https://klasma.github.io/Logging_0980/klagomålsmail/A 35550-2025 FSC-klagomål mail.docx", "A 35550-2025")</f>
        <v/>
      </c>
      <c r="AC120">
        <f>HYPERLINK("https://klasma.github.io/Logging_0980/tillsyn/A 35550-2025 tillsynsbegäran.docx", "A 35550-2025")</f>
        <v/>
      </c>
      <c r="AD120">
        <f>HYPERLINK("https://klasma.github.io/Logging_0980/tillsynsmail/A 35550-2025 tillsynsbegäran mail.docx", "A 35550-2025")</f>
        <v/>
      </c>
    </row>
    <row r="121" ht="15" customHeight="1">
      <c r="A121" t="inlineStr">
        <is>
          <t>A 56717-2024</t>
        </is>
      </c>
      <c r="B121" t="inlineStr">
        <is>
          <t>avverkningsanmälan</t>
        </is>
      </c>
      <c r="C121" t="inlineStr">
        <is>
          <t>Föryngringsavverkning</t>
        </is>
      </c>
      <c r="D121" s="1" t="n">
        <v>45628</v>
      </c>
      <c r="E121" s="1" t="n">
        <v>46321</v>
      </c>
      <c r="F121" t="inlineStr">
        <is>
          <t>GOTLANDS LÄN</t>
        </is>
      </c>
      <c r="G121" t="inlineStr">
        <is>
          <t>GOTLAND</t>
        </is>
      </c>
      <c r="I121" t="n">
        <v>9.699999999999999</v>
      </c>
      <c r="J121" t="n">
        <v>0</v>
      </c>
      <c r="K121" t="n">
        <v>1</v>
      </c>
      <c r="L121" t="n">
        <v>3</v>
      </c>
      <c r="M121" t="n">
        <v>0</v>
      </c>
      <c r="N121" t="n">
        <v>0</v>
      </c>
      <c r="O121" t="n">
        <v>0</v>
      </c>
      <c r="P121" t="n">
        <v>0</v>
      </c>
      <c r="Q121" t="n">
        <v>3</v>
      </c>
      <c r="R121" t="n">
        <v>0</v>
      </c>
      <c r="S121" t="n">
        <v>4</v>
      </c>
      <c r="T121" t="n">
        <v>5</v>
      </c>
      <c r="U121" t="n">
        <v>0</v>
      </c>
      <c r="V121" s="2" t="inlineStr">
        <is>
          <t>Fjällig taggsvamp s.str.
Kattfotslav
Odörspindling
Havstulpanlav</t>
        </is>
      </c>
      <c r="W121">
        <f>HYPERLINK("https://klasma.github.io/Logging_0980/artfynd/A 56717-2024 artfynd.xlsx", "A 56717-2024")</f>
        <v/>
      </c>
      <c r="X121">
        <f>HYPERLINK("https://klasma.github.io/Logging_0980/kartor/A 56717-2024 karta.png", "A 56717-2024")</f>
        <v/>
      </c>
      <c r="Y121">
        <f>HYPERLINK("https://klasma.github.io/Logging_0980/kartor_geotiff/A 56717-2024 georefererad karta.tif", "A 56717-2024")</f>
        <v/>
      </c>
      <c r="AA121">
        <f>HYPERLINK("https://klasma.github.io/Logging_0980/klagomål/A 56717-2024 FSC-klagomål.docx", "A 56717-2024")</f>
        <v/>
      </c>
      <c r="AB121">
        <f>HYPERLINK("https://klasma.github.io/Logging_0980/klagomålsmail/A 56717-2024 FSC-klagomål mail.docx", "A 56717-2024")</f>
        <v/>
      </c>
      <c r="AC121">
        <f>HYPERLINK("https://klasma.github.io/Logging_0980/tillsyn/A 56717-2024 tillsynsbegäran.docx", "A 56717-2024")</f>
        <v/>
      </c>
      <c r="AD121">
        <f>HYPERLINK("https://klasma.github.io/Logging_0980/tillsynsmail/A 56717-2024 tillsynsbegäran mail.docx", "A 56717-2024")</f>
        <v/>
      </c>
    </row>
    <row r="122" ht="15" customHeight="1">
      <c r="A122" t="inlineStr">
        <is>
          <t>A 37591-2023</t>
        </is>
      </c>
      <c r="B122" t="inlineStr">
        <is>
          <t>avverkningsanmälan</t>
        </is>
      </c>
      <c r="C122" t="inlineStr">
        <is>
          <t>Föryngringsavverkning</t>
        </is>
      </c>
      <c r="D122" s="1" t="n">
        <v>45159</v>
      </c>
      <c r="E122" s="1" t="n">
        <v>46321</v>
      </c>
      <c r="F122" t="inlineStr">
        <is>
          <t>GOTLANDS LÄN</t>
        </is>
      </c>
      <c r="G122" t="inlineStr">
        <is>
          <t>GOTLAND</t>
        </is>
      </c>
      <c r="I122" t="n">
        <v>8.300000000000001</v>
      </c>
      <c r="J122" t="n">
        <v>1</v>
      </c>
      <c r="K122" t="n">
        <v>0</v>
      </c>
      <c r="L122" t="n">
        <v>3</v>
      </c>
      <c r="M122" t="n">
        <v>0</v>
      </c>
      <c r="N122" t="n">
        <v>0</v>
      </c>
      <c r="O122" t="n">
        <v>0</v>
      </c>
      <c r="P122" t="n">
        <v>0</v>
      </c>
      <c r="Q122" t="n">
        <v>3</v>
      </c>
      <c r="R122" t="n">
        <v>0</v>
      </c>
      <c r="S122" t="n">
        <v>4</v>
      </c>
      <c r="T122" t="n">
        <v>4</v>
      </c>
      <c r="U122" t="n">
        <v>1</v>
      </c>
      <c r="V122" s="2" t="inlineStr">
        <is>
          <t>Bergjohannesört
Solvända
Ängsstarr
Vanlig snok</t>
        </is>
      </c>
      <c r="W122">
        <f>HYPERLINK("https://klasma.github.io/Logging_0980/artfynd/A 37591-2023 artfynd.xlsx", "A 37591-2023")</f>
        <v/>
      </c>
      <c r="X122">
        <f>HYPERLINK("https://klasma.github.io/Logging_0980/kartor/A 37591-2023 karta.png", "A 37591-2023")</f>
        <v/>
      </c>
      <c r="Y122">
        <f>HYPERLINK("https://klasma.github.io/Logging_0980/kartor_geotiff/A 37591-2023 georefererad karta.tif", "A 37591-2023")</f>
        <v/>
      </c>
      <c r="AA122">
        <f>HYPERLINK("https://klasma.github.io/Logging_0980/klagomål/A 37591-2023 FSC-klagomål.docx", "A 37591-2023")</f>
        <v/>
      </c>
      <c r="AB122">
        <f>HYPERLINK("https://klasma.github.io/Logging_0980/klagomålsmail/A 37591-2023 FSC-klagomål mail.docx", "A 37591-2023")</f>
        <v/>
      </c>
      <c r="AC122">
        <f>HYPERLINK("https://klasma.github.io/Logging_0980/tillsyn/A 37591-2023 tillsynsbegäran.docx", "A 37591-2023")</f>
        <v/>
      </c>
      <c r="AD122">
        <f>HYPERLINK("https://klasma.github.io/Logging_0980/tillsynsmail/A 37591-2023 tillsynsbegäran mail.docx", "A 37591-2023")</f>
        <v/>
      </c>
    </row>
    <row r="123" ht="15" customHeight="1">
      <c r="A123" t="inlineStr">
        <is>
          <t>A 54523-2023</t>
        </is>
      </c>
      <c r="B123" t="inlineStr">
        <is>
          <t>avverkningsanmälan</t>
        </is>
      </c>
      <c r="C123" t="inlineStr">
        <is>
          <t>Föryngringsavverkning</t>
        </is>
      </c>
      <c r="D123" s="1" t="n">
        <v>45233</v>
      </c>
      <c r="E123" s="1" t="n">
        <v>46321</v>
      </c>
      <c r="F123" t="inlineStr">
        <is>
          <t>GOTLANDS LÄN</t>
        </is>
      </c>
      <c r="G123" t="inlineStr">
        <is>
          <t>GOTLAND</t>
        </is>
      </c>
      <c r="I123" t="n">
        <v>3.7</v>
      </c>
      <c r="J123" t="n">
        <v>2</v>
      </c>
      <c r="K123" t="n">
        <v>0</v>
      </c>
      <c r="L123" t="n">
        <v>1</v>
      </c>
      <c r="M123" t="n">
        <v>1</v>
      </c>
      <c r="N123" t="n">
        <v>0</v>
      </c>
      <c r="O123" t="n">
        <v>0</v>
      </c>
      <c r="P123" t="n">
        <v>0</v>
      </c>
      <c r="Q123" t="n">
        <v>2</v>
      </c>
      <c r="R123" t="n">
        <v>1</v>
      </c>
      <c r="S123" t="n">
        <v>4</v>
      </c>
      <c r="T123" t="n">
        <v>5</v>
      </c>
      <c r="U123" t="n">
        <v>5</v>
      </c>
      <c r="V123" s="2" t="inlineStr">
        <is>
          <t>Sommarklynne
Åkerkulla
Brudsporre
Kärrknipprot</t>
        </is>
      </c>
      <c r="W123">
        <f>HYPERLINK("https://klasma.github.io/Logging_0980/artfynd/A 54523-2023 artfynd.xlsx", "A 54523-2023")</f>
        <v/>
      </c>
      <c r="X123">
        <f>HYPERLINK("https://klasma.github.io/Logging_0980/kartor/A 54523-2023 karta.png", "A 54523-2023")</f>
        <v/>
      </c>
      <c r="Y123">
        <f>HYPERLINK("https://klasma.github.io/Logging_0980/kartor_geotiff/A 54523-2023 georefererad karta.tif", "A 54523-2023")</f>
        <v/>
      </c>
      <c r="AA123">
        <f>HYPERLINK("https://klasma.github.io/Logging_0980/klagomål/A 54523-2023 FSC-klagomål.docx", "A 54523-2023")</f>
        <v/>
      </c>
      <c r="AB123">
        <f>HYPERLINK("https://klasma.github.io/Logging_0980/klagomålsmail/A 54523-2023 FSC-klagomål mail.docx", "A 54523-2023")</f>
        <v/>
      </c>
      <c r="AC123">
        <f>HYPERLINK("https://klasma.github.io/Logging_0980/tillsyn/A 54523-2023 tillsynsbegäran.docx", "A 54523-2023")</f>
        <v/>
      </c>
      <c r="AD123">
        <f>HYPERLINK("https://klasma.github.io/Logging_0980/tillsynsmail/A 54523-2023 tillsynsbegäran mail.docx", "A 54523-2023")</f>
        <v/>
      </c>
    </row>
    <row r="124" ht="15" customHeight="1">
      <c r="A124" t="inlineStr">
        <is>
          <t>A 38832-2026</t>
        </is>
      </c>
      <c r="B124" t="inlineStr">
        <is>
          <t>avverkningsanmälan</t>
        </is>
      </c>
      <c r="C124" t="inlineStr">
        <is>
          <t>Föryngringsavverkning</t>
        </is>
      </c>
      <c r="D124" s="1" t="n">
        <v>46286</v>
      </c>
      <c r="E124" s="1" t="n">
        <v>46321</v>
      </c>
      <c r="F124" t="inlineStr">
        <is>
          <t>GOTLANDS LÄN</t>
        </is>
      </c>
      <c r="G124" t="inlineStr">
        <is>
          <t>GOTLAND</t>
        </is>
      </c>
      <c r="I124" t="n">
        <v>6</v>
      </c>
      <c r="J124" t="n">
        <v>2</v>
      </c>
      <c r="K124" t="n">
        <v>0</v>
      </c>
      <c r="L124" t="n">
        <v>2</v>
      </c>
      <c r="M124" t="n">
        <v>1</v>
      </c>
      <c r="N124" t="n">
        <v>0</v>
      </c>
      <c r="O124" t="n">
        <v>0</v>
      </c>
      <c r="P124" t="n">
        <v>0</v>
      </c>
      <c r="Q124" t="n">
        <v>3</v>
      </c>
      <c r="R124" t="n">
        <v>1</v>
      </c>
      <c r="S124" t="n">
        <v>4</v>
      </c>
      <c r="T124" t="n">
        <v>6</v>
      </c>
      <c r="U124" t="n">
        <v>5</v>
      </c>
      <c r="V124" s="2" t="inlineStr">
        <is>
          <t>Igelkott
Kattfotslav
Mindre hackspett
Stjärtmes</t>
        </is>
      </c>
      <c r="W124">
        <f>HYPERLINK("https://klasma.github.io/Logging_0980/artfynd/A 38832-2026 artfynd.xlsx", "A 38832-2026")</f>
        <v/>
      </c>
      <c r="X124">
        <f>HYPERLINK("https://klasma.github.io/Logging_0980/kartor/A 38832-2026 karta.png", "A 38832-2026")</f>
        <v/>
      </c>
      <c r="Y124">
        <f>HYPERLINK("https://klasma.github.io/Logging_0980/kartor_geotiff/A 38832-2026 georefererad karta.tif", "A 38832-2026")</f>
        <v/>
      </c>
      <c r="AA124">
        <f>HYPERLINK("https://klasma.github.io/Logging_0980/klagomål/A 38832-2026 FSC-klagomål.docx", "A 38832-2026")</f>
        <v/>
      </c>
      <c r="AB124">
        <f>HYPERLINK("https://klasma.github.io/Logging_0980/klagomålsmail/A 38832-2026 FSC-klagomål mail.docx", "A 38832-2026")</f>
        <v/>
      </c>
      <c r="AC124">
        <f>HYPERLINK("https://klasma.github.io/Logging_0980/tillsyn/A 38832-2026 tillsynsbegäran.docx", "A 38832-2026")</f>
        <v/>
      </c>
      <c r="AD124">
        <f>HYPERLINK("https://klasma.github.io/Logging_0980/tillsynsmail/A 38832-2026 tillsynsbegäran mail.docx", "A 38832-2026")</f>
        <v/>
      </c>
      <c r="AE124">
        <f>HYPERLINK("https://klasma.github.io/Logging_0980/fåglar/A 38832-2026 prioriterade fågelarter.docx", "A 38832-2026")</f>
        <v/>
      </c>
    </row>
    <row r="125" ht="15" customHeight="1">
      <c r="A125" t="inlineStr">
        <is>
          <t>A 16997-2026</t>
        </is>
      </c>
      <c r="B125" t="inlineStr">
        <is>
          <t>avverkningsanmälan</t>
        </is>
      </c>
      <c r="C125" t="inlineStr">
        <is>
          <t>Föryngringsavverkning</t>
        </is>
      </c>
      <c r="D125" s="1" t="n">
        <v>46114</v>
      </c>
      <c r="E125" s="1" t="n">
        <v>46321</v>
      </c>
      <c r="F125" t="inlineStr">
        <is>
          <t>GOTLANDS LÄN</t>
        </is>
      </c>
      <c r="G125" t="inlineStr">
        <is>
          <t>GOTLAND</t>
        </is>
      </c>
      <c r="I125" t="n">
        <v>0.7</v>
      </c>
      <c r="J125" t="n">
        <v>0</v>
      </c>
      <c r="K125" t="n">
        <v>3</v>
      </c>
      <c r="L125" t="n">
        <v>0</v>
      </c>
      <c r="M125" t="n">
        <v>0</v>
      </c>
      <c r="N125" t="n">
        <v>1</v>
      </c>
      <c r="O125" t="n">
        <v>0</v>
      </c>
      <c r="P125" t="n">
        <v>0</v>
      </c>
      <c r="Q125" t="n">
        <v>1</v>
      </c>
      <c r="R125" t="n">
        <v>1</v>
      </c>
      <c r="S125" t="n">
        <v>4</v>
      </c>
      <c r="T125" t="n">
        <v>5</v>
      </c>
      <c r="U125" t="n">
        <v>0</v>
      </c>
      <c r="V125" s="2" t="inlineStr">
        <is>
          <t>Ask
Hasselticka
Läderskål
Stubbspretmossa</t>
        </is>
      </c>
      <c r="W125">
        <f>HYPERLINK("https://klasma.github.io/Logging_0980/artfynd/A 16997-2026 artfynd.xlsx", "A 16997-2026")</f>
        <v/>
      </c>
      <c r="X125">
        <f>HYPERLINK("https://klasma.github.io/Logging_0980/kartor/A 16997-2026 karta.png", "A 16997-2026")</f>
        <v/>
      </c>
      <c r="Y125">
        <f>HYPERLINK("https://klasma.github.io/Logging_0980/kartor_geotiff/A 16997-2026 georefererad karta.tif", "A 16997-2026")</f>
        <v/>
      </c>
      <c r="AA125">
        <f>HYPERLINK("https://klasma.github.io/Logging_0980/klagomål/A 16997-2026 FSC-klagomål.docx", "A 16997-2026")</f>
        <v/>
      </c>
      <c r="AB125">
        <f>HYPERLINK("https://klasma.github.io/Logging_0980/klagomålsmail/A 16997-2026 FSC-klagomål mail.docx", "A 16997-2026")</f>
        <v/>
      </c>
      <c r="AC125">
        <f>HYPERLINK("https://klasma.github.io/Logging_0980/tillsyn/A 16997-2026 tillsynsbegäran.docx", "A 16997-2026")</f>
        <v/>
      </c>
      <c r="AD125">
        <f>HYPERLINK("https://klasma.github.io/Logging_0980/tillsynsmail/A 16997-2026 tillsynsbegäran mail.docx", "A 16997-2026")</f>
        <v/>
      </c>
    </row>
    <row r="126" ht="15" customHeight="1">
      <c r="A126" t="inlineStr">
        <is>
          <t>A 1273-2023</t>
        </is>
      </c>
      <c r="B126" t="inlineStr">
        <is>
          <t>avverkningsanmälan</t>
        </is>
      </c>
      <c r="C126" t="inlineStr">
        <is>
          <t>Föryngringsavverkning</t>
        </is>
      </c>
      <c r="D126" s="1" t="n">
        <v>44936</v>
      </c>
      <c r="E126" s="1" t="n">
        <v>46321</v>
      </c>
      <c r="F126" t="inlineStr">
        <is>
          <t>GOTLANDS LÄN</t>
        </is>
      </c>
      <c r="G126" t="inlineStr">
        <is>
          <t>GOTLAND</t>
        </is>
      </c>
      <c r="I126" t="n">
        <v>4.5</v>
      </c>
      <c r="J126" t="n">
        <v>2</v>
      </c>
      <c r="K126" t="n">
        <v>1</v>
      </c>
      <c r="L126" t="n">
        <v>2</v>
      </c>
      <c r="M126" t="n">
        <v>1</v>
      </c>
      <c r="N126" t="n">
        <v>0</v>
      </c>
      <c r="O126" t="n">
        <v>0</v>
      </c>
      <c r="P126" t="n">
        <v>0</v>
      </c>
      <c r="Q126" t="n">
        <v>3</v>
      </c>
      <c r="R126" t="n">
        <v>1</v>
      </c>
      <c r="S126" t="n">
        <v>4</v>
      </c>
      <c r="T126" t="n">
        <v>7</v>
      </c>
      <c r="U126" t="n">
        <v>3</v>
      </c>
      <c r="V126" s="2" t="inlineStr">
        <is>
          <t>Garderönn
Svinrot
Vårärt
Skogsknipprot</t>
        </is>
      </c>
      <c r="W126">
        <f>HYPERLINK("https://klasma.github.io/Logging_0980/artfynd/A 1273-2023 artfynd.xlsx", "A 1273-2023")</f>
        <v/>
      </c>
      <c r="X126">
        <f>HYPERLINK("https://klasma.github.io/Logging_0980/kartor/A 1273-2023 karta.png", "A 1273-2023")</f>
        <v/>
      </c>
      <c r="Y126">
        <f>HYPERLINK("https://klasma.github.io/Logging_0980/kartor_geotiff/A 1273-2023 georefererad karta.tif", "A 1273-2023")</f>
        <v/>
      </c>
      <c r="AA126">
        <f>HYPERLINK("https://klasma.github.io/Logging_0980/klagomål/A 1273-2023 FSC-klagomål.docx", "A 1273-2023")</f>
        <v/>
      </c>
      <c r="AB126">
        <f>HYPERLINK("https://klasma.github.io/Logging_0980/klagomålsmail/A 1273-2023 FSC-klagomål mail.docx", "A 1273-2023")</f>
        <v/>
      </c>
      <c r="AC126">
        <f>HYPERLINK("https://klasma.github.io/Logging_0980/tillsyn/A 1273-2023 tillsynsbegäran.docx", "A 1273-2023")</f>
        <v/>
      </c>
      <c r="AD126">
        <f>HYPERLINK("https://klasma.github.io/Logging_0980/tillsynsmail/A 1273-2023 tillsynsbegäran mail.docx", "A 1273-2023")</f>
        <v/>
      </c>
    </row>
    <row r="127" ht="15" customHeight="1">
      <c r="A127" t="inlineStr">
        <is>
          <t>A 7625-2026</t>
        </is>
      </c>
      <c r="B127" t="inlineStr">
        <is>
          <t>avverkningsanmälan</t>
        </is>
      </c>
      <c r="C127" t="inlineStr">
        <is>
          <t>Föryngringsavverkning</t>
        </is>
      </c>
      <c r="D127" s="1" t="n">
        <v>46062</v>
      </c>
      <c r="E127" s="1" t="n">
        <v>46321</v>
      </c>
      <c r="F127" t="inlineStr">
        <is>
          <t>GOTLANDS LÄN</t>
        </is>
      </c>
      <c r="G127" t="inlineStr">
        <is>
          <t>GOTLAND</t>
        </is>
      </c>
      <c r="I127" t="n">
        <v>2.1</v>
      </c>
      <c r="J127" t="n">
        <v>1</v>
      </c>
      <c r="K127" t="n">
        <v>0</v>
      </c>
      <c r="L127" t="n">
        <v>4</v>
      </c>
      <c r="M127" t="n">
        <v>0</v>
      </c>
      <c r="N127" t="n">
        <v>0</v>
      </c>
      <c r="O127" t="n">
        <v>0</v>
      </c>
      <c r="P127" t="n">
        <v>0</v>
      </c>
      <c r="Q127" t="n">
        <v>4</v>
      </c>
      <c r="R127" t="n">
        <v>0</v>
      </c>
      <c r="S127" t="n">
        <v>4</v>
      </c>
      <c r="T127" t="n">
        <v>26</v>
      </c>
      <c r="U127" t="n">
        <v>26</v>
      </c>
      <c r="V127" s="2" t="inlineStr">
        <is>
          <t>Backstarr
Backtimjan
Dårgräsfjäril
Solvända</t>
        </is>
      </c>
      <c r="W127">
        <f>HYPERLINK("https://klasma.github.io/Logging_0980/artfynd/A 7625-2026 artfynd.xlsx", "A 7625-2026")</f>
        <v/>
      </c>
      <c r="X127">
        <f>HYPERLINK("https://klasma.github.io/Logging_0980/kartor/A 7625-2026 karta.png", "A 7625-2026")</f>
        <v/>
      </c>
      <c r="Y127">
        <f>HYPERLINK("https://klasma.github.io/Logging_0980/kartor_geotiff/A 7625-2026 georefererad karta.tif", "A 7625-2026")</f>
        <v/>
      </c>
      <c r="AA127">
        <f>HYPERLINK("https://klasma.github.io/Logging_0980/klagomål/A 7625-2026 FSC-klagomål.docx", "A 7625-2026")</f>
        <v/>
      </c>
      <c r="AB127">
        <f>HYPERLINK("https://klasma.github.io/Logging_0980/klagomålsmail/A 7625-2026 FSC-klagomål mail.docx", "A 7625-2026")</f>
        <v/>
      </c>
      <c r="AC127">
        <f>HYPERLINK("https://klasma.github.io/Logging_0980/tillsyn/A 7625-2026 tillsynsbegäran.docx", "A 7625-2026")</f>
        <v/>
      </c>
      <c r="AD127">
        <f>HYPERLINK("https://klasma.github.io/Logging_0980/tillsynsmail/A 7625-2026 tillsynsbegäran mail.docx", "A 7625-2026")</f>
        <v/>
      </c>
    </row>
    <row r="128" ht="15" customHeight="1">
      <c r="A128" t="inlineStr">
        <is>
          <t>A 61100-2022</t>
        </is>
      </c>
      <c r="B128" t="inlineStr">
        <is>
          <t>avverkningsanmälan</t>
        </is>
      </c>
      <c r="C128" t="inlineStr">
        <is>
          <t>Föryngringsavverkning</t>
        </is>
      </c>
      <c r="D128" s="1" t="n">
        <v>44915</v>
      </c>
      <c r="E128" s="1" t="n">
        <v>46321</v>
      </c>
      <c r="F128" t="inlineStr">
        <is>
          <t>GOTLANDS LÄN</t>
        </is>
      </c>
      <c r="G128" t="inlineStr">
        <is>
          <t>GOTLAND</t>
        </is>
      </c>
      <c r="I128" t="n">
        <v>1.4</v>
      </c>
      <c r="J128" t="n">
        <v>3</v>
      </c>
      <c r="K128" t="n">
        <v>0</v>
      </c>
      <c r="L128" t="n">
        <v>2</v>
      </c>
      <c r="M128" t="n">
        <v>1</v>
      </c>
      <c r="N128" t="n">
        <v>0</v>
      </c>
      <c r="O128" t="n">
        <v>0</v>
      </c>
      <c r="P128" t="n">
        <v>0</v>
      </c>
      <c r="Q128" t="n">
        <v>3</v>
      </c>
      <c r="R128" t="n">
        <v>1</v>
      </c>
      <c r="S128" t="n">
        <v>4</v>
      </c>
      <c r="T128" t="n">
        <v>5</v>
      </c>
      <c r="U128" t="n">
        <v>1</v>
      </c>
      <c r="V128" s="2" t="inlineStr">
        <is>
          <t>Garderönn
Dårgräsfjäril
Solvända
Gullviva</t>
        </is>
      </c>
      <c r="W128">
        <f>HYPERLINK("https://klasma.github.io/Logging_0980/artfynd/A 61100-2022 artfynd.xlsx", "A 61100-2022")</f>
        <v/>
      </c>
      <c r="X128">
        <f>HYPERLINK("https://klasma.github.io/Logging_0980/kartor/A 61100-2022 karta.png", "A 61100-2022")</f>
        <v/>
      </c>
      <c r="Y128">
        <f>HYPERLINK("https://klasma.github.io/Logging_0980/kartor_geotiff/A 61100-2022 georefererad karta.tif", "A 61100-2022")</f>
        <v/>
      </c>
      <c r="AA128">
        <f>HYPERLINK("https://klasma.github.io/Logging_0980/klagomål/A 61100-2022 FSC-klagomål.docx", "A 61100-2022")</f>
        <v/>
      </c>
      <c r="AB128">
        <f>HYPERLINK("https://klasma.github.io/Logging_0980/klagomålsmail/A 61100-2022 FSC-klagomål mail.docx", "A 61100-2022")</f>
        <v/>
      </c>
      <c r="AC128">
        <f>HYPERLINK("https://klasma.github.io/Logging_0980/tillsyn/A 61100-2022 tillsynsbegäran.docx", "A 61100-2022")</f>
        <v/>
      </c>
      <c r="AD128">
        <f>HYPERLINK("https://klasma.github.io/Logging_0980/tillsynsmail/A 61100-2022 tillsynsbegäran mail.docx", "A 61100-2022")</f>
        <v/>
      </c>
    </row>
    <row r="129" ht="15" customHeight="1">
      <c r="A129" t="inlineStr">
        <is>
          <t>A 6218-2026</t>
        </is>
      </c>
      <c r="B129" t="inlineStr">
        <is>
          <t>avverkningsanmälan</t>
        </is>
      </c>
      <c r="C129" t="inlineStr">
        <is>
          <t>Föryngringsavverkning</t>
        </is>
      </c>
      <c r="D129" s="1" t="n">
        <v>46055</v>
      </c>
      <c r="E129" s="1" t="n">
        <v>46321</v>
      </c>
      <c r="F129" t="inlineStr">
        <is>
          <t>GOTLANDS LÄN</t>
        </is>
      </c>
      <c r="G129" t="inlineStr">
        <is>
          <t>GOTLAND</t>
        </is>
      </c>
      <c r="I129" t="n">
        <v>4.3</v>
      </c>
      <c r="J129" t="n">
        <v>3</v>
      </c>
      <c r="K129" t="n">
        <v>1</v>
      </c>
      <c r="L129" t="n">
        <v>1</v>
      </c>
      <c r="M129" t="n">
        <v>0</v>
      </c>
      <c r="N129" t="n">
        <v>0</v>
      </c>
      <c r="O129" t="n">
        <v>0</v>
      </c>
      <c r="P129" t="n">
        <v>0</v>
      </c>
      <c r="Q129" t="n">
        <v>1</v>
      </c>
      <c r="R129" t="n">
        <v>0</v>
      </c>
      <c r="S129" t="n">
        <v>4</v>
      </c>
      <c r="T129" t="n">
        <v>50</v>
      </c>
      <c r="U129" t="n">
        <v>50</v>
      </c>
      <c r="V129" s="2" t="inlineStr">
        <is>
          <t>Dårgräsfjäril
Tvåblad
Ormbär
Nattviol</t>
        </is>
      </c>
      <c r="W129">
        <f>HYPERLINK("https://klasma.github.io/Logging_0980/artfynd/A 6218-2026 artfynd.xlsx", "A 6218-2026")</f>
        <v/>
      </c>
      <c r="X129">
        <f>HYPERLINK("https://klasma.github.io/Logging_0980/kartor/A 6218-2026 karta.png", "A 6218-2026")</f>
        <v/>
      </c>
      <c r="Y129">
        <f>HYPERLINK("https://klasma.github.io/Logging_0980/kartor_geotiff/A 6218-2026 georefererad karta.tif", "A 6218-2026")</f>
        <v/>
      </c>
      <c r="AA129">
        <f>HYPERLINK("https://klasma.github.io/Logging_0980/klagomål/A 6218-2026 FSC-klagomål.docx", "A 6218-2026")</f>
        <v/>
      </c>
      <c r="AB129">
        <f>HYPERLINK("https://klasma.github.io/Logging_0980/klagomålsmail/A 6218-2026 FSC-klagomål mail.docx", "A 6218-2026")</f>
        <v/>
      </c>
      <c r="AC129">
        <f>HYPERLINK("https://klasma.github.io/Logging_0980/tillsyn/A 6218-2026 tillsynsbegäran.docx", "A 6218-2026")</f>
        <v/>
      </c>
      <c r="AD129">
        <f>HYPERLINK("https://klasma.github.io/Logging_0980/tillsynsmail/A 6218-2026 tillsynsbegäran mail.docx", "A 6218-2026")</f>
        <v/>
      </c>
    </row>
    <row r="130" ht="15" customHeight="1">
      <c r="A130" t="inlineStr">
        <is>
          <t>A 5235-2025</t>
        </is>
      </c>
      <c r="B130" t="inlineStr">
        <is>
          <t>avverkningsanmälan</t>
        </is>
      </c>
      <c r="C130" t="inlineStr">
        <is>
          <t>Föryngringsavverkning</t>
        </is>
      </c>
      <c r="D130" s="1" t="n">
        <v>45692</v>
      </c>
      <c r="E130" s="1" t="n">
        <v>46321</v>
      </c>
      <c r="F130" t="inlineStr">
        <is>
          <t>GOTLANDS LÄN</t>
        </is>
      </c>
      <c r="G130" t="inlineStr">
        <is>
          <t>GOTLAND</t>
        </is>
      </c>
      <c r="I130" t="n">
        <v>7.6</v>
      </c>
      <c r="J130" t="n">
        <v>2</v>
      </c>
      <c r="K130" t="n">
        <v>2</v>
      </c>
      <c r="L130" t="n">
        <v>2</v>
      </c>
      <c r="M130" t="n">
        <v>0</v>
      </c>
      <c r="N130" t="n">
        <v>0</v>
      </c>
      <c r="O130" t="n">
        <v>0</v>
      </c>
      <c r="P130" t="n">
        <v>0</v>
      </c>
      <c r="Q130" t="n">
        <v>2</v>
      </c>
      <c r="R130" t="n">
        <v>0</v>
      </c>
      <c r="S130" t="n">
        <v>4</v>
      </c>
      <c r="T130" t="n">
        <v>8</v>
      </c>
      <c r="U130" t="n">
        <v>8</v>
      </c>
      <c r="V130" s="2" t="inlineStr">
        <is>
          <t>Dårgräsfjäril
Svinrot
Blåmossa
Tvåblad</t>
        </is>
      </c>
      <c r="W130">
        <f>HYPERLINK("https://klasma.github.io/Logging_0980/artfynd/A 5235-2025 artfynd.xlsx", "A 5235-2025")</f>
        <v/>
      </c>
      <c r="X130">
        <f>HYPERLINK("https://klasma.github.io/Logging_0980/kartor/A 5235-2025 karta.png", "A 5235-2025")</f>
        <v/>
      </c>
      <c r="Y130">
        <f>HYPERLINK("https://klasma.github.io/Logging_0980/kartor_geotiff/A 5235-2025 georefererad karta.tif", "A 5235-2025")</f>
        <v/>
      </c>
      <c r="AA130">
        <f>HYPERLINK("https://klasma.github.io/Logging_0980/klagomål/A 5235-2025 FSC-klagomål.docx", "A 5235-2025")</f>
        <v/>
      </c>
      <c r="AB130">
        <f>HYPERLINK("https://klasma.github.io/Logging_0980/klagomålsmail/A 5235-2025 FSC-klagomål mail.docx", "A 5235-2025")</f>
        <v/>
      </c>
      <c r="AC130">
        <f>HYPERLINK("https://klasma.github.io/Logging_0980/tillsyn/A 5235-2025 tillsynsbegäran.docx", "A 5235-2025")</f>
        <v/>
      </c>
      <c r="AD130">
        <f>HYPERLINK("https://klasma.github.io/Logging_0980/tillsynsmail/A 5235-2025 tillsynsbegäran mail.docx", "A 5235-2025")</f>
        <v/>
      </c>
    </row>
    <row r="131" ht="15" customHeight="1">
      <c r="A131" t="inlineStr">
        <is>
          <t>A 2485-2025</t>
        </is>
      </c>
      <c r="B131" t="inlineStr">
        <is>
          <t>avverkningsanmälan</t>
        </is>
      </c>
      <c r="C131" t="inlineStr">
        <is>
          <t>Föryngringsavverkning</t>
        </is>
      </c>
      <c r="D131" s="1" t="n">
        <v>45673</v>
      </c>
      <c r="E131" s="1" t="n">
        <v>46321</v>
      </c>
      <c r="F131" t="inlineStr">
        <is>
          <t>GOTLANDS LÄN</t>
        </is>
      </c>
      <c r="G131" t="inlineStr">
        <is>
          <t>GOTLAND</t>
        </is>
      </c>
      <c r="I131" t="n">
        <v>5</v>
      </c>
      <c r="J131" t="n">
        <v>2</v>
      </c>
      <c r="K131" t="n">
        <v>2</v>
      </c>
      <c r="L131" t="n">
        <v>0</v>
      </c>
      <c r="M131" t="n">
        <v>2</v>
      </c>
      <c r="N131" t="n">
        <v>0</v>
      </c>
      <c r="O131" t="n">
        <v>0</v>
      </c>
      <c r="P131" t="n">
        <v>0</v>
      </c>
      <c r="Q131" t="n">
        <v>2</v>
      </c>
      <c r="R131" t="n">
        <v>2</v>
      </c>
      <c r="S131" t="n">
        <v>4</v>
      </c>
      <c r="T131" t="n">
        <v>84</v>
      </c>
      <c r="U131" t="n">
        <v>84</v>
      </c>
      <c r="V131" s="2" t="inlineStr">
        <is>
          <t>Gotlandsmåra
Skogskorn
Nästrot
Skogsknipprot</t>
        </is>
      </c>
      <c r="W131">
        <f>HYPERLINK("https://klasma.github.io/Logging_0980/artfynd/A 2485-2025 artfynd.xlsx", "A 2485-2025")</f>
        <v/>
      </c>
      <c r="X131">
        <f>HYPERLINK("https://klasma.github.io/Logging_0980/kartor/A 2485-2025 karta.png", "A 2485-2025")</f>
        <v/>
      </c>
      <c r="Y131">
        <f>HYPERLINK("https://klasma.github.io/Logging_0980/kartor_geotiff/A 2485-2025 georefererad karta.tif", "A 2485-2025")</f>
        <v/>
      </c>
      <c r="AA131">
        <f>HYPERLINK("https://klasma.github.io/Logging_0980/klagomål/A 2485-2025 FSC-klagomål.docx", "A 2485-2025")</f>
        <v/>
      </c>
      <c r="AB131">
        <f>HYPERLINK("https://klasma.github.io/Logging_0980/klagomålsmail/A 2485-2025 FSC-klagomål mail.docx", "A 2485-2025")</f>
        <v/>
      </c>
      <c r="AC131">
        <f>HYPERLINK("https://klasma.github.io/Logging_0980/tillsyn/A 2485-2025 tillsynsbegäran.docx", "A 2485-2025")</f>
        <v/>
      </c>
      <c r="AD131">
        <f>HYPERLINK("https://klasma.github.io/Logging_0980/tillsynsmail/A 2485-2025 tillsynsbegäran mail.docx", "A 2485-2025")</f>
        <v/>
      </c>
    </row>
    <row r="132" ht="15" customHeight="1">
      <c r="A132" t="inlineStr">
        <is>
          <t>A 61386-2023</t>
        </is>
      </c>
      <c r="B132" t="inlineStr">
        <is>
          <t>avverkningsanmälan</t>
        </is>
      </c>
      <c r="C132" t="inlineStr">
        <is>
          <t>Avverkning för annat ändamål</t>
        </is>
      </c>
      <c r="D132" s="1" t="n">
        <v>45264</v>
      </c>
      <c r="E132" s="1" t="n">
        <v>46321</v>
      </c>
      <c r="F132" t="inlineStr">
        <is>
          <t>GOTLANDS LÄN</t>
        </is>
      </c>
      <c r="G132" t="inlineStr">
        <is>
          <t>GOTLAND</t>
        </is>
      </c>
      <c r="I132" t="n">
        <v>0.7</v>
      </c>
      <c r="J132" t="n">
        <v>0</v>
      </c>
      <c r="K132" t="n">
        <v>3</v>
      </c>
      <c r="L132" t="n">
        <v>0</v>
      </c>
      <c r="M132" t="n">
        <v>1</v>
      </c>
      <c r="N132" t="n">
        <v>0</v>
      </c>
      <c r="O132" t="n">
        <v>0</v>
      </c>
      <c r="P132" t="n">
        <v>0</v>
      </c>
      <c r="Q132" t="n">
        <v>1</v>
      </c>
      <c r="R132" t="n">
        <v>1</v>
      </c>
      <c r="S132" t="n">
        <v>4</v>
      </c>
      <c r="T132" t="n">
        <v>7</v>
      </c>
      <c r="U132" t="n">
        <v>0</v>
      </c>
      <c r="V132" s="2" t="inlineStr">
        <is>
          <t>Ädellav
Korallblylav
Lönnlav
Rikfruktig blemlav</t>
        </is>
      </c>
      <c r="W132">
        <f>HYPERLINK("https://klasma.github.io/Logging_0980/artfynd/A 61386-2023 artfynd.xlsx", "A 61386-2023")</f>
        <v/>
      </c>
      <c r="X132">
        <f>HYPERLINK("https://klasma.github.io/Logging_0980/kartor/A 61386-2023 karta.png", "A 61386-2023")</f>
        <v/>
      </c>
      <c r="Y132">
        <f>HYPERLINK("https://klasma.github.io/Logging_0980/kartor_geotiff/A 61386-2023 georefererad karta.tif", "A 61386-2023")</f>
        <v/>
      </c>
      <c r="AA132">
        <f>HYPERLINK("https://klasma.github.io/Logging_0980/klagomål/A 61386-2023 FSC-klagomål.docx", "A 61386-2023")</f>
        <v/>
      </c>
      <c r="AB132">
        <f>HYPERLINK("https://klasma.github.io/Logging_0980/klagomålsmail/A 61386-2023 FSC-klagomål mail.docx", "A 61386-2023")</f>
        <v/>
      </c>
      <c r="AC132">
        <f>HYPERLINK("https://klasma.github.io/Logging_0980/tillsyn/A 61386-2023 tillsynsbegäran.docx", "A 61386-2023")</f>
        <v/>
      </c>
      <c r="AD132">
        <f>HYPERLINK("https://klasma.github.io/Logging_0980/tillsynsmail/A 61386-2023 tillsynsbegäran mail.docx", "A 61386-2023")</f>
        <v/>
      </c>
    </row>
    <row r="133" ht="15" customHeight="1">
      <c r="A133" t="inlineStr">
        <is>
          <t>A 26992-2026</t>
        </is>
      </c>
      <c r="B133" t="inlineStr">
        <is>
          <t>avverkningsanmälan</t>
        </is>
      </c>
      <c r="C133" t="inlineStr">
        <is>
          <t>Föryngringsavverkning</t>
        </is>
      </c>
      <c r="D133" s="1" t="n">
        <v>46185</v>
      </c>
      <c r="E133" s="1" t="n">
        <v>46321</v>
      </c>
      <c r="F133" t="inlineStr">
        <is>
          <t>GOTLANDS LÄN</t>
        </is>
      </c>
      <c r="G133" t="inlineStr">
        <is>
          <t>GOTLAND</t>
        </is>
      </c>
      <c r="I133" t="n">
        <v>0.8</v>
      </c>
      <c r="J133" t="n">
        <v>2</v>
      </c>
      <c r="K133" t="n">
        <v>1</v>
      </c>
      <c r="L133" t="n">
        <v>1</v>
      </c>
      <c r="M133" t="n">
        <v>0</v>
      </c>
      <c r="N133" t="n">
        <v>0</v>
      </c>
      <c r="O133" t="n">
        <v>0</v>
      </c>
      <c r="P133" t="n">
        <v>0</v>
      </c>
      <c r="Q133" t="n">
        <v>1</v>
      </c>
      <c r="R133" t="n">
        <v>0</v>
      </c>
      <c r="S133" t="n">
        <v>3</v>
      </c>
      <c r="T133" t="n">
        <v>5</v>
      </c>
      <c r="U133" t="n">
        <v>0</v>
      </c>
      <c r="V133" s="2" t="inlineStr">
        <is>
          <t>Svinrot
Nästrot
Blåsippa</t>
        </is>
      </c>
      <c r="W133">
        <f>HYPERLINK("https://klasma.github.io/Logging_0980/artfynd/A 26992-2026 artfynd.xlsx", "A 26992-2026")</f>
        <v/>
      </c>
      <c r="X133">
        <f>HYPERLINK("https://klasma.github.io/Logging_0980/kartor/A 26992-2026 karta.png", "A 26992-2026")</f>
        <v/>
      </c>
      <c r="Y133">
        <f>HYPERLINK("https://klasma.github.io/Logging_0980/kartor_geotiff/A 26992-2026 georefererad karta.tif", "A 26992-2026")</f>
        <v/>
      </c>
      <c r="AA133">
        <f>HYPERLINK("https://klasma.github.io/Logging_0980/klagomål/A 26992-2026 FSC-klagomål.docx", "A 26992-2026")</f>
        <v/>
      </c>
      <c r="AB133">
        <f>HYPERLINK("https://klasma.github.io/Logging_0980/klagomålsmail/A 26992-2026 FSC-klagomål mail.docx", "A 26992-2026")</f>
        <v/>
      </c>
      <c r="AC133">
        <f>HYPERLINK("https://klasma.github.io/Logging_0980/tillsyn/A 26992-2026 tillsynsbegäran.docx", "A 26992-2026")</f>
        <v/>
      </c>
      <c r="AD133">
        <f>HYPERLINK("https://klasma.github.io/Logging_0980/tillsynsmail/A 26992-2026 tillsynsbegäran mail.docx", "A 26992-2026")</f>
        <v/>
      </c>
    </row>
    <row r="134" ht="15" customHeight="1">
      <c r="A134" t="inlineStr">
        <is>
          <t>A 10440-2024</t>
        </is>
      </c>
      <c r="B134" t="inlineStr">
        <is>
          <t>avverkningsanmälan</t>
        </is>
      </c>
      <c r="C134" t="inlineStr">
        <is>
          <t>Föryngringsavverkning</t>
        </is>
      </c>
      <c r="D134" s="1" t="n">
        <v>45366</v>
      </c>
      <c r="E134" s="1" t="n">
        <v>46321</v>
      </c>
      <c r="F134" t="inlineStr">
        <is>
          <t>GOTLANDS LÄN</t>
        </is>
      </c>
      <c r="G134" t="inlineStr">
        <is>
          <t>GOTLAND</t>
        </is>
      </c>
      <c r="I134" t="n">
        <v>2.5</v>
      </c>
      <c r="J134" t="n">
        <v>2</v>
      </c>
      <c r="K134" t="n">
        <v>1</v>
      </c>
      <c r="L134" t="n">
        <v>1</v>
      </c>
      <c r="M134" t="n">
        <v>0</v>
      </c>
      <c r="N134" t="n">
        <v>0</v>
      </c>
      <c r="O134" t="n">
        <v>0</v>
      </c>
      <c r="P134" t="n">
        <v>0</v>
      </c>
      <c r="Q134" t="n">
        <v>1</v>
      </c>
      <c r="R134" t="n">
        <v>0</v>
      </c>
      <c r="S134" t="n">
        <v>3</v>
      </c>
      <c r="T134" t="n">
        <v>5</v>
      </c>
      <c r="U134" t="n">
        <v>5</v>
      </c>
      <c r="V134" s="2" t="inlineStr">
        <is>
          <t>Mindre hackspett
Blåmossa
Blåsippa</t>
        </is>
      </c>
      <c r="W134">
        <f>HYPERLINK("https://klasma.github.io/Logging_0980/artfynd/A 10440-2024 artfynd.xlsx", "A 10440-2024")</f>
        <v/>
      </c>
      <c r="X134">
        <f>HYPERLINK("https://klasma.github.io/Logging_0980/kartor/A 10440-2024 karta.png", "A 10440-2024")</f>
        <v/>
      </c>
      <c r="Y134">
        <f>HYPERLINK("https://klasma.github.io/Logging_0980/kartor_geotiff/A 10440-2024 georefererad karta.tif", "A 10440-2024")</f>
        <v/>
      </c>
      <c r="AA134">
        <f>HYPERLINK("https://klasma.github.io/Logging_0980/klagomål/A 10440-2024 FSC-klagomål.docx", "A 10440-2024")</f>
        <v/>
      </c>
      <c r="AB134">
        <f>HYPERLINK("https://klasma.github.io/Logging_0980/klagomålsmail/A 10440-2024 FSC-klagomål mail.docx", "A 10440-2024")</f>
        <v/>
      </c>
      <c r="AC134">
        <f>HYPERLINK("https://klasma.github.io/Logging_0980/tillsyn/A 10440-2024 tillsynsbegäran.docx", "A 10440-2024")</f>
        <v/>
      </c>
      <c r="AD134">
        <f>HYPERLINK("https://klasma.github.io/Logging_0980/tillsynsmail/A 10440-2024 tillsynsbegäran mail.docx", "A 10440-2024")</f>
        <v/>
      </c>
      <c r="AE134">
        <f>HYPERLINK("https://klasma.github.io/Logging_0980/fåglar/A 10440-2024 prioriterade fågelarter.docx", "A 10440-2024")</f>
        <v/>
      </c>
    </row>
    <row r="135" ht="15" customHeight="1">
      <c r="A135" t="inlineStr">
        <is>
          <t>A 19322-2026</t>
        </is>
      </c>
      <c r="B135" t="inlineStr">
        <is>
          <t>avverkningsanmälan</t>
        </is>
      </c>
      <c r="C135" t="inlineStr">
        <is>
          <t>Avverkning för annat ändamål</t>
        </is>
      </c>
      <c r="D135" s="1" t="n">
        <v>46129</v>
      </c>
      <c r="E135" s="1" t="n">
        <v>46321</v>
      </c>
      <c r="F135" t="inlineStr">
        <is>
          <t>GOTLANDS LÄN</t>
        </is>
      </c>
      <c r="G135" t="inlineStr">
        <is>
          <t>GOTLAND</t>
        </is>
      </c>
      <c r="I135" t="n">
        <v>1</v>
      </c>
      <c r="J135" t="n">
        <v>2</v>
      </c>
      <c r="K135" t="n">
        <v>1</v>
      </c>
      <c r="L135" t="n">
        <v>2</v>
      </c>
      <c r="M135" t="n">
        <v>0</v>
      </c>
      <c r="N135" t="n">
        <v>0</v>
      </c>
      <c r="O135" t="n">
        <v>0</v>
      </c>
      <c r="P135" t="n">
        <v>0</v>
      </c>
      <c r="Q135" t="n">
        <v>2</v>
      </c>
      <c r="R135" t="n">
        <v>0</v>
      </c>
      <c r="S135" t="n">
        <v>3</v>
      </c>
      <c r="T135" t="n">
        <v>3</v>
      </c>
      <c r="U135" t="n">
        <v>0</v>
      </c>
      <c r="V135" s="2" t="inlineStr">
        <is>
          <t>Gulsparv
Svinrot
Tvåblad</t>
        </is>
      </c>
      <c r="W135">
        <f>HYPERLINK("https://klasma.github.io/Logging_0980/artfynd/A 19322-2026 artfynd.xlsx", "A 19322-2026")</f>
        <v/>
      </c>
      <c r="X135">
        <f>HYPERLINK("https://klasma.github.io/Logging_0980/kartor/A 19322-2026 karta.png", "A 19322-2026")</f>
        <v/>
      </c>
      <c r="Y135">
        <f>HYPERLINK("https://klasma.github.io/Logging_0980/kartor_geotiff/A 19322-2026 georefererad karta.tif", "A 19322-2026")</f>
        <v/>
      </c>
      <c r="AA135">
        <f>HYPERLINK("https://klasma.github.io/Logging_0980/klagomål/A 19322-2026 FSC-klagomål.docx", "A 19322-2026")</f>
        <v/>
      </c>
      <c r="AB135">
        <f>HYPERLINK("https://klasma.github.io/Logging_0980/klagomålsmail/A 19322-2026 FSC-klagomål mail.docx", "A 19322-2026")</f>
        <v/>
      </c>
      <c r="AC135">
        <f>HYPERLINK("https://klasma.github.io/Logging_0980/tillsyn/A 19322-2026 tillsynsbegäran.docx", "A 19322-2026")</f>
        <v/>
      </c>
      <c r="AD135">
        <f>HYPERLINK("https://klasma.github.io/Logging_0980/tillsynsmail/A 19322-2026 tillsynsbegäran mail.docx", "A 19322-2026")</f>
        <v/>
      </c>
      <c r="AE135">
        <f>HYPERLINK("https://klasma.github.io/Logging_0980/fåglar/A 19322-2026 prioriterade fågelarter.docx", "A 19322-2026")</f>
        <v/>
      </c>
    </row>
    <row r="136" ht="15" customHeight="1">
      <c r="A136" t="inlineStr">
        <is>
          <t>A 65927-2021</t>
        </is>
      </c>
      <c r="B136" t="inlineStr">
        <is>
          <t>avverkningsanmälan</t>
        </is>
      </c>
      <c r="C136" t="inlineStr">
        <is>
          <t>Föryngringsavverkning</t>
        </is>
      </c>
      <c r="D136" s="1" t="n">
        <v>44516</v>
      </c>
      <c r="E136" s="1" t="n">
        <v>46321</v>
      </c>
      <c r="F136" t="inlineStr">
        <is>
          <t>GOTLANDS LÄN</t>
        </is>
      </c>
      <c r="G136" t="inlineStr">
        <is>
          <t>GOTLAND</t>
        </is>
      </c>
      <c r="I136" t="n">
        <v>3.1</v>
      </c>
      <c r="J136" t="n">
        <v>2</v>
      </c>
      <c r="K136" t="n">
        <v>0</v>
      </c>
      <c r="L136" t="n">
        <v>2</v>
      </c>
      <c r="M136" t="n">
        <v>0</v>
      </c>
      <c r="N136" t="n">
        <v>0</v>
      </c>
      <c r="O136" t="n">
        <v>0</v>
      </c>
      <c r="P136" t="n">
        <v>0</v>
      </c>
      <c r="Q136" t="n">
        <v>2</v>
      </c>
      <c r="R136" t="n">
        <v>0</v>
      </c>
      <c r="S136" t="n">
        <v>3</v>
      </c>
      <c r="T136" t="n">
        <v>3</v>
      </c>
      <c r="U136" t="n">
        <v>3</v>
      </c>
      <c r="V136" s="2" t="inlineStr">
        <is>
          <t>Grenigt kungsljus
Åkerkulla
Gullviva</t>
        </is>
      </c>
      <c r="W136">
        <f>HYPERLINK("https://klasma.github.io/Logging_0980/artfynd/A 65927-2021 artfynd.xlsx", "A 65927-2021")</f>
        <v/>
      </c>
      <c r="X136">
        <f>HYPERLINK("https://klasma.github.io/Logging_0980/kartor/A 65927-2021 karta.png", "A 65927-2021")</f>
        <v/>
      </c>
      <c r="Y136">
        <f>HYPERLINK("https://klasma.github.io/Logging_0980/kartor_geotiff/A 65927-2021 georefererad karta.tif", "A 65927-2021")</f>
        <v/>
      </c>
      <c r="AA136">
        <f>HYPERLINK("https://klasma.github.io/Logging_0980/klagomål/A 65927-2021 FSC-klagomål.docx", "A 65927-2021")</f>
        <v/>
      </c>
      <c r="AB136">
        <f>HYPERLINK("https://klasma.github.io/Logging_0980/klagomålsmail/A 65927-2021 FSC-klagomål mail.docx", "A 65927-2021")</f>
        <v/>
      </c>
      <c r="AC136">
        <f>HYPERLINK("https://klasma.github.io/Logging_0980/tillsyn/A 65927-2021 tillsynsbegäran.docx", "A 65927-2021")</f>
        <v/>
      </c>
      <c r="AD136">
        <f>HYPERLINK("https://klasma.github.io/Logging_0980/tillsynsmail/A 65927-2021 tillsynsbegäran mail.docx", "A 65927-2021")</f>
        <v/>
      </c>
    </row>
    <row r="137" ht="15" customHeight="1">
      <c r="A137" t="inlineStr">
        <is>
          <t>A 5909-2025</t>
        </is>
      </c>
      <c r="B137" t="inlineStr">
        <is>
          <t>avverkningsanmälan</t>
        </is>
      </c>
      <c r="C137" t="inlineStr">
        <is>
          <t>Föryngringsavverkning</t>
        </is>
      </c>
      <c r="D137" s="1" t="n">
        <v>45695</v>
      </c>
      <c r="E137" s="1" t="n">
        <v>46321</v>
      </c>
      <c r="F137" t="inlineStr">
        <is>
          <t>GOTLANDS LÄN</t>
        </is>
      </c>
      <c r="G137" t="inlineStr">
        <is>
          <t>GOTLAND</t>
        </is>
      </c>
      <c r="I137" t="n">
        <v>2.9</v>
      </c>
      <c r="J137" t="n">
        <v>2</v>
      </c>
      <c r="K137" t="n">
        <v>2</v>
      </c>
      <c r="L137" t="n">
        <v>1</v>
      </c>
      <c r="M137" t="n">
        <v>0</v>
      </c>
      <c r="N137" t="n">
        <v>0</v>
      </c>
      <c r="O137" t="n">
        <v>0</v>
      </c>
      <c r="P137" t="n">
        <v>0</v>
      </c>
      <c r="Q137" t="n">
        <v>1</v>
      </c>
      <c r="R137" t="n">
        <v>0</v>
      </c>
      <c r="S137" t="n">
        <v>3</v>
      </c>
      <c r="T137" t="n">
        <v>11</v>
      </c>
      <c r="U137" t="n">
        <v>11</v>
      </c>
      <c r="V137" s="2" t="inlineStr">
        <is>
          <t>Dårgräsfjäril
Blåmossa
Skogsknipprot</t>
        </is>
      </c>
      <c r="W137">
        <f>HYPERLINK("https://klasma.github.io/Logging_0980/artfynd/A 5909-2025 artfynd.xlsx", "A 5909-2025")</f>
        <v/>
      </c>
      <c r="X137">
        <f>HYPERLINK("https://klasma.github.io/Logging_0980/kartor/A 5909-2025 karta.png", "A 5909-2025")</f>
        <v/>
      </c>
      <c r="Y137">
        <f>HYPERLINK("https://klasma.github.io/Logging_0980/kartor_geotiff/A 5909-2025 georefererad karta.tif", "A 5909-2025")</f>
        <v/>
      </c>
      <c r="AA137">
        <f>HYPERLINK("https://klasma.github.io/Logging_0980/klagomål/A 5909-2025 FSC-klagomål.docx", "A 5909-2025")</f>
        <v/>
      </c>
      <c r="AB137">
        <f>HYPERLINK("https://klasma.github.io/Logging_0980/klagomålsmail/A 5909-2025 FSC-klagomål mail.docx", "A 5909-2025")</f>
        <v/>
      </c>
      <c r="AC137">
        <f>HYPERLINK("https://klasma.github.io/Logging_0980/tillsyn/A 5909-2025 tillsynsbegäran.docx", "A 5909-2025")</f>
        <v/>
      </c>
      <c r="AD137">
        <f>HYPERLINK("https://klasma.github.io/Logging_0980/tillsynsmail/A 5909-2025 tillsynsbegäran mail.docx", "A 5909-2025")</f>
        <v/>
      </c>
    </row>
    <row r="138" ht="15" customHeight="1">
      <c r="A138" t="inlineStr">
        <is>
          <t>A 2476-2025</t>
        </is>
      </c>
      <c r="B138" t="inlineStr">
        <is>
          <t>avverkningsanmälan</t>
        </is>
      </c>
      <c r="C138" t="inlineStr">
        <is>
          <t>Föryngringsavverkning</t>
        </is>
      </c>
      <c r="D138" s="1" t="n">
        <v>45673</v>
      </c>
      <c r="E138" s="1" t="n">
        <v>46321</v>
      </c>
      <c r="F138" t="inlineStr">
        <is>
          <t>GOTLANDS LÄN</t>
        </is>
      </c>
      <c r="G138" t="inlineStr">
        <is>
          <t>GOTLAND</t>
        </is>
      </c>
      <c r="I138" t="n">
        <v>3.1</v>
      </c>
      <c r="J138" t="n">
        <v>0</v>
      </c>
      <c r="K138" t="n">
        <v>1</v>
      </c>
      <c r="L138" t="n">
        <v>2</v>
      </c>
      <c r="M138" t="n">
        <v>0</v>
      </c>
      <c r="N138" t="n">
        <v>0</v>
      </c>
      <c r="O138" t="n">
        <v>0</v>
      </c>
      <c r="P138" t="n">
        <v>0</v>
      </c>
      <c r="Q138" t="n">
        <v>2</v>
      </c>
      <c r="R138" t="n">
        <v>0</v>
      </c>
      <c r="S138" t="n">
        <v>3</v>
      </c>
      <c r="T138" t="n">
        <v>3</v>
      </c>
      <c r="U138" t="n">
        <v>0</v>
      </c>
      <c r="V138" s="2" t="inlineStr">
        <is>
          <t>Barrviolspindling
Kryddspindling
Strimspindling</t>
        </is>
      </c>
      <c r="W138">
        <f>HYPERLINK("https://klasma.github.io/Logging_0980/artfynd/A 2476-2025 artfynd.xlsx", "A 2476-2025")</f>
        <v/>
      </c>
      <c r="X138">
        <f>HYPERLINK("https://klasma.github.io/Logging_0980/kartor/A 2476-2025 karta.png", "A 2476-2025")</f>
        <v/>
      </c>
      <c r="Y138">
        <f>HYPERLINK("https://klasma.github.io/Logging_0980/kartor_geotiff/A 2476-2025 georefererad karta.tif", "A 2476-2025")</f>
        <v/>
      </c>
      <c r="AA138">
        <f>HYPERLINK("https://klasma.github.io/Logging_0980/klagomål/A 2476-2025 FSC-klagomål.docx", "A 2476-2025")</f>
        <v/>
      </c>
      <c r="AB138">
        <f>HYPERLINK("https://klasma.github.io/Logging_0980/klagomålsmail/A 2476-2025 FSC-klagomål mail.docx", "A 2476-2025")</f>
        <v/>
      </c>
      <c r="AC138">
        <f>HYPERLINK("https://klasma.github.io/Logging_0980/tillsyn/A 2476-2025 tillsynsbegäran.docx", "A 2476-2025")</f>
        <v/>
      </c>
      <c r="AD138">
        <f>HYPERLINK("https://klasma.github.io/Logging_0980/tillsynsmail/A 2476-2025 tillsynsbegäran mail.docx", "A 2476-2025")</f>
        <v/>
      </c>
    </row>
    <row r="139" ht="15" customHeight="1">
      <c r="A139" t="inlineStr">
        <is>
          <t>A 43013-2022</t>
        </is>
      </c>
      <c r="B139" t="inlineStr">
        <is>
          <t>avverkningsanmälan</t>
        </is>
      </c>
      <c r="C139" t="inlineStr">
        <is>
          <t>Föryngringsavverkning</t>
        </is>
      </c>
      <c r="D139" s="1" t="n">
        <v>44833</v>
      </c>
      <c r="E139" s="1" t="n">
        <v>46321</v>
      </c>
      <c r="F139" t="inlineStr">
        <is>
          <t>GOTLANDS LÄN</t>
        </is>
      </c>
      <c r="G139" t="inlineStr">
        <is>
          <t>GOTLAND</t>
        </is>
      </c>
      <c r="I139" t="n">
        <v>9.300000000000001</v>
      </c>
      <c r="J139" t="n">
        <v>0</v>
      </c>
      <c r="K139" t="n">
        <v>1</v>
      </c>
      <c r="L139" t="n">
        <v>1</v>
      </c>
      <c r="M139" t="n">
        <v>1</v>
      </c>
      <c r="N139" t="n">
        <v>0</v>
      </c>
      <c r="O139" t="n">
        <v>0</v>
      </c>
      <c r="P139" t="n">
        <v>0</v>
      </c>
      <c r="Q139" t="n">
        <v>2</v>
      </c>
      <c r="R139" t="n">
        <v>1</v>
      </c>
      <c r="S139" t="n">
        <v>3</v>
      </c>
      <c r="T139" t="n">
        <v>4</v>
      </c>
      <c r="U139" t="n">
        <v>4</v>
      </c>
      <c r="V139" s="2" t="inlineStr">
        <is>
          <t>Violettfläckig spindling
Blå slemspindling
Anisspindling</t>
        </is>
      </c>
      <c r="W139">
        <f>HYPERLINK("https://klasma.github.io/Logging_0980/artfynd/A 43013-2022 artfynd.xlsx", "A 43013-2022")</f>
        <v/>
      </c>
      <c r="X139">
        <f>HYPERLINK("https://klasma.github.io/Logging_0980/kartor/A 43013-2022 karta.png", "A 43013-2022")</f>
        <v/>
      </c>
      <c r="Y139">
        <f>HYPERLINK("https://klasma.github.io/Logging_0980/kartor_geotiff/A 43013-2022 georefererad karta.tif", "A 43013-2022")</f>
        <v/>
      </c>
      <c r="AA139">
        <f>HYPERLINK("https://klasma.github.io/Logging_0980/klagomål/A 43013-2022 FSC-klagomål.docx", "A 43013-2022")</f>
        <v/>
      </c>
      <c r="AB139">
        <f>HYPERLINK("https://klasma.github.io/Logging_0980/klagomålsmail/A 43013-2022 FSC-klagomål mail.docx", "A 43013-2022")</f>
        <v/>
      </c>
      <c r="AC139">
        <f>HYPERLINK("https://klasma.github.io/Logging_0980/tillsyn/A 43013-2022 tillsynsbegäran.docx", "A 43013-2022")</f>
        <v/>
      </c>
      <c r="AD139">
        <f>HYPERLINK("https://klasma.github.io/Logging_0980/tillsynsmail/A 43013-2022 tillsynsbegäran mail.docx", "A 43013-2022")</f>
        <v/>
      </c>
    </row>
    <row r="140" ht="15" customHeight="1">
      <c r="A140" t="inlineStr">
        <is>
          <t>A 34312-2024</t>
        </is>
      </c>
      <c r="B140" t="inlineStr">
        <is>
          <t>avverkningsanmälan</t>
        </is>
      </c>
      <c r="C140" t="inlineStr">
        <is>
          <t>Föryngringsavverkning</t>
        </is>
      </c>
      <c r="D140" s="1" t="n">
        <v>45524</v>
      </c>
      <c r="E140" s="1" t="n">
        <v>46321</v>
      </c>
      <c r="F140" t="inlineStr">
        <is>
          <t>GOTLANDS LÄN</t>
        </is>
      </c>
      <c r="G140" t="inlineStr">
        <is>
          <t>GOTLAND</t>
        </is>
      </c>
      <c r="I140" t="n">
        <v>2</v>
      </c>
      <c r="J140" t="n">
        <v>1</v>
      </c>
      <c r="K140" t="n">
        <v>0</v>
      </c>
      <c r="L140" t="n">
        <v>2</v>
      </c>
      <c r="M140" t="n">
        <v>0</v>
      </c>
      <c r="N140" t="n">
        <v>0</v>
      </c>
      <c r="O140" t="n">
        <v>0</v>
      </c>
      <c r="P140" t="n">
        <v>0</v>
      </c>
      <c r="Q140" t="n">
        <v>2</v>
      </c>
      <c r="R140" t="n">
        <v>0</v>
      </c>
      <c r="S140" t="n">
        <v>3</v>
      </c>
      <c r="T140" t="n">
        <v>3</v>
      </c>
      <c r="U140" t="n">
        <v>0</v>
      </c>
      <c r="V140" s="2" t="inlineStr">
        <is>
          <t>Svinrot
Ängsstarr
Sankt pers nycklar</t>
        </is>
      </c>
      <c r="W140">
        <f>HYPERLINK("https://klasma.github.io/Logging_0980/artfynd/A 34312-2024 artfynd.xlsx", "A 34312-2024")</f>
        <v/>
      </c>
      <c r="X140">
        <f>HYPERLINK("https://klasma.github.io/Logging_0980/kartor/A 34312-2024 karta.png", "A 34312-2024")</f>
        <v/>
      </c>
      <c r="Y140">
        <f>HYPERLINK("https://klasma.github.io/Logging_0980/kartor_geotiff/A 34312-2024 georefererad karta.tif", "A 34312-2024")</f>
        <v/>
      </c>
      <c r="AA140">
        <f>HYPERLINK("https://klasma.github.io/Logging_0980/klagomål/A 34312-2024 FSC-klagomål.docx", "A 34312-2024")</f>
        <v/>
      </c>
      <c r="AB140">
        <f>HYPERLINK("https://klasma.github.io/Logging_0980/klagomålsmail/A 34312-2024 FSC-klagomål mail.docx", "A 34312-2024")</f>
        <v/>
      </c>
      <c r="AC140">
        <f>HYPERLINK("https://klasma.github.io/Logging_0980/tillsyn/A 34312-2024 tillsynsbegäran.docx", "A 34312-2024")</f>
        <v/>
      </c>
      <c r="AD140">
        <f>HYPERLINK("https://klasma.github.io/Logging_0980/tillsynsmail/A 34312-2024 tillsynsbegäran mail.docx", "A 34312-2024")</f>
        <v/>
      </c>
    </row>
    <row r="141" ht="15" customHeight="1">
      <c r="A141" t="inlineStr">
        <is>
          <t>A 63576-2021</t>
        </is>
      </c>
      <c r="B141" t="inlineStr">
        <is>
          <t>avverkningsanmälan</t>
        </is>
      </c>
      <c r="C141" t="inlineStr">
        <is>
          <t>Föryngringsavverkning</t>
        </is>
      </c>
      <c r="D141" s="1" t="n">
        <v>44508</v>
      </c>
      <c r="E141" s="1" t="n">
        <v>46321</v>
      </c>
      <c r="F141" t="inlineStr">
        <is>
          <t>GOTLANDS LÄN</t>
        </is>
      </c>
      <c r="G141" t="inlineStr">
        <is>
          <t>GOTLAND</t>
        </is>
      </c>
      <c r="H141" t="inlineStr">
        <is>
          <t>Kyrkan</t>
        </is>
      </c>
      <c r="I141" t="n">
        <v>4.1</v>
      </c>
      <c r="J141" t="n">
        <v>1</v>
      </c>
      <c r="K141" t="n">
        <v>1</v>
      </c>
      <c r="L141" t="n">
        <v>2</v>
      </c>
      <c r="M141" t="n">
        <v>0</v>
      </c>
      <c r="N141" t="n">
        <v>0</v>
      </c>
      <c r="O141" t="n">
        <v>0</v>
      </c>
      <c r="P141" t="n">
        <v>0</v>
      </c>
      <c r="Q141" t="n">
        <v>2</v>
      </c>
      <c r="R141" t="n">
        <v>0</v>
      </c>
      <c r="S141" t="n">
        <v>3</v>
      </c>
      <c r="T141" t="n">
        <v>3</v>
      </c>
      <c r="U141" t="n">
        <v>3</v>
      </c>
      <c r="V141" s="2" t="inlineStr">
        <is>
          <t>Dårgräsfjäril
Loppstarr
Stubbspretmossa</t>
        </is>
      </c>
      <c r="W141">
        <f>HYPERLINK("https://klasma.github.io/Logging_0980/artfynd/A 63576-2021 artfynd.xlsx", "A 63576-2021")</f>
        <v/>
      </c>
      <c r="X141">
        <f>HYPERLINK("https://klasma.github.io/Logging_0980/kartor/A 63576-2021 karta.png", "A 63576-2021")</f>
        <v/>
      </c>
      <c r="Y141">
        <f>HYPERLINK("https://klasma.github.io/Logging_0980/kartor_geotiff/A 63576-2021 georefererad karta.tif", "A 63576-2021")</f>
        <v/>
      </c>
      <c r="AA141">
        <f>HYPERLINK("https://klasma.github.io/Logging_0980/klagomål/A 63576-2021 FSC-klagomål.docx", "A 63576-2021")</f>
        <v/>
      </c>
      <c r="AB141">
        <f>HYPERLINK("https://klasma.github.io/Logging_0980/klagomålsmail/A 63576-2021 FSC-klagomål mail.docx", "A 63576-2021")</f>
        <v/>
      </c>
      <c r="AC141">
        <f>HYPERLINK("https://klasma.github.io/Logging_0980/tillsyn/A 63576-2021 tillsynsbegäran.docx", "A 63576-2021")</f>
        <v/>
      </c>
      <c r="AD141">
        <f>HYPERLINK("https://klasma.github.io/Logging_0980/tillsynsmail/A 63576-2021 tillsynsbegäran mail.docx", "A 63576-2021")</f>
        <v/>
      </c>
    </row>
    <row r="142" ht="15" customHeight="1">
      <c r="A142" t="inlineStr">
        <is>
          <t>A 35574-2024</t>
        </is>
      </c>
      <c r="B142" t="inlineStr">
        <is>
          <t>avverkningsanmälan</t>
        </is>
      </c>
      <c r="C142" t="inlineStr">
        <is>
          <t>Föryngringsavverkning</t>
        </is>
      </c>
      <c r="D142" s="1" t="n">
        <v>45531</v>
      </c>
      <c r="E142" s="1" t="n">
        <v>46321</v>
      </c>
      <c r="F142" t="inlineStr">
        <is>
          <t>GOTLANDS LÄN</t>
        </is>
      </c>
      <c r="G142" t="inlineStr">
        <is>
          <t>GOTLAND</t>
        </is>
      </c>
      <c r="I142" t="n">
        <v>5.7</v>
      </c>
      <c r="J142" t="n">
        <v>0</v>
      </c>
      <c r="K142" t="n">
        <v>2</v>
      </c>
      <c r="L142" t="n">
        <v>1</v>
      </c>
      <c r="M142" t="n">
        <v>0</v>
      </c>
      <c r="N142" t="n">
        <v>0</v>
      </c>
      <c r="O142" t="n">
        <v>0</v>
      </c>
      <c r="P142" t="n">
        <v>0</v>
      </c>
      <c r="Q142" t="n">
        <v>1</v>
      </c>
      <c r="R142" t="n">
        <v>0</v>
      </c>
      <c r="S142" t="n">
        <v>3</v>
      </c>
      <c r="T142" t="n">
        <v>3</v>
      </c>
      <c r="U142" t="n">
        <v>1</v>
      </c>
      <c r="V142" s="2" t="inlineStr">
        <is>
          <t>Svinrot
Kambräken
Murgröna</t>
        </is>
      </c>
      <c r="W142">
        <f>HYPERLINK("https://klasma.github.io/Logging_0980/artfynd/A 35574-2024 artfynd.xlsx", "A 35574-2024")</f>
        <v/>
      </c>
      <c r="X142">
        <f>HYPERLINK("https://klasma.github.io/Logging_0980/kartor/A 35574-2024 karta.png", "A 35574-2024")</f>
        <v/>
      </c>
      <c r="Y142">
        <f>HYPERLINK("https://klasma.github.io/Logging_0980/kartor_geotiff/A 35574-2024 georefererad karta.tif", "A 35574-2024")</f>
        <v/>
      </c>
      <c r="AA142">
        <f>HYPERLINK("https://klasma.github.io/Logging_0980/klagomål/A 35574-2024 FSC-klagomål.docx", "A 35574-2024")</f>
        <v/>
      </c>
      <c r="AB142">
        <f>HYPERLINK("https://klasma.github.io/Logging_0980/klagomålsmail/A 35574-2024 FSC-klagomål mail.docx", "A 35574-2024")</f>
        <v/>
      </c>
      <c r="AC142">
        <f>HYPERLINK("https://klasma.github.io/Logging_0980/tillsyn/A 35574-2024 tillsynsbegäran.docx", "A 35574-2024")</f>
        <v/>
      </c>
      <c r="AD142">
        <f>HYPERLINK("https://klasma.github.io/Logging_0980/tillsynsmail/A 35574-2024 tillsynsbegäran mail.docx", "A 35574-2024")</f>
        <v/>
      </c>
    </row>
    <row r="143" ht="15" customHeight="1">
      <c r="A143" t="inlineStr">
        <is>
          <t>A 17982-2023</t>
        </is>
      </c>
      <c r="B143" t="inlineStr">
        <is>
          <t>avverkningsanmälan</t>
        </is>
      </c>
      <c r="C143" t="inlineStr">
        <is>
          <t>Avverkning för att bevara och utveckla /försöksver</t>
        </is>
      </c>
      <c r="D143" s="1" t="n">
        <v>45040</v>
      </c>
      <c r="E143" s="1" t="n">
        <v>46321</v>
      </c>
      <c r="F143" t="inlineStr">
        <is>
          <t>GOTLANDS LÄN</t>
        </is>
      </c>
      <c r="G143" t="inlineStr">
        <is>
          <t>GOTLAND</t>
        </is>
      </c>
      <c r="I143" t="n">
        <v>2.2</v>
      </c>
      <c r="J143" t="n">
        <v>0</v>
      </c>
      <c r="K143" t="n">
        <v>0</v>
      </c>
      <c r="L143" t="n">
        <v>2</v>
      </c>
      <c r="M143" t="n">
        <v>0</v>
      </c>
      <c r="N143" t="n">
        <v>1</v>
      </c>
      <c r="O143" t="n">
        <v>0</v>
      </c>
      <c r="P143" t="n">
        <v>0</v>
      </c>
      <c r="Q143" t="n">
        <v>3</v>
      </c>
      <c r="R143" t="n">
        <v>1</v>
      </c>
      <c r="S143" t="n">
        <v>3</v>
      </c>
      <c r="T143" t="n">
        <v>3</v>
      </c>
      <c r="U143" t="n">
        <v>3</v>
      </c>
      <c r="V143" s="2" t="inlineStr">
        <is>
          <t>Lundalm
Krusfrö
Ängsskära</t>
        </is>
      </c>
      <c r="W143">
        <f>HYPERLINK("https://klasma.github.io/Logging_0980/artfynd/A 17982-2023 artfynd.xlsx", "A 17982-2023")</f>
        <v/>
      </c>
      <c r="X143">
        <f>HYPERLINK("https://klasma.github.io/Logging_0980/kartor/A 17982-2023 karta.png", "A 17982-2023")</f>
        <v/>
      </c>
      <c r="Y143">
        <f>HYPERLINK("https://klasma.github.io/Logging_0980/kartor_geotiff/A 17982-2023 georefererad karta.tif", "A 17982-2023")</f>
        <v/>
      </c>
      <c r="AA143">
        <f>HYPERLINK("https://klasma.github.io/Logging_0980/klagomål/A 17982-2023 FSC-klagomål.docx", "A 17982-2023")</f>
        <v/>
      </c>
      <c r="AB143">
        <f>HYPERLINK("https://klasma.github.io/Logging_0980/klagomålsmail/A 17982-2023 FSC-klagomål mail.docx", "A 17982-2023")</f>
        <v/>
      </c>
      <c r="AC143">
        <f>HYPERLINK("https://klasma.github.io/Logging_0980/tillsyn/A 17982-2023 tillsynsbegäran.docx", "A 17982-2023")</f>
        <v/>
      </c>
      <c r="AD143">
        <f>HYPERLINK("https://klasma.github.io/Logging_0980/tillsynsmail/A 17982-2023 tillsynsbegäran mail.docx", "A 17982-2023")</f>
        <v/>
      </c>
    </row>
    <row r="144" ht="15" customHeight="1">
      <c r="A144" t="inlineStr">
        <is>
          <t>A 54357-2024</t>
        </is>
      </c>
      <c r="B144" t="inlineStr">
        <is>
          <t>avverkningsanmälan</t>
        </is>
      </c>
      <c r="C144" t="inlineStr">
        <is>
          <t>Föryngringsavverkning</t>
        </is>
      </c>
      <c r="D144" s="1" t="n">
        <v>45617</v>
      </c>
      <c r="E144" s="1" t="n">
        <v>46321</v>
      </c>
      <c r="F144" t="inlineStr">
        <is>
          <t>GOTLANDS LÄN</t>
        </is>
      </c>
      <c r="G144" t="inlineStr">
        <is>
          <t>GOTLAND</t>
        </is>
      </c>
      <c r="I144" t="n">
        <v>1.5</v>
      </c>
      <c r="J144" t="n">
        <v>1</v>
      </c>
      <c r="K144" t="n">
        <v>1</v>
      </c>
      <c r="L144" t="n">
        <v>1</v>
      </c>
      <c r="M144" t="n">
        <v>0</v>
      </c>
      <c r="N144" t="n">
        <v>0</v>
      </c>
      <c r="O144" t="n">
        <v>0</v>
      </c>
      <c r="P144" t="n">
        <v>0</v>
      </c>
      <c r="Q144" t="n">
        <v>1</v>
      </c>
      <c r="R144" t="n">
        <v>0</v>
      </c>
      <c r="S144" t="n">
        <v>3</v>
      </c>
      <c r="T144" t="n">
        <v>3</v>
      </c>
      <c r="U144" t="n">
        <v>2</v>
      </c>
      <c r="V144" s="2" t="inlineStr">
        <is>
          <t>Loppstarr
Grov fjädermossa
Fläcknycklar</t>
        </is>
      </c>
      <c r="W144">
        <f>HYPERLINK("https://klasma.github.io/Logging_0980/artfynd/A 54357-2024 artfynd.xlsx", "A 54357-2024")</f>
        <v/>
      </c>
      <c r="X144">
        <f>HYPERLINK("https://klasma.github.io/Logging_0980/kartor/A 54357-2024 karta.png", "A 54357-2024")</f>
        <v/>
      </c>
      <c r="Y144">
        <f>HYPERLINK("https://klasma.github.io/Logging_0980/kartor_geotiff/A 54357-2024 georefererad karta.tif", "A 54357-2024")</f>
        <v/>
      </c>
      <c r="AA144">
        <f>HYPERLINK("https://klasma.github.io/Logging_0980/klagomål/A 54357-2024 FSC-klagomål.docx", "A 54357-2024")</f>
        <v/>
      </c>
      <c r="AB144">
        <f>HYPERLINK("https://klasma.github.io/Logging_0980/klagomålsmail/A 54357-2024 FSC-klagomål mail.docx", "A 54357-2024")</f>
        <v/>
      </c>
      <c r="AC144">
        <f>HYPERLINK("https://klasma.github.io/Logging_0980/tillsyn/A 54357-2024 tillsynsbegäran.docx", "A 54357-2024")</f>
        <v/>
      </c>
      <c r="AD144">
        <f>HYPERLINK("https://klasma.github.io/Logging_0980/tillsynsmail/A 54357-2024 tillsynsbegäran mail.docx", "A 54357-2024")</f>
        <v/>
      </c>
    </row>
    <row r="145" ht="15" customHeight="1">
      <c r="A145" t="inlineStr">
        <is>
          <t>A 13499-2022</t>
        </is>
      </c>
      <c r="B145" t="inlineStr">
        <is>
          <t>avverkningsanmälan</t>
        </is>
      </c>
      <c r="C145" t="inlineStr">
        <is>
          <t>Föryngringsavverkning</t>
        </is>
      </c>
      <c r="D145" s="1" t="n">
        <v>44647</v>
      </c>
      <c r="E145" s="1" t="n">
        <v>46321</v>
      </c>
      <c r="F145" t="inlineStr">
        <is>
          <t>GOTLANDS LÄN</t>
        </is>
      </c>
      <c r="G145" t="inlineStr">
        <is>
          <t>GOTLAND</t>
        </is>
      </c>
      <c r="I145" t="n">
        <v>6.8</v>
      </c>
      <c r="J145" t="n">
        <v>3</v>
      </c>
      <c r="K145" t="n">
        <v>0</v>
      </c>
      <c r="L145" t="n">
        <v>0</v>
      </c>
      <c r="M145" t="n">
        <v>0</v>
      </c>
      <c r="N145" t="n">
        <v>0</v>
      </c>
      <c r="O145" t="n">
        <v>0</v>
      </c>
      <c r="P145" t="n">
        <v>0</v>
      </c>
      <c r="Q145" t="n">
        <v>0</v>
      </c>
      <c r="R145" t="n">
        <v>0</v>
      </c>
      <c r="S145" t="n">
        <v>3</v>
      </c>
      <c r="T145" t="n">
        <v>3</v>
      </c>
      <c r="U145" t="n">
        <v>2</v>
      </c>
      <c r="V145" s="2" t="inlineStr">
        <is>
          <t>Blåsippa
Spillkråka
Sankt pers nycklar</t>
        </is>
      </c>
      <c r="W145">
        <f>HYPERLINK("https://klasma.github.io/Logging_0980/artfynd/A 13499-2022 artfynd.xlsx", "A 13499-2022")</f>
        <v/>
      </c>
      <c r="X145">
        <f>HYPERLINK("https://klasma.github.io/Logging_0980/kartor/A 13499-2022 karta.png", "A 13499-2022")</f>
        <v/>
      </c>
      <c r="Y145">
        <f>HYPERLINK("https://klasma.github.io/Logging_0980/kartor_geotiff/A 13499-2022 georefererad karta.tif", "A 13499-2022")</f>
        <v/>
      </c>
      <c r="AA145">
        <f>HYPERLINK("https://klasma.github.io/Logging_0980/klagomål/A 13499-2022 FSC-klagomål.docx", "A 13499-2022")</f>
        <v/>
      </c>
      <c r="AB145">
        <f>HYPERLINK("https://klasma.github.io/Logging_0980/klagomålsmail/A 13499-2022 FSC-klagomål mail.docx", "A 13499-2022")</f>
        <v/>
      </c>
      <c r="AC145">
        <f>HYPERLINK("https://klasma.github.io/Logging_0980/tillsyn/A 13499-2022 tillsynsbegäran.docx", "A 13499-2022")</f>
        <v/>
      </c>
      <c r="AD145">
        <f>HYPERLINK("https://klasma.github.io/Logging_0980/tillsynsmail/A 13499-2022 tillsynsbegäran mail.docx", "A 13499-2022")</f>
        <v/>
      </c>
      <c r="AE145">
        <f>HYPERLINK("https://klasma.github.io/Logging_0980/fåglar/A 13499-2022 prioriterade fågelarter.docx", "A 13499-2022")</f>
        <v/>
      </c>
    </row>
    <row r="146" ht="15" customHeight="1">
      <c r="A146" t="inlineStr">
        <is>
          <t>A 43219-2023</t>
        </is>
      </c>
      <c r="B146" t="inlineStr">
        <is>
          <t>avverkningsanmälan</t>
        </is>
      </c>
      <c r="C146" t="inlineStr">
        <is>
          <t>Föryngringsavverkning</t>
        </is>
      </c>
      <c r="D146" s="1" t="n">
        <v>45183</v>
      </c>
      <c r="E146" s="1" t="n">
        <v>46321</v>
      </c>
      <c r="F146" t="inlineStr">
        <is>
          <t>GOTLANDS LÄN</t>
        </is>
      </c>
      <c r="G146" t="inlineStr">
        <is>
          <t>GOTLAND</t>
        </is>
      </c>
      <c r="I146" t="n">
        <v>3.6</v>
      </c>
      <c r="J146" t="n">
        <v>1</v>
      </c>
      <c r="K146" t="n">
        <v>0</v>
      </c>
      <c r="L146" t="n">
        <v>1</v>
      </c>
      <c r="M146" t="n">
        <v>1</v>
      </c>
      <c r="N146" t="n">
        <v>0</v>
      </c>
      <c r="O146" t="n">
        <v>0</v>
      </c>
      <c r="P146" t="n">
        <v>0</v>
      </c>
      <c r="Q146" t="n">
        <v>2</v>
      </c>
      <c r="R146" t="n">
        <v>1</v>
      </c>
      <c r="S146" t="n">
        <v>3</v>
      </c>
      <c r="T146" t="n">
        <v>3</v>
      </c>
      <c r="U146" t="n">
        <v>3</v>
      </c>
      <c r="V146" s="2" t="inlineStr">
        <is>
          <t>Gotlandsmåra
Axveronika
Skogsduva</t>
        </is>
      </c>
      <c r="W146">
        <f>HYPERLINK("https://klasma.github.io/Logging_0980/artfynd/A 43219-2023 artfynd.xlsx", "A 43219-2023")</f>
        <v/>
      </c>
      <c r="X146">
        <f>HYPERLINK("https://klasma.github.io/Logging_0980/kartor/A 43219-2023 karta.png", "A 43219-2023")</f>
        <v/>
      </c>
      <c r="Y146">
        <f>HYPERLINK("https://klasma.github.io/Logging_0980/kartor_geotiff/A 43219-2023 georefererad karta.tif", "A 43219-2023")</f>
        <v/>
      </c>
      <c r="AA146">
        <f>HYPERLINK("https://klasma.github.io/Logging_0980/klagomål/A 43219-2023 FSC-klagomål.docx", "A 43219-2023")</f>
        <v/>
      </c>
      <c r="AB146">
        <f>HYPERLINK("https://klasma.github.io/Logging_0980/klagomålsmail/A 43219-2023 FSC-klagomål mail.docx", "A 43219-2023")</f>
        <v/>
      </c>
      <c r="AC146">
        <f>HYPERLINK("https://klasma.github.io/Logging_0980/tillsyn/A 43219-2023 tillsynsbegäran.docx", "A 43219-2023")</f>
        <v/>
      </c>
      <c r="AD146">
        <f>HYPERLINK("https://klasma.github.io/Logging_0980/tillsynsmail/A 43219-2023 tillsynsbegäran mail.docx", "A 43219-2023")</f>
        <v/>
      </c>
    </row>
    <row r="147" ht="15" customHeight="1">
      <c r="A147" t="inlineStr">
        <is>
          <t>A 12315-2024</t>
        </is>
      </c>
      <c r="B147" t="inlineStr">
        <is>
          <t>avverkningsanmälan</t>
        </is>
      </c>
      <c r="C147" t="inlineStr">
        <is>
          <t>Föryngringsavverkning</t>
        </is>
      </c>
      <c r="D147" s="1" t="n">
        <v>45378</v>
      </c>
      <c r="E147" s="1" t="n">
        <v>46321</v>
      </c>
      <c r="F147" t="inlineStr">
        <is>
          <t>GOTLANDS LÄN</t>
        </is>
      </c>
      <c r="G147" t="inlineStr">
        <is>
          <t>GOTLAND</t>
        </is>
      </c>
      <c r="I147" t="n">
        <v>6</v>
      </c>
      <c r="J147" t="n">
        <v>3</v>
      </c>
      <c r="K147" t="n">
        <v>1</v>
      </c>
      <c r="L147" t="n">
        <v>0</v>
      </c>
      <c r="M147" t="n">
        <v>0</v>
      </c>
      <c r="N147" t="n">
        <v>0</v>
      </c>
      <c r="O147" t="n">
        <v>0</v>
      </c>
      <c r="P147" t="n">
        <v>0</v>
      </c>
      <c r="Q147" t="n">
        <v>0</v>
      </c>
      <c r="R147" t="n">
        <v>0</v>
      </c>
      <c r="S147" t="n">
        <v>3</v>
      </c>
      <c r="T147" t="n">
        <v>3</v>
      </c>
      <c r="U147" t="n">
        <v>3</v>
      </c>
      <c r="V147" s="2" t="inlineStr">
        <is>
          <t>Tvåblad
Buskskvätta
Fläcknycklar</t>
        </is>
      </c>
      <c r="W147">
        <f>HYPERLINK("https://klasma.github.io/Logging_0980/artfynd/A 12315-2024 artfynd.xlsx", "A 12315-2024")</f>
        <v/>
      </c>
      <c r="X147">
        <f>HYPERLINK("https://klasma.github.io/Logging_0980/kartor/A 12315-2024 karta.png", "A 12315-2024")</f>
        <v/>
      </c>
      <c r="Y147">
        <f>HYPERLINK("https://klasma.github.io/Logging_0980/kartor_geotiff/A 12315-2024 georefererad karta.tif", "A 12315-2024")</f>
        <v/>
      </c>
      <c r="AA147">
        <f>HYPERLINK("https://klasma.github.io/Logging_0980/klagomål/A 12315-2024 FSC-klagomål.docx", "A 12315-2024")</f>
        <v/>
      </c>
      <c r="AB147">
        <f>HYPERLINK("https://klasma.github.io/Logging_0980/klagomålsmail/A 12315-2024 FSC-klagomål mail.docx", "A 12315-2024")</f>
        <v/>
      </c>
      <c r="AC147">
        <f>HYPERLINK("https://klasma.github.io/Logging_0980/tillsyn/A 12315-2024 tillsynsbegäran.docx", "A 12315-2024")</f>
        <v/>
      </c>
      <c r="AD147">
        <f>HYPERLINK("https://klasma.github.io/Logging_0980/tillsynsmail/A 12315-2024 tillsynsbegäran mail.docx", "A 12315-2024")</f>
        <v/>
      </c>
    </row>
    <row r="148" ht="15" customHeight="1">
      <c r="A148" t="inlineStr">
        <is>
          <t>A 49411-2023</t>
        </is>
      </c>
      <c r="B148" t="inlineStr">
        <is>
          <t>avverkningsanmälan</t>
        </is>
      </c>
      <c r="C148" t="inlineStr">
        <is>
          <t>Föryngringsavverkning</t>
        </is>
      </c>
      <c r="D148" s="1" t="n">
        <v>45205</v>
      </c>
      <c r="E148" s="1" t="n">
        <v>46321</v>
      </c>
      <c r="F148" t="inlineStr">
        <is>
          <t>GOTLANDS LÄN</t>
        </is>
      </c>
      <c r="G148" t="inlineStr">
        <is>
          <t>GOTLAND</t>
        </is>
      </c>
      <c r="I148" t="n">
        <v>2</v>
      </c>
      <c r="J148" t="n">
        <v>1</v>
      </c>
      <c r="K148" t="n">
        <v>1</v>
      </c>
      <c r="L148" t="n">
        <v>2</v>
      </c>
      <c r="M148" t="n">
        <v>0</v>
      </c>
      <c r="N148" t="n">
        <v>0</v>
      </c>
      <c r="O148" t="n">
        <v>0</v>
      </c>
      <c r="P148" t="n">
        <v>0</v>
      </c>
      <c r="Q148" t="n">
        <v>2</v>
      </c>
      <c r="R148" t="n">
        <v>0</v>
      </c>
      <c r="S148" t="n">
        <v>3</v>
      </c>
      <c r="T148" t="n">
        <v>3</v>
      </c>
      <c r="U148" t="n">
        <v>1</v>
      </c>
      <c r="V148" s="2" t="inlineStr">
        <is>
          <t>Blåklockesandbi
Svinrot
Tvåblad</t>
        </is>
      </c>
      <c r="W148">
        <f>HYPERLINK("https://klasma.github.io/Logging_0980/artfynd/A 49411-2023 artfynd.xlsx", "A 49411-2023")</f>
        <v/>
      </c>
      <c r="X148">
        <f>HYPERLINK("https://klasma.github.io/Logging_0980/kartor/A 49411-2023 karta.png", "A 49411-2023")</f>
        <v/>
      </c>
      <c r="Y148">
        <f>HYPERLINK("https://klasma.github.io/Logging_0980/kartor_geotiff/A 49411-2023 georefererad karta.tif", "A 49411-2023")</f>
        <v/>
      </c>
      <c r="AA148">
        <f>HYPERLINK("https://klasma.github.io/Logging_0980/klagomål/A 49411-2023 FSC-klagomål.docx", "A 49411-2023")</f>
        <v/>
      </c>
      <c r="AB148">
        <f>HYPERLINK("https://klasma.github.io/Logging_0980/klagomålsmail/A 49411-2023 FSC-klagomål mail.docx", "A 49411-2023")</f>
        <v/>
      </c>
      <c r="AC148">
        <f>HYPERLINK("https://klasma.github.io/Logging_0980/tillsyn/A 49411-2023 tillsynsbegäran.docx", "A 49411-2023")</f>
        <v/>
      </c>
      <c r="AD148">
        <f>HYPERLINK("https://klasma.github.io/Logging_0980/tillsynsmail/A 49411-2023 tillsynsbegäran mail.docx", "A 49411-2023")</f>
        <v/>
      </c>
    </row>
    <row r="149" ht="15" customHeight="1">
      <c r="A149" t="inlineStr">
        <is>
          <t>A 61561-2023</t>
        </is>
      </c>
      <c r="B149" t="inlineStr">
        <is>
          <t>avverkningsanmälan</t>
        </is>
      </c>
      <c r="C149" t="inlineStr">
        <is>
          <t>Föryngringsavverkning</t>
        </is>
      </c>
      <c r="D149" s="1" t="n">
        <v>45265</v>
      </c>
      <c r="E149" s="1" t="n">
        <v>46321</v>
      </c>
      <c r="F149" t="inlineStr">
        <is>
          <t>GOTLANDS LÄN</t>
        </is>
      </c>
      <c r="G149" t="inlineStr">
        <is>
          <t>GOTLAND</t>
        </is>
      </c>
      <c r="I149" t="n">
        <v>7.4</v>
      </c>
      <c r="J149" t="n">
        <v>0</v>
      </c>
      <c r="K149" t="n">
        <v>0</v>
      </c>
      <c r="L149" t="n">
        <v>3</v>
      </c>
      <c r="M149" t="n">
        <v>0</v>
      </c>
      <c r="N149" t="n">
        <v>0</v>
      </c>
      <c r="O149" t="n">
        <v>0</v>
      </c>
      <c r="P149" t="n">
        <v>0</v>
      </c>
      <c r="Q149" t="n">
        <v>3</v>
      </c>
      <c r="R149" t="n">
        <v>0</v>
      </c>
      <c r="S149" t="n">
        <v>3</v>
      </c>
      <c r="T149" t="n">
        <v>3</v>
      </c>
      <c r="U149" t="n">
        <v>1</v>
      </c>
      <c r="V149" s="2" t="inlineStr">
        <is>
          <t>Jordtistel
Loppstarr
Solvända</t>
        </is>
      </c>
      <c r="W149">
        <f>HYPERLINK("https://klasma.github.io/Logging_0980/artfynd/A 61561-2023 artfynd.xlsx", "A 61561-2023")</f>
        <v/>
      </c>
      <c r="X149">
        <f>HYPERLINK("https://klasma.github.io/Logging_0980/kartor/A 61561-2023 karta.png", "A 61561-2023")</f>
        <v/>
      </c>
      <c r="Y149">
        <f>HYPERLINK("https://klasma.github.io/Logging_0980/kartor_geotiff/A 61561-2023 georefererad karta.tif", "A 61561-2023")</f>
        <v/>
      </c>
      <c r="AA149">
        <f>HYPERLINK("https://klasma.github.io/Logging_0980/klagomål/A 61561-2023 FSC-klagomål.docx", "A 61561-2023")</f>
        <v/>
      </c>
      <c r="AB149">
        <f>HYPERLINK("https://klasma.github.io/Logging_0980/klagomålsmail/A 61561-2023 FSC-klagomål mail.docx", "A 61561-2023")</f>
        <v/>
      </c>
      <c r="AC149">
        <f>HYPERLINK("https://klasma.github.io/Logging_0980/tillsyn/A 61561-2023 tillsynsbegäran.docx", "A 61561-2023")</f>
        <v/>
      </c>
      <c r="AD149">
        <f>HYPERLINK("https://klasma.github.io/Logging_0980/tillsynsmail/A 61561-2023 tillsynsbegäran mail.docx", "A 61561-2023")</f>
        <v/>
      </c>
    </row>
    <row r="150" ht="15" customHeight="1">
      <c r="A150" t="inlineStr">
        <is>
          <t>A 44207-2022</t>
        </is>
      </c>
      <c r="B150" t="inlineStr">
        <is>
          <t>avverkningsanmälan</t>
        </is>
      </c>
      <c r="C150" t="inlineStr">
        <is>
          <t>Föryngringsavverkning</t>
        </is>
      </c>
      <c r="D150" s="1" t="n">
        <v>44839</v>
      </c>
      <c r="E150" s="1" t="n">
        <v>46321</v>
      </c>
      <c r="F150" t="inlineStr">
        <is>
          <t>GOTLANDS LÄN</t>
        </is>
      </c>
      <c r="G150" t="inlineStr">
        <is>
          <t>GOTLAND</t>
        </is>
      </c>
      <c r="I150" t="n">
        <v>3.8</v>
      </c>
      <c r="J150" t="n">
        <v>0</v>
      </c>
      <c r="K150" t="n">
        <v>0</v>
      </c>
      <c r="L150" t="n">
        <v>1</v>
      </c>
      <c r="M150" t="n">
        <v>1</v>
      </c>
      <c r="N150" t="n">
        <v>0</v>
      </c>
      <c r="O150" t="n">
        <v>0</v>
      </c>
      <c r="P150" t="n">
        <v>0</v>
      </c>
      <c r="Q150" t="n">
        <v>2</v>
      </c>
      <c r="R150" t="n">
        <v>1</v>
      </c>
      <c r="S150" t="n">
        <v>2</v>
      </c>
      <c r="T150" t="n">
        <v>2</v>
      </c>
      <c r="U150" t="n">
        <v>2</v>
      </c>
      <c r="V150" s="2" t="inlineStr">
        <is>
          <t>Violettfläckig spindling
Odörspindling</t>
        </is>
      </c>
      <c r="W150">
        <f>HYPERLINK("https://klasma.github.io/Logging_0980/artfynd/A 44207-2022 artfynd.xlsx", "A 44207-2022")</f>
        <v/>
      </c>
      <c r="X150">
        <f>HYPERLINK("https://klasma.github.io/Logging_0980/kartor/A 44207-2022 karta.png", "A 44207-2022")</f>
        <v/>
      </c>
      <c r="Y150">
        <f>HYPERLINK("https://klasma.github.io/Logging_0980/kartor_geotiff/A 44207-2022 georefererad karta.tif", "A 44207-2022")</f>
        <v/>
      </c>
      <c r="AA150">
        <f>HYPERLINK("https://klasma.github.io/Logging_0980/klagomål/A 44207-2022 FSC-klagomål.docx", "A 44207-2022")</f>
        <v/>
      </c>
      <c r="AB150">
        <f>HYPERLINK("https://klasma.github.io/Logging_0980/klagomålsmail/A 44207-2022 FSC-klagomål mail.docx", "A 44207-2022")</f>
        <v/>
      </c>
      <c r="AC150">
        <f>HYPERLINK("https://klasma.github.io/Logging_0980/tillsyn/A 44207-2022 tillsynsbegäran.docx", "A 44207-2022")</f>
        <v/>
      </c>
      <c r="AD150">
        <f>HYPERLINK("https://klasma.github.io/Logging_0980/tillsynsmail/A 44207-2022 tillsynsbegäran mail.docx", "A 44207-2022")</f>
        <v/>
      </c>
    </row>
    <row r="151" ht="15" customHeight="1">
      <c r="A151" t="inlineStr">
        <is>
          <t>A 60665-2021</t>
        </is>
      </c>
      <c r="B151" t="inlineStr">
        <is>
          <t>avverkningsanmälan</t>
        </is>
      </c>
      <c r="C151" t="inlineStr">
        <is>
          <t>Föryngringsavverkning</t>
        </is>
      </c>
      <c r="D151" s="1" t="n">
        <v>44496</v>
      </c>
      <c r="E151" s="1" t="n">
        <v>46321</v>
      </c>
      <c r="F151" t="inlineStr">
        <is>
          <t>GOTLANDS LÄN</t>
        </is>
      </c>
      <c r="G151" t="inlineStr">
        <is>
          <t>GOTLAND</t>
        </is>
      </c>
      <c r="I151" t="n">
        <v>1.6</v>
      </c>
      <c r="J151" t="n">
        <v>0</v>
      </c>
      <c r="K151" t="n">
        <v>0</v>
      </c>
      <c r="L151" t="n">
        <v>0</v>
      </c>
      <c r="M151" t="n">
        <v>2</v>
      </c>
      <c r="N151" t="n">
        <v>0</v>
      </c>
      <c r="O151" t="n">
        <v>0</v>
      </c>
      <c r="P151" t="n">
        <v>0</v>
      </c>
      <c r="Q151" t="n">
        <v>2</v>
      </c>
      <c r="R151" t="n">
        <v>2</v>
      </c>
      <c r="S151" t="n">
        <v>2</v>
      </c>
      <c r="T151" t="n">
        <v>4</v>
      </c>
      <c r="U151" t="n">
        <v>1</v>
      </c>
      <c r="V151" s="2" t="inlineStr">
        <is>
          <t>Skogskorn
Ädellav</t>
        </is>
      </c>
      <c r="W151">
        <f>HYPERLINK("https://klasma.github.io/Logging_0980/artfynd/A 60665-2021 artfynd.xlsx", "A 60665-2021")</f>
        <v/>
      </c>
      <c r="X151">
        <f>HYPERLINK("https://klasma.github.io/Logging_0980/kartor/A 60665-2021 karta.png", "A 60665-2021")</f>
        <v/>
      </c>
      <c r="Y151">
        <f>HYPERLINK("https://klasma.github.io/Logging_0980/kartor_geotiff/A 60665-2021 georefererad karta.tif", "A 60665-2021")</f>
        <v/>
      </c>
      <c r="AA151">
        <f>HYPERLINK("https://klasma.github.io/Logging_0980/klagomål/A 60665-2021 FSC-klagomål.docx", "A 60665-2021")</f>
        <v/>
      </c>
      <c r="AB151">
        <f>HYPERLINK("https://klasma.github.io/Logging_0980/klagomålsmail/A 60665-2021 FSC-klagomål mail.docx", "A 60665-2021")</f>
        <v/>
      </c>
      <c r="AC151">
        <f>HYPERLINK("https://klasma.github.io/Logging_0980/tillsyn/A 60665-2021 tillsynsbegäran.docx", "A 60665-2021")</f>
        <v/>
      </c>
      <c r="AD151">
        <f>HYPERLINK("https://klasma.github.io/Logging_0980/tillsynsmail/A 60665-2021 tillsynsbegäran mail.docx", "A 60665-2021")</f>
        <v/>
      </c>
    </row>
    <row r="152" ht="15" customHeight="1">
      <c r="A152" t="inlineStr">
        <is>
          <t>A 20218-2022</t>
        </is>
      </c>
      <c r="B152" t="inlineStr">
        <is>
          <t>avverkningsanmälan</t>
        </is>
      </c>
      <c r="C152" t="inlineStr">
        <is>
          <t>Föryngringsavverkning</t>
        </is>
      </c>
      <c r="D152" s="1" t="n">
        <v>44698</v>
      </c>
      <c r="E152" s="1" t="n">
        <v>46321</v>
      </c>
      <c r="F152" t="inlineStr">
        <is>
          <t>GOTLANDS LÄN</t>
        </is>
      </c>
      <c r="G152" t="inlineStr">
        <is>
          <t>GOTLAND</t>
        </is>
      </c>
      <c r="I152" t="n">
        <v>4.3</v>
      </c>
      <c r="J152" t="n">
        <v>0</v>
      </c>
      <c r="K152" t="n">
        <v>1</v>
      </c>
      <c r="L152" t="n">
        <v>1</v>
      </c>
      <c r="M152" t="n">
        <v>0</v>
      </c>
      <c r="N152" t="n">
        <v>0</v>
      </c>
      <c r="O152" t="n">
        <v>0</v>
      </c>
      <c r="P152" t="n">
        <v>0</v>
      </c>
      <c r="Q152" t="n">
        <v>1</v>
      </c>
      <c r="R152" t="n">
        <v>0</v>
      </c>
      <c r="S152" t="n">
        <v>2</v>
      </c>
      <c r="T152" t="n">
        <v>2</v>
      </c>
      <c r="U152" t="n">
        <v>0</v>
      </c>
      <c r="V152" s="2" t="inlineStr">
        <is>
          <t>Flattoppad klubbsvamp
Rödgul trumpetsvamp</t>
        </is>
      </c>
      <c r="W152">
        <f>HYPERLINK("https://klasma.github.io/Logging_0980/artfynd/A 20218-2022 artfynd.xlsx", "A 20218-2022")</f>
        <v/>
      </c>
      <c r="X152">
        <f>HYPERLINK("https://klasma.github.io/Logging_0980/kartor/A 20218-2022 karta.png", "A 20218-2022")</f>
        <v/>
      </c>
      <c r="Y152">
        <f>HYPERLINK("https://klasma.github.io/Logging_0980/kartor_geotiff/A 20218-2022 georefererad karta.tif", "A 20218-2022")</f>
        <v/>
      </c>
      <c r="AA152">
        <f>HYPERLINK("https://klasma.github.io/Logging_0980/klagomål/A 20218-2022 FSC-klagomål.docx", "A 20218-2022")</f>
        <v/>
      </c>
      <c r="AB152">
        <f>HYPERLINK("https://klasma.github.io/Logging_0980/klagomålsmail/A 20218-2022 FSC-klagomål mail.docx", "A 20218-2022")</f>
        <v/>
      </c>
      <c r="AC152">
        <f>HYPERLINK("https://klasma.github.io/Logging_0980/tillsyn/A 20218-2022 tillsynsbegäran.docx", "A 20218-2022")</f>
        <v/>
      </c>
      <c r="AD152">
        <f>HYPERLINK("https://klasma.github.io/Logging_0980/tillsynsmail/A 20218-2022 tillsynsbegäran mail.docx", "A 20218-2022")</f>
        <v/>
      </c>
    </row>
    <row r="153" ht="15" customHeight="1">
      <c r="A153" t="inlineStr">
        <is>
          <t>A 883-2025</t>
        </is>
      </c>
      <c r="B153" t="inlineStr">
        <is>
          <t>avverkningsanmälan</t>
        </is>
      </c>
      <c r="C153" t="inlineStr">
        <is>
          <t>Föryngringsavverkning</t>
        </is>
      </c>
      <c r="D153" s="1" t="n">
        <v>45665</v>
      </c>
      <c r="E153" s="1" t="n">
        <v>46321</v>
      </c>
      <c r="F153" t="inlineStr">
        <is>
          <t>GOTLANDS LÄN</t>
        </is>
      </c>
      <c r="G153" t="inlineStr">
        <is>
          <t>GOTLAND</t>
        </is>
      </c>
      <c r="I153" t="n">
        <v>1.3</v>
      </c>
      <c r="J153" t="n">
        <v>0</v>
      </c>
      <c r="K153" t="n">
        <v>2</v>
      </c>
      <c r="L153" t="n">
        <v>0</v>
      </c>
      <c r="M153" t="n">
        <v>0</v>
      </c>
      <c r="N153" t="n">
        <v>0</v>
      </c>
      <c r="O153" t="n">
        <v>0</v>
      </c>
      <c r="P153" t="n">
        <v>0</v>
      </c>
      <c r="Q153" t="n">
        <v>0</v>
      </c>
      <c r="R153" t="n">
        <v>0</v>
      </c>
      <c r="S153" t="n">
        <v>2</v>
      </c>
      <c r="T153" t="n">
        <v>2</v>
      </c>
      <c r="U153" t="n">
        <v>0</v>
      </c>
      <c r="V153" s="2" t="inlineStr">
        <is>
          <t>Axag
Kärrlilja</t>
        </is>
      </c>
      <c r="W153">
        <f>HYPERLINK("https://klasma.github.io/Logging_0980/artfynd/A 883-2025 artfynd.xlsx", "A 883-2025")</f>
        <v/>
      </c>
      <c r="X153">
        <f>HYPERLINK("https://klasma.github.io/Logging_0980/kartor/A 883-2025 karta.png", "A 883-2025")</f>
        <v/>
      </c>
      <c r="Y153">
        <f>HYPERLINK("https://klasma.github.io/Logging_0980/kartor_geotiff/A 883-2025 georefererad karta.tif", "A 883-2025")</f>
        <v/>
      </c>
      <c r="AA153">
        <f>HYPERLINK("https://klasma.github.io/Logging_0980/klagomål/A 883-2025 FSC-klagomål.docx", "A 883-2025")</f>
        <v/>
      </c>
      <c r="AB153">
        <f>HYPERLINK("https://klasma.github.io/Logging_0980/klagomålsmail/A 883-2025 FSC-klagomål mail.docx", "A 883-2025")</f>
        <v/>
      </c>
      <c r="AC153">
        <f>HYPERLINK("https://klasma.github.io/Logging_0980/tillsyn/A 883-2025 tillsynsbegäran.docx", "A 883-2025")</f>
        <v/>
      </c>
      <c r="AD153">
        <f>HYPERLINK("https://klasma.github.io/Logging_0980/tillsynsmail/A 883-2025 tillsynsbegäran mail.docx", "A 883-2025")</f>
        <v/>
      </c>
    </row>
    <row r="154" ht="15" customHeight="1">
      <c r="A154" t="inlineStr">
        <is>
          <t>A 33011-2025</t>
        </is>
      </c>
      <c r="B154" t="inlineStr">
        <is>
          <t>avverkningsanmälan</t>
        </is>
      </c>
      <c r="C154" t="inlineStr">
        <is>
          <t>Föryngringsavverkning</t>
        </is>
      </c>
      <c r="D154" s="1" t="n">
        <v>45840</v>
      </c>
      <c r="E154" s="1" t="n">
        <v>46321</v>
      </c>
      <c r="F154" t="inlineStr">
        <is>
          <t>GOTLANDS LÄN</t>
        </is>
      </c>
      <c r="G154" t="inlineStr">
        <is>
          <t>GOTLAND</t>
        </is>
      </c>
      <c r="I154" t="n">
        <v>1.7</v>
      </c>
      <c r="J154" t="n">
        <v>2</v>
      </c>
      <c r="K154" t="n">
        <v>0</v>
      </c>
      <c r="L154" t="n">
        <v>1</v>
      </c>
      <c r="M154" t="n">
        <v>1</v>
      </c>
      <c r="N154" t="n">
        <v>0</v>
      </c>
      <c r="O154" t="n">
        <v>0</v>
      </c>
      <c r="P154" t="n">
        <v>0</v>
      </c>
      <c r="Q154" t="n">
        <v>2</v>
      </c>
      <c r="R154" t="n">
        <v>1</v>
      </c>
      <c r="S154" t="n">
        <v>2</v>
      </c>
      <c r="T154" t="n">
        <v>2</v>
      </c>
      <c r="U154" t="n">
        <v>0</v>
      </c>
      <c r="V154" s="2" t="inlineStr">
        <is>
          <t>Hasselsnok
Mindre hackspett</t>
        </is>
      </c>
      <c r="W154">
        <f>HYPERLINK("https://klasma.github.io/Logging_0980/artfynd/A 33011-2025 artfynd.xlsx", "A 33011-2025")</f>
        <v/>
      </c>
      <c r="X154">
        <f>HYPERLINK("https://klasma.github.io/Logging_0980/kartor/A 33011-2025 karta.png", "A 33011-2025")</f>
        <v/>
      </c>
      <c r="Y154">
        <f>HYPERLINK("https://klasma.github.io/Logging_0980/kartor_geotiff/A 33011-2025 georefererad karta.tif", "A 33011-2025")</f>
        <v/>
      </c>
      <c r="AA154">
        <f>HYPERLINK("https://klasma.github.io/Logging_0980/klagomål/A 33011-2025 FSC-klagomål.docx", "A 33011-2025")</f>
        <v/>
      </c>
      <c r="AB154">
        <f>HYPERLINK("https://klasma.github.io/Logging_0980/klagomålsmail/A 33011-2025 FSC-klagomål mail.docx", "A 33011-2025")</f>
        <v/>
      </c>
      <c r="AC154">
        <f>HYPERLINK("https://klasma.github.io/Logging_0980/tillsyn/A 33011-2025 tillsynsbegäran.docx", "A 33011-2025")</f>
        <v/>
      </c>
      <c r="AD154">
        <f>HYPERLINK("https://klasma.github.io/Logging_0980/tillsynsmail/A 33011-2025 tillsynsbegäran mail.docx", "A 33011-2025")</f>
        <v/>
      </c>
      <c r="AE154">
        <f>HYPERLINK("https://klasma.github.io/Logging_0980/fåglar/A 33011-2025 prioriterade fågelarter.docx", "A 33011-2025")</f>
        <v/>
      </c>
    </row>
    <row r="155" ht="15" customHeight="1">
      <c r="A155" t="inlineStr">
        <is>
          <t>A 49314-2024</t>
        </is>
      </c>
      <c r="B155" t="inlineStr">
        <is>
          <t>avverkningsanmälan</t>
        </is>
      </c>
      <c r="C155" t="inlineStr">
        <is>
          <t>Föryngringsavverkning</t>
        </is>
      </c>
      <c r="D155" s="1" t="n">
        <v>45595</v>
      </c>
      <c r="E155" s="1" t="n">
        <v>46321</v>
      </c>
      <c r="F155" t="inlineStr">
        <is>
          <t>GOTLANDS LÄN</t>
        </is>
      </c>
      <c r="G155" t="inlineStr">
        <is>
          <t>GOTLAND</t>
        </is>
      </c>
      <c r="I155" t="n">
        <v>1.1</v>
      </c>
      <c r="J155" t="n">
        <v>0</v>
      </c>
      <c r="K155" t="n">
        <v>1</v>
      </c>
      <c r="L155" t="n">
        <v>0</v>
      </c>
      <c r="M155" t="n">
        <v>1</v>
      </c>
      <c r="N155" t="n">
        <v>0</v>
      </c>
      <c r="O155" t="n">
        <v>0</v>
      </c>
      <c r="P155" t="n">
        <v>0</v>
      </c>
      <c r="Q155" t="n">
        <v>1</v>
      </c>
      <c r="R155" t="n">
        <v>1</v>
      </c>
      <c r="S155" t="n">
        <v>2</v>
      </c>
      <c r="T155" t="n">
        <v>2</v>
      </c>
      <c r="U155" t="n">
        <v>2</v>
      </c>
      <c r="V155" s="2" t="inlineStr">
        <is>
          <t>Skogskorn
Underviol</t>
        </is>
      </c>
      <c r="W155">
        <f>HYPERLINK("https://klasma.github.io/Logging_0980/artfynd/A 49314-2024 artfynd.xlsx", "A 49314-2024")</f>
        <v/>
      </c>
      <c r="X155">
        <f>HYPERLINK("https://klasma.github.io/Logging_0980/kartor/A 49314-2024 karta.png", "A 49314-2024")</f>
        <v/>
      </c>
      <c r="Y155">
        <f>HYPERLINK("https://klasma.github.io/Logging_0980/kartor_geotiff/A 49314-2024 georefererad karta.tif", "A 49314-2024")</f>
        <v/>
      </c>
      <c r="AA155">
        <f>HYPERLINK("https://klasma.github.io/Logging_0980/klagomål/A 49314-2024 FSC-klagomål.docx", "A 49314-2024")</f>
        <v/>
      </c>
      <c r="AB155">
        <f>HYPERLINK("https://klasma.github.io/Logging_0980/klagomålsmail/A 49314-2024 FSC-klagomål mail.docx", "A 49314-2024")</f>
        <v/>
      </c>
      <c r="AC155">
        <f>HYPERLINK("https://klasma.github.io/Logging_0980/tillsyn/A 49314-2024 tillsynsbegäran.docx", "A 49314-2024")</f>
        <v/>
      </c>
      <c r="AD155">
        <f>HYPERLINK("https://klasma.github.io/Logging_0980/tillsynsmail/A 49314-2024 tillsynsbegäran mail.docx", "A 49314-2024")</f>
        <v/>
      </c>
    </row>
    <row r="156" ht="15" customHeight="1">
      <c r="A156" t="inlineStr">
        <is>
          <t>A 56115-2023</t>
        </is>
      </c>
      <c r="B156" t="inlineStr">
        <is>
          <t>avverkningsanmälan</t>
        </is>
      </c>
      <c r="C156" t="inlineStr">
        <is>
          <t>Avverkning för annat ändamål</t>
        </is>
      </c>
      <c r="D156" s="1" t="n">
        <v>45236</v>
      </c>
      <c r="E156" s="1" t="n">
        <v>46321</v>
      </c>
      <c r="F156" t="inlineStr">
        <is>
          <t>GOTLANDS LÄN</t>
        </is>
      </c>
      <c r="G156" t="inlineStr">
        <is>
          <t>GOTLAND</t>
        </is>
      </c>
      <c r="I156" t="n">
        <v>2</v>
      </c>
      <c r="J156" t="n">
        <v>1</v>
      </c>
      <c r="K156" t="n">
        <v>1</v>
      </c>
      <c r="L156" t="n">
        <v>0</v>
      </c>
      <c r="M156" t="n">
        <v>1</v>
      </c>
      <c r="N156" t="n">
        <v>0</v>
      </c>
      <c r="O156" t="n">
        <v>0</v>
      </c>
      <c r="P156" t="n">
        <v>0</v>
      </c>
      <c r="Q156" t="n">
        <v>1</v>
      </c>
      <c r="R156" t="n">
        <v>1</v>
      </c>
      <c r="S156" t="n">
        <v>2</v>
      </c>
      <c r="T156" t="n">
        <v>2</v>
      </c>
      <c r="U156" t="n">
        <v>2</v>
      </c>
      <c r="V156" s="2" t="inlineStr">
        <is>
          <t>Igelkott
Skogsknipprot</t>
        </is>
      </c>
      <c r="W156">
        <f>HYPERLINK("https://klasma.github.io/Logging_0980/artfynd/A 56115-2023 artfynd.xlsx", "A 56115-2023")</f>
        <v/>
      </c>
      <c r="X156">
        <f>HYPERLINK("https://klasma.github.io/Logging_0980/kartor/A 56115-2023 karta.png", "A 56115-2023")</f>
        <v/>
      </c>
      <c r="Y156">
        <f>HYPERLINK("https://klasma.github.io/Logging_0980/kartor_geotiff/A 56115-2023 georefererad karta.tif", "A 56115-2023")</f>
        <v/>
      </c>
      <c r="AA156">
        <f>HYPERLINK("https://klasma.github.io/Logging_0980/klagomål/A 56115-2023 FSC-klagomål.docx", "A 56115-2023")</f>
        <v/>
      </c>
      <c r="AB156">
        <f>HYPERLINK("https://klasma.github.io/Logging_0980/klagomålsmail/A 56115-2023 FSC-klagomål mail.docx", "A 56115-2023")</f>
        <v/>
      </c>
      <c r="AC156">
        <f>HYPERLINK("https://klasma.github.io/Logging_0980/tillsyn/A 56115-2023 tillsynsbegäran.docx", "A 56115-2023")</f>
        <v/>
      </c>
      <c r="AD156">
        <f>HYPERLINK("https://klasma.github.io/Logging_0980/tillsynsmail/A 56115-2023 tillsynsbegäran mail.docx", "A 56115-2023")</f>
        <v/>
      </c>
    </row>
    <row r="157" ht="15" customHeight="1">
      <c r="A157" t="inlineStr">
        <is>
          <t>A 28276-2024</t>
        </is>
      </c>
      <c r="B157" t="inlineStr">
        <is>
          <t>avverkningsanmälan</t>
        </is>
      </c>
      <c r="C157" t="inlineStr">
        <is>
          <t>Avverkning för annat ändamål</t>
        </is>
      </c>
      <c r="D157" s="1" t="n">
        <v>45477</v>
      </c>
      <c r="E157" s="1" t="n">
        <v>46321</v>
      </c>
      <c r="F157" t="inlineStr">
        <is>
          <t>GOTLANDS LÄN</t>
        </is>
      </c>
      <c r="G157" t="inlineStr">
        <is>
          <t>GOTLAND</t>
        </is>
      </c>
      <c r="I157" t="n">
        <v>22.8</v>
      </c>
      <c r="J157" t="n">
        <v>0</v>
      </c>
      <c r="K157" t="n">
        <v>0</v>
      </c>
      <c r="L157" t="n">
        <v>2</v>
      </c>
      <c r="M157" t="n">
        <v>0</v>
      </c>
      <c r="N157" t="n">
        <v>0</v>
      </c>
      <c r="O157" t="n">
        <v>0</v>
      </c>
      <c r="P157" t="n">
        <v>0</v>
      </c>
      <c r="Q157" t="n">
        <v>2</v>
      </c>
      <c r="R157" t="n">
        <v>0</v>
      </c>
      <c r="S157" t="n">
        <v>2</v>
      </c>
      <c r="T157" t="n">
        <v>4</v>
      </c>
      <c r="U157" t="n">
        <v>4</v>
      </c>
      <c r="V157" s="2" t="inlineStr">
        <is>
          <t>Grådådra
Åkerkulla</t>
        </is>
      </c>
      <c r="W157">
        <f>HYPERLINK("https://klasma.github.io/Logging_0980/artfynd/A 28276-2024 artfynd.xlsx", "A 28276-2024")</f>
        <v/>
      </c>
      <c r="X157">
        <f>HYPERLINK("https://klasma.github.io/Logging_0980/kartor/A 28276-2024 karta.png", "A 28276-2024")</f>
        <v/>
      </c>
      <c r="Y157">
        <f>HYPERLINK("https://klasma.github.io/Logging_0980/kartor_geotiff/A 28276-2024 georefererad karta.tif", "A 28276-2024")</f>
        <v/>
      </c>
      <c r="AA157">
        <f>HYPERLINK("https://klasma.github.io/Logging_0980/klagomål/A 28276-2024 FSC-klagomål.docx", "A 28276-2024")</f>
        <v/>
      </c>
      <c r="AB157">
        <f>HYPERLINK("https://klasma.github.io/Logging_0980/klagomålsmail/A 28276-2024 FSC-klagomål mail.docx", "A 28276-2024")</f>
        <v/>
      </c>
      <c r="AC157">
        <f>HYPERLINK("https://klasma.github.io/Logging_0980/tillsyn/A 28276-2024 tillsynsbegäran.docx", "A 28276-2024")</f>
        <v/>
      </c>
      <c r="AD157">
        <f>HYPERLINK("https://klasma.github.io/Logging_0980/tillsynsmail/A 28276-2024 tillsynsbegäran mail.docx", "A 28276-2024")</f>
        <v/>
      </c>
    </row>
    <row r="158" ht="15" customHeight="1">
      <c r="A158" t="inlineStr">
        <is>
          <t>A 26077-2024</t>
        </is>
      </c>
      <c r="B158" t="inlineStr">
        <is>
          <t>avverkningsanmälan</t>
        </is>
      </c>
      <c r="C158" t="inlineStr">
        <is>
          <t>Avverkning för annat ändamål</t>
        </is>
      </c>
      <c r="D158" s="1" t="n">
        <v>45467</v>
      </c>
      <c r="E158" s="1" t="n">
        <v>46321</v>
      </c>
      <c r="F158" t="inlineStr">
        <is>
          <t>GOTLANDS LÄN</t>
        </is>
      </c>
      <c r="G158" t="inlineStr">
        <is>
          <t>GOTLAND</t>
        </is>
      </c>
      <c r="I158" t="n">
        <v>4.6</v>
      </c>
      <c r="J158" t="n">
        <v>0</v>
      </c>
      <c r="K158" t="n">
        <v>0</v>
      </c>
      <c r="L158" t="n">
        <v>1</v>
      </c>
      <c r="M158" t="n">
        <v>0</v>
      </c>
      <c r="N158" t="n">
        <v>1</v>
      </c>
      <c r="O158" t="n">
        <v>0</v>
      </c>
      <c r="P158" t="n">
        <v>0</v>
      </c>
      <c r="Q158" t="n">
        <v>2</v>
      </c>
      <c r="R158" t="n">
        <v>1</v>
      </c>
      <c r="S158" t="n">
        <v>2</v>
      </c>
      <c r="T158" t="n">
        <v>7</v>
      </c>
      <c r="U158" t="n">
        <v>0</v>
      </c>
      <c r="V158" s="2" t="inlineStr">
        <is>
          <t>Ask
Tallticka</t>
        </is>
      </c>
      <c r="W158">
        <f>HYPERLINK("https://klasma.github.io/Logging_0980/artfynd/A 26077-2024 artfynd.xlsx", "A 26077-2024")</f>
        <v/>
      </c>
      <c r="X158">
        <f>HYPERLINK("https://klasma.github.io/Logging_0980/kartor/A 26077-2024 karta.png", "A 26077-2024")</f>
        <v/>
      </c>
      <c r="Y158">
        <f>HYPERLINK("https://klasma.github.io/Logging_0980/kartor_geotiff/A 26077-2024 georefererad karta.tif", "A 26077-2024")</f>
        <v/>
      </c>
      <c r="AA158">
        <f>HYPERLINK("https://klasma.github.io/Logging_0980/klagomål/A 26077-2024 FSC-klagomål.docx", "A 26077-2024")</f>
        <v/>
      </c>
      <c r="AB158">
        <f>HYPERLINK("https://klasma.github.io/Logging_0980/klagomålsmail/A 26077-2024 FSC-klagomål mail.docx", "A 26077-2024")</f>
        <v/>
      </c>
      <c r="AC158">
        <f>HYPERLINK("https://klasma.github.io/Logging_0980/tillsyn/A 26077-2024 tillsynsbegäran.docx", "A 26077-2024")</f>
        <v/>
      </c>
      <c r="AD158">
        <f>HYPERLINK("https://klasma.github.io/Logging_0980/tillsynsmail/A 26077-2024 tillsynsbegäran mail.docx", "A 26077-2024")</f>
        <v/>
      </c>
    </row>
    <row r="159" ht="15" customHeight="1">
      <c r="A159" t="inlineStr">
        <is>
          <t>A 27621-2026</t>
        </is>
      </c>
      <c r="B159" t="inlineStr">
        <is>
          <t>avverkningsanmälan</t>
        </is>
      </c>
      <c r="C159" t="inlineStr">
        <is>
          <t>Föryngringsavverkning</t>
        </is>
      </c>
      <c r="D159" s="1" t="n">
        <v>46190</v>
      </c>
      <c r="E159" s="1" t="n">
        <v>46321</v>
      </c>
      <c r="F159" t="inlineStr">
        <is>
          <t>GOTLANDS LÄN</t>
        </is>
      </c>
      <c r="G159" t="inlineStr">
        <is>
          <t>GOTLAND</t>
        </is>
      </c>
      <c r="I159" t="n">
        <v>6</v>
      </c>
      <c r="J159" t="n">
        <v>2</v>
      </c>
      <c r="K159" t="n">
        <v>0</v>
      </c>
      <c r="L159" t="n">
        <v>1</v>
      </c>
      <c r="M159" t="n">
        <v>0</v>
      </c>
      <c r="N159" t="n">
        <v>0</v>
      </c>
      <c r="O159" t="n">
        <v>0</v>
      </c>
      <c r="P159" t="n">
        <v>0</v>
      </c>
      <c r="Q159" t="n">
        <v>1</v>
      </c>
      <c r="R159" t="n">
        <v>0</v>
      </c>
      <c r="S159" t="n">
        <v>2</v>
      </c>
      <c r="T159" t="n">
        <v>2</v>
      </c>
      <c r="U159" t="n">
        <v>0</v>
      </c>
      <c r="V159" s="2" t="inlineStr">
        <is>
          <t>Adam och eva
Spillkråka</t>
        </is>
      </c>
      <c r="W159">
        <f>HYPERLINK("https://klasma.github.io/Logging_0980/artfynd/A 27621-2026 artfynd.xlsx", "A 27621-2026")</f>
        <v/>
      </c>
      <c r="X159">
        <f>HYPERLINK("https://klasma.github.io/Logging_0980/kartor/A 27621-2026 karta.png", "A 27621-2026")</f>
        <v/>
      </c>
      <c r="Y159">
        <f>HYPERLINK("https://klasma.github.io/Logging_0980/kartor_geotiff/A 27621-2026 georefererad karta.tif", "A 27621-2026")</f>
        <v/>
      </c>
      <c r="AA159">
        <f>HYPERLINK("https://klasma.github.io/Logging_0980/klagomål/A 27621-2026 FSC-klagomål.docx", "A 27621-2026")</f>
        <v/>
      </c>
      <c r="AB159">
        <f>HYPERLINK("https://klasma.github.io/Logging_0980/klagomålsmail/A 27621-2026 FSC-klagomål mail.docx", "A 27621-2026")</f>
        <v/>
      </c>
      <c r="AC159">
        <f>HYPERLINK("https://klasma.github.io/Logging_0980/tillsyn/A 27621-2026 tillsynsbegäran.docx", "A 27621-2026")</f>
        <v/>
      </c>
      <c r="AD159">
        <f>HYPERLINK("https://klasma.github.io/Logging_0980/tillsynsmail/A 27621-2026 tillsynsbegäran mail.docx", "A 27621-2026")</f>
        <v/>
      </c>
      <c r="AE159">
        <f>HYPERLINK("https://klasma.github.io/Logging_0980/fåglar/A 27621-2026 prioriterade fågelarter.docx", "A 27621-2026")</f>
        <v/>
      </c>
    </row>
    <row r="160" ht="15" customHeight="1">
      <c r="A160" t="inlineStr">
        <is>
          <t>A 62760-2025</t>
        </is>
      </c>
      <c r="B160" t="inlineStr">
        <is>
          <t>avverkningsanmälan</t>
        </is>
      </c>
      <c r="C160" t="inlineStr">
        <is>
          <t>Föryngringsavverkning</t>
        </is>
      </c>
      <c r="D160" s="1" t="n">
        <v>46008</v>
      </c>
      <c r="E160" s="1" t="n">
        <v>46321</v>
      </c>
      <c r="F160" t="inlineStr">
        <is>
          <t>GOTLANDS LÄN</t>
        </is>
      </c>
      <c r="G160" t="inlineStr">
        <is>
          <t>GOTLAND</t>
        </is>
      </c>
      <c r="H160" t="inlineStr">
        <is>
          <t>Övriga Aktiebolag</t>
        </is>
      </c>
      <c r="I160" t="n">
        <v>4.6</v>
      </c>
      <c r="J160" t="n">
        <v>1</v>
      </c>
      <c r="K160" t="n">
        <v>1</v>
      </c>
      <c r="L160" t="n">
        <v>1</v>
      </c>
      <c r="M160" t="n">
        <v>0</v>
      </c>
      <c r="N160" t="n">
        <v>0</v>
      </c>
      <c r="O160" t="n">
        <v>0</v>
      </c>
      <c r="P160" t="n">
        <v>0</v>
      </c>
      <c r="Q160" t="n">
        <v>1</v>
      </c>
      <c r="R160" t="n">
        <v>0</v>
      </c>
      <c r="S160" t="n">
        <v>2</v>
      </c>
      <c r="T160" t="n">
        <v>2</v>
      </c>
      <c r="U160" t="n">
        <v>0</v>
      </c>
      <c r="V160" s="2" t="inlineStr">
        <is>
          <t>Vårärt
Nästrot</t>
        </is>
      </c>
      <c r="W160">
        <f>HYPERLINK("https://klasma.github.io/Logging_0980/artfynd/A 62760-2025 artfynd.xlsx", "A 62760-2025")</f>
        <v/>
      </c>
      <c r="X160">
        <f>HYPERLINK("https://klasma.github.io/Logging_0980/kartor/A 62760-2025 karta.png", "A 62760-2025")</f>
        <v/>
      </c>
      <c r="Y160">
        <f>HYPERLINK("https://klasma.github.io/Logging_0980/kartor_geotiff/A 62760-2025 georefererad karta.tif", "A 62760-2025")</f>
        <v/>
      </c>
      <c r="AA160">
        <f>HYPERLINK("https://klasma.github.io/Logging_0980/klagomål/A 62760-2025 FSC-klagomål.docx", "A 62760-2025")</f>
        <v/>
      </c>
      <c r="AB160">
        <f>HYPERLINK("https://klasma.github.io/Logging_0980/klagomålsmail/A 62760-2025 FSC-klagomål mail.docx", "A 62760-2025")</f>
        <v/>
      </c>
      <c r="AC160">
        <f>HYPERLINK("https://klasma.github.io/Logging_0980/tillsyn/A 62760-2025 tillsynsbegäran.docx", "A 62760-2025")</f>
        <v/>
      </c>
      <c r="AD160">
        <f>HYPERLINK("https://klasma.github.io/Logging_0980/tillsynsmail/A 62760-2025 tillsynsbegäran mail.docx", "A 62760-2025")</f>
        <v/>
      </c>
    </row>
    <row r="161" ht="15" customHeight="1">
      <c r="A161" t="inlineStr">
        <is>
          <t>A 11708-2026</t>
        </is>
      </c>
      <c r="B161" t="inlineStr">
        <is>
          <t>avverkningsanmälan</t>
        </is>
      </c>
      <c r="C161" t="inlineStr">
        <is>
          <t>Avverkning för annat ändamål</t>
        </is>
      </c>
      <c r="D161" s="1" t="n">
        <v>46084</v>
      </c>
      <c r="E161" s="1" t="n">
        <v>46321</v>
      </c>
      <c r="F161" t="inlineStr">
        <is>
          <t>GOTLANDS LÄN</t>
        </is>
      </c>
      <c r="G161" t="inlineStr">
        <is>
          <t>GOTLAND</t>
        </is>
      </c>
      <c r="I161" t="n">
        <v>8.4</v>
      </c>
      <c r="J161" t="n">
        <v>1</v>
      </c>
      <c r="K161" t="n">
        <v>0</v>
      </c>
      <c r="L161" t="n">
        <v>0</v>
      </c>
      <c r="M161" t="n">
        <v>1</v>
      </c>
      <c r="N161" t="n">
        <v>0</v>
      </c>
      <c r="O161" t="n">
        <v>0</v>
      </c>
      <c r="P161" t="n">
        <v>0</v>
      </c>
      <c r="Q161" t="n">
        <v>1</v>
      </c>
      <c r="R161" t="n">
        <v>1</v>
      </c>
      <c r="S161" t="n">
        <v>2</v>
      </c>
      <c r="T161" t="n">
        <v>3</v>
      </c>
      <c r="U161" t="n">
        <v>1</v>
      </c>
      <c r="V161" s="2" t="inlineStr">
        <is>
          <t>Toppjungfrulin
Bredarun</t>
        </is>
      </c>
      <c r="W161">
        <f>HYPERLINK("https://klasma.github.io/Logging_0980/artfynd/A 11708-2026 artfynd.xlsx", "A 11708-2026")</f>
        <v/>
      </c>
      <c r="X161">
        <f>HYPERLINK("https://klasma.github.io/Logging_0980/kartor/A 11708-2026 karta.png", "A 11708-2026")</f>
        <v/>
      </c>
      <c r="Y161">
        <f>HYPERLINK("https://klasma.github.io/Logging_0980/kartor_geotiff/A 11708-2026 georefererad karta.tif", "A 11708-2026")</f>
        <v/>
      </c>
      <c r="AA161">
        <f>HYPERLINK("https://klasma.github.io/Logging_0980/klagomål/A 11708-2026 FSC-klagomål.docx", "A 11708-2026")</f>
        <v/>
      </c>
      <c r="AB161">
        <f>HYPERLINK("https://klasma.github.io/Logging_0980/klagomålsmail/A 11708-2026 FSC-klagomål mail.docx", "A 11708-2026")</f>
        <v/>
      </c>
      <c r="AC161">
        <f>HYPERLINK("https://klasma.github.io/Logging_0980/tillsyn/A 11708-2026 tillsynsbegäran.docx", "A 11708-2026")</f>
        <v/>
      </c>
      <c r="AD161">
        <f>HYPERLINK("https://klasma.github.io/Logging_0980/tillsynsmail/A 11708-2026 tillsynsbegäran mail.docx", "A 11708-2026")</f>
        <v/>
      </c>
    </row>
    <row r="162" ht="15" customHeight="1">
      <c r="A162" t="inlineStr">
        <is>
          <t>A 63000-2025</t>
        </is>
      </c>
      <c r="B162" t="inlineStr">
        <is>
          <t>avverkningsanmälan</t>
        </is>
      </c>
      <c r="C162" t="inlineStr">
        <is>
          <t>Föryngringsavverkning</t>
        </is>
      </c>
      <c r="D162" s="1" t="n">
        <v>46009</v>
      </c>
      <c r="E162" s="1" t="n">
        <v>46321</v>
      </c>
      <c r="F162" t="inlineStr">
        <is>
          <t>GOTLANDS LÄN</t>
        </is>
      </c>
      <c r="G162" t="inlineStr">
        <is>
          <t>GOTLAND</t>
        </is>
      </c>
      <c r="H162" t="inlineStr">
        <is>
          <t>Övriga Aktiebolag</t>
        </is>
      </c>
      <c r="I162" t="n">
        <v>1.7</v>
      </c>
      <c r="J162" t="n">
        <v>0</v>
      </c>
      <c r="K162" t="n">
        <v>1</v>
      </c>
      <c r="L162" t="n">
        <v>1</v>
      </c>
      <c r="M162" t="n">
        <v>0</v>
      </c>
      <c r="N162" t="n">
        <v>0</v>
      </c>
      <c r="O162" t="n">
        <v>0</v>
      </c>
      <c r="P162" t="n">
        <v>0</v>
      </c>
      <c r="Q162" t="n">
        <v>1</v>
      </c>
      <c r="R162" t="n">
        <v>0</v>
      </c>
      <c r="S162" t="n">
        <v>2</v>
      </c>
      <c r="T162" t="n">
        <v>2</v>
      </c>
      <c r="U162" t="n">
        <v>2</v>
      </c>
      <c r="V162" s="2" t="inlineStr">
        <is>
          <t>Blå slemspindling
Anisspindling</t>
        </is>
      </c>
      <c r="W162">
        <f>HYPERLINK("https://klasma.github.io/Logging_0980/artfynd/A 63000-2025 artfynd.xlsx", "A 63000-2025")</f>
        <v/>
      </c>
      <c r="X162">
        <f>HYPERLINK("https://klasma.github.io/Logging_0980/kartor/A 63000-2025 karta.png", "A 63000-2025")</f>
        <v/>
      </c>
      <c r="Y162">
        <f>HYPERLINK("https://klasma.github.io/Logging_0980/kartor_geotiff/A 63000-2025 georefererad karta.tif", "A 63000-2025")</f>
        <v/>
      </c>
      <c r="AA162">
        <f>HYPERLINK("https://klasma.github.io/Logging_0980/klagomål/A 63000-2025 FSC-klagomål.docx", "A 63000-2025")</f>
        <v/>
      </c>
      <c r="AB162">
        <f>HYPERLINK("https://klasma.github.io/Logging_0980/klagomålsmail/A 63000-2025 FSC-klagomål mail.docx", "A 63000-2025")</f>
        <v/>
      </c>
      <c r="AC162">
        <f>HYPERLINK("https://klasma.github.io/Logging_0980/tillsyn/A 63000-2025 tillsynsbegäran.docx", "A 63000-2025")</f>
        <v/>
      </c>
      <c r="AD162">
        <f>HYPERLINK("https://klasma.github.io/Logging_0980/tillsynsmail/A 63000-2025 tillsynsbegäran mail.docx", "A 63000-2025")</f>
        <v/>
      </c>
    </row>
    <row r="163" ht="15" customHeight="1">
      <c r="A163" t="inlineStr">
        <is>
          <t>A 62751-2025</t>
        </is>
      </c>
      <c r="B163" t="inlineStr">
        <is>
          <t>avverkningsanmälan</t>
        </is>
      </c>
      <c r="C163" t="inlineStr">
        <is>
          <t>Föryngringsavverkning</t>
        </is>
      </c>
      <c r="D163" s="1" t="n">
        <v>46008</v>
      </c>
      <c r="E163" s="1" t="n">
        <v>46321</v>
      </c>
      <c r="F163" t="inlineStr">
        <is>
          <t>GOTLANDS LÄN</t>
        </is>
      </c>
      <c r="G163" t="inlineStr">
        <is>
          <t>GOTLAND</t>
        </is>
      </c>
      <c r="H163" t="inlineStr">
        <is>
          <t>Övriga Aktiebolag</t>
        </is>
      </c>
      <c r="I163" t="n">
        <v>7.8</v>
      </c>
      <c r="J163" t="n">
        <v>0</v>
      </c>
      <c r="K163" t="n">
        <v>0</v>
      </c>
      <c r="L163" t="n">
        <v>0</v>
      </c>
      <c r="M163" t="n">
        <v>2</v>
      </c>
      <c r="N163" t="n">
        <v>0</v>
      </c>
      <c r="O163" t="n">
        <v>0</v>
      </c>
      <c r="P163" t="n">
        <v>0</v>
      </c>
      <c r="Q163" t="n">
        <v>2</v>
      </c>
      <c r="R163" t="n">
        <v>2</v>
      </c>
      <c r="S163" t="n">
        <v>2</v>
      </c>
      <c r="T163" t="n">
        <v>2</v>
      </c>
      <c r="U163" t="n">
        <v>2</v>
      </c>
      <c r="V163" s="2" t="inlineStr">
        <is>
          <t>Gulsträngad fagerspindling
Trollspindling</t>
        </is>
      </c>
      <c r="W163">
        <f>HYPERLINK("https://klasma.github.io/Logging_0980/artfynd/A 62751-2025 artfynd.xlsx", "A 62751-2025")</f>
        <v/>
      </c>
      <c r="X163">
        <f>HYPERLINK("https://klasma.github.io/Logging_0980/kartor/A 62751-2025 karta.png", "A 62751-2025")</f>
        <v/>
      </c>
      <c r="Y163">
        <f>HYPERLINK("https://klasma.github.io/Logging_0980/kartor_geotiff/A 62751-2025 georefererad karta.tif", "A 62751-2025")</f>
        <v/>
      </c>
      <c r="AA163">
        <f>HYPERLINK("https://klasma.github.io/Logging_0980/klagomål/A 62751-2025 FSC-klagomål.docx", "A 62751-2025")</f>
        <v/>
      </c>
      <c r="AB163">
        <f>HYPERLINK("https://klasma.github.io/Logging_0980/klagomålsmail/A 62751-2025 FSC-klagomål mail.docx", "A 62751-2025")</f>
        <v/>
      </c>
      <c r="AC163">
        <f>HYPERLINK("https://klasma.github.io/Logging_0980/tillsyn/A 62751-2025 tillsynsbegäran.docx", "A 62751-2025")</f>
        <v/>
      </c>
      <c r="AD163">
        <f>HYPERLINK("https://klasma.github.io/Logging_0980/tillsynsmail/A 62751-2025 tillsynsbegäran mail.docx", "A 62751-2025")</f>
        <v/>
      </c>
    </row>
    <row r="164" ht="15" customHeight="1">
      <c r="A164" t="inlineStr">
        <is>
          <t>A 35127-2026</t>
        </is>
      </c>
      <c r="B164" t="inlineStr">
        <is>
          <t>avverkningsanmälan</t>
        </is>
      </c>
      <c r="C164" t="inlineStr">
        <is>
          <t>Föryngringsavverkning</t>
        </is>
      </c>
      <c r="D164" s="1" t="n">
        <v>46260</v>
      </c>
      <c r="E164" s="1" t="n">
        <v>46321</v>
      </c>
      <c r="F164" t="inlineStr">
        <is>
          <t>GOTLANDS LÄN</t>
        </is>
      </c>
      <c r="G164" t="inlineStr">
        <is>
          <t>GOTLAND</t>
        </is>
      </c>
      <c r="I164" t="n">
        <v>2.1</v>
      </c>
      <c r="J164" t="n">
        <v>1</v>
      </c>
      <c r="K164" t="n">
        <v>0</v>
      </c>
      <c r="L164" t="n">
        <v>2</v>
      </c>
      <c r="M164" t="n">
        <v>0</v>
      </c>
      <c r="N164" t="n">
        <v>0</v>
      </c>
      <c r="O164" t="n">
        <v>0</v>
      </c>
      <c r="P164" t="n">
        <v>0</v>
      </c>
      <c r="Q164" t="n">
        <v>2</v>
      </c>
      <c r="R164" t="n">
        <v>0</v>
      </c>
      <c r="S164" t="n">
        <v>2</v>
      </c>
      <c r="T164" t="n">
        <v>2</v>
      </c>
      <c r="U164" t="n">
        <v>2</v>
      </c>
      <c r="V164" s="2" t="inlineStr">
        <is>
          <t>Mindre hackspett
Sårläka</t>
        </is>
      </c>
      <c r="W164">
        <f>HYPERLINK("https://klasma.github.io/Logging_0980/artfynd/A 35127-2026 artfynd.xlsx", "A 35127-2026")</f>
        <v/>
      </c>
      <c r="X164">
        <f>HYPERLINK("https://klasma.github.io/Logging_0980/kartor/A 35127-2026 karta.png", "A 35127-2026")</f>
        <v/>
      </c>
      <c r="Y164">
        <f>HYPERLINK("https://klasma.github.io/Logging_0980/kartor_geotiff/A 35127-2026 georefererad karta.tif", "A 35127-2026")</f>
        <v/>
      </c>
      <c r="AA164">
        <f>HYPERLINK("https://klasma.github.io/Logging_0980/klagomål/A 35127-2026 FSC-klagomål.docx", "A 35127-2026")</f>
        <v/>
      </c>
      <c r="AB164">
        <f>HYPERLINK("https://klasma.github.io/Logging_0980/klagomålsmail/A 35127-2026 FSC-klagomål mail.docx", "A 35127-2026")</f>
        <v/>
      </c>
      <c r="AC164">
        <f>HYPERLINK("https://klasma.github.io/Logging_0980/tillsyn/A 35127-2026 tillsynsbegäran.docx", "A 35127-2026")</f>
        <v/>
      </c>
      <c r="AD164">
        <f>HYPERLINK("https://klasma.github.io/Logging_0980/tillsynsmail/A 35127-2026 tillsynsbegäran mail.docx", "A 35127-2026")</f>
        <v/>
      </c>
      <c r="AE164">
        <f>HYPERLINK("https://klasma.github.io/Logging_0980/fåglar/A 35127-2026 prioriterade fågelarter.docx", "A 35127-2026")</f>
        <v/>
      </c>
    </row>
    <row r="165" ht="15" customHeight="1">
      <c r="A165" t="inlineStr">
        <is>
          <t>A 62754-2025</t>
        </is>
      </c>
      <c r="B165" t="inlineStr">
        <is>
          <t>avverkningsanmälan</t>
        </is>
      </c>
      <c r="C165" t="inlineStr">
        <is>
          <t>Föryngringsavverkning</t>
        </is>
      </c>
      <c r="D165" s="1" t="n">
        <v>46008</v>
      </c>
      <c r="E165" s="1" t="n">
        <v>46321</v>
      </c>
      <c r="F165" t="inlineStr">
        <is>
          <t>GOTLANDS LÄN</t>
        </is>
      </c>
      <c r="G165" t="inlineStr">
        <is>
          <t>GOTLAND</t>
        </is>
      </c>
      <c r="H165" t="inlineStr">
        <is>
          <t>Övriga Aktiebolag</t>
        </is>
      </c>
      <c r="I165" t="n">
        <v>2.9</v>
      </c>
      <c r="J165" t="n">
        <v>0</v>
      </c>
      <c r="K165" t="n">
        <v>0</v>
      </c>
      <c r="L165" t="n">
        <v>0</v>
      </c>
      <c r="M165" t="n">
        <v>2</v>
      </c>
      <c r="N165" t="n">
        <v>0</v>
      </c>
      <c r="O165" t="n">
        <v>0</v>
      </c>
      <c r="P165" t="n">
        <v>0</v>
      </c>
      <c r="Q165" t="n">
        <v>2</v>
      </c>
      <c r="R165" t="n">
        <v>2</v>
      </c>
      <c r="S165" t="n">
        <v>2</v>
      </c>
      <c r="T165" t="n">
        <v>2</v>
      </c>
      <c r="U165" t="n">
        <v>2</v>
      </c>
      <c r="V165" s="2" t="inlineStr">
        <is>
          <t>Gulsträngad fagerspindling
Trollspindling</t>
        </is>
      </c>
      <c r="W165">
        <f>HYPERLINK("https://klasma.github.io/Logging_0980/artfynd/A 62754-2025 artfynd.xlsx", "A 62754-2025")</f>
        <v/>
      </c>
      <c r="X165">
        <f>HYPERLINK("https://klasma.github.io/Logging_0980/kartor/A 62754-2025 karta.png", "A 62754-2025")</f>
        <v/>
      </c>
      <c r="Y165">
        <f>HYPERLINK("https://klasma.github.io/Logging_0980/kartor_geotiff/A 62754-2025 georefererad karta.tif", "A 62754-2025")</f>
        <v/>
      </c>
      <c r="AA165">
        <f>HYPERLINK("https://klasma.github.io/Logging_0980/klagomål/A 62754-2025 FSC-klagomål.docx", "A 62754-2025")</f>
        <v/>
      </c>
      <c r="AB165">
        <f>HYPERLINK("https://klasma.github.io/Logging_0980/klagomålsmail/A 62754-2025 FSC-klagomål mail.docx", "A 62754-2025")</f>
        <v/>
      </c>
      <c r="AC165">
        <f>HYPERLINK("https://klasma.github.io/Logging_0980/tillsyn/A 62754-2025 tillsynsbegäran.docx", "A 62754-2025")</f>
        <v/>
      </c>
      <c r="AD165">
        <f>HYPERLINK("https://klasma.github.io/Logging_0980/tillsynsmail/A 62754-2025 tillsynsbegäran mail.docx", "A 62754-2025")</f>
        <v/>
      </c>
    </row>
    <row r="166" ht="15" customHeight="1">
      <c r="A166" t="inlineStr">
        <is>
          <t>A 1010-2024</t>
        </is>
      </c>
      <c r="B166" t="inlineStr">
        <is>
          <t>avverkningsanmälan</t>
        </is>
      </c>
      <c r="C166" t="inlineStr">
        <is>
          <t>Föryngringsavverkning</t>
        </is>
      </c>
      <c r="D166" s="1" t="n">
        <v>45301</v>
      </c>
      <c r="E166" s="1" t="n">
        <v>46321</v>
      </c>
      <c r="F166" t="inlineStr">
        <is>
          <t>GOTLANDS LÄN</t>
        </is>
      </c>
      <c r="G166" t="inlineStr">
        <is>
          <t>GOTLAND</t>
        </is>
      </c>
      <c r="I166" t="n">
        <v>2.4</v>
      </c>
      <c r="J166" t="n">
        <v>0</v>
      </c>
      <c r="K166" t="n">
        <v>2</v>
      </c>
      <c r="L166" t="n">
        <v>0</v>
      </c>
      <c r="M166" t="n">
        <v>0</v>
      </c>
      <c r="N166" t="n">
        <v>0</v>
      </c>
      <c r="O166" t="n">
        <v>0</v>
      </c>
      <c r="P166" t="n">
        <v>0</v>
      </c>
      <c r="Q166" t="n">
        <v>0</v>
      </c>
      <c r="R166" t="n">
        <v>0</v>
      </c>
      <c r="S166" t="n">
        <v>2</v>
      </c>
      <c r="T166" t="n">
        <v>2</v>
      </c>
      <c r="U166" t="n">
        <v>0</v>
      </c>
      <c r="V166" s="2" t="inlineStr">
        <is>
          <t>Anisspindling
Diskvaxskivling</t>
        </is>
      </c>
      <c r="W166">
        <f>HYPERLINK("https://klasma.github.io/Logging_0980/artfynd/A 1010-2024 artfynd.xlsx", "A 1010-2024")</f>
        <v/>
      </c>
      <c r="X166">
        <f>HYPERLINK("https://klasma.github.io/Logging_0980/kartor/A 1010-2024 karta.png", "A 1010-2024")</f>
        <v/>
      </c>
      <c r="Y166">
        <f>HYPERLINK("https://klasma.github.io/Logging_0980/kartor_geotiff/A 1010-2024 georefererad karta.tif", "A 1010-2024")</f>
        <v/>
      </c>
      <c r="AA166">
        <f>HYPERLINK("https://klasma.github.io/Logging_0980/klagomål/A 1010-2024 FSC-klagomål.docx", "A 1010-2024")</f>
        <v/>
      </c>
      <c r="AB166">
        <f>HYPERLINK("https://klasma.github.io/Logging_0980/klagomålsmail/A 1010-2024 FSC-klagomål mail.docx", "A 1010-2024")</f>
        <v/>
      </c>
      <c r="AC166">
        <f>HYPERLINK("https://klasma.github.io/Logging_0980/tillsyn/A 1010-2024 tillsynsbegäran.docx", "A 1010-2024")</f>
        <v/>
      </c>
      <c r="AD166">
        <f>HYPERLINK("https://klasma.github.io/Logging_0980/tillsynsmail/A 1010-2024 tillsynsbegäran mail.docx", "A 1010-2024")</f>
        <v/>
      </c>
    </row>
    <row r="167" ht="15" customHeight="1">
      <c r="A167" t="inlineStr">
        <is>
          <t>A 27589-2023</t>
        </is>
      </c>
      <c r="B167" t="inlineStr">
        <is>
          <t>avverkningsanmälan</t>
        </is>
      </c>
      <c r="C167" t="inlineStr">
        <is>
          <t>Avverkning för annat ändamål</t>
        </is>
      </c>
      <c r="D167" s="1" t="n">
        <v>45097</v>
      </c>
      <c r="E167" s="1" t="n">
        <v>46321</v>
      </c>
      <c r="F167" t="inlineStr">
        <is>
          <t>GOTLANDS LÄN</t>
        </is>
      </c>
      <c r="G167" t="inlineStr">
        <is>
          <t>GOTLAND</t>
        </is>
      </c>
      <c r="I167" t="n">
        <v>5.4</v>
      </c>
      <c r="J167" t="n">
        <v>0</v>
      </c>
      <c r="K167" t="n">
        <v>1</v>
      </c>
      <c r="L167" t="n">
        <v>0</v>
      </c>
      <c r="M167" t="n">
        <v>0</v>
      </c>
      <c r="N167" t="n">
        <v>1</v>
      </c>
      <c r="O167" t="n">
        <v>0</v>
      </c>
      <c r="P167" t="n">
        <v>0</v>
      </c>
      <c r="Q167" t="n">
        <v>1</v>
      </c>
      <c r="R167" t="n">
        <v>1</v>
      </c>
      <c r="S167" t="n">
        <v>2</v>
      </c>
      <c r="T167" t="n">
        <v>2</v>
      </c>
      <c r="U167" t="n">
        <v>2</v>
      </c>
      <c r="V167" s="2" t="inlineStr">
        <is>
          <t>Skogsalm
Underviol</t>
        </is>
      </c>
      <c r="W167">
        <f>HYPERLINK("https://klasma.github.io/Logging_0980/artfynd/A 27589-2023 artfynd.xlsx", "A 27589-2023")</f>
        <v/>
      </c>
      <c r="X167">
        <f>HYPERLINK("https://klasma.github.io/Logging_0980/kartor/A 27589-2023 karta.png", "A 27589-2023")</f>
        <v/>
      </c>
      <c r="Y167">
        <f>HYPERLINK("https://klasma.github.io/Logging_0980/kartor_geotiff/A 27589-2023 georefererad karta.tif", "A 27589-2023")</f>
        <v/>
      </c>
      <c r="AA167">
        <f>HYPERLINK("https://klasma.github.io/Logging_0980/klagomål/A 27589-2023 FSC-klagomål.docx", "A 27589-2023")</f>
        <v/>
      </c>
      <c r="AB167">
        <f>HYPERLINK("https://klasma.github.io/Logging_0980/klagomålsmail/A 27589-2023 FSC-klagomål mail.docx", "A 27589-2023")</f>
        <v/>
      </c>
      <c r="AC167">
        <f>HYPERLINK("https://klasma.github.io/Logging_0980/tillsyn/A 27589-2023 tillsynsbegäran.docx", "A 27589-2023")</f>
        <v/>
      </c>
      <c r="AD167">
        <f>HYPERLINK("https://klasma.github.io/Logging_0980/tillsynsmail/A 27589-2023 tillsynsbegäran mail.docx", "A 27589-2023")</f>
        <v/>
      </c>
    </row>
    <row r="168" ht="15" customHeight="1">
      <c r="A168" t="inlineStr">
        <is>
          <t>A 8036-2022</t>
        </is>
      </c>
      <c r="B168" t="inlineStr">
        <is>
          <t>avverkningsanmälan</t>
        </is>
      </c>
      <c r="C168" t="inlineStr">
        <is>
          <t>Föryngringsavverkning</t>
        </is>
      </c>
      <c r="D168" s="1" t="n">
        <v>44609</v>
      </c>
      <c r="E168" s="1" t="n">
        <v>46321</v>
      </c>
      <c r="F168" t="inlineStr">
        <is>
          <t>GOTLANDS LÄN</t>
        </is>
      </c>
      <c r="G168" t="inlineStr">
        <is>
          <t>GOTLAND</t>
        </is>
      </c>
      <c r="I168" t="n">
        <v>6.1</v>
      </c>
      <c r="J168" t="n">
        <v>2</v>
      </c>
      <c r="K168" t="n">
        <v>0</v>
      </c>
      <c r="L168" t="n">
        <v>1</v>
      </c>
      <c r="M168" t="n">
        <v>1</v>
      </c>
      <c r="N168" t="n">
        <v>0</v>
      </c>
      <c r="O168" t="n">
        <v>0</v>
      </c>
      <c r="P168" t="n">
        <v>0</v>
      </c>
      <c r="Q168" t="n">
        <v>2</v>
      </c>
      <c r="R168" t="n">
        <v>1</v>
      </c>
      <c r="S168" t="n">
        <v>2</v>
      </c>
      <c r="T168" t="n">
        <v>2</v>
      </c>
      <c r="U168" t="n">
        <v>2</v>
      </c>
      <c r="V168" s="2" t="inlineStr">
        <is>
          <t>Grönfink
Grönsångare</t>
        </is>
      </c>
      <c r="W168">
        <f>HYPERLINK("https://klasma.github.io/Logging_0980/artfynd/A 8036-2022 artfynd.xlsx", "A 8036-2022")</f>
        <v/>
      </c>
      <c r="X168">
        <f>HYPERLINK("https://klasma.github.io/Logging_0980/kartor/A 8036-2022 karta.png", "A 8036-2022")</f>
        <v/>
      </c>
      <c r="Y168">
        <f>HYPERLINK("https://klasma.github.io/Logging_0980/kartor_geotiff/A 8036-2022 georefererad karta.tif", "A 8036-2022")</f>
        <v/>
      </c>
      <c r="AA168">
        <f>HYPERLINK("https://klasma.github.io/Logging_0980/klagomål/A 8036-2022 FSC-klagomål.docx", "A 8036-2022")</f>
        <v/>
      </c>
      <c r="AB168">
        <f>HYPERLINK("https://klasma.github.io/Logging_0980/klagomålsmail/A 8036-2022 FSC-klagomål mail.docx", "A 8036-2022")</f>
        <v/>
      </c>
      <c r="AC168">
        <f>HYPERLINK("https://klasma.github.io/Logging_0980/tillsyn/A 8036-2022 tillsynsbegäran.docx", "A 8036-2022")</f>
        <v/>
      </c>
      <c r="AD168">
        <f>HYPERLINK("https://klasma.github.io/Logging_0980/tillsynsmail/A 8036-2022 tillsynsbegäran mail.docx", "A 8036-2022")</f>
        <v/>
      </c>
      <c r="AE168">
        <f>HYPERLINK("https://klasma.github.io/Logging_0980/fåglar/A 8036-2022 prioriterade fågelarter.docx", "A 8036-2022")</f>
        <v/>
      </c>
    </row>
    <row r="169" ht="15" customHeight="1">
      <c r="A169" t="inlineStr">
        <is>
          <t>A 7070-2022</t>
        </is>
      </c>
      <c r="B169" t="inlineStr">
        <is>
          <t>avverkningsanmälan</t>
        </is>
      </c>
      <c r="C169" t="inlineStr">
        <is>
          <t>Föryngringsavverkning</t>
        </is>
      </c>
      <c r="D169" s="1" t="n">
        <v>44603</v>
      </c>
      <c r="E169" s="1" t="n">
        <v>46321</v>
      </c>
      <c r="F169" t="inlineStr">
        <is>
          <t>GOTLANDS LÄN</t>
        </is>
      </c>
      <c r="G169" t="inlineStr">
        <is>
          <t>GOTLAND</t>
        </is>
      </c>
      <c r="I169" t="n">
        <v>2.6</v>
      </c>
      <c r="J169" t="n">
        <v>0</v>
      </c>
      <c r="K169" t="n">
        <v>1</v>
      </c>
      <c r="L169" t="n">
        <v>1</v>
      </c>
      <c r="M169" t="n">
        <v>0</v>
      </c>
      <c r="N169" t="n">
        <v>0</v>
      </c>
      <c r="O169" t="n">
        <v>0</v>
      </c>
      <c r="P169" t="n">
        <v>0</v>
      </c>
      <c r="Q169" t="n">
        <v>1</v>
      </c>
      <c r="R169" t="n">
        <v>0</v>
      </c>
      <c r="S169" t="n">
        <v>2</v>
      </c>
      <c r="T169" t="n">
        <v>2</v>
      </c>
      <c r="U169" t="n">
        <v>0</v>
      </c>
      <c r="V169" s="2" t="inlineStr">
        <is>
          <t>Kattfotslav
Blåmossa</t>
        </is>
      </c>
      <c r="W169">
        <f>HYPERLINK("https://klasma.github.io/Logging_0980/artfynd/A 7070-2022 artfynd.xlsx", "A 7070-2022")</f>
        <v/>
      </c>
      <c r="X169">
        <f>HYPERLINK("https://klasma.github.io/Logging_0980/kartor/A 7070-2022 karta.png", "A 7070-2022")</f>
        <v/>
      </c>
      <c r="Y169">
        <f>HYPERLINK("https://klasma.github.io/Logging_0980/kartor_geotiff/A 7070-2022 georefererad karta.tif", "A 7070-2022")</f>
        <v/>
      </c>
      <c r="AA169">
        <f>HYPERLINK("https://klasma.github.io/Logging_0980/klagomål/A 7070-2022 FSC-klagomål.docx", "A 7070-2022")</f>
        <v/>
      </c>
      <c r="AB169">
        <f>HYPERLINK("https://klasma.github.io/Logging_0980/klagomålsmail/A 7070-2022 FSC-klagomål mail.docx", "A 7070-2022")</f>
        <v/>
      </c>
      <c r="AC169">
        <f>HYPERLINK("https://klasma.github.io/Logging_0980/tillsyn/A 7070-2022 tillsynsbegäran.docx", "A 7070-2022")</f>
        <v/>
      </c>
      <c r="AD169">
        <f>HYPERLINK("https://klasma.github.io/Logging_0980/tillsynsmail/A 7070-2022 tillsynsbegäran mail.docx", "A 7070-2022")</f>
        <v/>
      </c>
    </row>
    <row r="170" ht="15" customHeight="1">
      <c r="A170" t="inlineStr">
        <is>
          <t>A 28261-2024</t>
        </is>
      </c>
      <c r="B170" t="inlineStr">
        <is>
          <t>avverkningsanmälan</t>
        </is>
      </c>
      <c r="C170" t="inlineStr">
        <is>
          <t>Avverkning för annat ändamål</t>
        </is>
      </c>
      <c r="D170" s="1" t="n">
        <v>45477</v>
      </c>
      <c r="E170" s="1" t="n">
        <v>46321</v>
      </c>
      <c r="F170" t="inlineStr">
        <is>
          <t>GOTLANDS LÄN</t>
        </is>
      </c>
      <c r="G170" t="inlineStr">
        <is>
          <t>GOTLAND</t>
        </is>
      </c>
      <c r="I170" t="n">
        <v>22.8</v>
      </c>
      <c r="J170" t="n">
        <v>0</v>
      </c>
      <c r="K170" t="n">
        <v>0</v>
      </c>
      <c r="L170" t="n">
        <v>2</v>
      </c>
      <c r="M170" t="n">
        <v>0</v>
      </c>
      <c r="N170" t="n">
        <v>0</v>
      </c>
      <c r="O170" t="n">
        <v>0</v>
      </c>
      <c r="P170" t="n">
        <v>0</v>
      </c>
      <c r="Q170" t="n">
        <v>2</v>
      </c>
      <c r="R170" t="n">
        <v>0</v>
      </c>
      <c r="S170" t="n">
        <v>2</v>
      </c>
      <c r="T170" t="n">
        <v>4</v>
      </c>
      <c r="U170" t="n">
        <v>4</v>
      </c>
      <c r="V170" s="2" t="inlineStr">
        <is>
          <t>Grådådra
Åkerkulla</t>
        </is>
      </c>
      <c r="W170">
        <f>HYPERLINK("https://klasma.github.io/Logging_0980/artfynd/A 28261-2024 artfynd.xlsx", "A 28261-2024")</f>
        <v/>
      </c>
      <c r="X170">
        <f>HYPERLINK("https://klasma.github.io/Logging_0980/kartor/A 28261-2024 karta.png", "A 28261-2024")</f>
        <v/>
      </c>
      <c r="Y170">
        <f>HYPERLINK("https://klasma.github.io/Logging_0980/kartor_geotiff/A 28261-2024 georefererad karta.tif", "A 28261-2024")</f>
        <v/>
      </c>
      <c r="AA170">
        <f>HYPERLINK("https://klasma.github.io/Logging_0980/klagomål/A 28261-2024 FSC-klagomål.docx", "A 28261-2024")</f>
        <v/>
      </c>
      <c r="AB170">
        <f>HYPERLINK("https://klasma.github.io/Logging_0980/klagomålsmail/A 28261-2024 FSC-klagomål mail.docx", "A 28261-2024")</f>
        <v/>
      </c>
      <c r="AC170">
        <f>HYPERLINK("https://klasma.github.io/Logging_0980/tillsyn/A 28261-2024 tillsynsbegäran.docx", "A 28261-2024")</f>
        <v/>
      </c>
      <c r="AD170">
        <f>HYPERLINK("https://klasma.github.io/Logging_0980/tillsynsmail/A 28261-2024 tillsynsbegäran mail.docx", "A 28261-2024")</f>
        <v/>
      </c>
    </row>
    <row r="171" ht="15" customHeight="1">
      <c r="A171" t="inlineStr">
        <is>
          <t>S 3320-2023</t>
        </is>
      </c>
      <c r="B171" t="inlineStr">
        <is>
          <t>samrådsanmälan</t>
        </is>
      </c>
      <c r="C171" t="inlineStr">
        <is>
          <t>Annan skogsbruksåtgärd</t>
        </is>
      </c>
      <c r="D171" s="1" t="n">
        <v>45198</v>
      </c>
      <c r="E171" s="1" t="n">
        <v>46321</v>
      </c>
      <c r="F171" t="inlineStr">
        <is>
          <t>GOTLANDS LÄN</t>
        </is>
      </c>
      <c r="G171" t="inlineStr">
        <is>
          <t>GOTLAND</t>
        </is>
      </c>
      <c r="I171" t="n">
        <v>0.2</v>
      </c>
      <c r="J171" t="n">
        <v>2</v>
      </c>
      <c r="K171" t="n">
        <v>0</v>
      </c>
      <c r="L171" t="n">
        <v>0</v>
      </c>
      <c r="M171" t="n">
        <v>0</v>
      </c>
      <c r="N171" t="n">
        <v>0</v>
      </c>
      <c r="O171" t="n">
        <v>0</v>
      </c>
      <c r="P171" t="n">
        <v>0</v>
      </c>
      <c r="Q171" t="n">
        <v>0</v>
      </c>
      <c r="R171" t="n">
        <v>0</v>
      </c>
      <c r="S171" t="n">
        <v>2</v>
      </c>
      <c r="T171" t="n">
        <v>2</v>
      </c>
      <c r="U171" t="n">
        <v>2</v>
      </c>
      <c r="V171" s="2" t="inlineStr">
        <is>
          <t>Kråka
Pudrad kärrtrollslända</t>
        </is>
      </c>
      <c r="W171">
        <f>HYPERLINK("https://klasma.github.io/Logging_0980/artfynd/S 3320-2023 artfynd.xlsx", "S 3320-2023")</f>
        <v/>
      </c>
      <c r="X171">
        <f>HYPERLINK("https://klasma.github.io/Logging_0980/kartor/S 3320-2023 karta.png", "S 3320-2023")</f>
        <v/>
      </c>
      <c r="Y171">
        <f>HYPERLINK("https://klasma.github.io/Logging_0980/kartor_geotiff/S 3320-2023 georefererad karta.tif", "S 3320-2023")</f>
        <v/>
      </c>
      <c r="AA171">
        <f>HYPERLINK("https://klasma.github.io/Logging_0980/klagomål/S 3320-2023 FSC-klagomål.docx", "S 3320-2023")</f>
        <v/>
      </c>
      <c r="AB171">
        <f>HYPERLINK("https://klasma.github.io/Logging_0980/klagomålsmail/S 3320-2023 FSC-klagomål mail.docx", "S 3320-2023")</f>
        <v/>
      </c>
      <c r="AC171">
        <f>HYPERLINK("https://klasma.github.io/Logging_0980/tillsyn/S 3320-2023 tillsynsbegäran.docx", "S 3320-2023")</f>
        <v/>
      </c>
      <c r="AD171">
        <f>HYPERLINK("https://klasma.github.io/Logging_0980/tillsynsmail/S 3320-2023 tillsynsbegäran mail.docx", "S 3320-2023")</f>
        <v/>
      </c>
    </row>
    <row r="172" ht="15" customHeight="1">
      <c r="A172" t="inlineStr">
        <is>
          <t>A 11029-2022</t>
        </is>
      </c>
      <c r="B172" t="inlineStr">
        <is>
          <t>avverkningsanmälan</t>
        </is>
      </c>
      <c r="C172" t="inlineStr">
        <is>
          <t>Avverkning för annat ändamål</t>
        </is>
      </c>
      <c r="D172" s="1" t="n">
        <v>44628</v>
      </c>
      <c r="E172" s="1" t="n">
        <v>46321</v>
      </c>
      <c r="F172" t="inlineStr">
        <is>
          <t>GOTLANDS LÄN</t>
        </is>
      </c>
      <c r="G172" t="inlineStr">
        <is>
          <t>GOTLAND</t>
        </is>
      </c>
      <c r="I172" t="n">
        <v>1.8</v>
      </c>
      <c r="J172" t="n">
        <v>0</v>
      </c>
      <c r="K172" t="n">
        <v>1</v>
      </c>
      <c r="L172" t="n">
        <v>0</v>
      </c>
      <c r="M172" t="n">
        <v>0</v>
      </c>
      <c r="N172" t="n">
        <v>0</v>
      </c>
      <c r="O172" t="n">
        <v>0</v>
      </c>
      <c r="P172" t="n">
        <v>0</v>
      </c>
      <c r="Q172" t="n">
        <v>0</v>
      </c>
      <c r="R172" t="n">
        <v>0</v>
      </c>
      <c r="S172" t="n">
        <v>1</v>
      </c>
      <c r="T172" t="n">
        <v>1</v>
      </c>
      <c r="U172" t="n">
        <v>0</v>
      </c>
      <c r="V172" s="2" t="inlineStr">
        <is>
          <t>Olivspindling</t>
        </is>
      </c>
      <c r="W172">
        <f>HYPERLINK("https://klasma.github.io/Logging_0980/artfynd/A 11029-2022 artfynd.xlsx", "A 11029-2022")</f>
        <v/>
      </c>
      <c r="X172">
        <f>HYPERLINK("https://klasma.github.io/Logging_0980/kartor/A 11029-2022 karta.png", "A 11029-2022")</f>
        <v/>
      </c>
      <c r="Y172">
        <f>HYPERLINK("https://klasma.github.io/Logging_0980/kartor_geotiff/A 11029-2022 georefererad karta.tif", "A 11029-2022")</f>
        <v/>
      </c>
      <c r="AA172">
        <f>HYPERLINK("https://klasma.github.io/Logging_0980/klagomål/A 11029-2022 FSC-klagomål.docx", "A 11029-2022")</f>
        <v/>
      </c>
      <c r="AB172">
        <f>HYPERLINK("https://klasma.github.io/Logging_0980/klagomålsmail/A 11029-2022 FSC-klagomål mail.docx", "A 11029-2022")</f>
        <v/>
      </c>
      <c r="AC172">
        <f>HYPERLINK("https://klasma.github.io/Logging_0980/tillsyn/A 11029-2022 tillsynsbegäran.docx", "A 11029-2022")</f>
        <v/>
      </c>
      <c r="AD172">
        <f>HYPERLINK("https://klasma.github.io/Logging_0980/tillsynsmail/A 11029-2022 tillsynsbegäran mail.docx", "A 11029-2022")</f>
        <v/>
      </c>
    </row>
    <row r="173" ht="15" customHeight="1">
      <c r="A173" t="inlineStr">
        <is>
          <t>A 31239-2022</t>
        </is>
      </c>
      <c r="B173" t="inlineStr">
        <is>
          <t>avverkningsanmälan</t>
        </is>
      </c>
      <c r="C173" t="inlineStr">
        <is>
          <t>Föryngringsavverkning</t>
        </is>
      </c>
      <c r="D173" s="1" t="n">
        <v>44771</v>
      </c>
      <c r="E173" s="1" t="n">
        <v>46321</v>
      </c>
      <c r="F173" t="inlineStr">
        <is>
          <t>GOTLANDS LÄN</t>
        </is>
      </c>
      <c r="G173" t="inlineStr">
        <is>
          <t>GOTLAND</t>
        </is>
      </c>
      <c r="I173" t="n">
        <v>1.9</v>
      </c>
      <c r="J173" t="n">
        <v>0</v>
      </c>
      <c r="K173" t="n">
        <v>0</v>
      </c>
      <c r="L173" t="n">
        <v>1</v>
      </c>
      <c r="M173" t="n">
        <v>0</v>
      </c>
      <c r="N173" t="n">
        <v>0</v>
      </c>
      <c r="O173" t="n">
        <v>0</v>
      </c>
      <c r="P173" t="n">
        <v>0</v>
      </c>
      <c r="Q173" t="n">
        <v>1</v>
      </c>
      <c r="R173" t="n">
        <v>0</v>
      </c>
      <c r="S173" t="n">
        <v>1</v>
      </c>
      <c r="T173" t="n">
        <v>2</v>
      </c>
      <c r="U173" t="n">
        <v>0</v>
      </c>
      <c r="V173" s="2" t="inlineStr">
        <is>
          <t>Barrviolspindling</t>
        </is>
      </c>
      <c r="W173">
        <f>HYPERLINK("https://klasma.github.io/Logging_0980/artfynd/A 31239-2022 artfynd.xlsx", "A 31239-2022")</f>
        <v/>
      </c>
      <c r="X173">
        <f>HYPERLINK("https://klasma.github.io/Logging_0980/kartor/A 31239-2022 karta.png", "A 31239-2022")</f>
        <v/>
      </c>
      <c r="Y173">
        <f>HYPERLINK("https://klasma.github.io/Logging_0980/kartor_geotiff/A 31239-2022 georefererad karta.tif", "A 31239-2022")</f>
        <v/>
      </c>
      <c r="AA173">
        <f>HYPERLINK("https://klasma.github.io/Logging_0980/klagomål/A 31239-2022 FSC-klagomål.docx", "A 31239-2022")</f>
        <v/>
      </c>
      <c r="AB173">
        <f>HYPERLINK("https://klasma.github.io/Logging_0980/klagomålsmail/A 31239-2022 FSC-klagomål mail.docx", "A 31239-2022")</f>
        <v/>
      </c>
      <c r="AC173">
        <f>HYPERLINK("https://klasma.github.io/Logging_0980/tillsyn/A 31239-2022 tillsynsbegäran.docx", "A 31239-2022")</f>
        <v/>
      </c>
      <c r="AD173">
        <f>HYPERLINK("https://klasma.github.io/Logging_0980/tillsynsmail/A 31239-2022 tillsynsbegäran mail.docx", "A 31239-2022")</f>
        <v/>
      </c>
    </row>
    <row r="174" ht="15" customHeight="1">
      <c r="A174" t="inlineStr">
        <is>
          <t>A 17354-2022</t>
        </is>
      </c>
      <c r="B174" t="inlineStr">
        <is>
          <t>avverkningsanmälan</t>
        </is>
      </c>
      <c r="C174" t="inlineStr">
        <is>
          <t>Avverkning för annat ändamål</t>
        </is>
      </c>
      <c r="D174" s="1" t="n">
        <v>44678</v>
      </c>
      <c r="E174" s="1" t="n">
        <v>46321</v>
      </c>
      <c r="F174" t="inlineStr">
        <is>
          <t>GOTLANDS LÄN</t>
        </is>
      </c>
      <c r="G174" t="inlineStr">
        <is>
          <t>GOTLAND</t>
        </is>
      </c>
      <c r="I174" t="n">
        <v>7.1</v>
      </c>
      <c r="J174" t="n">
        <v>0</v>
      </c>
      <c r="K174" t="n">
        <v>0</v>
      </c>
      <c r="L174" t="n">
        <v>1</v>
      </c>
      <c r="M174" t="n">
        <v>0</v>
      </c>
      <c r="N174" t="n">
        <v>0</v>
      </c>
      <c r="O174" t="n">
        <v>0</v>
      </c>
      <c r="P174" t="n">
        <v>0</v>
      </c>
      <c r="Q174" t="n">
        <v>1</v>
      </c>
      <c r="R174" t="n">
        <v>0</v>
      </c>
      <c r="S174" t="n">
        <v>1</v>
      </c>
      <c r="T174" t="n">
        <v>1</v>
      </c>
      <c r="U174" t="n">
        <v>1</v>
      </c>
      <c r="V174" s="2" t="inlineStr">
        <is>
          <t>Grådådra</t>
        </is>
      </c>
      <c r="W174">
        <f>HYPERLINK("https://klasma.github.io/Logging_0980/artfynd/A 17354-2022 artfynd.xlsx", "A 17354-2022")</f>
        <v/>
      </c>
      <c r="X174">
        <f>HYPERLINK("https://klasma.github.io/Logging_0980/kartor/A 17354-2022 karta.png", "A 17354-2022")</f>
        <v/>
      </c>
      <c r="Y174">
        <f>HYPERLINK("https://klasma.github.io/Logging_0980/kartor_geotiff/A 17354-2022 georefererad karta.tif", "A 17354-2022")</f>
        <v/>
      </c>
      <c r="AA174">
        <f>HYPERLINK("https://klasma.github.io/Logging_0980/klagomål/A 17354-2022 FSC-klagomål.docx", "A 17354-2022")</f>
        <v/>
      </c>
      <c r="AB174">
        <f>HYPERLINK("https://klasma.github.io/Logging_0980/klagomålsmail/A 17354-2022 FSC-klagomål mail.docx", "A 17354-2022")</f>
        <v/>
      </c>
      <c r="AC174">
        <f>HYPERLINK("https://klasma.github.io/Logging_0980/tillsyn/A 17354-2022 tillsynsbegäran.docx", "A 17354-2022")</f>
        <v/>
      </c>
      <c r="AD174">
        <f>HYPERLINK("https://klasma.github.io/Logging_0980/tillsynsmail/A 17354-2022 tillsynsbegäran mail.docx", "A 17354-2022")</f>
        <v/>
      </c>
    </row>
    <row r="175" ht="15" customHeight="1">
      <c r="A175" t="inlineStr">
        <is>
          <t>A 22782-2023</t>
        </is>
      </c>
      <c r="B175" t="inlineStr">
        <is>
          <t>avverkningsanmälan</t>
        </is>
      </c>
      <c r="C175" t="inlineStr">
        <is>
          <t>Föryngringsavverkning</t>
        </is>
      </c>
      <c r="D175" s="1" t="n">
        <v>45072</v>
      </c>
      <c r="E175" s="1" t="n">
        <v>46321</v>
      </c>
      <c r="F175" t="inlineStr">
        <is>
          <t>GOTLANDS LÄN</t>
        </is>
      </c>
      <c r="G175" t="inlineStr">
        <is>
          <t>GOTLAND</t>
        </is>
      </c>
      <c r="H175" t="inlineStr">
        <is>
          <t>Kyrkan</t>
        </is>
      </c>
      <c r="I175" t="n">
        <v>3.1</v>
      </c>
      <c r="J175" t="n">
        <v>1</v>
      </c>
      <c r="K175" t="n">
        <v>0</v>
      </c>
      <c r="L175" t="n">
        <v>0</v>
      </c>
      <c r="M175" t="n">
        <v>0</v>
      </c>
      <c r="N175" t="n">
        <v>0</v>
      </c>
      <c r="O175" t="n">
        <v>0</v>
      </c>
      <c r="P175" t="n">
        <v>0</v>
      </c>
      <c r="Q175" t="n">
        <v>0</v>
      </c>
      <c r="R175" t="n">
        <v>0</v>
      </c>
      <c r="S175" t="n">
        <v>1</v>
      </c>
      <c r="T175" t="n">
        <v>1</v>
      </c>
      <c r="U175" t="n">
        <v>1</v>
      </c>
      <c r="V175" s="2" t="inlineStr">
        <is>
          <t>Ängsnycklar × skogsnycklar</t>
        </is>
      </c>
      <c r="W175">
        <f>HYPERLINK("https://klasma.github.io/Logging_0980/artfynd/A 22782-2023 artfynd.xlsx", "A 22782-2023")</f>
        <v/>
      </c>
      <c r="X175">
        <f>HYPERLINK("https://klasma.github.io/Logging_0980/kartor/A 22782-2023 karta.png", "A 22782-2023")</f>
        <v/>
      </c>
      <c r="Y175">
        <f>HYPERLINK("https://klasma.github.io/Logging_0980/kartor_geotiff/A 22782-2023 georefererad karta.tif", "A 22782-2023")</f>
        <v/>
      </c>
      <c r="AA175">
        <f>HYPERLINK("https://klasma.github.io/Logging_0980/klagomål/A 22782-2023 FSC-klagomål.docx", "A 22782-2023")</f>
        <v/>
      </c>
      <c r="AB175">
        <f>HYPERLINK("https://klasma.github.io/Logging_0980/klagomålsmail/A 22782-2023 FSC-klagomål mail.docx", "A 22782-2023")</f>
        <v/>
      </c>
      <c r="AC175">
        <f>HYPERLINK("https://klasma.github.io/Logging_0980/tillsyn/A 22782-2023 tillsynsbegäran.docx", "A 22782-2023")</f>
        <v/>
      </c>
      <c r="AD175">
        <f>HYPERLINK("https://klasma.github.io/Logging_0980/tillsynsmail/A 22782-2023 tillsynsbegäran mail.docx", "A 22782-2023")</f>
        <v/>
      </c>
    </row>
    <row r="176" ht="15" customHeight="1">
      <c r="A176" t="inlineStr">
        <is>
          <t>A 27602-2023</t>
        </is>
      </c>
      <c r="B176" t="inlineStr">
        <is>
          <t>avverkningsanmälan</t>
        </is>
      </c>
      <c r="C176" t="inlineStr">
        <is>
          <t>Avverkning för annat ändamål</t>
        </is>
      </c>
      <c r="D176" s="1" t="n">
        <v>45097</v>
      </c>
      <c r="E176" s="1" t="n">
        <v>46321</v>
      </c>
      <c r="F176" t="inlineStr">
        <is>
          <t>GOTLANDS LÄN</t>
        </is>
      </c>
      <c r="G176" t="inlineStr">
        <is>
          <t>GOTLAND</t>
        </is>
      </c>
      <c r="I176" t="n">
        <v>2.7</v>
      </c>
      <c r="J176" t="n">
        <v>1</v>
      </c>
      <c r="K176" t="n">
        <v>0</v>
      </c>
      <c r="L176" t="n">
        <v>0</v>
      </c>
      <c r="M176" t="n">
        <v>0</v>
      </c>
      <c r="N176" t="n">
        <v>0</v>
      </c>
      <c r="O176" t="n">
        <v>0</v>
      </c>
      <c r="P176" t="n">
        <v>0</v>
      </c>
      <c r="Q176" t="n">
        <v>0</v>
      </c>
      <c r="R176" t="n">
        <v>0</v>
      </c>
      <c r="S176" t="n">
        <v>1</v>
      </c>
      <c r="T176" t="n">
        <v>1</v>
      </c>
      <c r="U176" t="n">
        <v>0</v>
      </c>
      <c r="V176" s="2" t="inlineStr">
        <is>
          <t>Blåsippa</t>
        </is>
      </c>
      <c r="W176">
        <f>HYPERLINK("https://klasma.github.io/Logging_0980/artfynd/A 27602-2023 artfynd.xlsx", "A 27602-2023")</f>
        <v/>
      </c>
      <c r="X176">
        <f>HYPERLINK("https://klasma.github.io/Logging_0980/kartor/A 27602-2023 karta.png", "A 27602-2023")</f>
        <v/>
      </c>
      <c r="Y176">
        <f>HYPERLINK("https://klasma.github.io/Logging_0980/kartor_geotiff/A 27602-2023 georefererad karta.tif", "A 27602-2023")</f>
        <v/>
      </c>
      <c r="AA176">
        <f>HYPERLINK("https://klasma.github.io/Logging_0980/klagomål/A 27602-2023 FSC-klagomål.docx", "A 27602-2023")</f>
        <v/>
      </c>
      <c r="AB176">
        <f>HYPERLINK("https://klasma.github.io/Logging_0980/klagomålsmail/A 27602-2023 FSC-klagomål mail.docx", "A 27602-2023")</f>
        <v/>
      </c>
      <c r="AC176">
        <f>HYPERLINK("https://klasma.github.io/Logging_0980/tillsyn/A 27602-2023 tillsynsbegäran.docx", "A 27602-2023")</f>
        <v/>
      </c>
      <c r="AD176">
        <f>HYPERLINK("https://klasma.github.io/Logging_0980/tillsynsmail/A 27602-2023 tillsynsbegäran mail.docx", "A 27602-2023")</f>
        <v/>
      </c>
    </row>
    <row r="177" ht="15" customHeight="1">
      <c r="A177" t="inlineStr">
        <is>
          <t>A 5751-2024</t>
        </is>
      </c>
      <c r="B177" t="inlineStr">
        <is>
          <t>avverkningsanmälan</t>
        </is>
      </c>
      <c r="C177" t="inlineStr">
        <is>
          <t>Avverkning för att bevara och utveckla /försöksver</t>
        </is>
      </c>
      <c r="D177" s="1" t="n">
        <v>45335</v>
      </c>
      <c r="E177" s="1" t="n">
        <v>46321</v>
      </c>
      <c r="F177" t="inlineStr">
        <is>
          <t>GOTLANDS LÄN</t>
        </is>
      </c>
      <c r="G177" t="inlineStr">
        <is>
          <t>GOTLAND</t>
        </is>
      </c>
      <c r="I177" t="n">
        <v>4.2</v>
      </c>
      <c r="J177" t="n">
        <v>0</v>
      </c>
      <c r="K177" t="n">
        <v>0</v>
      </c>
      <c r="L177" t="n">
        <v>1</v>
      </c>
      <c r="M177" t="n">
        <v>0</v>
      </c>
      <c r="N177" t="n">
        <v>0</v>
      </c>
      <c r="O177" t="n">
        <v>0</v>
      </c>
      <c r="P177" t="n">
        <v>0</v>
      </c>
      <c r="Q177" t="n">
        <v>1</v>
      </c>
      <c r="R177" t="n">
        <v>0</v>
      </c>
      <c r="S177" t="n">
        <v>1</v>
      </c>
      <c r="T177" t="n">
        <v>1</v>
      </c>
      <c r="U177" t="n">
        <v>1</v>
      </c>
      <c r="V177" s="2" t="inlineStr">
        <is>
          <t>Svinrot</t>
        </is>
      </c>
      <c r="W177">
        <f>HYPERLINK("https://klasma.github.io/Logging_0980/artfynd/A 5751-2024 artfynd.xlsx", "A 5751-2024")</f>
        <v/>
      </c>
      <c r="X177">
        <f>HYPERLINK("https://klasma.github.io/Logging_0980/kartor/A 5751-2024 karta.png", "A 5751-2024")</f>
        <v/>
      </c>
      <c r="Y177">
        <f>HYPERLINK("https://klasma.github.io/Logging_0980/kartor_geotiff/A 5751-2024 georefererad karta.tif", "A 5751-2024")</f>
        <v/>
      </c>
      <c r="AA177">
        <f>HYPERLINK("https://klasma.github.io/Logging_0980/klagomål/A 5751-2024 FSC-klagomål.docx", "A 5751-2024")</f>
        <v/>
      </c>
      <c r="AB177">
        <f>HYPERLINK("https://klasma.github.io/Logging_0980/klagomålsmail/A 5751-2024 FSC-klagomål mail.docx", "A 5751-2024")</f>
        <v/>
      </c>
      <c r="AC177">
        <f>HYPERLINK("https://klasma.github.io/Logging_0980/tillsyn/A 5751-2024 tillsynsbegäran.docx", "A 5751-2024")</f>
        <v/>
      </c>
      <c r="AD177">
        <f>HYPERLINK("https://klasma.github.io/Logging_0980/tillsynsmail/A 5751-2024 tillsynsbegäran mail.docx", "A 5751-2024")</f>
        <v/>
      </c>
    </row>
    <row r="178" ht="15" customHeight="1">
      <c r="A178" t="inlineStr">
        <is>
          <t>A 12379-2024</t>
        </is>
      </c>
      <c r="B178" t="inlineStr">
        <is>
          <t>avverkningsanmälan</t>
        </is>
      </c>
      <c r="C178" t="inlineStr">
        <is>
          <t>Föryngringsavverkning</t>
        </is>
      </c>
      <c r="D178" s="1" t="n">
        <v>45379</v>
      </c>
      <c r="E178" s="1" t="n">
        <v>46321</v>
      </c>
      <c r="F178" t="inlineStr">
        <is>
          <t>GOTLANDS LÄN</t>
        </is>
      </c>
      <c r="G178" t="inlineStr">
        <is>
          <t>GOTLAND</t>
        </is>
      </c>
      <c r="I178" t="n">
        <v>4.4</v>
      </c>
      <c r="J178" t="n">
        <v>0</v>
      </c>
      <c r="K178" t="n">
        <v>0</v>
      </c>
      <c r="L178" t="n">
        <v>1</v>
      </c>
      <c r="M178" t="n">
        <v>0</v>
      </c>
      <c r="N178" t="n">
        <v>0</v>
      </c>
      <c r="O178" t="n">
        <v>0</v>
      </c>
      <c r="P178" t="n">
        <v>0</v>
      </c>
      <c r="Q178" t="n">
        <v>1</v>
      </c>
      <c r="R178" t="n">
        <v>0</v>
      </c>
      <c r="S178" t="n">
        <v>1</v>
      </c>
      <c r="T178" t="n">
        <v>1</v>
      </c>
      <c r="U178" t="n">
        <v>0</v>
      </c>
      <c r="V178" s="2" t="inlineStr">
        <is>
          <t>Svinrot</t>
        </is>
      </c>
      <c r="W178">
        <f>HYPERLINK("https://klasma.github.io/Logging_0980/artfynd/A 12379-2024 artfynd.xlsx", "A 12379-2024")</f>
        <v/>
      </c>
      <c r="X178">
        <f>HYPERLINK("https://klasma.github.io/Logging_0980/kartor/A 12379-2024 karta.png", "A 12379-2024")</f>
        <v/>
      </c>
      <c r="Y178">
        <f>HYPERLINK("https://klasma.github.io/Logging_0980/kartor_geotiff/A 12379-2024 georefererad karta.tif", "A 12379-2024")</f>
        <v/>
      </c>
      <c r="AA178">
        <f>HYPERLINK("https://klasma.github.io/Logging_0980/klagomål/A 12379-2024 FSC-klagomål.docx", "A 12379-2024")</f>
        <v/>
      </c>
      <c r="AB178">
        <f>HYPERLINK("https://klasma.github.io/Logging_0980/klagomålsmail/A 12379-2024 FSC-klagomål mail.docx", "A 12379-2024")</f>
        <v/>
      </c>
      <c r="AC178">
        <f>HYPERLINK("https://klasma.github.io/Logging_0980/tillsyn/A 12379-2024 tillsynsbegäran.docx", "A 12379-2024")</f>
        <v/>
      </c>
      <c r="AD178">
        <f>HYPERLINK("https://klasma.github.io/Logging_0980/tillsynsmail/A 12379-2024 tillsynsbegäran mail.docx", "A 12379-2024")</f>
        <v/>
      </c>
    </row>
    <row r="179" ht="15" customHeight="1">
      <c r="A179" t="inlineStr">
        <is>
          <t>A 22883-2024</t>
        </is>
      </c>
      <c r="B179" t="inlineStr">
        <is>
          <t>avverkningsanmälan</t>
        </is>
      </c>
      <c r="C179" t="inlineStr">
        <is>
          <t>Föryngringsavverkning</t>
        </is>
      </c>
      <c r="D179" s="1" t="n">
        <v>45448</v>
      </c>
      <c r="E179" s="1" t="n">
        <v>46321</v>
      </c>
      <c r="F179" t="inlineStr">
        <is>
          <t>GOTLANDS LÄN</t>
        </is>
      </c>
      <c r="G179" t="inlineStr">
        <is>
          <t>GOTLAND</t>
        </is>
      </c>
      <c r="I179" t="n">
        <v>0.5</v>
      </c>
      <c r="J179" t="n">
        <v>0</v>
      </c>
      <c r="K179" t="n">
        <v>0</v>
      </c>
      <c r="L179" t="n">
        <v>0</v>
      </c>
      <c r="M179" t="n">
        <v>1</v>
      </c>
      <c r="N179" t="n">
        <v>0</v>
      </c>
      <c r="O179" t="n">
        <v>0</v>
      </c>
      <c r="P179" t="n">
        <v>0</v>
      </c>
      <c r="Q179" t="n">
        <v>1</v>
      </c>
      <c r="R179" t="n">
        <v>1</v>
      </c>
      <c r="S179" t="n">
        <v>1</v>
      </c>
      <c r="T179" t="n">
        <v>2</v>
      </c>
      <c r="U179" t="n">
        <v>2</v>
      </c>
      <c r="V179" s="2" t="inlineStr">
        <is>
          <t>Gotlandsmåra</t>
        </is>
      </c>
      <c r="W179">
        <f>HYPERLINK("https://klasma.github.io/Logging_0980/artfynd/A 22883-2024 artfynd.xlsx", "A 22883-2024")</f>
        <v/>
      </c>
      <c r="X179">
        <f>HYPERLINK("https://klasma.github.io/Logging_0980/kartor/A 22883-2024 karta.png", "A 22883-2024")</f>
        <v/>
      </c>
      <c r="Y179">
        <f>HYPERLINK("https://klasma.github.io/Logging_0980/kartor_geotiff/A 22883-2024 georefererad karta.tif", "A 22883-2024")</f>
        <v/>
      </c>
      <c r="AA179">
        <f>HYPERLINK("https://klasma.github.io/Logging_0980/klagomål/A 22883-2024 FSC-klagomål.docx", "A 22883-2024")</f>
        <v/>
      </c>
      <c r="AB179">
        <f>HYPERLINK("https://klasma.github.io/Logging_0980/klagomålsmail/A 22883-2024 FSC-klagomål mail.docx", "A 22883-2024")</f>
        <v/>
      </c>
      <c r="AC179">
        <f>HYPERLINK("https://klasma.github.io/Logging_0980/tillsyn/A 22883-2024 tillsynsbegäran.docx", "A 22883-2024")</f>
        <v/>
      </c>
      <c r="AD179">
        <f>HYPERLINK("https://klasma.github.io/Logging_0980/tillsynsmail/A 22883-2024 tillsynsbegäran mail.docx", "A 22883-2024")</f>
        <v/>
      </c>
    </row>
    <row r="180" ht="15" customHeight="1">
      <c r="A180" t="inlineStr">
        <is>
          <t>A 46189-2022</t>
        </is>
      </c>
      <c r="B180" t="inlineStr">
        <is>
          <t>avverkningsanmälan</t>
        </is>
      </c>
      <c r="C180" t="inlineStr">
        <is>
          <t>Avverkning för annat ändamål</t>
        </is>
      </c>
      <c r="D180" s="1" t="n">
        <v>44847</v>
      </c>
      <c r="E180" s="1" t="n">
        <v>46321</v>
      </c>
      <c r="F180" t="inlineStr">
        <is>
          <t>GOTLANDS LÄN</t>
        </is>
      </c>
      <c r="G180" t="inlineStr">
        <is>
          <t>GOTLAND</t>
        </is>
      </c>
      <c r="I180" t="n">
        <v>0.4</v>
      </c>
      <c r="J180" t="n">
        <v>0</v>
      </c>
      <c r="K180" t="n">
        <v>0</v>
      </c>
      <c r="L180" t="n">
        <v>1</v>
      </c>
      <c r="M180" t="n">
        <v>0</v>
      </c>
      <c r="N180" t="n">
        <v>0</v>
      </c>
      <c r="O180" t="n">
        <v>0</v>
      </c>
      <c r="P180" t="n">
        <v>0</v>
      </c>
      <c r="Q180" t="n">
        <v>1</v>
      </c>
      <c r="R180" t="n">
        <v>0</v>
      </c>
      <c r="S180" t="n">
        <v>1</v>
      </c>
      <c r="T180" t="n">
        <v>1</v>
      </c>
      <c r="U180" t="n">
        <v>1</v>
      </c>
      <c r="V180" s="2" t="inlineStr">
        <is>
          <t>Stjälkröksvamp</t>
        </is>
      </c>
      <c r="W180">
        <f>HYPERLINK("https://klasma.github.io/Logging_0980/artfynd/A 46189-2022 artfynd.xlsx", "A 46189-2022")</f>
        <v/>
      </c>
      <c r="X180">
        <f>HYPERLINK("https://klasma.github.io/Logging_0980/kartor/A 46189-2022 karta.png", "A 46189-2022")</f>
        <v/>
      </c>
      <c r="Y180">
        <f>HYPERLINK("https://klasma.github.io/Logging_0980/kartor_geotiff/A 46189-2022 georefererad karta.tif", "A 46189-2022")</f>
        <v/>
      </c>
      <c r="AA180">
        <f>HYPERLINK("https://klasma.github.io/Logging_0980/klagomål/A 46189-2022 FSC-klagomål.docx", "A 46189-2022")</f>
        <v/>
      </c>
      <c r="AB180">
        <f>HYPERLINK("https://klasma.github.io/Logging_0980/klagomålsmail/A 46189-2022 FSC-klagomål mail.docx", "A 46189-2022")</f>
        <v/>
      </c>
      <c r="AC180">
        <f>HYPERLINK("https://klasma.github.io/Logging_0980/tillsyn/A 46189-2022 tillsynsbegäran.docx", "A 46189-2022")</f>
        <v/>
      </c>
      <c r="AD180">
        <f>HYPERLINK("https://klasma.github.io/Logging_0980/tillsynsmail/A 46189-2022 tillsynsbegäran mail.docx", "A 46189-2022")</f>
        <v/>
      </c>
    </row>
    <row r="181" ht="15" customHeight="1">
      <c r="A181" t="inlineStr">
        <is>
          <t>A 57534-2022</t>
        </is>
      </c>
      <c r="B181" t="inlineStr">
        <is>
          <t>avverkningsanmälan</t>
        </is>
      </c>
      <c r="C181" t="inlineStr">
        <is>
          <t>Föryngringsavverkning</t>
        </is>
      </c>
      <c r="D181" s="1" t="n">
        <v>44896</v>
      </c>
      <c r="E181" s="1" t="n">
        <v>46321</v>
      </c>
      <c r="F181" t="inlineStr">
        <is>
          <t>GOTLANDS LÄN</t>
        </is>
      </c>
      <c r="G181" t="inlineStr">
        <is>
          <t>GOTLAND</t>
        </is>
      </c>
      <c r="I181" t="n">
        <v>0.6</v>
      </c>
      <c r="J181" t="n">
        <v>0</v>
      </c>
      <c r="K181" t="n">
        <v>1</v>
      </c>
      <c r="L181" t="n">
        <v>0</v>
      </c>
      <c r="M181" t="n">
        <v>0</v>
      </c>
      <c r="N181" t="n">
        <v>0</v>
      </c>
      <c r="O181" t="n">
        <v>0</v>
      </c>
      <c r="P181" t="n">
        <v>0</v>
      </c>
      <c r="Q181" t="n">
        <v>0</v>
      </c>
      <c r="R181" t="n">
        <v>0</v>
      </c>
      <c r="S181" t="n">
        <v>1</v>
      </c>
      <c r="T181" t="n">
        <v>1</v>
      </c>
      <c r="U181" t="n">
        <v>1</v>
      </c>
      <c r="V181" s="2" t="inlineStr">
        <is>
          <t>Myskmadra</t>
        </is>
      </c>
      <c r="W181">
        <f>HYPERLINK("https://klasma.github.io/Logging_0980/artfynd/A 57534-2022 artfynd.xlsx", "A 57534-2022")</f>
        <v/>
      </c>
      <c r="X181">
        <f>HYPERLINK("https://klasma.github.io/Logging_0980/kartor/A 57534-2022 karta.png", "A 57534-2022")</f>
        <v/>
      </c>
      <c r="Y181">
        <f>HYPERLINK("https://klasma.github.io/Logging_0980/kartor_geotiff/A 57534-2022 georefererad karta.tif", "A 57534-2022")</f>
        <v/>
      </c>
      <c r="AA181">
        <f>HYPERLINK("https://klasma.github.io/Logging_0980/klagomål/A 57534-2022 FSC-klagomål.docx", "A 57534-2022")</f>
        <v/>
      </c>
      <c r="AB181">
        <f>HYPERLINK("https://klasma.github.io/Logging_0980/klagomålsmail/A 57534-2022 FSC-klagomål mail.docx", "A 57534-2022")</f>
        <v/>
      </c>
      <c r="AC181">
        <f>HYPERLINK("https://klasma.github.io/Logging_0980/tillsyn/A 57534-2022 tillsynsbegäran.docx", "A 57534-2022")</f>
        <v/>
      </c>
      <c r="AD181">
        <f>HYPERLINK("https://klasma.github.io/Logging_0980/tillsynsmail/A 57534-2022 tillsynsbegäran mail.docx", "A 57534-2022")</f>
        <v/>
      </c>
    </row>
    <row r="182" ht="15" customHeight="1">
      <c r="A182" t="inlineStr">
        <is>
          <t>A 24245-2022</t>
        </is>
      </c>
      <c r="B182" t="inlineStr">
        <is>
          <t>avverkningsanmälan</t>
        </is>
      </c>
      <c r="C182" t="inlineStr">
        <is>
          <t>Föryngringsavverkning</t>
        </is>
      </c>
      <c r="D182" s="1" t="n">
        <v>44725</v>
      </c>
      <c r="E182" s="1" t="n">
        <v>46321</v>
      </c>
      <c r="F182" t="inlineStr">
        <is>
          <t>GOTLANDS LÄN</t>
        </is>
      </c>
      <c r="G182" t="inlineStr">
        <is>
          <t>GOTLAND</t>
        </is>
      </c>
      <c r="I182" t="n">
        <v>4.9</v>
      </c>
      <c r="J182" t="n">
        <v>0</v>
      </c>
      <c r="K182" t="n">
        <v>0</v>
      </c>
      <c r="L182" t="n">
        <v>0</v>
      </c>
      <c r="M182" t="n">
        <v>0</v>
      </c>
      <c r="N182" t="n">
        <v>1</v>
      </c>
      <c r="O182" t="n">
        <v>0</v>
      </c>
      <c r="P182" t="n">
        <v>0</v>
      </c>
      <c r="Q182" t="n">
        <v>1</v>
      </c>
      <c r="R182" t="n">
        <v>1</v>
      </c>
      <c r="S182" t="n">
        <v>1</v>
      </c>
      <c r="T182" t="n">
        <v>2</v>
      </c>
      <c r="U182" t="n">
        <v>0</v>
      </c>
      <c r="V182" s="2" t="inlineStr">
        <is>
          <t>Slät taggsvamp</t>
        </is>
      </c>
      <c r="W182">
        <f>HYPERLINK("https://klasma.github.io/Logging_0980/artfynd/A 24245-2022 artfynd.xlsx", "A 24245-2022")</f>
        <v/>
      </c>
      <c r="X182">
        <f>HYPERLINK("https://klasma.github.io/Logging_0980/kartor/A 24245-2022 karta.png", "A 24245-2022")</f>
        <v/>
      </c>
      <c r="Y182">
        <f>HYPERLINK("https://klasma.github.io/Logging_0980/kartor_geotiff/A 24245-2022 georefererad karta.tif", "A 24245-2022")</f>
        <v/>
      </c>
      <c r="AA182">
        <f>HYPERLINK("https://klasma.github.io/Logging_0980/klagomål/A 24245-2022 FSC-klagomål.docx", "A 24245-2022")</f>
        <v/>
      </c>
      <c r="AB182">
        <f>HYPERLINK("https://klasma.github.io/Logging_0980/klagomålsmail/A 24245-2022 FSC-klagomål mail.docx", "A 24245-2022")</f>
        <v/>
      </c>
      <c r="AC182">
        <f>HYPERLINK("https://klasma.github.io/Logging_0980/tillsyn/A 24245-2022 tillsynsbegäran.docx", "A 24245-2022")</f>
        <v/>
      </c>
      <c r="AD182">
        <f>HYPERLINK("https://klasma.github.io/Logging_0980/tillsynsmail/A 24245-2022 tillsynsbegäran mail.docx", "A 24245-2022")</f>
        <v/>
      </c>
    </row>
    <row r="183" ht="15" customHeight="1">
      <c r="A183" t="inlineStr">
        <is>
          <t>A 49847-2023</t>
        </is>
      </c>
      <c r="B183" t="inlineStr">
        <is>
          <t>avverkningsanmälan</t>
        </is>
      </c>
      <c r="C183" t="inlineStr">
        <is>
          <t>Föryngringsavverkning</t>
        </is>
      </c>
      <c r="D183" s="1" t="n">
        <v>45212</v>
      </c>
      <c r="E183" s="1" t="n">
        <v>46321</v>
      </c>
      <c r="F183" t="inlineStr">
        <is>
          <t>GOTLANDS LÄN</t>
        </is>
      </c>
      <c r="G183" t="inlineStr">
        <is>
          <t>GOTLAND</t>
        </is>
      </c>
      <c r="I183" t="n">
        <v>35.2</v>
      </c>
      <c r="J183" t="n">
        <v>0</v>
      </c>
      <c r="K183" t="n">
        <v>0</v>
      </c>
      <c r="L183" t="n">
        <v>0</v>
      </c>
      <c r="M183" t="n">
        <v>1</v>
      </c>
      <c r="N183" t="n">
        <v>0</v>
      </c>
      <c r="O183" t="n">
        <v>0</v>
      </c>
      <c r="P183" t="n">
        <v>0</v>
      </c>
      <c r="Q183" t="n">
        <v>1</v>
      </c>
      <c r="R183" t="n">
        <v>1</v>
      </c>
      <c r="S183" t="n">
        <v>1</v>
      </c>
      <c r="T183" t="n">
        <v>1</v>
      </c>
      <c r="U183" t="n">
        <v>1</v>
      </c>
      <c r="V183" s="2" t="inlineStr">
        <is>
          <t>Strandviol</t>
        </is>
      </c>
      <c r="W183">
        <f>HYPERLINK("https://klasma.github.io/Logging_0980/artfynd/A 49847-2023 artfynd.xlsx", "A 49847-2023")</f>
        <v/>
      </c>
      <c r="X183">
        <f>HYPERLINK("https://klasma.github.io/Logging_0980/kartor/A 49847-2023 karta.png", "A 49847-2023")</f>
        <v/>
      </c>
      <c r="Y183">
        <f>HYPERLINK("https://klasma.github.io/Logging_0980/kartor_geotiff/A 49847-2023 georefererad karta.tif", "A 49847-2023")</f>
        <v/>
      </c>
      <c r="AA183">
        <f>HYPERLINK("https://klasma.github.io/Logging_0980/klagomål/A 49847-2023 FSC-klagomål.docx", "A 49847-2023")</f>
        <v/>
      </c>
      <c r="AB183">
        <f>HYPERLINK("https://klasma.github.io/Logging_0980/klagomålsmail/A 49847-2023 FSC-klagomål mail.docx", "A 49847-2023")</f>
        <v/>
      </c>
      <c r="AC183">
        <f>HYPERLINK("https://klasma.github.io/Logging_0980/tillsyn/A 49847-2023 tillsynsbegäran.docx", "A 49847-2023")</f>
        <v/>
      </c>
      <c r="AD183">
        <f>HYPERLINK("https://klasma.github.io/Logging_0980/tillsynsmail/A 49847-2023 tillsynsbegäran mail.docx", "A 49847-2023")</f>
        <v/>
      </c>
    </row>
    <row r="184" ht="15" customHeight="1">
      <c r="A184" t="inlineStr">
        <is>
          <t>A 27593-2023</t>
        </is>
      </c>
      <c r="B184" t="inlineStr">
        <is>
          <t>avverkningsanmälan</t>
        </is>
      </c>
      <c r="C184" t="inlineStr">
        <is>
          <t>Avverkning för annat ändamål</t>
        </is>
      </c>
      <c r="D184" s="1" t="n">
        <v>45097</v>
      </c>
      <c r="E184" s="1" t="n">
        <v>46321</v>
      </c>
      <c r="F184" t="inlineStr">
        <is>
          <t>GOTLANDS LÄN</t>
        </is>
      </c>
      <c r="G184" t="inlineStr">
        <is>
          <t>GOTLAND</t>
        </is>
      </c>
      <c r="I184" t="n">
        <v>3.1</v>
      </c>
      <c r="J184" t="n">
        <v>1</v>
      </c>
      <c r="K184" t="n">
        <v>0</v>
      </c>
      <c r="L184" t="n">
        <v>0</v>
      </c>
      <c r="M184" t="n">
        <v>0</v>
      </c>
      <c r="N184" t="n">
        <v>1</v>
      </c>
      <c r="O184" t="n">
        <v>0</v>
      </c>
      <c r="P184" t="n">
        <v>0</v>
      </c>
      <c r="Q184" t="n">
        <v>1</v>
      </c>
      <c r="R184" t="n">
        <v>1</v>
      </c>
      <c r="S184" t="n">
        <v>1</v>
      </c>
      <c r="T184" t="n">
        <v>2</v>
      </c>
      <c r="U184" t="n">
        <v>1</v>
      </c>
      <c r="V184" s="2" t="inlineStr">
        <is>
          <t>Spjutsporre</t>
        </is>
      </c>
      <c r="W184">
        <f>HYPERLINK("https://klasma.github.io/Logging_0980/artfynd/A 27593-2023 artfynd.xlsx", "A 27593-2023")</f>
        <v/>
      </c>
      <c r="X184">
        <f>HYPERLINK("https://klasma.github.io/Logging_0980/kartor/A 27593-2023 karta.png", "A 27593-2023")</f>
        <v/>
      </c>
      <c r="Y184">
        <f>HYPERLINK("https://klasma.github.io/Logging_0980/kartor_geotiff/A 27593-2023 georefererad karta.tif", "A 27593-2023")</f>
        <v/>
      </c>
      <c r="AA184">
        <f>HYPERLINK("https://klasma.github.io/Logging_0980/klagomål/A 27593-2023 FSC-klagomål.docx", "A 27593-2023")</f>
        <v/>
      </c>
      <c r="AB184">
        <f>HYPERLINK("https://klasma.github.io/Logging_0980/klagomålsmail/A 27593-2023 FSC-klagomål mail.docx", "A 27593-2023")</f>
        <v/>
      </c>
      <c r="AC184">
        <f>HYPERLINK("https://klasma.github.io/Logging_0980/tillsyn/A 27593-2023 tillsynsbegäran.docx", "A 27593-2023")</f>
        <v/>
      </c>
      <c r="AD184">
        <f>HYPERLINK("https://klasma.github.io/Logging_0980/tillsynsmail/A 27593-2023 tillsynsbegäran mail.docx", "A 27593-2023")</f>
        <v/>
      </c>
    </row>
    <row r="185" ht="15" customHeight="1">
      <c r="A185" t="inlineStr">
        <is>
          <t>A 18036-2026</t>
        </is>
      </c>
      <c r="B185" t="inlineStr">
        <is>
          <t>avverkningsanmälan</t>
        </is>
      </c>
      <c r="C185" t="inlineStr">
        <is>
          <t>Föryngringsavverkning</t>
        </is>
      </c>
      <c r="D185" s="1" t="n">
        <v>46125</v>
      </c>
      <c r="E185" s="1" t="n">
        <v>46321</v>
      </c>
      <c r="F185" t="inlineStr">
        <is>
          <t>GOTLANDS LÄN</t>
        </is>
      </c>
      <c r="G185" t="inlineStr">
        <is>
          <t>GOTLAND</t>
        </is>
      </c>
      <c r="I185" t="n">
        <v>1.8</v>
      </c>
      <c r="J185" t="n">
        <v>0</v>
      </c>
      <c r="K185" t="n">
        <v>0</v>
      </c>
      <c r="L185" t="n">
        <v>1</v>
      </c>
      <c r="M185" t="n">
        <v>0</v>
      </c>
      <c r="N185" t="n">
        <v>0</v>
      </c>
      <c r="O185" t="n">
        <v>0</v>
      </c>
      <c r="P185" t="n">
        <v>0</v>
      </c>
      <c r="Q185" t="n">
        <v>1</v>
      </c>
      <c r="R185" t="n">
        <v>0</v>
      </c>
      <c r="S185" t="n">
        <v>1</v>
      </c>
      <c r="T185" t="n">
        <v>1</v>
      </c>
      <c r="U185" t="n">
        <v>0</v>
      </c>
      <c r="V185" s="2" t="inlineStr">
        <is>
          <t>Sommarfibbla</t>
        </is>
      </c>
      <c r="W185">
        <f>HYPERLINK("https://klasma.github.io/Logging_0980/artfynd/A 18036-2026 artfynd.xlsx", "A 18036-2026")</f>
        <v/>
      </c>
      <c r="X185">
        <f>HYPERLINK("https://klasma.github.io/Logging_0980/kartor/A 18036-2026 karta.png", "A 18036-2026")</f>
        <v/>
      </c>
      <c r="Y185">
        <f>HYPERLINK("https://klasma.github.io/Logging_0980/kartor_geotiff/A 18036-2026 georefererad karta.tif", "A 18036-2026")</f>
        <v/>
      </c>
      <c r="AA185">
        <f>HYPERLINK("https://klasma.github.io/Logging_0980/klagomål/A 18036-2026 FSC-klagomål.docx", "A 18036-2026")</f>
        <v/>
      </c>
      <c r="AB185">
        <f>HYPERLINK("https://klasma.github.io/Logging_0980/klagomålsmail/A 18036-2026 FSC-klagomål mail.docx", "A 18036-2026")</f>
        <v/>
      </c>
      <c r="AC185">
        <f>HYPERLINK("https://klasma.github.io/Logging_0980/tillsyn/A 18036-2026 tillsynsbegäran.docx", "A 18036-2026")</f>
        <v/>
      </c>
      <c r="AD185">
        <f>HYPERLINK("https://klasma.github.io/Logging_0980/tillsynsmail/A 18036-2026 tillsynsbegäran mail.docx", "A 18036-2026")</f>
        <v/>
      </c>
    </row>
    <row r="186" ht="15" customHeight="1">
      <c r="A186" t="inlineStr">
        <is>
          <t>A 21396-2026</t>
        </is>
      </c>
      <c r="B186" t="inlineStr">
        <is>
          <t>avverkningsanmälan</t>
        </is>
      </c>
      <c r="C186" t="inlineStr">
        <is>
          <t>Föryngringsavverkning</t>
        </is>
      </c>
      <c r="D186" s="1" t="n">
        <v>46148</v>
      </c>
      <c r="E186" s="1" t="n">
        <v>46321</v>
      </c>
      <c r="F186" t="inlineStr">
        <is>
          <t>GOTLANDS LÄN</t>
        </is>
      </c>
      <c r="G186" t="inlineStr">
        <is>
          <t>GOTLAND</t>
        </is>
      </c>
      <c r="I186" t="n">
        <v>6.1</v>
      </c>
      <c r="J186" t="n">
        <v>0</v>
      </c>
      <c r="K186" t="n">
        <v>0</v>
      </c>
      <c r="L186" t="n">
        <v>0</v>
      </c>
      <c r="M186" t="n">
        <v>1</v>
      </c>
      <c r="N186" t="n">
        <v>0</v>
      </c>
      <c r="O186" t="n">
        <v>0</v>
      </c>
      <c r="P186" t="n">
        <v>0</v>
      </c>
      <c r="Q186" t="n">
        <v>1</v>
      </c>
      <c r="R186" t="n">
        <v>1</v>
      </c>
      <c r="S186" t="n">
        <v>1</v>
      </c>
      <c r="T186" t="n">
        <v>1</v>
      </c>
      <c r="U186" t="n">
        <v>0</v>
      </c>
      <c r="V186" s="2" t="inlineStr">
        <is>
          <t>Oxhorndyvel</t>
        </is>
      </c>
      <c r="W186">
        <f>HYPERLINK("https://klasma.github.io/Logging_0980/artfynd/A 21396-2026 artfynd.xlsx", "A 21396-2026")</f>
        <v/>
      </c>
      <c r="X186">
        <f>HYPERLINK("https://klasma.github.io/Logging_0980/kartor/A 21396-2026 karta.png", "A 21396-2026")</f>
        <v/>
      </c>
      <c r="Y186">
        <f>HYPERLINK("https://klasma.github.io/Logging_0980/kartor_geotiff/A 21396-2026 georefererad karta.tif", "A 21396-2026")</f>
        <v/>
      </c>
      <c r="AA186">
        <f>HYPERLINK("https://klasma.github.io/Logging_0980/klagomål/A 21396-2026 FSC-klagomål.docx", "A 21396-2026")</f>
        <v/>
      </c>
      <c r="AB186">
        <f>HYPERLINK("https://klasma.github.io/Logging_0980/klagomålsmail/A 21396-2026 FSC-klagomål mail.docx", "A 21396-2026")</f>
        <v/>
      </c>
      <c r="AC186">
        <f>HYPERLINK("https://klasma.github.io/Logging_0980/tillsyn/A 21396-2026 tillsynsbegäran.docx", "A 21396-2026")</f>
        <v/>
      </c>
      <c r="AD186">
        <f>HYPERLINK("https://klasma.github.io/Logging_0980/tillsynsmail/A 21396-2026 tillsynsbegäran mail.docx", "A 21396-2026")</f>
        <v/>
      </c>
    </row>
    <row r="187" ht="15" customHeight="1">
      <c r="A187" t="inlineStr">
        <is>
          <t>A 64700-2021</t>
        </is>
      </c>
      <c r="B187" t="inlineStr">
        <is>
          <t>avverkningsanmälan</t>
        </is>
      </c>
      <c r="C187" t="inlineStr">
        <is>
          <t>Avverkning för att bevara och utveckla /försöksver</t>
        </is>
      </c>
      <c r="D187" s="1" t="n">
        <v>44511</v>
      </c>
      <c r="E187" s="1" t="n">
        <v>46321</v>
      </c>
      <c r="F187" t="inlineStr">
        <is>
          <t>GOTLANDS LÄN</t>
        </is>
      </c>
      <c r="G187" t="inlineStr">
        <is>
          <t>GOTLAND</t>
        </is>
      </c>
      <c r="H187" t="inlineStr">
        <is>
          <t>Naturvårdsverket</t>
        </is>
      </c>
      <c r="I187" t="n">
        <v>2.4</v>
      </c>
      <c r="J187" t="n">
        <v>1</v>
      </c>
      <c r="K187" t="n">
        <v>0</v>
      </c>
      <c r="L187" t="n">
        <v>1</v>
      </c>
      <c r="M187" t="n">
        <v>0</v>
      </c>
      <c r="N187" t="n">
        <v>0</v>
      </c>
      <c r="O187" t="n">
        <v>0</v>
      </c>
      <c r="P187" t="n">
        <v>0</v>
      </c>
      <c r="Q187" t="n">
        <v>1</v>
      </c>
      <c r="R187" t="n">
        <v>0</v>
      </c>
      <c r="S187" t="n">
        <v>1</v>
      </c>
      <c r="T187" t="n">
        <v>3</v>
      </c>
      <c r="U187" t="n">
        <v>1</v>
      </c>
      <c r="V187" s="2" t="inlineStr">
        <is>
          <t>Kalkdån</t>
        </is>
      </c>
      <c r="W187">
        <f>HYPERLINK("https://klasma.github.io/Logging_0980/artfynd/A 64700-2021 artfynd.xlsx", "A 64700-2021")</f>
        <v/>
      </c>
      <c r="X187">
        <f>HYPERLINK("https://klasma.github.io/Logging_0980/kartor/A 64700-2021 karta.png", "A 64700-2021")</f>
        <v/>
      </c>
      <c r="Y187">
        <f>HYPERLINK("https://klasma.github.io/Logging_0980/kartor_geotiff/A 64700-2021 georefererad karta.tif", "A 64700-2021")</f>
        <v/>
      </c>
      <c r="AA187">
        <f>HYPERLINK("https://klasma.github.io/Logging_0980/klagomål/A 64700-2021 FSC-klagomål.docx", "A 64700-2021")</f>
        <v/>
      </c>
      <c r="AB187">
        <f>HYPERLINK("https://klasma.github.io/Logging_0980/klagomålsmail/A 64700-2021 FSC-klagomål mail.docx", "A 64700-2021")</f>
        <v/>
      </c>
      <c r="AC187">
        <f>HYPERLINK("https://klasma.github.io/Logging_0980/tillsyn/A 64700-2021 tillsynsbegäran.docx", "A 64700-2021")</f>
        <v/>
      </c>
      <c r="AD187">
        <f>HYPERLINK("https://klasma.github.io/Logging_0980/tillsynsmail/A 64700-2021 tillsynsbegäran mail.docx", "A 64700-2021")</f>
        <v/>
      </c>
    </row>
    <row r="188" ht="15" customHeight="1">
      <c r="A188" t="inlineStr">
        <is>
          <t>A 6739-2025</t>
        </is>
      </c>
      <c r="B188" t="inlineStr">
        <is>
          <t>avverkningsanmälan</t>
        </is>
      </c>
      <c r="C188" t="inlineStr">
        <is>
          <t>Föryngringsavverkning</t>
        </is>
      </c>
      <c r="D188" s="1" t="n">
        <v>45700</v>
      </c>
      <c r="E188" s="1" t="n">
        <v>46321</v>
      </c>
      <c r="F188" t="inlineStr">
        <is>
          <t>GOTLANDS LÄN</t>
        </is>
      </c>
      <c r="G188" t="inlineStr">
        <is>
          <t>GOTLAND</t>
        </is>
      </c>
      <c r="I188" t="n">
        <v>4.5</v>
      </c>
      <c r="J188" t="n">
        <v>1</v>
      </c>
      <c r="K188" t="n">
        <v>0</v>
      </c>
      <c r="L188" t="n">
        <v>0</v>
      </c>
      <c r="M188" t="n">
        <v>0</v>
      </c>
      <c r="N188" t="n">
        <v>0</v>
      </c>
      <c r="O188" t="n">
        <v>0</v>
      </c>
      <c r="P188" t="n">
        <v>0</v>
      </c>
      <c r="Q188" t="n">
        <v>0</v>
      </c>
      <c r="R188" t="n">
        <v>0</v>
      </c>
      <c r="S188" t="n">
        <v>1</v>
      </c>
      <c r="T188" t="n">
        <v>1</v>
      </c>
      <c r="U188" t="n">
        <v>1</v>
      </c>
      <c r="V188" s="2" t="inlineStr">
        <is>
          <t>Röd glada</t>
        </is>
      </c>
      <c r="W188">
        <f>HYPERLINK("https://klasma.github.io/Logging_0980/artfynd/A 6739-2025 artfynd.xlsx", "A 6739-2025")</f>
        <v/>
      </c>
      <c r="X188">
        <f>HYPERLINK("https://klasma.github.io/Logging_0980/kartor/A 6739-2025 karta.png", "A 6739-2025")</f>
        <v/>
      </c>
      <c r="Y188">
        <f>HYPERLINK("https://klasma.github.io/Logging_0980/kartor_geotiff/A 6739-2025 georefererad karta.tif", "A 6739-2025")</f>
        <v/>
      </c>
      <c r="AA188">
        <f>HYPERLINK("https://klasma.github.io/Logging_0980/klagomål/A 6739-2025 FSC-klagomål.docx", "A 6739-2025")</f>
        <v/>
      </c>
      <c r="AB188">
        <f>HYPERLINK("https://klasma.github.io/Logging_0980/klagomålsmail/A 6739-2025 FSC-klagomål mail.docx", "A 6739-2025")</f>
        <v/>
      </c>
      <c r="AC188">
        <f>HYPERLINK("https://klasma.github.io/Logging_0980/tillsyn/A 6739-2025 tillsynsbegäran.docx", "A 6739-2025")</f>
        <v/>
      </c>
      <c r="AD188">
        <f>HYPERLINK("https://klasma.github.io/Logging_0980/tillsynsmail/A 6739-2025 tillsynsbegäran mail.docx", "A 6739-2025")</f>
        <v/>
      </c>
      <c r="AE188">
        <f>HYPERLINK("https://klasma.github.io/Logging_0980/fåglar/A 6739-2025 prioriterade fågelarter.docx", "A 6739-2025")</f>
        <v/>
      </c>
    </row>
    <row r="189" ht="15" customHeight="1">
      <c r="A189" t="inlineStr">
        <is>
          <t>A 10218-2025</t>
        </is>
      </c>
      <c r="B189" t="inlineStr">
        <is>
          <t>avverkningsanmälan</t>
        </is>
      </c>
      <c r="C189" t="inlineStr">
        <is>
          <t>Föryngringsavverkning</t>
        </is>
      </c>
      <c r="D189" s="1" t="n">
        <v>45720</v>
      </c>
      <c r="E189" s="1" t="n">
        <v>46321</v>
      </c>
      <c r="F189" t="inlineStr">
        <is>
          <t>GOTLANDS LÄN</t>
        </is>
      </c>
      <c r="G189" t="inlineStr">
        <is>
          <t>GOTLAND</t>
        </is>
      </c>
      <c r="I189" t="n">
        <v>8.1</v>
      </c>
      <c r="J189" t="n">
        <v>0</v>
      </c>
      <c r="K189" t="n">
        <v>1</v>
      </c>
      <c r="L189" t="n">
        <v>0</v>
      </c>
      <c r="M189" t="n">
        <v>0</v>
      </c>
      <c r="N189" t="n">
        <v>0</v>
      </c>
      <c r="O189" t="n">
        <v>0</v>
      </c>
      <c r="P189" t="n">
        <v>0</v>
      </c>
      <c r="Q189" t="n">
        <v>0</v>
      </c>
      <c r="R189" t="n">
        <v>0</v>
      </c>
      <c r="S189" t="n">
        <v>1</v>
      </c>
      <c r="T189" t="n">
        <v>1</v>
      </c>
      <c r="U189" t="n">
        <v>1</v>
      </c>
      <c r="V189" s="2" t="inlineStr">
        <is>
          <t>Kalktallört</t>
        </is>
      </c>
      <c r="W189">
        <f>HYPERLINK("https://klasma.github.io/Logging_0980/artfynd/A 10218-2025 artfynd.xlsx", "A 10218-2025")</f>
        <v/>
      </c>
      <c r="X189">
        <f>HYPERLINK("https://klasma.github.io/Logging_0980/kartor/A 10218-2025 karta.png", "A 10218-2025")</f>
        <v/>
      </c>
      <c r="Y189">
        <f>HYPERLINK("https://klasma.github.io/Logging_0980/kartor_geotiff/A 10218-2025 georefererad karta.tif", "A 10218-2025")</f>
        <v/>
      </c>
      <c r="AA189">
        <f>HYPERLINK("https://klasma.github.io/Logging_0980/klagomål/A 10218-2025 FSC-klagomål.docx", "A 10218-2025")</f>
        <v/>
      </c>
      <c r="AB189">
        <f>HYPERLINK("https://klasma.github.io/Logging_0980/klagomålsmail/A 10218-2025 FSC-klagomål mail.docx", "A 10218-2025")</f>
        <v/>
      </c>
      <c r="AC189">
        <f>HYPERLINK("https://klasma.github.io/Logging_0980/tillsyn/A 10218-2025 tillsynsbegäran.docx", "A 10218-2025")</f>
        <v/>
      </c>
      <c r="AD189">
        <f>HYPERLINK("https://klasma.github.io/Logging_0980/tillsynsmail/A 10218-2025 tillsynsbegäran mail.docx", "A 10218-2025")</f>
        <v/>
      </c>
    </row>
    <row r="190" ht="15" customHeight="1">
      <c r="A190" t="inlineStr">
        <is>
          <t>A 34141-2024</t>
        </is>
      </c>
      <c r="B190" t="inlineStr">
        <is>
          <t>avverkningsanmälan</t>
        </is>
      </c>
      <c r="C190" t="inlineStr">
        <is>
          <t>Föryngringsavverkning</t>
        </is>
      </c>
      <c r="D190" s="1" t="n">
        <v>45524</v>
      </c>
      <c r="E190" s="1" t="n">
        <v>46321</v>
      </c>
      <c r="F190" t="inlineStr">
        <is>
          <t>GOTLANDS LÄN</t>
        </is>
      </c>
      <c r="G190" t="inlineStr">
        <is>
          <t>GOTLAND</t>
        </is>
      </c>
      <c r="I190" t="n">
        <v>0.9</v>
      </c>
      <c r="J190" t="n">
        <v>0</v>
      </c>
      <c r="K190" t="n">
        <v>1</v>
      </c>
      <c r="L190" t="n">
        <v>0</v>
      </c>
      <c r="M190" t="n">
        <v>0</v>
      </c>
      <c r="N190" t="n">
        <v>0</v>
      </c>
      <c r="O190" t="n">
        <v>0</v>
      </c>
      <c r="P190" t="n">
        <v>0</v>
      </c>
      <c r="Q190" t="n">
        <v>0</v>
      </c>
      <c r="R190" t="n">
        <v>0</v>
      </c>
      <c r="S190" t="n">
        <v>1</v>
      </c>
      <c r="T190" t="n">
        <v>1</v>
      </c>
      <c r="U190" t="n">
        <v>1</v>
      </c>
      <c r="V190" s="2" t="inlineStr">
        <is>
          <t>Strävlosta</t>
        </is>
      </c>
      <c r="W190">
        <f>HYPERLINK("https://klasma.github.io/Logging_0980/artfynd/A 34141-2024 artfynd.xlsx", "A 34141-2024")</f>
        <v/>
      </c>
      <c r="X190">
        <f>HYPERLINK("https://klasma.github.io/Logging_0980/kartor/A 34141-2024 karta.png", "A 34141-2024")</f>
        <v/>
      </c>
      <c r="Y190">
        <f>HYPERLINK("https://klasma.github.io/Logging_0980/kartor_geotiff/A 34141-2024 georefererad karta.tif", "A 34141-2024")</f>
        <v/>
      </c>
      <c r="AA190">
        <f>HYPERLINK("https://klasma.github.io/Logging_0980/klagomål/A 34141-2024 FSC-klagomål.docx", "A 34141-2024")</f>
        <v/>
      </c>
      <c r="AB190">
        <f>HYPERLINK("https://klasma.github.io/Logging_0980/klagomålsmail/A 34141-2024 FSC-klagomål mail.docx", "A 34141-2024")</f>
        <v/>
      </c>
      <c r="AC190">
        <f>HYPERLINK("https://klasma.github.io/Logging_0980/tillsyn/A 34141-2024 tillsynsbegäran.docx", "A 34141-2024")</f>
        <v/>
      </c>
      <c r="AD190">
        <f>HYPERLINK("https://klasma.github.io/Logging_0980/tillsynsmail/A 34141-2024 tillsynsbegäran mail.docx", "A 34141-2024")</f>
        <v/>
      </c>
    </row>
    <row r="191" ht="15" customHeight="1">
      <c r="A191" t="inlineStr">
        <is>
          <t>A 9862-2024</t>
        </is>
      </c>
      <c r="B191" t="inlineStr">
        <is>
          <t>avverkningsanmälan</t>
        </is>
      </c>
      <c r="C191" t="inlineStr">
        <is>
          <t>Föryngringsavverkning</t>
        </is>
      </c>
      <c r="D191" s="1" t="n">
        <v>45363</v>
      </c>
      <c r="E191" s="1" t="n">
        <v>46321</v>
      </c>
      <c r="F191" t="inlineStr">
        <is>
          <t>GOTLANDS LÄN</t>
        </is>
      </c>
      <c r="G191" t="inlineStr">
        <is>
          <t>GOTLAND</t>
        </is>
      </c>
      <c r="I191" t="n">
        <v>3.5</v>
      </c>
      <c r="J191" t="n">
        <v>1</v>
      </c>
      <c r="K191" t="n">
        <v>0</v>
      </c>
      <c r="L191" t="n">
        <v>0</v>
      </c>
      <c r="M191" t="n">
        <v>0</v>
      </c>
      <c r="N191" t="n">
        <v>0</v>
      </c>
      <c r="O191" t="n">
        <v>0</v>
      </c>
      <c r="P191" t="n">
        <v>0</v>
      </c>
      <c r="Q191" t="n">
        <v>0</v>
      </c>
      <c r="R191" t="n">
        <v>0</v>
      </c>
      <c r="S191" t="n">
        <v>1</v>
      </c>
      <c r="T191" t="n">
        <v>1</v>
      </c>
      <c r="U191" t="n">
        <v>1</v>
      </c>
      <c r="V191" s="2" t="inlineStr">
        <is>
          <t>Nattviol</t>
        </is>
      </c>
      <c r="W191">
        <f>HYPERLINK("https://klasma.github.io/Logging_0980/artfynd/A 9862-2024 artfynd.xlsx", "A 9862-2024")</f>
        <v/>
      </c>
      <c r="X191">
        <f>HYPERLINK("https://klasma.github.io/Logging_0980/kartor/A 9862-2024 karta.png", "A 9862-2024")</f>
        <v/>
      </c>
      <c r="Y191">
        <f>HYPERLINK("https://klasma.github.io/Logging_0980/kartor_geotiff/A 9862-2024 georefererad karta.tif", "A 9862-2024")</f>
        <v/>
      </c>
      <c r="AA191">
        <f>HYPERLINK("https://klasma.github.io/Logging_0980/klagomål/A 9862-2024 FSC-klagomål.docx", "A 9862-2024")</f>
        <v/>
      </c>
      <c r="AB191">
        <f>HYPERLINK("https://klasma.github.io/Logging_0980/klagomålsmail/A 9862-2024 FSC-klagomål mail.docx", "A 9862-2024")</f>
        <v/>
      </c>
      <c r="AC191">
        <f>HYPERLINK("https://klasma.github.io/Logging_0980/tillsyn/A 9862-2024 tillsynsbegäran.docx", "A 9862-2024")</f>
        <v/>
      </c>
      <c r="AD191">
        <f>HYPERLINK("https://klasma.github.io/Logging_0980/tillsynsmail/A 9862-2024 tillsynsbegäran mail.docx", "A 9862-2024")</f>
        <v/>
      </c>
    </row>
    <row r="192" ht="15" customHeight="1">
      <c r="A192" t="inlineStr">
        <is>
          <t>A 4662-2026</t>
        </is>
      </c>
      <c r="B192" t="inlineStr">
        <is>
          <t>avverkningsanmälan</t>
        </is>
      </c>
      <c r="C192" t="inlineStr">
        <is>
          <t>Föryngringsavverkning</t>
        </is>
      </c>
      <c r="D192" s="1" t="n">
        <v>46048</v>
      </c>
      <c r="E192" s="1" t="n">
        <v>46321</v>
      </c>
      <c r="F192" t="inlineStr">
        <is>
          <t>GOTLANDS LÄN</t>
        </is>
      </c>
      <c r="G192" t="inlineStr">
        <is>
          <t>GOTLAND</t>
        </is>
      </c>
      <c r="I192" t="n">
        <v>7.6</v>
      </c>
      <c r="J192" t="n">
        <v>0</v>
      </c>
      <c r="K192" t="n">
        <v>0</v>
      </c>
      <c r="L192" t="n">
        <v>0</v>
      </c>
      <c r="M192" t="n">
        <v>1</v>
      </c>
      <c r="N192" t="n">
        <v>0</v>
      </c>
      <c r="O192" t="n">
        <v>0</v>
      </c>
      <c r="P192" t="n">
        <v>0</v>
      </c>
      <c r="Q192" t="n">
        <v>1</v>
      </c>
      <c r="R192" t="n">
        <v>1</v>
      </c>
      <c r="S192" t="n">
        <v>1</v>
      </c>
      <c r="T192" t="n">
        <v>1</v>
      </c>
      <c r="U192" t="n">
        <v>0</v>
      </c>
      <c r="V192" s="2" t="inlineStr">
        <is>
          <t>Strandviol</t>
        </is>
      </c>
      <c r="W192">
        <f>HYPERLINK("https://klasma.github.io/Logging_0980/artfynd/A 4662-2026 artfynd.xlsx", "A 4662-2026")</f>
        <v/>
      </c>
      <c r="X192">
        <f>HYPERLINK("https://klasma.github.io/Logging_0980/kartor/A 4662-2026 karta.png", "A 4662-2026")</f>
        <v/>
      </c>
      <c r="Y192">
        <f>HYPERLINK("https://klasma.github.io/Logging_0980/kartor_geotiff/A 4662-2026 georefererad karta.tif", "A 4662-2026")</f>
        <v/>
      </c>
      <c r="AA192">
        <f>HYPERLINK("https://klasma.github.io/Logging_0980/klagomål/A 4662-2026 FSC-klagomål.docx", "A 4662-2026")</f>
        <v/>
      </c>
      <c r="AB192">
        <f>HYPERLINK("https://klasma.github.io/Logging_0980/klagomålsmail/A 4662-2026 FSC-klagomål mail.docx", "A 4662-2026")</f>
        <v/>
      </c>
      <c r="AC192">
        <f>HYPERLINK("https://klasma.github.io/Logging_0980/tillsyn/A 4662-2026 tillsynsbegäran.docx", "A 4662-2026")</f>
        <v/>
      </c>
      <c r="AD192">
        <f>HYPERLINK("https://klasma.github.io/Logging_0980/tillsynsmail/A 4662-2026 tillsynsbegäran mail.docx", "A 4662-2026")</f>
        <v/>
      </c>
    </row>
    <row r="193" ht="15" customHeight="1">
      <c r="A193" t="inlineStr">
        <is>
          <t>A 5863-2026</t>
        </is>
      </c>
      <c r="B193" t="inlineStr">
        <is>
          <t>avverkningsanmälan</t>
        </is>
      </c>
      <c r="C193" t="inlineStr">
        <is>
          <t>Föryngringsavverkning</t>
        </is>
      </c>
      <c r="D193" s="1" t="n">
        <v>46052</v>
      </c>
      <c r="E193" s="1" t="n">
        <v>46321</v>
      </c>
      <c r="F193" t="inlineStr">
        <is>
          <t>GOTLANDS LÄN</t>
        </is>
      </c>
      <c r="G193" t="inlineStr">
        <is>
          <t>GOTLAND</t>
        </is>
      </c>
      <c r="I193" t="n">
        <v>1.8</v>
      </c>
      <c r="J193" t="n">
        <v>1</v>
      </c>
      <c r="K193" t="n">
        <v>0</v>
      </c>
      <c r="L193" t="n">
        <v>1</v>
      </c>
      <c r="M193" t="n">
        <v>0</v>
      </c>
      <c r="N193" t="n">
        <v>0</v>
      </c>
      <c r="O193" t="n">
        <v>0</v>
      </c>
      <c r="P193" t="n">
        <v>0</v>
      </c>
      <c r="Q193" t="n">
        <v>1</v>
      </c>
      <c r="R193" t="n">
        <v>0</v>
      </c>
      <c r="S193" t="n">
        <v>1</v>
      </c>
      <c r="T193" t="n">
        <v>35</v>
      </c>
      <c r="U193" t="n">
        <v>25</v>
      </c>
      <c r="V193" s="2" t="inlineStr">
        <is>
          <t>Dårgräsfjäril</t>
        </is>
      </c>
      <c r="W193">
        <f>HYPERLINK("https://klasma.github.io/Logging_0980/artfynd/A 5863-2026 artfynd.xlsx", "A 5863-2026")</f>
        <v/>
      </c>
      <c r="X193">
        <f>HYPERLINK("https://klasma.github.io/Logging_0980/kartor/A 5863-2026 karta.png", "A 5863-2026")</f>
        <v/>
      </c>
      <c r="Y193">
        <f>HYPERLINK("https://klasma.github.io/Logging_0980/kartor_geotiff/A 5863-2026 georefererad karta.tif", "A 5863-2026")</f>
        <v/>
      </c>
      <c r="AA193">
        <f>HYPERLINK("https://klasma.github.io/Logging_0980/klagomål/A 5863-2026 FSC-klagomål.docx", "A 5863-2026")</f>
        <v/>
      </c>
      <c r="AB193">
        <f>HYPERLINK("https://klasma.github.io/Logging_0980/klagomålsmail/A 5863-2026 FSC-klagomål mail.docx", "A 5863-2026")</f>
        <v/>
      </c>
      <c r="AC193">
        <f>HYPERLINK("https://klasma.github.io/Logging_0980/tillsyn/A 5863-2026 tillsynsbegäran.docx", "A 5863-2026")</f>
        <v/>
      </c>
      <c r="AD193">
        <f>HYPERLINK("https://klasma.github.io/Logging_0980/tillsynsmail/A 5863-2026 tillsynsbegäran mail.docx", "A 5863-2026")</f>
        <v/>
      </c>
    </row>
    <row r="194" ht="15" customHeight="1">
      <c r="A194" t="inlineStr">
        <is>
          <t>A 25977-2024</t>
        </is>
      </c>
      <c r="B194" t="inlineStr">
        <is>
          <t>avverkningsanmälan</t>
        </is>
      </c>
      <c r="C194" t="inlineStr">
        <is>
          <t>Föryngringsavverkning</t>
        </is>
      </c>
      <c r="D194" s="1" t="n">
        <v>45467</v>
      </c>
      <c r="E194" s="1" t="n">
        <v>46321</v>
      </c>
      <c r="F194" t="inlineStr">
        <is>
          <t>GOTLANDS LÄN</t>
        </is>
      </c>
      <c r="G194" t="inlineStr">
        <is>
          <t>GOTLAND</t>
        </is>
      </c>
      <c r="I194" t="n">
        <v>3</v>
      </c>
      <c r="J194" t="n">
        <v>1</v>
      </c>
      <c r="K194" t="n">
        <v>0</v>
      </c>
      <c r="L194" t="n">
        <v>0</v>
      </c>
      <c r="M194" t="n">
        <v>0</v>
      </c>
      <c r="N194" t="n">
        <v>0</v>
      </c>
      <c r="O194" t="n">
        <v>0</v>
      </c>
      <c r="P194" t="n">
        <v>0</v>
      </c>
      <c r="Q194" t="n">
        <v>0</v>
      </c>
      <c r="R194" t="n">
        <v>0</v>
      </c>
      <c r="S194" t="n">
        <v>1</v>
      </c>
      <c r="T194" t="n">
        <v>1</v>
      </c>
      <c r="U194" t="n">
        <v>1</v>
      </c>
      <c r="V194" s="2" t="inlineStr">
        <is>
          <t>Nattviol</t>
        </is>
      </c>
      <c r="W194">
        <f>HYPERLINK("https://klasma.github.io/Logging_0980/artfynd/A 25977-2024 artfynd.xlsx", "A 25977-2024")</f>
        <v/>
      </c>
      <c r="X194">
        <f>HYPERLINK("https://klasma.github.io/Logging_0980/kartor/A 25977-2024 karta.png", "A 25977-2024")</f>
        <v/>
      </c>
      <c r="Y194">
        <f>HYPERLINK("https://klasma.github.io/Logging_0980/kartor_geotiff/A 25977-2024 georefererad karta.tif", "A 25977-2024")</f>
        <v/>
      </c>
      <c r="AA194">
        <f>HYPERLINK("https://klasma.github.io/Logging_0980/klagomål/A 25977-2024 FSC-klagomål.docx", "A 25977-2024")</f>
        <v/>
      </c>
      <c r="AB194">
        <f>HYPERLINK("https://klasma.github.io/Logging_0980/klagomålsmail/A 25977-2024 FSC-klagomål mail.docx", "A 25977-2024")</f>
        <v/>
      </c>
      <c r="AC194">
        <f>HYPERLINK("https://klasma.github.io/Logging_0980/tillsyn/A 25977-2024 tillsynsbegäran.docx", "A 25977-2024")</f>
        <v/>
      </c>
      <c r="AD194">
        <f>HYPERLINK("https://klasma.github.io/Logging_0980/tillsynsmail/A 25977-2024 tillsynsbegäran mail.docx", "A 25977-2024")</f>
        <v/>
      </c>
    </row>
    <row r="195" ht="15" customHeight="1">
      <c r="A195" t="inlineStr">
        <is>
          <t>A 30489-2025</t>
        </is>
      </c>
      <c r="B195" t="inlineStr">
        <is>
          <t>avverkningsanmälan</t>
        </is>
      </c>
      <c r="C195" t="inlineStr">
        <is>
          <t>Föryngringsavverkning</t>
        </is>
      </c>
      <c r="D195" s="1" t="n">
        <v>45830</v>
      </c>
      <c r="E195" s="1" t="n">
        <v>46321</v>
      </c>
      <c r="F195" t="inlineStr">
        <is>
          <t>GOTLANDS LÄN</t>
        </is>
      </c>
      <c r="G195" t="inlineStr">
        <is>
          <t>GOTLAND</t>
        </is>
      </c>
      <c r="I195" t="n">
        <v>4.6</v>
      </c>
      <c r="J195" t="n">
        <v>0</v>
      </c>
      <c r="K195" t="n">
        <v>0</v>
      </c>
      <c r="L195" t="n">
        <v>1</v>
      </c>
      <c r="M195" t="n">
        <v>0</v>
      </c>
      <c r="N195" t="n">
        <v>0</v>
      </c>
      <c r="O195" t="n">
        <v>0</v>
      </c>
      <c r="P195" t="n">
        <v>0</v>
      </c>
      <c r="Q195" t="n">
        <v>1</v>
      </c>
      <c r="R195" t="n">
        <v>0</v>
      </c>
      <c r="S195" t="n">
        <v>1</v>
      </c>
      <c r="T195" t="n">
        <v>1</v>
      </c>
      <c r="U195" t="n">
        <v>0</v>
      </c>
      <c r="V195" s="2" t="inlineStr">
        <is>
          <t>Skarp dropptaggsvamp</t>
        </is>
      </c>
      <c r="W195">
        <f>HYPERLINK("https://klasma.github.io/Logging_0980/artfynd/A 30489-2025 artfynd.xlsx", "A 30489-2025")</f>
        <v/>
      </c>
      <c r="X195">
        <f>HYPERLINK("https://klasma.github.io/Logging_0980/kartor/A 30489-2025 karta.png", "A 30489-2025")</f>
        <v/>
      </c>
      <c r="Y195">
        <f>HYPERLINK("https://klasma.github.io/Logging_0980/kartor_geotiff/A 30489-2025 georefererad karta.tif", "A 30489-2025")</f>
        <v/>
      </c>
      <c r="AA195">
        <f>HYPERLINK("https://klasma.github.io/Logging_0980/klagomål/A 30489-2025 FSC-klagomål.docx", "A 30489-2025")</f>
        <v/>
      </c>
      <c r="AB195">
        <f>HYPERLINK("https://klasma.github.io/Logging_0980/klagomålsmail/A 30489-2025 FSC-klagomål mail.docx", "A 30489-2025")</f>
        <v/>
      </c>
      <c r="AC195">
        <f>HYPERLINK("https://klasma.github.io/Logging_0980/tillsyn/A 30489-2025 tillsynsbegäran.docx", "A 30489-2025")</f>
        <v/>
      </c>
      <c r="AD195">
        <f>HYPERLINK("https://klasma.github.io/Logging_0980/tillsynsmail/A 30489-2025 tillsynsbegäran mail.docx", "A 30489-2025")</f>
        <v/>
      </c>
    </row>
    <row r="196" ht="15" customHeight="1">
      <c r="A196" t="inlineStr">
        <is>
          <t>A 30176-2026</t>
        </is>
      </c>
      <c r="B196" t="inlineStr">
        <is>
          <t>avverkningsanmälan</t>
        </is>
      </c>
      <c r="C196" t="inlineStr">
        <is>
          <t>Avverkning för annat ändamål</t>
        </is>
      </c>
      <c r="D196" s="1" t="n">
        <v>46203</v>
      </c>
      <c r="E196" s="1" t="n">
        <v>46321</v>
      </c>
      <c r="F196" t="inlineStr">
        <is>
          <t>GOTLANDS LÄN</t>
        </is>
      </c>
      <c r="G196" t="inlineStr">
        <is>
          <t>GOTLAND</t>
        </is>
      </c>
      <c r="I196" t="n">
        <v>3.7</v>
      </c>
      <c r="J196" t="n">
        <v>1</v>
      </c>
      <c r="K196" t="n">
        <v>0</v>
      </c>
      <c r="L196" t="n">
        <v>0</v>
      </c>
      <c r="M196" t="n">
        <v>0</v>
      </c>
      <c r="N196" t="n">
        <v>0</v>
      </c>
      <c r="O196" t="n">
        <v>0</v>
      </c>
      <c r="P196" t="n">
        <v>0</v>
      </c>
      <c r="Q196" t="n">
        <v>0</v>
      </c>
      <c r="R196" t="n">
        <v>0</v>
      </c>
      <c r="S196" t="n">
        <v>1</v>
      </c>
      <c r="T196" t="n">
        <v>1</v>
      </c>
      <c r="U196" t="n">
        <v>0</v>
      </c>
      <c r="V196" s="2" t="inlineStr">
        <is>
          <t>Bredarun</t>
        </is>
      </c>
      <c r="W196">
        <f>HYPERLINK("https://klasma.github.io/Logging_0980/artfynd/A 30176-2026 artfynd.xlsx", "A 30176-2026")</f>
        <v/>
      </c>
      <c r="X196">
        <f>HYPERLINK("https://klasma.github.io/Logging_0980/kartor/A 30176-2026 karta.png", "A 30176-2026")</f>
        <v/>
      </c>
      <c r="Y196">
        <f>HYPERLINK("https://klasma.github.io/Logging_0980/kartor_geotiff/A 30176-2026 georefererad karta.tif", "A 30176-2026")</f>
        <v/>
      </c>
      <c r="AA196">
        <f>HYPERLINK("https://klasma.github.io/Logging_0980/klagomål/A 30176-2026 FSC-klagomål.docx", "A 30176-2026")</f>
        <v/>
      </c>
      <c r="AB196">
        <f>HYPERLINK("https://klasma.github.io/Logging_0980/klagomålsmail/A 30176-2026 FSC-klagomål mail.docx", "A 30176-2026")</f>
        <v/>
      </c>
      <c r="AC196">
        <f>HYPERLINK("https://klasma.github.io/Logging_0980/tillsyn/A 30176-2026 tillsynsbegäran.docx", "A 30176-2026")</f>
        <v/>
      </c>
      <c r="AD196">
        <f>HYPERLINK("https://klasma.github.io/Logging_0980/tillsynsmail/A 30176-2026 tillsynsbegäran mail.docx", "A 30176-2026")</f>
        <v/>
      </c>
    </row>
    <row r="197" ht="15" customHeight="1">
      <c r="A197" t="inlineStr">
        <is>
          <t>A 4568-2025</t>
        </is>
      </c>
      <c r="B197" t="inlineStr">
        <is>
          <t>avverkningsanmälan</t>
        </is>
      </c>
      <c r="C197" t="inlineStr">
        <is>
          <t>Föryngringsavverkning</t>
        </is>
      </c>
      <c r="D197" s="1" t="n">
        <v>45687</v>
      </c>
      <c r="E197" s="1" t="n">
        <v>46321</v>
      </c>
      <c r="F197" t="inlineStr">
        <is>
          <t>GOTLANDS LÄN</t>
        </is>
      </c>
      <c r="G197" t="inlineStr">
        <is>
          <t>GOTLAND</t>
        </is>
      </c>
      <c r="I197" t="n">
        <v>1.9</v>
      </c>
      <c r="J197" t="n">
        <v>0</v>
      </c>
      <c r="K197" t="n">
        <v>0</v>
      </c>
      <c r="L197" t="n">
        <v>1</v>
      </c>
      <c r="M197" t="n">
        <v>0</v>
      </c>
      <c r="N197" t="n">
        <v>0</v>
      </c>
      <c r="O197" t="n">
        <v>0</v>
      </c>
      <c r="P197" t="n">
        <v>0</v>
      </c>
      <c r="Q197" t="n">
        <v>1</v>
      </c>
      <c r="R197" t="n">
        <v>0</v>
      </c>
      <c r="S197" t="n">
        <v>1</v>
      </c>
      <c r="T197" t="n">
        <v>1</v>
      </c>
      <c r="U197" t="n">
        <v>1</v>
      </c>
      <c r="V197" s="2" t="inlineStr">
        <is>
          <t>Backfryle</t>
        </is>
      </c>
      <c r="W197">
        <f>HYPERLINK("https://klasma.github.io/Logging_0980/artfynd/A 4568-2025 artfynd.xlsx", "A 4568-2025")</f>
        <v/>
      </c>
      <c r="X197">
        <f>HYPERLINK("https://klasma.github.io/Logging_0980/kartor/A 4568-2025 karta.png", "A 4568-2025")</f>
        <v/>
      </c>
      <c r="Y197">
        <f>HYPERLINK("https://klasma.github.io/Logging_0980/kartor_geotiff/A 4568-2025 georefererad karta.tif", "A 4568-2025")</f>
        <v/>
      </c>
      <c r="AA197">
        <f>HYPERLINK("https://klasma.github.io/Logging_0980/klagomål/A 4568-2025 FSC-klagomål.docx", "A 4568-2025")</f>
        <v/>
      </c>
      <c r="AB197">
        <f>HYPERLINK("https://klasma.github.io/Logging_0980/klagomålsmail/A 4568-2025 FSC-klagomål mail.docx", "A 4568-2025")</f>
        <v/>
      </c>
      <c r="AC197">
        <f>HYPERLINK("https://klasma.github.io/Logging_0980/tillsyn/A 4568-2025 tillsynsbegäran.docx", "A 4568-2025")</f>
        <v/>
      </c>
      <c r="AD197">
        <f>HYPERLINK("https://klasma.github.io/Logging_0980/tillsynsmail/A 4568-2025 tillsynsbegäran mail.docx", "A 4568-2025")</f>
        <v/>
      </c>
    </row>
    <row r="198" ht="15" customHeight="1">
      <c r="A198" t="inlineStr">
        <is>
          <t>A 61796-2022</t>
        </is>
      </c>
      <c r="B198" t="inlineStr">
        <is>
          <t>avverkningsanmälan</t>
        </is>
      </c>
      <c r="C198" t="inlineStr">
        <is>
          <t>Föryngringsavverkning</t>
        </is>
      </c>
      <c r="D198" s="1" t="n">
        <v>44917</v>
      </c>
      <c r="E198" s="1" t="n">
        <v>46321</v>
      </c>
      <c r="F198" t="inlineStr">
        <is>
          <t>GOTLANDS LÄN</t>
        </is>
      </c>
      <c r="G198" t="inlineStr">
        <is>
          <t>GOTLAND</t>
        </is>
      </c>
      <c r="I198" t="n">
        <v>1.5</v>
      </c>
      <c r="J198" t="n">
        <v>1</v>
      </c>
      <c r="K198" t="n">
        <v>0</v>
      </c>
      <c r="L198" t="n">
        <v>0</v>
      </c>
      <c r="M198" t="n">
        <v>0</v>
      </c>
      <c r="N198" t="n">
        <v>0</v>
      </c>
      <c r="O198" t="n">
        <v>0</v>
      </c>
      <c r="P198" t="n">
        <v>0</v>
      </c>
      <c r="Q198" t="n">
        <v>0</v>
      </c>
      <c r="R198" t="n">
        <v>0</v>
      </c>
      <c r="S198" t="n">
        <v>1</v>
      </c>
      <c r="T198" t="n">
        <v>1</v>
      </c>
      <c r="U198" t="n">
        <v>1</v>
      </c>
      <c r="V198" s="2" t="inlineStr">
        <is>
          <t>Skogsduva</t>
        </is>
      </c>
      <c r="W198">
        <f>HYPERLINK("https://klasma.github.io/Logging_0980/artfynd/A 61796-2022 artfynd.xlsx", "A 61796-2022")</f>
        <v/>
      </c>
      <c r="X198">
        <f>HYPERLINK("https://klasma.github.io/Logging_0980/kartor/A 61796-2022 karta.png", "A 61796-2022")</f>
        <v/>
      </c>
      <c r="Y198">
        <f>HYPERLINK("https://klasma.github.io/Logging_0980/kartor_geotiff/A 61796-2022 georefererad karta.tif", "A 61796-2022")</f>
        <v/>
      </c>
      <c r="AA198">
        <f>HYPERLINK("https://klasma.github.io/Logging_0980/klagomål/A 61796-2022 FSC-klagomål.docx", "A 61796-2022")</f>
        <v/>
      </c>
      <c r="AB198">
        <f>HYPERLINK("https://klasma.github.io/Logging_0980/klagomålsmail/A 61796-2022 FSC-klagomål mail.docx", "A 61796-2022")</f>
        <v/>
      </c>
      <c r="AC198">
        <f>HYPERLINK("https://klasma.github.io/Logging_0980/tillsyn/A 61796-2022 tillsynsbegäran.docx", "A 61796-2022")</f>
        <v/>
      </c>
      <c r="AD198">
        <f>HYPERLINK("https://klasma.github.io/Logging_0980/tillsynsmail/A 61796-2022 tillsynsbegäran mail.docx", "A 61796-2022")</f>
        <v/>
      </c>
    </row>
    <row r="199" ht="15" customHeight="1">
      <c r="A199" t="inlineStr">
        <is>
          <t>A 29809-2022</t>
        </is>
      </c>
      <c r="B199" t="inlineStr">
        <is>
          <t>avverkningsanmälan</t>
        </is>
      </c>
      <c r="C199" t="inlineStr">
        <is>
          <t>Föryngringsavverkning</t>
        </is>
      </c>
      <c r="D199" s="1" t="n">
        <v>44755</v>
      </c>
      <c r="E199" s="1" t="n">
        <v>46321</v>
      </c>
      <c r="F199" t="inlineStr">
        <is>
          <t>GOTLANDS LÄN</t>
        </is>
      </c>
      <c r="G199" t="inlineStr">
        <is>
          <t>GOTLAND</t>
        </is>
      </c>
      <c r="I199" t="n">
        <v>11.5</v>
      </c>
      <c r="J199" t="n">
        <v>1</v>
      </c>
      <c r="K199" t="n">
        <v>0</v>
      </c>
      <c r="L199" t="n">
        <v>1</v>
      </c>
      <c r="M199" t="n">
        <v>0</v>
      </c>
      <c r="N199" t="n">
        <v>0</v>
      </c>
      <c r="O199" t="n">
        <v>0</v>
      </c>
      <c r="P199" t="n">
        <v>0</v>
      </c>
      <c r="Q199" t="n">
        <v>1</v>
      </c>
      <c r="R199" t="n">
        <v>0</v>
      </c>
      <c r="S199" t="n">
        <v>1</v>
      </c>
      <c r="T199" t="n">
        <v>1</v>
      </c>
      <c r="U199" t="n">
        <v>1</v>
      </c>
      <c r="V199" s="2" t="inlineStr">
        <is>
          <t>Dårgräsfjäril</t>
        </is>
      </c>
      <c r="W199">
        <f>HYPERLINK("https://klasma.github.io/Logging_0980/artfynd/A 29809-2022 artfynd.xlsx", "A 29809-2022")</f>
        <v/>
      </c>
      <c r="X199">
        <f>HYPERLINK("https://klasma.github.io/Logging_0980/kartor/A 29809-2022 karta.png", "A 29809-2022")</f>
        <v/>
      </c>
      <c r="Y199">
        <f>HYPERLINK("https://klasma.github.io/Logging_0980/kartor_geotiff/A 29809-2022 georefererad karta.tif", "A 29809-2022")</f>
        <v/>
      </c>
      <c r="AA199">
        <f>HYPERLINK("https://klasma.github.io/Logging_0980/klagomål/A 29809-2022 FSC-klagomål.docx", "A 29809-2022")</f>
        <v/>
      </c>
      <c r="AB199">
        <f>HYPERLINK("https://klasma.github.io/Logging_0980/klagomålsmail/A 29809-2022 FSC-klagomål mail.docx", "A 29809-2022")</f>
        <v/>
      </c>
      <c r="AC199">
        <f>HYPERLINK("https://klasma.github.io/Logging_0980/tillsyn/A 29809-2022 tillsynsbegäran.docx", "A 29809-2022")</f>
        <v/>
      </c>
      <c r="AD199">
        <f>HYPERLINK("https://klasma.github.io/Logging_0980/tillsynsmail/A 29809-2022 tillsynsbegäran mail.docx", "A 29809-2022")</f>
        <v/>
      </c>
    </row>
    <row r="200" ht="15" customHeight="1">
      <c r="A200" t="inlineStr">
        <is>
          <t>A 15637-2024</t>
        </is>
      </c>
      <c r="B200" t="inlineStr">
        <is>
          <t>avverkningsanmälan</t>
        </is>
      </c>
      <c r="C200" t="inlineStr">
        <is>
          <t>Föryngringsavverkning</t>
        </is>
      </c>
      <c r="D200" s="1" t="n">
        <v>45403</v>
      </c>
      <c r="E200" s="1" t="n">
        <v>46321</v>
      </c>
      <c r="F200" t="inlineStr">
        <is>
          <t>GOTLANDS LÄN</t>
        </is>
      </c>
      <c r="G200" t="inlineStr">
        <is>
          <t>GOTLAND</t>
        </is>
      </c>
      <c r="I200" t="n">
        <v>4.1</v>
      </c>
      <c r="J200" t="n">
        <v>1</v>
      </c>
      <c r="K200" t="n">
        <v>0</v>
      </c>
      <c r="L200" t="n">
        <v>0</v>
      </c>
      <c r="M200" t="n">
        <v>0</v>
      </c>
      <c r="N200" t="n">
        <v>0</v>
      </c>
      <c r="O200" t="n">
        <v>0</v>
      </c>
      <c r="P200" t="n">
        <v>0</v>
      </c>
      <c r="Q200" t="n">
        <v>0</v>
      </c>
      <c r="R200" t="n">
        <v>0</v>
      </c>
      <c r="S200" t="n">
        <v>1</v>
      </c>
      <c r="T200" t="n">
        <v>1</v>
      </c>
      <c r="U200" t="n">
        <v>1</v>
      </c>
      <c r="V200" s="2" t="inlineStr">
        <is>
          <t>Blåsippa</t>
        </is>
      </c>
      <c r="W200">
        <f>HYPERLINK("https://klasma.github.io/Logging_0980/artfynd/A 15637-2024 artfynd.xlsx", "A 15637-2024")</f>
        <v/>
      </c>
      <c r="X200">
        <f>HYPERLINK("https://klasma.github.io/Logging_0980/kartor/A 15637-2024 karta.png", "A 15637-2024")</f>
        <v/>
      </c>
      <c r="Y200">
        <f>HYPERLINK("https://klasma.github.io/Logging_0980/kartor_geotiff/A 15637-2024 georefererad karta.tif", "A 15637-2024")</f>
        <v/>
      </c>
      <c r="AA200">
        <f>HYPERLINK("https://klasma.github.io/Logging_0980/klagomål/A 15637-2024 FSC-klagomål.docx", "A 15637-2024")</f>
        <v/>
      </c>
      <c r="AB200">
        <f>HYPERLINK("https://klasma.github.io/Logging_0980/klagomålsmail/A 15637-2024 FSC-klagomål mail.docx", "A 15637-2024")</f>
        <v/>
      </c>
      <c r="AC200">
        <f>HYPERLINK("https://klasma.github.io/Logging_0980/tillsyn/A 15637-2024 tillsynsbegäran.docx", "A 15637-2024")</f>
        <v/>
      </c>
      <c r="AD200">
        <f>HYPERLINK("https://klasma.github.io/Logging_0980/tillsynsmail/A 15637-2024 tillsynsbegäran mail.docx", "A 15637-2024")</f>
        <v/>
      </c>
    </row>
    <row r="201" ht="15" customHeight="1">
      <c r="A201" t="inlineStr">
        <is>
          <t>A 7042-2023</t>
        </is>
      </c>
      <c r="B201" t="inlineStr">
        <is>
          <t>avverkningsanmälan</t>
        </is>
      </c>
      <c r="C201" t="inlineStr">
        <is>
          <t>Föryngringsavverkning</t>
        </is>
      </c>
      <c r="D201" s="1" t="n">
        <v>44968</v>
      </c>
      <c r="E201" s="1" t="n">
        <v>46321</v>
      </c>
      <c r="F201" t="inlineStr">
        <is>
          <t>GOTLANDS LÄN</t>
        </is>
      </c>
      <c r="G201" t="inlineStr">
        <is>
          <t>GOTLAND</t>
        </is>
      </c>
      <c r="I201" t="n">
        <v>0.7</v>
      </c>
      <c r="J201" t="n">
        <v>1</v>
      </c>
      <c r="K201" t="n">
        <v>1</v>
      </c>
      <c r="L201" t="n">
        <v>0</v>
      </c>
      <c r="M201" t="n">
        <v>0</v>
      </c>
      <c r="N201" t="n">
        <v>0</v>
      </c>
      <c r="O201" t="n">
        <v>0</v>
      </c>
      <c r="P201" t="n">
        <v>0</v>
      </c>
      <c r="Q201" t="n">
        <v>0</v>
      </c>
      <c r="R201" t="n">
        <v>0</v>
      </c>
      <c r="S201" t="n">
        <v>1</v>
      </c>
      <c r="T201" t="n">
        <v>1</v>
      </c>
      <c r="U201" t="n">
        <v>0</v>
      </c>
      <c r="V201" s="2" t="inlineStr">
        <is>
          <t>Purpurknipprot</t>
        </is>
      </c>
      <c r="W201">
        <f>HYPERLINK("https://klasma.github.io/Logging_0980/artfynd/A 7042-2023 artfynd.xlsx", "A 7042-2023")</f>
        <v/>
      </c>
      <c r="X201">
        <f>HYPERLINK("https://klasma.github.io/Logging_0980/kartor/A 7042-2023 karta.png", "A 7042-2023")</f>
        <v/>
      </c>
      <c r="Y201">
        <f>HYPERLINK("https://klasma.github.io/Logging_0980/kartor_geotiff/A 7042-2023 georefererad karta.tif", "A 7042-2023")</f>
        <v/>
      </c>
      <c r="AA201">
        <f>HYPERLINK("https://klasma.github.io/Logging_0980/klagomål/A 7042-2023 FSC-klagomål.docx", "A 7042-2023")</f>
        <v/>
      </c>
      <c r="AB201">
        <f>HYPERLINK("https://klasma.github.io/Logging_0980/klagomålsmail/A 7042-2023 FSC-klagomål mail.docx", "A 7042-2023")</f>
        <v/>
      </c>
      <c r="AC201">
        <f>HYPERLINK("https://klasma.github.io/Logging_0980/tillsyn/A 7042-2023 tillsynsbegäran.docx", "A 7042-2023")</f>
        <v/>
      </c>
      <c r="AD201">
        <f>HYPERLINK("https://klasma.github.io/Logging_0980/tillsynsmail/A 7042-2023 tillsynsbegäran mail.docx", "A 7042-2023")</f>
        <v/>
      </c>
    </row>
    <row r="202" ht="15" customHeight="1">
      <c r="A202" t="inlineStr">
        <is>
          <t>A 63229-2021</t>
        </is>
      </c>
      <c r="B202" t="inlineStr">
        <is>
          <t>avverkningsanmälan</t>
        </is>
      </c>
      <c r="C202" t="inlineStr">
        <is>
          <t>Föryngringsavverkning</t>
        </is>
      </c>
      <c r="D202" s="1" t="n">
        <v>44508</v>
      </c>
      <c r="E202" s="1" t="n">
        <v>46321</v>
      </c>
      <c r="F202" t="inlineStr">
        <is>
          <t>GOTLANDS LÄN</t>
        </is>
      </c>
      <c r="G202" t="inlineStr">
        <is>
          <t>GOTLAND</t>
        </is>
      </c>
      <c r="H202" t="inlineStr">
        <is>
          <t>Kyrkan</t>
        </is>
      </c>
      <c r="I202" t="n">
        <v>3.8</v>
      </c>
      <c r="J202" t="n">
        <v>0</v>
      </c>
      <c r="K202" t="n">
        <v>0</v>
      </c>
      <c r="L202" t="n">
        <v>1</v>
      </c>
      <c r="M202" t="n">
        <v>0</v>
      </c>
      <c r="N202" t="n">
        <v>0</v>
      </c>
      <c r="O202" t="n">
        <v>0</v>
      </c>
      <c r="P202" t="n">
        <v>0</v>
      </c>
      <c r="Q202" t="n">
        <v>1</v>
      </c>
      <c r="R202" t="n">
        <v>0</v>
      </c>
      <c r="S202" t="n">
        <v>1</v>
      </c>
      <c r="T202" t="n">
        <v>1</v>
      </c>
      <c r="U202" t="n">
        <v>0</v>
      </c>
      <c r="V202" s="2" t="inlineStr">
        <is>
          <t>Backtimjan</t>
        </is>
      </c>
      <c r="W202">
        <f>HYPERLINK("https://klasma.github.io/Logging_0980/artfynd/A 63229-2021 artfynd.xlsx", "A 63229-2021")</f>
        <v/>
      </c>
      <c r="X202">
        <f>HYPERLINK("https://klasma.github.io/Logging_0980/kartor/A 63229-2021 karta.png", "A 63229-2021")</f>
        <v/>
      </c>
      <c r="Y202">
        <f>HYPERLINK("https://klasma.github.io/Logging_0980/kartor_geotiff/A 63229-2021 georefererad karta.tif", "A 63229-2021")</f>
        <v/>
      </c>
      <c r="AA202">
        <f>HYPERLINK("https://klasma.github.io/Logging_0980/klagomål/A 63229-2021 FSC-klagomål.docx", "A 63229-2021")</f>
        <v/>
      </c>
      <c r="AB202">
        <f>HYPERLINK("https://klasma.github.io/Logging_0980/klagomålsmail/A 63229-2021 FSC-klagomål mail.docx", "A 63229-2021")</f>
        <v/>
      </c>
      <c r="AC202">
        <f>HYPERLINK("https://klasma.github.io/Logging_0980/tillsyn/A 63229-2021 tillsynsbegäran.docx", "A 63229-2021")</f>
        <v/>
      </c>
      <c r="AD202">
        <f>HYPERLINK("https://klasma.github.io/Logging_0980/tillsynsmail/A 63229-2021 tillsynsbegäran mail.docx", "A 63229-2021")</f>
        <v/>
      </c>
    </row>
    <row r="203" ht="15" customHeight="1">
      <c r="A203" t="inlineStr">
        <is>
          <t>A 10995-2023</t>
        </is>
      </c>
      <c r="B203" t="inlineStr">
        <is>
          <t>avverkningsanmälan</t>
        </is>
      </c>
      <c r="C203" t="inlineStr">
        <is>
          <t>Föryngringsavverkning</t>
        </is>
      </c>
      <c r="D203" s="1" t="n">
        <v>44986</v>
      </c>
      <c r="E203" s="1" t="n">
        <v>46321</v>
      </c>
      <c r="F203" t="inlineStr">
        <is>
          <t>GOTLANDS LÄN</t>
        </is>
      </c>
      <c r="G203" t="inlineStr">
        <is>
          <t>GOTLAND</t>
        </is>
      </c>
      <c r="I203" t="n">
        <v>2.8</v>
      </c>
      <c r="J203" t="n">
        <v>0</v>
      </c>
      <c r="K203" t="n">
        <v>0</v>
      </c>
      <c r="L203" t="n">
        <v>0</v>
      </c>
      <c r="M203" t="n">
        <v>1</v>
      </c>
      <c r="N203" t="n">
        <v>0</v>
      </c>
      <c r="O203" t="n">
        <v>0</v>
      </c>
      <c r="P203" t="n">
        <v>0</v>
      </c>
      <c r="Q203" t="n">
        <v>1</v>
      </c>
      <c r="R203" t="n">
        <v>1</v>
      </c>
      <c r="S203" t="n">
        <v>1</v>
      </c>
      <c r="T203" t="n">
        <v>1</v>
      </c>
      <c r="U203" t="n">
        <v>0</v>
      </c>
      <c r="V203" s="2" t="inlineStr">
        <is>
          <t>Violettfläckig spindling</t>
        </is>
      </c>
      <c r="W203">
        <f>HYPERLINK("https://klasma.github.io/Logging_0980/artfynd/A 10995-2023 artfynd.xlsx", "A 10995-2023")</f>
        <v/>
      </c>
      <c r="X203">
        <f>HYPERLINK("https://klasma.github.io/Logging_0980/kartor/A 10995-2023 karta.png", "A 10995-2023")</f>
        <v/>
      </c>
      <c r="Y203">
        <f>HYPERLINK("https://klasma.github.io/Logging_0980/kartor_geotiff/A 10995-2023 georefererad karta.tif", "A 10995-2023")</f>
        <v/>
      </c>
      <c r="AA203">
        <f>HYPERLINK("https://klasma.github.io/Logging_0980/klagomål/A 10995-2023 FSC-klagomål.docx", "A 10995-2023")</f>
        <v/>
      </c>
      <c r="AB203">
        <f>HYPERLINK("https://klasma.github.io/Logging_0980/klagomålsmail/A 10995-2023 FSC-klagomål mail.docx", "A 10995-2023")</f>
        <v/>
      </c>
      <c r="AC203">
        <f>HYPERLINK("https://klasma.github.io/Logging_0980/tillsyn/A 10995-2023 tillsynsbegäran.docx", "A 10995-2023")</f>
        <v/>
      </c>
      <c r="AD203">
        <f>HYPERLINK("https://klasma.github.io/Logging_0980/tillsynsmail/A 10995-2023 tillsynsbegäran mail.docx", "A 10995-2023")</f>
        <v/>
      </c>
    </row>
    <row r="204" ht="15" customHeight="1">
      <c r="A204" t="inlineStr">
        <is>
          <t>A 44088-2022</t>
        </is>
      </c>
      <c r="B204" t="inlineStr">
        <is>
          <t>avverkningsanmälan</t>
        </is>
      </c>
      <c r="C204" t="inlineStr">
        <is>
          <t>Föryngringsavverkning</t>
        </is>
      </c>
      <c r="D204" s="1" t="n">
        <v>44839</v>
      </c>
      <c r="E204" s="1" t="n">
        <v>46321</v>
      </c>
      <c r="F204" t="inlineStr">
        <is>
          <t>GOTLANDS LÄN</t>
        </is>
      </c>
      <c r="G204" t="inlineStr">
        <is>
          <t>GOTLAND</t>
        </is>
      </c>
      <c r="I204" t="n">
        <v>1.5</v>
      </c>
      <c r="J204" t="n">
        <v>0</v>
      </c>
      <c r="K204" t="n">
        <v>1</v>
      </c>
      <c r="L204" t="n">
        <v>0</v>
      </c>
      <c r="M204" t="n">
        <v>0</v>
      </c>
      <c r="N204" t="n">
        <v>0</v>
      </c>
      <c r="O204" t="n">
        <v>0</v>
      </c>
      <c r="P204" t="n">
        <v>0</v>
      </c>
      <c r="Q204" t="n">
        <v>0</v>
      </c>
      <c r="R204" t="n">
        <v>0</v>
      </c>
      <c r="S204" t="n">
        <v>1</v>
      </c>
      <c r="T204" t="n">
        <v>1</v>
      </c>
      <c r="U204" t="n">
        <v>0</v>
      </c>
      <c r="V204" s="2" t="inlineStr">
        <is>
          <t>Strävlosta</t>
        </is>
      </c>
      <c r="W204">
        <f>HYPERLINK("https://klasma.github.io/Logging_0980/artfynd/A 44088-2022 artfynd.xlsx", "A 44088-2022")</f>
        <v/>
      </c>
      <c r="X204">
        <f>HYPERLINK("https://klasma.github.io/Logging_0980/kartor/A 44088-2022 karta.png", "A 44088-2022")</f>
        <v/>
      </c>
      <c r="Y204">
        <f>HYPERLINK("https://klasma.github.io/Logging_0980/kartor_geotiff/A 44088-2022 georefererad karta.tif", "A 44088-2022")</f>
        <v/>
      </c>
      <c r="AA204">
        <f>HYPERLINK("https://klasma.github.io/Logging_0980/klagomål/A 44088-2022 FSC-klagomål.docx", "A 44088-2022")</f>
        <v/>
      </c>
      <c r="AB204">
        <f>HYPERLINK("https://klasma.github.io/Logging_0980/klagomålsmail/A 44088-2022 FSC-klagomål mail.docx", "A 44088-2022")</f>
        <v/>
      </c>
      <c r="AC204">
        <f>HYPERLINK("https://klasma.github.io/Logging_0980/tillsyn/A 44088-2022 tillsynsbegäran.docx", "A 44088-2022")</f>
        <v/>
      </c>
      <c r="AD204">
        <f>HYPERLINK("https://klasma.github.io/Logging_0980/tillsynsmail/A 44088-2022 tillsynsbegäran mail.docx", "A 44088-2022")</f>
        <v/>
      </c>
    </row>
    <row r="205" ht="15" customHeight="1">
      <c r="A205" t="inlineStr">
        <is>
          <t>A 49693-2023</t>
        </is>
      </c>
      <c r="B205" t="inlineStr">
        <is>
          <t>avverkningsanmälan</t>
        </is>
      </c>
      <c r="C205" t="inlineStr">
        <is>
          <t>Föryngringsavverkning</t>
        </is>
      </c>
      <c r="D205" s="1" t="n">
        <v>45212</v>
      </c>
      <c r="E205" s="1" t="n">
        <v>46321</v>
      </c>
      <c r="F205" t="inlineStr">
        <is>
          <t>GOTLANDS LÄN</t>
        </is>
      </c>
      <c r="G205" t="inlineStr">
        <is>
          <t>GOTLAND</t>
        </is>
      </c>
      <c r="I205" t="n">
        <v>2.4</v>
      </c>
      <c r="J205" t="n">
        <v>0</v>
      </c>
      <c r="K205" t="n">
        <v>0</v>
      </c>
      <c r="L205" t="n">
        <v>0</v>
      </c>
      <c r="M205" t="n">
        <v>1</v>
      </c>
      <c r="N205" t="n">
        <v>0</v>
      </c>
      <c r="O205" t="n">
        <v>0</v>
      </c>
      <c r="P205" t="n">
        <v>0</v>
      </c>
      <c r="Q205" t="n">
        <v>1</v>
      </c>
      <c r="R205" t="n">
        <v>1</v>
      </c>
      <c r="S205" t="n">
        <v>1</v>
      </c>
      <c r="T205" t="n">
        <v>1</v>
      </c>
      <c r="U205" t="n">
        <v>1</v>
      </c>
      <c r="V205" s="2" t="inlineStr">
        <is>
          <t>Vit taggsvamp</t>
        </is>
      </c>
      <c r="W205">
        <f>HYPERLINK("https://klasma.github.io/Logging_0980/artfynd/A 49693-2023 artfynd.xlsx", "A 49693-2023")</f>
        <v/>
      </c>
      <c r="X205">
        <f>HYPERLINK("https://klasma.github.io/Logging_0980/kartor/A 49693-2023 karta.png", "A 49693-2023")</f>
        <v/>
      </c>
      <c r="Y205">
        <f>HYPERLINK("https://klasma.github.io/Logging_0980/kartor_geotiff/A 49693-2023 georefererad karta.tif", "A 49693-2023")</f>
        <v/>
      </c>
      <c r="AA205">
        <f>HYPERLINK("https://klasma.github.io/Logging_0980/klagomål/A 49693-2023 FSC-klagomål.docx", "A 49693-2023")</f>
        <v/>
      </c>
      <c r="AB205">
        <f>HYPERLINK("https://klasma.github.io/Logging_0980/klagomålsmail/A 49693-2023 FSC-klagomål mail.docx", "A 49693-2023")</f>
        <v/>
      </c>
      <c r="AC205">
        <f>HYPERLINK("https://klasma.github.io/Logging_0980/tillsyn/A 49693-2023 tillsynsbegäran.docx", "A 49693-2023")</f>
        <v/>
      </c>
      <c r="AD205">
        <f>HYPERLINK("https://klasma.github.io/Logging_0980/tillsynsmail/A 49693-2023 tillsynsbegäran mail.docx", "A 49693-2023")</f>
        <v/>
      </c>
    </row>
    <row r="206" ht="15" customHeight="1">
      <c r="A206" t="inlineStr">
        <is>
          <t>A 69112-2021</t>
        </is>
      </c>
      <c r="B206" t="inlineStr">
        <is>
          <t>avverkningsanmälan</t>
        </is>
      </c>
      <c r="C206" t="inlineStr">
        <is>
          <t>Avverkning för annat ändamål</t>
        </is>
      </c>
      <c r="D206" s="1" t="n">
        <v>44530</v>
      </c>
      <c r="E206" s="1" t="n">
        <v>46321</v>
      </c>
      <c r="F206" t="inlineStr">
        <is>
          <t>GOTLANDS LÄN</t>
        </is>
      </c>
      <c r="G206" t="inlineStr">
        <is>
          <t>GOTLAND</t>
        </is>
      </c>
      <c r="I206" t="n">
        <v>4.2</v>
      </c>
      <c r="J206" t="n">
        <v>0</v>
      </c>
      <c r="K206" t="n">
        <v>0</v>
      </c>
      <c r="L206" t="n">
        <v>1</v>
      </c>
      <c r="M206" t="n">
        <v>0</v>
      </c>
      <c r="N206" t="n">
        <v>0</v>
      </c>
      <c r="O206" t="n">
        <v>0</v>
      </c>
      <c r="P206" t="n">
        <v>0</v>
      </c>
      <c r="Q206" t="n">
        <v>1</v>
      </c>
      <c r="R206" t="n">
        <v>0</v>
      </c>
      <c r="S206" t="n">
        <v>1</v>
      </c>
      <c r="T206" t="n">
        <v>1</v>
      </c>
      <c r="U206" t="n">
        <v>0</v>
      </c>
      <c r="V206" s="2" t="inlineStr">
        <is>
          <t>Sårläka</t>
        </is>
      </c>
      <c r="W206">
        <f>HYPERLINK("https://klasma.github.io/Logging_0980/artfynd/A 69112-2021 artfynd.xlsx", "A 69112-2021")</f>
        <v/>
      </c>
      <c r="X206">
        <f>HYPERLINK("https://klasma.github.io/Logging_0980/kartor/A 69112-2021 karta.png", "A 69112-2021")</f>
        <v/>
      </c>
      <c r="Y206">
        <f>HYPERLINK("https://klasma.github.io/Logging_0980/kartor_geotiff/A 69112-2021 georefererad karta.tif", "A 69112-2021")</f>
        <v/>
      </c>
      <c r="AA206">
        <f>HYPERLINK("https://klasma.github.io/Logging_0980/klagomål/A 69112-2021 FSC-klagomål.docx", "A 69112-2021")</f>
        <v/>
      </c>
      <c r="AB206">
        <f>HYPERLINK("https://klasma.github.io/Logging_0980/klagomålsmail/A 69112-2021 FSC-klagomål mail.docx", "A 69112-2021")</f>
        <v/>
      </c>
      <c r="AC206">
        <f>HYPERLINK("https://klasma.github.io/Logging_0980/tillsyn/A 69112-2021 tillsynsbegäran.docx", "A 69112-2021")</f>
        <v/>
      </c>
      <c r="AD206">
        <f>HYPERLINK("https://klasma.github.io/Logging_0980/tillsynsmail/A 69112-2021 tillsynsbegäran mail.docx", "A 69112-2021")</f>
        <v/>
      </c>
    </row>
    <row r="207" ht="15" customHeight="1">
      <c r="A207" t="inlineStr">
        <is>
          <t>A 947-2023</t>
        </is>
      </c>
      <c r="B207" t="inlineStr">
        <is>
          <t>avverkningsanmälan</t>
        </is>
      </c>
      <c r="C207" t="inlineStr">
        <is>
          <t>Föryngringsavverkning</t>
        </is>
      </c>
      <c r="D207" s="1" t="n">
        <v>44934</v>
      </c>
      <c r="E207" s="1" t="n">
        <v>46321</v>
      </c>
      <c r="F207" t="inlineStr">
        <is>
          <t>GOTLANDS LÄN</t>
        </is>
      </c>
      <c r="G207" t="inlineStr">
        <is>
          <t>GOTLAND</t>
        </is>
      </c>
      <c r="I207" t="n">
        <v>0.7</v>
      </c>
      <c r="J207" t="n">
        <v>1</v>
      </c>
      <c r="K207" t="n">
        <v>0</v>
      </c>
      <c r="L207" t="n">
        <v>0</v>
      </c>
      <c r="M207" t="n">
        <v>1</v>
      </c>
      <c r="N207" t="n">
        <v>0</v>
      </c>
      <c r="O207" t="n">
        <v>0</v>
      </c>
      <c r="P207" t="n">
        <v>0</v>
      </c>
      <c r="Q207" t="n">
        <v>1</v>
      </c>
      <c r="R207" t="n">
        <v>1</v>
      </c>
      <c r="S207" t="n">
        <v>1</v>
      </c>
      <c r="T207" t="n">
        <v>1</v>
      </c>
      <c r="U207" t="n">
        <v>0</v>
      </c>
      <c r="V207" s="2" t="inlineStr">
        <is>
          <t>Garderönn</t>
        </is>
      </c>
      <c r="W207">
        <f>HYPERLINK("https://klasma.github.io/Logging_0980/artfynd/A 947-2023 artfynd.xlsx", "A 947-2023")</f>
        <v/>
      </c>
      <c r="X207">
        <f>HYPERLINK("https://klasma.github.io/Logging_0980/kartor/A 947-2023 karta.png", "A 947-2023")</f>
        <v/>
      </c>
      <c r="Y207">
        <f>HYPERLINK("https://klasma.github.io/Logging_0980/kartor_geotiff/A 947-2023 georefererad karta.tif", "A 947-2023")</f>
        <v/>
      </c>
      <c r="AA207">
        <f>HYPERLINK("https://klasma.github.io/Logging_0980/klagomål/A 947-2023 FSC-klagomål.docx", "A 947-2023")</f>
        <v/>
      </c>
      <c r="AB207">
        <f>HYPERLINK("https://klasma.github.io/Logging_0980/klagomålsmail/A 947-2023 FSC-klagomål mail.docx", "A 947-2023")</f>
        <v/>
      </c>
      <c r="AC207">
        <f>HYPERLINK("https://klasma.github.io/Logging_0980/tillsyn/A 947-2023 tillsynsbegäran.docx", "A 947-2023")</f>
        <v/>
      </c>
      <c r="AD207">
        <f>HYPERLINK("https://klasma.github.io/Logging_0980/tillsynsmail/A 947-2023 tillsynsbegäran mail.docx", "A 947-2023")</f>
        <v/>
      </c>
    </row>
    <row r="208" ht="15" customHeight="1">
      <c r="A208" t="inlineStr">
        <is>
          <t>A 49304-2024</t>
        </is>
      </c>
      <c r="B208" t="inlineStr">
        <is>
          <t>avverkningsanmälan</t>
        </is>
      </c>
      <c r="C208" t="inlineStr">
        <is>
          <t>Föryngringsavverkning</t>
        </is>
      </c>
      <c r="D208" s="1" t="n">
        <v>45595</v>
      </c>
      <c r="E208" s="1" t="n">
        <v>46321</v>
      </c>
      <c r="F208" t="inlineStr">
        <is>
          <t>GOTLANDS LÄN</t>
        </is>
      </c>
      <c r="G208" t="inlineStr">
        <is>
          <t>GOTLAND</t>
        </is>
      </c>
      <c r="I208" t="n">
        <v>10.8</v>
      </c>
      <c r="J208" t="n">
        <v>0</v>
      </c>
      <c r="K208" t="n">
        <v>0</v>
      </c>
      <c r="L208" t="n">
        <v>1</v>
      </c>
      <c r="M208" t="n">
        <v>0</v>
      </c>
      <c r="N208" t="n">
        <v>0</v>
      </c>
      <c r="O208" t="n">
        <v>0</v>
      </c>
      <c r="P208" t="n">
        <v>0</v>
      </c>
      <c r="Q208" t="n">
        <v>1</v>
      </c>
      <c r="R208" t="n">
        <v>0</v>
      </c>
      <c r="S208" t="n">
        <v>1</v>
      </c>
      <c r="T208" t="n">
        <v>1</v>
      </c>
      <c r="U208" t="n">
        <v>1</v>
      </c>
      <c r="V208" s="2" t="inlineStr">
        <is>
          <t>Åkerranunkel</t>
        </is>
      </c>
      <c r="W208">
        <f>HYPERLINK("https://klasma.github.io/Logging_0980/artfynd/A 49304-2024 artfynd.xlsx", "A 49304-2024")</f>
        <v/>
      </c>
      <c r="X208">
        <f>HYPERLINK("https://klasma.github.io/Logging_0980/kartor/A 49304-2024 karta.png", "A 49304-2024")</f>
        <v/>
      </c>
      <c r="Y208">
        <f>HYPERLINK("https://klasma.github.io/Logging_0980/kartor_geotiff/A 49304-2024 georefererad karta.tif", "A 49304-2024")</f>
        <v/>
      </c>
      <c r="AA208">
        <f>HYPERLINK("https://klasma.github.io/Logging_0980/klagomål/A 49304-2024 FSC-klagomål.docx", "A 49304-2024")</f>
        <v/>
      </c>
      <c r="AB208">
        <f>HYPERLINK("https://klasma.github.io/Logging_0980/klagomålsmail/A 49304-2024 FSC-klagomål mail.docx", "A 49304-2024")</f>
        <v/>
      </c>
      <c r="AC208">
        <f>HYPERLINK("https://klasma.github.io/Logging_0980/tillsyn/A 49304-2024 tillsynsbegäran.docx", "A 49304-2024")</f>
        <v/>
      </c>
      <c r="AD208">
        <f>HYPERLINK("https://klasma.github.io/Logging_0980/tillsynsmail/A 49304-2024 tillsynsbegäran mail.docx", "A 49304-2024")</f>
        <v/>
      </c>
    </row>
    <row r="209" ht="15" customHeight="1">
      <c r="A209" t="inlineStr">
        <is>
          <t>A 46545-2024</t>
        </is>
      </c>
      <c r="B209" t="inlineStr">
        <is>
          <t>avverkningsanmälan</t>
        </is>
      </c>
      <c r="C209" t="inlineStr">
        <is>
          <t>Föryngringsavverkning</t>
        </is>
      </c>
      <c r="D209" s="1" t="n">
        <v>45582</v>
      </c>
      <c r="E209" s="1" t="n">
        <v>46321</v>
      </c>
      <c r="F209" t="inlineStr">
        <is>
          <t>GOTLANDS LÄN</t>
        </is>
      </c>
      <c r="G209" t="inlineStr">
        <is>
          <t>GOTLAND</t>
        </is>
      </c>
      <c r="I209" t="n">
        <v>1.2</v>
      </c>
      <c r="J209" t="n">
        <v>0</v>
      </c>
      <c r="K209" t="n">
        <v>0</v>
      </c>
      <c r="L209" t="n">
        <v>0</v>
      </c>
      <c r="M209" t="n">
        <v>1</v>
      </c>
      <c r="N209" t="n">
        <v>0</v>
      </c>
      <c r="O209" t="n">
        <v>0</v>
      </c>
      <c r="P209" t="n">
        <v>0</v>
      </c>
      <c r="Q209" t="n">
        <v>1</v>
      </c>
      <c r="R209" t="n">
        <v>1</v>
      </c>
      <c r="S209" t="n">
        <v>1</v>
      </c>
      <c r="T209" t="n">
        <v>1</v>
      </c>
      <c r="U209" t="n">
        <v>1</v>
      </c>
      <c r="V209" s="2" t="inlineStr">
        <is>
          <t>Källnate</t>
        </is>
      </c>
      <c r="W209">
        <f>HYPERLINK("https://klasma.github.io/Logging_0980/artfynd/A 46545-2024 artfynd.xlsx", "A 46545-2024")</f>
        <v/>
      </c>
      <c r="X209">
        <f>HYPERLINK("https://klasma.github.io/Logging_0980/kartor/A 46545-2024 karta.png", "A 46545-2024")</f>
        <v/>
      </c>
      <c r="Y209">
        <f>HYPERLINK("https://klasma.github.io/Logging_0980/kartor_geotiff/A 46545-2024 georefererad karta.tif", "A 46545-2024")</f>
        <v/>
      </c>
      <c r="AA209">
        <f>HYPERLINK("https://klasma.github.io/Logging_0980/klagomål/A 46545-2024 FSC-klagomål.docx", "A 46545-2024")</f>
        <v/>
      </c>
      <c r="AB209">
        <f>HYPERLINK("https://klasma.github.io/Logging_0980/klagomålsmail/A 46545-2024 FSC-klagomål mail.docx", "A 46545-2024")</f>
        <v/>
      </c>
      <c r="AC209">
        <f>HYPERLINK("https://klasma.github.io/Logging_0980/tillsyn/A 46545-2024 tillsynsbegäran.docx", "A 46545-2024")</f>
        <v/>
      </c>
      <c r="AD209">
        <f>HYPERLINK("https://klasma.github.io/Logging_0980/tillsynsmail/A 46545-2024 tillsynsbegäran mail.docx", "A 46545-2024")</f>
        <v/>
      </c>
    </row>
    <row r="210" ht="15" customHeight="1">
      <c r="A210" t="inlineStr">
        <is>
          <t>A 62915-2021</t>
        </is>
      </c>
      <c r="B210" t="inlineStr">
        <is>
          <t>avverkningsanmälan</t>
        </is>
      </c>
      <c r="C210" t="inlineStr">
        <is>
          <t>Föryngringsavverkning</t>
        </is>
      </c>
      <c r="D210" s="1" t="n">
        <v>44504</v>
      </c>
      <c r="E210" s="1" t="n">
        <v>46321</v>
      </c>
      <c r="F210" t="inlineStr">
        <is>
          <t>GOTLANDS LÄN</t>
        </is>
      </c>
      <c r="G210" t="inlineStr">
        <is>
          <t>GOTLAND</t>
        </is>
      </c>
      <c r="I210" t="n">
        <v>1.1</v>
      </c>
      <c r="J210" t="n">
        <v>1</v>
      </c>
      <c r="K210" t="n">
        <v>0</v>
      </c>
      <c r="L210" t="n">
        <v>0</v>
      </c>
      <c r="M210" t="n">
        <v>0</v>
      </c>
      <c r="N210" t="n">
        <v>0</v>
      </c>
      <c r="O210" t="n">
        <v>0</v>
      </c>
      <c r="P210" t="n">
        <v>0</v>
      </c>
      <c r="Q210" t="n">
        <v>0</v>
      </c>
      <c r="R210" t="n">
        <v>0</v>
      </c>
      <c r="S210" t="n">
        <v>1</v>
      </c>
      <c r="T210" t="n">
        <v>1</v>
      </c>
      <c r="U210" t="n">
        <v>1</v>
      </c>
      <c r="V210" s="2" t="inlineStr">
        <is>
          <t>Bredarun</t>
        </is>
      </c>
      <c r="W210">
        <f>HYPERLINK("https://klasma.github.io/Logging_0980/artfynd/A 62915-2021 artfynd.xlsx", "A 62915-2021")</f>
        <v/>
      </c>
      <c r="X210">
        <f>HYPERLINK("https://klasma.github.io/Logging_0980/kartor/A 62915-2021 karta.png", "A 62915-2021")</f>
        <v/>
      </c>
      <c r="Y210">
        <f>HYPERLINK("https://klasma.github.io/Logging_0980/kartor_geotiff/A 62915-2021 georefererad karta.tif", "A 62915-2021")</f>
        <v/>
      </c>
      <c r="AA210">
        <f>HYPERLINK("https://klasma.github.io/Logging_0980/klagomål/A 62915-2021 FSC-klagomål.docx", "A 62915-2021")</f>
        <v/>
      </c>
      <c r="AB210">
        <f>HYPERLINK("https://klasma.github.io/Logging_0980/klagomålsmail/A 62915-2021 FSC-klagomål mail.docx", "A 62915-2021")</f>
        <v/>
      </c>
      <c r="AC210">
        <f>HYPERLINK("https://klasma.github.io/Logging_0980/tillsyn/A 62915-2021 tillsynsbegäran.docx", "A 62915-2021")</f>
        <v/>
      </c>
      <c r="AD210">
        <f>HYPERLINK("https://klasma.github.io/Logging_0980/tillsynsmail/A 62915-2021 tillsynsbegäran mail.docx", "A 62915-2021")</f>
        <v/>
      </c>
    </row>
    <row r="211" ht="15" customHeight="1">
      <c r="A211" t="inlineStr">
        <is>
          <t>A 1677-2023</t>
        </is>
      </c>
      <c r="B211" t="inlineStr">
        <is>
          <t>avverkningsanmälan</t>
        </is>
      </c>
      <c r="C211" t="inlineStr">
        <is>
          <t>Föryngringsavverkning</t>
        </is>
      </c>
      <c r="D211" s="1" t="n">
        <v>44938</v>
      </c>
      <c r="E211" s="1" t="n">
        <v>46321</v>
      </c>
      <c r="F211" t="inlineStr">
        <is>
          <t>GOTLANDS LÄN</t>
        </is>
      </c>
      <c r="G211" t="inlineStr">
        <is>
          <t>GOTLAND</t>
        </is>
      </c>
      <c r="I211" t="n">
        <v>1.6</v>
      </c>
      <c r="J211" t="n">
        <v>0</v>
      </c>
      <c r="K211" t="n">
        <v>0</v>
      </c>
      <c r="L211" t="n">
        <v>1</v>
      </c>
      <c r="M211" t="n">
        <v>0</v>
      </c>
      <c r="N211" t="n">
        <v>0</v>
      </c>
      <c r="O211" t="n">
        <v>0</v>
      </c>
      <c r="P211" t="n">
        <v>0</v>
      </c>
      <c r="Q211" t="n">
        <v>1</v>
      </c>
      <c r="R211" t="n">
        <v>0</v>
      </c>
      <c r="S211" t="n">
        <v>1</v>
      </c>
      <c r="T211" t="n">
        <v>1</v>
      </c>
      <c r="U211" t="n">
        <v>0</v>
      </c>
      <c r="V211" s="2" t="inlineStr">
        <is>
          <t>Strandrosettmossa</t>
        </is>
      </c>
      <c r="W211">
        <f>HYPERLINK("https://klasma.github.io/Logging_0980/artfynd/A 1677-2023 artfynd.xlsx", "A 1677-2023")</f>
        <v/>
      </c>
      <c r="X211">
        <f>HYPERLINK("https://klasma.github.io/Logging_0980/kartor/A 1677-2023 karta.png", "A 1677-2023")</f>
        <v/>
      </c>
      <c r="Y211">
        <f>HYPERLINK("https://klasma.github.io/Logging_0980/kartor_geotiff/A 1677-2023 georefererad karta.tif", "A 1677-2023")</f>
        <v/>
      </c>
      <c r="AA211">
        <f>HYPERLINK("https://klasma.github.io/Logging_0980/klagomål/A 1677-2023 FSC-klagomål.docx", "A 1677-2023")</f>
        <v/>
      </c>
      <c r="AB211">
        <f>HYPERLINK("https://klasma.github.io/Logging_0980/klagomålsmail/A 1677-2023 FSC-klagomål mail.docx", "A 1677-2023")</f>
        <v/>
      </c>
      <c r="AC211">
        <f>HYPERLINK("https://klasma.github.io/Logging_0980/tillsyn/A 1677-2023 tillsynsbegäran.docx", "A 1677-2023")</f>
        <v/>
      </c>
      <c r="AD211">
        <f>HYPERLINK("https://klasma.github.io/Logging_0980/tillsynsmail/A 1677-2023 tillsynsbegäran mail.docx", "A 1677-2023")</f>
        <v/>
      </c>
    </row>
    <row r="212" ht="15" customHeight="1">
      <c r="A212" t="inlineStr">
        <is>
          <t>A 7637-2025</t>
        </is>
      </c>
      <c r="B212" t="inlineStr">
        <is>
          <t>avverkningsanmälan</t>
        </is>
      </c>
      <c r="C212" t="inlineStr">
        <is>
          <t>Föryngringsavverkning</t>
        </is>
      </c>
      <c r="D212" s="1" t="n">
        <v>45705</v>
      </c>
      <c r="E212" s="1" t="n">
        <v>46321</v>
      </c>
      <c r="F212" t="inlineStr">
        <is>
          <t>GOTLANDS LÄN</t>
        </is>
      </c>
      <c r="G212" t="inlineStr">
        <is>
          <t>GOTLAND</t>
        </is>
      </c>
      <c r="I212" t="n">
        <v>3.7</v>
      </c>
      <c r="J212" t="n">
        <v>0</v>
      </c>
      <c r="K212" t="n">
        <v>0</v>
      </c>
      <c r="L212" t="n">
        <v>0</v>
      </c>
      <c r="M212" t="n">
        <v>0</v>
      </c>
      <c r="N212" t="n">
        <v>1</v>
      </c>
      <c r="O212" t="n">
        <v>0</v>
      </c>
      <c r="P212" t="n">
        <v>0</v>
      </c>
      <c r="Q212" t="n">
        <v>1</v>
      </c>
      <c r="R212" t="n">
        <v>1</v>
      </c>
      <c r="S212" t="n">
        <v>1</v>
      </c>
      <c r="T212" t="n">
        <v>1</v>
      </c>
      <c r="U212" t="n">
        <v>1</v>
      </c>
      <c r="V212" s="2" t="inlineStr">
        <is>
          <t>Skogsalm</t>
        </is>
      </c>
      <c r="W212">
        <f>HYPERLINK("https://klasma.github.io/Logging_0980/artfynd/A 7637-2025 artfynd.xlsx", "A 7637-2025")</f>
        <v/>
      </c>
      <c r="X212">
        <f>HYPERLINK("https://klasma.github.io/Logging_0980/kartor/A 7637-2025 karta.png", "A 7637-2025")</f>
        <v/>
      </c>
      <c r="Y212">
        <f>HYPERLINK("https://klasma.github.io/Logging_0980/kartor_geotiff/A 7637-2025 georefererad karta.tif", "A 7637-2025")</f>
        <v/>
      </c>
      <c r="AA212">
        <f>HYPERLINK("https://klasma.github.io/Logging_0980/klagomål/A 7637-2025 FSC-klagomål.docx", "A 7637-2025")</f>
        <v/>
      </c>
      <c r="AB212">
        <f>HYPERLINK("https://klasma.github.io/Logging_0980/klagomålsmail/A 7637-2025 FSC-klagomål mail.docx", "A 7637-2025")</f>
        <v/>
      </c>
      <c r="AC212">
        <f>HYPERLINK("https://klasma.github.io/Logging_0980/tillsyn/A 7637-2025 tillsynsbegäran.docx", "A 7637-2025")</f>
        <v/>
      </c>
      <c r="AD212">
        <f>HYPERLINK("https://klasma.github.io/Logging_0980/tillsynsmail/A 7637-2025 tillsynsbegäran mail.docx", "A 7637-2025")</f>
        <v/>
      </c>
    </row>
    <row r="213" ht="15" customHeight="1">
      <c r="A213" t="inlineStr">
        <is>
          <t>A 6303-2024</t>
        </is>
      </c>
      <c r="B213" t="inlineStr">
        <is>
          <t>avverkningsanmälan</t>
        </is>
      </c>
      <c r="C213" t="inlineStr">
        <is>
          <t>Föryngringsavverkning</t>
        </is>
      </c>
      <c r="D213" s="1" t="n">
        <v>45338</v>
      </c>
      <c r="E213" s="1" t="n">
        <v>46321</v>
      </c>
      <c r="F213" t="inlineStr">
        <is>
          <t>GOTLANDS LÄN</t>
        </is>
      </c>
      <c r="G213" t="inlineStr">
        <is>
          <t>GOTLAND</t>
        </is>
      </c>
      <c r="I213" t="n">
        <v>0.6</v>
      </c>
      <c r="J213" t="n">
        <v>0</v>
      </c>
      <c r="K213" t="n">
        <v>1</v>
      </c>
      <c r="L213" t="n">
        <v>0</v>
      </c>
      <c r="M213" t="n">
        <v>0</v>
      </c>
      <c r="N213" t="n">
        <v>0</v>
      </c>
      <c r="O213" t="n">
        <v>0</v>
      </c>
      <c r="P213" t="n">
        <v>0</v>
      </c>
      <c r="Q213" t="n">
        <v>0</v>
      </c>
      <c r="R213" t="n">
        <v>0</v>
      </c>
      <c r="S213" t="n">
        <v>1</v>
      </c>
      <c r="T213" t="n">
        <v>1</v>
      </c>
      <c r="U213" t="n">
        <v>1</v>
      </c>
      <c r="V213" s="2" t="inlineStr">
        <is>
          <t>Strävlosta</t>
        </is>
      </c>
      <c r="W213">
        <f>HYPERLINK("https://klasma.github.io/Logging_0980/artfynd/A 6303-2024 artfynd.xlsx", "A 6303-2024")</f>
        <v/>
      </c>
      <c r="X213">
        <f>HYPERLINK("https://klasma.github.io/Logging_0980/kartor/A 6303-2024 karta.png", "A 6303-2024")</f>
        <v/>
      </c>
      <c r="Y213">
        <f>HYPERLINK("https://klasma.github.io/Logging_0980/kartor_geotiff/A 6303-2024 georefererad karta.tif", "A 6303-2024")</f>
        <v/>
      </c>
      <c r="AA213">
        <f>HYPERLINK("https://klasma.github.io/Logging_0980/klagomål/A 6303-2024 FSC-klagomål.docx", "A 6303-2024")</f>
        <v/>
      </c>
      <c r="AB213">
        <f>HYPERLINK("https://klasma.github.io/Logging_0980/klagomålsmail/A 6303-2024 FSC-klagomål mail.docx", "A 6303-2024")</f>
        <v/>
      </c>
      <c r="AC213">
        <f>HYPERLINK("https://klasma.github.io/Logging_0980/tillsyn/A 6303-2024 tillsynsbegäran.docx", "A 6303-2024")</f>
        <v/>
      </c>
      <c r="AD213">
        <f>HYPERLINK("https://klasma.github.io/Logging_0980/tillsynsmail/A 6303-2024 tillsynsbegäran mail.docx", "A 6303-2024")</f>
        <v/>
      </c>
    </row>
    <row r="214" ht="15" customHeight="1">
      <c r="A214" t="inlineStr">
        <is>
          <t>A 40294-2022</t>
        </is>
      </c>
      <c r="B214" t="inlineStr">
        <is>
          <t>avverkningsanmälan</t>
        </is>
      </c>
      <c r="C214" t="inlineStr">
        <is>
          <t>Föryngringsavverkning</t>
        </is>
      </c>
      <c r="D214" s="1" t="n">
        <v>44821</v>
      </c>
      <c r="E214" s="1" t="n">
        <v>46321</v>
      </c>
      <c r="F214" t="inlineStr">
        <is>
          <t>GOTLANDS LÄN</t>
        </is>
      </c>
      <c r="G214" t="inlineStr">
        <is>
          <t>GOTLAND</t>
        </is>
      </c>
      <c r="I214" t="n">
        <v>1.6</v>
      </c>
      <c r="J214" t="n">
        <v>0</v>
      </c>
      <c r="K214" t="n">
        <v>0</v>
      </c>
      <c r="L214" t="n">
        <v>0</v>
      </c>
      <c r="M214" t="n">
        <v>1</v>
      </c>
      <c r="N214" t="n">
        <v>0</v>
      </c>
      <c r="O214" t="n">
        <v>0</v>
      </c>
      <c r="P214" t="n">
        <v>0</v>
      </c>
      <c r="Q214" t="n">
        <v>1</v>
      </c>
      <c r="R214" t="n">
        <v>1</v>
      </c>
      <c r="S214" t="n">
        <v>1</v>
      </c>
      <c r="T214" t="n">
        <v>1</v>
      </c>
      <c r="U214" t="n">
        <v>1</v>
      </c>
      <c r="V214" s="2" t="inlineStr">
        <is>
          <t>Gotlandsmåra</t>
        </is>
      </c>
      <c r="W214">
        <f>HYPERLINK("https://klasma.github.io/Logging_0980/artfynd/A 40294-2022 artfynd.xlsx", "A 40294-2022")</f>
        <v/>
      </c>
      <c r="X214">
        <f>HYPERLINK("https://klasma.github.io/Logging_0980/kartor/A 40294-2022 karta.png", "A 40294-2022")</f>
        <v/>
      </c>
      <c r="Y214">
        <f>HYPERLINK("https://klasma.github.io/Logging_0980/kartor_geotiff/A 40294-2022 georefererad karta.tif", "A 40294-2022")</f>
        <v/>
      </c>
      <c r="AA214">
        <f>HYPERLINK("https://klasma.github.io/Logging_0980/klagomål/A 40294-2022 FSC-klagomål.docx", "A 40294-2022")</f>
        <v/>
      </c>
      <c r="AB214">
        <f>HYPERLINK("https://klasma.github.io/Logging_0980/klagomålsmail/A 40294-2022 FSC-klagomål mail.docx", "A 40294-2022")</f>
        <v/>
      </c>
      <c r="AC214">
        <f>HYPERLINK("https://klasma.github.io/Logging_0980/tillsyn/A 40294-2022 tillsynsbegäran.docx", "A 40294-2022")</f>
        <v/>
      </c>
      <c r="AD214">
        <f>HYPERLINK("https://klasma.github.io/Logging_0980/tillsynsmail/A 40294-2022 tillsynsbegäran mail.docx", "A 40294-2022")</f>
        <v/>
      </c>
    </row>
    <row r="215" ht="15" customHeight="1">
      <c r="A215" t="inlineStr">
        <is>
          <t>A 1066-2024</t>
        </is>
      </c>
      <c r="B215" t="inlineStr">
        <is>
          <t>avverkningsanmälan</t>
        </is>
      </c>
      <c r="C215" t="inlineStr">
        <is>
          <t>Föryngringsavverkning</t>
        </is>
      </c>
      <c r="D215" s="1" t="n">
        <v>45302</v>
      </c>
      <c r="E215" s="1" t="n">
        <v>46321</v>
      </c>
      <c r="F215" t="inlineStr">
        <is>
          <t>GOTLANDS LÄN</t>
        </is>
      </c>
      <c r="G215" t="inlineStr">
        <is>
          <t>GOTLAND</t>
        </is>
      </c>
      <c r="I215" t="n">
        <v>1.4</v>
      </c>
      <c r="J215" t="n">
        <v>0</v>
      </c>
      <c r="K215" t="n">
        <v>0</v>
      </c>
      <c r="L215" t="n">
        <v>1</v>
      </c>
      <c r="M215" t="n">
        <v>0</v>
      </c>
      <c r="N215" t="n">
        <v>0</v>
      </c>
      <c r="O215" t="n">
        <v>0</v>
      </c>
      <c r="P215" t="n">
        <v>0</v>
      </c>
      <c r="Q215" t="n">
        <v>1</v>
      </c>
      <c r="R215" t="n">
        <v>0</v>
      </c>
      <c r="S215" t="n">
        <v>1</v>
      </c>
      <c r="T215" t="n">
        <v>1</v>
      </c>
      <c r="U215" t="n">
        <v>1</v>
      </c>
      <c r="V215" s="2" t="inlineStr">
        <is>
          <t>Svinrot</t>
        </is>
      </c>
      <c r="W215">
        <f>HYPERLINK("https://klasma.github.io/Logging_0980/artfynd/A 1066-2024 artfynd.xlsx", "A 1066-2024")</f>
        <v/>
      </c>
      <c r="X215">
        <f>HYPERLINK("https://klasma.github.io/Logging_0980/kartor/A 1066-2024 karta.png", "A 1066-2024")</f>
        <v/>
      </c>
      <c r="Y215">
        <f>HYPERLINK("https://klasma.github.io/Logging_0980/kartor_geotiff/A 1066-2024 georefererad karta.tif", "A 1066-2024")</f>
        <v/>
      </c>
      <c r="AA215">
        <f>HYPERLINK("https://klasma.github.io/Logging_0980/klagomål/A 1066-2024 FSC-klagomål.docx", "A 1066-2024")</f>
        <v/>
      </c>
      <c r="AB215">
        <f>HYPERLINK("https://klasma.github.io/Logging_0980/klagomålsmail/A 1066-2024 FSC-klagomål mail.docx", "A 1066-2024")</f>
        <v/>
      </c>
      <c r="AC215">
        <f>HYPERLINK("https://klasma.github.io/Logging_0980/tillsyn/A 1066-2024 tillsynsbegäran.docx", "A 1066-2024")</f>
        <v/>
      </c>
      <c r="AD215">
        <f>HYPERLINK("https://klasma.github.io/Logging_0980/tillsynsmail/A 1066-2024 tillsynsbegäran mail.docx", "A 1066-2024")</f>
        <v/>
      </c>
    </row>
    <row r="216" ht="15" customHeight="1">
      <c r="A216" t="inlineStr">
        <is>
          <t>S 2744-2023</t>
        </is>
      </c>
      <c r="B216" t="inlineStr">
        <is>
          <t>samrådsanmälan</t>
        </is>
      </c>
      <c r="C216" t="inlineStr">
        <is>
          <t>Annan skogsbruksåtgärd</t>
        </is>
      </c>
      <c r="D216" s="1" t="n">
        <v>45159</v>
      </c>
      <c r="E216" s="1" t="n">
        <v>46321</v>
      </c>
      <c r="F216" t="inlineStr">
        <is>
          <t>GOTLANDS LÄN</t>
        </is>
      </c>
      <c r="G216" t="inlineStr">
        <is>
          <t>GOTLAND</t>
        </is>
      </c>
      <c r="I216" t="n">
        <v>6.6</v>
      </c>
      <c r="J216" t="n">
        <v>1</v>
      </c>
      <c r="K216" t="n">
        <v>0</v>
      </c>
      <c r="L216" t="n">
        <v>0</v>
      </c>
      <c r="M216" t="n">
        <v>1</v>
      </c>
      <c r="N216" t="n">
        <v>0</v>
      </c>
      <c r="O216" t="n">
        <v>0</v>
      </c>
      <c r="P216" t="n">
        <v>0</v>
      </c>
      <c r="Q216" t="n">
        <v>1</v>
      </c>
      <c r="R216" t="n">
        <v>1</v>
      </c>
      <c r="S216" t="n">
        <v>1</v>
      </c>
      <c r="T216" t="n">
        <v>1</v>
      </c>
      <c r="U216" t="n">
        <v>0</v>
      </c>
      <c r="V216" s="2" t="inlineStr">
        <is>
          <t>Hasselsnok</t>
        </is>
      </c>
      <c r="W216">
        <f>HYPERLINK("https://klasma.github.io/Logging_0980/artfynd/S 2744-2023 artfynd.xlsx", "S 2744-2023")</f>
        <v/>
      </c>
      <c r="X216">
        <f>HYPERLINK("https://klasma.github.io/Logging_0980/kartor/S 2744-2023 karta.png", "S 2744-2023")</f>
        <v/>
      </c>
      <c r="Y216">
        <f>HYPERLINK("https://klasma.github.io/Logging_0980/kartor_geotiff/S 2744-2023 georefererad karta.tif", "S 2744-2023")</f>
        <v/>
      </c>
      <c r="AA216">
        <f>HYPERLINK("https://klasma.github.io/Logging_0980/klagomål/S 2744-2023 FSC-klagomål.docx", "S 2744-2023")</f>
        <v/>
      </c>
      <c r="AB216">
        <f>HYPERLINK("https://klasma.github.io/Logging_0980/klagomålsmail/S 2744-2023 FSC-klagomål mail.docx", "S 2744-2023")</f>
        <v/>
      </c>
      <c r="AC216">
        <f>HYPERLINK("https://klasma.github.io/Logging_0980/tillsyn/S 2744-2023 tillsynsbegäran.docx", "S 2744-2023")</f>
        <v/>
      </c>
      <c r="AD216">
        <f>HYPERLINK("https://klasma.github.io/Logging_0980/tillsynsmail/S 2744-2023 tillsynsbegäran mail.docx", "S 2744-2023")</f>
        <v/>
      </c>
    </row>
    <row r="217" ht="15" customHeight="1">
      <c r="A217" t="inlineStr">
        <is>
          <t>S 6736-2022</t>
        </is>
      </c>
      <c r="B217" t="inlineStr">
        <is>
          <t>samrådsanmälan</t>
        </is>
      </c>
      <c r="C217" t="inlineStr">
        <is>
          <t>Annan skogsbruksåtgärd</t>
        </is>
      </c>
      <c r="D217" s="1" t="n">
        <v>44889</v>
      </c>
      <c r="E217" s="1" t="n">
        <v>46321</v>
      </c>
      <c r="F217" t="inlineStr">
        <is>
          <t>GOTLANDS LÄN</t>
        </is>
      </c>
      <c r="G217" t="inlineStr">
        <is>
          <t>GOTLAND</t>
        </is>
      </c>
      <c r="I217" t="n">
        <v>0.7</v>
      </c>
      <c r="J217" t="n">
        <v>0</v>
      </c>
      <c r="K217" t="n">
        <v>0</v>
      </c>
      <c r="L217" t="n">
        <v>0</v>
      </c>
      <c r="M217" t="n">
        <v>1</v>
      </c>
      <c r="N217" t="n">
        <v>0</v>
      </c>
      <c r="O217" t="n">
        <v>0</v>
      </c>
      <c r="P217" t="n">
        <v>0</v>
      </c>
      <c r="Q217" t="n">
        <v>1</v>
      </c>
      <c r="R217" t="n">
        <v>1</v>
      </c>
      <c r="S217" t="n">
        <v>1</v>
      </c>
      <c r="T217" t="n">
        <v>1</v>
      </c>
      <c r="U217" t="n">
        <v>0</v>
      </c>
      <c r="V217" s="2" t="inlineStr">
        <is>
          <t>Violettfläckig spindling</t>
        </is>
      </c>
      <c r="W217">
        <f>HYPERLINK("https://klasma.github.io/Logging_0980/artfynd/S 6736-2022 artfynd.xlsx", "S 6736-2022")</f>
        <v/>
      </c>
      <c r="X217">
        <f>HYPERLINK("https://klasma.github.io/Logging_0980/kartor/S 6736-2022 karta.png", "S 6736-2022")</f>
        <v/>
      </c>
      <c r="Y217">
        <f>HYPERLINK("https://klasma.github.io/Logging_0980/kartor_geotiff/S 6736-2022 georefererad karta.tif", "S 6736-2022")</f>
        <v/>
      </c>
      <c r="AA217">
        <f>HYPERLINK("https://klasma.github.io/Logging_0980/klagomål/S 6736-2022 FSC-klagomål.docx", "S 6736-2022")</f>
        <v/>
      </c>
      <c r="AB217">
        <f>HYPERLINK("https://klasma.github.io/Logging_0980/klagomålsmail/S 6736-2022 FSC-klagomål mail.docx", "S 6736-2022")</f>
        <v/>
      </c>
      <c r="AC217">
        <f>HYPERLINK("https://klasma.github.io/Logging_0980/tillsyn/S 6736-2022 tillsynsbegäran.docx", "S 6736-2022")</f>
        <v/>
      </c>
      <c r="AD217">
        <f>HYPERLINK("https://klasma.github.io/Logging_0980/tillsynsmail/S 6736-2022 tillsynsbegäran mail.docx", "S 6736-2022")</f>
        <v/>
      </c>
    </row>
    <row r="218" ht="15" customHeight="1">
      <c r="A218" t="inlineStr">
        <is>
          <t>S 5258-2022</t>
        </is>
      </c>
      <c r="B218" t="inlineStr">
        <is>
          <t>samrådsanmälan</t>
        </is>
      </c>
      <c r="C218" t="inlineStr">
        <is>
          <t>Annan skogsbruksåtgärd</t>
        </is>
      </c>
      <c r="D218" s="1" t="n">
        <v>44824</v>
      </c>
      <c r="E218" s="1" t="n">
        <v>46321</v>
      </c>
      <c r="F218" t="inlineStr">
        <is>
          <t>GOTLANDS LÄN</t>
        </is>
      </c>
      <c r="G218" t="inlineStr">
        <is>
          <t>GOTLAND</t>
        </is>
      </c>
      <c r="I218" t="n">
        <v>3.3</v>
      </c>
      <c r="J218" t="n">
        <v>0</v>
      </c>
      <c r="K218" t="n">
        <v>1</v>
      </c>
      <c r="L218" t="n">
        <v>0</v>
      </c>
      <c r="M218" t="n">
        <v>0</v>
      </c>
      <c r="N218" t="n">
        <v>0</v>
      </c>
      <c r="O218" t="n">
        <v>0</v>
      </c>
      <c r="P218" t="n">
        <v>0</v>
      </c>
      <c r="Q218" t="n">
        <v>0</v>
      </c>
      <c r="R218" t="n">
        <v>0</v>
      </c>
      <c r="S218" t="n">
        <v>1</v>
      </c>
      <c r="T218" t="n">
        <v>1</v>
      </c>
      <c r="U218" t="n">
        <v>0</v>
      </c>
      <c r="V218" s="2" t="inlineStr">
        <is>
          <t>Underviol</t>
        </is>
      </c>
      <c r="W218">
        <f>HYPERLINK("https://klasma.github.io/Logging_0980/artfynd/S 5258-2022 artfynd.xlsx", "S 5258-2022")</f>
        <v/>
      </c>
      <c r="X218">
        <f>HYPERLINK("https://klasma.github.io/Logging_0980/kartor/S 5258-2022 karta.png", "S 5258-2022")</f>
        <v/>
      </c>
      <c r="Y218">
        <f>HYPERLINK("https://klasma.github.io/Logging_0980/kartor_geotiff/S 5258-2022 georefererad karta.tif", "S 5258-2022")</f>
        <v/>
      </c>
      <c r="AA218">
        <f>HYPERLINK("https://klasma.github.io/Logging_0980/klagomål/S 5258-2022 FSC-klagomål.docx", "S 5258-2022")</f>
        <v/>
      </c>
      <c r="AB218">
        <f>HYPERLINK("https://klasma.github.io/Logging_0980/klagomålsmail/S 5258-2022 FSC-klagomål mail.docx", "S 5258-2022")</f>
        <v/>
      </c>
      <c r="AC218">
        <f>HYPERLINK("https://klasma.github.io/Logging_0980/tillsyn/S 5258-2022 tillsynsbegäran.docx", "S 5258-2022")</f>
        <v/>
      </c>
      <c r="AD218">
        <f>HYPERLINK("https://klasma.github.io/Logging_0980/tillsynsmail/S 5258-2022 tillsynsbegäran mail.docx", "S 5258-2022")</f>
        <v/>
      </c>
    </row>
    <row r="219" ht="15" customHeight="1">
      <c r="A219" t="inlineStr">
        <is>
          <t>S 321-2025</t>
        </is>
      </c>
      <c r="B219" t="inlineStr">
        <is>
          <t>samrådsanmälan</t>
        </is>
      </c>
      <c r="C219" t="inlineStr">
        <is>
          <t>Annan skogsbruksåtgärd</t>
        </is>
      </c>
      <c r="D219" s="1" t="n">
        <v>45688</v>
      </c>
      <c r="E219" s="1" t="n">
        <v>46321</v>
      </c>
      <c r="F219" t="inlineStr">
        <is>
          <t>GOTLANDS LÄN</t>
        </is>
      </c>
      <c r="G219" t="inlineStr">
        <is>
          <t>GOTLAND</t>
        </is>
      </c>
      <c r="I219" t="n">
        <v>13.5</v>
      </c>
      <c r="J219" t="n">
        <v>0</v>
      </c>
      <c r="K219" t="n">
        <v>0</v>
      </c>
      <c r="L219" t="n">
        <v>0</v>
      </c>
      <c r="M219" t="n">
        <v>1</v>
      </c>
      <c r="N219" t="n">
        <v>0</v>
      </c>
      <c r="O219" t="n">
        <v>0</v>
      </c>
      <c r="P219" t="n">
        <v>0</v>
      </c>
      <c r="Q219" t="n">
        <v>1</v>
      </c>
      <c r="R219" t="n">
        <v>1</v>
      </c>
      <c r="S219" t="n">
        <v>1</v>
      </c>
      <c r="T219" t="n">
        <v>1</v>
      </c>
      <c r="U219" t="n">
        <v>1</v>
      </c>
      <c r="V219" s="2" t="inlineStr">
        <is>
          <t>Gotlandsmåra</t>
        </is>
      </c>
      <c r="W219">
        <f>HYPERLINK("https://klasma.github.io/Logging_0980/artfynd/S 321-2025 artfynd.xlsx", "S 321-2025")</f>
        <v/>
      </c>
      <c r="X219">
        <f>HYPERLINK("https://klasma.github.io/Logging_0980/kartor/S 321-2025 karta.png", "S 321-2025")</f>
        <v/>
      </c>
      <c r="Y219">
        <f>HYPERLINK("https://klasma.github.io/Logging_0980/kartor_geotiff/S 321-2025 georefererad karta.tif", "S 321-2025")</f>
        <v/>
      </c>
      <c r="AA219">
        <f>HYPERLINK("https://klasma.github.io/Logging_0980/klagomål/S 321-2025 FSC-klagomål.docx", "S 321-2025")</f>
        <v/>
      </c>
      <c r="AB219">
        <f>HYPERLINK("https://klasma.github.io/Logging_0980/klagomålsmail/S 321-2025 FSC-klagomål mail.docx", "S 321-2025")</f>
        <v/>
      </c>
      <c r="AC219">
        <f>HYPERLINK("https://klasma.github.io/Logging_0980/tillsyn/S 321-2025 tillsynsbegäran.docx", "S 321-2025")</f>
        <v/>
      </c>
      <c r="AD219">
        <f>HYPERLINK("https://klasma.github.io/Logging_0980/tillsynsmail/S 321-2025 tillsynsbegäran mail.docx", "S 321-2025")</f>
        <v/>
      </c>
    </row>
    <row r="220" ht="15" customHeight="1">
      <c r="A220" t="inlineStr">
        <is>
          <t>S 1883-2026</t>
        </is>
      </c>
      <c r="B220" t="inlineStr">
        <is>
          <t>samrådsanmälan</t>
        </is>
      </c>
      <c r="C220" t="inlineStr">
        <is>
          <t>Annan skogsbruksåtgärd</t>
        </is>
      </c>
      <c r="D220" s="1" t="n">
        <v>46202</v>
      </c>
      <c r="E220" s="1" t="n">
        <v>46321</v>
      </c>
      <c r="F220" t="inlineStr">
        <is>
          <t>GOTLANDS LÄN</t>
        </is>
      </c>
      <c r="G220" t="inlineStr">
        <is>
          <t>GOTLAND</t>
        </is>
      </c>
      <c r="I220" t="n">
        <v>2.5</v>
      </c>
      <c r="J220" t="n">
        <v>0</v>
      </c>
      <c r="K220" t="n">
        <v>0</v>
      </c>
      <c r="L220" t="n">
        <v>1</v>
      </c>
      <c r="M220" t="n">
        <v>0</v>
      </c>
      <c r="N220" t="n">
        <v>0</v>
      </c>
      <c r="O220" t="n">
        <v>0</v>
      </c>
      <c r="P220" t="n">
        <v>0</v>
      </c>
      <c r="Q220" t="n">
        <v>1</v>
      </c>
      <c r="R220" t="n">
        <v>0</v>
      </c>
      <c r="S220" t="n">
        <v>1</v>
      </c>
      <c r="T220" t="n">
        <v>1</v>
      </c>
      <c r="U220" t="n">
        <v>0</v>
      </c>
      <c r="V220" s="2" t="inlineStr">
        <is>
          <t>Tallticka</t>
        </is>
      </c>
      <c r="W220">
        <f>HYPERLINK("https://klasma.github.io/Logging_0980/artfynd/S 1883-2026 artfynd.xlsx", "S 1883-2026")</f>
        <v/>
      </c>
      <c r="X220">
        <f>HYPERLINK("https://klasma.github.io/Logging_0980/kartor/S 1883-2026 karta.png", "S 1883-2026")</f>
        <v/>
      </c>
      <c r="Y220">
        <f>HYPERLINK("https://klasma.github.io/Logging_0980/kartor_geotiff/S 1883-2026 georefererad karta.tif", "S 1883-2026")</f>
        <v/>
      </c>
      <c r="AA220">
        <f>HYPERLINK("https://klasma.github.io/Logging_0980/klagomål/S 1883-2026 FSC-klagomål.docx", "S 1883-2026")</f>
        <v/>
      </c>
      <c r="AB220">
        <f>HYPERLINK("https://klasma.github.io/Logging_0980/klagomålsmail/S 1883-2026 FSC-klagomål mail.docx", "S 1883-2026")</f>
        <v/>
      </c>
      <c r="AC220">
        <f>HYPERLINK("https://klasma.github.io/Logging_0980/tillsyn/S 1883-2026 tillsynsbegäran.docx", "S 1883-2026")</f>
        <v/>
      </c>
      <c r="AD220">
        <f>HYPERLINK("https://klasma.github.io/Logging_0980/tillsynsmail/S 1883-2026 tillsynsbegäran mail.docx", "S 1883-2026")</f>
        <v/>
      </c>
    </row>
    <row r="221" ht="15" customHeight="1">
      <c r="A221" t="inlineStr">
        <is>
          <t>A 44108-2022</t>
        </is>
      </c>
      <c r="B221" t="inlineStr">
        <is>
          <t>avverkningsanmälan</t>
        </is>
      </c>
      <c r="C221" t="inlineStr">
        <is>
          <t>Föryngringsavverkning</t>
        </is>
      </c>
      <c r="D221" s="1" t="n">
        <v>44839</v>
      </c>
      <c r="E221" s="1" t="n">
        <v>46321</v>
      </c>
      <c r="F221" t="inlineStr">
        <is>
          <t>GOTLANDS LÄN</t>
        </is>
      </c>
      <c r="G221" t="inlineStr">
        <is>
          <t>GOTLAND</t>
        </is>
      </c>
      <c r="I221" t="n">
        <v>12.9</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16858-2022</t>
        </is>
      </c>
      <c r="B222" t="inlineStr">
        <is>
          <t>avverkningsanmälan</t>
        </is>
      </c>
      <c r="C222" t="inlineStr">
        <is>
          <t>Föryngringsavverkning</t>
        </is>
      </c>
      <c r="D222" s="1" t="n">
        <v>44674</v>
      </c>
      <c r="E222" s="1" t="n">
        <v>46321</v>
      </c>
      <c r="F222" t="inlineStr">
        <is>
          <t>GOTLANDS LÄN</t>
        </is>
      </c>
      <c r="G222" t="inlineStr">
        <is>
          <t>GOTLAND</t>
        </is>
      </c>
      <c r="I222" t="n">
        <v>1.4</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24235-2022</t>
        </is>
      </c>
      <c r="B223" t="inlineStr">
        <is>
          <t>avverkningsanmälan</t>
        </is>
      </c>
      <c r="C223" t="inlineStr">
        <is>
          <t>Avverkning för annat ändamål</t>
        </is>
      </c>
      <c r="D223" s="1" t="n">
        <v>44725</v>
      </c>
      <c r="E223" s="1" t="n">
        <v>46321</v>
      </c>
      <c r="F223" t="inlineStr">
        <is>
          <t>GOTLANDS LÄN</t>
        </is>
      </c>
      <c r="G223" t="inlineStr">
        <is>
          <t>GOTLAND</t>
        </is>
      </c>
      <c r="I223" t="n">
        <v>0.8</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22498-2022</t>
        </is>
      </c>
      <c r="B224" t="inlineStr">
        <is>
          <t>avverkningsanmälan</t>
        </is>
      </c>
      <c r="C224" t="inlineStr">
        <is>
          <t>Föryngringsavverkning</t>
        </is>
      </c>
      <c r="D224" s="1" t="n">
        <v>44713</v>
      </c>
      <c r="E224" s="1" t="n">
        <v>46321</v>
      </c>
      <c r="F224" t="inlineStr">
        <is>
          <t>GOTLANDS LÄN</t>
        </is>
      </c>
      <c r="G224" t="inlineStr">
        <is>
          <t>GOTLAND</t>
        </is>
      </c>
      <c r="I224" t="n">
        <v>0.7</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24123-2022</t>
        </is>
      </c>
      <c r="B225" t="inlineStr">
        <is>
          <t>avverkningsanmälan</t>
        </is>
      </c>
      <c r="C225" t="inlineStr">
        <is>
          <t>Föryngringsavverkning</t>
        </is>
      </c>
      <c r="D225" s="1" t="n">
        <v>44725</v>
      </c>
      <c r="E225" s="1" t="n">
        <v>46321</v>
      </c>
      <c r="F225" t="inlineStr">
        <is>
          <t>GOTLANDS LÄN</t>
        </is>
      </c>
      <c r="G225" t="inlineStr">
        <is>
          <t>GOTLAND</t>
        </is>
      </c>
      <c r="I225" t="n">
        <v>6</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60607-2021</t>
        </is>
      </c>
      <c r="B226" t="inlineStr">
        <is>
          <t>avverkningsanmälan</t>
        </is>
      </c>
      <c r="C226" t="inlineStr">
        <is>
          <t>Föryngringsavverkning</t>
        </is>
      </c>
      <c r="D226" s="1" t="n">
        <v>44496</v>
      </c>
      <c r="E226" s="1" t="n">
        <v>46321</v>
      </c>
      <c r="F226" t="inlineStr">
        <is>
          <t>GOTLANDS LÄN</t>
        </is>
      </c>
      <c r="G226" t="inlineStr">
        <is>
          <t>GOTLAND</t>
        </is>
      </c>
      <c r="I226" t="n">
        <v>0.6</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71010-2021</t>
        </is>
      </c>
      <c r="B227" t="inlineStr">
        <is>
          <t>avverkningsanmälan</t>
        </is>
      </c>
      <c r="C227" t="inlineStr">
        <is>
          <t>Föryngringsavverkning</t>
        </is>
      </c>
      <c r="D227" s="1" t="n">
        <v>44538</v>
      </c>
      <c r="E227" s="1" t="n">
        <v>46321</v>
      </c>
      <c r="F227" t="inlineStr">
        <is>
          <t>GOTLANDS LÄN</t>
        </is>
      </c>
      <c r="G227" t="inlineStr">
        <is>
          <t>GOTLAND</t>
        </is>
      </c>
      <c r="I227" t="n">
        <v>0.5</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22495-2022</t>
        </is>
      </c>
      <c r="B228" t="inlineStr">
        <is>
          <t>avverkningsanmälan</t>
        </is>
      </c>
      <c r="C228" t="inlineStr">
        <is>
          <t>Föryngringsavverkning</t>
        </is>
      </c>
      <c r="D228" s="1" t="n">
        <v>44713</v>
      </c>
      <c r="E228" s="1" t="n">
        <v>46321</v>
      </c>
      <c r="F228" t="inlineStr">
        <is>
          <t>GOTLANDS LÄN</t>
        </is>
      </c>
      <c r="G228" t="inlineStr">
        <is>
          <t>GOTLAND</t>
        </is>
      </c>
      <c r="I228" t="n">
        <v>0.5</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44942-2022</t>
        </is>
      </c>
      <c r="B229" t="inlineStr">
        <is>
          <t>avverkningsanmälan</t>
        </is>
      </c>
      <c r="C229" t="inlineStr">
        <is>
          <t>Föryngringsavverkning</t>
        </is>
      </c>
      <c r="D229" s="1" t="n">
        <v>44841</v>
      </c>
      <c r="E229" s="1" t="n">
        <v>46321</v>
      </c>
      <c r="F229" t="inlineStr">
        <is>
          <t>GOTLANDS LÄN</t>
        </is>
      </c>
      <c r="G229" t="inlineStr">
        <is>
          <t>GOTLAND</t>
        </is>
      </c>
      <c r="I229" t="n">
        <v>2</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53225-2022</t>
        </is>
      </c>
      <c r="B230" t="inlineStr">
        <is>
          <t>avverkningsanmälan</t>
        </is>
      </c>
      <c r="C230" t="inlineStr">
        <is>
          <t>Föryngringsavverkning</t>
        </is>
      </c>
      <c r="D230" s="1" t="n">
        <v>44876</v>
      </c>
      <c r="E230" s="1" t="n">
        <v>46321</v>
      </c>
      <c r="F230" t="inlineStr">
        <is>
          <t>GOTLANDS LÄN</t>
        </is>
      </c>
      <c r="G230" t="inlineStr">
        <is>
          <t>GOTLAND</t>
        </is>
      </c>
      <c r="H230" t="inlineStr">
        <is>
          <t>Kyrkan</t>
        </is>
      </c>
      <c r="I230" t="n">
        <v>0.9</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65393-2021</t>
        </is>
      </c>
      <c r="B231" t="inlineStr">
        <is>
          <t>avverkningsanmälan</t>
        </is>
      </c>
      <c r="C231" t="inlineStr">
        <is>
          <t>Föryngringsavverkning</t>
        </is>
      </c>
      <c r="D231" s="1" t="n">
        <v>44515</v>
      </c>
      <c r="E231" s="1" t="n">
        <v>46321</v>
      </c>
      <c r="F231" t="inlineStr">
        <is>
          <t>GOTLANDS LÄN</t>
        </is>
      </c>
      <c r="G231" t="inlineStr">
        <is>
          <t>GOTLAND</t>
        </is>
      </c>
      <c r="I231" t="n">
        <v>1.1</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14413-2022</t>
        </is>
      </c>
      <c r="B232" t="inlineStr">
        <is>
          <t>avverkningsanmälan</t>
        </is>
      </c>
      <c r="C232" t="inlineStr">
        <is>
          <t>Avverkning för annat ändamål</t>
        </is>
      </c>
      <c r="D232" s="1" t="n">
        <v>44652</v>
      </c>
      <c r="E232" s="1" t="n">
        <v>46321</v>
      </c>
      <c r="F232" t="inlineStr">
        <is>
          <t>GOTLANDS LÄN</t>
        </is>
      </c>
      <c r="G232" t="inlineStr">
        <is>
          <t>GOTLAND</t>
        </is>
      </c>
      <c r="I232" t="n">
        <v>3.1</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13498-2022</t>
        </is>
      </c>
      <c r="B233" t="inlineStr">
        <is>
          <t>avverkningsanmälan</t>
        </is>
      </c>
      <c r="C233" t="inlineStr">
        <is>
          <t>Föryngringsavverkning</t>
        </is>
      </c>
      <c r="D233" s="1" t="n">
        <v>44647</v>
      </c>
      <c r="E233" s="1" t="n">
        <v>46321</v>
      </c>
      <c r="F233" t="inlineStr">
        <is>
          <t>GOTLANDS LÄN</t>
        </is>
      </c>
      <c r="G233" t="inlineStr">
        <is>
          <t>GOTLAND</t>
        </is>
      </c>
      <c r="I233" t="n">
        <v>1.2</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13500-2022</t>
        </is>
      </c>
      <c r="B234" t="inlineStr">
        <is>
          <t>avverkningsanmälan</t>
        </is>
      </c>
      <c r="C234" t="inlineStr">
        <is>
          <t>Föryngringsavverkning</t>
        </is>
      </c>
      <c r="D234" s="1" t="n">
        <v>44647</v>
      </c>
      <c r="E234" s="1" t="n">
        <v>46321</v>
      </c>
      <c r="F234" t="inlineStr">
        <is>
          <t>GOTLANDS LÄN</t>
        </is>
      </c>
      <c r="G234" t="inlineStr">
        <is>
          <t>GOTLAND</t>
        </is>
      </c>
      <c r="I234" t="n">
        <v>1.2</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64555-2023</t>
        </is>
      </c>
      <c r="B235" t="inlineStr">
        <is>
          <t>avverkningsanmälan</t>
        </is>
      </c>
      <c r="C235" t="inlineStr">
        <is>
          <t>Avverkning för annat ändamål</t>
        </is>
      </c>
      <c r="D235" s="1" t="n">
        <v>45281</v>
      </c>
      <c r="E235" s="1" t="n">
        <v>46321</v>
      </c>
      <c r="F235" t="inlineStr">
        <is>
          <t>GOTLANDS LÄN</t>
        </is>
      </c>
      <c r="G235" t="inlineStr">
        <is>
          <t>GOTLAND</t>
        </is>
      </c>
      <c r="I235" t="n">
        <v>3.5</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64831-2023</t>
        </is>
      </c>
      <c r="B236" t="inlineStr">
        <is>
          <t>avverkningsanmälan</t>
        </is>
      </c>
      <c r="C236" t="inlineStr">
        <is>
          <t>Föryngringsavverkning</t>
        </is>
      </c>
      <c r="D236" s="1" t="n">
        <v>45282</v>
      </c>
      <c r="E236" s="1" t="n">
        <v>46321</v>
      </c>
      <c r="F236" t="inlineStr">
        <is>
          <t>GOTLANDS LÄN</t>
        </is>
      </c>
      <c r="G236" t="inlineStr">
        <is>
          <t>GOTLAND</t>
        </is>
      </c>
      <c r="I236" t="n">
        <v>1.9</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12599-2025</t>
        </is>
      </c>
      <c r="B237" t="inlineStr">
        <is>
          <t>avverkningsanmälan</t>
        </is>
      </c>
      <c r="C237" t="inlineStr">
        <is>
          <t>Föryngringsavverkning</t>
        </is>
      </c>
      <c r="D237" s="1" t="n">
        <v>45733</v>
      </c>
      <c r="E237" s="1" t="n">
        <v>46321</v>
      </c>
      <c r="F237" t="inlineStr">
        <is>
          <t>GOTLANDS LÄN</t>
        </is>
      </c>
      <c r="G237" t="inlineStr">
        <is>
          <t>GOTLAND</t>
        </is>
      </c>
      <c r="I237" t="n">
        <v>4.7</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35141-2025</t>
        </is>
      </c>
      <c r="B238" t="inlineStr">
        <is>
          <t>avverkningsanmälan</t>
        </is>
      </c>
      <c r="C238" t="inlineStr">
        <is>
          <t>Föryngringsavverkning</t>
        </is>
      </c>
      <c r="D238" s="1" t="n">
        <v>45852</v>
      </c>
      <c r="E238" s="1" t="n">
        <v>46321</v>
      </c>
      <c r="F238" t="inlineStr">
        <is>
          <t>GOTLANDS LÄN</t>
        </is>
      </c>
      <c r="G238" t="inlineStr">
        <is>
          <t>GOTLAND</t>
        </is>
      </c>
      <c r="I238" t="n">
        <v>1</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35142-2025</t>
        </is>
      </c>
      <c r="B239" t="inlineStr">
        <is>
          <t>avverkningsanmälan</t>
        </is>
      </c>
      <c r="C239" t="inlineStr">
        <is>
          <t>Föryngringsavverkning</t>
        </is>
      </c>
      <c r="D239" s="1" t="n">
        <v>45852</v>
      </c>
      <c r="E239" s="1" t="n">
        <v>46321</v>
      </c>
      <c r="F239" t="inlineStr">
        <is>
          <t>GOTLANDS LÄN</t>
        </is>
      </c>
      <c r="G239" t="inlineStr">
        <is>
          <t>GOTLAND</t>
        </is>
      </c>
      <c r="I239" t="n">
        <v>2.4</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30282-2022</t>
        </is>
      </c>
      <c r="B240" t="inlineStr">
        <is>
          <t>avverkningsanmälan</t>
        </is>
      </c>
      <c r="C240" t="inlineStr">
        <is>
          <t>Föryngringsavverkning</t>
        </is>
      </c>
      <c r="D240" s="1" t="n">
        <v>44760</v>
      </c>
      <c r="E240" s="1" t="n">
        <v>46321</v>
      </c>
      <c r="F240" t="inlineStr">
        <is>
          <t>GOTLANDS LÄN</t>
        </is>
      </c>
      <c r="G240" t="inlineStr">
        <is>
          <t>GOTLAND</t>
        </is>
      </c>
      <c r="I240" t="n">
        <v>2.6</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20356-2022</t>
        </is>
      </c>
      <c r="B241" t="inlineStr">
        <is>
          <t>avverkningsanmälan</t>
        </is>
      </c>
      <c r="C241" t="inlineStr">
        <is>
          <t>Avverkning för annat ändamål</t>
        </is>
      </c>
      <c r="D241" s="1" t="n">
        <v>44699</v>
      </c>
      <c r="E241" s="1" t="n">
        <v>46321</v>
      </c>
      <c r="F241" t="inlineStr">
        <is>
          <t>GOTLANDS LÄN</t>
        </is>
      </c>
      <c r="G241" t="inlineStr">
        <is>
          <t>GOTLAND</t>
        </is>
      </c>
      <c r="H241" t="inlineStr">
        <is>
          <t>Övriga Aktiebolag</t>
        </is>
      </c>
      <c r="I241" t="n">
        <v>4.4</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39816-2025</t>
        </is>
      </c>
      <c r="B242" t="inlineStr">
        <is>
          <t>avverkningsanmälan</t>
        </is>
      </c>
      <c r="C242" t="inlineStr">
        <is>
          <t>Föryngringsavverkning</t>
        </is>
      </c>
      <c r="D242" s="1" t="n">
        <v>45891</v>
      </c>
      <c r="E242" s="1" t="n">
        <v>46321</v>
      </c>
      <c r="F242" t="inlineStr">
        <is>
          <t>GOTLANDS LÄN</t>
        </is>
      </c>
      <c r="G242" t="inlineStr">
        <is>
          <t>GOTLAND</t>
        </is>
      </c>
      <c r="I242" t="n">
        <v>0.9</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40373-2025</t>
        </is>
      </c>
      <c r="B243" t="inlineStr">
        <is>
          <t>avverkningsanmälan</t>
        </is>
      </c>
      <c r="C243" t="inlineStr">
        <is>
          <t>Föryngringsavverkning</t>
        </is>
      </c>
      <c r="D243" s="1" t="n">
        <v>45895</v>
      </c>
      <c r="E243" s="1" t="n">
        <v>46321</v>
      </c>
      <c r="F243" t="inlineStr">
        <is>
          <t>GOTLANDS LÄN</t>
        </is>
      </c>
      <c r="G243" t="inlineStr">
        <is>
          <t>GOTLAND</t>
        </is>
      </c>
      <c r="I243" t="n">
        <v>0.6</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4377-2023</t>
        </is>
      </c>
      <c r="B244" t="inlineStr">
        <is>
          <t>avverkningsanmälan</t>
        </is>
      </c>
      <c r="C244" t="inlineStr">
        <is>
          <t>Föryngringsavverkning</t>
        </is>
      </c>
      <c r="D244" s="1" t="n">
        <v>44955</v>
      </c>
      <c r="E244" s="1" t="n">
        <v>46321</v>
      </c>
      <c r="F244" t="inlineStr">
        <is>
          <t>GOTLANDS LÄN</t>
        </is>
      </c>
      <c r="G244" t="inlineStr">
        <is>
          <t>GOTLAND</t>
        </is>
      </c>
      <c r="H244" t="inlineStr">
        <is>
          <t>Kyrkan</t>
        </is>
      </c>
      <c r="I244" t="n">
        <v>0.6</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4387-2023</t>
        </is>
      </c>
      <c r="B245" t="inlineStr">
        <is>
          <t>avverkningsanmälan</t>
        </is>
      </c>
      <c r="C245" t="inlineStr">
        <is>
          <t>Föryngringsavverkning</t>
        </is>
      </c>
      <c r="D245" s="1" t="n">
        <v>44955</v>
      </c>
      <c r="E245" s="1" t="n">
        <v>46321</v>
      </c>
      <c r="F245" t="inlineStr">
        <is>
          <t>GOTLANDS LÄN</t>
        </is>
      </c>
      <c r="G245" t="inlineStr">
        <is>
          <t>GOTLAND</t>
        </is>
      </c>
      <c r="I245" t="n">
        <v>1.9</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39479-2022</t>
        </is>
      </c>
      <c r="B246" t="inlineStr">
        <is>
          <t>avverkningsanmälan</t>
        </is>
      </c>
      <c r="C246" t="inlineStr">
        <is>
          <t>Föryngringsavverkning</t>
        </is>
      </c>
      <c r="D246" s="1" t="n">
        <v>44818</v>
      </c>
      <c r="E246" s="1" t="n">
        <v>46321</v>
      </c>
      <c r="F246" t="inlineStr">
        <is>
          <t>GOTLANDS LÄN</t>
        </is>
      </c>
      <c r="G246" t="inlineStr">
        <is>
          <t>GOTLAND</t>
        </is>
      </c>
      <c r="I246" t="n">
        <v>1.1</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51963-2024</t>
        </is>
      </c>
      <c r="B247" t="inlineStr">
        <is>
          <t>avverkningsanmälan</t>
        </is>
      </c>
      <c r="C247" t="inlineStr">
        <is>
          <t>Föryngringsavverkning</t>
        </is>
      </c>
      <c r="D247" s="1" t="n">
        <v>45607</v>
      </c>
      <c r="E247" s="1" t="n">
        <v>46321</v>
      </c>
      <c r="F247" t="inlineStr">
        <is>
          <t>GOTLANDS LÄN</t>
        </is>
      </c>
      <c r="G247" t="inlineStr">
        <is>
          <t>GOTLAND</t>
        </is>
      </c>
      <c r="I247" t="n">
        <v>2.4</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811-2023</t>
        </is>
      </c>
      <c r="B248" t="inlineStr">
        <is>
          <t>avverkningsanmälan</t>
        </is>
      </c>
      <c r="C248" t="inlineStr">
        <is>
          <t>Föryngringsavverkning</t>
        </is>
      </c>
      <c r="D248" s="1" t="n">
        <v>44931</v>
      </c>
      <c r="E248" s="1" t="n">
        <v>46321</v>
      </c>
      <c r="F248" t="inlineStr">
        <is>
          <t>GOTLANDS LÄN</t>
        </is>
      </c>
      <c r="G248" t="inlineStr">
        <is>
          <t>GOTLAND</t>
        </is>
      </c>
      <c r="I248" t="n">
        <v>0.6</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5923-2023</t>
        </is>
      </c>
      <c r="B249" t="inlineStr">
        <is>
          <t>avverkningsanmälan</t>
        </is>
      </c>
      <c r="C249" t="inlineStr">
        <is>
          <t>Föryngringsavverkning</t>
        </is>
      </c>
      <c r="D249" s="1" t="n">
        <v>44963</v>
      </c>
      <c r="E249" s="1" t="n">
        <v>46321</v>
      </c>
      <c r="F249" t="inlineStr">
        <is>
          <t>GOTLANDS LÄN</t>
        </is>
      </c>
      <c r="G249" t="inlineStr">
        <is>
          <t>GOTLAND</t>
        </is>
      </c>
      <c r="I249" t="n">
        <v>2.6</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18918-2025</t>
        </is>
      </c>
      <c r="B250" t="inlineStr">
        <is>
          <t>avverkningsanmälan</t>
        </is>
      </c>
      <c r="C250" t="inlineStr">
        <is>
          <t>Avverkning för annat ändamål</t>
        </is>
      </c>
      <c r="D250" s="1" t="n">
        <v>45764</v>
      </c>
      <c r="E250" s="1" t="n">
        <v>46321</v>
      </c>
      <c r="F250" t="inlineStr">
        <is>
          <t>GOTLANDS LÄN</t>
        </is>
      </c>
      <c r="G250" t="inlineStr">
        <is>
          <t>GOTLAND</t>
        </is>
      </c>
      <c r="I250" t="n">
        <v>1.7</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2674-2023</t>
        </is>
      </c>
      <c r="B251" t="inlineStr">
        <is>
          <t>avverkningsanmälan</t>
        </is>
      </c>
      <c r="C251" t="inlineStr">
        <is>
          <t>Avverkning för annat ändamål</t>
        </is>
      </c>
      <c r="D251" s="1" t="n">
        <v>44944</v>
      </c>
      <c r="E251" s="1" t="n">
        <v>46321</v>
      </c>
      <c r="F251" t="inlineStr">
        <is>
          <t>GOTLANDS LÄN</t>
        </is>
      </c>
      <c r="G251" t="inlineStr">
        <is>
          <t>GOTLAND</t>
        </is>
      </c>
      <c r="I251" t="n">
        <v>2.5</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43951-2025</t>
        </is>
      </c>
      <c r="B252" t="inlineStr">
        <is>
          <t>avverkningsanmälan</t>
        </is>
      </c>
      <c r="C252" t="inlineStr">
        <is>
          <t>Föryngringsavverkning</t>
        </is>
      </c>
      <c r="D252" s="1" t="n">
        <v>45915</v>
      </c>
      <c r="E252" s="1" t="n">
        <v>46321</v>
      </c>
      <c r="F252" t="inlineStr">
        <is>
          <t>GOTLANDS LÄN</t>
        </is>
      </c>
      <c r="G252" t="inlineStr">
        <is>
          <t>GOTLAND</t>
        </is>
      </c>
      <c r="I252" t="n">
        <v>4.4</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10655-2023</t>
        </is>
      </c>
      <c r="B253" t="inlineStr">
        <is>
          <t>avverkningsanmälan</t>
        </is>
      </c>
      <c r="C253" t="inlineStr">
        <is>
          <t>Föryngringsavverkning</t>
        </is>
      </c>
      <c r="D253" s="1" t="n">
        <v>44988</v>
      </c>
      <c r="E253" s="1" t="n">
        <v>46321</v>
      </c>
      <c r="F253" t="inlineStr">
        <is>
          <t>GOTLANDS LÄN</t>
        </is>
      </c>
      <c r="G253" t="inlineStr">
        <is>
          <t>GOTLAND</t>
        </is>
      </c>
      <c r="H253" t="inlineStr">
        <is>
          <t>Kyrkan</t>
        </is>
      </c>
      <c r="I253" t="n">
        <v>2</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2719-2023</t>
        </is>
      </c>
      <c r="B254" t="inlineStr">
        <is>
          <t>avverkningsanmälan</t>
        </is>
      </c>
      <c r="C254" t="inlineStr">
        <is>
          <t>Föryngringsavverkning</t>
        </is>
      </c>
      <c r="D254" s="1" t="n">
        <v>44944</v>
      </c>
      <c r="E254" s="1" t="n">
        <v>46321</v>
      </c>
      <c r="F254" t="inlineStr">
        <is>
          <t>GOTLANDS LÄN</t>
        </is>
      </c>
      <c r="G254" t="inlineStr">
        <is>
          <t>GOTLAND</t>
        </is>
      </c>
      <c r="I254" t="n">
        <v>0.5</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42007-2023</t>
        </is>
      </c>
      <c r="B255" t="inlineStr">
        <is>
          <t>avverkningsanmälan</t>
        </is>
      </c>
      <c r="C255" t="inlineStr">
        <is>
          <t>Avverkning för annat ändamål</t>
        </is>
      </c>
      <c r="D255" s="1" t="n">
        <v>45177</v>
      </c>
      <c r="E255" s="1" t="n">
        <v>46321</v>
      </c>
      <c r="F255" t="inlineStr">
        <is>
          <t>GOTLANDS LÄN</t>
        </is>
      </c>
      <c r="G255" t="inlineStr">
        <is>
          <t>GOTLAND</t>
        </is>
      </c>
      <c r="I255" t="n">
        <v>0.8</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9887-2025</t>
        </is>
      </c>
      <c r="B256" t="inlineStr">
        <is>
          <t>avverkningsanmälan</t>
        </is>
      </c>
      <c r="C256" t="inlineStr">
        <is>
          <t>Föryngringsavverkning</t>
        </is>
      </c>
      <c r="D256" s="1" t="n">
        <v>45716</v>
      </c>
      <c r="E256" s="1" t="n">
        <v>46321</v>
      </c>
      <c r="F256" t="inlineStr">
        <is>
          <t>GOTLANDS LÄN</t>
        </is>
      </c>
      <c r="G256" t="inlineStr">
        <is>
          <t>GOTLAND</t>
        </is>
      </c>
      <c r="I256" t="n">
        <v>7.5</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26391-2025</t>
        </is>
      </c>
      <c r="B257" t="inlineStr">
        <is>
          <t>avverkningsanmälan</t>
        </is>
      </c>
      <c r="C257" t="inlineStr">
        <is>
          <t>Avverkning för annat ändamål</t>
        </is>
      </c>
      <c r="D257" s="1" t="n">
        <v>45806</v>
      </c>
      <c r="E257" s="1" t="n">
        <v>46321</v>
      </c>
      <c r="F257" t="inlineStr">
        <is>
          <t>GOTLANDS LÄN</t>
        </is>
      </c>
      <c r="G257" t="inlineStr">
        <is>
          <t>GOTLAND</t>
        </is>
      </c>
      <c r="I257" t="n">
        <v>2</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27596-2023</t>
        </is>
      </c>
      <c r="B258" t="inlineStr">
        <is>
          <t>avverkningsanmälan</t>
        </is>
      </c>
      <c r="C258" t="inlineStr">
        <is>
          <t>Avverkning för annat ändamål</t>
        </is>
      </c>
      <c r="D258" s="1" t="n">
        <v>45097</v>
      </c>
      <c r="E258" s="1" t="n">
        <v>46321</v>
      </c>
      <c r="F258" t="inlineStr">
        <is>
          <t>GOTLANDS LÄN</t>
        </is>
      </c>
      <c r="G258" t="inlineStr">
        <is>
          <t>GOTLAND</t>
        </is>
      </c>
      <c r="I258" t="n">
        <v>3.6</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46836-2025</t>
        </is>
      </c>
      <c r="B259" t="inlineStr">
        <is>
          <t>avverkningsanmälan</t>
        </is>
      </c>
      <c r="C259" t="inlineStr">
        <is>
          <t>Föryngringsavverkning</t>
        </is>
      </c>
      <c r="D259" s="1" t="n">
        <v>45928</v>
      </c>
      <c r="E259" s="1" t="n">
        <v>46321</v>
      </c>
      <c r="F259" t="inlineStr">
        <is>
          <t>GOTLANDS LÄN</t>
        </is>
      </c>
      <c r="G259" t="inlineStr">
        <is>
          <t>GOTLAND</t>
        </is>
      </c>
      <c r="I259" t="n">
        <v>2.8</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24825-2024</t>
        </is>
      </c>
      <c r="B260" t="inlineStr">
        <is>
          <t>avverkningsanmälan</t>
        </is>
      </c>
      <c r="C260" t="inlineStr">
        <is>
          <t>Avverkning för annat ändamål</t>
        </is>
      </c>
      <c r="D260" s="1" t="n">
        <v>45461</v>
      </c>
      <c r="E260" s="1" t="n">
        <v>46321</v>
      </c>
      <c r="F260" t="inlineStr">
        <is>
          <t>GOTLANDS LÄN</t>
        </is>
      </c>
      <c r="G260" t="inlineStr">
        <is>
          <t>GOTLAND</t>
        </is>
      </c>
      <c r="I260" t="n">
        <v>1.3</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6696-2023</t>
        </is>
      </c>
      <c r="B261" t="inlineStr">
        <is>
          <t>avverkningsanmälan</t>
        </is>
      </c>
      <c r="C261" t="inlineStr">
        <is>
          <t>Föryngringsavverkning</t>
        </is>
      </c>
      <c r="D261" s="1" t="n">
        <v>44966</v>
      </c>
      <c r="E261" s="1" t="n">
        <v>46321</v>
      </c>
      <c r="F261" t="inlineStr">
        <is>
          <t>GOTLANDS LÄN</t>
        </is>
      </c>
      <c r="G261" t="inlineStr">
        <is>
          <t>GOTLAND</t>
        </is>
      </c>
      <c r="I261" t="n">
        <v>1.5</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24448-2026</t>
        </is>
      </c>
      <c r="B262" t="inlineStr">
        <is>
          <t>avverkningsanmälan</t>
        </is>
      </c>
      <c r="C262" t="inlineStr">
        <is>
          <t>Föryngringsavverkning</t>
        </is>
      </c>
      <c r="D262" s="1" t="n">
        <v>46170</v>
      </c>
      <c r="E262" s="1" t="n">
        <v>46321</v>
      </c>
      <c r="F262" t="inlineStr">
        <is>
          <t>GOTLANDS LÄN</t>
        </is>
      </c>
      <c r="G262" t="inlineStr">
        <is>
          <t>GOTLAND</t>
        </is>
      </c>
      <c r="I262" t="n">
        <v>1.4</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47637-2025</t>
        </is>
      </c>
      <c r="B263" t="inlineStr">
        <is>
          <t>avverkningsanmälan</t>
        </is>
      </c>
      <c r="C263" t="inlineStr">
        <is>
          <t>Föryngringsavverkning</t>
        </is>
      </c>
      <c r="D263" s="1" t="n">
        <v>45931</v>
      </c>
      <c r="E263" s="1" t="n">
        <v>46321</v>
      </c>
      <c r="F263" t="inlineStr">
        <is>
          <t>GOTLANDS LÄN</t>
        </is>
      </c>
      <c r="G263" t="inlineStr">
        <is>
          <t>GOTLAND</t>
        </is>
      </c>
      <c r="I263" t="n">
        <v>1.3</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21247-2022</t>
        </is>
      </c>
      <c r="B264" t="inlineStr">
        <is>
          <t>avverkningsanmälan</t>
        </is>
      </c>
      <c r="C264" t="inlineStr">
        <is>
          <t>Föryngringsavverkning</t>
        </is>
      </c>
      <c r="D264" s="1" t="n">
        <v>44705</v>
      </c>
      <c r="E264" s="1" t="n">
        <v>46321</v>
      </c>
      <c r="F264" t="inlineStr">
        <is>
          <t>GOTLANDS LÄN</t>
        </is>
      </c>
      <c r="G264" t="inlineStr">
        <is>
          <t>GOTLAND</t>
        </is>
      </c>
      <c r="I264" t="n">
        <v>16.2</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456-2023</t>
        </is>
      </c>
      <c r="B265" t="inlineStr">
        <is>
          <t>avverkningsanmälan</t>
        </is>
      </c>
      <c r="C265" t="inlineStr">
        <is>
          <t>Föryngringsavverkning</t>
        </is>
      </c>
      <c r="D265" s="1" t="n">
        <v>44929</v>
      </c>
      <c r="E265" s="1" t="n">
        <v>46321</v>
      </c>
      <c r="F265" t="inlineStr">
        <is>
          <t>GOTLANDS LÄN</t>
        </is>
      </c>
      <c r="G265" t="inlineStr">
        <is>
          <t>GOTLAND</t>
        </is>
      </c>
      <c r="I265" t="n">
        <v>3.2</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2714-2023</t>
        </is>
      </c>
      <c r="B266" t="inlineStr">
        <is>
          <t>avverkningsanmälan</t>
        </is>
      </c>
      <c r="C266" t="inlineStr">
        <is>
          <t>Föryngringsavverkning</t>
        </is>
      </c>
      <c r="D266" s="1" t="n">
        <v>44944</v>
      </c>
      <c r="E266" s="1" t="n">
        <v>46321</v>
      </c>
      <c r="F266" t="inlineStr">
        <is>
          <t>GOTLANDS LÄN</t>
        </is>
      </c>
      <c r="G266" t="inlineStr">
        <is>
          <t>GOTLAND</t>
        </is>
      </c>
      <c r="I266" t="n">
        <v>0.7</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4421-2024</t>
        </is>
      </c>
      <c r="B267" t="inlineStr">
        <is>
          <t>avverkningsanmälan</t>
        </is>
      </c>
      <c r="C267" t="inlineStr">
        <is>
          <t>Föryngringsavverkning</t>
        </is>
      </c>
      <c r="D267" s="1" t="n">
        <v>45327</v>
      </c>
      <c r="E267" s="1" t="n">
        <v>46321</v>
      </c>
      <c r="F267" t="inlineStr">
        <is>
          <t>GOTLANDS LÄN</t>
        </is>
      </c>
      <c r="G267" t="inlineStr">
        <is>
          <t>GOTLAND</t>
        </is>
      </c>
      <c r="I267" t="n">
        <v>5.1</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51782-2023</t>
        </is>
      </c>
      <c r="B268" t="inlineStr">
        <is>
          <t>avverkningsanmälan</t>
        </is>
      </c>
      <c r="C268" t="inlineStr">
        <is>
          <t>Föryngringsavverkning</t>
        </is>
      </c>
      <c r="D268" s="1" t="n">
        <v>45222</v>
      </c>
      <c r="E268" s="1" t="n">
        <v>46321</v>
      </c>
      <c r="F268" t="inlineStr">
        <is>
          <t>GOTLANDS LÄN</t>
        </is>
      </c>
      <c r="G268" t="inlineStr">
        <is>
          <t>GOTLAND</t>
        </is>
      </c>
      <c r="I268" t="n">
        <v>1.2</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54268-2022</t>
        </is>
      </c>
      <c r="B269" t="inlineStr">
        <is>
          <t>avverkningsanmälan</t>
        </is>
      </c>
      <c r="C269" t="inlineStr">
        <is>
          <t>Föryngringsavverkning</t>
        </is>
      </c>
      <c r="D269" s="1" t="n">
        <v>44882</v>
      </c>
      <c r="E269" s="1" t="n">
        <v>46321</v>
      </c>
      <c r="F269" t="inlineStr">
        <is>
          <t>GOTLANDS LÄN</t>
        </is>
      </c>
      <c r="G269" t="inlineStr">
        <is>
          <t>GOTLAND</t>
        </is>
      </c>
      <c r="I269" t="n">
        <v>2.7</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47578-2025</t>
        </is>
      </c>
      <c r="B270" t="inlineStr">
        <is>
          <t>avverkningsanmälan</t>
        </is>
      </c>
      <c r="C270" t="inlineStr">
        <is>
          <t>Avverkning för annat ändamål</t>
        </is>
      </c>
      <c r="D270" s="1" t="n">
        <v>45931</v>
      </c>
      <c r="E270" s="1" t="n">
        <v>46321</v>
      </c>
      <c r="F270" t="inlineStr">
        <is>
          <t>GOTLANDS LÄN</t>
        </is>
      </c>
      <c r="G270" t="inlineStr">
        <is>
          <t>GOTLAND</t>
        </is>
      </c>
      <c r="I270" t="n">
        <v>9.199999999999999</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49730-2025</t>
        </is>
      </c>
      <c r="B271" t="inlineStr">
        <is>
          <t>avverkningsanmälan</t>
        </is>
      </c>
      <c r="C271" t="inlineStr">
        <is>
          <t>Föryngringsavverkning</t>
        </is>
      </c>
      <c r="D271" s="1" t="n">
        <v>45939</v>
      </c>
      <c r="E271" s="1" t="n">
        <v>46321</v>
      </c>
      <c r="F271" t="inlineStr">
        <is>
          <t>GOTLANDS LÄN</t>
        </is>
      </c>
      <c r="G271" t="inlineStr">
        <is>
          <t>GOTLAND</t>
        </is>
      </c>
      <c r="I271" t="n">
        <v>1.1</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49690-2025</t>
        </is>
      </c>
      <c r="B272" t="inlineStr">
        <is>
          <t>avverkningsanmälan</t>
        </is>
      </c>
      <c r="C272" t="inlineStr">
        <is>
          <t>Föryngringsavverkning</t>
        </is>
      </c>
      <c r="D272" s="1" t="n">
        <v>45939</v>
      </c>
      <c r="E272" s="1" t="n">
        <v>46321</v>
      </c>
      <c r="F272" t="inlineStr">
        <is>
          <t>GOTLANDS LÄN</t>
        </is>
      </c>
      <c r="G272" t="inlineStr">
        <is>
          <t>GOTLAND</t>
        </is>
      </c>
      <c r="I272" t="n">
        <v>8.199999999999999</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25866-2022</t>
        </is>
      </c>
      <c r="B273" t="inlineStr">
        <is>
          <t>avverkningsanmälan</t>
        </is>
      </c>
      <c r="C273" t="inlineStr">
        <is>
          <t>Föryngringsavverkning</t>
        </is>
      </c>
      <c r="D273" s="1" t="n">
        <v>44733</v>
      </c>
      <c r="E273" s="1" t="n">
        <v>46321</v>
      </c>
      <c r="F273" t="inlineStr">
        <is>
          <t>GOTLANDS LÄN</t>
        </is>
      </c>
      <c r="G273" t="inlineStr">
        <is>
          <t>GOTLAND</t>
        </is>
      </c>
      <c r="I273" t="n">
        <v>2.9</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43229-2023</t>
        </is>
      </c>
      <c r="B274" t="inlineStr">
        <is>
          <t>avverkningsanmälan</t>
        </is>
      </c>
      <c r="C274" t="inlineStr">
        <is>
          <t>Föryngringsavverkning</t>
        </is>
      </c>
      <c r="D274" s="1" t="n">
        <v>45183</v>
      </c>
      <c r="E274" s="1" t="n">
        <v>46321</v>
      </c>
      <c r="F274" t="inlineStr">
        <is>
          <t>GOTLANDS LÄN</t>
        </is>
      </c>
      <c r="G274" t="inlineStr">
        <is>
          <t>GOTLAND</t>
        </is>
      </c>
      <c r="I274" t="n">
        <v>7.1</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27095-2022</t>
        </is>
      </c>
      <c r="B275" t="inlineStr">
        <is>
          <t>avverkningsanmälan</t>
        </is>
      </c>
      <c r="C275" t="inlineStr">
        <is>
          <t>Avverkning för annat ändamål</t>
        </is>
      </c>
      <c r="D275" s="1" t="n">
        <v>44741</v>
      </c>
      <c r="E275" s="1" t="n">
        <v>46321</v>
      </c>
      <c r="F275" t="inlineStr">
        <is>
          <t>GOTLANDS LÄN</t>
        </is>
      </c>
      <c r="G275" t="inlineStr">
        <is>
          <t>GOTLAND</t>
        </is>
      </c>
      <c r="H275" t="inlineStr">
        <is>
          <t>Övriga Aktiebolag</t>
        </is>
      </c>
      <c r="I275" t="n">
        <v>2.9</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22899-2023</t>
        </is>
      </c>
      <c r="B276" t="inlineStr">
        <is>
          <t>avverkningsanmälan</t>
        </is>
      </c>
      <c r="C276" t="inlineStr">
        <is>
          <t>Föryngringsavverkning</t>
        </is>
      </c>
      <c r="D276" s="1" t="n">
        <v>45072</v>
      </c>
      <c r="E276" s="1" t="n">
        <v>46321</v>
      </c>
      <c r="F276" t="inlineStr">
        <is>
          <t>GOTLANDS LÄN</t>
        </is>
      </c>
      <c r="G276" t="inlineStr">
        <is>
          <t>GOTLAND</t>
        </is>
      </c>
      <c r="I276" t="n">
        <v>0.7</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23978-2023</t>
        </is>
      </c>
      <c r="B277" t="inlineStr">
        <is>
          <t>avverkningsanmälan</t>
        </is>
      </c>
      <c r="C277" t="inlineStr">
        <is>
          <t>Föryngringsavverkning</t>
        </is>
      </c>
      <c r="D277" s="1" t="n">
        <v>45078</v>
      </c>
      <c r="E277" s="1" t="n">
        <v>46321</v>
      </c>
      <c r="F277" t="inlineStr">
        <is>
          <t>GOTLANDS LÄN</t>
        </is>
      </c>
      <c r="G277" t="inlineStr">
        <is>
          <t>GOTLAND</t>
        </is>
      </c>
      <c r="H277" t="inlineStr">
        <is>
          <t>Naturvårdsverket</t>
        </is>
      </c>
      <c r="I277" t="n">
        <v>1.7</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34407-2023</t>
        </is>
      </c>
      <c r="B278" t="inlineStr">
        <is>
          <t>avverkningsanmälan</t>
        </is>
      </c>
      <c r="C278" t="inlineStr">
        <is>
          <t>Föryngringsavverkning</t>
        </is>
      </c>
      <c r="D278" s="1" t="n">
        <v>45132</v>
      </c>
      <c r="E278" s="1" t="n">
        <v>46321</v>
      </c>
      <c r="F278" t="inlineStr">
        <is>
          <t>GOTLANDS LÄN</t>
        </is>
      </c>
      <c r="G278" t="inlineStr">
        <is>
          <t>GOTLAND</t>
        </is>
      </c>
      <c r="I278" t="n">
        <v>4.4</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11013-2024</t>
        </is>
      </c>
      <c r="B279" t="inlineStr">
        <is>
          <t>avverkningsanmälan</t>
        </is>
      </c>
      <c r="C279" t="inlineStr">
        <is>
          <t>Föryngringsavverkning</t>
        </is>
      </c>
      <c r="D279" s="1" t="n">
        <v>45370</v>
      </c>
      <c r="E279" s="1" t="n">
        <v>46321</v>
      </c>
      <c r="F279" t="inlineStr">
        <is>
          <t>GOTLANDS LÄN</t>
        </is>
      </c>
      <c r="G279" t="inlineStr">
        <is>
          <t>GOTLAND</t>
        </is>
      </c>
      <c r="I279" t="n">
        <v>0.7</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22031-2024</t>
        </is>
      </c>
      <c r="B280" t="inlineStr">
        <is>
          <t>avverkningsanmälan</t>
        </is>
      </c>
      <c r="C280" t="inlineStr">
        <is>
          <t>Föryngringsavverkning</t>
        </is>
      </c>
      <c r="D280" s="1" t="n">
        <v>45443</v>
      </c>
      <c r="E280" s="1" t="n">
        <v>46321</v>
      </c>
      <c r="F280" t="inlineStr">
        <is>
          <t>GOTLANDS LÄN</t>
        </is>
      </c>
      <c r="G280" t="inlineStr">
        <is>
          <t>GOTLAND</t>
        </is>
      </c>
      <c r="I280" t="n">
        <v>2.3</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27694-2024</t>
        </is>
      </c>
      <c r="B281" t="inlineStr">
        <is>
          <t>avverkningsanmälan</t>
        </is>
      </c>
      <c r="C281" t="inlineStr">
        <is>
          <t>Föryngringsavverkning</t>
        </is>
      </c>
      <c r="D281" s="1" t="n">
        <v>45475</v>
      </c>
      <c r="E281" s="1" t="n">
        <v>46321</v>
      </c>
      <c r="F281" t="inlineStr">
        <is>
          <t>GOTLANDS LÄN</t>
        </is>
      </c>
      <c r="G281" t="inlineStr">
        <is>
          <t>GOTLAND</t>
        </is>
      </c>
      <c r="I281" t="n">
        <v>1.2</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44919-2022</t>
        </is>
      </c>
      <c r="B282" t="inlineStr">
        <is>
          <t>avverkningsanmälan</t>
        </is>
      </c>
      <c r="C282" t="inlineStr">
        <is>
          <t>Föryngringsavverkning</t>
        </is>
      </c>
      <c r="D282" s="1" t="n">
        <v>44841</v>
      </c>
      <c r="E282" s="1" t="n">
        <v>46321</v>
      </c>
      <c r="F282" t="inlineStr">
        <is>
          <t>GOTLANDS LÄN</t>
        </is>
      </c>
      <c r="G282" t="inlineStr">
        <is>
          <t>GOTLAND</t>
        </is>
      </c>
      <c r="I282" t="n">
        <v>2.2</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15083-2025</t>
        </is>
      </c>
      <c r="B283" t="inlineStr">
        <is>
          <t>avverkningsanmälan</t>
        </is>
      </c>
      <c r="C283" t="inlineStr">
        <is>
          <t>Avverkning för annat ändamål</t>
        </is>
      </c>
      <c r="D283" s="1" t="n">
        <v>45743</v>
      </c>
      <c r="E283" s="1" t="n">
        <v>46321</v>
      </c>
      <c r="F283" t="inlineStr">
        <is>
          <t>GOTLANDS LÄN</t>
        </is>
      </c>
      <c r="G283" t="inlineStr">
        <is>
          <t>GOTLAND</t>
        </is>
      </c>
      <c r="I283" t="n">
        <v>2.3</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48503-2023</t>
        </is>
      </c>
      <c r="B284" t="inlineStr">
        <is>
          <t>avverkningsanmälan</t>
        </is>
      </c>
      <c r="C284" t="inlineStr">
        <is>
          <t>Föryngringsavverkning</t>
        </is>
      </c>
      <c r="D284" s="1" t="n">
        <v>45207</v>
      </c>
      <c r="E284" s="1" t="n">
        <v>46321</v>
      </c>
      <c r="F284" t="inlineStr">
        <is>
          <t>GOTLANDS LÄN</t>
        </is>
      </c>
      <c r="G284" t="inlineStr">
        <is>
          <t>GOTLAND</t>
        </is>
      </c>
      <c r="I284" t="n">
        <v>1.6</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65901-2021</t>
        </is>
      </c>
      <c r="B285" t="inlineStr">
        <is>
          <t>avverkningsanmälan</t>
        </is>
      </c>
      <c r="C285" t="inlineStr">
        <is>
          <t>Föryngringsavverkning</t>
        </is>
      </c>
      <c r="D285" s="1" t="n">
        <v>44516</v>
      </c>
      <c r="E285" s="1" t="n">
        <v>46321</v>
      </c>
      <c r="F285" t="inlineStr">
        <is>
          <t>GOTLANDS LÄN</t>
        </is>
      </c>
      <c r="G285" t="inlineStr">
        <is>
          <t>GOTLAND</t>
        </is>
      </c>
      <c r="I285" t="n">
        <v>4.9</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13037-2025</t>
        </is>
      </c>
      <c r="B286" t="inlineStr">
        <is>
          <t>avverkningsanmälan</t>
        </is>
      </c>
      <c r="C286" t="inlineStr">
        <is>
          <t>Avverkning för att bevara och utveckla /försöksver</t>
        </is>
      </c>
      <c r="D286" s="1" t="n">
        <v>45734</v>
      </c>
      <c r="E286" s="1" t="n">
        <v>46321</v>
      </c>
      <c r="F286" t="inlineStr">
        <is>
          <t>GOTLANDS LÄN</t>
        </is>
      </c>
      <c r="G286" t="inlineStr">
        <is>
          <t>GOTLAND</t>
        </is>
      </c>
      <c r="I286" t="n">
        <v>9.5</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44228-2022</t>
        </is>
      </c>
      <c r="B287" t="inlineStr">
        <is>
          <t>avverkningsanmälan</t>
        </is>
      </c>
      <c r="C287" t="inlineStr">
        <is>
          <t>Föryngringsavverkning</t>
        </is>
      </c>
      <c r="D287" s="1" t="n">
        <v>44839</v>
      </c>
      <c r="E287" s="1" t="n">
        <v>46321</v>
      </c>
      <c r="F287" t="inlineStr">
        <is>
          <t>GOTLANDS LÄN</t>
        </is>
      </c>
      <c r="G287" t="inlineStr">
        <is>
          <t>GOTLAND</t>
        </is>
      </c>
      <c r="I287" t="n">
        <v>2.1</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58132-2023</t>
        </is>
      </c>
      <c r="B288" t="inlineStr">
        <is>
          <t>avverkningsanmälan</t>
        </is>
      </c>
      <c r="C288" t="inlineStr">
        <is>
          <t>Föryngringsavverkning</t>
        </is>
      </c>
      <c r="D288" s="1" t="n">
        <v>45250</v>
      </c>
      <c r="E288" s="1" t="n">
        <v>46321</v>
      </c>
      <c r="F288" t="inlineStr">
        <is>
          <t>GOTLANDS LÄN</t>
        </is>
      </c>
      <c r="G288" t="inlineStr">
        <is>
          <t>GOTLAND</t>
        </is>
      </c>
      <c r="I288" t="n">
        <v>3.1</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27354-2026</t>
        </is>
      </c>
      <c r="B289" t="inlineStr">
        <is>
          <t>avverkningsanmälan</t>
        </is>
      </c>
      <c r="C289" t="inlineStr">
        <is>
          <t>Föryngringsavverkning</t>
        </is>
      </c>
      <c r="D289" s="1" t="n">
        <v>46184</v>
      </c>
      <c r="E289" s="1" t="n">
        <v>46321</v>
      </c>
      <c r="F289" t="inlineStr">
        <is>
          <t>GOTLANDS LÄN</t>
        </is>
      </c>
      <c r="G289" t="inlineStr">
        <is>
          <t>GOTLAND</t>
        </is>
      </c>
      <c r="I289" t="n">
        <v>0.9</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876-2024</t>
        </is>
      </c>
      <c r="B290" t="inlineStr">
        <is>
          <t>avverkningsanmälan</t>
        </is>
      </c>
      <c r="C290" t="inlineStr">
        <is>
          <t>Avverkning för annat ändamål</t>
        </is>
      </c>
      <c r="D290" s="1" t="n">
        <v>45301</v>
      </c>
      <c r="E290" s="1" t="n">
        <v>46321</v>
      </c>
      <c r="F290" t="inlineStr">
        <is>
          <t>GOTLANDS LÄN</t>
        </is>
      </c>
      <c r="G290" t="inlineStr">
        <is>
          <t>GOTLAND</t>
        </is>
      </c>
      <c r="I290" t="n">
        <v>5.3</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22704-2023</t>
        </is>
      </c>
      <c r="B291" t="inlineStr">
        <is>
          <t>avverkningsanmälan</t>
        </is>
      </c>
      <c r="C291" t="inlineStr">
        <is>
          <t>Föryngringsavverkning</t>
        </is>
      </c>
      <c r="D291" s="1" t="n">
        <v>45071</v>
      </c>
      <c r="E291" s="1" t="n">
        <v>46321</v>
      </c>
      <c r="F291" t="inlineStr">
        <is>
          <t>GOTLANDS LÄN</t>
        </is>
      </c>
      <c r="G291" t="inlineStr">
        <is>
          <t>GOTLAND</t>
        </is>
      </c>
      <c r="I291" t="n">
        <v>1.9</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28425-2023</t>
        </is>
      </c>
      <c r="B292" t="inlineStr">
        <is>
          <t>avverkningsanmälan</t>
        </is>
      </c>
      <c r="C292" t="inlineStr">
        <is>
          <t>Föryngringsavverkning</t>
        </is>
      </c>
      <c r="D292" s="1" t="n">
        <v>45102</v>
      </c>
      <c r="E292" s="1" t="n">
        <v>46321</v>
      </c>
      <c r="F292" t="inlineStr">
        <is>
          <t>GOTLANDS LÄN</t>
        </is>
      </c>
      <c r="G292" t="inlineStr">
        <is>
          <t>GOTLAND</t>
        </is>
      </c>
      <c r="I292" t="n">
        <v>0.5</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43223-2023</t>
        </is>
      </c>
      <c r="B293" t="inlineStr">
        <is>
          <t>avverkningsanmälan</t>
        </is>
      </c>
      <c r="C293" t="inlineStr">
        <is>
          <t>Föryngringsavverkning</t>
        </is>
      </c>
      <c r="D293" s="1" t="n">
        <v>45183</v>
      </c>
      <c r="E293" s="1" t="n">
        <v>46321</v>
      </c>
      <c r="F293" t="inlineStr">
        <is>
          <t>GOTLANDS LÄN</t>
        </is>
      </c>
      <c r="G293" t="inlineStr">
        <is>
          <t>GOTLAND</t>
        </is>
      </c>
      <c r="I293" t="n">
        <v>1.8</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3431-2025</t>
        </is>
      </c>
      <c r="B294" t="inlineStr">
        <is>
          <t>avverkningsanmälan</t>
        </is>
      </c>
      <c r="C294" t="inlineStr">
        <is>
          <t>Föryngringsavverkning</t>
        </is>
      </c>
      <c r="D294" s="1" t="n">
        <v>45680</v>
      </c>
      <c r="E294" s="1" t="n">
        <v>46321</v>
      </c>
      <c r="F294" t="inlineStr">
        <is>
          <t>GOTLANDS LÄN</t>
        </is>
      </c>
      <c r="G294" t="inlineStr">
        <is>
          <t>GOTLAND</t>
        </is>
      </c>
      <c r="I294" t="n">
        <v>4.8</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37202-2024</t>
        </is>
      </c>
      <c r="B295" t="inlineStr">
        <is>
          <t>avverkningsanmälan</t>
        </is>
      </c>
      <c r="C295" t="inlineStr">
        <is>
          <t>Föryngringsavverkning</t>
        </is>
      </c>
      <c r="D295" s="1" t="n">
        <v>45539</v>
      </c>
      <c r="E295" s="1" t="n">
        <v>46321</v>
      </c>
      <c r="F295" t="inlineStr">
        <is>
          <t>GOTLANDS LÄN</t>
        </is>
      </c>
      <c r="G295" t="inlineStr">
        <is>
          <t>GOTLAND</t>
        </is>
      </c>
      <c r="I295" t="n">
        <v>0.3</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46527-2023</t>
        </is>
      </c>
      <c r="B296" t="inlineStr">
        <is>
          <t>avverkningsanmälan</t>
        </is>
      </c>
      <c r="C296" t="inlineStr">
        <is>
          <t>Avverkning för annat ändamål</t>
        </is>
      </c>
      <c r="D296" s="1" t="n">
        <v>45197</v>
      </c>
      <c r="E296" s="1" t="n">
        <v>46321</v>
      </c>
      <c r="F296" t="inlineStr">
        <is>
          <t>GOTLANDS LÄN</t>
        </is>
      </c>
      <c r="G296" t="inlineStr">
        <is>
          <t>GOTLAND</t>
        </is>
      </c>
      <c r="I296" t="n">
        <v>0.9</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56799-2025</t>
        </is>
      </c>
      <c r="B297" t="inlineStr">
        <is>
          <t>avverkningsanmälan</t>
        </is>
      </c>
      <c r="C297" t="inlineStr">
        <is>
          <t>Föryngringsavverkning</t>
        </is>
      </c>
      <c r="D297" s="1" t="n">
        <v>45978</v>
      </c>
      <c r="E297" s="1" t="n">
        <v>46321</v>
      </c>
      <c r="F297" t="inlineStr">
        <is>
          <t>GOTLANDS LÄN</t>
        </is>
      </c>
      <c r="G297" t="inlineStr">
        <is>
          <t>GOTLAND</t>
        </is>
      </c>
      <c r="I297" t="n">
        <v>1.1</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9947-2024</t>
        </is>
      </c>
      <c r="B298" t="inlineStr">
        <is>
          <t>avverkningsanmälan</t>
        </is>
      </c>
      <c r="C298" t="inlineStr">
        <is>
          <t>Föryngringsavverkning</t>
        </is>
      </c>
      <c r="D298" s="1" t="n">
        <v>45363</v>
      </c>
      <c r="E298" s="1" t="n">
        <v>46321</v>
      </c>
      <c r="F298" t="inlineStr">
        <is>
          <t>GOTLANDS LÄN</t>
        </is>
      </c>
      <c r="G298" t="inlineStr">
        <is>
          <t>GOTLAND</t>
        </is>
      </c>
      <c r="I298" t="n">
        <v>2</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2774-2024</t>
        </is>
      </c>
      <c r="B299" t="inlineStr">
        <is>
          <t>avverkningsanmälan</t>
        </is>
      </c>
      <c r="C299" t="inlineStr">
        <is>
          <t>Föryngringsavverkning</t>
        </is>
      </c>
      <c r="D299" s="1" t="n">
        <v>45314</v>
      </c>
      <c r="E299" s="1" t="n">
        <v>46321</v>
      </c>
      <c r="F299" t="inlineStr">
        <is>
          <t>GOTLANDS LÄN</t>
        </is>
      </c>
      <c r="G299" t="inlineStr">
        <is>
          <t>GOTLAND</t>
        </is>
      </c>
      <c r="I299" t="n">
        <v>1</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60709-2023</t>
        </is>
      </c>
      <c r="B300" t="inlineStr">
        <is>
          <t>avverkningsanmälan</t>
        </is>
      </c>
      <c r="C300" t="inlineStr">
        <is>
          <t>Föryngringsavverkning</t>
        </is>
      </c>
      <c r="D300" s="1" t="n">
        <v>45260</v>
      </c>
      <c r="E300" s="1" t="n">
        <v>46321</v>
      </c>
      <c r="F300" t="inlineStr">
        <is>
          <t>GOTLANDS LÄN</t>
        </is>
      </c>
      <c r="G300" t="inlineStr">
        <is>
          <t>GOTLAND</t>
        </is>
      </c>
      <c r="I300" t="n">
        <v>1.7</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39764-2022</t>
        </is>
      </c>
      <c r="B301" t="inlineStr">
        <is>
          <t>avverkningsanmälan</t>
        </is>
      </c>
      <c r="C301" t="inlineStr">
        <is>
          <t>Föryngringsavverkning</t>
        </is>
      </c>
      <c r="D301" s="1" t="n">
        <v>44819</v>
      </c>
      <c r="E301" s="1" t="n">
        <v>46321</v>
      </c>
      <c r="F301" t="inlineStr">
        <is>
          <t>GOTLANDS LÄN</t>
        </is>
      </c>
      <c r="G301" t="inlineStr">
        <is>
          <t>GOTLAND</t>
        </is>
      </c>
      <c r="H301" t="inlineStr">
        <is>
          <t>Kyrkan</t>
        </is>
      </c>
      <c r="I301" t="n">
        <v>3.7</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30956-2024</t>
        </is>
      </c>
      <c r="B302" t="inlineStr">
        <is>
          <t>avverkningsanmälan</t>
        </is>
      </c>
      <c r="C302" t="inlineStr">
        <is>
          <t>Föryngringsavverkning</t>
        </is>
      </c>
      <c r="D302" s="1" t="n">
        <v>45499</v>
      </c>
      <c r="E302" s="1" t="n">
        <v>46321</v>
      </c>
      <c r="F302" t="inlineStr">
        <is>
          <t>GOTLANDS LÄN</t>
        </is>
      </c>
      <c r="G302" t="inlineStr">
        <is>
          <t>GOTLAND</t>
        </is>
      </c>
      <c r="I302" t="n">
        <v>1.2</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17682-2024</t>
        </is>
      </c>
      <c r="B303" t="inlineStr">
        <is>
          <t>avverkningsanmälan</t>
        </is>
      </c>
      <c r="C303" t="inlineStr">
        <is>
          <t>Föryngringsavverkning</t>
        </is>
      </c>
      <c r="D303" s="1" t="n">
        <v>45418</v>
      </c>
      <c r="E303" s="1" t="n">
        <v>46321</v>
      </c>
      <c r="F303" t="inlineStr">
        <is>
          <t>GOTLANDS LÄN</t>
        </is>
      </c>
      <c r="G303" t="inlineStr">
        <is>
          <t>GOTLAND</t>
        </is>
      </c>
      <c r="I303" t="n">
        <v>2.9</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14635-2023</t>
        </is>
      </c>
      <c r="B304" t="inlineStr">
        <is>
          <t>avverkningsanmälan</t>
        </is>
      </c>
      <c r="C304" t="inlineStr">
        <is>
          <t>Föryngringsavverkning</t>
        </is>
      </c>
      <c r="D304" s="1" t="n">
        <v>45013</v>
      </c>
      <c r="E304" s="1" t="n">
        <v>46321</v>
      </c>
      <c r="F304" t="inlineStr">
        <is>
          <t>GOTLANDS LÄN</t>
        </is>
      </c>
      <c r="G304" t="inlineStr">
        <is>
          <t>GOTLAND</t>
        </is>
      </c>
      <c r="I304" t="n">
        <v>3.1</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57522-2022</t>
        </is>
      </c>
      <c r="B305" t="inlineStr">
        <is>
          <t>avverkningsanmälan</t>
        </is>
      </c>
      <c r="C305" t="inlineStr">
        <is>
          <t>Föryngringsavverkning</t>
        </is>
      </c>
      <c r="D305" s="1" t="n">
        <v>44896</v>
      </c>
      <c r="E305" s="1" t="n">
        <v>46321</v>
      </c>
      <c r="F305" t="inlineStr">
        <is>
          <t>GOTLANDS LÄN</t>
        </is>
      </c>
      <c r="G305" t="inlineStr">
        <is>
          <t>GOTLAND</t>
        </is>
      </c>
      <c r="I305" t="n">
        <v>2</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59469-2024</t>
        </is>
      </c>
      <c r="B306" t="inlineStr">
        <is>
          <t>avverkningsanmälan</t>
        </is>
      </c>
      <c r="C306" t="inlineStr">
        <is>
          <t>Föryngringsavverkning</t>
        </is>
      </c>
      <c r="D306" s="1" t="n">
        <v>45638</v>
      </c>
      <c r="E306" s="1" t="n">
        <v>46321</v>
      </c>
      <c r="F306" t="inlineStr">
        <is>
          <t>GOTLANDS LÄN</t>
        </is>
      </c>
      <c r="G306" t="inlineStr">
        <is>
          <t>GOTLAND</t>
        </is>
      </c>
      <c r="I306" t="n">
        <v>0.4</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7858-2025</t>
        </is>
      </c>
      <c r="B307" t="inlineStr">
        <is>
          <t>avverkningsanmälan</t>
        </is>
      </c>
      <c r="C307" t="inlineStr">
        <is>
          <t>Föryngringsavverkning</t>
        </is>
      </c>
      <c r="D307" s="1" t="n">
        <v>45706</v>
      </c>
      <c r="E307" s="1" t="n">
        <v>46321</v>
      </c>
      <c r="F307" t="inlineStr">
        <is>
          <t>GOTLANDS LÄN</t>
        </is>
      </c>
      <c r="G307" t="inlineStr">
        <is>
          <t>GOTLAND</t>
        </is>
      </c>
      <c r="I307" t="n">
        <v>3</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53935-2024</t>
        </is>
      </c>
      <c r="B308" t="inlineStr">
        <is>
          <t>avverkningsanmälan</t>
        </is>
      </c>
      <c r="C308" t="inlineStr">
        <is>
          <t>Föryngringsavverkning</t>
        </is>
      </c>
      <c r="D308" s="1" t="n">
        <v>45615</v>
      </c>
      <c r="E308" s="1" t="n">
        <v>46321</v>
      </c>
      <c r="F308" t="inlineStr">
        <is>
          <t>GOTLANDS LÄN</t>
        </is>
      </c>
      <c r="G308" t="inlineStr">
        <is>
          <t>GOTLAND</t>
        </is>
      </c>
      <c r="I308" t="n">
        <v>1.2</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5891-2025</t>
        </is>
      </c>
      <c r="B309" t="inlineStr">
        <is>
          <t>avverkningsanmälan</t>
        </is>
      </c>
      <c r="C309" t="inlineStr">
        <is>
          <t>Föryngringsavverkning</t>
        </is>
      </c>
      <c r="D309" s="1" t="n">
        <v>45695</v>
      </c>
      <c r="E309" s="1" t="n">
        <v>46321</v>
      </c>
      <c r="F309" t="inlineStr">
        <is>
          <t>GOTLANDS LÄN</t>
        </is>
      </c>
      <c r="G309" t="inlineStr">
        <is>
          <t>GOTLAND</t>
        </is>
      </c>
      <c r="I309" t="n">
        <v>0.8</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31287-2026</t>
        </is>
      </c>
      <c r="B310" t="inlineStr">
        <is>
          <t>avverkningsanmälan</t>
        </is>
      </c>
      <c r="C310" t="inlineStr">
        <is>
          <t>Föryngringsavverkning</t>
        </is>
      </c>
      <c r="D310" s="1" t="n">
        <v>46218</v>
      </c>
      <c r="E310" s="1" t="n">
        <v>46321</v>
      </c>
      <c r="F310" t="inlineStr">
        <is>
          <t>GOTLANDS LÄN</t>
        </is>
      </c>
      <c r="G310" t="inlineStr">
        <is>
          <t>GOTLAND</t>
        </is>
      </c>
      <c r="I310" t="n">
        <v>0.4</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7835-2024</t>
        </is>
      </c>
      <c r="B311" t="inlineStr">
        <is>
          <t>avverkningsanmälan</t>
        </is>
      </c>
      <c r="C311" t="inlineStr">
        <is>
          <t>Föryngringsavverkning</t>
        </is>
      </c>
      <c r="D311" s="1" t="n">
        <v>45349</v>
      </c>
      <c r="E311" s="1" t="n">
        <v>46321</v>
      </c>
      <c r="F311" t="inlineStr">
        <is>
          <t>GOTLANDS LÄN</t>
        </is>
      </c>
      <c r="G311" t="inlineStr">
        <is>
          <t>GOTLAND</t>
        </is>
      </c>
      <c r="I311" t="n">
        <v>3.8</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21389-2025</t>
        </is>
      </c>
      <c r="B312" t="inlineStr">
        <is>
          <t>avverkningsanmälan</t>
        </is>
      </c>
      <c r="C312" t="inlineStr">
        <is>
          <t>Föryngringsavverkning</t>
        </is>
      </c>
      <c r="D312" s="1" t="n">
        <v>45782</v>
      </c>
      <c r="E312" s="1" t="n">
        <v>46321</v>
      </c>
      <c r="F312" t="inlineStr">
        <is>
          <t>GOTLANDS LÄN</t>
        </is>
      </c>
      <c r="G312" t="inlineStr">
        <is>
          <t>GOTLAND</t>
        </is>
      </c>
      <c r="I312" t="n">
        <v>4.1</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31695-2026</t>
        </is>
      </c>
      <c r="B313" t="inlineStr">
        <is>
          <t>avverkningsanmälan</t>
        </is>
      </c>
      <c r="C313" t="inlineStr">
        <is>
          <t>Föryngringsavverkning</t>
        </is>
      </c>
      <c r="D313" s="1" t="n">
        <v>46226</v>
      </c>
      <c r="E313" s="1" t="n">
        <v>46321</v>
      </c>
      <c r="F313" t="inlineStr">
        <is>
          <t>GOTLANDS LÄN</t>
        </is>
      </c>
      <c r="G313" t="inlineStr">
        <is>
          <t>GOTLAND</t>
        </is>
      </c>
      <c r="I313" t="n">
        <v>2.5</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63002-2025</t>
        </is>
      </c>
      <c r="B314" t="inlineStr">
        <is>
          <t>avverkningsanmälan</t>
        </is>
      </c>
      <c r="C314" t="inlineStr">
        <is>
          <t>Föryngringsavverkning</t>
        </is>
      </c>
      <c r="D314" s="1" t="n">
        <v>46009</v>
      </c>
      <c r="E314" s="1" t="n">
        <v>46321</v>
      </c>
      <c r="F314" t="inlineStr">
        <is>
          <t>GOTLANDS LÄN</t>
        </is>
      </c>
      <c r="G314" t="inlineStr">
        <is>
          <t>GOTLAND</t>
        </is>
      </c>
      <c r="I314" t="n">
        <v>1.1</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32239-2026</t>
        </is>
      </c>
      <c r="B315" t="inlineStr">
        <is>
          <t>avverkningsanmälan</t>
        </is>
      </c>
      <c r="C315" t="inlineStr">
        <is>
          <t>Föryngringsavverkning</t>
        </is>
      </c>
      <c r="D315" s="1" t="n">
        <v>46237</v>
      </c>
      <c r="E315" s="1" t="n">
        <v>46321</v>
      </c>
      <c r="F315" t="inlineStr">
        <is>
          <t>GOTLANDS LÄN</t>
        </is>
      </c>
      <c r="G315" t="inlineStr">
        <is>
          <t>GOTLAND</t>
        </is>
      </c>
      <c r="I315" t="n">
        <v>1</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32553-2026</t>
        </is>
      </c>
      <c r="B316" t="inlineStr">
        <is>
          <t>avverkningsanmälan</t>
        </is>
      </c>
      <c r="C316" t="inlineStr">
        <is>
          <t>Föryngringsavverkning</t>
        </is>
      </c>
      <c r="D316" s="1" t="n">
        <v>46239</v>
      </c>
      <c r="E316" s="1" t="n">
        <v>46321</v>
      </c>
      <c r="F316" t="inlineStr">
        <is>
          <t>GOTLANDS LÄN</t>
        </is>
      </c>
      <c r="G316" t="inlineStr">
        <is>
          <t>GOTLAND</t>
        </is>
      </c>
      <c r="I316" t="n">
        <v>0.8</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61078-2025</t>
        </is>
      </c>
      <c r="B317" t="inlineStr">
        <is>
          <t>avverkningsanmälan</t>
        </is>
      </c>
      <c r="C317" t="inlineStr">
        <is>
          <t>Föryngringsavverkning</t>
        </is>
      </c>
      <c r="D317" s="1" t="n">
        <v>46000</v>
      </c>
      <c r="E317" s="1" t="n">
        <v>46321</v>
      </c>
      <c r="F317" t="inlineStr">
        <is>
          <t>GOTLANDS LÄN</t>
        </is>
      </c>
      <c r="G317" t="inlineStr">
        <is>
          <t>GOTLAND</t>
        </is>
      </c>
      <c r="I317" t="n">
        <v>0.7</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57356-2023</t>
        </is>
      </c>
      <c r="B318" t="inlineStr">
        <is>
          <t>avverkningsanmälan</t>
        </is>
      </c>
      <c r="C318" t="inlineStr">
        <is>
          <t>Föryngringsavverkning</t>
        </is>
      </c>
      <c r="D318" s="1" t="n">
        <v>45240</v>
      </c>
      <c r="E318" s="1" t="n">
        <v>46321</v>
      </c>
      <c r="F318" t="inlineStr">
        <is>
          <t>GOTLANDS LÄN</t>
        </is>
      </c>
      <c r="G318" t="inlineStr">
        <is>
          <t>GOTLAND</t>
        </is>
      </c>
      <c r="I318" t="n">
        <v>6.4</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10656-2024</t>
        </is>
      </c>
      <c r="B319" t="inlineStr">
        <is>
          <t>avverkningsanmälan</t>
        </is>
      </c>
      <c r="C319" t="inlineStr">
        <is>
          <t>Föryngringsavverkning</t>
        </is>
      </c>
      <c r="D319" s="1" t="n">
        <v>45368</v>
      </c>
      <c r="E319" s="1" t="n">
        <v>46321</v>
      </c>
      <c r="F319" t="inlineStr">
        <is>
          <t>GOTLANDS LÄN</t>
        </is>
      </c>
      <c r="G319" t="inlineStr">
        <is>
          <t>GOTLAND</t>
        </is>
      </c>
      <c r="I319" t="n">
        <v>1.5</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36-2026</t>
        </is>
      </c>
      <c r="B320" t="inlineStr">
        <is>
          <t>avverkningsanmälan</t>
        </is>
      </c>
      <c r="C320" t="inlineStr">
        <is>
          <t>Föryngringsavverkning</t>
        </is>
      </c>
      <c r="D320" s="1" t="n">
        <v>46024</v>
      </c>
      <c r="E320" s="1" t="n">
        <v>46321</v>
      </c>
      <c r="F320" t="inlineStr">
        <is>
          <t>GOTLANDS LÄN</t>
        </is>
      </c>
      <c r="G320" t="inlineStr">
        <is>
          <t>GOTLAND</t>
        </is>
      </c>
      <c r="I320" t="n">
        <v>1</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28506-2023</t>
        </is>
      </c>
      <c r="B321" t="inlineStr">
        <is>
          <t>avverkningsanmälan</t>
        </is>
      </c>
      <c r="C321" t="inlineStr">
        <is>
          <t>Avverkning för annat ändamål</t>
        </is>
      </c>
      <c r="D321" s="1" t="n">
        <v>45103</v>
      </c>
      <c r="E321" s="1" t="n">
        <v>46321</v>
      </c>
      <c r="F321" t="inlineStr">
        <is>
          <t>GOTLANDS LÄN</t>
        </is>
      </c>
      <c r="G321" t="inlineStr">
        <is>
          <t>GOTLAND</t>
        </is>
      </c>
      <c r="I321" t="n">
        <v>3.2</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21420-2024</t>
        </is>
      </c>
      <c r="B322" t="inlineStr">
        <is>
          <t>avverkningsanmälan</t>
        </is>
      </c>
      <c r="C322" t="inlineStr">
        <is>
          <t>Föryngringsavverkning</t>
        </is>
      </c>
      <c r="D322" s="1" t="n">
        <v>45441</v>
      </c>
      <c r="E322" s="1" t="n">
        <v>46321</v>
      </c>
      <c r="F322" t="inlineStr">
        <is>
          <t>GOTLANDS LÄN</t>
        </is>
      </c>
      <c r="G322" t="inlineStr">
        <is>
          <t>GOTLAND</t>
        </is>
      </c>
      <c r="I322" t="n">
        <v>4.1</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38311-2026</t>
        </is>
      </c>
      <c r="B323" t="inlineStr">
        <is>
          <t>avverkningsanmälan</t>
        </is>
      </c>
      <c r="C323" t="inlineStr">
        <is>
          <t>Föryngringsavverkning</t>
        </is>
      </c>
      <c r="D323" s="1" t="n">
        <v>46282</v>
      </c>
      <c r="E323" s="1" t="n">
        <v>46321</v>
      </c>
      <c r="F323" t="inlineStr">
        <is>
          <t>GOTLANDS LÄN</t>
        </is>
      </c>
      <c r="G323" t="inlineStr">
        <is>
          <t>GOTLAND</t>
        </is>
      </c>
      <c r="I323" t="n">
        <v>2.3</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38932-2026</t>
        </is>
      </c>
      <c r="B324" t="inlineStr">
        <is>
          <t>avverkningsanmälan</t>
        </is>
      </c>
      <c r="C324" t="inlineStr">
        <is>
          <t>Föryngringsavverkning</t>
        </is>
      </c>
      <c r="D324" s="1" t="n">
        <v>46286</v>
      </c>
      <c r="E324" s="1" t="n">
        <v>46321</v>
      </c>
      <c r="F324" t="inlineStr">
        <is>
          <t>GOTLANDS LÄN</t>
        </is>
      </c>
      <c r="G324" t="inlineStr">
        <is>
          <t>GOTLAND</t>
        </is>
      </c>
      <c r="I324" t="n">
        <v>0.9</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38928-2026</t>
        </is>
      </c>
      <c r="B325" t="inlineStr">
        <is>
          <t>avverkningsanmälan</t>
        </is>
      </c>
      <c r="C325" t="inlineStr">
        <is>
          <t>Föryngringsavverkning</t>
        </is>
      </c>
      <c r="D325" s="1" t="n">
        <v>46286</v>
      </c>
      <c r="E325" s="1" t="n">
        <v>46321</v>
      </c>
      <c r="F325" t="inlineStr">
        <is>
          <t>GOTLANDS LÄN</t>
        </is>
      </c>
      <c r="G325" t="inlineStr">
        <is>
          <t>GOTLAND</t>
        </is>
      </c>
      <c r="I325" t="n">
        <v>3.7</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32626-2026</t>
        </is>
      </c>
      <c r="B326" t="inlineStr">
        <is>
          <t>avverkningsanmälan</t>
        </is>
      </c>
      <c r="C326" t="inlineStr">
        <is>
          <t>Föryngringsavverkning</t>
        </is>
      </c>
      <c r="D326" s="1" t="n">
        <v>46240</v>
      </c>
      <c r="E326" s="1" t="n">
        <v>46321</v>
      </c>
      <c r="F326" t="inlineStr">
        <is>
          <t>GOTLANDS LÄN</t>
        </is>
      </c>
      <c r="G326" t="inlineStr">
        <is>
          <t>GOTLAND</t>
        </is>
      </c>
      <c r="I326" t="n">
        <v>1.1</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63516-2023</t>
        </is>
      </c>
      <c r="B327" t="inlineStr">
        <is>
          <t>avverkningsanmälan</t>
        </is>
      </c>
      <c r="C327" t="inlineStr">
        <is>
          <t>Föryngringsavverkning</t>
        </is>
      </c>
      <c r="D327" s="1" t="n">
        <v>45274</v>
      </c>
      <c r="E327" s="1" t="n">
        <v>46321</v>
      </c>
      <c r="F327" t="inlineStr">
        <is>
          <t>GOTLANDS LÄN</t>
        </is>
      </c>
      <c r="G327" t="inlineStr">
        <is>
          <t>GOTLAND</t>
        </is>
      </c>
      <c r="I327" t="n">
        <v>1.2</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2415-2026</t>
        </is>
      </c>
      <c r="B328" t="inlineStr">
        <is>
          <t>avverkningsanmälan</t>
        </is>
      </c>
      <c r="C328" t="inlineStr">
        <is>
          <t>Föryngringsavverkning</t>
        </is>
      </c>
      <c r="D328" s="1" t="n">
        <v>46036</v>
      </c>
      <c r="E328" s="1" t="n">
        <v>46321</v>
      </c>
      <c r="F328" t="inlineStr">
        <is>
          <t>GOTLANDS LÄN</t>
        </is>
      </c>
      <c r="G328" t="inlineStr">
        <is>
          <t>GOTLAND</t>
        </is>
      </c>
      <c r="I328" t="n">
        <v>6.9</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23188-2025</t>
        </is>
      </c>
      <c r="B329" t="inlineStr">
        <is>
          <t>avverkningsanmälan</t>
        </is>
      </c>
      <c r="C329" t="inlineStr">
        <is>
          <t>Avverkning för annat ändamål</t>
        </is>
      </c>
      <c r="D329" s="1" t="n">
        <v>45791</v>
      </c>
      <c r="E329" s="1" t="n">
        <v>46321</v>
      </c>
      <c r="F329" t="inlineStr">
        <is>
          <t>GOTLANDS LÄN</t>
        </is>
      </c>
      <c r="G329" t="inlineStr">
        <is>
          <t>GOTLAND</t>
        </is>
      </c>
      <c r="I329" t="n">
        <v>6.2</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6749-2025</t>
        </is>
      </c>
      <c r="B330" t="inlineStr">
        <is>
          <t>avverkningsanmälan</t>
        </is>
      </c>
      <c r="C330" t="inlineStr">
        <is>
          <t>Föryngringsavverkning</t>
        </is>
      </c>
      <c r="D330" s="1" t="n">
        <v>45700</v>
      </c>
      <c r="E330" s="1" t="n">
        <v>46321</v>
      </c>
      <c r="F330" t="inlineStr">
        <is>
          <t>GOTLANDS LÄN</t>
        </is>
      </c>
      <c r="G330" t="inlineStr">
        <is>
          <t>GOTLAND</t>
        </is>
      </c>
      <c r="I330" t="n">
        <v>4.5</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23698-2025</t>
        </is>
      </c>
      <c r="B331" t="inlineStr">
        <is>
          <t>avverkningsanmälan</t>
        </is>
      </c>
      <c r="C331" t="inlineStr">
        <is>
          <t>Föryngringsavverkning</t>
        </is>
      </c>
      <c r="D331" s="1" t="n">
        <v>45793</v>
      </c>
      <c r="E331" s="1" t="n">
        <v>46321</v>
      </c>
      <c r="F331" t="inlineStr">
        <is>
          <t>GOTLANDS LÄN</t>
        </is>
      </c>
      <c r="G331" t="inlineStr">
        <is>
          <t>GOTLAND</t>
        </is>
      </c>
      <c r="I331" t="n">
        <v>0.8</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22275-2026</t>
        </is>
      </c>
      <c r="B332" t="inlineStr">
        <is>
          <t>avverkningsanmälan</t>
        </is>
      </c>
      <c r="C332" t="inlineStr">
        <is>
          <t>Föryngringsavverkning</t>
        </is>
      </c>
      <c r="D332" s="1" t="n">
        <v>46154</v>
      </c>
      <c r="E332" s="1" t="n">
        <v>46321</v>
      </c>
      <c r="F332" t="inlineStr">
        <is>
          <t>GOTLANDS LÄN</t>
        </is>
      </c>
      <c r="G332" t="inlineStr">
        <is>
          <t>GOTLAND</t>
        </is>
      </c>
      <c r="I332" t="n">
        <v>3.7</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22887-2026</t>
        </is>
      </c>
      <c r="B333" t="inlineStr">
        <is>
          <t>avverkningsanmälan</t>
        </is>
      </c>
      <c r="C333" t="inlineStr">
        <is>
          <t>Avverkning för att bevara och utveckla /försöksver</t>
        </is>
      </c>
      <c r="D333" s="1" t="n">
        <v>46160</v>
      </c>
      <c r="E333" s="1" t="n">
        <v>46321</v>
      </c>
      <c r="F333" t="inlineStr">
        <is>
          <t>GOTLANDS LÄN</t>
        </is>
      </c>
      <c r="G333" t="inlineStr">
        <is>
          <t>GOTLAND</t>
        </is>
      </c>
      <c r="I333" t="n">
        <v>3.6</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23504-2026</t>
        </is>
      </c>
      <c r="B334" t="inlineStr">
        <is>
          <t>avverkningsanmälan</t>
        </is>
      </c>
      <c r="C334" t="inlineStr">
        <is>
          <t>Föryngringsavverkning</t>
        </is>
      </c>
      <c r="D334" s="1" t="n">
        <v>46163</v>
      </c>
      <c r="E334" s="1" t="n">
        <v>46321</v>
      </c>
      <c r="F334" t="inlineStr">
        <is>
          <t>GOTLANDS LÄN</t>
        </is>
      </c>
      <c r="G334" t="inlineStr">
        <is>
          <t>GOTLAND</t>
        </is>
      </c>
      <c r="I334" t="n">
        <v>1</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4646-2026</t>
        </is>
      </c>
      <c r="B335" t="inlineStr">
        <is>
          <t>avverkningsanmälan</t>
        </is>
      </c>
      <c r="C335" t="inlineStr">
        <is>
          <t>Föryngringsavverkning</t>
        </is>
      </c>
      <c r="D335" s="1" t="n">
        <v>46048</v>
      </c>
      <c r="E335" s="1" t="n">
        <v>46321</v>
      </c>
      <c r="F335" t="inlineStr">
        <is>
          <t>GOTLANDS LÄN</t>
        </is>
      </c>
      <c r="G335" t="inlineStr">
        <is>
          <t>GOTLAND</t>
        </is>
      </c>
      <c r="I335" t="n">
        <v>2.7</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4634-2026</t>
        </is>
      </c>
      <c r="B336" t="inlineStr">
        <is>
          <t>avverkningsanmälan</t>
        </is>
      </c>
      <c r="C336" t="inlineStr">
        <is>
          <t>Föryngringsavverkning</t>
        </is>
      </c>
      <c r="D336" s="1" t="n">
        <v>46048</v>
      </c>
      <c r="E336" s="1" t="n">
        <v>46321</v>
      </c>
      <c r="F336" t="inlineStr">
        <is>
          <t>GOTLANDS LÄN</t>
        </is>
      </c>
      <c r="G336" t="inlineStr">
        <is>
          <t>GOTLAND</t>
        </is>
      </c>
      <c r="I336" t="n">
        <v>7.8</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27164-2026</t>
        </is>
      </c>
      <c r="B337" t="inlineStr">
        <is>
          <t>avverkningsanmälan</t>
        </is>
      </c>
      <c r="C337" t="inlineStr">
        <is>
          <t>Föryngringsavverkning</t>
        </is>
      </c>
      <c r="D337" s="1" t="n">
        <v>46188</v>
      </c>
      <c r="E337" s="1" t="n">
        <v>46321</v>
      </c>
      <c r="F337" t="inlineStr">
        <is>
          <t>GOTLANDS LÄN</t>
        </is>
      </c>
      <c r="G337" t="inlineStr">
        <is>
          <t>GOTLAND</t>
        </is>
      </c>
      <c r="I337" t="n">
        <v>1.6</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4670-2026</t>
        </is>
      </c>
      <c r="B338" t="inlineStr">
        <is>
          <t>avverkningsanmälan</t>
        </is>
      </c>
      <c r="C338" t="inlineStr">
        <is>
          <t>Föryngringsavverkning</t>
        </is>
      </c>
      <c r="D338" s="1" t="n">
        <v>46048</v>
      </c>
      <c r="E338" s="1" t="n">
        <v>46321</v>
      </c>
      <c r="F338" t="inlineStr">
        <is>
          <t>GOTLANDS LÄN</t>
        </is>
      </c>
      <c r="G338" t="inlineStr">
        <is>
          <t>GOTLAND</t>
        </is>
      </c>
      <c r="I338" t="n">
        <v>1.7</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27341-2026</t>
        </is>
      </c>
      <c r="B339" t="inlineStr">
        <is>
          <t>avverkningsanmälan</t>
        </is>
      </c>
      <c r="C339" t="inlineStr">
        <is>
          <t>Föryngringsavverkning</t>
        </is>
      </c>
      <c r="D339" s="1" t="n">
        <v>46188</v>
      </c>
      <c r="E339" s="1" t="n">
        <v>46321</v>
      </c>
      <c r="F339" t="inlineStr">
        <is>
          <t>GOTLANDS LÄN</t>
        </is>
      </c>
      <c r="G339" t="inlineStr">
        <is>
          <t>GOTLAND</t>
        </is>
      </c>
      <c r="I339" t="n">
        <v>1.2</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5462-2025</t>
        </is>
      </c>
      <c r="B340" t="inlineStr">
        <is>
          <t>avverkningsanmälan</t>
        </is>
      </c>
      <c r="C340" t="inlineStr">
        <is>
          <t>Föryngringsavverkning</t>
        </is>
      </c>
      <c r="D340" s="1" t="n">
        <v>45693</v>
      </c>
      <c r="E340" s="1" t="n">
        <v>46321</v>
      </c>
      <c r="F340" t="inlineStr">
        <is>
          <t>GOTLANDS LÄN</t>
        </is>
      </c>
      <c r="G340" t="inlineStr">
        <is>
          <t>GOTLAND</t>
        </is>
      </c>
      <c r="I340" t="n">
        <v>2.6</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10284-2026</t>
        </is>
      </c>
      <c r="B341" t="inlineStr">
        <is>
          <t>avverkningsanmälan</t>
        </is>
      </c>
      <c r="C341" t="inlineStr">
        <is>
          <t>Avverkning för annat ändamål</t>
        </is>
      </c>
      <c r="D341" s="1" t="n">
        <v>46076</v>
      </c>
      <c r="E341" s="1" t="n">
        <v>46321</v>
      </c>
      <c r="F341" t="inlineStr">
        <is>
          <t>GOTLANDS LÄN</t>
        </is>
      </c>
      <c r="G341" t="inlineStr">
        <is>
          <t>GOTLAND</t>
        </is>
      </c>
      <c r="I341" t="n">
        <v>5.2</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40001-2026</t>
        </is>
      </c>
      <c r="B342" t="inlineStr">
        <is>
          <t>avverkningsanmälan</t>
        </is>
      </c>
      <c r="C342" t="inlineStr">
        <is>
          <t>Föryngringsavverkning</t>
        </is>
      </c>
      <c r="D342" s="1" t="n">
        <v>46293</v>
      </c>
      <c r="E342" s="1" t="n">
        <v>46321</v>
      </c>
      <c r="F342" t="inlineStr">
        <is>
          <t>GOTLANDS LÄN</t>
        </is>
      </c>
      <c r="G342" t="inlineStr">
        <is>
          <t>GOTLAND</t>
        </is>
      </c>
      <c r="I342" t="n">
        <v>1.9</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7627-2026</t>
        </is>
      </c>
      <c r="B343" t="inlineStr">
        <is>
          <t>avverkningsanmälan</t>
        </is>
      </c>
      <c r="C343" t="inlineStr">
        <is>
          <t>Föryngringsavverkning</t>
        </is>
      </c>
      <c r="D343" s="1" t="n">
        <v>46062</v>
      </c>
      <c r="E343" s="1" t="n">
        <v>46321</v>
      </c>
      <c r="F343" t="inlineStr">
        <is>
          <t>GOTLANDS LÄN</t>
        </is>
      </c>
      <c r="G343" t="inlineStr">
        <is>
          <t>GOTLAND</t>
        </is>
      </c>
      <c r="I343" t="n">
        <v>1.1</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39967-2026</t>
        </is>
      </c>
      <c r="B344" t="inlineStr">
        <is>
          <t>avverkningsanmälan</t>
        </is>
      </c>
      <c r="C344" t="inlineStr">
        <is>
          <t>Föryngringsavverkning</t>
        </is>
      </c>
      <c r="D344" s="1" t="n">
        <v>46292</v>
      </c>
      <c r="E344" s="1" t="n">
        <v>46321</v>
      </c>
      <c r="F344" t="inlineStr">
        <is>
          <t>GOTLANDS LÄN</t>
        </is>
      </c>
      <c r="G344" t="inlineStr">
        <is>
          <t>GOTLAND</t>
        </is>
      </c>
      <c r="I344" t="n">
        <v>0.7</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2135-2026</t>
        </is>
      </c>
      <c r="B345" t="inlineStr">
        <is>
          <t>avverkningsanmälan</t>
        </is>
      </c>
      <c r="C345" t="inlineStr">
        <is>
          <t>Avverkning för annat ändamål</t>
        </is>
      </c>
      <c r="D345" s="1" t="n">
        <v>46036</v>
      </c>
      <c r="E345" s="1" t="n">
        <v>46321</v>
      </c>
      <c r="F345" t="inlineStr">
        <is>
          <t>GOTLANDS LÄN</t>
        </is>
      </c>
      <c r="G345" t="inlineStr">
        <is>
          <t>GOTLAND</t>
        </is>
      </c>
      <c r="I345" t="n">
        <v>0.5</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7850-2025</t>
        </is>
      </c>
      <c r="B346" t="inlineStr">
        <is>
          <t>avverkningsanmälan</t>
        </is>
      </c>
      <c r="C346" t="inlineStr">
        <is>
          <t>Föryngringsavverkning</t>
        </is>
      </c>
      <c r="D346" s="1" t="n">
        <v>45706</v>
      </c>
      <c r="E346" s="1" t="n">
        <v>46321</v>
      </c>
      <c r="F346" t="inlineStr">
        <is>
          <t>GOTLANDS LÄN</t>
        </is>
      </c>
      <c r="G346" t="inlineStr">
        <is>
          <t>GOTLAND</t>
        </is>
      </c>
      <c r="I346" t="n">
        <v>0.5</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8444-2025</t>
        </is>
      </c>
      <c r="B347" t="inlineStr">
        <is>
          <t>avverkningsanmälan</t>
        </is>
      </c>
      <c r="C347" t="inlineStr">
        <is>
          <t>Föryngringsavverkning</t>
        </is>
      </c>
      <c r="D347" s="1" t="n">
        <v>45709</v>
      </c>
      <c r="E347" s="1" t="n">
        <v>46321</v>
      </c>
      <c r="F347" t="inlineStr">
        <is>
          <t>GOTLANDS LÄN</t>
        </is>
      </c>
      <c r="G347" t="inlineStr">
        <is>
          <t>GOTLAND</t>
        </is>
      </c>
      <c r="I347" t="n">
        <v>5.2</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40372-2025</t>
        </is>
      </c>
      <c r="B348" t="inlineStr">
        <is>
          <t>avverkningsanmälan</t>
        </is>
      </c>
      <c r="C348" t="inlineStr">
        <is>
          <t>Föryngringsavverkning</t>
        </is>
      </c>
      <c r="D348" s="1" t="n">
        <v>45895</v>
      </c>
      <c r="E348" s="1" t="n">
        <v>46321</v>
      </c>
      <c r="F348" t="inlineStr">
        <is>
          <t>GOTLANDS LÄN</t>
        </is>
      </c>
      <c r="G348" t="inlineStr">
        <is>
          <t>GOTLAND</t>
        </is>
      </c>
      <c r="I348" t="n">
        <v>3.3</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9519-2026</t>
        </is>
      </c>
      <c r="B349" t="inlineStr">
        <is>
          <t>avverkningsanmälan</t>
        </is>
      </c>
      <c r="C349" t="inlineStr">
        <is>
          <t>Föryngringsavverkning</t>
        </is>
      </c>
      <c r="D349" s="1" t="n">
        <v>46071</v>
      </c>
      <c r="E349" s="1" t="n">
        <v>46321</v>
      </c>
      <c r="F349" t="inlineStr">
        <is>
          <t>GOTLANDS LÄN</t>
        </is>
      </c>
      <c r="G349" t="inlineStr">
        <is>
          <t>GOTLAND</t>
        </is>
      </c>
      <c r="I349" t="n">
        <v>4</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9521-2026</t>
        </is>
      </c>
      <c r="B350" t="inlineStr">
        <is>
          <t>avverkningsanmälan</t>
        </is>
      </c>
      <c r="C350" t="inlineStr">
        <is>
          <t>Föryngringsavverkning</t>
        </is>
      </c>
      <c r="D350" s="1" t="n">
        <v>46071</v>
      </c>
      <c r="E350" s="1" t="n">
        <v>46321</v>
      </c>
      <c r="F350" t="inlineStr">
        <is>
          <t>GOTLANDS LÄN</t>
        </is>
      </c>
      <c r="G350" t="inlineStr">
        <is>
          <t>GOTLAND</t>
        </is>
      </c>
      <c r="I350" t="n">
        <v>3.9</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9524-2026</t>
        </is>
      </c>
      <c r="B351" t="inlineStr">
        <is>
          <t>avverkningsanmälan</t>
        </is>
      </c>
      <c r="C351" t="inlineStr">
        <is>
          <t>Föryngringsavverkning</t>
        </is>
      </c>
      <c r="D351" s="1" t="n">
        <v>46071</v>
      </c>
      <c r="E351" s="1" t="n">
        <v>46321</v>
      </c>
      <c r="F351" t="inlineStr">
        <is>
          <t>GOTLANDS LÄN</t>
        </is>
      </c>
      <c r="G351" t="inlineStr">
        <is>
          <t>GOTLAND</t>
        </is>
      </c>
      <c r="I351" t="n">
        <v>2.5</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29196-2025</t>
        </is>
      </c>
      <c r="B352" t="inlineStr">
        <is>
          <t>avverkningsanmälan</t>
        </is>
      </c>
      <c r="C352" t="inlineStr">
        <is>
          <t>Föryngringsavverkning</t>
        </is>
      </c>
      <c r="D352" s="1" t="n">
        <v>45822</v>
      </c>
      <c r="E352" s="1" t="n">
        <v>46321</v>
      </c>
      <c r="F352" t="inlineStr">
        <is>
          <t>GOTLANDS LÄN</t>
        </is>
      </c>
      <c r="G352" t="inlineStr">
        <is>
          <t>GOTLAND</t>
        </is>
      </c>
      <c r="I352" t="n">
        <v>0.5</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58160-2024</t>
        </is>
      </c>
      <c r="B353" t="inlineStr">
        <is>
          <t>avverkningsanmälan</t>
        </is>
      </c>
      <c r="C353" t="inlineStr">
        <is>
          <t>Föryngringsavverkning</t>
        </is>
      </c>
      <c r="D353" s="1" t="n">
        <v>45632</v>
      </c>
      <c r="E353" s="1" t="n">
        <v>46321</v>
      </c>
      <c r="F353" t="inlineStr">
        <is>
          <t>GOTLANDS LÄN</t>
        </is>
      </c>
      <c r="G353" t="inlineStr">
        <is>
          <t>GOTLAND</t>
        </is>
      </c>
      <c r="I353" t="n">
        <v>5.6</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3067-2026</t>
        </is>
      </c>
      <c r="B354" t="inlineStr">
        <is>
          <t>avverkningsanmälan</t>
        </is>
      </c>
      <c r="C354" t="inlineStr">
        <is>
          <t>Föryngringsavverkning</t>
        </is>
      </c>
      <c r="D354" s="1" t="n">
        <v>46040</v>
      </c>
      <c r="E354" s="1" t="n">
        <v>46321</v>
      </c>
      <c r="F354" t="inlineStr">
        <is>
          <t>GOTLANDS LÄN</t>
        </is>
      </c>
      <c r="G354" t="inlineStr">
        <is>
          <t>GOTLAND</t>
        </is>
      </c>
      <c r="I354" t="n">
        <v>7.8</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28012-2026</t>
        </is>
      </c>
      <c r="B355" t="inlineStr">
        <is>
          <t>avverkningsanmälan</t>
        </is>
      </c>
      <c r="C355" t="inlineStr">
        <is>
          <t>Föryngringsavverkning</t>
        </is>
      </c>
      <c r="D355" s="1" t="n">
        <v>46195</v>
      </c>
      <c r="E355" s="1" t="n">
        <v>46321</v>
      </c>
      <c r="F355" t="inlineStr">
        <is>
          <t>GOTLANDS LÄN</t>
        </is>
      </c>
      <c r="G355" t="inlineStr">
        <is>
          <t>GOTLAND</t>
        </is>
      </c>
      <c r="I355" t="n">
        <v>2.3</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41129-2026</t>
        </is>
      </c>
      <c r="B356" t="inlineStr">
        <is>
          <t>avverkningsanmälan</t>
        </is>
      </c>
      <c r="C356" t="inlineStr">
        <is>
          <t>Föryngringsavverkning</t>
        </is>
      </c>
      <c r="D356" s="1" t="n">
        <v>46300</v>
      </c>
      <c r="E356" s="1" t="n">
        <v>46321</v>
      </c>
      <c r="F356" t="inlineStr">
        <is>
          <t>GOTLANDS LÄN</t>
        </is>
      </c>
      <c r="G356" t="inlineStr">
        <is>
          <t>GOTLAND</t>
        </is>
      </c>
      <c r="I356" t="n">
        <v>7.7</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16109-2025</t>
        </is>
      </c>
      <c r="B357" t="inlineStr">
        <is>
          <t>avverkningsanmälan</t>
        </is>
      </c>
      <c r="C357" t="inlineStr">
        <is>
          <t>Avverkning för annat ändamål</t>
        </is>
      </c>
      <c r="D357" s="1" t="n">
        <v>45750</v>
      </c>
      <c r="E357" s="1" t="n">
        <v>46321</v>
      </c>
      <c r="F357" t="inlineStr">
        <is>
          <t>GOTLANDS LÄN</t>
        </is>
      </c>
      <c r="G357" t="inlineStr">
        <is>
          <t>GOTLAND</t>
        </is>
      </c>
      <c r="I357" t="n">
        <v>4.9</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30365-2024</t>
        </is>
      </c>
      <c r="B358" t="inlineStr">
        <is>
          <t>avverkningsanmälan</t>
        </is>
      </c>
      <c r="C358" t="inlineStr">
        <is>
          <t>Föryngringsavverkning</t>
        </is>
      </c>
      <c r="D358" s="1" t="n">
        <v>45491</v>
      </c>
      <c r="E358" s="1" t="n">
        <v>46321</v>
      </c>
      <c r="F358" t="inlineStr">
        <is>
          <t>GOTLANDS LÄN</t>
        </is>
      </c>
      <c r="G358" t="inlineStr">
        <is>
          <t>GOTLAND</t>
        </is>
      </c>
      <c r="I358" t="n">
        <v>0.5</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41034-2026</t>
        </is>
      </c>
      <c r="B359" t="inlineStr">
        <is>
          <t>avverkningsanmälan</t>
        </is>
      </c>
      <c r="C359" t="inlineStr">
        <is>
          <t>Föryngringsavverkning</t>
        </is>
      </c>
      <c r="D359" s="1" t="n">
        <v>46298</v>
      </c>
      <c r="E359" s="1" t="n">
        <v>46321</v>
      </c>
      <c r="F359" t="inlineStr">
        <is>
          <t>GOTLANDS LÄN</t>
        </is>
      </c>
      <c r="G359" t="inlineStr">
        <is>
          <t>GOTLAND</t>
        </is>
      </c>
      <c r="I359" t="n">
        <v>11.6</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1681-2023</t>
        </is>
      </c>
      <c r="B360" t="inlineStr">
        <is>
          <t>avverkningsanmälan</t>
        </is>
      </c>
      <c r="C360" t="inlineStr">
        <is>
          <t>Föryngringsavverkning</t>
        </is>
      </c>
      <c r="D360" s="1" t="n">
        <v>44938</v>
      </c>
      <c r="E360" s="1" t="n">
        <v>46321</v>
      </c>
      <c r="F360" t="inlineStr">
        <is>
          <t>GOTLANDS LÄN</t>
        </is>
      </c>
      <c r="G360" t="inlineStr">
        <is>
          <t>GOTLAND</t>
        </is>
      </c>
      <c r="I360" t="n">
        <v>2.4</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37990-2026</t>
        </is>
      </c>
      <c r="B361" t="inlineStr">
        <is>
          <t>avverkningsanmälan</t>
        </is>
      </c>
      <c r="C361" t="inlineStr">
        <is>
          <t>Avverkning för annat ändamål</t>
        </is>
      </c>
      <c r="D361" s="1" t="n">
        <v>46280</v>
      </c>
      <c r="E361" s="1" t="n">
        <v>46321</v>
      </c>
      <c r="F361" t="inlineStr">
        <is>
          <t>GOTLANDS LÄN</t>
        </is>
      </c>
      <c r="G361" t="inlineStr">
        <is>
          <t>GOTLAND</t>
        </is>
      </c>
      <c r="I361" t="n">
        <v>3.2</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28839-2026</t>
        </is>
      </c>
      <c r="B362" t="inlineStr">
        <is>
          <t>avverkningsanmälan</t>
        </is>
      </c>
      <c r="C362" t="inlineStr">
        <is>
          <t>Föryngringsavverkning</t>
        </is>
      </c>
      <c r="D362" s="1" t="n">
        <v>46198</v>
      </c>
      <c r="E362" s="1" t="n">
        <v>46321</v>
      </c>
      <c r="F362" t="inlineStr">
        <is>
          <t>GOTLANDS LÄN</t>
        </is>
      </c>
      <c r="G362" t="inlineStr">
        <is>
          <t>GOTLAND</t>
        </is>
      </c>
      <c r="I362" t="n">
        <v>1.8</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41436-2026</t>
        </is>
      </c>
      <c r="B363" t="inlineStr">
        <is>
          <t>avverkningsanmälan</t>
        </is>
      </c>
      <c r="C363" t="inlineStr">
        <is>
          <t>Föryngringsavverkning</t>
        </is>
      </c>
      <c r="D363" s="1" t="n">
        <v>46301</v>
      </c>
      <c r="E363" s="1" t="n">
        <v>46321</v>
      </c>
      <c r="F363" t="inlineStr">
        <is>
          <t>GOTLANDS LÄN</t>
        </is>
      </c>
      <c r="G363" t="inlineStr">
        <is>
          <t>GOTLAND</t>
        </is>
      </c>
      <c r="I363" t="n">
        <v>1.1</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35123-2025</t>
        </is>
      </c>
      <c r="B364" t="inlineStr">
        <is>
          <t>avverkningsanmälan</t>
        </is>
      </c>
      <c r="C364" t="inlineStr">
        <is>
          <t>Föryngringsavverkning</t>
        </is>
      </c>
      <c r="D364" s="1" t="n">
        <v>45852</v>
      </c>
      <c r="E364" s="1" t="n">
        <v>46321</v>
      </c>
      <c r="F364" t="inlineStr">
        <is>
          <t>GOTLANDS LÄN</t>
        </is>
      </c>
      <c r="G364" t="inlineStr">
        <is>
          <t>GOTLAND</t>
        </is>
      </c>
      <c r="I364" t="n">
        <v>1.1</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32669-2024</t>
        </is>
      </c>
      <c r="B365" t="inlineStr">
        <is>
          <t>avverkningsanmälan</t>
        </is>
      </c>
      <c r="C365" t="inlineStr">
        <is>
          <t>Föryngringsavverkning</t>
        </is>
      </c>
      <c r="D365" s="1" t="n">
        <v>45514</v>
      </c>
      <c r="E365" s="1" t="n">
        <v>46321</v>
      </c>
      <c r="F365" t="inlineStr">
        <is>
          <t>GOTLANDS LÄN</t>
        </is>
      </c>
      <c r="G365" t="inlineStr">
        <is>
          <t>GOTLAND</t>
        </is>
      </c>
      <c r="I365" t="n">
        <v>9.699999999999999</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6099-2024</t>
        </is>
      </c>
      <c r="B366" t="inlineStr">
        <is>
          <t>avverkningsanmälan</t>
        </is>
      </c>
      <c r="C366" t="inlineStr">
        <is>
          <t>Föryngringsavverkning</t>
        </is>
      </c>
      <c r="D366" s="1" t="n">
        <v>45337</v>
      </c>
      <c r="E366" s="1" t="n">
        <v>46321</v>
      </c>
      <c r="F366" t="inlineStr">
        <is>
          <t>GOTLANDS LÄN</t>
        </is>
      </c>
      <c r="G366" t="inlineStr">
        <is>
          <t>GOTLAND</t>
        </is>
      </c>
      <c r="I366" t="n">
        <v>12.6</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41520-2026</t>
        </is>
      </c>
      <c r="B367" t="inlineStr">
        <is>
          <t>avverkningsanmälan</t>
        </is>
      </c>
      <c r="C367" t="inlineStr">
        <is>
          <t>Föryngringsavverkning</t>
        </is>
      </c>
      <c r="D367" s="1" t="n">
        <v>46301</v>
      </c>
      <c r="E367" s="1" t="n">
        <v>46321</v>
      </c>
      <c r="F367" t="inlineStr">
        <is>
          <t>GOTLANDS LÄN</t>
        </is>
      </c>
      <c r="G367" t="inlineStr">
        <is>
          <t>GOTLAND</t>
        </is>
      </c>
      <c r="I367" t="n">
        <v>2.3</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15216-2025</t>
        </is>
      </c>
      <c r="B368" t="inlineStr">
        <is>
          <t>avverkningsanmälan</t>
        </is>
      </c>
      <c r="C368" t="inlineStr">
        <is>
          <t>Föryngringsavverkning</t>
        </is>
      </c>
      <c r="D368" s="1" t="n">
        <v>45744</v>
      </c>
      <c r="E368" s="1" t="n">
        <v>46321</v>
      </c>
      <c r="F368" t="inlineStr">
        <is>
          <t>GOTLANDS LÄN</t>
        </is>
      </c>
      <c r="G368" t="inlineStr">
        <is>
          <t>GOTLAND</t>
        </is>
      </c>
      <c r="I368" t="n">
        <v>1.2</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43790-2024</t>
        </is>
      </c>
      <c r="B369" t="inlineStr">
        <is>
          <t>avverkningsanmälan</t>
        </is>
      </c>
      <c r="C369" t="inlineStr">
        <is>
          <t>Föryngringsavverkning</t>
        </is>
      </c>
      <c r="D369" s="1" t="n">
        <v>45571</v>
      </c>
      <c r="E369" s="1" t="n">
        <v>46321</v>
      </c>
      <c r="F369" t="inlineStr">
        <is>
          <t>GOTLANDS LÄN</t>
        </is>
      </c>
      <c r="G369" t="inlineStr">
        <is>
          <t>GOTLAND</t>
        </is>
      </c>
      <c r="I369" t="n">
        <v>3.5</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15001-2025</t>
        </is>
      </c>
      <c r="B370" t="inlineStr">
        <is>
          <t>avverkningsanmälan</t>
        </is>
      </c>
      <c r="C370" t="inlineStr">
        <is>
          <t>Föryngringsavverkning</t>
        </is>
      </c>
      <c r="D370" s="1" t="n">
        <v>45743</v>
      </c>
      <c r="E370" s="1" t="n">
        <v>46321</v>
      </c>
      <c r="F370" t="inlineStr">
        <is>
          <t>GOTLANDS LÄN</t>
        </is>
      </c>
      <c r="G370" t="inlineStr">
        <is>
          <t>GOTLAND</t>
        </is>
      </c>
      <c r="I370" t="n">
        <v>1.2</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30488-2025</t>
        </is>
      </c>
      <c r="B371" t="inlineStr">
        <is>
          <t>avverkningsanmälan</t>
        </is>
      </c>
      <c r="C371" t="inlineStr">
        <is>
          <t>Föryngringsavverkning</t>
        </is>
      </c>
      <c r="D371" s="1" t="n">
        <v>45830</v>
      </c>
      <c r="E371" s="1" t="n">
        <v>46321</v>
      </c>
      <c r="F371" t="inlineStr">
        <is>
          <t>GOTLANDS LÄN</t>
        </is>
      </c>
      <c r="G371" t="inlineStr">
        <is>
          <t>GOTLAND</t>
        </is>
      </c>
      <c r="H371" t="inlineStr">
        <is>
          <t>Kyrkan</t>
        </is>
      </c>
      <c r="I371" t="n">
        <v>3.9</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17847-2025</t>
        </is>
      </c>
      <c r="B372" t="inlineStr">
        <is>
          <t>avverkningsanmälan</t>
        </is>
      </c>
      <c r="C372" t="inlineStr">
        <is>
          <t>Föryngringsavverkning</t>
        </is>
      </c>
      <c r="D372" s="1" t="n">
        <v>45758</v>
      </c>
      <c r="E372" s="1" t="n">
        <v>46321</v>
      </c>
      <c r="F372" t="inlineStr">
        <is>
          <t>GOTLANDS LÄN</t>
        </is>
      </c>
      <c r="G372" t="inlineStr">
        <is>
          <t>GOTLAND</t>
        </is>
      </c>
      <c r="I372" t="n">
        <v>1.9</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18742-2025</t>
        </is>
      </c>
      <c r="B373" t="inlineStr">
        <is>
          <t>avverkningsanmälan</t>
        </is>
      </c>
      <c r="C373" t="inlineStr">
        <is>
          <t>Avverkning för annat ändamål</t>
        </is>
      </c>
      <c r="D373" s="1" t="n">
        <v>45763</v>
      </c>
      <c r="E373" s="1" t="n">
        <v>46321</v>
      </c>
      <c r="F373" t="inlineStr">
        <is>
          <t>GOTLANDS LÄN</t>
        </is>
      </c>
      <c r="G373" t="inlineStr">
        <is>
          <t>GOTLAND</t>
        </is>
      </c>
      <c r="I373" t="n">
        <v>3.4</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35129-2025</t>
        </is>
      </c>
      <c r="B374" t="inlineStr">
        <is>
          <t>avverkningsanmälan</t>
        </is>
      </c>
      <c r="C374" t="inlineStr">
        <is>
          <t>Föryngringsavverkning</t>
        </is>
      </c>
      <c r="D374" s="1" t="n">
        <v>45852</v>
      </c>
      <c r="E374" s="1" t="n">
        <v>46321</v>
      </c>
      <c r="F374" t="inlineStr">
        <is>
          <t>GOTLANDS LÄN</t>
        </is>
      </c>
      <c r="G374" t="inlineStr">
        <is>
          <t>GOTLAND</t>
        </is>
      </c>
      <c r="I374" t="n">
        <v>3.2</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58780-2024</t>
        </is>
      </c>
      <c r="B375" t="inlineStr">
        <is>
          <t>avverkningsanmälan</t>
        </is>
      </c>
      <c r="C375" t="inlineStr">
        <is>
          <t>Föryngringsavverkning</t>
        </is>
      </c>
      <c r="D375" s="1" t="n">
        <v>45635</v>
      </c>
      <c r="E375" s="1" t="n">
        <v>46321</v>
      </c>
      <c r="F375" t="inlineStr">
        <is>
          <t>GOTLANDS LÄN</t>
        </is>
      </c>
      <c r="G375" t="inlineStr">
        <is>
          <t>GOTLAND</t>
        </is>
      </c>
      <c r="I375" t="n">
        <v>2.6</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33876-2024</t>
        </is>
      </c>
      <c r="B376" t="inlineStr">
        <is>
          <t>avverkningsanmälan</t>
        </is>
      </c>
      <c r="C376" t="inlineStr">
        <is>
          <t>Föryngringsavverkning</t>
        </is>
      </c>
      <c r="D376" s="1" t="n">
        <v>45521</v>
      </c>
      <c r="E376" s="1" t="n">
        <v>46321</v>
      </c>
      <c r="F376" t="inlineStr">
        <is>
          <t>GOTLANDS LÄN</t>
        </is>
      </c>
      <c r="G376" t="inlineStr">
        <is>
          <t>GOTLAND</t>
        </is>
      </c>
      <c r="I376" t="n">
        <v>1.3</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6108-2025</t>
        </is>
      </c>
      <c r="B377" t="inlineStr">
        <is>
          <t>avverkningsanmälan</t>
        </is>
      </c>
      <c r="C377" t="inlineStr">
        <is>
          <t>Föryngringsavverkning</t>
        </is>
      </c>
      <c r="D377" s="1" t="n">
        <v>45698</v>
      </c>
      <c r="E377" s="1" t="n">
        <v>46321</v>
      </c>
      <c r="F377" t="inlineStr">
        <is>
          <t>GOTLANDS LÄN</t>
        </is>
      </c>
      <c r="G377" t="inlineStr">
        <is>
          <t>GOTLAND</t>
        </is>
      </c>
      <c r="I377" t="n">
        <v>2.8</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21142-2025</t>
        </is>
      </c>
      <c r="B378" t="inlineStr">
        <is>
          <t>avverkningsanmälan</t>
        </is>
      </c>
      <c r="C378" t="inlineStr">
        <is>
          <t>Föryngringsavverkning</t>
        </is>
      </c>
      <c r="D378" s="1" t="n">
        <v>45779</v>
      </c>
      <c r="E378" s="1" t="n">
        <v>46321</v>
      </c>
      <c r="F378" t="inlineStr">
        <is>
          <t>GOTLANDS LÄN</t>
        </is>
      </c>
      <c r="G378" t="inlineStr">
        <is>
          <t>GOTLAND</t>
        </is>
      </c>
      <c r="I378" t="n">
        <v>1.3</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18938-2025</t>
        </is>
      </c>
      <c r="B379" t="inlineStr">
        <is>
          <t>avverkningsanmälan</t>
        </is>
      </c>
      <c r="C379" t="inlineStr">
        <is>
          <t>Föryngringsavverkning</t>
        </is>
      </c>
      <c r="D379" s="1" t="n">
        <v>45764</v>
      </c>
      <c r="E379" s="1" t="n">
        <v>46321</v>
      </c>
      <c r="F379" t="inlineStr">
        <is>
          <t>GOTLANDS LÄN</t>
        </is>
      </c>
      <c r="G379" t="inlineStr">
        <is>
          <t>GOTLAND</t>
        </is>
      </c>
      <c r="I379" t="n">
        <v>1.1</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18804-2026</t>
        </is>
      </c>
      <c r="B380" t="inlineStr">
        <is>
          <t>avverkningsanmälan</t>
        </is>
      </c>
      <c r="C380" t="inlineStr">
        <is>
          <t>Föryngringsavverkning</t>
        </is>
      </c>
      <c r="D380" s="1" t="n">
        <v>46128</v>
      </c>
      <c r="E380" s="1" t="n">
        <v>46321</v>
      </c>
      <c r="F380" t="inlineStr">
        <is>
          <t>GOTLANDS LÄN</t>
        </is>
      </c>
      <c r="G380" t="inlineStr">
        <is>
          <t>GOTLAND</t>
        </is>
      </c>
      <c r="H380" t="inlineStr">
        <is>
          <t>Kyrkan</t>
        </is>
      </c>
      <c r="I380" t="n">
        <v>2.6</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28285-2024</t>
        </is>
      </c>
      <c r="B381" t="inlineStr">
        <is>
          <t>avverkningsanmälan</t>
        </is>
      </c>
      <c r="C381" t="inlineStr">
        <is>
          <t>Avverkning för annat ändamål</t>
        </is>
      </c>
      <c r="D381" s="1" t="n">
        <v>45477</v>
      </c>
      <c r="E381" s="1" t="n">
        <v>46321</v>
      </c>
      <c r="F381" t="inlineStr">
        <is>
          <t>GOTLANDS LÄN</t>
        </is>
      </c>
      <c r="G381" t="inlineStr">
        <is>
          <t>GOTLAND</t>
        </is>
      </c>
      <c r="I381" t="n">
        <v>1.6</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61682-2024</t>
        </is>
      </c>
      <c r="B382" t="inlineStr">
        <is>
          <t>avverkningsanmälan</t>
        </is>
      </c>
      <c r="C382" t="inlineStr">
        <is>
          <t>Föryngringsavverkning</t>
        </is>
      </c>
      <c r="D382" s="1" t="n">
        <v>45647</v>
      </c>
      <c r="E382" s="1" t="n">
        <v>46321</v>
      </c>
      <c r="F382" t="inlineStr">
        <is>
          <t>GOTLANDS LÄN</t>
        </is>
      </c>
      <c r="G382" t="inlineStr">
        <is>
          <t>GOTLAND</t>
        </is>
      </c>
      <c r="I382" t="n">
        <v>1.9</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26467-2025</t>
        </is>
      </c>
      <c r="B383" t="inlineStr">
        <is>
          <t>avverkningsanmälan</t>
        </is>
      </c>
      <c r="C383" t="inlineStr">
        <is>
          <t>Föryngringsavverkning</t>
        </is>
      </c>
      <c r="D383" s="1" t="n">
        <v>45807</v>
      </c>
      <c r="E383" s="1" t="n">
        <v>46321</v>
      </c>
      <c r="F383" t="inlineStr">
        <is>
          <t>GOTLANDS LÄN</t>
        </is>
      </c>
      <c r="G383" t="inlineStr">
        <is>
          <t>GOTLAND</t>
        </is>
      </c>
      <c r="I383" t="n">
        <v>0.7</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29207-2025</t>
        </is>
      </c>
      <c r="B384" t="inlineStr">
        <is>
          <t>avverkningsanmälan</t>
        </is>
      </c>
      <c r="C384" t="inlineStr">
        <is>
          <t>Föryngringsavverkning</t>
        </is>
      </c>
      <c r="D384" s="1" t="n">
        <v>45823</v>
      </c>
      <c r="E384" s="1" t="n">
        <v>46321</v>
      </c>
      <c r="F384" t="inlineStr">
        <is>
          <t>GOTLANDS LÄN</t>
        </is>
      </c>
      <c r="G384" t="inlineStr">
        <is>
          <t>GOTLAND</t>
        </is>
      </c>
      <c r="I384" t="n">
        <v>1.9</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25796-2025</t>
        </is>
      </c>
      <c r="B385" t="inlineStr">
        <is>
          <t>avverkningsanmälan</t>
        </is>
      </c>
      <c r="C385" t="inlineStr">
        <is>
          <t>Föryngringsavverkning</t>
        </is>
      </c>
      <c r="D385" s="1" t="n">
        <v>45804</v>
      </c>
      <c r="E385" s="1" t="n">
        <v>46321</v>
      </c>
      <c r="F385" t="inlineStr">
        <is>
          <t>GOTLANDS LÄN</t>
        </is>
      </c>
      <c r="G385" t="inlineStr">
        <is>
          <t>GOTLAND</t>
        </is>
      </c>
      <c r="I385" t="n">
        <v>2</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2180-2025</t>
        </is>
      </c>
      <c r="B386" t="inlineStr">
        <is>
          <t>avverkningsanmälan</t>
        </is>
      </c>
      <c r="C386" t="inlineStr">
        <is>
          <t>Föryngringsavverkning</t>
        </is>
      </c>
      <c r="D386" s="1" t="n">
        <v>45673</v>
      </c>
      <c r="E386" s="1" t="n">
        <v>46321</v>
      </c>
      <c r="F386" t="inlineStr">
        <is>
          <t>GOTLANDS LÄN</t>
        </is>
      </c>
      <c r="G386" t="inlineStr">
        <is>
          <t>GOTLAND</t>
        </is>
      </c>
      <c r="I386" t="n">
        <v>0.7</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42801-2026</t>
        </is>
      </c>
      <c r="B387" t="inlineStr">
        <is>
          <t>avverkningsanmälan</t>
        </is>
      </c>
      <c r="C387" t="inlineStr">
        <is>
          <t>Avverkning för annat ändamål</t>
        </is>
      </c>
      <c r="D387" s="1" t="n">
        <v>46309</v>
      </c>
      <c r="E387" s="1" t="n">
        <v>46321</v>
      </c>
      <c r="F387" t="inlineStr">
        <is>
          <t>GOTLANDS LÄN</t>
        </is>
      </c>
      <c r="G387" t="inlineStr">
        <is>
          <t>GOTLAND</t>
        </is>
      </c>
      <c r="I387" t="n">
        <v>5</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20225-2025</t>
        </is>
      </c>
      <c r="B388" t="inlineStr">
        <is>
          <t>avverkningsanmälan</t>
        </is>
      </c>
      <c r="C388" t="inlineStr">
        <is>
          <t>Föryngringsavverkning</t>
        </is>
      </c>
      <c r="D388" s="1" t="n">
        <v>45772</v>
      </c>
      <c r="E388" s="1" t="n">
        <v>46321</v>
      </c>
      <c r="F388" t="inlineStr">
        <is>
          <t>GOTLANDS LÄN</t>
        </is>
      </c>
      <c r="G388" t="inlineStr">
        <is>
          <t>GOTLAND</t>
        </is>
      </c>
      <c r="I388" t="n">
        <v>1.1</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32379-2025</t>
        </is>
      </c>
      <c r="B389" t="inlineStr">
        <is>
          <t>avverkningsanmälan</t>
        </is>
      </c>
      <c r="C389" t="inlineStr">
        <is>
          <t>Föryngringsavverkning</t>
        </is>
      </c>
      <c r="D389" s="1" t="n">
        <v>45837</v>
      </c>
      <c r="E389" s="1" t="n">
        <v>46321</v>
      </c>
      <c r="F389" t="inlineStr">
        <is>
          <t>GOTLANDS LÄN</t>
        </is>
      </c>
      <c r="G389" t="inlineStr">
        <is>
          <t>GOTLAND</t>
        </is>
      </c>
      <c r="I389" t="n">
        <v>1</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45112-2024</t>
        </is>
      </c>
      <c r="B390" t="inlineStr">
        <is>
          <t>avverkningsanmälan</t>
        </is>
      </c>
      <c r="C390" t="inlineStr">
        <is>
          <t>Föryngringsavverkning</t>
        </is>
      </c>
      <c r="D390" s="1" t="n">
        <v>45575</v>
      </c>
      <c r="E390" s="1" t="n">
        <v>46321</v>
      </c>
      <c r="F390" t="inlineStr">
        <is>
          <t>GOTLANDS LÄN</t>
        </is>
      </c>
      <c r="G390" t="inlineStr">
        <is>
          <t>GOTLAND</t>
        </is>
      </c>
      <c r="I390" t="n">
        <v>5.1</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13910-2025</t>
        </is>
      </c>
      <c r="B391" t="inlineStr">
        <is>
          <t>avverkningsanmälan</t>
        </is>
      </c>
      <c r="C391" t="inlineStr">
        <is>
          <t>Föryngringsavverkning</t>
        </is>
      </c>
      <c r="D391" s="1" t="n">
        <v>45737</v>
      </c>
      <c r="E391" s="1" t="n">
        <v>46321</v>
      </c>
      <c r="F391" t="inlineStr">
        <is>
          <t>GOTLANDS LÄN</t>
        </is>
      </c>
      <c r="G391" t="inlineStr">
        <is>
          <t>GOTLAND</t>
        </is>
      </c>
      <c r="H391" t="inlineStr">
        <is>
          <t>Kommuner</t>
        </is>
      </c>
      <c r="I391" t="n">
        <v>3.2</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36499-2026</t>
        </is>
      </c>
      <c r="B392" t="inlineStr">
        <is>
          <t>avverkningsanmälan</t>
        </is>
      </c>
      <c r="C392" t="inlineStr">
        <is>
          <t>Föryngringsavverkning</t>
        </is>
      </c>
      <c r="D392" s="1" t="n">
        <v>46268</v>
      </c>
      <c r="E392" s="1" t="n">
        <v>46321</v>
      </c>
      <c r="F392" t="inlineStr">
        <is>
          <t>GOTLANDS LÄN</t>
        </is>
      </c>
      <c r="G392" t="inlineStr">
        <is>
          <t>GOTLAND</t>
        </is>
      </c>
      <c r="H392" t="inlineStr">
        <is>
          <t>Kommuner</t>
        </is>
      </c>
      <c r="I392" t="n">
        <v>1.5</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36510-2026</t>
        </is>
      </c>
      <c r="B393" t="inlineStr">
        <is>
          <t>avverkningsanmälan</t>
        </is>
      </c>
      <c r="C393" t="inlineStr">
        <is>
          <t>Föryngringsavverkning</t>
        </is>
      </c>
      <c r="D393" s="1" t="n">
        <v>46268</v>
      </c>
      <c r="E393" s="1" t="n">
        <v>46321</v>
      </c>
      <c r="F393" t="inlineStr">
        <is>
          <t>GOTLANDS LÄN</t>
        </is>
      </c>
      <c r="G393" t="inlineStr">
        <is>
          <t>GOTLAND</t>
        </is>
      </c>
      <c r="H393" t="inlineStr">
        <is>
          <t>Kommuner</t>
        </is>
      </c>
      <c r="I393" t="n">
        <v>4.6</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30925-2026</t>
        </is>
      </c>
      <c r="B394" t="inlineStr">
        <is>
          <t>avverkningsanmälan</t>
        </is>
      </c>
      <c r="C394" t="inlineStr">
        <is>
          <t>Föryngringsavverkning</t>
        </is>
      </c>
      <c r="D394" s="1" t="n">
        <v>46213</v>
      </c>
      <c r="E394" s="1" t="n">
        <v>46321</v>
      </c>
      <c r="F394" t="inlineStr">
        <is>
          <t>GOTLANDS LÄN</t>
        </is>
      </c>
      <c r="G394" t="inlineStr">
        <is>
          <t>GOTLAND</t>
        </is>
      </c>
      <c r="I394" t="n">
        <v>1.7</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6959-2026</t>
        </is>
      </c>
      <c r="B395" t="inlineStr">
        <is>
          <t>avverkningsanmälan</t>
        </is>
      </c>
      <c r="C395" t="inlineStr">
        <is>
          <t>Föryngringsavverkning</t>
        </is>
      </c>
      <c r="D395" s="1" t="n">
        <v>46057</v>
      </c>
      <c r="E395" s="1" t="n">
        <v>46321</v>
      </c>
      <c r="F395" t="inlineStr">
        <is>
          <t>GOTLANDS LÄN</t>
        </is>
      </c>
      <c r="G395" t="inlineStr">
        <is>
          <t>GOTLAND</t>
        </is>
      </c>
      <c r="H395" t="inlineStr">
        <is>
          <t>Kyrkan</t>
        </is>
      </c>
      <c r="I395" t="n">
        <v>1.2</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17688-2024</t>
        </is>
      </c>
      <c r="B396" t="inlineStr">
        <is>
          <t>avverkningsanmälan</t>
        </is>
      </c>
      <c r="C396" t="inlineStr">
        <is>
          <t>Föryngringsavverkning</t>
        </is>
      </c>
      <c r="D396" s="1" t="n">
        <v>45418</v>
      </c>
      <c r="E396" s="1" t="n">
        <v>46321</v>
      </c>
      <c r="F396" t="inlineStr">
        <is>
          <t>GOTLANDS LÄN</t>
        </is>
      </c>
      <c r="G396" t="inlineStr">
        <is>
          <t>GOTLAND</t>
        </is>
      </c>
      <c r="I396" t="n">
        <v>1.2</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38165-2023</t>
        </is>
      </c>
      <c r="B397" t="inlineStr">
        <is>
          <t>avverkningsanmälan</t>
        </is>
      </c>
      <c r="C397" t="inlineStr">
        <is>
          <t>Föryngringsavverkning</t>
        </is>
      </c>
      <c r="D397" s="1" t="n">
        <v>45161</v>
      </c>
      <c r="E397" s="1" t="n">
        <v>46321</v>
      </c>
      <c r="F397" t="inlineStr">
        <is>
          <t>GOTLANDS LÄN</t>
        </is>
      </c>
      <c r="G397" t="inlineStr">
        <is>
          <t>GOTLAND</t>
        </is>
      </c>
      <c r="I397" t="n">
        <v>2.6</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43875-2026</t>
        </is>
      </c>
      <c r="B398" t="inlineStr">
        <is>
          <t>avverkningsanmälan</t>
        </is>
      </c>
      <c r="C398" t="inlineStr">
        <is>
          <t>Föryngringsavverkning</t>
        </is>
      </c>
      <c r="D398" s="1" t="n">
        <v>46316</v>
      </c>
      <c r="E398" s="1" t="n">
        <v>46321</v>
      </c>
      <c r="F398" t="inlineStr">
        <is>
          <t>GOTLANDS LÄN</t>
        </is>
      </c>
      <c r="G398" t="inlineStr">
        <is>
          <t>GOTLAND</t>
        </is>
      </c>
      <c r="I398" t="n">
        <v>4.4</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35512-2023</t>
        </is>
      </c>
      <c r="B399" t="inlineStr">
        <is>
          <t>avverkningsanmälan</t>
        </is>
      </c>
      <c r="C399" t="inlineStr">
        <is>
          <t>Föryngringsavverkning</t>
        </is>
      </c>
      <c r="D399" s="1" t="n">
        <v>45147</v>
      </c>
      <c r="E399" s="1" t="n">
        <v>46321</v>
      </c>
      <c r="F399" t="inlineStr">
        <is>
          <t>GOTLANDS LÄN</t>
        </is>
      </c>
      <c r="G399" t="inlineStr">
        <is>
          <t>GOTLAND</t>
        </is>
      </c>
      <c r="I399" t="n">
        <v>1.2</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5905-2024</t>
        </is>
      </c>
      <c r="B400" t="inlineStr">
        <is>
          <t>avverkningsanmälan</t>
        </is>
      </c>
      <c r="C400" t="inlineStr">
        <is>
          <t>Föryngringsavverkning</t>
        </is>
      </c>
      <c r="D400" s="1" t="n">
        <v>45335</v>
      </c>
      <c r="E400" s="1" t="n">
        <v>46321</v>
      </c>
      <c r="F400" t="inlineStr">
        <is>
          <t>GOTLANDS LÄN</t>
        </is>
      </c>
      <c r="G400" t="inlineStr">
        <is>
          <t>GOTLAND</t>
        </is>
      </c>
      <c r="I400" t="n">
        <v>3</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30926-2026</t>
        </is>
      </c>
      <c r="B401" t="inlineStr">
        <is>
          <t>avverkningsanmälan</t>
        </is>
      </c>
      <c r="C401" t="inlineStr">
        <is>
          <t>Föryngringsavverkning</t>
        </is>
      </c>
      <c r="D401" s="1" t="n">
        <v>46213</v>
      </c>
      <c r="E401" s="1" t="n">
        <v>46321</v>
      </c>
      <c r="F401" t="inlineStr">
        <is>
          <t>GOTLANDS LÄN</t>
        </is>
      </c>
      <c r="G401" t="inlineStr">
        <is>
          <t>GOTLAND</t>
        </is>
      </c>
      <c r="I401" t="n">
        <v>6</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1291-2023</t>
        </is>
      </c>
      <c r="B402" t="inlineStr">
        <is>
          <t>avverkningsanmälan</t>
        </is>
      </c>
      <c r="C402" t="inlineStr">
        <is>
          <t>Föryngringsavverkning</t>
        </is>
      </c>
      <c r="D402" s="1" t="n">
        <v>44936</v>
      </c>
      <c r="E402" s="1" t="n">
        <v>46321</v>
      </c>
      <c r="F402" t="inlineStr">
        <is>
          <t>GOTLANDS LÄN</t>
        </is>
      </c>
      <c r="G402" t="inlineStr">
        <is>
          <t>GOTLAND</t>
        </is>
      </c>
      <c r="I402" t="n">
        <v>7.4</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57652-2023</t>
        </is>
      </c>
      <c r="B403" t="inlineStr">
        <is>
          <t>avverkningsanmälan</t>
        </is>
      </c>
      <c r="C403" t="inlineStr">
        <is>
          <t>Avverkning för annat ändamål</t>
        </is>
      </c>
      <c r="D403" s="1" t="n">
        <v>45246</v>
      </c>
      <c r="E403" s="1" t="n">
        <v>46321</v>
      </c>
      <c r="F403" t="inlineStr">
        <is>
          <t>GOTLANDS LÄN</t>
        </is>
      </c>
      <c r="G403" t="inlineStr">
        <is>
          <t>GOTLAND</t>
        </is>
      </c>
      <c r="I403" t="n">
        <v>7.2</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43924-2026</t>
        </is>
      </c>
      <c r="B404" t="inlineStr">
        <is>
          <t>avverkningsanmälan</t>
        </is>
      </c>
      <c r="C404" t="inlineStr">
        <is>
          <t>Föryngringsavverkning</t>
        </is>
      </c>
      <c r="D404" s="1" t="n">
        <v>46317</v>
      </c>
      <c r="E404" s="1" t="n">
        <v>46321</v>
      </c>
      <c r="F404" t="inlineStr">
        <is>
          <t>GOTLANDS LÄN</t>
        </is>
      </c>
      <c r="G404" t="inlineStr">
        <is>
          <t>GOTLAND</t>
        </is>
      </c>
      <c r="I404" t="n">
        <v>3.2</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49315-2024</t>
        </is>
      </c>
      <c r="B405" t="inlineStr">
        <is>
          <t>avverkningsanmälan</t>
        </is>
      </c>
      <c r="C405" t="inlineStr">
        <is>
          <t>Avverkning för annat ändamål</t>
        </is>
      </c>
      <c r="D405" s="1" t="n">
        <v>45595</v>
      </c>
      <c r="E405" s="1" t="n">
        <v>46321</v>
      </c>
      <c r="F405" t="inlineStr">
        <is>
          <t>GOTLANDS LÄN</t>
        </is>
      </c>
      <c r="G405" t="inlineStr">
        <is>
          <t>GOTLAND</t>
        </is>
      </c>
      <c r="I405" t="n">
        <v>1.5</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2676-2023</t>
        </is>
      </c>
      <c r="B406" t="inlineStr">
        <is>
          <t>avverkningsanmälan</t>
        </is>
      </c>
      <c r="C406" t="inlineStr">
        <is>
          <t>Avverkning för annat ändamål</t>
        </is>
      </c>
      <c r="D406" s="1" t="n">
        <v>44944</v>
      </c>
      <c r="E406" s="1" t="n">
        <v>46321</v>
      </c>
      <c r="F406" t="inlineStr">
        <is>
          <t>GOTLANDS LÄN</t>
        </is>
      </c>
      <c r="G406" t="inlineStr">
        <is>
          <t>GOTLAND</t>
        </is>
      </c>
      <c r="I406" t="n">
        <v>0.7</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8484-2025</t>
        </is>
      </c>
      <c r="B407" t="inlineStr">
        <is>
          <t>avverkningsanmälan</t>
        </is>
      </c>
      <c r="C407" t="inlineStr">
        <is>
          <t>Avverkning för annat ändamål</t>
        </is>
      </c>
      <c r="D407" s="1" t="n">
        <v>45709</v>
      </c>
      <c r="E407" s="1" t="n">
        <v>46321</v>
      </c>
      <c r="F407" t="inlineStr">
        <is>
          <t>GOTLANDS LÄN</t>
        </is>
      </c>
      <c r="G407" t="inlineStr">
        <is>
          <t>GOTLAND</t>
        </is>
      </c>
      <c r="I407" t="n">
        <v>1.2</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7636-2025</t>
        </is>
      </c>
      <c r="B408" t="inlineStr">
        <is>
          <t>avverkningsanmälan</t>
        </is>
      </c>
      <c r="C408" t="inlineStr">
        <is>
          <t>Föryngringsavverkning</t>
        </is>
      </c>
      <c r="D408" s="1" t="n">
        <v>45705</v>
      </c>
      <c r="E408" s="1" t="n">
        <v>46321</v>
      </c>
      <c r="F408" t="inlineStr">
        <is>
          <t>GOTLANDS LÄN</t>
        </is>
      </c>
      <c r="G408" t="inlineStr">
        <is>
          <t>GOTLAND</t>
        </is>
      </c>
      <c r="I408" t="n">
        <v>0.6</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7639-2025</t>
        </is>
      </c>
      <c r="B409" t="inlineStr">
        <is>
          <t>avverkningsanmälan</t>
        </is>
      </c>
      <c r="C409" t="inlineStr">
        <is>
          <t>Föryngringsavverkning</t>
        </is>
      </c>
      <c r="D409" s="1" t="n">
        <v>45705</v>
      </c>
      <c r="E409" s="1" t="n">
        <v>46321</v>
      </c>
      <c r="F409" t="inlineStr">
        <is>
          <t>GOTLANDS LÄN</t>
        </is>
      </c>
      <c r="G409" t="inlineStr">
        <is>
          <t>GOTLAND</t>
        </is>
      </c>
      <c r="I409" t="n">
        <v>1</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20356-2022</t>
        </is>
      </c>
      <c r="B410" t="inlineStr">
        <is>
          <t>avverkningsanmälan</t>
        </is>
      </c>
      <c r="C410" t="inlineStr">
        <is>
          <t>Avverkning för annat ändamål</t>
        </is>
      </c>
      <c r="D410" s="1" t="n">
        <v>44699</v>
      </c>
      <c r="E410" s="1" t="n">
        <v>46321</v>
      </c>
      <c r="F410" t="inlineStr">
        <is>
          <t>GOTLANDS LÄN</t>
        </is>
      </c>
      <c r="G410" t="inlineStr">
        <is>
          <t>GOTLAND</t>
        </is>
      </c>
      <c r="H410" t="inlineStr">
        <is>
          <t>Övriga Aktiebolag</t>
        </is>
      </c>
      <c r="I410" t="n">
        <v>4.4</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48734-2022</t>
        </is>
      </c>
      <c r="B411" t="inlineStr">
        <is>
          <t>avverkningsanmälan</t>
        </is>
      </c>
      <c r="C411" t="inlineStr">
        <is>
          <t>Föryngringsavverkning</t>
        </is>
      </c>
      <c r="D411" s="1" t="n">
        <v>44855</v>
      </c>
      <c r="E411" s="1" t="n">
        <v>46321</v>
      </c>
      <c r="F411" t="inlineStr">
        <is>
          <t>GOTLANDS LÄN</t>
        </is>
      </c>
      <c r="G411" t="inlineStr">
        <is>
          <t>GOTLAND</t>
        </is>
      </c>
      <c r="I411" t="n">
        <v>1.6</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57685-2022</t>
        </is>
      </c>
      <c r="B412" t="inlineStr">
        <is>
          <t>avverkningsanmälan</t>
        </is>
      </c>
      <c r="C412" t="inlineStr">
        <is>
          <t>Föryngringsavverkning</t>
        </is>
      </c>
      <c r="D412" s="1" t="n">
        <v>44897</v>
      </c>
      <c r="E412" s="1" t="n">
        <v>46321</v>
      </c>
      <c r="F412" t="inlineStr">
        <is>
          <t>GOTLANDS LÄN</t>
        </is>
      </c>
      <c r="G412" t="inlineStr">
        <is>
          <t>GOTLAND</t>
        </is>
      </c>
      <c r="I412" t="n">
        <v>3.7</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22281-2026</t>
        </is>
      </c>
      <c r="B413" t="inlineStr">
        <is>
          <t>avverkningsanmälan</t>
        </is>
      </c>
      <c r="C413" t="inlineStr">
        <is>
          <t>Avverkning för annat ändamål</t>
        </is>
      </c>
      <c r="D413" s="1" t="n">
        <v>46154</v>
      </c>
      <c r="E413" s="1" t="n">
        <v>46321</v>
      </c>
      <c r="F413" t="inlineStr">
        <is>
          <t>GOTLANDS LÄN</t>
        </is>
      </c>
      <c r="G413" t="inlineStr">
        <is>
          <t>GOTLAND</t>
        </is>
      </c>
      <c r="I413" t="n">
        <v>8.1</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30815-2023</t>
        </is>
      </c>
      <c r="B414" t="inlineStr">
        <is>
          <t>avverkningsanmälan</t>
        </is>
      </c>
      <c r="C414" t="inlineStr">
        <is>
          <t>Avverkning för annat ändamål</t>
        </is>
      </c>
      <c r="D414" s="1" t="n">
        <v>45112</v>
      </c>
      <c r="E414" s="1" t="n">
        <v>46321</v>
      </c>
      <c r="F414" t="inlineStr">
        <is>
          <t>GOTLANDS LÄN</t>
        </is>
      </c>
      <c r="G414" t="inlineStr">
        <is>
          <t>GOTLAND</t>
        </is>
      </c>
      <c r="I414" t="n">
        <v>6</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22348-2026</t>
        </is>
      </c>
      <c r="B415" t="inlineStr">
        <is>
          <t>avverkningsanmälan</t>
        </is>
      </c>
      <c r="C415" t="inlineStr">
        <is>
          <t>Föryngringsavverkning</t>
        </is>
      </c>
      <c r="D415" s="1" t="n">
        <v>46154</v>
      </c>
      <c r="E415" s="1" t="n">
        <v>46321</v>
      </c>
      <c r="F415" t="inlineStr">
        <is>
          <t>GOTLANDS LÄN</t>
        </is>
      </c>
      <c r="G415" t="inlineStr">
        <is>
          <t>GOTLAND</t>
        </is>
      </c>
      <c r="I415" t="n">
        <v>3.3</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22351-2026</t>
        </is>
      </c>
      <c r="B416" t="inlineStr">
        <is>
          <t>avverkningsanmälan</t>
        </is>
      </c>
      <c r="C416" t="inlineStr">
        <is>
          <t>Föryngringsavverkning</t>
        </is>
      </c>
      <c r="D416" s="1" t="n">
        <v>46154</v>
      </c>
      <c r="E416" s="1" t="n">
        <v>46321</v>
      </c>
      <c r="F416" t="inlineStr">
        <is>
          <t>GOTLANDS LÄN</t>
        </is>
      </c>
      <c r="G416" t="inlineStr">
        <is>
          <t>GOTLAND</t>
        </is>
      </c>
      <c r="I416" t="n">
        <v>1.3</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7034-2023</t>
        </is>
      </c>
      <c r="B417" t="inlineStr">
        <is>
          <t>avverkningsanmälan</t>
        </is>
      </c>
      <c r="C417" t="inlineStr">
        <is>
          <t>Föryngringsavverkning</t>
        </is>
      </c>
      <c r="D417" s="1" t="n">
        <v>44968</v>
      </c>
      <c r="E417" s="1" t="n">
        <v>46321</v>
      </c>
      <c r="F417" t="inlineStr">
        <is>
          <t>GOTLANDS LÄN</t>
        </is>
      </c>
      <c r="G417" t="inlineStr">
        <is>
          <t>GOTLAND</t>
        </is>
      </c>
      <c r="I417" t="n">
        <v>1.6</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23516-2023</t>
        </is>
      </c>
      <c r="B418" t="inlineStr">
        <is>
          <t>avverkningsanmälan</t>
        </is>
      </c>
      <c r="C418" t="inlineStr">
        <is>
          <t>Föryngringsavverkning</t>
        </is>
      </c>
      <c r="D418" s="1" t="n">
        <v>45076</v>
      </c>
      <c r="E418" s="1" t="n">
        <v>46321</v>
      </c>
      <c r="F418" t="inlineStr">
        <is>
          <t>GOTLANDS LÄN</t>
        </is>
      </c>
      <c r="G418" t="inlineStr">
        <is>
          <t>GOTLAND</t>
        </is>
      </c>
      <c r="I418" t="n">
        <v>1.4</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63763-2023</t>
        </is>
      </c>
      <c r="B419" t="inlineStr">
        <is>
          <t>avverkningsanmälan</t>
        </is>
      </c>
      <c r="C419" t="inlineStr">
        <is>
          <t>Föryngringsavverkning</t>
        </is>
      </c>
      <c r="D419" s="1" t="n">
        <v>45278</v>
      </c>
      <c r="E419" s="1" t="n">
        <v>46321</v>
      </c>
      <c r="F419" t="inlineStr">
        <is>
          <t>GOTLANDS LÄN</t>
        </is>
      </c>
      <c r="G419" t="inlineStr">
        <is>
          <t>GOTLAND</t>
        </is>
      </c>
      <c r="I419" t="n">
        <v>0.5</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35096-2025</t>
        </is>
      </c>
      <c r="B420" t="inlineStr">
        <is>
          <t>avverkningsanmälan</t>
        </is>
      </c>
      <c r="C420" t="inlineStr">
        <is>
          <t>Föryngringsavverkning</t>
        </is>
      </c>
      <c r="D420" s="1" t="n">
        <v>45852</v>
      </c>
      <c r="E420" s="1" t="n">
        <v>46321</v>
      </c>
      <c r="F420" t="inlineStr">
        <is>
          <t>GOTLANDS LÄN</t>
        </is>
      </c>
      <c r="G420" t="inlineStr">
        <is>
          <t>GOTLAND</t>
        </is>
      </c>
      <c r="H420" t="inlineStr">
        <is>
          <t>Kyrkan</t>
        </is>
      </c>
      <c r="I420" t="n">
        <v>1</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1734-2025</t>
        </is>
      </c>
      <c r="B421" t="inlineStr">
        <is>
          <t>avverkningsanmälan</t>
        </is>
      </c>
      <c r="C421" t="inlineStr">
        <is>
          <t>Föryngringsavverkning</t>
        </is>
      </c>
      <c r="D421" s="1" t="n">
        <v>45671</v>
      </c>
      <c r="E421" s="1" t="n">
        <v>46321</v>
      </c>
      <c r="F421" t="inlineStr">
        <is>
          <t>GOTLANDS LÄN</t>
        </is>
      </c>
      <c r="G421" t="inlineStr">
        <is>
          <t>GOTLAND</t>
        </is>
      </c>
      <c r="I421" t="n">
        <v>1.9</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20993-2023</t>
        </is>
      </c>
      <c r="B422" t="inlineStr">
        <is>
          <t>avverkningsanmälan</t>
        </is>
      </c>
      <c r="C422" t="inlineStr">
        <is>
          <t>Föryngringsavverkning</t>
        </is>
      </c>
      <c r="D422" s="1" t="n">
        <v>45056</v>
      </c>
      <c r="E422" s="1" t="n">
        <v>46321</v>
      </c>
      <c r="F422" t="inlineStr">
        <is>
          <t>GOTLANDS LÄN</t>
        </is>
      </c>
      <c r="G422" t="inlineStr">
        <is>
          <t>GOTLAND</t>
        </is>
      </c>
      <c r="I422" t="n">
        <v>7.1</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12596-2023</t>
        </is>
      </c>
      <c r="B423" t="inlineStr">
        <is>
          <t>avverkningsanmälan</t>
        </is>
      </c>
      <c r="C423" t="inlineStr">
        <is>
          <t>Föryngringsavverkning</t>
        </is>
      </c>
      <c r="D423" s="1" t="n">
        <v>45000</v>
      </c>
      <c r="E423" s="1" t="n">
        <v>46321</v>
      </c>
      <c r="F423" t="inlineStr">
        <is>
          <t>GOTLANDS LÄN</t>
        </is>
      </c>
      <c r="G423" t="inlineStr">
        <is>
          <t>GOTLAND</t>
        </is>
      </c>
      <c r="I423" t="n">
        <v>4.1</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2125-2025</t>
        </is>
      </c>
      <c r="B424" t="inlineStr">
        <is>
          <t>avverkningsanmälan</t>
        </is>
      </c>
      <c r="C424" t="inlineStr">
        <is>
          <t>Föryngringsavverkning</t>
        </is>
      </c>
      <c r="D424" s="1" t="n">
        <v>45672</v>
      </c>
      <c r="E424" s="1" t="n">
        <v>46321</v>
      </c>
      <c r="F424" t="inlineStr">
        <is>
          <t>GOTLANDS LÄN</t>
        </is>
      </c>
      <c r="G424" t="inlineStr">
        <is>
          <t>GOTLAND</t>
        </is>
      </c>
      <c r="I424" t="n">
        <v>2.3</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12155-2023</t>
        </is>
      </c>
      <c r="B425" t="inlineStr">
        <is>
          <t>avverkningsanmälan</t>
        </is>
      </c>
      <c r="C425" t="inlineStr">
        <is>
          <t>Föryngringsavverkning</t>
        </is>
      </c>
      <c r="D425" s="1" t="n">
        <v>44998</v>
      </c>
      <c r="E425" s="1" t="n">
        <v>46321</v>
      </c>
      <c r="F425" t="inlineStr">
        <is>
          <t>GOTLANDS LÄN</t>
        </is>
      </c>
      <c r="G425" t="inlineStr">
        <is>
          <t>GOTLAND</t>
        </is>
      </c>
      <c r="I425" t="n">
        <v>1.1</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457-2023</t>
        </is>
      </c>
      <c r="B426" t="inlineStr">
        <is>
          <t>avverkningsanmälan</t>
        </is>
      </c>
      <c r="C426" t="inlineStr">
        <is>
          <t>Föryngringsavverkning</t>
        </is>
      </c>
      <c r="D426" s="1" t="n">
        <v>44929</v>
      </c>
      <c r="E426" s="1" t="n">
        <v>46321</v>
      </c>
      <c r="F426" t="inlineStr">
        <is>
          <t>GOTLANDS LÄN</t>
        </is>
      </c>
      <c r="G426" t="inlineStr">
        <is>
          <t>GOTLAND</t>
        </is>
      </c>
      <c r="I426" t="n">
        <v>2.4</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459-2023</t>
        </is>
      </c>
      <c r="B427" t="inlineStr">
        <is>
          <t>avverkningsanmälan</t>
        </is>
      </c>
      <c r="C427" t="inlineStr">
        <is>
          <t>Föryngringsavverkning</t>
        </is>
      </c>
      <c r="D427" s="1" t="n">
        <v>44929</v>
      </c>
      <c r="E427" s="1" t="n">
        <v>46321</v>
      </c>
      <c r="F427" t="inlineStr">
        <is>
          <t>GOTLANDS LÄN</t>
        </is>
      </c>
      <c r="G427" t="inlineStr">
        <is>
          <t>GOTLAND</t>
        </is>
      </c>
      <c r="I427" t="n">
        <v>4.2</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38234-2023</t>
        </is>
      </c>
      <c r="B428" t="inlineStr">
        <is>
          <t>avverkningsanmälan</t>
        </is>
      </c>
      <c r="C428" t="inlineStr">
        <is>
          <t>Föryngringsavverkning</t>
        </is>
      </c>
      <c r="D428" s="1" t="n">
        <v>45161</v>
      </c>
      <c r="E428" s="1" t="n">
        <v>46321</v>
      </c>
      <c r="F428" t="inlineStr">
        <is>
          <t>GOTLANDS LÄN</t>
        </is>
      </c>
      <c r="G428" t="inlineStr">
        <is>
          <t>GOTLAND</t>
        </is>
      </c>
      <c r="I428" t="n">
        <v>1.3</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50744-2024</t>
        </is>
      </c>
      <c r="B429" t="inlineStr">
        <is>
          <t>avverkningsanmälan</t>
        </is>
      </c>
      <c r="C429" t="inlineStr">
        <is>
          <t>Föryngringsavverkning</t>
        </is>
      </c>
      <c r="D429" s="1" t="n">
        <v>45602</v>
      </c>
      <c r="E429" s="1" t="n">
        <v>46321</v>
      </c>
      <c r="F429" t="inlineStr">
        <is>
          <t>GOTLANDS LÄN</t>
        </is>
      </c>
      <c r="G429" t="inlineStr">
        <is>
          <t>GOTLAND</t>
        </is>
      </c>
      <c r="I429" t="n">
        <v>3.2</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1446-2025</t>
        </is>
      </c>
      <c r="B430" t="inlineStr">
        <is>
          <t>avverkningsanmälan</t>
        </is>
      </c>
      <c r="C430" t="inlineStr">
        <is>
          <t>Föryngringsavverkning</t>
        </is>
      </c>
      <c r="D430" s="1" t="n">
        <v>45669</v>
      </c>
      <c r="E430" s="1" t="n">
        <v>46321</v>
      </c>
      <c r="F430" t="inlineStr">
        <is>
          <t>GOTLANDS LÄN</t>
        </is>
      </c>
      <c r="G430" t="inlineStr">
        <is>
          <t>GOTLAND</t>
        </is>
      </c>
      <c r="I430" t="n">
        <v>3.1</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43901-2023</t>
        </is>
      </c>
      <c r="B431" t="inlineStr">
        <is>
          <t>avverkningsanmälan</t>
        </is>
      </c>
      <c r="C431" t="inlineStr">
        <is>
          <t>Föryngringsavverkning</t>
        </is>
      </c>
      <c r="D431" s="1" t="n">
        <v>45187</v>
      </c>
      <c r="E431" s="1" t="n">
        <v>46321</v>
      </c>
      <c r="F431" t="inlineStr">
        <is>
          <t>GOTLANDS LÄN</t>
        </is>
      </c>
      <c r="G431" t="inlineStr">
        <is>
          <t>GOTLAND</t>
        </is>
      </c>
      <c r="I431" t="n">
        <v>5.4</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10746-2025</t>
        </is>
      </c>
      <c r="B432" t="inlineStr">
        <is>
          <t>avverkningsanmälan</t>
        </is>
      </c>
      <c r="C432" t="inlineStr">
        <is>
          <t>Föryngringsavverkning</t>
        </is>
      </c>
      <c r="D432" s="1" t="n">
        <v>45722</v>
      </c>
      <c r="E432" s="1" t="n">
        <v>46321</v>
      </c>
      <c r="F432" t="inlineStr">
        <is>
          <t>GOTLANDS LÄN</t>
        </is>
      </c>
      <c r="G432" t="inlineStr">
        <is>
          <t>GOTLAND</t>
        </is>
      </c>
      <c r="I432" t="n">
        <v>1.2</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16501-2023</t>
        </is>
      </c>
      <c r="B433" t="inlineStr">
        <is>
          <t>avverkningsanmälan</t>
        </is>
      </c>
      <c r="C433" t="inlineStr">
        <is>
          <t>Avverkning för att bevara och utveckla /försöksver</t>
        </is>
      </c>
      <c r="D433" s="1" t="n">
        <v>45029</v>
      </c>
      <c r="E433" s="1" t="n">
        <v>46321</v>
      </c>
      <c r="F433" t="inlineStr">
        <is>
          <t>GOTLANDS LÄN</t>
        </is>
      </c>
      <c r="G433" t="inlineStr">
        <is>
          <t>GOTLAND</t>
        </is>
      </c>
      <c r="I433" t="n">
        <v>3.1</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61962-2024</t>
        </is>
      </c>
      <c r="B434" t="inlineStr">
        <is>
          <t>avverkningsanmälan</t>
        </is>
      </c>
      <c r="C434" t="inlineStr">
        <is>
          <t>Föryngringsavverkning</t>
        </is>
      </c>
      <c r="D434" s="1" t="n">
        <v>45653</v>
      </c>
      <c r="E434" s="1" t="n">
        <v>46321</v>
      </c>
      <c r="F434" t="inlineStr">
        <is>
          <t>GOTLANDS LÄN</t>
        </is>
      </c>
      <c r="G434" t="inlineStr">
        <is>
          <t>GOTLAND</t>
        </is>
      </c>
      <c r="I434" t="n">
        <v>0.7</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10492-2023</t>
        </is>
      </c>
      <c r="B435" t="inlineStr">
        <is>
          <t>avverkningsanmälan</t>
        </is>
      </c>
      <c r="C435" t="inlineStr">
        <is>
          <t>Föryngringsavverkning</t>
        </is>
      </c>
      <c r="D435" s="1" t="n">
        <v>44987</v>
      </c>
      <c r="E435" s="1" t="n">
        <v>46321</v>
      </c>
      <c r="F435" t="inlineStr">
        <is>
          <t>GOTLANDS LÄN</t>
        </is>
      </c>
      <c r="G435" t="inlineStr">
        <is>
          <t>GOTLAND</t>
        </is>
      </c>
      <c r="I435" t="n">
        <v>1</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10653-2023</t>
        </is>
      </c>
      <c r="B436" t="inlineStr">
        <is>
          <t>avverkningsanmälan</t>
        </is>
      </c>
      <c r="C436" t="inlineStr">
        <is>
          <t>Föryngringsavverkning</t>
        </is>
      </c>
      <c r="D436" s="1" t="n">
        <v>44988</v>
      </c>
      <c r="E436" s="1" t="n">
        <v>46321</v>
      </c>
      <c r="F436" t="inlineStr">
        <is>
          <t>GOTLANDS LÄN</t>
        </is>
      </c>
      <c r="G436" t="inlineStr">
        <is>
          <t>GOTLAND</t>
        </is>
      </c>
      <c r="H436" t="inlineStr">
        <is>
          <t>Kyrkan</t>
        </is>
      </c>
      <c r="I436" t="n">
        <v>3</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4990-2025</t>
        </is>
      </c>
      <c r="B437" t="inlineStr">
        <is>
          <t>avverkningsanmälan</t>
        </is>
      </c>
      <c r="C437" t="inlineStr">
        <is>
          <t>Föryngringsavverkning</t>
        </is>
      </c>
      <c r="D437" s="1" t="n">
        <v>45691</v>
      </c>
      <c r="E437" s="1" t="n">
        <v>46321</v>
      </c>
      <c r="F437" t="inlineStr">
        <is>
          <t>GOTLANDS LÄN</t>
        </is>
      </c>
      <c r="G437" t="inlineStr">
        <is>
          <t>GOTLAND</t>
        </is>
      </c>
      <c r="I437" t="n">
        <v>7.7</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43081-2022</t>
        </is>
      </c>
      <c r="B438" t="inlineStr">
        <is>
          <t>avverkningsanmälan</t>
        </is>
      </c>
      <c r="C438" t="inlineStr">
        <is>
          <t>Föryngringsavverkning</t>
        </is>
      </c>
      <c r="D438" s="1" t="n">
        <v>44833</v>
      </c>
      <c r="E438" s="1" t="n">
        <v>46321</v>
      </c>
      <c r="F438" t="inlineStr">
        <is>
          <t>GOTLANDS LÄN</t>
        </is>
      </c>
      <c r="G438" t="inlineStr">
        <is>
          <t>GOTLAND</t>
        </is>
      </c>
      <c r="I438" t="n">
        <v>6.8</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5884-2025</t>
        </is>
      </c>
      <c r="B439" t="inlineStr">
        <is>
          <t>avverkningsanmälan</t>
        </is>
      </c>
      <c r="C439" t="inlineStr">
        <is>
          <t>Föryngringsavverkning</t>
        </is>
      </c>
      <c r="D439" s="1" t="n">
        <v>45695</v>
      </c>
      <c r="E439" s="1" t="n">
        <v>46321</v>
      </c>
      <c r="F439" t="inlineStr">
        <is>
          <t>GOTLANDS LÄN</t>
        </is>
      </c>
      <c r="G439" t="inlineStr">
        <is>
          <t>GOTLAND</t>
        </is>
      </c>
      <c r="I439" t="n">
        <v>2.1</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5897-2025</t>
        </is>
      </c>
      <c r="B440" t="inlineStr">
        <is>
          <t>avverkningsanmälan</t>
        </is>
      </c>
      <c r="C440" t="inlineStr">
        <is>
          <t>Föryngringsavverkning</t>
        </is>
      </c>
      <c r="D440" s="1" t="n">
        <v>45695</v>
      </c>
      <c r="E440" s="1" t="n">
        <v>46321</v>
      </c>
      <c r="F440" t="inlineStr">
        <is>
          <t>GOTLANDS LÄN</t>
        </is>
      </c>
      <c r="G440" t="inlineStr">
        <is>
          <t>GOTLAND</t>
        </is>
      </c>
      <c r="I440" t="n">
        <v>3.7</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49697-2023</t>
        </is>
      </c>
      <c r="B441" t="inlineStr">
        <is>
          <t>avverkningsanmälan</t>
        </is>
      </c>
      <c r="C441" t="inlineStr">
        <is>
          <t>Föryngringsavverkning</t>
        </is>
      </c>
      <c r="D441" s="1" t="n">
        <v>45212</v>
      </c>
      <c r="E441" s="1" t="n">
        <v>46321</v>
      </c>
      <c r="F441" t="inlineStr">
        <is>
          <t>GOTLANDS LÄN</t>
        </is>
      </c>
      <c r="G441" t="inlineStr">
        <is>
          <t>GOTLAND</t>
        </is>
      </c>
      <c r="I441" t="n">
        <v>4.4</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17901-2023</t>
        </is>
      </c>
      <c r="B442" t="inlineStr">
        <is>
          <t>avverkningsanmälan</t>
        </is>
      </c>
      <c r="C442" t="inlineStr">
        <is>
          <t>Föryngringsavverkning</t>
        </is>
      </c>
      <c r="D442" s="1" t="n">
        <v>45039</v>
      </c>
      <c r="E442" s="1" t="n">
        <v>46321</v>
      </c>
      <c r="F442" t="inlineStr">
        <is>
          <t>GOTLANDS LÄN</t>
        </is>
      </c>
      <c r="G442" t="inlineStr">
        <is>
          <t>GOTLAND</t>
        </is>
      </c>
      <c r="H442" t="inlineStr">
        <is>
          <t>Kyrkan</t>
        </is>
      </c>
      <c r="I442" t="n">
        <v>0.6</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46396-2023</t>
        </is>
      </c>
      <c r="B443" t="inlineStr">
        <is>
          <t>avverkningsanmälan</t>
        </is>
      </c>
      <c r="C443" t="inlineStr">
        <is>
          <t>Föryngringsavverkning</t>
        </is>
      </c>
      <c r="D443" s="1" t="n">
        <v>45197</v>
      </c>
      <c r="E443" s="1" t="n">
        <v>46321</v>
      </c>
      <c r="F443" t="inlineStr">
        <is>
          <t>GOTLANDS LÄN</t>
        </is>
      </c>
      <c r="G443" t="inlineStr">
        <is>
          <t>GOTLAND</t>
        </is>
      </c>
      <c r="I443" t="n">
        <v>1.4</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17724-2024</t>
        </is>
      </c>
      <c r="B444" t="inlineStr">
        <is>
          <t>avverkningsanmälan</t>
        </is>
      </c>
      <c r="C444" t="inlineStr">
        <is>
          <t>Föryngringsavverkning</t>
        </is>
      </c>
      <c r="D444" s="1" t="n">
        <v>45418</v>
      </c>
      <c r="E444" s="1" t="n">
        <v>46321</v>
      </c>
      <c r="F444" t="inlineStr">
        <is>
          <t>GOTLANDS LÄN</t>
        </is>
      </c>
      <c r="G444" t="inlineStr">
        <is>
          <t>GOTLAND</t>
        </is>
      </c>
      <c r="I444" t="n">
        <v>2</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7638-2025</t>
        </is>
      </c>
      <c r="B445" t="inlineStr">
        <is>
          <t>avverkningsanmälan</t>
        </is>
      </c>
      <c r="C445" t="inlineStr">
        <is>
          <t>Föryngringsavverkning</t>
        </is>
      </c>
      <c r="D445" s="1" t="n">
        <v>45705</v>
      </c>
      <c r="E445" s="1" t="n">
        <v>46321</v>
      </c>
      <c r="F445" t="inlineStr">
        <is>
          <t>GOTLANDS LÄN</t>
        </is>
      </c>
      <c r="G445" t="inlineStr">
        <is>
          <t>GOTLAND</t>
        </is>
      </c>
      <c r="I445" t="n">
        <v>2.2</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50482-2024</t>
        </is>
      </c>
      <c r="B446" t="inlineStr">
        <is>
          <t>avverkningsanmälan</t>
        </is>
      </c>
      <c r="C446" t="inlineStr">
        <is>
          <t>Föryngringsavverkning</t>
        </is>
      </c>
      <c r="D446" s="1" t="n">
        <v>45601</v>
      </c>
      <c r="E446" s="1" t="n">
        <v>46321</v>
      </c>
      <c r="F446" t="inlineStr">
        <is>
          <t>GOTLANDS LÄN</t>
        </is>
      </c>
      <c r="G446" t="inlineStr">
        <is>
          <t>GOTLAND</t>
        </is>
      </c>
      <c r="I446" t="n">
        <v>2.3</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1394-2023</t>
        </is>
      </c>
      <c r="B447" t="inlineStr">
        <is>
          <t>avverkningsanmälan</t>
        </is>
      </c>
      <c r="C447" t="inlineStr">
        <is>
          <t>Föryngringsavverkning</t>
        </is>
      </c>
      <c r="D447" s="1" t="n">
        <v>44936</v>
      </c>
      <c r="E447" s="1" t="n">
        <v>46321</v>
      </c>
      <c r="F447" t="inlineStr">
        <is>
          <t>GOTLANDS LÄN</t>
        </is>
      </c>
      <c r="G447" t="inlineStr">
        <is>
          <t>GOTLAND</t>
        </is>
      </c>
      <c r="I447" t="n">
        <v>2.1</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1462-2025</t>
        </is>
      </c>
      <c r="B448" t="inlineStr">
        <is>
          <t>avverkningsanmälan</t>
        </is>
      </c>
      <c r="C448" t="inlineStr">
        <is>
          <t>Föryngringsavverkning</t>
        </is>
      </c>
      <c r="D448" s="1" t="n">
        <v>45670</v>
      </c>
      <c r="E448" s="1" t="n">
        <v>46321</v>
      </c>
      <c r="F448" t="inlineStr">
        <is>
          <t>GOTLANDS LÄN</t>
        </is>
      </c>
      <c r="G448" t="inlineStr">
        <is>
          <t>GOTLAND</t>
        </is>
      </c>
      <c r="I448" t="n">
        <v>2.8</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25129-2023</t>
        </is>
      </c>
      <c r="B449" t="inlineStr">
        <is>
          <t>avverkningsanmälan</t>
        </is>
      </c>
      <c r="C449" t="inlineStr">
        <is>
          <t>Föryngringsavverkning</t>
        </is>
      </c>
      <c r="D449" s="1" t="n">
        <v>45086</v>
      </c>
      <c r="E449" s="1" t="n">
        <v>46321</v>
      </c>
      <c r="F449" t="inlineStr">
        <is>
          <t>GOTLANDS LÄN</t>
        </is>
      </c>
      <c r="G449" t="inlineStr">
        <is>
          <t>GOTLAND</t>
        </is>
      </c>
      <c r="I449" t="n">
        <v>1.5</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24192-2023</t>
        </is>
      </c>
      <c r="B450" t="inlineStr">
        <is>
          <t>avverkningsanmälan</t>
        </is>
      </c>
      <c r="C450" t="inlineStr">
        <is>
          <t>Föryngringsavverkning</t>
        </is>
      </c>
      <c r="D450" s="1" t="n">
        <v>45079</v>
      </c>
      <c r="E450" s="1" t="n">
        <v>46321</v>
      </c>
      <c r="F450" t="inlineStr">
        <is>
          <t>GOTLANDS LÄN</t>
        </is>
      </c>
      <c r="G450" t="inlineStr">
        <is>
          <t>GOTLAND</t>
        </is>
      </c>
      <c r="I450" t="n">
        <v>2.1</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5386-2023</t>
        </is>
      </c>
      <c r="B451" t="inlineStr">
        <is>
          <t>avverkningsanmälan</t>
        </is>
      </c>
      <c r="C451" t="inlineStr">
        <is>
          <t>Föryngringsavverkning</t>
        </is>
      </c>
      <c r="D451" s="1" t="n">
        <v>44959</v>
      </c>
      <c r="E451" s="1" t="n">
        <v>46321</v>
      </c>
      <c r="F451" t="inlineStr">
        <is>
          <t>GOTLANDS LÄN</t>
        </is>
      </c>
      <c r="G451" t="inlineStr">
        <is>
          <t>GOTLAND</t>
        </is>
      </c>
      <c r="I451" t="n">
        <v>5.4</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7026-2023</t>
        </is>
      </c>
      <c r="B452" t="inlineStr">
        <is>
          <t>avverkningsanmälan</t>
        </is>
      </c>
      <c r="C452" t="inlineStr">
        <is>
          <t>Föryngringsavverkning</t>
        </is>
      </c>
      <c r="D452" s="1" t="n">
        <v>44968</v>
      </c>
      <c r="E452" s="1" t="n">
        <v>46321</v>
      </c>
      <c r="F452" t="inlineStr">
        <is>
          <t>GOTLANDS LÄN</t>
        </is>
      </c>
      <c r="G452" t="inlineStr">
        <is>
          <t>GOTLAND</t>
        </is>
      </c>
      <c r="I452" t="n">
        <v>2.9</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20855-2023</t>
        </is>
      </c>
      <c r="B453" t="inlineStr">
        <is>
          <t>avverkningsanmälan</t>
        </is>
      </c>
      <c r="C453" t="inlineStr">
        <is>
          <t>Föryngringsavverkning</t>
        </is>
      </c>
      <c r="D453" s="1" t="n">
        <v>45058</v>
      </c>
      <c r="E453" s="1" t="n">
        <v>46321</v>
      </c>
      <c r="F453" t="inlineStr">
        <is>
          <t>GOTLANDS LÄN</t>
        </is>
      </c>
      <c r="G453" t="inlineStr">
        <is>
          <t>GOTLAND</t>
        </is>
      </c>
      <c r="I453" t="n">
        <v>1.7</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1000-2024</t>
        </is>
      </c>
      <c r="B454" t="inlineStr">
        <is>
          <t>avverkningsanmälan</t>
        </is>
      </c>
      <c r="C454" t="inlineStr">
        <is>
          <t>Föryngringsavverkning</t>
        </is>
      </c>
      <c r="D454" s="1" t="n">
        <v>45301</v>
      </c>
      <c r="E454" s="1" t="n">
        <v>46321</v>
      </c>
      <c r="F454" t="inlineStr">
        <is>
          <t>GOTLANDS LÄN</t>
        </is>
      </c>
      <c r="G454" t="inlineStr">
        <is>
          <t>GOTLAND</t>
        </is>
      </c>
      <c r="I454" t="n">
        <v>1</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47762-2023</t>
        </is>
      </c>
      <c r="B455" t="inlineStr">
        <is>
          <t>avverkningsanmälan</t>
        </is>
      </c>
      <c r="C455" t="inlineStr">
        <is>
          <t>Föryngringsavverkning</t>
        </is>
      </c>
      <c r="D455" s="1" t="n">
        <v>45203</v>
      </c>
      <c r="E455" s="1" t="n">
        <v>46321</v>
      </c>
      <c r="F455" t="inlineStr">
        <is>
          <t>GOTLANDS LÄN</t>
        </is>
      </c>
      <c r="G455" t="inlineStr">
        <is>
          <t>GOTLAND</t>
        </is>
      </c>
      <c r="I455" t="n">
        <v>1.3</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60086-2022</t>
        </is>
      </c>
      <c r="B456" t="inlineStr">
        <is>
          <t>avverkningsanmälan</t>
        </is>
      </c>
      <c r="C456" t="inlineStr">
        <is>
          <t>Föryngringsavverkning</t>
        </is>
      </c>
      <c r="D456" s="1" t="n">
        <v>44909</v>
      </c>
      <c r="E456" s="1" t="n">
        <v>46321</v>
      </c>
      <c r="F456" t="inlineStr">
        <is>
          <t>GOTLANDS LÄN</t>
        </is>
      </c>
      <c r="G456" t="inlineStr">
        <is>
          <t>GOTLAND</t>
        </is>
      </c>
      <c r="I456" t="n">
        <v>2.1</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28485-2023</t>
        </is>
      </c>
      <c r="B457" t="inlineStr">
        <is>
          <t>avverkningsanmälan</t>
        </is>
      </c>
      <c r="C457" t="inlineStr">
        <is>
          <t>Föryngringsavverkning</t>
        </is>
      </c>
      <c r="D457" s="1" t="n">
        <v>45103</v>
      </c>
      <c r="E457" s="1" t="n">
        <v>46321</v>
      </c>
      <c r="F457" t="inlineStr">
        <is>
          <t>GOTLANDS LÄN</t>
        </is>
      </c>
      <c r="G457" t="inlineStr">
        <is>
          <t>GOTLAND</t>
        </is>
      </c>
      <c r="I457" t="n">
        <v>2.3</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44949-2023</t>
        </is>
      </c>
      <c r="B458" t="inlineStr">
        <is>
          <t>avverkningsanmälan</t>
        </is>
      </c>
      <c r="C458" t="inlineStr">
        <is>
          <t>Föryngringsavverkning</t>
        </is>
      </c>
      <c r="D458" s="1" t="n">
        <v>45190</v>
      </c>
      <c r="E458" s="1" t="n">
        <v>46321</v>
      </c>
      <c r="F458" t="inlineStr">
        <is>
          <t>GOTLANDS LÄN</t>
        </is>
      </c>
      <c r="G458" t="inlineStr">
        <is>
          <t>GOTLAND</t>
        </is>
      </c>
      <c r="I458" t="n">
        <v>1.4</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3964-2024</t>
        </is>
      </c>
      <c r="B459" t="inlineStr">
        <is>
          <t>avverkningsanmälan</t>
        </is>
      </c>
      <c r="C459" t="inlineStr">
        <is>
          <t>Föryngringsavverkning</t>
        </is>
      </c>
      <c r="D459" s="1" t="n">
        <v>45322</v>
      </c>
      <c r="E459" s="1" t="n">
        <v>46321</v>
      </c>
      <c r="F459" t="inlineStr">
        <is>
          <t>GOTLANDS LÄN</t>
        </is>
      </c>
      <c r="G459" t="inlineStr">
        <is>
          <t>GOTLAND</t>
        </is>
      </c>
      <c r="I459" t="n">
        <v>1.4</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45084-2024</t>
        </is>
      </c>
      <c r="B460" t="inlineStr">
        <is>
          <t>avverkningsanmälan</t>
        </is>
      </c>
      <c r="C460" t="inlineStr">
        <is>
          <t>Föryngringsavverkning</t>
        </is>
      </c>
      <c r="D460" s="1" t="n">
        <v>45575</v>
      </c>
      <c r="E460" s="1" t="n">
        <v>46321</v>
      </c>
      <c r="F460" t="inlineStr">
        <is>
          <t>GOTLANDS LÄN</t>
        </is>
      </c>
      <c r="G460" t="inlineStr">
        <is>
          <t>GOTLAND</t>
        </is>
      </c>
      <c r="I460" t="n">
        <v>6.8</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5217-2023</t>
        </is>
      </c>
      <c r="B461" t="inlineStr">
        <is>
          <t>avverkningsanmälan</t>
        </is>
      </c>
      <c r="C461" t="inlineStr">
        <is>
          <t>Föryngringsavverkning</t>
        </is>
      </c>
      <c r="D461" s="1" t="n">
        <v>44959</v>
      </c>
      <c r="E461" s="1" t="n">
        <v>46321</v>
      </c>
      <c r="F461" t="inlineStr">
        <is>
          <t>GOTLANDS LÄN</t>
        </is>
      </c>
      <c r="G461" t="inlineStr">
        <is>
          <t>GOTLAND</t>
        </is>
      </c>
      <c r="I461" t="n">
        <v>1.9</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45244-2024</t>
        </is>
      </c>
      <c r="B462" t="inlineStr">
        <is>
          <t>avverkningsanmälan</t>
        </is>
      </c>
      <c r="C462" t="inlineStr">
        <is>
          <t>Avverkning för annat ändamål</t>
        </is>
      </c>
      <c r="D462" s="1" t="n">
        <v>45576</v>
      </c>
      <c r="E462" s="1" t="n">
        <v>46321</v>
      </c>
      <c r="F462" t="inlineStr">
        <is>
          <t>GOTLANDS LÄN</t>
        </is>
      </c>
      <c r="G462" t="inlineStr">
        <is>
          <t>GOTLAND</t>
        </is>
      </c>
      <c r="I462" t="n">
        <v>2.4</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8260-2023</t>
        </is>
      </c>
      <c r="B463" t="inlineStr">
        <is>
          <t>avverkningsanmälan</t>
        </is>
      </c>
      <c r="C463" t="inlineStr">
        <is>
          <t>Föryngringsavverkning</t>
        </is>
      </c>
      <c r="D463" s="1" t="n">
        <v>44974</v>
      </c>
      <c r="E463" s="1" t="n">
        <v>46321</v>
      </c>
      <c r="F463" t="inlineStr">
        <is>
          <t>GOTLANDS LÄN</t>
        </is>
      </c>
      <c r="G463" t="inlineStr">
        <is>
          <t>GOTLAND</t>
        </is>
      </c>
      <c r="I463" t="n">
        <v>2.9</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64969-2023</t>
        </is>
      </c>
      <c r="B464" t="inlineStr">
        <is>
          <t>avverkningsanmälan</t>
        </is>
      </c>
      <c r="C464" t="inlineStr">
        <is>
          <t>Föryngringsavverkning</t>
        </is>
      </c>
      <c r="D464" s="1" t="n">
        <v>45284</v>
      </c>
      <c r="E464" s="1" t="n">
        <v>46321</v>
      </c>
      <c r="F464" t="inlineStr">
        <is>
          <t>GOTLANDS LÄN</t>
        </is>
      </c>
      <c r="G464" t="inlineStr">
        <is>
          <t>GOTLAND</t>
        </is>
      </c>
      <c r="I464" t="n">
        <v>1.2</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48843-2024</t>
        </is>
      </c>
      <c r="B465" t="inlineStr">
        <is>
          <t>avverkningsanmälan</t>
        </is>
      </c>
      <c r="C465" t="inlineStr">
        <is>
          <t>Föryngringsavverkning</t>
        </is>
      </c>
      <c r="D465" s="1" t="n">
        <v>45593</v>
      </c>
      <c r="E465" s="1" t="n">
        <v>46321</v>
      </c>
      <c r="F465" t="inlineStr">
        <is>
          <t>GOTLANDS LÄN</t>
        </is>
      </c>
      <c r="G465" t="inlineStr">
        <is>
          <t>GOTLAND</t>
        </is>
      </c>
      <c r="I465" t="n">
        <v>0.5</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17541-2024</t>
        </is>
      </c>
      <c r="B466" t="inlineStr">
        <is>
          <t>avverkningsanmälan</t>
        </is>
      </c>
      <c r="C466" t="inlineStr">
        <is>
          <t>Föryngringsavverkning</t>
        </is>
      </c>
      <c r="D466" s="1" t="n">
        <v>45415</v>
      </c>
      <c r="E466" s="1" t="n">
        <v>46321</v>
      </c>
      <c r="F466" t="inlineStr">
        <is>
          <t>GOTLANDS LÄN</t>
        </is>
      </c>
      <c r="G466" t="inlineStr">
        <is>
          <t>GOTLAND</t>
        </is>
      </c>
      <c r="I466" t="n">
        <v>2.6</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15434-2024</t>
        </is>
      </c>
      <c r="B467" t="inlineStr">
        <is>
          <t>avverkningsanmälan</t>
        </is>
      </c>
      <c r="C467" t="inlineStr">
        <is>
          <t>Föryngringsavverkning</t>
        </is>
      </c>
      <c r="D467" s="1" t="n">
        <v>45401</v>
      </c>
      <c r="E467" s="1" t="n">
        <v>46321</v>
      </c>
      <c r="F467" t="inlineStr">
        <is>
          <t>GOTLANDS LÄN</t>
        </is>
      </c>
      <c r="G467" t="inlineStr">
        <is>
          <t>GOTLAND</t>
        </is>
      </c>
      <c r="I467" t="n">
        <v>2.5</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5943-2024</t>
        </is>
      </c>
      <c r="B468" t="inlineStr">
        <is>
          <t>avverkningsanmälan</t>
        </is>
      </c>
      <c r="C468" t="inlineStr">
        <is>
          <t>Avverkning för annat ändamål</t>
        </is>
      </c>
      <c r="D468" s="1" t="n">
        <v>45336</v>
      </c>
      <c r="E468" s="1" t="n">
        <v>46321</v>
      </c>
      <c r="F468" t="inlineStr">
        <is>
          <t>GOTLANDS LÄN</t>
        </is>
      </c>
      <c r="G468" t="inlineStr">
        <is>
          <t>GOTLAND</t>
        </is>
      </c>
      <c r="I468" t="n">
        <v>4.3</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54073-2022</t>
        </is>
      </c>
      <c r="B469" t="inlineStr">
        <is>
          <t>avverkningsanmälan</t>
        </is>
      </c>
      <c r="C469" t="inlineStr">
        <is>
          <t>Föryngringsavverkning</t>
        </is>
      </c>
      <c r="D469" s="1" t="n">
        <v>44881</v>
      </c>
      <c r="E469" s="1" t="n">
        <v>46321</v>
      </c>
      <c r="F469" t="inlineStr">
        <is>
          <t>GOTLANDS LÄN</t>
        </is>
      </c>
      <c r="G469" t="inlineStr">
        <is>
          <t>GOTLAND</t>
        </is>
      </c>
      <c r="I469" t="n">
        <v>3.8</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16361-2024</t>
        </is>
      </c>
      <c r="B470" t="inlineStr">
        <is>
          <t>avverkningsanmälan</t>
        </is>
      </c>
      <c r="C470" t="inlineStr">
        <is>
          <t>Föryngringsavverkning</t>
        </is>
      </c>
      <c r="D470" s="1" t="n">
        <v>45407</v>
      </c>
      <c r="E470" s="1" t="n">
        <v>46321</v>
      </c>
      <c r="F470" t="inlineStr">
        <is>
          <t>GOTLANDS LÄN</t>
        </is>
      </c>
      <c r="G470" t="inlineStr">
        <is>
          <t>GOTLAND</t>
        </is>
      </c>
      <c r="I470" t="n">
        <v>6</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41038-2023</t>
        </is>
      </c>
      <c r="B471" t="inlineStr">
        <is>
          <t>avverkningsanmälan</t>
        </is>
      </c>
      <c r="C471" t="inlineStr">
        <is>
          <t>Föryngringsavverkning</t>
        </is>
      </c>
      <c r="D471" s="1" t="n">
        <v>45173</v>
      </c>
      <c r="E471" s="1" t="n">
        <v>46321</v>
      </c>
      <c r="F471" t="inlineStr">
        <is>
          <t>GOTLANDS LÄN</t>
        </is>
      </c>
      <c r="G471" t="inlineStr">
        <is>
          <t>GOTLAND</t>
        </is>
      </c>
      <c r="I471" t="n">
        <v>2.7</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14427-2024</t>
        </is>
      </c>
      <c r="B472" t="inlineStr">
        <is>
          <t>avverkningsanmälan</t>
        </is>
      </c>
      <c r="C472" t="inlineStr">
        <is>
          <t>Avverkning för att bevara och utveckla /försöksver</t>
        </is>
      </c>
      <c r="D472" s="1" t="n">
        <v>45394</v>
      </c>
      <c r="E472" s="1" t="n">
        <v>46321</v>
      </c>
      <c r="F472" t="inlineStr">
        <is>
          <t>GOTLANDS LÄN</t>
        </is>
      </c>
      <c r="G472" t="inlineStr">
        <is>
          <t>GOTLAND</t>
        </is>
      </c>
      <c r="I472" t="n">
        <v>1.3</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31802-2024</t>
        </is>
      </c>
      <c r="B473" t="inlineStr">
        <is>
          <t>avverkningsanmälan</t>
        </is>
      </c>
      <c r="C473" t="inlineStr">
        <is>
          <t>Avverkning för annat ändamål</t>
        </is>
      </c>
      <c r="D473" s="1" t="n">
        <v>45509</v>
      </c>
      <c r="E473" s="1" t="n">
        <v>46321</v>
      </c>
      <c r="F473" t="inlineStr">
        <is>
          <t>GOTLANDS LÄN</t>
        </is>
      </c>
      <c r="G473" t="inlineStr">
        <is>
          <t>GOTLAND</t>
        </is>
      </c>
      <c r="I473" t="n">
        <v>2.8</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12846-2025</t>
        </is>
      </c>
      <c r="B474" t="inlineStr">
        <is>
          <t>avverkningsanmälan</t>
        </is>
      </c>
      <c r="C474" t="inlineStr">
        <is>
          <t>Föryngringsavverkning</t>
        </is>
      </c>
      <c r="D474" s="1" t="n">
        <v>45733</v>
      </c>
      <c r="E474" s="1" t="n">
        <v>46321</v>
      </c>
      <c r="F474" t="inlineStr">
        <is>
          <t>GOTLANDS LÄN</t>
        </is>
      </c>
      <c r="G474" t="inlineStr">
        <is>
          <t>GOTLAND</t>
        </is>
      </c>
      <c r="I474" t="n">
        <v>1.7</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46949-2024</t>
        </is>
      </c>
      <c r="B475" t="inlineStr">
        <is>
          <t>avverkningsanmälan</t>
        </is>
      </c>
      <c r="C475" t="inlineStr">
        <is>
          <t>Föryngringsavverkning</t>
        </is>
      </c>
      <c r="D475" s="1" t="n">
        <v>45585</v>
      </c>
      <c r="E475" s="1" t="n">
        <v>46321</v>
      </c>
      <c r="F475" t="inlineStr">
        <is>
          <t>GOTLANDS LÄN</t>
        </is>
      </c>
      <c r="G475" t="inlineStr">
        <is>
          <t>GOTLAND</t>
        </is>
      </c>
      <c r="I475" t="n">
        <v>0.6</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10650-2022</t>
        </is>
      </c>
      <c r="B476" t="inlineStr">
        <is>
          <t>avverkningsanmälan</t>
        </is>
      </c>
      <c r="C476" t="inlineStr">
        <is>
          <t>Föryngringsavverkning</t>
        </is>
      </c>
      <c r="D476" s="1" t="n">
        <v>44624</v>
      </c>
      <c r="E476" s="1" t="n">
        <v>46321</v>
      </c>
      <c r="F476" t="inlineStr">
        <is>
          <t>GOTLANDS LÄN</t>
        </is>
      </c>
      <c r="G476" t="inlineStr">
        <is>
          <t>GOTLAND</t>
        </is>
      </c>
      <c r="I476" t="n">
        <v>1.1</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1351-2025</t>
        </is>
      </c>
      <c r="B477" t="inlineStr">
        <is>
          <t>avverkningsanmälan</t>
        </is>
      </c>
      <c r="C477" t="inlineStr">
        <is>
          <t>Föryngringsavverkning</t>
        </is>
      </c>
      <c r="D477" s="1" t="n">
        <v>45667</v>
      </c>
      <c r="E477" s="1" t="n">
        <v>46321</v>
      </c>
      <c r="F477" t="inlineStr">
        <is>
          <t>GOTLANDS LÄN</t>
        </is>
      </c>
      <c r="G477" t="inlineStr">
        <is>
          <t>GOTLAND</t>
        </is>
      </c>
      <c r="I477" t="n">
        <v>1.3</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39496-2022</t>
        </is>
      </c>
      <c r="B478" t="inlineStr">
        <is>
          <t>avverkningsanmälan</t>
        </is>
      </c>
      <c r="C478" t="inlineStr">
        <is>
          <t>Föryngringsavverkning</t>
        </is>
      </c>
      <c r="D478" s="1" t="n">
        <v>44818</v>
      </c>
      <c r="E478" s="1" t="n">
        <v>46321</v>
      </c>
      <c r="F478" t="inlineStr">
        <is>
          <t>GOTLANDS LÄN</t>
        </is>
      </c>
      <c r="G478" t="inlineStr">
        <is>
          <t>GOTLAND</t>
        </is>
      </c>
      <c r="I478" t="n">
        <v>2.4</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49874-2024</t>
        </is>
      </c>
      <c r="B479" t="inlineStr">
        <is>
          <t>avverkningsanmälan</t>
        </is>
      </c>
      <c r="C479" t="inlineStr">
        <is>
          <t>Föryngringsavverkning</t>
        </is>
      </c>
      <c r="D479" s="1" t="n">
        <v>45597</v>
      </c>
      <c r="E479" s="1" t="n">
        <v>46321</v>
      </c>
      <c r="F479" t="inlineStr">
        <is>
          <t>GOTLANDS LÄN</t>
        </is>
      </c>
      <c r="G479" t="inlineStr">
        <is>
          <t>GOTLAND</t>
        </is>
      </c>
      <c r="I479" t="n">
        <v>1.1</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46400-2023</t>
        </is>
      </c>
      <c r="B480" t="inlineStr">
        <is>
          <t>avverkningsanmälan</t>
        </is>
      </c>
      <c r="C480" t="inlineStr">
        <is>
          <t>Föryngringsavverkning</t>
        </is>
      </c>
      <c r="D480" s="1" t="n">
        <v>45197</v>
      </c>
      <c r="E480" s="1" t="n">
        <v>46321</v>
      </c>
      <c r="F480" t="inlineStr">
        <is>
          <t>GOTLANDS LÄN</t>
        </is>
      </c>
      <c r="G480" t="inlineStr">
        <is>
          <t>GOTLAND</t>
        </is>
      </c>
      <c r="I480" t="n">
        <v>0.8</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21164-2024</t>
        </is>
      </c>
      <c r="B481" t="inlineStr">
        <is>
          <t>avverkningsanmälan</t>
        </is>
      </c>
      <c r="C481" t="inlineStr">
        <is>
          <t>Föryngringsavverkning</t>
        </is>
      </c>
      <c r="D481" s="1" t="n">
        <v>45440</v>
      </c>
      <c r="E481" s="1" t="n">
        <v>46321</v>
      </c>
      <c r="F481" t="inlineStr">
        <is>
          <t>GOTLANDS LÄN</t>
        </is>
      </c>
      <c r="G481" t="inlineStr">
        <is>
          <t>GOTLAND</t>
        </is>
      </c>
      <c r="I481" t="n">
        <v>6.3</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8045-2022</t>
        </is>
      </c>
      <c r="B482" t="inlineStr">
        <is>
          <t>avverkningsanmälan</t>
        </is>
      </c>
      <c r="C482" t="inlineStr">
        <is>
          <t>Föryngringsavverkning</t>
        </is>
      </c>
      <c r="D482" s="1" t="n">
        <v>44609</v>
      </c>
      <c r="E482" s="1" t="n">
        <v>46321</v>
      </c>
      <c r="F482" t="inlineStr">
        <is>
          <t>GOTLANDS LÄN</t>
        </is>
      </c>
      <c r="G482" t="inlineStr">
        <is>
          <t>GOTLAND</t>
        </is>
      </c>
      <c r="I482" t="n">
        <v>7</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22897-2023</t>
        </is>
      </c>
      <c r="B483" t="inlineStr">
        <is>
          <t>avverkningsanmälan</t>
        </is>
      </c>
      <c r="C483" t="inlineStr">
        <is>
          <t>Föryngringsavverkning</t>
        </is>
      </c>
      <c r="D483" s="1" t="n">
        <v>45072</v>
      </c>
      <c r="E483" s="1" t="n">
        <v>46321</v>
      </c>
      <c r="F483" t="inlineStr">
        <is>
          <t>GOTLANDS LÄN</t>
        </is>
      </c>
      <c r="G483" t="inlineStr">
        <is>
          <t>GOTLAND</t>
        </is>
      </c>
      <c r="I483" t="n">
        <v>1.1</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61897-2024</t>
        </is>
      </c>
      <c r="B484" t="inlineStr">
        <is>
          <t>avverkningsanmälan</t>
        </is>
      </c>
      <c r="C484" t="inlineStr">
        <is>
          <t>Föryngringsavverkning</t>
        </is>
      </c>
      <c r="D484" s="1" t="n">
        <v>45652</v>
      </c>
      <c r="E484" s="1" t="n">
        <v>46321</v>
      </c>
      <c r="F484" t="inlineStr">
        <is>
          <t>GOTLANDS LÄN</t>
        </is>
      </c>
      <c r="G484" t="inlineStr">
        <is>
          <t>GOTLAND</t>
        </is>
      </c>
      <c r="I484" t="n">
        <v>6.4</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20165-2022</t>
        </is>
      </c>
      <c r="B485" t="inlineStr">
        <is>
          <t>avverkningsanmälan</t>
        </is>
      </c>
      <c r="C485" t="inlineStr">
        <is>
          <t>Föryngringsavverkning</t>
        </is>
      </c>
      <c r="D485" s="1" t="n">
        <v>44698</v>
      </c>
      <c r="E485" s="1" t="n">
        <v>46321</v>
      </c>
      <c r="F485" t="inlineStr">
        <is>
          <t>GOTLANDS LÄN</t>
        </is>
      </c>
      <c r="G485" t="inlineStr">
        <is>
          <t>GOTLAND</t>
        </is>
      </c>
      <c r="I485" t="n">
        <v>4.1</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12032-2025</t>
        </is>
      </c>
      <c r="B486" t="inlineStr">
        <is>
          <t>avverkningsanmälan</t>
        </is>
      </c>
      <c r="C486" t="inlineStr">
        <is>
          <t>Föryngringsavverkning</t>
        </is>
      </c>
      <c r="D486" s="1" t="n">
        <v>45728</v>
      </c>
      <c r="E486" s="1" t="n">
        <v>46321</v>
      </c>
      <c r="F486" t="inlineStr">
        <is>
          <t>GOTLANDS LÄN</t>
        </is>
      </c>
      <c r="G486" t="inlineStr">
        <is>
          <t>GOTLAND</t>
        </is>
      </c>
      <c r="I486" t="n">
        <v>1.4</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38787-2023</t>
        </is>
      </c>
      <c r="B487" t="inlineStr">
        <is>
          <t>avverkningsanmälan</t>
        </is>
      </c>
      <c r="C487" t="inlineStr">
        <is>
          <t>Föryngringsavverkning</t>
        </is>
      </c>
      <c r="D487" s="1" t="n">
        <v>45163</v>
      </c>
      <c r="E487" s="1" t="n">
        <v>46321</v>
      </c>
      <c r="F487" t="inlineStr">
        <is>
          <t>GOTLANDS LÄN</t>
        </is>
      </c>
      <c r="G487" t="inlineStr">
        <is>
          <t>GOTLAND</t>
        </is>
      </c>
      <c r="I487" t="n">
        <v>0.4</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43231-2023</t>
        </is>
      </c>
      <c r="B488" t="inlineStr">
        <is>
          <t>avverkningsanmälan</t>
        </is>
      </c>
      <c r="C488" t="inlineStr">
        <is>
          <t>Föryngringsavverkning</t>
        </is>
      </c>
      <c r="D488" s="1" t="n">
        <v>45183</v>
      </c>
      <c r="E488" s="1" t="n">
        <v>46321</v>
      </c>
      <c r="F488" t="inlineStr">
        <is>
          <t>GOTLANDS LÄN</t>
        </is>
      </c>
      <c r="G488" t="inlineStr">
        <is>
          <t>GOTLAND</t>
        </is>
      </c>
      <c r="I488" t="n">
        <v>3.6</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17532-2024</t>
        </is>
      </c>
      <c r="B489" t="inlineStr">
        <is>
          <t>avverkningsanmälan</t>
        </is>
      </c>
      <c r="C489" t="inlineStr">
        <is>
          <t>Föryngringsavverkning</t>
        </is>
      </c>
      <c r="D489" s="1" t="n">
        <v>45415</v>
      </c>
      <c r="E489" s="1" t="n">
        <v>46321</v>
      </c>
      <c r="F489" t="inlineStr">
        <is>
          <t>GOTLANDS LÄN</t>
        </is>
      </c>
      <c r="G489" t="inlineStr">
        <is>
          <t>GOTLAND</t>
        </is>
      </c>
      <c r="I489" t="n">
        <v>4.3</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42338-2023</t>
        </is>
      </c>
      <c r="B490" t="inlineStr">
        <is>
          <t>avverkningsanmälan</t>
        </is>
      </c>
      <c r="C490" t="inlineStr">
        <is>
          <t>Föryngringsavverkning</t>
        </is>
      </c>
      <c r="D490" s="1" t="n">
        <v>45180</v>
      </c>
      <c r="E490" s="1" t="n">
        <v>46321</v>
      </c>
      <c r="F490" t="inlineStr">
        <is>
          <t>GOTLANDS LÄN</t>
        </is>
      </c>
      <c r="G490" t="inlineStr">
        <is>
          <t>GOTLAND</t>
        </is>
      </c>
      <c r="I490" t="n">
        <v>0.7</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873-2024</t>
        </is>
      </c>
      <c r="B491" t="inlineStr">
        <is>
          <t>avverkningsanmälan</t>
        </is>
      </c>
      <c r="C491" t="inlineStr">
        <is>
          <t>Avverkning för annat ändamål</t>
        </is>
      </c>
      <c r="D491" s="1" t="n">
        <v>45301</v>
      </c>
      <c r="E491" s="1" t="n">
        <v>46321</v>
      </c>
      <c r="F491" t="inlineStr">
        <is>
          <t>GOTLANDS LÄN</t>
        </is>
      </c>
      <c r="G491" t="inlineStr">
        <is>
          <t>GOTLAND</t>
        </is>
      </c>
      <c r="I491" t="n">
        <v>2.7</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22275-2023</t>
        </is>
      </c>
      <c r="B492" t="inlineStr">
        <is>
          <t>avverkningsanmälan</t>
        </is>
      </c>
      <c r="C492" t="inlineStr">
        <is>
          <t>Föryngringsavverkning</t>
        </is>
      </c>
      <c r="D492" s="1" t="n">
        <v>45070</v>
      </c>
      <c r="E492" s="1" t="n">
        <v>46321</v>
      </c>
      <c r="F492" t="inlineStr">
        <is>
          <t>GOTLANDS LÄN</t>
        </is>
      </c>
      <c r="G492" t="inlineStr">
        <is>
          <t>GOTLAND</t>
        </is>
      </c>
      <c r="I492" t="n">
        <v>7.2</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12322-2025</t>
        </is>
      </c>
      <c r="B493" t="inlineStr">
        <is>
          <t>avverkningsanmälan</t>
        </is>
      </c>
      <c r="C493" t="inlineStr">
        <is>
          <t>Föryngringsavverkning</t>
        </is>
      </c>
      <c r="D493" s="1" t="n">
        <v>45730</v>
      </c>
      <c r="E493" s="1" t="n">
        <v>46321</v>
      </c>
      <c r="F493" t="inlineStr">
        <is>
          <t>GOTLANDS LÄN</t>
        </is>
      </c>
      <c r="G493" t="inlineStr">
        <is>
          <t>GOTLAND</t>
        </is>
      </c>
      <c r="I493" t="n">
        <v>1.4</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14797-2024</t>
        </is>
      </c>
      <c r="B494" t="inlineStr">
        <is>
          <t>avverkningsanmälan</t>
        </is>
      </c>
      <c r="C494" t="inlineStr">
        <is>
          <t>Föryngringsavverkning</t>
        </is>
      </c>
      <c r="D494" s="1" t="n">
        <v>45397</v>
      </c>
      <c r="E494" s="1" t="n">
        <v>46321</v>
      </c>
      <c r="F494" t="inlineStr">
        <is>
          <t>GOTLANDS LÄN</t>
        </is>
      </c>
      <c r="G494" t="inlineStr">
        <is>
          <t>GOTLAND</t>
        </is>
      </c>
      <c r="I494" t="n">
        <v>8.1</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999-2024</t>
        </is>
      </c>
      <c r="B495" t="inlineStr">
        <is>
          <t>avverkningsanmälan</t>
        </is>
      </c>
      <c r="C495" t="inlineStr">
        <is>
          <t>Föryngringsavverkning</t>
        </is>
      </c>
      <c r="D495" s="1" t="n">
        <v>45301</v>
      </c>
      <c r="E495" s="1" t="n">
        <v>46321</v>
      </c>
      <c r="F495" t="inlineStr">
        <is>
          <t>GOTLANDS LÄN</t>
        </is>
      </c>
      <c r="G495" t="inlineStr">
        <is>
          <t>GOTLAND</t>
        </is>
      </c>
      <c r="I495" t="n">
        <v>1</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61596-2023</t>
        </is>
      </c>
      <c r="B496" t="inlineStr">
        <is>
          <t>avverkningsanmälan</t>
        </is>
      </c>
      <c r="C496" t="inlineStr">
        <is>
          <t>Föryngringsavverkning</t>
        </is>
      </c>
      <c r="D496" s="1" t="n">
        <v>45265</v>
      </c>
      <c r="E496" s="1" t="n">
        <v>46321</v>
      </c>
      <c r="F496" t="inlineStr">
        <is>
          <t>GOTLANDS LÄN</t>
        </is>
      </c>
      <c r="G496" t="inlineStr">
        <is>
          <t>GOTLAND</t>
        </is>
      </c>
      <c r="I496" t="n">
        <v>1.7</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60675-2021</t>
        </is>
      </c>
      <c r="B497" t="inlineStr">
        <is>
          <t>avverkningsanmälan</t>
        </is>
      </c>
      <c r="C497" t="inlineStr">
        <is>
          <t>Föryngringsavverkning</t>
        </is>
      </c>
      <c r="D497" s="1" t="n">
        <v>44496</v>
      </c>
      <c r="E497" s="1" t="n">
        <v>46321</v>
      </c>
      <c r="F497" t="inlineStr">
        <is>
          <t>GOTLANDS LÄN</t>
        </is>
      </c>
      <c r="G497" t="inlineStr">
        <is>
          <t>GOTLAND</t>
        </is>
      </c>
      <c r="I497" t="n">
        <v>4.6</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37728-2024</t>
        </is>
      </c>
      <c r="B498" t="inlineStr">
        <is>
          <t>avverkningsanmälan</t>
        </is>
      </c>
      <c r="C498" t="inlineStr">
        <is>
          <t>Föryngringsavverkning</t>
        </is>
      </c>
      <c r="D498" s="1" t="n">
        <v>45541</v>
      </c>
      <c r="E498" s="1" t="n">
        <v>46321</v>
      </c>
      <c r="F498" t="inlineStr">
        <is>
          <t>GOTLANDS LÄN</t>
        </is>
      </c>
      <c r="G498" t="inlineStr">
        <is>
          <t>GOTLAND</t>
        </is>
      </c>
      <c r="I498" t="n">
        <v>0.4</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22287-2022</t>
        </is>
      </c>
      <c r="B499" t="inlineStr">
        <is>
          <t>avverkningsanmälan</t>
        </is>
      </c>
      <c r="C499" t="inlineStr">
        <is>
          <t>Avverkning för annat ändamål</t>
        </is>
      </c>
      <c r="D499" s="1" t="n">
        <v>44712</v>
      </c>
      <c r="E499" s="1" t="n">
        <v>46321</v>
      </c>
      <c r="F499" t="inlineStr">
        <is>
          <t>GOTLANDS LÄN</t>
        </is>
      </c>
      <c r="G499" t="inlineStr">
        <is>
          <t>GOTLAND</t>
        </is>
      </c>
      <c r="I499" t="n">
        <v>6.1</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54074-2022</t>
        </is>
      </c>
      <c r="B500" t="inlineStr">
        <is>
          <t>avverkningsanmälan</t>
        </is>
      </c>
      <c r="C500" t="inlineStr">
        <is>
          <t>Föryngringsavverkning</t>
        </is>
      </c>
      <c r="D500" s="1" t="n">
        <v>44881</v>
      </c>
      <c r="E500" s="1" t="n">
        <v>46321</v>
      </c>
      <c r="F500" t="inlineStr">
        <is>
          <t>GOTLANDS LÄN</t>
        </is>
      </c>
      <c r="G500" t="inlineStr">
        <is>
          <t>GOTLAND</t>
        </is>
      </c>
      <c r="I500" t="n">
        <v>0.9</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65249-2023</t>
        </is>
      </c>
      <c r="B501" t="inlineStr">
        <is>
          <t>avverkningsanmälan</t>
        </is>
      </c>
      <c r="C501" t="inlineStr">
        <is>
          <t>Föryngringsavverkning</t>
        </is>
      </c>
      <c r="D501" s="1" t="n">
        <v>45290</v>
      </c>
      <c r="E501" s="1" t="n">
        <v>46321</v>
      </c>
      <c r="F501" t="inlineStr">
        <is>
          <t>GOTLANDS LÄN</t>
        </is>
      </c>
      <c r="G501" t="inlineStr">
        <is>
          <t>GOTLAND</t>
        </is>
      </c>
      <c r="I501" t="n">
        <v>2.4</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17780-2022</t>
        </is>
      </c>
      <c r="B502" t="inlineStr">
        <is>
          <t>avverkningsanmälan</t>
        </is>
      </c>
      <c r="C502" t="inlineStr">
        <is>
          <t>Föryngringsavverkning</t>
        </is>
      </c>
      <c r="D502" s="1" t="n">
        <v>44682</v>
      </c>
      <c r="E502" s="1" t="n">
        <v>46321</v>
      </c>
      <c r="F502" t="inlineStr">
        <is>
          <t>GOTLANDS LÄN</t>
        </is>
      </c>
      <c r="G502" t="inlineStr">
        <is>
          <t>GOTLAND</t>
        </is>
      </c>
      <c r="I502" t="n">
        <v>2.2</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59986-2022</t>
        </is>
      </c>
      <c r="B503" t="inlineStr">
        <is>
          <t>avverkningsanmälan</t>
        </is>
      </c>
      <c r="C503" t="inlineStr">
        <is>
          <t>Avverkning för annat ändamål</t>
        </is>
      </c>
      <c r="D503" s="1" t="n">
        <v>44909</v>
      </c>
      <c r="E503" s="1" t="n">
        <v>46321</v>
      </c>
      <c r="F503" t="inlineStr">
        <is>
          <t>GOTLANDS LÄN</t>
        </is>
      </c>
      <c r="G503" t="inlineStr">
        <is>
          <t>GOTLAND</t>
        </is>
      </c>
      <c r="I503" t="n">
        <v>0.7</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11874-2024</t>
        </is>
      </c>
      <c r="B504" t="inlineStr">
        <is>
          <t>avverkningsanmälan</t>
        </is>
      </c>
      <c r="C504" t="inlineStr">
        <is>
          <t>Föryngringsavverkning</t>
        </is>
      </c>
      <c r="D504" s="1" t="n">
        <v>45376</v>
      </c>
      <c r="E504" s="1" t="n">
        <v>46321</v>
      </c>
      <c r="F504" t="inlineStr">
        <is>
          <t>GOTLANDS LÄN</t>
        </is>
      </c>
      <c r="G504" t="inlineStr">
        <is>
          <t>GOTLAND</t>
        </is>
      </c>
      <c r="I504" t="n">
        <v>0.8</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42041-2024</t>
        </is>
      </c>
      <c r="B505" t="inlineStr">
        <is>
          <t>avverkningsanmälan</t>
        </is>
      </c>
      <c r="C505" t="inlineStr">
        <is>
          <t>Föryngringsavverkning</t>
        </is>
      </c>
      <c r="D505" s="1" t="n">
        <v>45561</v>
      </c>
      <c r="E505" s="1" t="n">
        <v>46321</v>
      </c>
      <c r="F505" t="inlineStr">
        <is>
          <t>GOTLANDS LÄN</t>
        </is>
      </c>
      <c r="G505" t="inlineStr">
        <is>
          <t>GOTLAND</t>
        </is>
      </c>
      <c r="I505" t="n">
        <v>3.2</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61694-2023</t>
        </is>
      </c>
      <c r="B506" t="inlineStr">
        <is>
          <t>avverkningsanmälan</t>
        </is>
      </c>
      <c r="C506" t="inlineStr">
        <is>
          <t>Föryngringsavverkning</t>
        </is>
      </c>
      <c r="D506" s="1" t="n">
        <v>45264</v>
      </c>
      <c r="E506" s="1" t="n">
        <v>46321</v>
      </c>
      <c r="F506" t="inlineStr">
        <is>
          <t>GOTLANDS LÄN</t>
        </is>
      </c>
      <c r="G506" t="inlineStr">
        <is>
          <t>GOTLAND</t>
        </is>
      </c>
      <c r="I506" t="n">
        <v>4.6</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S 1331-2024</t>
        </is>
      </c>
      <c r="B507" t="inlineStr">
        <is>
          <t>samrådsanmälan</t>
        </is>
      </c>
      <c r="C507" t="inlineStr">
        <is>
          <t>Annan skogsbruksåtgärd</t>
        </is>
      </c>
      <c r="D507" s="1" t="n">
        <v>45406</v>
      </c>
      <c r="E507" s="1" t="n">
        <v>46321</v>
      </c>
      <c r="F507" t="inlineStr">
        <is>
          <t>GOTLANDS LÄN</t>
        </is>
      </c>
      <c r="G507" t="inlineStr">
        <is>
          <t>GOTLAND</t>
        </is>
      </c>
      <c r="I507" t="n">
        <v>5.4</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S 537-2024</t>
        </is>
      </c>
      <c r="B508" t="inlineStr">
        <is>
          <t>samrådsanmälan</t>
        </is>
      </c>
      <c r="C508" t="inlineStr">
        <is>
          <t>Annan skogsbruksåtgärd</t>
        </is>
      </c>
      <c r="D508" s="1" t="n">
        <v>45350</v>
      </c>
      <c r="E508" s="1" t="n">
        <v>46321</v>
      </c>
      <c r="F508" t="inlineStr">
        <is>
          <t>GOTLANDS LÄN</t>
        </is>
      </c>
      <c r="G508" t="inlineStr">
        <is>
          <t>GOTLAND</t>
        </is>
      </c>
      <c r="I508" t="n">
        <v>18.9</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S 3545-2023</t>
        </is>
      </c>
      <c r="B509" t="inlineStr">
        <is>
          <t>samrådsanmälan</t>
        </is>
      </c>
      <c r="C509" t="inlineStr">
        <is>
          <t>Annan skogsbruksåtgärd</t>
        </is>
      </c>
      <c r="D509" s="1" t="n">
        <v>45209</v>
      </c>
      <c r="E509" s="1" t="n">
        <v>46321</v>
      </c>
      <c r="F509" t="inlineStr">
        <is>
          <t>GOTLANDS LÄN</t>
        </is>
      </c>
      <c r="G509" t="inlineStr">
        <is>
          <t>GOTLAND</t>
        </is>
      </c>
      <c r="I509" t="n">
        <v>3.5</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S 5746-2022</t>
        </is>
      </c>
      <c r="B510" t="inlineStr">
        <is>
          <t>samrådsanmälan</t>
        </is>
      </c>
      <c r="C510" t="inlineStr">
        <is>
          <t>Annan skogsbruksåtgärd</t>
        </is>
      </c>
      <c r="D510" s="1" t="n">
        <v>44846</v>
      </c>
      <c r="E510" s="1" t="n">
        <v>46321</v>
      </c>
      <c r="F510" t="inlineStr">
        <is>
          <t>GOTLANDS LÄN</t>
        </is>
      </c>
      <c r="G510" t="inlineStr">
        <is>
          <t>GOTLAND</t>
        </is>
      </c>
      <c r="I510" t="n">
        <v>2.9</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S 1077-2024</t>
        </is>
      </c>
      <c r="B511" t="inlineStr">
        <is>
          <t>samrådsanmälan</t>
        </is>
      </c>
      <c r="C511" t="inlineStr">
        <is>
          <t>Annan skogsbruksåtgärd</t>
        </is>
      </c>
      <c r="D511" s="1" t="n">
        <v>45390</v>
      </c>
      <c r="E511" s="1" t="n">
        <v>46321</v>
      </c>
      <c r="F511" t="inlineStr">
        <is>
          <t>GOTLANDS LÄN</t>
        </is>
      </c>
      <c r="G511" t="inlineStr">
        <is>
          <t>GOTLAND</t>
        </is>
      </c>
      <c r="I511" t="n">
        <v>7.8</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S 3900-2023</t>
        </is>
      </c>
      <c r="B512" t="inlineStr">
        <is>
          <t>samrådsanmälan</t>
        </is>
      </c>
      <c r="C512" t="inlineStr">
        <is>
          <t>Annan skogsbruksåtgärd</t>
        </is>
      </c>
      <c r="D512" s="1" t="n">
        <v>45237</v>
      </c>
      <c r="E512" s="1" t="n">
        <v>46321</v>
      </c>
      <c r="F512" t="inlineStr">
        <is>
          <t>GOTLANDS LÄN</t>
        </is>
      </c>
      <c r="G512" t="inlineStr">
        <is>
          <t>GOTLAND</t>
        </is>
      </c>
      <c r="I512" t="n">
        <v>0.5</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S 5133-2024</t>
        </is>
      </c>
      <c r="B513" t="inlineStr">
        <is>
          <t>samrådsanmälan</t>
        </is>
      </c>
      <c r="C513" t="inlineStr">
        <is>
          <t>Annan skogsbruksåtgärd</t>
        </is>
      </c>
      <c r="D513" s="1" t="n">
        <v>45645</v>
      </c>
      <c r="E513" s="1" t="n">
        <v>46321</v>
      </c>
      <c r="F513" t="inlineStr">
        <is>
          <t>GOTLANDS LÄN</t>
        </is>
      </c>
      <c r="G513" t="inlineStr">
        <is>
          <t>GOTLAND</t>
        </is>
      </c>
      <c r="I513" t="n">
        <v>3.6</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S 1436-2025</t>
        </is>
      </c>
      <c r="B514" t="inlineStr">
        <is>
          <t>samrådsanmälan</t>
        </is>
      </c>
      <c r="C514" t="inlineStr">
        <is>
          <t>Annan skogsbruksåtgärd</t>
        </is>
      </c>
      <c r="D514" s="1" t="n">
        <v>45784</v>
      </c>
      <c r="E514" s="1" t="n">
        <v>46321</v>
      </c>
      <c r="F514" t="inlineStr">
        <is>
          <t>GOTLANDS LÄN</t>
        </is>
      </c>
      <c r="G514" t="inlineStr">
        <is>
          <t>GOTLAND</t>
        </is>
      </c>
      <c r="I514" t="n">
        <v>5.5</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S 2281-2025</t>
        </is>
      </c>
      <c r="B515" t="inlineStr">
        <is>
          <t>samrådsanmälan</t>
        </is>
      </c>
      <c r="C515" t="inlineStr">
        <is>
          <t>Annan skogsbruksåtgärd</t>
        </is>
      </c>
      <c r="D515" s="1" t="n">
        <v>45876</v>
      </c>
      <c r="E515" s="1" t="n">
        <v>46321</v>
      </c>
      <c r="F515" t="inlineStr">
        <is>
          <t>GOTLANDS LÄN</t>
        </is>
      </c>
      <c r="G515" t="inlineStr">
        <is>
          <t>GOTLAND</t>
        </is>
      </c>
      <c r="I515" t="n">
        <v>1.2</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S 1192-2026</t>
        </is>
      </c>
      <c r="B516" t="inlineStr">
        <is>
          <t>samrådsanmälan</t>
        </is>
      </c>
      <c r="C516" t="inlineStr">
        <is>
          <t>Annan skogsbruksåtgärd</t>
        </is>
      </c>
      <c r="D516" s="1" t="n">
        <v>46139</v>
      </c>
      <c r="E516" s="1" t="n">
        <v>46321</v>
      </c>
      <c r="F516" t="inlineStr">
        <is>
          <t>GOTLANDS LÄN</t>
        </is>
      </c>
      <c r="G516" t="inlineStr">
        <is>
          <t>GOTLAND</t>
        </is>
      </c>
      <c r="I516" t="n">
        <v>1.6</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S 752-2025</t>
        </is>
      </c>
      <c r="B517" t="inlineStr">
        <is>
          <t>samrådsanmälan</t>
        </is>
      </c>
      <c r="C517" t="inlineStr">
        <is>
          <t>Annan skogsbruksåtgärd</t>
        </is>
      </c>
      <c r="D517" s="1" t="n">
        <v>45726</v>
      </c>
      <c r="E517" s="1" t="n">
        <v>46321</v>
      </c>
      <c r="F517" t="inlineStr">
        <is>
          <t>GOTLANDS LÄN</t>
        </is>
      </c>
      <c r="G517" t="inlineStr">
        <is>
          <t>GOTLAND</t>
        </is>
      </c>
      <c r="I517" t="n">
        <v>7.5</v>
      </c>
      <c r="J517" t="n">
        <v>0</v>
      </c>
      <c r="K517" t="n">
        <v>0</v>
      </c>
      <c r="L517" t="n">
        <v>0</v>
      </c>
      <c r="M517" t="n">
        <v>0</v>
      </c>
      <c r="N517" t="n">
        <v>0</v>
      </c>
      <c r="O517" t="n">
        <v>0</v>
      </c>
      <c r="P517" t="n">
        <v>0</v>
      </c>
      <c r="Q517" t="n">
        <v>0</v>
      </c>
      <c r="R517" t="n">
        <v>0</v>
      </c>
      <c r="S517" t="n">
        <v>0</v>
      </c>
      <c r="T517" t="n">
        <v>0</v>
      </c>
      <c r="U517" t="n">
        <v>0</v>
      </c>
      <c r="V517" s="2" t="inlineStr"/>
    </row>
    <row r="518">
      <c r="A518" t="inlineStr">
        <is>
          <t>S 1330-2026</t>
        </is>
      </c>
      <c r="B518" t="inlineStr">
        <is>
          <t>samrådsanmälan</t>
        </is>
      </c>
      <c r="C518" t="inlineStr">
        <is>
          <t>Annan skogsbruksåtgärd</t>
        </is>
      </c>
      <c r="D518" s="1" t="n">
        <v>46149</v>
      </c>
      <c r="E518" s="1" t="n">
        <v>46321</v>
      </c>
      <c r="F518" t="inlineStr">
        <is>
          <t>GOTLANDS LÄN</t>
        </is>
      </c>
      <c r="G518" t="inlineStr">
        <is>
          <t>GOTLAND</t>
        </is>
      </c>
      <c r="I518" t="n">
        <v>7.5</v>
      </c>
      <c r="J518" t="n">
        <v>0</v>
      </c>
      <c r="K518" t="n">
        <v>0</v>
      </c>
      <c r="L518" t="n">
        <v>0</v>
      </c>
      <c r="M518" t="n">
        <v>0</v>
      </c>
      <c r="N518" t="n">
        <v>0</v>
      </c>
      <c r="O518" t="n">
        <v>0</v>
      </c>
      <c r="P518" t="n">
        <v>0</v>
      </c>
      <c r="Q518" t="n">
        <v>0</v>
      </c>
      <c r="R518" t="n">
        <v>0</v>
      </c>
      <c r="S518" t="n">
        <v>0</v>
      </c>
      <c r="T518" t="n">
        <v>0</v>
      </c>
      <c r="U518" t="n">
        <v>0</v>
      </c>
      <c r="V51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2026-10-26T03:10:39Z</dcterms:created>
  <dcterms:modified xmlns:dcterms="http://purl.org/dc/terms/" xmlns:xsi="http://www.w3.org/2001/XMLSchema-instance" xsi:type="dcterms:W3CDTF">2026-10-26T03:10:39Z</dcterms:modified>
</cp:coreProperties>
</file>