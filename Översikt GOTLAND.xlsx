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46051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46051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46051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46051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46051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46051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46051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46051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46051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46051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46051</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46051</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46051</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46051</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46051</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46051</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46051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46051</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34100-2024</t>
        </is>
      </c>
      <c r="B27" s="1" t="n">
        <v>45523</v>
      </c>
      <c r="C27" s="1" t="n">
        <v>46051</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46051</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Dactylorhiza incarnata subsp. incarnata
Fläcknycklar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46051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46051</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46051</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46051</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2222-2024</t>
        </is>
      </c>
      <c r="B33" s="1" t="n">
        <v>45309</v>
      </c>
      <c r="C33" s="1" t="n">
        <v>46051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46051</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46051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46051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46051</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46051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46051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46051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46051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46051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46051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46051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46051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46051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46051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46051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46051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46051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46051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46051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46051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46051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46051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46051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46051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46051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46051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46051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46051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46051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46051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46051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46051</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27280-2023</t>
        </is>
      </c>
      <c r="B66" s="1" t="n">
        <v>45096</v>
      </c>
      <c r="C66" s="1" t="n">
        <v>46051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46051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46051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46051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46051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46051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46051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46051</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446-2023</t>
        </is>
      </c>
      <c r="B74" s="1" t="n">
        <v>44929</v>
      </c>
      <c r="C74" s="1" t="n">
        <v>46051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46051</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57773-2025</t>
        </is>
      </c>
      <c r="B76" s="1" t="n">
        <v>45981.56349537037</v>
      </c>
      <c r="C76" s="1" t="n">
        <v>46051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54527-2023</t>
        </is>
      </c>
      <c r="B77" s="1" t="n">
        <v>45233</v>
      </c>
      <c r="C77" s="1" t="n">
        <v>46051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46051</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46051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46051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46051</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46051</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46051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46051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46051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46051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46051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46051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46051</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5904-2024</t>
        </is>
      </c>
      <c r="B90" s="1" t="n">
        <v>45335</v>
      </c>
      <c r="C90" s="1" t="n">
        <v>46051</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43197-2023</t>
        </is>
      </c>
      <c r="B91" s="1" t="n">
        <v>45183</v>
      </c>
      <c r="C91" s="1" t="n">
        <v>46051</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40099-2025</t>
        </is>
      </c>
      <c r="B92" s="1" t="n">
        <v>45894.48462962963</v>
      </c>
      <c r="C92" s="1" t="n">
        <v>46051</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1971-2023</t>
        </is>
      </c>
      <c r="B93" s="1" t="n">
        <v>44939</v>
      </c>
      <c r="C93" s="1" t="n">
        <v>46051</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46051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52250-2025</t>
        </is>
      </c>
      <c r="B95" s="1" t="n">
        <v>45953.48998842593</v>
      </c>
      <c r="C95" s="1" t="n">
        <v>46051</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57463-2025</t>
        </is>
      </c>
      <c r="B96" s="1" t="n">
        <v>45980.54174768519</v>
      </c>
      <c r="C96" s="1" t="n">
        <v>46051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54523-2023</t>
        </is>
      </c>
      <c r="B97" s="1" t="n">
        <v>45233</v>
      </c>
      <c r="C97" s="1" t="n">
        <v>46051</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44933-2022</t>
        </is>
      </c>
      <c r="B98" s="1" t="n">
        <v>44841</v>
      </c>
      <c r="C98" s="1" t="n">
        <v>46051</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46051</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46051</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46051</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46051</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46051</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46051</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46051</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46051</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46051</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46051</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46051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20831-2024</t>
        </is>
      </c>
      <c r="B110" s="1" t="n">
        <v>45439</v>
      </c>
      <c r="C110" s="1" t="n">
        <v>46051</v>
      </c>
      <c r="D110" t="inlineStr">
        <is>
          <t>GOTLANDS LÄN</t>
        </is>
      </c>
      <c r="E110" t="inlineStr">
        <is>
          <t>GOTLAND</t>
        </is>
      </c>
      <c r="G110" t="n">
        <v>2.9</v>
      </c>
      <c r="H110" t="n">
        <v>2</v>
      </c>
      <c r="I110" t="n">
        <v>1</v>
      </c>
      <c r="J110" t="n">
        <v>2</v>
      </c>
      <c r="K110" t="n">
        <v>0</v>
      </c>
      <c r="L110" t="n">
        <v>0</v>
      </c>
      <c r="M110" t="n">
        <v>0</v>
      </c>
      <c r="N110" t="n">
        <v>0</v>
      </c>
      <c r="O110" t="n">
        <v>2</v>
      </c>
      <c r="P110" t="n">
        <v>0</v>
      </c>
      <c r="Q110" t="n">
        <v>3</v>
      </c>
      <c r="R110" s="2" t="inlineStr">
        <is>
          <t>Dårgräsfjäril
Svinrot
Skogsknipprot</t>
        </is>
      </c>
      <c r="S110">
        <f>HYPERLINK("https://klasma.github.io/Logging_0980/artfynd/A 20831-2024 artfynd.xlsx", "A 20831-2024")</f>
        <v/>
      </c>
      <c r="T110">
        <f>HYPERLINK("https://klasma.github.io/Logging_0980/kartor/A 20831-2024 karta.png", "A 20831-2024")</f>
        <v/>
      </c>
      <c r="V110">
        <f>HYPERLINK("https://klasma.github.io/Logging_0980/klagomål/A 20831-2024 FSC-klagomål.docx", "A 20831-2024")</f>
        <v/>
      </c>
      <c r="W110">
        <f>HYPERLINK("https://klasma.github.io/Logging_0980/klagomålsmail/A 20831-2024 FSC-klagomål mail.docx", "A 20831-2024")</f>
        <v/>
      </c>
      <c r="X110">
        <f>HYPERLINK("https://klasma.github.io/Logging_0980/tillsyn/A 20831-2024 tillsynsbegäran.docx", "A 20831-2024")</f>
        <v/>
      </c>
      <c r="Y110">
        <f>HYPERLINK("https://klasma.github.io/Logging_0980/tillsynsmail/A 20831-2024 tillsynsbegäran mail.docx", "A 20831-2024")</f>
        <v/>
      </c>
    </row>
    <row r="111" ht="15" customHeight="1">
      <c r="A111" t="inlineStr">
        <is>
          <t>A 49709-2025</t>
        </is>
      </c>
      <c r="B111" s="1" t="n">
        <v>45939.68228009259</v>
      </c>
      <c r="C111" s="1" t="n">
        <v>46051</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46051</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46051</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46051</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1520-2026</t>
        </is>
      </c>
      <c r="B115" s="1" t="n">
        <v>46034.35891203704</v>
      </c>
      <c r="C115" s="1" t="n">
        <v>46051</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17982-2023</t>
        </is>
      </c>
      <c r="B116" s="1" t="n">
        <v>45040</v>
      </c>
      <c r="C116" s="1" t="n">
        <v>46051</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46051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46051</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46051</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46051</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46051</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46051</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46051</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46051</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46051</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46051</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46051</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63162-2025</t>
        </is>
      </c>
      <c r="B128" s="1" t="n">
        <v>46010.37629629629</v>
      </c>
      <c r="C128" s="1" t="n">
        <v>46051</v>
      </c>
      <c r="D128" t="inlineStr">
        <is>
          <t>GOTLANDS LÄN</t>
        </is>
      </c>
      <c r="E128" t="inlineStr">
        <is>
          <t>GOTLAND</t>
        </is>
      </c>
      <c r="G128" t="n">
        <v>3.5</v>
      </c>
      <c r="H128" t="n">
        <v>0</v>
      </c>
      <c r="I128" t="n">
        <v>1</v>
      </c>
      <c r="J128" t="n">
        <v>0</v>
      </c>
      <c r="K128" t="n">
        <v>1</v>
      </c>
      <c r="L128" t="n">
        <v>0</v>
      </c>
      <c r="M128" t="n">
        <v>0</v>
      </c>
      <c r="N128" t="n">
        <v>0</v>
      </c>
      <c r="O128" t="n">
        <v>1</v>
      </c>
      <c r="P128" t="n">
        <v>1</v>
      </c>
      <c r="Q128" t="n">
        <v>2</v>
      </c>
      <c r="R128" s="2" t="inlineStr">
        <is>
          <t>Gotlandsmåra
Myskmadra</t>
        </is>
      </c>
      <c r="S128">
        <f>HYPERLINK("https://klasma.github.io/Logging_0980/artfynd/A 63162-2025 artfynd.xlsx", "A 63162-2025")</f>
        <v/>
      </c>
      <c r="T128">
        <f>HYPERLINK("https://klasma.github.io/Logging_0980/kartor/A 63162-2025 karta.png", "A 63162-2025")</f>
        <v/>
      </c>
      <c r="V128">
        <f>HYPERLINK("https://klasma.github.io/Logging_0980/klagomål/A 63162-2025 FSC-klagomål.docx", "A 63162-2025")</f>
        <v/>
      </c>
      <c r="W128">
        <f>HYPERLINK("https://klasma.github.io/Logging_0980/klagomålsmail/A 63162-2025 FSC-klagomål mail.docx", "A 63162-2025")</f>
        <v/>
      </c>
      <c r="X128">
        <f>HYPERLINK("https://klasma.github.io/Logging_0980/tillsyn/A 63162-2025 tillsynsbegäran.docx", "A 63162-2025")</f>
        <v/>
      </c>
      <c r="Y128">
        <f>HYPERLINK("https://klasma.github.io/Logging_0980/tillsynsmail/A 63162-2025 tillsynsbegäran mail.docx", "A 63162-2025")</f>
        <v/>
      </c>
    </row>
    <row r="129" ht="15" customHeight="1">
      <c r="A129" t="inlineStr">
        <is>
          <t>A 20838-2024</t>
        </is>
      </c>
      <c r="B129" s="1" t="n">
        <v>45439</v>
      </c>
      <c r="C129" s="1" t="n">
        <v>46051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62760-2025</t>
        </is>
      </c>
      <c r="B130" s="1" t="n">
        <v>46008</v>
      </c>
      <c r="C130" s="1" t="n">
        <v>46051</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54357-2024</t>
        </is>
      </c>
      <c r="B131" s="1" t="n">
        <v>45617.40662037037</v>
      </c>
      <c r="C131" s="1" t="n">
        <v>46051</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46051</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46051</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46051</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46051</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46051</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46051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46051</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46051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46051</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46051</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46051</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46051</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46051</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44304-2021</t>
        </is>
      </c>
      <c r="B145" s="1" t="n">
        <v>44434</v>
      </c>
      <c r="C145" s="1" t="n">
        <v>46051</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25977-2024</t>
        </is>
      </c>
      <c r="B146" s="1" t="n">
        <v>45467.69356481481</v>
      </c>
      <c r="C146" s="1" t="n">
        <v>46051</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26461-2025</t>
        </is>
      </c>
      <c r="B147" s="1" t="n">
        <v>45807.43337962963</v>
      </c>
      <c r="C147" s="1" t="n">
        <v>46051</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65927-2021</t>
        </is>
      </c>
      <c r="B148" s="1" t="n">
        <v>44516</v>
      </c>
      <c r="C148" s="1" t="n">
        <v>46051</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39812-2025</t>
        </is>
      </c>
      <c r="B149" s="1" t="n">
        <v>45891</v>
      </c>
      <c r="C149" s="1" t="n">
        <v>46051</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61796-2022</t>
        </is>
      </c>
      <c r="B150" s="1" t="n">
        <v>44917</v>
      </c>
      <c r="C150" s="1" t="n">
        <v>46051</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35467-2021</t>
        </is>
      </c>
      <c r="B151" s="1" t="n">
        <v>44385</v>
      </c>
      <c r="C151" s="1" t="n">
        <v>46051</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34141-2024</t>
        </is>
      </c>
      <c r="B152" s="1" t="n">
        <v>45524.36229166666</v>
      </c>
      <c r="C152" s="1" t="n">
        <v>46051</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9862-2024</t>
        </is>
      </c>
      <c r="B153" s="1" t="n">
        <v>45363</v>
      </c>
      <c r="C153" s="1" t="n">
        <v>46051</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44619-2025</t>
        </is>
      </c>
      <c r="B154" s="1" t="n">
        <v>45917</v>
      </c>
      <c r="C154" s="1" t="n">
        <v>46051</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46051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12924-2025</t>
        </is>
      </c>
      <c r="B156" s="1" t="n">
        <v>45734</v>
      </c>
      <c r="C156" s="1" t="n">
        <v>46051</v>
      </c>
      <c r="D156" t="inlineStr">
        <is>
          <t>GOTLANDS LÄN</t>
        </is>
      </c>
      <c r="E156" t="inlineStr">
        <is>
          <t>GOTLAND</t>
        </is>
      </c>
      <c r="G156" t="n">
        <v>11.7</v>
      </c>
      <c r="H156" t="n">
        <v>0</v>
      </c>
      <c r="I156" t="n">
        <v>0</v>
      </c>
      <c r="J156" t="n">
        <v>0</v>
      </c>
      <c r="K156" t="n">
        <v>1</v>
      </c>
      <c r="L156" t="n">
        <v>0</v>
      </c>
      <c r="M156" t="n">
        <v>0</v>
      </c>
      <c r="N156" t="n">
        <v>0</v>
      </c>
      <c r="O156" t="n">
        <v>1</v>
      </c>
      <c r="P156" t="n">
        <v>1</v>
      </c>
      <c r="Q156" t="n">
        <v>1</v>
      </c>
      <c r="R156" s="2" t="inlineStr">
        <is>
          <t>Gotlandsmåra</t>
        </is>
      </c>
      <c r="S156">
        <f>HYPERLINK("https://klasma.github.io/Logging_0980/artfynd/A 12924-2025 artfynd.xlsx", "A 12924-2025")</f>
        <v/>
      </c>
      <c r="T156">
        <f>HYPERLINK("https://klasma.github.io/Logging_0980/kartor/A 12924-2025 karta.png", "A 12924-2025")</f>
        <v/>
      </c>
      <c r="V156">
        <f>HYPERLINK("https://klasma.github.io/Logging_0980/klagomål/A 12924-2025 FSC-klagomål.docx", "A 12924-2025")</f>
        <v/>
      </c>
      <c r="W156">
        <f>HYPERLINK("https://klasma.github.io/Logging_0980/klagomålsmail/A 12924-2025 FSC-klagomål mail.docx", "A 12924-2025")</f>
        <v/>
      </c>
      <c r="X156">
        <f>HYPERLINK("https://klasma.github.io/Logging_0980/tillsyn/A 12924-2025 tillsynsbegäran.docx", "A 12924-2025")</f>
        <v/>
      </c>
      <c r="Y156">
        <f>HYPERLINK("https://klasma.github.io/Logging_0980/tillsynsmail/A 12924-2025 tillsynsbegäran mail.docx", "A 12924-2025")</f>
        <v/>
      </c>
    </row>
    <row r="157" ht="15" customHeight="1">
      <c r="A157" t="inlineStr">
        <is>
          <t>A 49726-2025</t>
        </is>
      </c>
      <c r="B157" s="1" t="n">
        <v>45939.84466435185</v>
      </c>
      <c r="C157" s="1" t="n">
        <v>46051</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20429-2025</t>
        </is>
      </c>
      <c r="B158" s="1" t="n">
        <v>45775.47728009259</v>
      </c>
      <c r="C158" s="1" t="n">
        <v>46051</v>
      </c>
      <c r="D158" t="inlineStr">
        <is>
          <t>GOTLANDS LÄN</t>
        </is>
      </c>
      <c r="E158" t="inlineStr">
        <is>
          <t>GOTLAND</t>
        </is>
      </c>
      <c r="G158" t="n">
        <v>1.4</v>
      </c>
      <c r="H158" t="n">
        <v>1</v>
      </c>
      <c r="I158" t="n">
        <v>0</v>
      </c>
      <c r="J158" t="n">
        <v>0</v>
      </c>
      <c r="K158" t="n">
        <v>0</v>
      </c>
      <c r="L158" t="n">
        <v>0</v>
      </c>
      <c r="M158" t="n">
        <v>0</v>
      </c>
      <c r="N158" t="n">
        <v>0</v>
      </c>
      <c r="O158" t="n">
        <v>0</v>
      </c>
      <c r="P158" t="n">
        <v>0</v>
      </c>
      <c r="Q158" t="n">
        <v>1</v>
      </c>
      <c r="R158" s="2" t="inlineStr">
        <is>
          <t>Äkta lopplummer</t>
        </is>
      </c>
      <c r="S158">
        <f>HYPERLINK("https://klasma.github.io/Logging_0980/artfynd/A 20429-2025 artfynd.xlsx", "A 20429-2025")</f>
        <v/>
      </c>
      <c r="T158">
        <f>HYPERLINK("https://klasma.github.io/Logging_0980/kartor/A 20429-2025 karta.png", "A 20429-2025")</f>
        <v/>
      </c>
      <c r="V158">
        <f>HYPERLINK("https://klasma.github.io/Logging_0980/klagomål/A 20429-2025 FSC-klagomål.docx", "A 20429-2025")</f>
        <v/>
      </c>
      <c r="W158">
        <f>HYPERLINK("https://klasma.github.io/Logging_0980/klagomålsmail/A 20429-2025 FSC-klagomål mail.docx", "A 20429-2025")</f>
        <v/>
      </c>
      <c r="X158">
        <f>HYPERLINK("https://klasma.github.io/Logging_0980/tillsyn/A 20429-2025 tillsynsbegäran.docx", "A 20429-2025")</f>
        <v/>
      </c>
      <c r="Y158">
        <f>HYPERLINK("https://klasma.github.io/Logging_0980/tillsynsmail/A 20429-2025 tillsynsbegäran mail.docx", "A 20429-2025")</f>
        <v/>
      </c>
    </row>
    <row r="159" ht="15" customHeight="1">
      <c r="A159" t="inlineStr">
        <is>
          <t>A 13939-2021</t>
        </is>
      </c>
      <c r="B159" s="1" t="n">
        <v>44277</v>
      </c>
      <c r="C159" s="1" t="n">
        <v>46051</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2476-2025</t>
        </is>
      </c>
      <c r="B160" s="1" t="n">
        <v>45673</v>
      </c>
      <c r="C160" s="1" t="n">
        <v>46051</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10995-2023</t>
        </is>
      </c>
      <c r="B161" s="1" t="n">
        <v>44986</v>
      </c>
      <c r="C161" s="1" t="n">
        <v>46051</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62552-2022</t>
        </is>
      </c>
      <c r="B162" s="1" t="n">
        <v>44924</v>
      </c>
      <c r="C162" s="1" t="n">
        <v>46051</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46051</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46051</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46051</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63149-2025</t>
        </is>
      </c>
      <c r="B166" s="1" t="n">
        <v>46010</v>
      </c>
      <c r="C166" s="1" t="n">
        <v>46051</v>
      </c>
      <c r="D166" t="inlineStr">
        <is>
          <t>GOTLANDS LÄN</t>
        </is>
      </c>
      <c r="E166" t="inlineStr">
        <is>
          <t>GOTLAND</t>
        </is>
      </c>
      <c r="G166" t="n">
        <v>4.3</v>
      </c>
      <c r="H166" t="n">
        <v>0</v>
      </c>
      <c r="I166" t="n">
        <v>1</v>
      </c>
      <c r="J166" t="n">
        <v>0</v>
      </c>
      <c r="K166" t="n">
        <v>0</v>
      </c>
      <c r="L166" t="n">
        <v>0</v>
      </c>
      <c r="M166" t="n">
        <v>0</v>
      </c>
      <c r="N166" t="n">
        <v>0</v>
      </c>
      <c r="O166" t="n">
        <v>0</v>
      </c>
      <c r="P166" t="n">
        <v>0</v>
      </c>
      <c r="Q166" t="n">
        <v>1</v>
      </c>
      <c r="R166" s="2" t="inlineStr">
        <is>
          <t>Anisspindling</t>
        </is>
      </c>
      <c r="S166">
        <f>HYPERLINK("https://klasma.github.io/Logging_0980/artfynd/A 63149-2025 artfynd.xlsx", "A 63149-2025")</f>
        <v/>
      </c>
      <c r="T166">
        <f>HYPERLINK("https://klasma.github.io/Logging_0980/kartor/A 63149-2025 karta.png", "A 63149-2025")</f>
        <v/>
      </c>
      <c r="V166">
        <f>HYPERLINK("https://klasma.github.io/Logging_0980/klagomål/A 63149-2025 FSC-klagomål.docx", "A 63149-2025")</f>
        <v/>
      </c>
      <c r="W166">
        <f>HYPERLINK("https://klasma.github.io/Logging_0980/klagomålsmail/A 63149-2025 FSC-klagomål mail.docx", "A 63149-2025")</f>
        <v/>
      </c>
      <c r="X166">
        <f>HYPERLINK("https://klasma.github.io/Logging_0980/tillsyn/A 63149-2025 tillsynsbegäran.docx", "A 63149-2025")</f>
        <v/>
      </c>
      <c r="Y166">
        <f>HYPERLINK("https://klasma.github.io/Logging_0980/tillsynsmail/A 63149-2025 tillsynsbegäran mail.docx", "A 63149-2025")</f>
        <v/>
      </c>
    </row>
    <row r="167" ht="15" customHeight="1">
      <c r="A167" t="inlineStr">
        <is>
          <t>A 947-2023</t>
        </is>
      </c>
      <c r="B167" s="1" t="n">
        <v>44934</v>
      </c>
      <c r="C167" s="1" t="n">
        <v>46051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46051</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46051</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46051</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46051</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46051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46051</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46051</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46051</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46051</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46051</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46051</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46051</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46051</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46051</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46051</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46051</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46051</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46051</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46051</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46051</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46051</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46051</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46051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46051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46051</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46051</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46051</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46051</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46051</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46051</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46051</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46051</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46051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46051</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46051</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46051</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46051</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46051</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46051</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46051</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46051</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46051</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46051</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46051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46051</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46051</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46051</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46051</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46051</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46051</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46051</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46051</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46051</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46051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46051</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46051</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46051</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46051</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46051</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46051</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46051</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46051</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46051</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46051</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46051</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46051</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46051</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46051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46051</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9613-2025</t>
        </is>
      </c>
      <c r="B237" s="1" t="n">
        <v>45715</v>
      </c>
      <c r="C237" s="1" t="n">
        <v>46051</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46051</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5751-2024</t>
        </is>
      </c>
      <c r="B239" s="1" t="n">
        <v>45335.32702546296</v>
      </c>
      <c r="C239" s="1" t="n">
        <v>46051</v>
      </c>
      <c r="D239" t="inlineStr">
        <is>
          <t>GOTLANDS LÄN</t>
        </is>
      </c>
      <c r="E239" t="inlineStr">
        <is>
          <t>GOTLAND</t>
        </is>
      </c>
      <c r="G239" t="n">
        <v>4.2</v>
      </c>
      <c r="H239" t="n">
        <v>0</v>
      </c>
      <c r="I239" t="n">
        <v>0</v>
      </c>
      <c r="J239" t="n">
        <v>0</v>
      </c>
      <c r="K239" t="n">
        <v>0</v>
      </c>
      <c r="L239" t="n">
        <v>0</v>
      </c>
      <c r="M239" t="n">
        <v>0</v>
      </c>
      <c r="N239" t="n">
        <v>0</v>
      </c>
      <c r="O239" t="n">
        <v>0</v>
      </c>
      <c r="P239" t="n">
        <v>0</v>
      </c>
      <c r="Q239" t="n">
        <v>0</v>
      </c>
      <c r="R239" s="2" t="inlineStr"/>
    </row>
    <row r="240" ht="15" customHeight="1">
      <c r="A240" t="inlineStr">
        <is>
          <t>A 15595-2024</t>
        </is>
      </c>
      <c r="B240" s="1" t="n">
        <v>45401.81480324074</v>
      </c>
      <c r="C240" s="1" t="n">
        <v>46051</v>
      </c>
      <c r="D240" t="inlineStr">
        <is>
          <t>GOTLANDS LÄN</t>
        </is>
      </c>
      <c r="E240" t="inlineStr">
        <is>
          <t>GOTLAND</t>
        </is>
      </c>
      <c r="G240" t="n">
        <v>6.4</v>
      </c>
      <c r="H240" t="n">
        <v>0</v>
      </c>
      <c r="I240" t="n">
        <v>0</v>
      </c>
      <c r="J240" t="n">
        <v>0</v>
      </c>
      <c r="K240" t="n">
        <v>0</v>
      </c>
      <c r="L240" t="n">
        <v>0</v>
      </c>
      <c r="M240" t="n">
        <v>0</v>
      </c>
      <c r="N240" t="n">
        <v>0</v>
      </c>
      <c r="O240" t="n">
        <v>0</v>
      </c>
      <c r="P240" t="n">
        <v>0</v>
      </c>
      <c r="Q240" t="n">
        <v>0</v>
      </c>
      <c r="R240" s="2" t="inlineStr"/>
    </row>
    <row r="241" ht="15" customHeight="1">
      <c r="A241" t="inlineStr">
        <is>
          <t>A 24966-2023</t>
        </is>
      </c>
      <c r="B241" s="1" t="n">
        <v>45085</v>
      </c>
      <c r="C241" s="1" t="n">
        <v>46051</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46189-2022</t>
        </is>
      </c>
      <c r="B242" s="1" t="n">
        <v>44847</v>
      </c>
      <c r="C242" s="1" t="n">
        <v>46051</v>
      </c>
      <c r="D242" t="inlineStr">
        <is>
          <t>GOTLANDS LÄN</t>
        </is>
      </c>
      <c r="E242" t="inlineStr">
        <is>
          <t>GOTLAND</t>
        </is>
      </c>
      <c r="G242" t="n">
        <v>0.4</v>
      </c>
      <c r="H242" t="n">
        <v>0</v>
      </c>
      <c r="I242" t="n">
        <v>0</v>
      </c>
      <c r="J242" t="n">
        <v>0</v>
      </c>
      <c r="K242" t="n">
        <v>0</v>
      </c>
      <c r="L242" t="n">
        <v>0</v>
      </c>
      <c r="M242" t="n">
        <v>0</v>
      </c>
      <c r="N242" t="n">
        <v>0</v>
      </c>
      <c r="O242" t="n">
        <v>0</v>
      </c>
      <c r="P242" t="n">
        <v>0</v>
      </c>
      <c r="Q242" t="n">
        <v>0</v>
      </c>
      <c r="R242" s="2" t="inlineStr"/>
    </row>
    <row r="243" ht="15" customHeight="1">
      <c r="A243" t="inlineStr">
        <is>
          <t>A 22031-2024</t>
        </is>
      </c>
      <c r="B243" s="1" t="n">
        <v>45443.60075231481</v>
      </c>
      <c r="C243" s="1" t="n">
        <v>46051</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49314-2024</t>
        </is>
      </c>
      <c r="B244" s="1" t="n">
        <v>45595.55893518519</v>
      </c>
      <c r="C244" s="1" t="n">
        <v>46051</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44919-2022</t>
        </is>
      </c>
      <c r="B245" s="1" t="n">
        <v>44841</v>
      </c>
      <c r="C245" s="1" t="n">
        <v>46051</v>
      </c>
      <c r="D245" t="inlineStr">
        <is>
          <t>GOTLANDS LÄN</t>
        </is>
      </c>
      <c r="E245" t="inlineStr">
        <is>
          <t>GOTLAND</t>
        </is>
      </c>
      <c r="G245" t="n">
        <v>2.2</v>
      </c>
      <c r="H245" t="n">
        <v>0</v>
      </c>
      <c r="I245" t="n">
        <v>0</v>
      </c>
      <c r="J245" t="n">
        <v>0</v>
      </c>
      <c r="K245" t="n">
        <v>0</v>
      </c>
      <c r="L245" t="n">
        <v>0</v>
      </c>
      <c r="M245" t="n">
        <v>0</v>
      </c>
      <c r="N245" t="n">
        <v>0</v>
      </c>
      <c r="O245" t="n">
        <v>0</v>
      </c>
      <c r="P245" t="n">
        <v>0</v>
      </c>
      <c r="Q245" t="n">
        <v>0</v>
      </c>
      <c r="R245" s="2" t="inlineStr"/>
    </row>
    <row r="246" ht="15" customHeight="1">
      <c r="A246" t="inlineStr">
        <is>
          <t>A 48503-2023</t>
        </is>
      </c>
      <c r="B246" s="1" t="n">
        <v>45207</v>
      </c>
      <c r="C246" s="1" t="n">
        <v>46051</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65901-2021</t>
        </is>
      </c>
      <c r="B247" s="1" t="n">
        <v>44516</v>
      </c>
      <c r="C247" s="1" t="n">
        <v>46051</v>
      </c>
      <c r="D247" t="inlineStr">
        <is>
          <t>GOTLANDS LÄN</t>
        </is>
      </c>
      <c r="E247" t="inlineStr">
        <is>
          <t>GOTLAND</t>
        </is>
      </c>
      <c r="G247" t="n">
        <v>4.9</v>
      </c>
      <c r="H247" t="n">
        <v>0</v>
      </c>
      <c r="I247" t="n">
        <v>0</v>
      </c>
      <c r="J247" t="n">
        <v>0</v>
      </c>
      <c r="K247" t="n">
        <v>0</v>
      </c>
      <c r="L247" t="n">
        <v>0</v>
      </c>
      <c r="M247" t="n">
        <v>0</v>
      </c>
      <c r="N247" t="n">
        <v>0</v>
      </c>
      <c r="O247" t="n">
        <v>0</v>
      </c>
      <c r="P247" t="n">
        <v>0</v>
      </c>
      <c r="Q247" t="n">
        <v>0</v>
      </c>
      <c r="R247" s="2" t="inlineStr"/>
    </row>
    <row r="248" ht="15" customHeight="1">
      <c r="A248" t="inlineStr">
        <is>
          <t>A 44649-2021</t>
        </is>
      </c>
      <c r="B248" s="1" t="n">
        <v>44437</v>
      </c>
      <c r="C248" s="1" t="n">
        <v>46051</v>
      </c>
      <c r="D248" t="inlineStr">
        <is>
          <t>GOTLANDS LÄN</t>
        </is>
      </c>
      <c r="E248" t="inlineStr">
        <is>
          <t>GOTLAND</t>
        </is>
      </c>
      <c r="G248" t="n">
        <v>8.1</v>
      </c>
      <c r="H248" t="n">
        <v>0</v>
      </c>
      <c r="I248" t="n">
        <v>0</v>
      </c>
      <c r="J248" t="n">
        <v>0</v>
      </c>
      <c r="K248" t="n">
        <v>0</v>
      </c>
      <c r="L248" t="n">
        <v>0</v>
      </c>
      <c r="M248" t="n">
        <v>0</v>
      </c>
      <c r="N248" t="n">
        <v>0</v>
      </c>
      <c r="O248" t="n">
        <v>0</v>
      </c>
      <c r="P248" t="n">
        <v>0</v>
      </c>
      <c r="Q248" t="n">
        <v>0</v>
      </c>
      <c r="R248" s="2" t="inlineStr"/>
    </row>
    <row r="249" ht="15" customHeight="1">
      <c r="A249" t="inlineStr">
        <is>
          <t>A 9947-2024</t>
        </is>
      </c>
      <c r="B249" s="1" t="n">
        <v>45363</v>
      </c>
      <c r="C249" s="1" t="n">
        <v>46051</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46051</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17682-2024</t>
        </is>
      </c>
      <c r="B251" s="1" t="n">
        <v>45418.42966435185</v>
      </c>
      <c r="C251" s="1" t="n">
        <v>46051</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57522-2022</t>
        </is>
      </c>
      <c r="B252" s="1" t="n">
        <v>44896</v>
      </c>
      <c r="C252" s="1" t="n">
        <v>46051</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63516-2023</t>
        </is>
      </c>
      <c r="B253" s="1" t="n">
        <v>45274</v>
      </c>
      <c r="C253" s="1" t="n">
        <v>46051</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24001-2021</t>
        </is>
      </c>
      <c r="B254" s="1" t="n">
        <v>44335</v>
      </c>
      <c r="C254" s="1" t="n">
        <v>46051</v>
      </c>
      <c r="D254" t="inlineStr">
        <is>
          <t>GOTLANDS LÄN</t>
        </is>
      </c>
      <c r="E254" t="inlineStr">
        <is>
          <t>GOTLAND</t>
        </is>
      </c>
      <c r="G254" t="n">
        <v>3.4</v>
      </c>
      <c r="H254" t="n">
        <v>0</v>
      </c>
      <c r="I254" t="n">
        <v>0</v>
      </c>
      <c r="J254" t="n">
        <v>0</v>
      </c>
      <c r="K254" t="n">
        <v>0</v>
      </c>
      <c r="L254" t="n">
        <v>0</v>
      </c>
      <c r="M254" t="n">
        <v>0</v>
      </c>
      <c r="N254" t="n">
        <v>0</v>
      </c>
      <c r="O254" t="n">
        <v>0</v>
      </c>
      <c r="P254" t="n">
        <v>0</v>
      </c>
      <c r="Q254" t="n">
        <v>0</v>
      </c>
      <c r="R254" s="2" t="inlineStr"/>
    </row>
    <row r="255" ht="15" customHeight="1">
      <c r="A255" t="inlineStr">
        <is>
          <t>A 1681-2023</t>
        </is>
      </c>
      <c r="B255" s="1" t="n">
        <v>44938.39715277778</v>
      </c>
      <c r="C255" s="1" t="n">
        <v>46051</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30365-2024</t>
        </is>
      </c>
      <c r="B256" s="1" t="n">
        <v>45491.3716087963</v>
      </c>
      <c r="C256" s="1" t="n">
        <v>46051</v>
      </c>
      <c r="D256" t="inlineStr">
        <is>
          <t>GOTLANDS LÄN</t>
        </is>
      </c>
      <c r="E256" t="inlineStr">
        <is>
          <t>GOTLAND</t>
        </is>
      </c>
      <c r="G256" t="n">
        <v>0.5</v>
      </c>
      <c r="H256" t="n">
        <v>0</v>
      </c>
      <c r="I256" t="n">
        <v>0</v>
      </c>
      <c r="J256" t="n">
        <v>0</v>
      </c>
      <c r="K256" t="n">
        <v>0</v>
      </c>
      <c r="L256" t="n">
        <v>0</v>
      </c>
      <c r="M256" t="n">
        <v>0</v>
      </c>
      <c r="N256" t="n">
        <v>0</v>
      </c>
      <c r="O256" t="n">
        <v>0</v>
      </c>
      <c r="P256" t="n">
        <v>0</v>
      </c>
      <c r="Q256" t="n">
        <v>0</v>
      </c>
      <c r="R256" s="2" t="inlineStr"/>
    </row>
    <row r="257" ht="15" customHeight="1">
      <c r="A257" t="inlineStr">
        <is>
          <t>A 25796-2025</t>
        </is>
      </c>
      <c r="B257" s="1" t="n">
        <v>45804.39543981481</v>
      </c>
      <c r="C257" s="1" t="n">
        <v>46051</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6099-2024</t>
        </is>
      </c>
      <c r="B258" s="1" t="n">
        <v>45337</v>
      </c>
      <c r="C258" s="1" t="n">
        <v>46051</v>
      </c>
      <c r="D258" t="inlineStr">
        <is>
          <t>GOTLANDS LÄN</t>
        </is>
      </c>
      <c r="E258" t="inlineStr">
        <is>
          <t>GOTLAND</t>
        </is>
      </c>
      <c r="G258" t="n">
        <v>12.6</v>
      </c>
      <c r="H258" t="n">
        <v>0</v>
      </c>
      <c r="I258" t="n">
        <v>0</v>
      </c>
      <c r="J258" t="n">
        <v>0</v>
      </c>
      <c r="K258" t="n">
        <v>0</v>
      </c>
      <c r="L258" t="n">
        <v>0</v>
      </c>
      <c r="M258" t="n">
        <v>0</v>
      </c>
      <c r="N258" t="n">
        <v>0</v>
      </c>
      <c r="O258" t="n">
        <v>0</v>
      </c>
      <c r="P258" t="n">
        <v>0</v>
      </c>
      <c r="Q258" t="n">
        <v>0</v>
      </c>
      <c r="R258" s="2" t="inlineStr"/>
    </row>
    <row r="259" ht="15" customHeight="1">
      <c r="A259" t="inlineStr">
        <is>
          <t>A 1273-2023</t>
        </is>
      </c>
      <c r="B259" s="1" t="n">
        <v>44936</v>
      </c>
      <c r="C259" s="1" t="n">
        <v>46051</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58780-2024</t>
        </is>
      </c>
      <c r="B260" s="1" t="n">
        <v>45635.84113425926</v>
      </c>
      <c r="C260" s="1" t="n">
        <v>46051</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45692-2023</t>
        </is>
      </c>
      <c r="B261" s="1" t="n">
        <v>45195</v>
      </c>
      <c r="C261" s="1" t="n">
        <v>46051</v>
      </c>
      <c r="D261" t="inlineStr">
        <is>
          <t>GOTLANDS LÄN</t>
        </is>
      </c>
      <c r="E261" t="inlineStr">
        <is>
          <t>GOTLAND</t>
        </is>
      </c>
      <c r="G261" t="n">
        <v>5.3</v>
      </c>
      <c r="H261" t="n">
        <v>0</v>
      </c>
      <c r="I261" t="n">
        <v>0</v>
      </c>
      <c r="J261" t="n">
        <v>0</v>
      </c>
      <c r="K261" t="n">
        <v>0</v>
      </c>
      <c r="L261" t="n">
        <v>0</v>
      </c>
      <c r="M261" t="n">
        <v>0</v>
      </c>
      <c r="N261" t="n">
        <v>0</v>
      </c>
      <c r="O261" t="n">
        <v>0</v>
      </c>
      <c r="P261" t="n">
        <v>0</v>
      </c>
      <c r="Q261" t="n">
        <v>0</v>
      </c>
      <c r="R261" s="2" t="inlineStr"/>
    </row>
    <row r="262" ht="15" customHeight="1">
      <c r="A262" t="inlineStr">
        <is>
          <t>A 33876-2024</t>
        </is>
      </c>
      <c r="B262" s="1" t="n">
        <v>45521.87988425926</v>
      </c>
      <c r="C262" s="1" t="n">
        <v>46051</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26457-2025</t>
        </is>
      </c>
      <c r="B263" s="1" t="n">
        <v>45807.42773148148</v>
      </c>
      <c r="C263" s="1" t="n">
        <v>46051</v>
      </c>
      <c r="D263" t="inlineStr">
        <is>
          <t>GOTLANDS LÄN</t>
        </is>
      </c>
      <c r="E263" t="inlineStr">
        <is>
          <t>GOTLAND</t>
        </is>
      </c>
      <c r="G263" t="n">
        <v>5.7</v>
      </c>
      <c r="H263" t="n">
        <v>0</v>
      </c>
      <c r="I263" t="n">
        <v>0</v>
      </c>
      <c r="J263" t="n">
        <v>0</v>
      </c>
      <c r="K263" t="n">
        <v>0</v>
      </c>
      <c r="L263" t="n">
        <v>0</v>
      </c>
      <c r="M263" t="n">
        <v>0</v>
      </c>
      <c r="N263" t="n">
        <v>0</v>
      </c>
      <c r="O263" t="n">
        <v>0</v>
      </c>
      <c r="P263" t="n">
        <v>0</v>
      </c>
      <c r="Q263" t="n">
        <v>0</v>
      </c>
      <c r="R263" s="2" t="inlineStr"/>
    </row>
    <row r="264" ht="15" customHeight="1">
      <c r="A264" t="inlineStr">
        <is>
          <t>A 26467-2025</t>
        </is>
      </c>
      <c r="B264" s="1" t="n">
        <v>45807.44640046296</v>
      </c>
      <c r="C264" s="1" t="n">
        <v>46051</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26465-2025</t>
        </is>
      </c>
      <c r="B265" s="1" t="n">
        <v>45807.44377314814</v>
      </c>
      <c r="C265" s="1" t="n">
        <v>46051</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26660-2025</t>
        </is>
      </c>
      <c r="B266" s="1" t="n">
        <v>45810.39737268518</v>
      </c>
      <c r="C266" s="1" t="n">
        <v>46051</v>
      </c>
      <c r="D266" t="inlineStr">
        <is>
          <t>GOTLANDS LÄN</t>
        </is>
      </c>
      <c r="E266" t="inlineStr">
        <is>
          <t>GOTLAND</t>
        </is>
      </c>
      <c r="G266" t="n">
        <v>1.8</v>
      </c>
      <c r="H266" t="n">
        <v>0</v>
      </c>
      <c r="I266" t="n">
        <v>0</v>
      </c>
      <c r="J266" t="n">
        <v>0</v>
      </c>
      <c r="K266" t="n">
        <v>0</v>
      </c>
      <c r="L266" t="n">
        <v>0</v>
      </c>
      <c r="M266" t="n">
        <v>0</v>
      </c>
      <c r="N266" t="n">
        <v>0</v>
      </c>
      <c r="O266" t="n">
        <v>0</v>
      </c>
      <c r="P266" t="n">
        <v>0</v>
      </c>
      <c r="Q266" t="n">
        <v>0</v>
      </c>
      <c r="R266" s="2" t="inlineStr"/>
    </row>
    <row r="267" ht="15" customHeight="1">
      <c r="A267" t="inlineStr">
        <is>
          <t>A 18993-2025</t>
        </is>
      </c>
      <c r="B267" s="1" t="n">
        <v>45764</v>
      </c>
      <c r="C267" s="1" t="n">
        <v>46051</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28285-2024</t>
        </is>
      </c>
      <c r="B268" s="1" t="n">
        <v>45477</v>
      </c>
      <c r="C268" s="1" t="n">
        <v>46051</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61100-2022</t>
        </is>
      </c>
      <c r="B269" s="1" t="n">
        <v>44915</v>
      </c>
      <c r="C269" s="1" t="n">
        <v>46051</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61682-2024</t>
        </is>
      </c>
      <c r="B270" s="1" t="n">
        <v>45647.48824074074</v>
      </c>
      <c r="C270" s="1" t="n">
        <v>46051</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30135-2025</t>
        </is>
      </c>
      <c r="B271" s="1" t="n">
        <v>45826</v>
      </c>
      <c r="C271" s="1" t="n">
        <v>46051</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12599-2025</t>
        </is>
      </c>
      <c r="B272" s="1" t="n">
        <v>45733.29546296296</v>
      </c>
      <c r="C272" s="1" t="n">
        <v>46051</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46051</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35142-2025</t>
        </is>
      </c>
      <c r="B274" s="1" t="n">
        <v>45852.65532407408</v>
      </c>
      <c r="C274" s="1" t="n">
        <v>46051</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27371-2025</t>
        </is>
      </c>
      <c r="B275" s="1" t="n">
        <v>45812</v>
      </c>
      <c r="C275" s="1" t="n">
        <v>46051</v>
      </c>
      <c r="D275" t="inlineStr">
        <is>
          <t>GOTLANDS LÄN</t>
        </is>
      </c>
      <c r="E275" t="inlineStr">
        <is>
          <t>GOTLAND</t>
        </is>
      </c>
      <c r="G275" t="n">
        <v>8</v>
      </c>
      <c r="H275" t="n">
        <v>0</v>
      </c>
      <c r="I275" t="n">
        <v>0</v>
      </c>
      <c r="J275" t="n">
        <v>0</v>
      </c>
      <c r="K275" t="n">
        <v>0</v>
      </c>
      <c r="L275" t="n">
        <v>0</v>
      </c>
      <c r="M275" t="n">
        <v>0</v>
      </c>
      <c r="N275" t="n">
        <v>0</v>
      </c>
      <c r="O275" t="n">
        <v>0</v>
      </c>
      <c r="P275" t="n">
        <v>0</v>
      </c>
      <c r="Q275" t="n">
        <v>0</v>
      </c>
      <c r="R275" s="2" t="inlineStr"/>
    </row>
    <row r="276" ht="15" customHeight="1">
      <c r="A276" t="inlineStr">
        <is>
          <t>A 27355-2025</t>
        </is>
      </c>
      <c r="B276" s="1" t="n">
        <v>45812</v>
      </c>
      <c r="C276" s="1" t="n">
        <v>46051</v>
      </c>
      <c r="D276" t="inlineStr">
        <is>
          <t>GOTLANDS LÄN</t>
        </is>
      </c>
      <c r="E276" t="inlineStr">
        <is>
          <t>GOTLAND</t>
        </is>
      </c>
      <c r="G276" t="n">
        <v>1.1</v>
      </c>
      <c r="H276" t="n">
        <v>0</v>
      </c>
      <c r="I276" t="n">
        <v>0</v>
      </c>
      <c r="J276" t="n">
        <v>0</v>
      </c>
      <c r="K276" t="n">
        <v>0</v>
      </c>
      <c r="L276" t="n">
        <v>0</v>
      </c>
      <c r="M276" t="n">
        <v>0</v>
      </c>
      <c r="N276" t="n">
        <v>0</v>
      </c>
      <c r="O276" t="n">
        <v>0</v>
      </c>
      <c r="P276" t="n">
        <v>0</v>
      </c>
      <c r="Q276" t="n">
        <v>0</v>
      </c>
      <c r="R276" s="2" t="inlineStr"/>
    </row>
    <row r="277" ht="15" customHeight="1">
      <c r="A277" t="inlineStr">
        <is>
          <t>A 6739-2025</t>
        </is>
      </c>
      <c r="B277" s="1" t="n">
        <v>45700</v>
      </c>
      <c r="C277" s="1" t="n">
        <v>46051</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7850-2025</t>
        </is>
      </c>
      <c r="B278" s="1" t="n">
        <v>45706</v>
      </c>
      <c r="C278" s="1" t="n">
        <v>46051</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8444-2025</t>
        </is>
      </c>
      <c r="B279" s="1" t="n">
        <v>45709</v>
      </c>
      <c r="C279" s="1" t="n">
        <v>46051</v>
      </c>
      <c r="D279" t="inlineStr">
        <is>
          <t>GOTLANDS LÄN</t>
        </is>
      </c>
      <c r="E279" t="inlineStr">
        <is>
          <t>GOTLAND</t>
        </is>
      </c>
      <c r="G279" t="n">
        <v>5.2</v>
      </c>
      <c r="H279" t="n">
        <v>0</v>
      </c>
      <c r="I279" t="n">
        <v>0</v>
      </c>
      <c r="J279" t="n">
        <v>0</v>
      </c>
      <c r="K279" t="n">
        <v>0</v>
      </c>
      <c r="L279" t="n">
        <v>0</v>
      </c>
      <c r="M279" t="n">
        <v>0</v>
      </c>
      <c r="N279" t="n">
        <v>0</v>
      </c>
      <c r="O279" t="n">
        <v>0</v>
      </c>
      <c r="P279" t="n">
        <v>0</v>
      </c>
      <c r="Q279" t="n">
        <v>0</v>
      </c>
      <c r="R279" s="2" t="inlineStr"/>
    </row>
    <row r="280" ht="15" customHeight="1">
      <c r="A280" t="inlineStr">
        <is>
          <t>A 39819-2025</t>
        </is>
      </c>
      <c r="B280" s="1" t="n">
        <v>45891.53418981482</v>
      </c>
      <c r="C280" s="1" t="n">
        <v>46051</v>
      </c>
      <c r="D280" t="inlineStr">
        <is>
          <t>GOTLANDS LÄN</t>
        </is>
      </c>
      <c r="E280" t="inlineStr">
        <is>
          <t>GOTLAND</t>
        </is>
      </c>
      <c r="G280" t="n">
        <v>3.1</v>
      </c>
      <c r="H280" t="n">
        <v>0</v>
      </c>
      <c r="I280" t="n">
        <v>0</v>
      </c>
      <c r="J280" t="n">
        <v>0</v>
      </c>
      <c r="K280" t="n">
        <v>0</v>
      </c>
      <c r="L280" t="n">
        <v>0</v>
      </c>
      <c r="M280" t="n">
        <v>0</v>
      </c>
      <c r="N280" t="n">
        <v>0</v>
      </c>
      <c r="O280" t="n">
        <v>0</v>
      </c>
      <c r="P280" t="n">
        <v>0</v>
      </c>
      <c r="Q280" t="n">
        <v>0</v>
      </c>
      <c r="R280" s="2" t="inlineStr"/>
    </row>
    <row r="281" ht="15" customHeight="1">
      <c r="A281" t="inlineStr">
        <is>
          <t>A 39814-2025</t>
        </is>
      </c>
      <c r="B281" s="1" t="n">
        <v>45891.52694444444</v>
      </c>
      <c r="C281" s="1" t="n">
        <v>46051</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39849-2025</t>
        </is>
      </c>
      <c r="B282" s="1" t="n">
        <v>45891.58502314815</v>
      </c>
      <c r="C282" s="1" t="n">
        <v>46051</v>
      </c>
      <c r="D282" t="inlineStr">
        <is>
          <t>GOTLANDS LÄN</t>
        </is>
      </c>
      <c r="E282" t="inlineStr">
        <is>
          <t>GOTLAND</t>
        </is>
      </c>
      <c r="G282" t="n">
        <v>6.1</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46051</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58388-2022</t>
        </is>
      </c>
      <c r="B284" s="1" t="n">
        <v>44894</v>
      </c>
      <c r="C284" s="1" t="n">
        <v>46051</v>
      </c>
      <c r="D284" t="inlineStr">
        <is>
          <t>GOTLANDS LÄN</t>
        </is>
      </c>
      <c r="E284" t="inlineStr">
        <is>
          <t>GOTLAND</t>
        </is>
      </c>
      <c r="F284" t="inlineStr">
        <is>
          <t>Övriga statliga verk och myndigheter</t>
        </is>
      </c>
      <c r="G284" t="n">
        <v>3.1</v>
      </c>
      <c r="H284" t="n">
        <v>0</v>
      </c>
      <c r="I284" t="n">
        <v>0</v>
      </c>
      <c r="J284" t="n">
        <v>0</v>
      </c>
      <c r="K284" t="n">
        <v>0</v>
      </c>
      <c r="L284" t="n">
        <v>0</v>
      </c>
      <c r="M284" t="n">
        <v>0</v>
      </c>
      <c r="N284" t="n">
        <v>0</v>
      </c>
      <c r="O284" t="n">
        <v>0</v>
      </c>
      <c r="P284" t="n">
        <v>0</v>
      </c>
      <c r="Q284" t="n">
        <v>0</v>
      </c>
      <c r="R284" s="2" t="inlineStr"/>
    </row>
    <row r="285" ht="15" customHeight="1">
      <c r="A285" t="inlineStr">
        <is>
          <t>A 39816-2025</t>
        </is>
      </c>
      <c r="B285" s="1" t="n">
        <v>45891</v>
      </c>
      <c r="C285" s="1" t="n">
        <v>46051</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46051</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46051</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46051</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46051</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19905-2025</t>
        </is>
      </c>
      <c r="B290" s="1" t="n">
        <v>45771</v>
      </c>
      <c r="C290" s="1" t="n">
        <v>46051</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29196-2025</t>
        </is>
      </c>
      <c r="B291" s="1" t="n">
        <v>45822</v>
      </c>
      <c r="C291" s="1" t="n">
        <v>46051</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21792-2024</t>
        </is>
      </c>
      <c r="B292" s="1" t="n">
        <v>45442.64326388889</v>
      </c>
      <c r="C292" s="1" t="n">
        <v>46051</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39278-2025</t>
        </is>
      </c>
      <c r="B293" s="1" t="n">
        <v>45889</v>
      </c>
      <c r="C293" s="1" t="n">
        <v>46051</v>
      </c>
      <c r="D293" t="inlineStr">
        <is>
          <t>GOTLANDS LÄN</t>
        </is>
      </c>
      <c r="E293" t="inlineStr">
        <is>
          <t>GOTLAND</t>
        </is>
      </c>
      <c r="G293" t="n">
        <v>3.7</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46051</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30061-2025</t>
        </is>
      </c>
      <c r="B295" s="1" t="n">
        <v>45826.61488425926</v>
      </c>
      <c r="C295" s="1" t="n">
        <v>46051</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17688-2024</t>
        </is>
      </c>
      <c r="B296" s="1" t="n">
        <v>45418.43575231481</v>
      </c>
      <c r="C296" s="1" t="n">
        <v>46051</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41435-2025</t>
        </is>
      </c>
      <c r="B297" s="1" t="n">
        <v>45901.39974537037</v>
      </c>
      <c r="C297" s="1" t="n">
        <v>46051</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58160-2024</t>
        </is>
      </c>
      <c r="B298" s="1" t="n">
        <v>45632.44927083333</v>
      </c>
      <c r="C298" s="1" t="n">
        <v>46051</v>
      </c>
      <c r="D298" t="inlineStr">
        <is>
          <t>GOTLANDS LÄN</t>
        </is>
      </c>
      <c r="E298" t="inlineStr">
        <is>
          <t>GOTLAND</t>
        </is>
      </c>
      <c r="G298" t="n">
        <v>5.6</v>
      </c>
      <c r="H298" t="n">
        <v>0</v>
      </c>
      <c r="I298" t="n">
        <v>0</v>
      </c>
      <c r="J298" t="n">
        <v>0</v>
      </c>
      <c r="K298" t="n">
        <v>0</v>
      </c>
      <c r="L298" t="n">
        <v>0</v>
      </c>
      <c r="M298" t="n">
        <v>0</v>
      </c>
      <c r="N298" t="n">
        <v>0</v>
      </c>
      <c r="O298" t="n">
        <v>0</v>
      </c>
      <c r="P298" t="n">
        <v>0</v>
      </c>
      <c r="Q298" t="n">
        <v>0</v>
      </c>
      <c r="R298" s="2" t="inlineStr"/>
    </row>
    <row r="299" ht="15" customHeight="1">
      <c r="A299" t="inlineStr">
        <is>
          <t>A 7837-2024</t>
        </is>
      </c>
      <c r="B299" s="1" t="n">
        <v>45349.83787037037</v>
      </c>
      <c r="C299" s="1" t="n">
        <v>46051</v>
      </c>
      <c r="D299" t="inlineStr">
        <is>
          <t>GOTLANDS LÄN</t>
        </is>
      </c>
      <c r="E299" t="inlineStr">
        <is>
          <t>GOTLAND</t>
        </is>
      </c>
      <c r="G299" t="n">
        <v>5</v>
      </c>
      <c r="H299" t="n">
        <v>0</v>
      </c>
      <c r="I299" t="n">
        <v>0</v>
      </c>
      <c r="J299" t="n">
        <v>0</v>
      </c>
      <c r="K299" t="n">
        <v>0</v>
      </c>
      <c r="L299" t="n">
        <v>0</v>
      </c>
      <c r="M299" t="n">
        <v>0</v>
      </c>
      <c r="N299" t="n">
        <v>0</v>
      </c>
      <c r="O299" t="n">
        <v>0</v>
      </c>
      <c r="P299" t="n">
        <v>0</v>
      </c>
      <c r="Q299" t="n">
        <v>0</v>
      </c>
      <c r="R299" s="2" t="inlineStr"/>
    </row>
    <row r="300" ht="15" customHeight="1">
      <c r="A300" t="inlineStr">
        <is>
          <t>A 41551-2025</t>
        </is>
      </c>
      <c r="B300" s="1" t="n">
        <v>45901.58854166666</v>
      </c>
      <c r="C300" s="1" t="n">
        <v>46051</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4568-2025</t>
        </is>
      </c>
      <c r="B301" s="1" t="n">
        <v>45687</v>
      </c>
      <c r="C301" s="1" t="n">
        <v>46051</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42608-2025</t>
        </is>
      </c>
      <c r="B302" s="1" t="n">
        <v>45905</v>
      </c>
      <c r="C302" s="1" t="n">
        <v>46051</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32379-2025</t>
        </is>
      </c>
      <c r="B303" s="1" t="n">
        <v>45837</v>
      </c>
      <c r="C303" s="1" t="n">
        <v>46051</v>
      </c>
      <c r="D303" t="inlineStr">
        <is>
          <t>GOTLANDS LÄN</t>
        </is>
      </c>
      <c r="E303" t="inlineStr">
        <is>
          <t>GOTLAND</t>
        </is>
      </c>
      <c r="G303" t="n">
        <v>1</v>
      </c>
      <c r="H303" t="n">
        <v>0</v>
      </c>
      <c r="I303" t="n">
        <v>0</v>
      </c>
      <c r="J303" t="n">
        <v>0</v>
      </c>
      <c r="K303" t="n">
        <v>0</v>
      </c>
      <c r="L303" t="n">
        <v>0</v>
      </c>
      <c r="M303" t="n">
        <v>0</v>
      </c>
      <c r="N303" t="n">
        <v>0</v>
      </c>
      <c r="O303" t="n">
        <v>0</v>
      </c>
      <c r="P303" t="n">
        <v>0</v>
      </c>
      <c r="Q303" t="n">
        <v>0</v>
      </c>
      <c r="R303" s="2" t="inlineStr"/>
    </row>
    <row r="304" ht="15" customHeight="1">
      <c r="A304" t="inlineStr">
        <is>
          <t>A 16373-2025</t>
        </is>
      </c>
      <c r="B304" s="1" t="n">
        <v>45751</v>
      </c>
      <c r="C304" s="1" t="n">
        <v>46051</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32467-2025</t>
        </is>
      </c>
      <c r="B305" s="1" t="n">
        <v>45838.42111111111</v>
      </c>
      <c r="C305" s="1" t="n">
        <v>46051</v>
      </c>
      <c r="D305" t="inlineStr">
        <is>
          <t>GOTLANDS LÄN</t>
        </is>
      </c>
      <c r="E305" t="inlineStr">
        <is>
          <t>GOTLAND</t>
        </is>
      </c>
      <c r="G305" t="n">
        <v>4.3</v>
      </c>
      <c r="H305" t="n">
        <v>0</v>
      </c>
      <c r="I305" t="n">
        <v>0</v>
      </c>
      <c r="J305" t="n">
        <v>0</v>
      </c>
      <c r="K305" t="n">
        <v>0</v>
      </c>
      <c r="L305" t="n">
        <v>0</v>
      </c>
      <c r="M305" t="n">
        <v>0</v>
      </c>
      <c r="N305" t="n">
        <v>0</v>
      </c>
      <c r="O305" t="n">
        <v>0</v>
      </c>
      <c r="P305" t="n">
        <v>0</v>
      </c>
      <c r="Q305" t="n">
        <v>0</v>
      </c>
      <c r="R305" s="2" t="inlineStr"/>
    </row>
    <row r="306" ht="15" customHeight="1">
      <c r="A306" t="inlineStr">
        <is>
          <t>A 35512-2023</t>
        </is>
      </c>
      <c r="B306" s="1" t="n">
        <v>45147.25623842593</v>
      </c>
      <c r="C306" s="1" t="n">
        <v>46051</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5905-2024</t>
        </is>
      </c>
      <c r="B307" s="1" t="n">
        <v>45335.88993055555</v>
      </c>
      <c r="C307" s="1" t="n">
        <v>46051</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16109-2025</t>
        </is>
      </c>
      <c r="B308" s="1" t="n">
        <v>45750</v>
      </c>
      <c r="C308" s="1" t="n">
        <v>46051</v>
      </c>
      <c r="D308" t="inlineStr">
        <is>
          <t>GOTLANDS LÄN</t>
        </is>
      </c>
      <c r="E308" t="inlineStr">
        <is>
          <t>GOTLAND</t>
        </is>
      </c>
      <c r="G308" t="n">
        <v>4.9</v>
      </c>
      <c r="H308" t="n">
        <v>0</v>
      </c>
      <c r="I308" t="n">
        <v>0</v>
      </c>
      <c r="J308" t="n">
        <v>0</v>
      </c>
      <c r="K308" t="n">
        <v>0</v>
      </c>
      <c r="L308" t="n">
        <v>0</v>
      </c>
      <c r="M308" t="n">
        <v>0</v>
      </c>
      <c r="N308" t="n">
        <v>0</v>
      </c>
      <c r="O308" t="n">
        <v>0</v>
      </c>
      <c r="P308" t="n">
        <v>0</v>
      </c>
      <c r="Q308" t="n">
        <v>0</v>
      </c>
      <c r="R308" s="2" t="inlineStr"/>
    </row>
    <row r="309" ht="15" customHeight="1">
      <c r="A309" t="inlineStr">
        <is>
          <t>A 33007-2025</t>
        </is>
      </c>
      <c r="B309" s="1" t="n">
        <v>45840</v>
      </c>
      <c r="C309" s="1" t="n">
        <v>46051</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46051</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1291-2023</t>
        </is>
      </c>
      <c r="B311" s="1" t="n">
        <v>44936.47561342592</v>
      </c>
      <c r="C311" s="1" t="n">
        <v>46051</v>
      </c>
      <c r="D311" t="inlineStr">
        <is>
          <t>GOTLANDS LÄN</t>
        </is>
      </c>
      <c r="E311" t="inlineStr">
        <is>
          <t>GOTLAND</t>
        </is>
      </c>
      <c r="G311" t="n">
        <v>7.4</v>
      </c>
      <c r="H311" t="n">
        <v>0</v>
      </c>
      <c r="I311" t="n">
        <v>0</v>
      </c>
      <c r="J311" t="n">
        <v>0</v>
      </c>
      <c r="K311" t="n">
        <v>0</v>
      </c>
      <c r="L311" t="n">
        <v>0</v>
      </c>
      <c r="M311" t="n">
        <v>0</v>
      </c>
      <c r="N311" t="n">
        <v>0</v>
      </c>
      <c r="O311" t="n">
        <v>0</v>
      </c>
      <c r="P311" t="n">
        <v>0</v>
      </c>
      <c r="Q311" t="n">
        <v>0</v>
      </c>
      <c r="R311" s="2" t="inlineStr"/>
    </row>
    <row r="312" ht="15" customHeight="1">
      <c r="A312" t="inlineStr">
        <is>
          <t>A 43911-2025</t>
        </is>
      </c>
      <c r="B312" s="1" t="n">
        <v>45914.3881712963</v>
      </c>
      <c r="C312" s="1" t="n">
        <v>46051</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44410-2025</t>
        </is>
      </c>
      <c r="B313" s="1" t="n">
        <v>45916.53699074074</v>
      </c>
      <c r="C313" s="1" t="n">
        <v>46051</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46051</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45915.38119212963</v>
      </c>
      <c r="C315" s="1" t="n">
        <v>46051</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44405-2025</t>
        </is>
      </c>
      <c r="B316" s="1" t="n">
        <v>45916.52405092592</v>
      </c>
      <c r="C316" s="1" t="n">
        <v>46051</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15413-2025</t>
        </is>
      </c>
      <c r="B317" s="1" t="n">
        <v>45747.451875</v>
      </c>
      <c r="C317" s="1" t="n">
        <v>46051</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35123-2025</t>
        </is>
      </c>
      <c r="B318" s="1" t="n">
        <v>45852.614375</v>
      </c>
      <c r="C318" s="1" t="n">
        <v>46051</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46051</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35096-2025</t>
        </is>
      </c>
      <c r="B320" s="1" t="n">
        <v>45852.54356481481</v>
      </c>
      <c r="C320" s="1" t="n">
        <v>46051</v>
      </c>
      <c r="D320" t="inlineStr">
        <is>
          <t>GOTLANDS LÄN</t>
        </is>
      </c>
      <c r="E320" t="inlineStr">
        <is>
          <t>GOTLAND</t>
        </is>
      </c>
      <c r="F320" t="inlineStr">
        <is>
          <t>Kyrkan</t>
        </is>
      </c>
      <c r="G320" t="n">
        <v>1</v>
      </c>
      <c r="H320" t="n">
        <v>0</v>
      </c>
      <c r="I320" t="n">
        <v>0</v>
      </c>
      <c r="J320" t="n">
        <v>0</v>
      </c>
      <c r="K320" t="n">
        <v>0</v>
      </c>
      <c r="L320" t="n">
        <v>0</v>
      </c>
      <c r="M320" t="n">
        <v>0</v>
      </c>
      <c r="N320" t="n">
        <v>0</v>
      </c>
      <c r="O320" t="n">
        <v>0</v>
      </c>
      <c r="P320" t="n">
        <v>0</v>
      </c>
      <c r="Q320" t="n">
        <v>0</v>
      </c>
      <c r="R320" s="2" t="inlineStr"/>
    </row>
    <row r="321" ht="15" customHeight="1">
      <c r="A321" t="inlineStr">
        <is>
          <t>A 45106-2024</t>
        </is>
      </c>
      <c r="B321" s="1" t="n">
        <v>45575</v>
      </c>
      <c r="C321" s="1" t="n">
        <v>46051</v>
      </c>
      <c r="D321" t="inlineStr">
        <is>
          <t>GOTLANDS LÄN</t>
        </is>
      </c>
      <c r="E321" t="inlineStr">
        <is>
          <t>GOTLAND</t>
        </is>
      </c>
      <c r="G321" t="n">
        <v>10</v>
      </c>
      <c r="H321" t="n">
        <v>0</v>
      </c>
      <c r="I321" t="n">
        <v>0</v>
      </c>
      <c r="J321" t="n">
        <v>0</v>
      </c>
      <c r="K321" t="n">
        <v>0</v>
      </c>
      <c r="L321" t="n">
        <v>0</v>
      </c>
      <c r="M321" t="n">
        <v>0</v>
      </c>
      <c r="N321" t="n">
        <v>0</v>
      </c>
      <c r="O321" t="n">
        <v>0</v>
      </c>
      <c r="P321" t="n">
        <v>0</v>
      </c>
      <c r="Q321" t="n">
        <v>0</v>
      </c>
      <c r="R321" s="2" t="inlineStr"/>
    </row>
    <row r="322" ht="15" customHeight="1">
      <c r="A322" t="inlineStr">
        <is>
          <t>A 45112-2024</t>
        </is>
      </c>
      <c r="B322" s="1" t="n">
        <v>45575</v>
      </c>
      <c r="C322" s="1" t="n">
        <v>46051</v>
      </c>
      <c r="D322" t="inlineStr">
        <is>
          <t>GOTLANDS LÄN</t>
        </is>
      </c>
      <c r="E322" t="inlineStr">
        <is>
          <t>GOTLAND</t>
        </is>
      </c>
      <c r="G322" t="n">
        <v>5.1</v>
      </c>
      <c r="H322" t="n">
        <v>0</v>
      </c>
      <c r="I322" t="n">
        <v>0</v>
      </c>
      <c r="J322" t="n">
        <v>0</v>
      </c>
      <c r="K322" t="n">
        <v>0</v>
      </c>
      <c r="L322" t="n">
        <v>0</v>
      </c>
      <c r="M322" t="n">
        <v>0</v>
      </c>
      <c r="N322" t="n">
        <v>0</v>
      </c>
      <c r="O322" t="n">
        <v>0</v>
      </c>
      <c r="P322" t="n">
        <v>0</v>
      </c>
      <c r="Q322" t="n">
        <v>0</v>
      </c>
      <c r="R322" s="2" t="inlineStr"/>
    </row>
    <row r="323" ht="15" customHeight="1">
      <c r="A323" t="inlineStr">
        <is>
          <t>A 2676-2023</t>
        </is>
      </c>
      <c r="B323" s="1" t="n">
        <v>44944</v>
      </c>
      <c r="C323" s="1" t="n">
        <v>46051</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30104-2025</t>
        </is>
      </c>
      <c r="B324" s="1" t="n">
        <v>45826.68806712963</v>
      </c>
      <c r="C324" s="1" t="n">
        <v>46051</v>
      </c>
      <c r="D324" t="inlineStr">
        <is>
          <t>GOTLANDS LÄN</t>
        </is>
      </c>
      <c r="E324" t="inlineStr">
        <is>
          <t>GOTLAND</t>
        </is>
      </c>
      <c r="G324" t="n">
        <v>15.4</v>
      </c>
      <c r="H324" t="n">
        <v>0</v>
      </c>
      <c r="I324" t="n">
        <v>0</v>
      </c>
      <c r="J324" t="n">
        <v>0</v>
      </c>
      <c r="K324" t="n">
        <v>0</v>
      </c>
      <c r="L324" t="n">
        <v>0</v>
      </c>
      <c r="M324" t="n">
        <v>0</v>
      </c>
      <c r="N324" t="n">
        <v>0</v>
      </c>
      <c r="O324" t="n">
        <v>0</v>
      </c>
      <c r="P324" t="n">
        <v>0</v>
      </c>
      <c r="Q324" t="n">
        <v>0</v>
      </c>
      <c r="R324" s="2" t="inlineStr"/>
    </row>
    <row r="325" ht="15" customHeight="1">
      <c r="A325" t="inlineStr">
        <is>
          <t>A 35290-2025</t>
        </is>
      </c>
      <c r="B325" s="1" t="n">
        <v>45854.38502314815</v>
      </c>
      <c r="C325" s="1" t="n">
        <v>46051</v>
      </c>
      <c r="D325" t="inlineStr">
        <is>
          <t>GOTLANDS LÄN</t>
        </is>
      </c>
      <c r="E325" t="inlineStr">
        <is>
          <t>GOTLAND</t>
        </is>
      </c>
      <c r="G325" t="n">
        <v>5.4</v>
      </c>
      <c r="H325" t="n">
        <v>0</v>
      </c>
      <c r="I325" t="n">
        <v>0</v>
      </c>
      <c r="J325" t="n">
        <v>0</v>
      </c>
      <c r="K325" t="n">
        <v>0</v>
      </c>
      <c r="L325" t="n">
        <v>0</v>
      </c>
      <c r="M325" t="n">
        <v>0</v>
      </c>
      <c r="N325" t="n">
        <v>0</v>
      </c>
      <c r="O325" t="n">
        <v>0</v>
      </c>
      <c r="P325" t="n">
        <v>0</v>
      </c>
      <c r="Q325" t="n">
        <v>0</v>
      </c>
      <c r="R325" s="2" t="inlineStr"/>
    </row>
    <row r="326" ht="15" customHeight="1">
      <c r="A326" t="inlineStr">
        <is>
          <t>A 32669-2024</t>
        </is>
      </c>
      <c r="B326" s="1" t="n">
        <v>45514</v>
      </c>
      <c r="C326" s="1" t="n">
        <v>46051</v>
      </c>
      <c r="D326" t="inlineStr">
        <is>
          <t>GOTLANDS LÄN</t>
        </is>
      </c>
      <c r="E326" t="inlineStr">
        <is>
          <t>GOTLAND</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3150-2025</t>
        </is>
      </c>
      <c r="B327" s="1" t="n">
        <v>45679.28974537037</v>
      </c>
      <c r="C327" s="1" t="n">
        <v>46051</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35537-2025</t>
        </is>
      </c>
      <c r="B328" s="1" t="n">
        <v>45856</v>
      </c>
      <c r="C328" s="1" t="n">
        <v>46051</v>
      </c>
      <c r="D328" t="inlineStr">
        <is>
          <t>GOTLANDS LÄN</t>
        </is>
      </c>
      <c r="E328" t="inlineStr">
        <is>
          <t>GOTLAND</t>
        </is>
      </c>
      <c r="G328" t="n">
        <v>16.8</v>
      </c>
      <c r="H328" t="n">
        <v>0</v>
      </c>
      <c r="I328" t="n">
        <v>0</v>
      </c>
      <c r="J328" t="n">
        <v>0</v>
      </c>
      <c r="K328" t="n">
        <v>0</v>
      </c>
      <c r="L328" t="n">
        <v>0</v>
      </c>
      <c r="M328" t="n">
        <v>0</v>
      </c>
      <c r="N328" t="n">
        <v>0</v>
      </c>
      <c r="O328" t="n">
        <v>0</v>
      </c>
      <c r="P328" t="n">
        <v>0</v>
      </c>
      <c r="Q328" t="n">
        <v>0</v>
      </c>
      <c r="R328" s="2" t="inlineStr"/>
    </row>
    <row r="329" ht="15" customHeight="1">
      <c r="A329" t="inlineStr">
        <is>
          <t>A 8484-2025</t>
        </is>
      </c>
      <c r="B329" s="1" t="n">
        <v>45709</v>
      </c>
      <c r="C329" s="1" t="n">
        <v>46051</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7635-2025</t>
        </is>
      </c>
      <c r="B330" s="1" t="n">
        <v>45705</v>
      </c>
      <c r="C330" s="1" t="n">
        <v>46051</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7636-2025</t>
        </is>
      </c>
      <c r="B331" s="1" t="n">
        <v>45705.7687962963</v>
      </c>
      <c r="C331" s="1" t="n">
        <v>46051</v>
      </c>
      <c r="D331" t="inlineStr">
        <is>
          <t>GOTLANDS LÄN</t>
        </is>
      </c>
      <c r="E331" t="inlineStr">
        <is>
          <t>GOTLAND</t>
        </is>
      </c>
      <c r="G331" t="n">
        <v>0.6</v>
      </c>
      <c r="H331" t="n">
        <v>0</v>
      </c>
      <c r="I331" t="n">
        <v>0</v>
      </c>
      <c r="J331" t="n">
        <v>0</v>
      </c>
      <c r="K331" t="n">
        <v>0</v>
      </c>
      <c r="L331" t="n">
        <v>0</v>
      </c>
      <c r="M331" t="n">
        <v>0</v>
      </c>
      <c r="N331" t="n">
        <v>0</v>
      </c>
      <c r="O331" t="n">
        <v>0</v>
      </c>
      <c r="P331" t="n">
        <v>0</v>
      </c>
      <c r="Q331" t="n">
        <v>0</v>
      </c>
      <c r="R331" s="2" t="inlineStr"/>
    </row>
    <row r="332" ht="15" customHeight="1">
      <c r="A332" t="inlineStr">
        <is>
          <t>A 7639-2025</t>
        </is>
      </c>
      <c r="B332" s="1" t="n">
        <v>45705.77465277778</v>
      </c>
      <c r="C332" s="1" t="n">
        <v>46051</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46051</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15216-2025</t>
        </is>
      </c>
      <c r="B334" s="1" t="n">
        <v>45744</v>
      </c>
      <c r="C334" s="1" t="n">
        <v>46051</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43790-2024</t>
        </is>
      </c>
      <c r="B335" s="1" t="n">
        <v>45571</v>
      </c>
      <c r="C335" s="1" t="n">
        <v>46051</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15001-2025</t>
        </is>
      </c>
      <c r="B336" s="1" t="n">
        <v>45743</v>
      </c>
      <c r="C336" s="1" t="n">
        <v>46051</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46051</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30488-2025</t>
        </is>
      </c>
      <c r="B338" s="1" t="n">
        <v>45830</v>
      </c>
      <c r="C338" s="1" t="n">
        <v>46051</v>
      </c>
      <c r="D338" t="inlineStr">
        <is>
          <t>GOTLANDS LÄN</t>
        </is>
      </c>
      <c r="E338" t="inlineStr">
        <is>
          <t>GOTLAND</t>
        </is>
      </c>
      <c r="F338" t="inlineStr">
        <is>
          <t>Kyrkan</t>
        </is>
      </c>
      <c r="G338" t="n">
        <v>3.9</v>
      </c>
      <c r="H338" t="n">
        <v>0</v>
      </c>
      <c r="I338" t="n">
        <v>0</v>
      </c>
      <c r="J338" t="n">
        <v>0</v>
      </c>
      <c r="K338" t="n">
        <v>0</v>
      </c>
      <c r="L338" t="n">
        <v>0</v>
      </c>
      <c r="M338" t="n">
        <v>0</v>
      </c>
      <c r="N338" t="n">
        <v>0</v>
      </c>
      <c r="O338" t="n">
        <v>0</v>
      </c>
      <c r="P338" t="n">
        <v>0</v>
      </c>
      <c r="Q338" t="n">
        <v>0</v>
      </c>
      <c r="R338" s="2" t="inlineStr"/>
    </row>
    <row r="339" ht="15" customHeight="1">
      <c r="A339" t="inlineStr">
        <is>
          <t>A 17847-2025</t>
        </is>
      </c>
      <c r="B339" s="1" t="n">
        <v>45758</v>
      </c>
      <c r="C339" s="1" t="n">
        <v>46051</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20356-2022</t>
        </is>
      </c>
      <c r="B340" s="1" t="n">
        <v>44699</v>
      </c>
      <c r="C340" s="1" t="n">
        <v>46051</v>
      </c>
      <c r="D340" t="inlineStr">
        <is>
          <t>GOTLANDS LÄN</t>
        </is>
      </c>
      <c r="E340" t="inlineStr">
        <is>
          <t>GOTLAND</t>
        </is>
      </c>
      <c r="F340" t="inlineStr">
        <is>
          <t>Övriga Aktiebolag</t>
        </is>
      </c>
      <c r="G340" t="n">
        <v>4.4</v>
      </c>
      <c r="H340" t="n">
        <v>0</v>
      </c>
      <c r="I340" t="n">
        <v>0</v>
      </c>
      <c r="J340" t="n">
        <v>0</v>
      </c>
      <c r="K340" t="n">
        <v>0</v>
      </c>
      <c r="L340" t="n">
        <v>0</v>
      </c>
      <c r="M340" t="n">
        <v>0</v>
      </c>
      <c r="N340" t="n">
        <v>0</v>
      </c>
      <c r="O340" t="n">
        <v>0</v>
      </c>
      <c r="P340" t="n">
        <v>0</v>
      </c>
      <c r="Q340" t="n">
        <v>0</v>
      </c>
      <c r="R340" s="2" t="inlineStr"/>
    </row>
    <row r="341" ht="15" customHeight="1">
      <c r="A341" t="inlineStr">
        <is>
          <t>A 48734-2022</t>
        </is>
      </c>
      <c r="B341" s="1" t="n">
        <v>44855</v>
      </c>
      <c r="C341" s="1" t="n">
        <v>46051</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14141-2024</t>
        </is>
      </c>
      <c r="B342" s="1" t="n">
        <v>45392.85193287037</v>
      </c>
      <c r="C342" s="1" t="n">
        <v>46051</v>
      </c>
      <c r="D342" t="inlineStr">
        <is>
          <t>GOTLANDS LÄN</t>
        </is>
      </c>
      <c r="E342" t="inlineStr">
        <is>
          <t>GOTLAND</t>
        </is>
      </c>
      <c r="G342" t="n">
        <v>5.3</v>
      </c>
      <c r="H342" t="n">
        <v>0</v>
      </c>
      <c r="I342" t="n">
        <v>0</v>
      </c>
      <c r="J342" t="n">
        <v>0</v>
      </c>
      <c r="K342" t="n">
        <v>0</v>
      </c>
      <c r="L342" t="n">
        <v>0</v>
      </c>
      <c r="M342" t="n">
        <v>0</v>
      </c>
      <c r="N342" t="n">
        <v>0</v>
      </c>
      <c r="O342" t="n">
        <v>0</v>
      </c>
      <c r="P342" t="n">
        <v>0</v>
      </c>
      <c r="Q342" t="n">
        <v>0</v>
      </c>
      <c r="R342" s="2" t="inlineStr"/>
    </row>
    <row r="343" ht="15" customHeight="1">
      <c r="A343" t="inlineStr">
        <is>
          <t>A 18742-2025</t>
        </is>
      </c>
      <c r="B343" s="1" t="n">
        <v>45763</v>
      </c>
      <c r="C343" s="1" t="n">
        <v>46051</v>
      </c>
      <c r="D343" t="inlineStr">
        <is>
          <t>GOTLANDS LÄN</t>
        </is>
      </c>
      <c r="E343" t="inlineStr">
        <is>
          <t>GOTLAND</t>
        </is>
      </c>
      <c r="G343" t="n">
        <v>3.4</v>
      </c>
      <c r="H343" t="n">
        <v>0</v>
      </c>
      <c r="I343" t="n">
        <v>0</v>
      </c>
      <c r="J343" t="n">
        <v>0</v>
      </c>
      <c r="K343" t="n">
        <v>0</v>
      </c>
      <c r="L343" t="n">
        <v>0</v>
      </c>
      <c r="M343" t="n">
        <v>0</v>
      </c>
      <c r="N343" t="n">
        <v>0</v>
      </c>
      <c r="O343" t="n">
        <v>0</v>
      </c>
      <c r="P343" t="n">
        <v>0</v>
      </c>
      <c r="Q343" t="n">
        <v>0</v>
      </c>
      <c r="R343" s="2" t="inlineStr"/>
    </row>
    <row r="344" ht="15" customHeight="1">
      <c r="A344" t="inlineStr">
        <is>
          <t>A 29809-2022</t>
        </is>
      </c>
      <c r="B344" s="1" t="n">
        <v>44755.8713425926</v>
      </c>
      <c r="C344" s="1" t="n">
        <v>46051</v>
      </c>
      <c r="D344" t="inlineStr">
        <is>
          <t>GOTLANDS LÄN</t>
        </is>
      </c>
      <c r="E344" t="inlineStr">
        <is>
          <t>GOTLAND</t>
        </is>
      </c>
      <c r="G344" t="n">
        <v>11.5</v>
      </c>
      <c r="H344" t="n">
        <v>0</v>
      </c>
      <c r="I344" t="n">
        <v>0</v>
      </c>
      <c r="J344" t="n">
        <v>0</v>
      </c>
      <c r="K344" t="n">
        <v>0</v>
      </c>
      <c r="L344" t="n">
        <v>0</v>
      </c>
      <c r="M344" t="n">
        <v>0</v>
      </c>
      <c r="N344" t="n">
        <v>0</v>
      </c>
      <c r="O344" t="n">
        <v>0</v>
      </c>
      <c r="P344" t="n">
        <v>0</v>
      </c>
      <c r="Q344" t="n">
        <v>0</v>
      </c>
      <c r="R344" s="2" t="inlineStr"/>
    </row>
    <row r="345" ht="15" customHeight="1">
      <c r="A345" t="inlineStr">
        <is>
          <t>A 35129-2025</t>
        </is>
      </c>
      <c r="B345" s="1" t="n">
        <v>45852.63224537037</v>
      </c>
      <c r="C345" s="1" t="n">
        <v>46051</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47637-2025</t>
        </is>
      </c>
      <c r="B346" s="1" t="n">
        <v>45931.49753472222</v>
      </c>
      <c r="C346" s="1" t="n">
        <v>46051</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57685-2022</t>
        </is>
      </c>
      <c r="B347" s="1" t="n">
        <v>44897.4777662037</v>
      </c>
      <c r="C347" s="1" t="n">
        <v>46051</v>
      </c>
      <c r="D347" t="inlineStr">
        <is>
          <t>GOTLANDS LÄN</t>
        </is>
      </c>
      <c r="E347" t="inlineStr">
        <is>
          <t>GOTLAND</t>
        </is>
      </c>
      <c r="G347" t="n">
        <v>3.7</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46051</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35550-2025</t>
        </is>
      </c>
      <c r="B349" s="1" t="n">
        <v>45856.49324074074</v>
      </c>
      <c r="C349" s="1" t="n">
        <v>46051</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47578-2025</t>
        </is>
      </c>
      <c r="B350" s="1" t="n">
        <v>45931</v>
      </c>
      <c r="C350" s="1" t="n">
        <v>46051</v>
      </c>
      <c r="D350" t="inlineStr">
        <is>
          <t>GOTLANDS LÄN</t>
        </is>
      </c>
      <c r="E350" t="inlineStr">
        <is>
          <t>GOTLAND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30815-2023</t>
        </is>
      </c>
      <c r="B351" s="1" t="n">
        <v>45112</v>
      </c>
      <c r="C351" s="1" t="n">
        <v>46051</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6108-2025</t>
        </is>
      </c>
      <c r="B352" s="1" t="n">
        <v>45698.29880787037</v>
      </c>
      <c r="C352" s="1" t="n">
        <v>46051</v>
      </c>
      <c r="D352" t="inlineStr">
        <is>
          <t>GOTLANDS LÄN</t>
        </is>
      </c>
      <c r="E352" t="inlineStr">
        <is>
          <t>GOTLAND</t>
        </is>
      </c>
      <c r="G352" t="n">
        <v>2.8</v>
      </c>
      <c r="H352" t="n">
        <v>0</v>
      </c>
      <c r="I352" t="n">
        <v>0</v>
      </c>
      <c r="J352" t="n">
        <v>0</v>
      </c>
      <c r="K352" t="n">
        <v>0</v>
      </c>
      <c r="L352" t="n">
        <v>0</v>
      </c>
      <c r="M352" t="n">
        <v>0</v>
      </c>
      <c r="N352" t="n">
        <v>0</v>
      </c>
      <c r="O352" t="n">
        <v>0</v>
      </c>
      <c r="P352" t="n">
        <v>0</v>
      </c>
      <c r="Q352" t="n">
        <v>0</v>
      </c>
      <c r="R352" s="2" t="inlineStr"/>
    </row>
    <row r="353" ht="15" customHeight="1">
      <c r="A353" t="inlineStr">
        <is>
          <t>A 21142-2025</t>
        </is>
      </c>
      <c r="B353" s="1" t="n">
        <v>45779</v>
      </c>
      <c r="C353" s="1" t="n">
        <v>46051</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49724-2025</t>
        </is>
      </c>
      <c r="B354" s="1" t="n">
        <v>45939.83730324074</v>
      </c>
      <c r="C354" s="1" t="n">
        <v>46051</v>
      </c>
      <c r="D354" t="inlineStr">
        <is>
          <t>GOTLANDS LÄN</t>
        </is>
      </c>
      <c r="E354" t="inlineStr">
        <is>
          <t>GOTLAND</t>
        </is>
      </c>
      <c r="F354" t="inlineStr">
        <is>
          <t>Kyrkan</t>
        </is>
      </c>
      <c r="G354" t="n">
        <v>3.1</v>
      </c>
      <c r="H354" t="n">
        <v>0</v>
      </c>
      <c r="I354" t="n">
        <v>0</v>
      </c>
      <c r="J354" t="n">
        <v>0</v>
      </c>
      <c r="K354" t="n">
        <v>0</v>
      </c>
      <c r="L354" t="n">
        <v>0</v>
      </c>
      <c r="M354" t="n">
        <v>0</v>
      </c>
      <c r="N354" t="n">
        <v>0</v>
      </c>
      <c r="O354" t="n">
        <v>0</v>
      </c>
      <c r="P354" t="n">
        <v>0</v>
      </c>
      <c r="Q354" t="n">
        <v>0</v>
      </c>
      <c r="R354" s="2" t="inlineStr"/>
    </row>
    <row r="355" ht="15" customHeight="1">
      <c r="A355" t="inlineStr">
        <is>
          <t>A 49730-2025</t>
        </is>
      </c>
      <c r="B355" s="1" t="n">
        <v>45939.87613425926</v>
      </c>
      <c r="C355" s="1" t="n">
        <v>46051</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17343-2025</t>
        </is>
      </c>
      <c r="B356" s="1" t="n">
        <v>45756.6687037037</v>
      </c>
      <c r="C356" s="1" t="n">
        <v>46051</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18938-2025</t>
        </is>
      </c>
      <c r="B357" s="1" t="n">
        <v>45764.49172453704</v>
      </c>
      <c r="C357" s="1" t="n">
        <v>46051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49690-2025</t>
        </is>
      </c>
      <c r="B358" s="1" t="n">
        <v>45939.66730324074</v>
      </c>
      <c r="C358" s="1" t="n">
        <v>46051</v>
      </c>
      <c r="D358" t="inlineStr">
        <is>
          <t>GOTLANDS LÄN</t>
        </is>
      </c>
      <c r="E358" t="inlineStr">
        <is>
          <t>GOTLAND</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33011-2025</t>
        </is>
      </c>
      <c r="B359" s="1" t="n">
        <v>45840</v>
      </c>
      <c r="C359" s="1" t="n">
        <v>46051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30489-2025</t>
        </is>
      </c>
      <c r="B360" s="1" t="n">
        <v>45830</v>
      </c>
      <c r="C360" s="1" t="n">
        <v>46051</v>
      </c>
      <c r="D360" t="inlineStr">
        <is>
          <t>GOTLANDS LÄN</t>
        </is>
      </c>
      <c r="E360" t="inlineStr">
        <is>
          <t>GOTLAND</t>
        </is>
      </c>
      <c r="G360" t="n">
        <v>4.6</v>
      </c>
      <c r="H360" t="n">
        <v>0</v>
      </c>
      <c r="I360" t="n">
        <v>0</v>
      </c>
      <c r="J360" t="n">
        <v>0</v>
      </c>
      <c r="K360" t="n">
        <v>0</v>
      </c>
      <c r="L360" t="n">
        <v>0</v>
      </c>
      <c r="M360" t="n">
        <v>0</v>
      </c>
      <c r="N360" t="n">
        <v>0</v>
      </c>
      <c r="O360" t="n">
        <v>0</v>
      </c>
      <c r="P360" t="n">
        <v>0</v>
      </c>
      <c r="Q360" t="n">
        <v>0</v>
      </c>
      <c r="R360" s="2" t="inlineStr"/>
    </row>
    <row r="361" ht="15" customHeight="1">
      <c r="A361" t="inlineStr">
        <is>
          <t>A 20307-2025</t>
        </is>
      </c>
      <c r="B361" s="1" t="n">
        <v>45774.95546296296</v>
      </c>
      <c r="C361" s="1" t="n">
        <v>46051</v>
      </c>
      <c r="D361" t="inlineStr">
        <is>
          <t>GOTLANDS LÄN</t>
        </is>
      </c>
      <c r="E361" t="inlineStr">
        <is>
          <t>GOTLAND</t>
        </is>
      </c>
      <c r="G361" t="n">
        <v>6.8</v>
      </c>
      <c r="H361" t="n">
        <v>0</v>
      </c>
      <c r="I361" t="n">
        <v>0</v>
      </c>
      <c r="J361" t="n">
        <v>0</v>
      </c>
      <c r="K361" t="n">
        <v>0</v>
      </c>
      <c r="L361" t="n">
        <v>0</v>
      </c>
      <c r="M361" t="n">
        <v>0</v>
      </c>
      <c r="N361" t="n">
        <v>0</v>
      </c>
      <c r="O361" t="n">
        <v>0</v>
      </c>
      <c r="P361" t="n">
        <v>0</v>
      </c>
      <c r="Q361" t="n">
        <v>0</v>
      </c>
      <c r="R361" s="2" t="inlineStr"/>
    </row>
    <row r="362" ht="15" customHeight="1">
      <c r="A362" t="inlineStr">
        <is>
          <t>A 50421-2025</t>
        </is>
      </c>
      <c r="B362" s="1" t="n">
        <v>45944.66049768519</v>
      </c>
      <c r="C362" s="1" t="n">
        <v>46051</v>
      </c>
      <c r="D362" t="inlineStr">
        <is>
          <t>GOTLANDS LÄN</t>
        </is>
      </c>
      <c r="E362" t="inlineStr">
        <is>
          <t>GOTLAND</t>
        </is>
      </c>
      <c r="G362" t="n">
        <v>3.9</v>
      </c>
      <c r="H362" t="n">
        <v>0</v>
      </c>
      <c r="I362" t="n">
        <v>0</v>
      </c>
      <c r="J362" t="n">
        <v>0</v>
      </c>
      <c r="K362" t="n">
        <v>0</v>
      </c>
      <c r="L362" t="n">
        <v>0</v>
      </c>
      <c r="M362" t="n">
        <v>0</v>
      </c>
      <c r="N362" t="n">
        <v>0</v>
      </c>
      <c r="O362" t="n">
        <v>0</v>
      </c>
      <c r="P362" t="n">
        <v>0</v>
      </c>
      <c r="Q362" t="n">
        <v>0</v>
      </c>
      <c r="R362" s="2" t="inlineStr"/>
    </row>
    <row r="363" ht="15" customHeight="1">
      <c r="A363" t="inlineStr">
        <is>
          <t>A 7034-2023</t>
        </is>
      </c>
      <c r="B363" s="1" t="n">
        <v>44968.32108796296</v>
      </c>
      <c r="C363" s="1" t="n">
        <v>46051</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7042-2023</t>
        </is>
      </c>
      <c r="B364" s="1" t="n">
        <v>44968</v>
      </c>
      <c r="C364" s="1" t="n">
        <v>46051</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23516-2023</t>
        </is>
      </c>
      <c r="B365" s="1" t="n">
        <v>45076.93391203704</v>
      </c>
      <c r="C365" s="1" t="n">
        <v>46051</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46051</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64660-2023</t>
        </is>
      </c>
      <c r="B367" s="1" t="n">
        <v>45281.60122685185</v>
      </c>
      <c r="C367" s="1" t="n">
        <v>46051</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46051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63763-2023</t>
        </is>
      </c>
      <c r="B369" s="1" t="n">
        <v>45278.33944444444</v>
      </c>
      <c r="C369" s="1" t="n">
        <v>46051</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63229-2021</t>
        </is>
      </c>
      <c r="B370" s="1" t="n">
        <v>44508.34518518519</v>
      </c>
      <c r="C370" s="1" t="n">
        <v>46051</v>
      </c>
      <c r="D370" t="inlineStr">
        <is>
          <t>GOTLANDS LÄN</t>
        </is>
      </c>
      <c r="E370" t="inlineStr">
        <is>
          <t>GOTLAND</t>
        </is>
      </c>
      <c r="F370" t="inlineStr">
        <is>
          <t>Kyrkan</t>
        </is>
      </c>
      <c r="G370" t="n">
        <v>3.8</v>
      </c>
      <c r="H370" t="n">
        <v>0</v>
      </c>
      <c r="I370" t="n">
        <v>0</v>
      </c>
      <c r="J370" t="n">
        <v>0</v>
      </c>
      <c r="K370" t="n">
        <v>0</v>
      </c>
      <c r="L370" t="n">
        <v>0</v>
      </c>
      <c r="M370" t="n">
        <v>0</v>
      </c>
      <c r="N370" t="n">
        <v>0</v>
      </c>
      <c r="O370" t="n">
        <v>0</v>
      </c>
      <c r="P370" t="n">
        <v>0</v>
      </c>
      <c r="Q370" t="n">
        <v>0</v>
      </c>
      <c r="R370" s="2" t="inlineStr"/>
    </row>
    <row r="371" ht="15" customHeight="1">
      <c r="A371" t="inlineStr">
        <is>
          <t>A 46375-2024</t>
        </is>
      </c>
      <c r="B371" s="1" t="n">
        <v>45582</v>
      </c>
      <c r="C371" s="1" t="n">
        <v>46051</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51262-2025</t>
        </is>
      </c>
      <c r="B372" s="1" t="n">
        <v>45949.49872685185</v>
      </c>
      <c r="C372" s="1" t="n">
        <v>46051</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20356-2022</t>
        </is>
      </c>
      <c r="B373" s="1" t="n">
        <v>44699</v>
      </c>
      <c r="C373" s="1" t="n">
        <v>46051</v>
      </c>
      <c r="D373" t="inlineStr">
        <is>
          <t>GOTLANDS LÄN</t>
        </is>
      </c>
      <c r="E373" t="inlineStr">
        <is>
          <t>GOTLAND</t>
        </is>
      </c>
      <c r="F373" t="inlineStr">
        <is>
          <t>Övriga Aktiebolag</t>
        </is>
      </c>
      <c r="G373" t="n">
        <v>4.4</v>
      </c>
      <c r="H373" t="n">
        <v>0</v>
      </c>
      <c r="I373" t="n">
        <v>0</v>
      </c>
      <c r="J373" t="n">
        <v>0</v>
      </c>
      <c r="K373" t="n">
        <v>0</v>
      </c>
      <c r="L373" t="n">
        <v>0</v>
      </c>
      <c r="M373" t="n">
        <v>0</v>
      </c>
      <c r="N373" t="n">
        <v>0</v>
      </c>
      <c r="O373" t="n">
        <v>0</v>
      </c>
      <c r="P373" t="n">
        <v>0</v>
      </c>
      <c r="Q373" t="n">
        <v>0</v>
      </c>
      <c r="R373" s="2" t="inlineStr"/>
    </row>
    <row r="374" ht="15" customHeight="1">
      <c r="A374" t="inlineStr">
        <is>
          <t>A 52249-2025</t>
        </is>
      </c>
      <c r="B374" s="1" t="n">
        <v>45953.48637731482</v>
      </c>
      <c r="C374" s="1" t="n">
        <v>46051</v>
      </c>
      <c r="D374" t="inlineStr">
        <is>
          <t>GOTLANDS LÄN</t>
        </is>
      </c>
      <c r="E374" t="inlineStr">
        <is>
          <t>GOTLAND</t>
        </is>
      </c>
      <c r="F374" t="inlineStr">
        <is>
          <t>Övriga Aktiebolag</t>
        </is>
      </c>
      <c r="G374" t="n">
        <v>1</v>
      </c>
      <c r="H374" t="n">
        <v>0</v>
      </c>
      <c r="I374" t="n">
        <v>0</v>
      </c>
      <c r="J374" t="n">
        <v>0</v>
      </c>
      <c r="K374" t="n">
        <v>0</v>
      </c>
      <c r="L374" t="n">
        <v>0</v>
      </c>
      <c r="M374" t="n">
        <v>0</v>
      </c>
      <c r="N374" t="n">
        <v>0</v>
      </c>
      <c r="O374" t="n">
        <v>0</v>
      </c>
      <c r="P374" t="n">
        <v>0</v>
      </c>
      <c r="Q374" t="n">
        <v>0</v>
      </c>
      <c r="R374" s="2" t="inlineStr"/>
    </row>
    <row r="375" ht="15" customHeight="1">
      <c r="A375" t="inlineStr">
        <is>
          <t>A 1734-2025</t>
        </is>
      </c>
      <c r="B375" s="1" t="n">
        <v>45671.3840625</v>
      </c>
      <c r="C375" s="1" t="n">
        <v>46051</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20993-2023</t>
        </is>
      </c>
      <c r="B376" s="1" t="n">
        <v>45056</v>
      </c>
      <c r="C376" s="1" t="n">
        <v>46051</v>
      </c>
      <c r="D376" t="inlineStr">
        <is>
          <t>GOTLANDS LÄN</t>
        </is>
      </c>
      <c r="E376" t="inlineStr">
        <is>
          <t>GOTLAND</t>
        </is>
      </c>
      <c r="G376" t="n">
        <v>7.1</v>
      </c>
      <c r="H376" t="n">
        <v>0</v>
      </c>
      <c r="I376" t="n">
        <v>0</v>
      </c>
      <c r="J376" t="n">
        <v>0</v>
      </c>
      <c r="K376" t="n">
        <v>0</v>
      </c>
      <c r="L376" t="n">
        <v>0</v>
      </c>
      <c r="M376" t="n">
        <v>0</v>
      </c>
      <c r="N376" t="n">
        <v>0</v>
      </c>
      <c r="O376" t="n">
        <v>0</v>
      </c>
      <c r="P376" t="n">
        <v>0</v>
      </c>
      <c r="Q376" t="n">
        <v>0</v>
      </c>
      <c r="R376" s="2" t="inlineStr"/>
    </row>
    <row r="377" ht="15" customHeight="1">
      <c r="A377" t="inlineStr">
        <is>
          <t>A 52637-2025</t>
        </is>
      </c>
      <c r="B377" s="1" t="n">
        <v>45954.75099537037</v>
      </c>
      <c r="C377" s="1" t="n">
        <v>46051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12596-2023</t>
        </is>
      </c>
      <c r="B378" s="1" t="n">
        <v>45000.43310185185</v>
      </c>
      <c r="C378" s="1" t="n">
        <v>46051</v>
      </c>
      <c r="D378" t="inlineStr">
        <is>
          <t>GOTLANDS LÄN</t>
        </is>
      </c>
      <c r="E378" t="inlineStr">
        <is>
          <t>GOTLAND</t>
        </is>
      </c>
      <c r="G378" t="n">
        <v>4.1</v>
      </c>
      <c r="H378" t="n">
        <v>0</v>
      </c>
      <c r="I378" t="n">
        <v>0</v>
      </c>
      <c r="J378" t="n">
        <v>0</v>
      </c>
      <c r="K378" t="n">
        <v>0</v>
      </c>
      <c r="L378" t="n">
        <v>0</v>
      </c>
      <c r="M378" t="n">
        <v>0</v>
      </c>
      <c r="N378" t="n">
        <v>0</v>
      </c>
      <c r="O378" t="n">
        <v>0</v>
      </c>
      <c r="P378" t="n">
        <v>0</v>
      </c>
      <c r="Q378" t="n">
        <v>0</v>
      </c>
      <c r="R378" s="2" t="inlineStr"/>
    </row>
    <row r="379" ht="15" customHeight="1">
      <c r="A379" t="inlineStr">
        <is>
          <t>A 2125-2025</t>
        </is>
      </c>
      <c r="B379" s="1" t="n">
        <v>45672.64940972222</v>
      </c>
      <c r="C379" s="1" t="n">
        <v>46051</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12155-2023</t>
        </is>
      </c>
      <c r="B380" s="1" t="n">
        <v>44998.49106481481</v>
      </c>
      <c r="C380" s="1" t="n">
        <v>46051</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53569-2025</t>
        </is>
      </c>
      <c r="B381" s="1" t="n">
        <v>45960.41155092593</v>
      </c>
      <c r="C381" s="1" t="n">
        <v>46051</v>
      </c>
      <c r="D381" t="inlineStr">
        <is>
          <t>GOTLANDS LÄN</t>
        </is>
      </c>
      <c r="E381" t="inlineStr">
        <is>
          <t>GOTLAND</t>
        </is>
      </c>
      <c r="F381" t="inlineStr">
        <is>
          <t>Övriga Aktiebolag</t>
        </is>
      </c>
      <c r="G381" t="n">
        <v>11.3</v>
      </c>
      <c r="H381" t="n">
        <v>0</v>
      </c>
      <c r="I381" t="n">
        <v>0</v>
      </c>
      <c r="J381" t="n">
        <v>0</v>
      </c>
      <c r="K381" t="n">
        <v>0</v>
      </c>
      <c r="L381" t="n">
        <v>0</v>
      </c>
      <c r="M381" t="n">
        <v>0</v>
      </c>
      <c r="N381" t="n">
        <v>0</v>
      </c>
      <c r="O381" t="n">
        <v>0</v>
      </c>
      <c r="P381" t="n">
        <v>0</v>
      </c>
      <c r="Q381" t="n">
        <v>0</v>
      </c>
      <c r="R381" s="2" t="inlineStr"/>
    </row>
    <row r="382" ht="15" customHeight="1">
      <c r="A382" t="inlineStr">
        <is>
          <t>A 457-2023</t>
        </is>
      </c>
      <c r="B382" s="1" t="n">
        <v>44929.87238425926</v>
      </c>
      <c r="C382" s="1" t="n">
        <v>46051</v>
      </c>
      <c r="D382" t="inlineStr">
        <is>
          <t>GOTLANDS LÄN</t>
        </is>
      </c>
      <c r="E382" t="inlineStr">
        <is>
          <t>GOTLAND</t>
        </is>
      </c>
      <c r="G382" t="n">
        <v>2.4</v>
      </c>
      <c r="H382" t="n">
        <v>0</v>
      </c>
      <c r="I382" t="n">
        <v>0</v>
      </c>
      <c r="J382" t="n">
        <v>0</v>
      </c>
      <c r="K382" t="n">
        <v>0</v>
      </c>
      <c r="L382" t="n">
        <v>0</v>
      </c>
      <c r="M382" t="n">
        <v>0</v>
      </c>
      <c r="N382" t="n">
        <v>0</v>
      </c>
      <c r="O382" t="n">
        <v>0</v>
      </c>
      <c r="P382" t="n">
        <v>0</v>
      </c>
      <c r="Q382" t="n">
        <v>0</v>
      </c>
      <c r="R382" s="2" t="inlineStr"/>
    </row>
    <row r="383" ht="15" customHeight="1">
      <c r="A383" t="inlineStr">
        <is>
          <t>A 459-2023</t>
        </is>
      </c>
      <c r="B383" s="1" t="n">
        <v>44929.87423611111</v>
      </c>
      <c r="C383" s="1" t="n">
        <v>46051</v>
      </c>
      <c r="D383" t="inlineStr">
        <is>
          <t>GOTLANDS LÄN</t>
        </is>
      </c>
      <c r="E383" t="inlineStr">
        <is>
          <t>GOTLAND</t>
        </is>
      </c>
      <c r="G383" t="n">
        <v>4.2</v>
      </c>
      <c r="H383" t="n">
        <v>0</v>
      </c>
      <c r="I383" t="n">
        <v>0</v>
      </c>
      <c r="J383" t="n">
        <v>0</v>
      </c>
      <c r="K383" t="n">
        <v>0</v>
      </c>
      <c r="L383" t="n">
        <v>0</v>
      </c>
      <c r="M383" t="n">
        <v>0</v>
      </c>
      <c r="N383" t="n">
        <v>0</v>
      </c>
      <c r="O383" t="n">
        <v>0</v>
      </c>
      <c r="P383" t="n">
        <v>0</v>
      </c>
      <c r="Q383" t="n">
        <v>0</v>
      </c>
      <c r="R383" s="2" t="inlineStr"/>
    </row>
    <row r="384" ht="15" customHeight="1">
      <c r="A384" t="inlineStr">
        <is>
          <t>A 38234-2023</t>
        </is>
      </c>
      <c r="B384" s="1" t="n">
        <v>45161.56663194444</v>
      </c>
      <c r="C384" s="1" t="n">
        <v>46051</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53577-2025</t>
        </is>
      </c>
      <c r="B385" s="1" t="n">
        <v>45960.42224537037</v>
      </c>
      <c r="C385" s="1" t="n">
        <v>46051</v>
      </c>
      <c r="D385" t="inlineStr">
        <is>
          <t>GOTLANDS LÄN</t>
        </is>
      </c>
      <c r="E385" t="inlineStr">
        <is>
          <t>GOTLAND</t>
        </is>
      </c>
      <c r="F385" t="inlineStr">
        <is>
          <t>Övriga Aktiebolag</t>
        </is>
      </c>
      <c r="G385" t="n">
        <v>3.3</v>
      </c>
      <c r="H385" t="n">
        <v>0</v>
      </c>
      <c r="I385" t="n">
        <v>0</v>
      </c>
      <c r="J385" t="n">
        <v>0</v>
      </c>
      <c r="K385" t="n">
        <v>0</v>
      </c>
      <c r="L385" t="n">
        <v>0</v>
      </c>
      <c r="M385" t="n">
        <v>0</v>
      </c>
      <c r="N385" t="n">
        <v>0</v>
      </c>
      <c r="O385" t="n">
        <v>0</v>
      </c>
      <c r="P385" t="n">
        <v>0</v>
      </c>
      <c r="Q385" t="n">
        <v>0</v>
      </c>
      <c r="R385" s="2" t="inlineStr"/>
    </row>
    <row r="386" ht="15" customHeight="1">
      <c r="A386" t="inlineStr">
        <is>
          <t>A 53587-2025</t>
        </is>
      </c>
      <c r="B386" s="1" t="n">
        <v>45960.43681712963</v>
      </c>
      <c r="C386" s="1" t="n">
        <v>46051</v>
      </c>
      <c r="D386" t="inlineStr">
        <is>
          <t>GOTLANDS LÄN</t>
        </is>
      </c>
      <c r="E386" t="inlineStr">
        <is>
          <t>GOTLAND</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50744-2024</t>
        </is>
      </c>
      <c r="B387" s="1" t="n">
        <v>45602.4187037037</v>
      </c>
      <c r="C387" s="1" t="n">
        <v>46051</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46051</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53934-2024</t>
        </is>
      </c>
      <c r="B389" s="1" t="n">
        <v>45615</v>
      </c>
      <c r="C389" s="1" t="n">
        <v>46051</v>
      </c>
      <c r="D389" t="inlineStr">
        <is>
          <t>GOTLANDS LÄN</t>
        </is>
      </c>
      <c r="E389" t="inlineStr">
        <is>
          <t>GOTLAND</t>
        </is>
      </c>
      <c r="G389" t="n">
        <v>5</v>
      </c>
      <c r="H389" t="n">
        <v>0</v>
      </c>
      <c r="I389" t="n">
        <v>0</v>
      </c>
      <c r="J389" t="n">
        <v>0</v>
      </c>
      <c r="K389" t="n">
        <v>0</v>
      </c>
      <c r="L389" t="n">
        <v>0</v>
      </c>
      <c r="M389" t="n">
        <v>0</v>
      </c>
      <c r="N389" t="n">
        <v>0</v>
      </c>
      <c r="O389" t="n">
        <v>0</v>
      </c>
      <c r="P389" t="n">
        <v>0</v>
      </c>
      <c r="Q389" t="n">
        <v>0</v>
      </c>
      <c r="R389" s="2" t="inlineStr"/>
    </row>
    <row r="390" ht="15" customHeight="1">
      <c r="A390" t="inlineStr">
        <is>
          <t>A 54584-2025</t>
        </is>
      </c>
      <c r="B390" s="1" t="n">
        <v>45965.71788194445</v>
      </c>
      <c r="C390" s="1" t="n">
        <v>46051</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1446-2025</t>
        </is>
      </c>
      <c r="B391" s="1" t="n">
        <v>45669.86035879629</v>
      </c>
      <c r="C391" s="1" t="n">
        <v>46051</v>
      </c>
      <c r="D391" t="inlineStr">
        <is>
          <t>GOTLANDS LÄN</t>
        </is>
      </c>
      <c r="E391" t="inlineStr">
        <is>
          <t>GOTLAND</t>
        </is>
      </c>
      <c r="G391" t="n">
        <v>3.1</v>
      </c>
      <c r="H391" t="n">
        <v>0</v>
      </c>
      <c r="I391" t="n">
        <v>0</v>
      </c>
      <c r="J391" t="n">
        <v>0</v>
      </c>
      <c r="K391" t="n">
        <v>0</v>
      </c>
      <c r="L391" t="n">
        <v>0</v>
      </c>
      <c r="M391" t="n">
        <v>0</v>
      </c>
      <c r="N391" t="n">
        <v>0</v>
      </c>
      <c r="O391" t="n">
        <v>0</v>
      </c>
      <c r="P391" t="n">
        <v>0</v>
      </c>
      <c r="Q391" t="n">
        <v>0</v>
      </c>
      <c r="R391" s="2" t="inlineStr"/>
    </row>
    <row r="392" ht="15" customHeight="1">
      <c r="A392" t="inlineStr">
        <is>
          <t>A 63002-2025</t>
        </is>
      </c>
      <c r="B392" s="1" t="n">
        <v>46009.56564814815</v>
      </c>
      <c r="C392" s="1" t="n">
        <v>46051</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31264-2021</t>
        </is>
      </c>
      <c r="B393" s="1" t="n">
        <v>44368</v>
      </c>
      <c r="C393" s="1" t="n">
        <v>46051</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43901-2023</t>
        </is>
      </c>
      <c r="B394" s="1" t="n">
        <v>45187</v>
      </c>
      <c r="C394" s="1" t="n">
        <v>46051</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46051</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16501-2023</t>
        </is>
      </c>
      <c r="B396" s="1" t="n">
        <v>45029</v>
      </c>
      <c r="C396" s="1" t="n">
        <v>46051</v>
      </c>
      <c r="D396" t="inlineStr">
        <is>
          <t>GOTLANDS LÄN</t>
        </is>
      </c>
      <c r="E396" t="inlineStr">
        <is>
          <t>GOTLAND</t>
        </is>
      </c>
      <c r="G396" t="n">
        <v>3.1</v>
      </c>
      <c r="H396" t="n">
        <v>0</v>
      </c>
      <c r="I396" t="n">
        <v>0</v>
      </c>
      <c r="J396" t="n">
        <v>0</v>
      </c>
      <c r="K396" t="n">
        <v>0</v>
      </c>
      <c r="L396" t="n">
        <v>0</v>
      </c>
      <c r="M396" t="n">
        <v>0</v>
      </c>
      <c r="N396" t="n">
        <v>0</v>
      </c>
      <c r="O396" t="n">
        <v>0</v>
      </c>
      <c r="P396" t="n">
        <v>0</v>
      </c>
      <c r="Q396" t="n">
        <v>0</v>
      </c>
      <c r="R396" s="2" t="inlineStr"/>
    </row>
    <row r="397" ht="15" customHeight="1">
      <c r="A397" t="inlineStr">
        <is>
          <t>A 27930-2021</t>
        </is>
      </c>
      <c r="B397" s="1" t="n">
        <v>44354</v>
      </c>
      <c r="C397" s="1" t="n">
        <v>46051</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61962-2024</t>
        </is>
      </c>
      <c r="B398" s="1" t="n">
        <v>45653.54340277778</v>
      </c>
      <c r="C398" s="1" t="n">
        <v>46051</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10492-2023</t>
        </is>
      </c>
      <c r="B399" s="1" t="n">
        <v>44987</v>
      </c>
      <c r="C399" s="1" t="n">
        <v>46051</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5909-2025</t>
        </is>
      </c>
      <c r="B400" s="1" t="n">
        <v>45695.40634259259</v>
      </c>
      <c r="C400" s="1" t="n">
        <v>46051</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10653-2023</t>
        </is>
      </c>
      <c r="B401" s="1" t="n">
        <v>44988.48859953704</v>
      </c>
      <c r="C401" s="1" t="n">
        <v>46051</v>
      </c>
      <c r="D401" t="inlineStr">
        <is>
          <t>GOTLANDS LÄN</t>
        </is>
      </c>
      <c r="E401" t="inlineStr">
        <is>
          <t>GOTLAND</t>
        </is>
      </c>
      <c r="F401" t="inlineStr">
        <is>
          <t>Kyrkan</t>
        </is>
      </c>
      <c r="G401" t="n">
        <v>3</v>
      </c>
      <c r="H401" t="n">
        <v>0</v>
      </c>
      <c r="I401" t="n">
        <v>0</v>
      </c>
      <c r="J401" t="n">
        <v>0</v>
      </c>
      <c r="K401" t="n">
        <v>0</v>
      </c>
      <c r="L401" t="n">
        <v>0</v>
      </c>
      <c r="M401" t="n">
        <v>0</v>
      </c>
      <c r="N401" t="n">
        <v>0</v>
      </c>
      <c r="O401" t="n">
        <v>0</v>
      </c>
      <c r="P401" t="n">
        <v>0</v>
      </c>
      <c r="Q401" t="n">
        <v>0</v>
      </c>
      <c r="R401" s="2" t="inlineStr"/>
    </row>
    <row r="402" ht="15" customHeight="1">
      <c r="A402" t="inlineStr">
        <is>
          <t>A 56799-2025</t>
        </is>
      </c>
      <c r="B402" s="1" t="n">
        <v>45978.43392361111</v>
      </c>
      <c r="C402" s="1" t="n">
        <v>46051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4990-2025</t>
        </is>
      </c>
      <c r="B403" s="1" t="n">
        <v>45691</v>
      </c>
      <c r="C403" s="1" t="n">
        <v>46051</v>
      </c>
      <c r="D403" t="inlineStr">
        <is>
          <t>GOTLANDS LÄN</t>
        </is>
      </c>
      <c r="E403" t="inlineStr">
        <is>
          <t>GOTLAND</t>
        </is>
      </c>
      <c r="G403" t="n">
        <v>7.7</v>
      </c>
      <c r="H403" t="n">
        <v>0</v>
      </c>
      <c r="I403" t="n">
        <v>0</v>
      </c>
      <c r="J403" t="n">
        <v>0</v>
      </c>
      <c r="K403" t="n">
        <v>0</v>
      </c>
      <c r="L403" t="n">
        <v>0</v>
      </c>
      <c r="M403" t="n">
        <v>0</v>
      </c>
      <c r="N403" t="n">
        <v>0</v>
      </c>
      <c r="O403" t="n">
        <v>0</v>
      </c>
      <c r="P403" t="n">
        <v>0</v>
      </c>
      <c r="Q403" t="n">
        <v>0</v>
      </c>
      <c r="R403" s="2" t="inlineStr"/>
    </row>
    <row r="404" ht="15" customHeight="1">
      <c r="A404" t="inlineStr">
        <is>
          <t>A 56688-2025</t>
        </is>
      </c>
      <c r="B404" s="1" t="n">
        <v>45975.84331018518</v>
      </c>
      <c r="C404" s="1" t="n">
        <v>46051</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43081-2022</t>
        </is>
      </c>
      <c r="B405" s="1" t="n">
        <v>44833</v>
      </c>
      <c r="C405" s="1" t="n">
        <v>46051</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32958-2021</t>
        </is>
      </c>
      <c r="B406" s="1" t="n">
        <v>44376</v>
      </c>
      <c r="C406" s="1" t="n">
        <v>46051</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5884-2025</t>
        </is>
      </c>
      <c r="B407" s="1" t="n">
        <v>45695.37482638889</v>
      </c>
      <c r="C407" s="1" t="n">
        <v>46051</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5897-2025</t>
        </is>
      </c>
      <c r="B408" s="1" t="n">
        <v>45695.39273148148</v>
      </c>
      <c r="C408" s="1" t="n">
        <v>46051</v>
      </c>
      <c r="D408" t="inlineStr">
        <is>
          <t>GOTLANDS LÄN</t>
        </is>
      </c>
      <c r="E408" t="inlineStr">
        <is>
          <t>GOTLAND</t>
        </is>
      </c>
      <c r="G408" t="n">
        <v>3.7</v>
      </c>
      <c r="H408" t="n">
        <v>0</v>
      </c>
      <c r="I408" t="n">
        <v>0</v>
      </c>
      <c r="J408" t="n">
        <v>0</v>
      </c>
      <c r="K408" t="n">
        <v>0</v>
      </c>
      <c r="L408" t="n">
        <v>0</v>
      </c>
      <c r="M408" t="n">
        <v>0</v>
      </c>
      <c r="N408" t="n">
        <v>0</v>
      </c>
      <c r="O408" t="n">
        <v>0</v>
      </c>
      <c r="P408" t="n">
        <v>0</v>
      </c>
      <c r="Q408" t="n">
        <v>0</v>
      </c>
      <c r="R408" s="2" t="inlineStr"/>
    </row>
    <row r="409" ht="15" customHeight="1">
      <c r="A409" t="inlineStr">
        <is>
          <t>A 49693-2023</t>
        </is>
      </c>
      <c r="B409" s="1" t="n">
        <v>45212.38138888889</v>
      </c>
      <c r="C409" s="1" t="n">
        <v>46051</v>
      </c>
      <c r="D409" t="inlineStr">
        <is>
          <t>GOTLANDS LÄN</t>
        </is>
      </c>
      <c r="E409" t="inlineStr">
        <is>
          <t>GOTLAND</t>
        </is>
      </c>
      <c r="G409" t="n">
        <v>2.4</v>
      </c>
      <c r="H409" t="n">
        <v>0</v>
      </c>
      <c r="I409" t="n">
        <v>0</v>
      </c>
      <c r="J409" t="n">
        <v>0</v>
      </c>
      <c r="K409" t="n">
        <v>0</v>
      </c>
      <c r="L409" t="n">
        <v>0</v>
      </c>
      <c r="M409" t="n">
        <v>0</v>
      </c>
      <c r="N409" t="n">
        <v>0</v>
      </c>
      <c r="O409" t="n">
        <v>0</v>
      </c>
      <c r="P409" t="n">
        <v>0</v>
      </c>
      <c r="Q409" t="n">
        <v>0</v>
      </c>
      <c r="R409" s="2" t="inlineStr"/>
    </row>
    <row r="410" ht="15" customHeight="1">
      <c r="A410" t="inlineStr">
        <is>
          <t>A 49697-2023</t>
        </is>
      </c>
      <c r="B410" s="1" t="n">
        <v>45212.38909722222</v>
      </c>
      <c r="C410" s="1" t="n">
        <v>46051</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36-2026</t>
        </is>
      </c>
      <c r="B411" s="1" t="n">
        <v>46024.38886574074</v>
      </c>
      <c r="C411" s="1" t="n">
        <v>46051</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17901-2023</t>
        </is>
      </c>
      <c r="B412" s="1" t="n">
        <v>45039</v>
      </c>
      <c r="C412" s="1" t="n">
        <v>46051</v>
      </c>
      <c r="D412" t="inlineStr">
        <is>
          <t>GOTLANDS LÄN</t>
        </is>
      </c>
      <c r="E412" t="inlineStr">
        <is>
          <t>GOTLAND</t>
        </is>
      </c>
      <c r="F412" t="inlineStr">
        <is>
          <t>Kyrkan</t>
        </is>
      </c>
      <c r="G412" t="n">
        <v>0.6</v>
      </c>
      <c r="H412" t="n">
        <v>0</v>
      </c>
      <c r="I412" t="n">
        <v>0</v>
      </c>
      <c r="J412" t="n">
        <v>0</v>
      </c>
      <c r="K412" t="n">
        <v>0</v>
      </c>
      <c r="L412" t="n">
        <v>0</v>
      </c>
      <c r="M412" t="n">
        <v>0</v>
      </c>
      <c r="N412" t="n">
        <v>0</v>
      </c>
      <c r="O412" t="n">
        <v>0</v>
      </c>
      <c r="P412" t="n">
        <v>0</v>
      </c>
      <c r="Q412" t="n">
        <v>0</v>
      </c>
      <c r="R412" s="2" t="inlineStr"/>
    </row>
    <row r="413" ht="15" customHeight="1">
      <c r="A413" t="inlineStr">
        <is>
          <t>A 52892-2021</t>
        </is>
      </c>
      <c r="B413" s="1" t="n">
        <v>44467.49048611111</v>
      </c>
      <c r="C413" s="1" t="n">
        <v>46051</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46396-2023</t>
        </is>
      </c>
      <c r="B414" s="1" t="n">
        <v>45197</v>
      </c>
      <c r="C414" s="1" t="n">
        <v>46051</v>
      </c>
      <c r="D414" t="inlineStr">
        <is>
          <t>GOTLANDS LÄN</t>
        </is>
      </c>
      <c r="E414" t="inlineStr">
        <is>
          <t>GOTLAND</t>
        </is>
      </c>
      <c r="G414" t="n">
        <v>1.4</v>
      </c>
      <c r="H414" t="n">
        <v>0</v>
      </c>
      <c r="I414" t="n">
        <v>0</v>
      </c>
      <c r="J414" t="n">
        <v>0</v>
      </c>
      <c r="K414" t="n">
        <v>0</v>
      </c>
      <c r="L414" t="n">
        <v>0</v>
      </c>
      <c r="M414" t="n">
        <v>0</v>
      </c>
      <c r="N414" t="n">
        <v>0</v>
      </c>
      <c r="O414" t="n">
        <v>0</v>
      </c>
      <c r="P414" t="n">
        <v>0</v>
      </c>
      <c r="Q414" t="n">
        <v>0</v>
      </c>
      <c r="R414" s="2" t="inlineStr"/>
    </row>
    <row r="415" ht="15" customHeight="1">
      <c r="A415" t="inlineStr">
        <is>
          <t>A 17724-2024</t>
        </is>
      </c>
      <c r="B415" s="1" t="n">
        <v>45418.55096064815</v>
      </c>
      <c r="C415" s="1" t="n">
        <v>46051</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34312-2024</t>
        </is>
      </c>
      <c r="B416" s="1" t="n">
        <v>45524.69703703704</v>
      </c>
      <c r="C416" s="1" t="n">
        <v>46051</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59197-2025</t>
        </is>
      </c>
      <c r="B417" s="1" t="n">
        <v>45988.59846064815</v>
      </c>
      <c r="C417" s="1" t="n">
        <v>46051</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1355-2026</t>
        </is>
      </c>
      <c r="B418" s="1" t="n">
        <v>46031.59909722222</v>
      </c>
      <c r="C418" s="1" t="n">
        <v>46051</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69112-2021</t>
        </is>
      </c>
      <c r="B419" s="1" t="n">
        <v>44530</v>
      </c>
      <c r="C419" s="1" t="n">
        <v>46051</v>
      </c>
      <c r="D419" t="inlineStr">
        <is>
          <t>GOTLANDS LÄN</t>
        </is>
      </c>
      <c r="E419" t="inlineStr">
        <is>
          <t>GOTLAND</t>
        </is>
      </c>
      <c r="G419" t="n">
        <v>4.2</v>
      </c>
      <c r="H419" t="n">
        <v>0</v>
      </c>
      <c r="I419" t="n">
        <v>0</v>
      </c>
      <c r="J419" t="n">
        <v>0</v>
      </c>
      <c r="K419" t="n">
        <v>0</v>
      </c>
      <c r="L419" t="n">
        <v>0</v>
      </c>
      <c r="M419" t="n">
        <v>0</v>
      </c>
      <c r="N419" t="n">
        <v>0</v>
      </c>
      <c r="O419" t="n">
        <v>0</v>
      </c>
      <c r="P419" t="n">
        <v>0</v>
      </c>
      <c r="Q419" t="n">
        <v>0</v>
      </c>
      <c r="R419" s="2" t="inlineStr"/>
    </row>
    <row r="420" ht="15" customHeight="1">
      <c r="A420" t="inlineStr">
        <is>
          <t>A 7638-2025</t>
        </is>
      </c>
      <c r="B420" s="1" t="n">
        <v>45705.77306712963</v>
      </c>
      <c r="C420" s="1" t="n">
        <v>46051</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50482-2024</t>
        </is>
      </c>
      <c r="B421" s="1" t="n">
        <v>45601.48114583334</v>
      </c>
      <c r="C421" s="1" t="n">
        <v>46051</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2415-2026</t>
        </is>
      </c>
      <c r="B422" s="1" t="n">
        <v>46036.76203703704</v>
      </c>
      <c r="C422" s="1" t="n">
        <v>46051</v>
      </c>
      <c r="D422" t="inlineStr">
        <is>
          <t>GOTLANDS LÄN</t>
        </is>
      </c>
      <c r="E422" t="inlineStr">
        <is>
          <t>GOTLAND</t>
        </is>
      </c>
      <c r="G422" t="n">
        <v>6.9</v>
      </c>
      <c r="H422" t="n">
        <v>0</v>
      </c>
      <c r="I422" t="n">
        <v>0</v>
      </c>
      <c r="J422" t="n">
        <v>0</v>
      </c>
      <c r="K422" t="n">
        <v>0</v>
      </c>
      <c r="L422" t="n">
        <v>0</v>
      </c>
      <c r="M422" t="n">
        <v>0</v>
      </c>
      <c r="N422" t="n">
        <v>0</v>
      </c>
      <c r="O422" t="n">
        <v>0</v>
      </c>
      <c r="P422" t="n">
        <v>0</v>
      </c>
      <c r="Q422" t="n">
        <v>0</v>
      </c>
      <c r="R422" s="2" t="inlineStr"/>
    </row>
    <row r="423" ht="15" customHeight="1">
      <c r="A423" t="inlineStr">
        <is>
          <t>A 1394-2023</t>
        </is>
      </c>
      <c r="B423" s="1" t="n">
        <v>44936.72997685185</v>
      </c>
      <c r="C423" s="1" t="n">
        <v>46051</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36319-2025</t>
        </is>
      </c>
      <c r="B424" s="1" t="n">
        <v>45868</v>
      </c>
      <c r="C424" s="1" t="n">
        <v>46051</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1839-2026</t>
        </is>
      </c>
      <c r="B425" s="1" t="n">
        <v>46035.3942824074</v>
      </c>
      <c r="C425" s="1" t="n">
        <v>46051</v>
      </c>
      <c r="D425" t="inlineStr">
        <is>
          <t>GOTLANDS LÄN</t>
        </is>
      </c>
      <c r="E425" t="inlineStr">
        <is>
          <t>GOTLAND</t>
        </is>
      </c>
      <c r="G425" t="n">
        <v>3.5</v>
      </c>
      <c r="H425" t="n">
        <v>0</v>
      </c>
      <c r="I425" t="n">
        <v>0</v>
      </c>
      <c r="J425" t="n">
        <v>0</v>
      </c>
      <c r="K425" t="n">
        <v>0</v>
      </c>
      <c r="L425" t="n">
        <v>0</v>
      </c>
      <c r="M425" t="n">
        <v>0</v>
      </c>
      <c r="N425" t="n">
        <v>0</v>
      </c>
      <c r="O425" t="n">
        <v>0</v>
      </c>
      <c r="P425" t="n">
        <v>0</v>
      </c>
      <c r="Q425" t="n">
        <v>0</v>
      </c>
      <c r="R425" s="2" t="inlineStr"/>
    </row>
    <row r="426" ht="15" customHeight="1">
      <c r="A426" t="inlineStr">
        <is>
          <t>A 1854-2026</t>
        </is>
      </c>
      <c r="B426" s="1" t="n">
        <v>46035.4171875</v>
      </c>
      <c r="C426" s="1" t="n">
        <v>46051</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46051</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46051</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1462-2025</t>
        </is>
      </c>
      <c r="B429" s="1" t="n">
        <v>45670.36319444444</v>
      </c>
      <c r="C429" s="1" t="n">
        <v>46051</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2135-2026</t>
        </is>
      </c>
      <c r="B430" s="1" t="n">
        <v>46036</v>
      </c>
      <c r="C430" s="1" t="n">
        <v>46051</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2134-2026</t>
        </is>
      </c>
      <c r="B431" s="1" t="n">
        <v>46036</v>
      </c>
      <c r="C431" s="1" t="n">
        <v>46051</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1898-2026</t>
        </is>
      </c>
      <c r="B432" s="1" t="n">
        <v>46035.52024305556</v>
      </c>
      <c r="C432" s="1" t="n">
        <v>46051</v>
      </c>
      <c r="D432" t="inlineStr">
        <is>
          <t>GOTLANDS LÄN</t>
        </is>
      </c>
      <c r="E432" t="inlineStr">
        <is>
          <t>GOTLAND</t>
        </is>
      </c>
      <c r="G432" t="n">
        <v>3.7</v>
      </c>
      <c r="H432" t="n">
        <v>0</v>
      </c>
      <c r="I432" t="n">
        <v>0</v>
      </c>
      <c r="J432" t="n">
        <v>0</v>
      </c>
      <c r="K432" t="n">
        <v>0</v>
      </c>
      <c r="L432" t="n">
        <v>0</v>
      </c>
      <c r="M432" t="n">
        <v>0</v>
      </c>
      <c r="N432" t="n">
        <v>0</v>
      </c>
      <c r="O432" t="n">
        <v>0</v>
      </c>
      <c r="P432" t="n">
        <v>0</v>
      </c>
      <c r="Q432" t="n">
        <v>0</v>
      </c>
      <c r="R432" s="2" t="inlineStr"/>
    </row>
    <row r="433" ht="15" customHeight="1">
      <c r="A433" t="inlineStr">
        <is>
          <t>A 25129-2023</t>
        </is>
      </c>
      <c r="B433" s="1" t="n">
        <v>45086.44261574074</v>
      </c>
      <c r="C433" s="1" t="n">
        <v>46051</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24192-2023</t>
        </is>
      </c>
      <c r="B434" s="1" t="n">
        <v>45079</v>
      </c>
      <c r="C434" s="1" t="n">
        <v>46051</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60384-2025</t>
        </is>
      </c>
      <c r="B435" s="1" t="n">
        <v>45995</v>
      </c>
      <c r="C435" s="1" t="n">
        <v>46051</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5386-2023</t>
        </is>
      </c>
      <c r="B436" s="1" t="n">
        <v>44959</v>
      </c>
      <c r="C436" s="1" t="n">
        <v>46051</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7026-2023</t>
        </is>
      </c>
      <c r="B437" s="1" t="n">
        <v>44968.30340277778</v>
      </c>
      <c r="C437" s="1" t="n">
        <v>46051</v>
      </c>
      <c r="D437" t="inlineStr">
        <is>
          <t>GOTLANDS LÄN</t>
        </is>
      </c>
      <c r="E437" t="inlineStr">
        <is>
          <t>GOTLAND</t>
        </is>
      </c>
      <c r="G437" t="n">
        <v>2.9</v>
      </c>
      <c r="H437" t="n">
        <v>0</v>
      </c>
      <c r="I437" t="n">
        <v>0</v>
      </c>
      <c r="J437" t="n">
        <v>0</v>
      </c>
      <c r="K437" t="n">
        <v>0</v>
      </c>
      <c r="L437" t="n">
        <v>0</v>
      </c>
      <c r="M437" t="n">
        <v>0</v>
      </c>
      <c r="N437" t="n">
        <v>0</v>
      </c>
      <c r="O437" t="n">
        <v>0</v>
      </c>
      <c r="P437" t="n">
        <v>0</v>
      </c>
      <c r="Q437" t="n">
        <v>0</v>
      </c>
      <c r="R437" s="2" t="inlineStr"/>
    </row>
    <row r="438" ht="15" customHeight="1">
      <c r="A438" t="inlineStr">
        <is>
          <t>A 20855-2023</t>
        </is>
      </c>
      <c r="B438" s="1" t="n">
        <v>45058.82172453704</v>
      </c>
      <c r="C438" s="1" t="n">
        <v>46051</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61080-2025</t>
        </is>
      </c>
      <c r="B439" s="1" t="n">
        <v>46000</v>
      </c>
      <c r="C439" s="1" t="n">
        <v>46051</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1000-2024</t>
        </is>
      </c>
      <c r="B440" s="1" t="n">
        <v>45301.63371527778</v>
      </c>
      <c r="C440" s="1" t="n">
        <v>46051</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1010-2024</t>
        </is>
      </c>
      <c r="B441" s="1" t="n">
        <v>45301</v>
      </c>
      <c r="C441" s="1" t="n">
        <v>46051</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61078-2025</t>
        </is>
      </c>
      <c r="B442" s="1" t="n">
        <v>46000</v>
      </c>
      <c r="C442" s="1" t="n">
        <v>46051</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3067-2026</t>
        </is>
      </c>
      <c r="B443" s="1" t="n">
        <v>46040.59025462963</v>
      </c>
      <c r="C443" s="1" t="n">
        <v>46051</v>
      </c>
      <c r="D443" t="inlineStr">
        <is>
          <t>GOTLANDS LÄN</t>
        </is>
      </c>
      <c r="E443" t="inlineStr">
        <is>
          <t>GOTLAND</t>
        </is>
      </c>
      <c r="G443" t="n">
        <v>7.8</v>
      </c>
      <c r="H443" t="n">
        <v>0</v>
      </c>
      <c r="I443" t="n">
        <v>0</v>
      </c>
      <c r="J443" t="n">
        <v>0</v>
      </c>
      <c r="K443" t="n">
        <v>0</v>
      </c>
      <c r="L443" t="n">
        <v>0</v>
      </c>
      <c r="M443" t="n">
        <v>0</v>
      </c>
      <c r="N443" t="n">
        <v>0</v>
      </c>
      <c r="O443" t="n">
        <v>0</v>
      </c>
      <c r="P443" t="n">
        <v>0</v>
      </c>
      <c r="Q443" t="n">
        <v>0</v>
      </c>
      <c r="R443" s="2" t="inlineStr"/>
    </row>
    <row r="444" ht="15" customHeight="1">
      <c r="A444" t="inlineStr">
        <is>
          <t>A 3253-2026</t>
        </is>
      </c>
      <c r="B444" s="1" t="n">
        <v>46041.58902777778</v>
      </c>
      <c r="C444" s="1" t="n">
        <v>46051</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47762-2023</t>
        </is>
      </c>
      <c r="B445" s="1" t="n">
        <v>45203.86256944444</v>
      </c>
      <c r="C445" s="1" t="n">
        <v>46051</v>
      </c>
      <c r="D445" t="inlineStr">
        <is>
          <t>GOTLANDS LÄN</t>
        </is>
      </c>
      <c r="E445" t="inlineStr">
        <is>
          <t>GOTLAND</t>
        </is>
      </c>
      <c r="G445" t="n">
        <v>1.3</v>
      </c>
      <c r="H445" t="n">
        <v>0</v>
      </c>
      <c r="I445" t="n">
        <v>0</v>
      </c>
      <c r="J445" t="n">
        <v>0</v>
      </c>
      <c r="K445" t="n">
        <v>0</v>
      </c>
      <c r="L445" t="n">
        <v>0</v>
      </c>
      <c r="M445" t="n">
        <v>0</v>
      </c>
      <c r="N445" t="n">
        <v>0</v>
      </c>
      <c r="O445" t="n">
        <v>0</v>
      </c>
      <c r="P445" t="n">
        <v>0</v>
      </c>
      <c r="Q445" t="n">
        <v>0</v>
      </c>
      <c r="R445" s="2" t="inlineStr"/>
    </row>
    <row r="446" ht="15" customHeight="1">
      <c r="A446" t="inlineStr">
        <is>
          <t>A 46545-2024</t>
        </is>
      </c>
      <c r="B446" s="1" t="n">
        <v>45582.65831018519</v>
      </c>
      <c r="C446" s="1" t="n">
        <v>46051</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60086-2022</t>
        </is>
      </c>
      <c r="B447" s="1" t="n">
        <v>44909</v>
      </c>
      <c r="C447" s="1" t="n">
        <v>46051</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28480-2023</t>
        </is>
      </c>
      <c r="B448" s="1" t="n">
        <v>45103</v>
      </c>
      <c r="C448" s="1" t="n">
        <v>46051</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28485-2023</t>
        </is>
      </c>
      <c r="B449" s="1" t="n">
        <v>45103.43731481482</v>
      </c>
      <c r="C449" s="1" t="n">
        <v>46051</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46051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44949-2023</t>
        </is>
      </c>
      <c r="B451" s="1" t="n">
        <v>45190.69520833333</v>
      </c>
      <c r="C451" s="1" t="n">
        <v>46051</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4662-2026</t>
        </is>
      </c>
      <c r="B452" s="1" t="n">
        <v>46048.40949074074</v>
      </c>
      <c r="C452" s="1" t="n">
        <v>46051</v>
      </c>
      <c r="D452" t="inlineStr">
        <is>
          <t>GOTLANDS LÄN</t>
        </is>
      </c>
      <c r="E452" t="inlineStr">
        <is>
          <t>GOTLAND</t>
        </is>
      </c>
      <c r="G452" t="n">
        <v>7.6</v>
      </c>
      <c r="H452" t="n">
        <v>0</v>
      </c>
      <c r="I452" t="n">
        <v>0</v>
      </c>
      <c r="J452" t="n">
        <v>0</v>
      </c>
      <c r="K452" t="n">
        <v>0</v>
      </c>
      <c r="L452" t="n">
        <v>0</v>
      </c>
      <c r="M452" t="n">
        <v>0</v>
      </c>
      <c r="N452" t="n">
        <v>0</v>
      </c>
      <c r="O452" t="n">
        <v>0</v>
      </c>
      <c r="P452" t="n">
        <v>0</v>
      </c>
      <c r="Q452" t="n">
        <v>0</v>
      </c>
      <c r="R452" s="2" t="inlineStr"/>
    </row>
    <row r="453" ht="15" customHeight="1">
      <c r="A453" t="inlineStr">
        <is>
          <t>A 4634-2026</t>
        </is>
      </c>
      <c r="B453" s="1" t="n">
        <v>46048.39304398148</v>
      </c>
      <c r="C453" s="1" t="n">
        <v>46051</v>
      </c>
      <c r="D453" t="inlineStr">
        <is>
          <t>GOTLANDS LÄN</t>
        </is>
      </c>
      <c r="E453" t="inlineStr">
        <is>
          <t>GOTLAND</t>
        </is>
      </c>
      <c r="G453" t="n">
        <v>7.8</v>
      </c>
      <c r="H453" t="n">
        <v>0</v>
      </c>
      <c r="I453" t="n">
        <v>0</v>
      </c>
      <c r="J453" t="n">
        <v>0</v>
      </c>
      <c r="K453" t="n">
        <v>0</v>
      </c>
      <c r="L453" t="n">
        <v>0</v>
      </c>
      <c r="M453" t="n">
        <v>0</v>
      </c>
      <c r="N453" t="n">
        <v>0</v>
      </c>
      <c r="O453" t="n">
        <v>0</v>
      </c>
      <c r="P453" t="n">
        <v>0</v>
      </c>
      <c r="Q453" t="n">
        <v>0</v>
      </c>
      <c r="R453" s="2" t="inlineStr"/>
    </row>
    <row r="454" ht="15" customHeight="1">
      <c r="A454" t="inlineStr">
        <is>
          <t>A 4646-2026</t>
        </is>
      </c>
      <c r="B454" s="1" t="n">
        <v>46048.40357638889</v>
      </c>
      <c r="C454" s="1" t="n">
        <v>46051</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46051</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4670-2026</t>
        </is>
      </c>
      <c r="B456" s="1" t="n">
        <v>46048.41733796296</v>
      </c>
      <c r="C456" s="1" t="n">
        <v>46051</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62066-2025</t>
        </is>
      </c>
      <c r="B457" s="1" t="n">
        <v>46006.34738425926</v>
      </c>
      <c r="C457" s="1" t="n">
        <v>46051</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46051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4639-2026</t>
        </is>
      </c>
      <c r="B459" s="1" t="n">
        <v>46048.39880787037</v>
      </c>
      <c r="C459" s="1" t="n">
        <v>46051</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45084-2024</t>
        </is>
      </c>
      <c r="B460" s="1" t="n">
        <v>45575</v>
      </c>
      <c r="C460" s="1" t="n">
        <v>46051</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62103-2025</t>
        </is>
      </c>
      <c r="B461" s="1" t="n">
        <v>46006</v>
      </c>
      <c r="C461" s="1" t="n">
        <v>46051</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62674-2025</t>
        </is>
      </c>
      <c r="B462" s="1" t="n">
        <v>46008</v>
      </c>
      <c r="C462" s="1" t="n">
        <v>46051</v>
      </c>
      <c r="D462" t="inlineStr">
        <is>
          <t>GOTLANDS LÄN</t>
        </is>
      </c>
      <c r="E462" t="inlineStr">
        <is>
          <t>GOTLAND</t>
        </is>
      </c>
      <c r="G462" t="n">
        <v>5</v>
      </c>
      <c r="H462" t="n">
        <v>0</v>
      </c>
      <c r="I462" t="n">
        <v>0</v>
      </c>
      <c r="J462" t="n">
        <v>0</v>
      </c>
      <c r="K462" t="n">
        <v>0</v>
      </c>
      <c r="L462" t="n">
        <v>0</v>
      </c>
      <c r="M462" t="n">
        <v>0</v>
      </c>
      <c r="N462" t="n">
        <v>0</v>
      </c>
      <c r="O462" t="n">
        <v>0</v>
      </c>
      <c r="P462" t="n">
        <v>0</v>
      </c>
      <c r="Q462" t="n">
        <v>0</v>
      </c>
      <c r="R462" s="2" t="inlineStr"/>
    </row>
    <row r="463" ht="15" customHeight="1">
      <c r="A463" t="inlineStr">
        <is>
          <t>A 62751-2025</t>
        </is>
      </c>
      <c r="B463" s="1" t="n">
        <v>46008</v>
      </c>
      <c r="C463" s="1" t="n">
        <v>46051</v>
      </c>
      <c r="D463" t="inlineStr">
        <is>
          <t>GOTLANDS LÄN</t>
        </is>
      </c>
      <c r="E463" t="inlineStr">
        <is>
          <t>GOTLAND</t>
        </is>
      </c>
      <c r="F463" t="inlineStr">
        <is>
          <t>Övriga Aktiebolag</t>
        </is>
      </c>
      <c r="G463" t="n">
        <v>7.8</v>
      </c>
      <c r="H463" t="n">
        <v>0</v>
      </c>
      <c r="I463" t="n">
        <v>0</v>
      </c>
      <c r="J463" t="n">
        <v>0</v>
      </c>
      <c r="K463" t="n">
        <v>0</v>
      </c>
      <c r="L463" t="n">
        <v>0</v>
      </c>
      <c r="M463" t="n">
        <v>0</v>
      </c>
      <c r="N463" t="n">
        <v>0</v>
      </c>
      <c r="O463" t="n">
        <v>0</v>
      </c>
      <c r="P463" t="n">
        <v>0</v>
      </c>
      <c r="Q463" t="n">
        <v>0</v>
      </c>
      <c r="R463" s="2" t="inlineStr"/>
    </row>
    <row r="464" ht="15" customHeight="1">
      <c r="A464" t="inlineStr">
        <is>
          <t>A 63000-2025</t>
        </is>
      </c>
      <c r="B464" s="1" t="n">
        <v>46009</v>
      </c>
      <c r="C464" s="1" t="n">
        <v>46051</v>
      </c>
      <c r="D464" t="inlineStr">
        <is>
          <t>GOTLANDS LÄN</t>
        </is>
      </c>
      <c r="E464" t="inlineStr">
        <is>
          <t>GOTLAND</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62754-2025</t>
        </is>
      </c>
      <c r="B465" s="1" t="n">
        <v>46008</v>
      </c>
      <c r="C465" s="1" t="n">
        <v>46051</v>
      </c>
      <c r="D465" t="inlineStr">
        <is>
          <t>GOTLANDS LÄN</t>
        </is>
      </c>
      <c r="E465" t="inlineStr">
        <is>
          <t>GOTLAND</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5217-2023</t>
        </is>
      </c>
      <c r="B466" s="1" t="n">
        <v>44959.39582175926</v>
      </c>
      <c r="C466" s="1" t="n">
        <v>46051</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1677-2023</t>
        </is>
      </c>
      <c r="B467" s="1" t="n">
        <v>44938</v>
      </c>
      <c r="C467" s="1" t="n">
        <v>46051</v>
      </c>
      <c r="D467" t="inlineStr">
        <is>
          <t>GOTLANDS LÄN</t>
        </is>
      </c>
      <c r="E467" t="inlineStr">
        <is>
          <t>GOTLAND</t>
        </is>
      </c>
      <c r="G467" t="n">
        <v>1.6</v>
      </c>
      <c r="H467" t="n">
        <v>0</v>
      </c>
      <c r="I467" t="n">
        <v>0</v>
      </c>
      <c r="J467" t="n">
        <v>0</v>
      </c>
      <c r="K467" t="n">
        <v>0</v>
      </c>
      <c r="L467" t="n">
        <v>0</v>
      </c>
      <c r="M467" t="n">
        <v>0</v>
      </c>
      <c r="N467" t="n">
        <v>0</v>
      </c>
      <c r="O467" t="n">
        <v>0</v>
      </c>
      <c r="P467" t="n">
        <v>0</v>
      </c>
      <c r="Q467" t="n">
        <v>0</v>
      </c>
      <c r="R467" s="2" t="inlineStr"/>
    </row>
    <row r="468" ht="15" customHeight="1">
      <c r="A468" t="inlineStr">
        <is>
          <t>A 62836-2025</t>
        </is>
      </c>
      <c r="B468" s="1" t="n">
        <v>46008</v>
      </c>
      <c r="C468" s="1" t="n">
        <v>46051</v>
      </c>
      <c r="D468" t="inlineStr">
        <is>
          <t>GOTLANDS LÄN</t>
        </is>
      </c>
      <c r="E468" t="inlineStr">
        <is>
          <t>GOTLAND</t>
        </is>
      </c>
      <c r="G468" t="n">
        <v>6.5</v>
      </c>
      <c r="H468" t="n">
        <v>0</v>
      </c>
      <c r="I468" t="n">
        <v>0</v>
      </c>
      <c r="J468" t="n">
        <v>0</v>
      </c>
      <c r="K468" t="n">
        <v>0</v>
      </c>
      <c r="L468" t="n">
        <v>0</v>
      </c>
      <c r="M468" t="n">
        <v>0</v>
      </c>
      <c r="N468" t="n">
        <v>0</v>
      </c>
      <c r="O468" t="n">
        <v>0</v>
      </c>
      <c r="P468" t="n">
        <v>0</v>
      </c>
      <c r="Q468" t="n">
        <v>0</v>
      </c>
      <c r="R468" s="2" t="inlineStr"/>
    </row>
    <row r="469" ht="15" customHeight="1">
      <c r="A469" t="inlineStr">
        <is>
          <t>A 63105-2025</t>
        </is>
      </c>
      <c r="B469" s="1" t="n">
        <v>46009</v>
      </c>
      <c r="C469" s="1" t="n">
        <v>46051</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63152-2025</t>
        </is>
      </c>
      <c r="B470" s="1" t="n">
        <v>46010</v>
      </c>
      <c r="C470" s="1" t="n">
        <v>46051</v>
      </c>
      <c r="D470" t="inlineStr">
        <is>
          <t>GOTLANDS LÄN</t>
        </is>
      </c>
      <c r="E470" t="inlineStr">
        <is>
          <t>GOTLAND</t>
        </is>
      </c>
      <c r="G470" t="n">
        <v>1.5</v>
      </c>
      <c r="H470" t="n">
        <v>0</v>
      </c>
      <c r="I470" t="n">
        <v>0</v>
      </c>
      <c r="J470" t="n">
        <v>0</v>
      </c>
      <c r="K470" t="n">
        <v>0</v>
      </c>
      <c r="L470" t="n">
        <v>0</v>
      </c>
      <c r="M470" t="n">
        <v>0</v>
      </c>
      <c r="N470" t="n">
        <v>0</v>
      </c>
      <c r="O470" t="n">
        <v>0</v>
      </c>
      <c r="P470" t="n">
        <v>0</v>
      </c>
      <c r="Q470" t="n">
        <v>0</v>
      </c>
      <c r="R470" s="2" t="inlineStr"/>
    </row>
    <row r="471" ht="15" customHeight="1">
      <c r="A471" t="inlineStr">
        <is>
          <t>A 47147-2025</t>
        </is>
      </c>
      <c r="B471" s="1" t="n">
        <v>45929</v>
      </c>
      <c r="C471" s="1" t="n">
        <v>46051</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45244-2024</t>
        </is>
      </c>
      <c r="B472" s="1" t="n">
        <v>45576</v>
      </c>
      <c r="C472" s="1" t="n">
        <v>46051</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8260-2023</t>
        </is>
      </c>
      <c r="B473" s="1" t="n">
        <v>44974.61608796296</v>
      </c>
      <c r="C473" s="1" t="n">
        <v>46051</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64969-2023</t>
        </is>
      </c>
      <c r="B474" s="1" t="n">
        <v>45284.54009259259</v>
      </c>
      <c r="C474" s="1" t="n">
        <v>46051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48843-2024</t>
        </is>
      </c>
      <c r="B475" s="1" t="n">
        <v>45593</v>
      </c>
      <c r="C475" s="1" t="n">
        <v>46051</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17541-2024</t>
        </is>
      </c>
      <c r="B476" s="1" t="n">
        <v>45415</v>
      </c>
      <c r="C476" s="1" t="n">
        <v>46051</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2241-2025</t>
        </is>
      </c>
      <c r="B477" s="1" t="n">
        <v>45673.48710648148</v>
      </c>
      <c r="C477" s="1" t="n">
        <v>46051</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15434-2024</t>
        </is>
      </c>
      <c r="B478" s="1" t="n">
        <v>45401.38836805556</v>
      </c>
      <c r="C478" s="1" t="n">
        <v>46051</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5943-2024</t>
        </is>
      </c>
      <c r="B479" s="1" t="n">
        <v>45336</v>
      </c>
      <c r="C479" s="1" t="n">
        <v>46051</v>
      </c>
      <c r="D479" t="inlineStr">
        <is>
          <t>GOTLANDS LÄN</t>
        </is>
      </c>
      <c r="E479" t="inlineStr">
        <is>
          <t>GOTLAND</t>
        </is>
      </c>
      <c r="G479" t="n">
        <v>4.3</v>
      </c>
      <c r="H479" t="n">
        <v>0</v>
      </c>
      <c r="I479" t="n">
        <v>0</v>
      </c>
      <c r="J479" t="n">
        <v>0</v>
      </c>
      <c r="K479" t="n">
        <v>0</v>
      </c>
      <c r="L479" t="n">
        <v>0</v>
      </c>
      <c r="M479" t="n">
        <v>0</v>
      </c>
      <c r="N479" t="n">
        <v>0</v>
      </c>
      <c r="O479" t="n">
        <v>0</v>
      </c>
      <c r="P479" t="n">
        <v>0</v>
      </c>
      <c r="Q479" t="n">
        <v>0</v>
      </c>
      <c r="R479" s="2" t="inlineStr"/>
    </row>
    <row r="480" ht="15" customHeight="1">
      <c r="A480" t="inlineStr">
        <is>
          <t>A 54073-2022</t>
        </is>
      </c>
      <c r="B480" s="1" t="n">
        <v>44881.50380787037</v>
      </c>
      <c r="C480" s="1" t="n">
        <v>46051</v>
      </c>
      <c r="D480" t="inlineStr">
        <is>
          <t>GOTLANDS LÄN</t>
        </is>
      </c>
      <c r="E480" t="inlineStr">
        <is>
          <t>GOTLAND</t>
        </is>
      </c>
      <c r="G480" t="n">
        <v>3.8</v>
      </c>
      <c r="H480" t="n">
        <v>0</v>
      </c>
      <c r="I480" t="n">
        <v>0</v>
      </c>
      <c r="J480" t="n">
        <v>0</v>
      </c>
      <c r="K480" t="n">
        <v>0</v>
      </c>
      <c r="L480" t="n">
        <v>0</v>
      </c>
      <c r="M480" t="n">
        <v>0</v>
      </c>
      <c r="N480" t="n">
        <v>0</v>
      </c>
      <c r="O480" t="n">
        <v>0</v>
      </c>
      <c r="P480" t="n">
        <v>0</v>
      </c>
      <c r="Q480" t="n">
        <v>0</v>
      </c>
      <c r="R480" s="2" t="inlineStr"/>
    </row>
    <row r="481" ht="15" customHeight="1">
      <c r="A481" t="inlineStr">
        <is>
          <t>A 16361-2024</t>
        </is>
      </c>
      <c r="B481" s="1" t="n">
        <v>45407</v>
      </c>
      <c r="C481" s="1" t="n">
        <v>46051</v>
      </c>
      <c r="D481" t="inlineStr">
        <is>
          <t>GOTLANDS LÄN</t>
        </is>
      </c>
      <c r="E481" t="inlineStr">
        <is>
          <t>GOTLAND</t>
        </is>
      </c>
      <c r="G481" t="n">
        <v>6</v>
      </c>
      <c r="H481" t="n">
        <v>0</v>
      </c>
      <c r="I481" t="n">
        <v>0</v>
      </c>
      <c r="J481" t="n">
        <v>0</v>
      </c>
      <c r="K481" t="n">
        <v>0</v>
      </c>
      <c r="L481" t="n">
        <v>0</v>
      </c>
      <c r="M481" t="n">
        <v>0</v>
      </c>
      <c r="N481" t="n">
        <v>0</v>
      </c>
      <c r="O481" t="n">
        <v>0</v>
      </c>
      <c r="P481" t="n">
        <v>0</v>
      </c>
      <c r="Q481" t="n">
        <v>0</v>
      </c>
      <c r="R481" s="2" t="inlineStr"/>
    </row>
    <row r="482" ht="15" customHeight="1">
      <c r="A482" t="inlineStr">
        <is>
          <t>A 41038-2023</t>
        </is>
      </c>
      <c r="B482" s="1" t="n">
        <v>45173.60959490741</v>
      </c>
      <c r="C482" s="1" t="n">
        <v>46051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14427-2024</t>
        </is>
      </c>
      <c r="B483" s="1" t="n">
        <v>45394</v>
      </c>
      <c r="C483" s="1" t="n">
        <v>46051</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31802-2024</t>
        </is>
      </c>
      <c r="B484" s="1" t="n">
        <v>45509</v>
      </c>
      <c r="C484" s="1" t="n">
        <v>46051</v>
      </c>
      <c r="D484" t="inlineStr">
        <is>
          <t>GOTLANDS LÄN</t>
        </is>
      </c>
      <c r="E484" t="inlineStr">
        <is>
          <t>GOTLAND</t>
        </is>
      </c>
      <c r="G484" t="n">
        <v>2.8</v>
      </c>
      <c r="H484" t="n">
        <v>0</v>
      </c>
      <c r="I484" t="n">
        <v>0</v>
      </c>
      <c r="J484" t="n">
        <v>0</v>
      </c>
      <c r="K484" t="n">
        <v>0</v>
      </c>
      <c r="L484" t="n">
        <v>0</v>
      </c>
      <c r="M484" t="n">
        <v>0</v>
      </c>
      <c r="N484" t="n">
        <v>0</v>
      </c>
      <c r="O484" t="n">
        <v>0</v>
      </c>
      <c r="P484" t="n">
        <v>0</v>
      </c>
      <c r="Q484" t="n">
        <v>0</v>
      </c>
      <c r="R484" s="2" t="inlineStr"/>
    </row>
    <row r="485" ht="15" customHeight="1">
      <c r="A485" t="inlineStr">
        <is>
          <t>A 8036-2022</t>
        </is>
      </c>
      <c r="B485" s="1" t="n">
        <v>44609.44362268518</v>
      </c>
      <c r="C485" s="1" t="n">
        <v>46051</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12846-2025</t>
        </is>
      </c>
      <c r="B486" s="1" t="n">
        <v>45733.65049768519</v>
      </c>
      <c r="C486" s="1" t="n">
        <v>46051</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46949-2024</t>
        </is>
      </c>
      <c r="B487" s="1" t="n">
        <v>45585</v>
      </c>
      <c r="C487" s="1" t="n">
        <v>46051</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10650-2022</t>
        </is>
      </c>
      <c r="B488" s="1" t="n">
        <v>44624.57945601852</v>
      </c>
      <c r="C488" s="1" t="n">
        <v>46051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11634-2024</t>
        </is>
      </c>
      <c r="B489" s="1" t="n">
        <v>45373</v>
      </c>
      <c r="C489" s="1" t="n">
        <v>46051</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1351-2025</t>
        </is>
      </c>
      <c r="B490" s="1" t="n">
        <v>45667.62246527777</v>
      </c>
      <c r="C490" s="1" t="n">
        <v>46051</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39496-2022</t>
        </is>
      </c>
      <c r="B491" s="1" t="n">
        <v>44818</v>
      </c>
      <c r="C491" s="1" t="n">
        <v>46051</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49874-2024</t>
        </is>
      </c>
      <c r="B492" s="1" t="n">
        <v>45597.49274305555</v>
      </c>
      <c r="C492" s="1" t="n">
        <v>46051</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42201-2023</t>
        </is>
      </c>
      <c r="B493" s="1" t="n">
        <v>45179</v>
      </c>
      <c r="C493" s="1" t="n">
        <v>46051</v>
      </c>
      <c r="D493" t="inlineStr">
        <is>
          <t>GOTLANDS LÄN</t>
        </is>
      </c>
      <c r="E493" t="inlineStr">
        <is>
          <t>GOTLAND</t>
        </is>
      </c>
      <c r="G493" t="n">
        <v>11.9</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46051</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9875-2025</t>
        </is>
      </c>
      <c r="B495" s="1" t="n">
        <v>45716</v>
      </c>
      <c r="C495" s="1" t="n">
        <v>46051</v>
      </c>
      <c r="D495" t="inlineStr">
        <is>
          <t>GOTLANDS LÄN</t>
        </is>
      </c>
      <c r="E495" t="inlineStr">
        <is>
          <t>GOTLAND</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21164-2024</t>
        </is>
      </c>
      <c r="B496" s="1" t="n">
        <v>45440</v>
      </c>
      <c r="C496" s="1" t="n">
        <v>46051</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8045-2022</t>
        </is>
      </c>
      <c r="B497" s="1" t="n">
        <v>44609</v>
      </c>
      <c r="C497" s="1" t="n">
        <v>46051</v>
      </c>
      <c r="D497" t="inlineStr">
        <is>
          <t>GOTLANDS LÄN</t>
        </is>
      </c>
      <c r="E497" t="inlineStr">
        <is>
          <t>GOTLAND</t>
        </is>
      </c>
      <c r="G497" t="n">
        <v>7</v>
      </c>
      <c r="H497" t="n">
        <v>0</v>
      </c>
      <c r="I497" t="n">
        <v>0</v>
      </c>
      <c r="J497" t="n">
        <v>0</v>
      </c>
      <c r="K497" t="n">
        <v>0</v>
      </c>
      <c r="L497" t="n">
        <v>0</v>
      </c>
      <c r="M497" t="n">
        <v>0</v>
      </c>
      <c r="N497" t="n">
        <v>0</v>
      </c>
      <c r="O497" t="n">
        <v>0</v>
      </c>
      <c r="P497" t="n">
        <v>0</v>
      </c>
      <c r="Q497" t="n">
        <v>0</v>
      </c>
      <c r="R497" s="2" t="inlineStr"/>
    </row>
    <row r="498" ht="15" customHeight="1">
      <c r="A498" t="inlineStr">
        <is>
          <t>A 22897-2023</t>
        </is>
      </c>
      <c r="B498" s="1" t="n">
        <v>45072.55239583334</v>
      </c>
      <c r="C498" s="1" t="n">
        <v>46051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61897-2024</t>
        </is>
      </c>
      <c r="B499" s="1" t="n">
        <v>45652.75685185185</v>
      </c>
      <c r="C499" s="1" t="n">
        <v>46051</v>
      </c>
      <c r="D499" t="inlineStr">
        <is>
          <t>GOTLANDS LÄN</t>
        </is>
      </c>
      <c r="E499" t="inlineStr">
        <is>
          <t>GOTLAND</t>
        </is>
      </c>
      <c r="G499" t="n">
        <v>6.4</v>
      </c>
      <c r="H499" t="n">
        <v>0</v>
      </c>
      <c r="I499" t="n">
        <v>0</v>
      </c>
      <c r="J499" t="n">
        <v>0</v>
      </c>
      <c r="K499" t="n">
        <v>0</v>
      </c>
      <c r="L499" t="n">
        <v>0</v>
      </c>
      <c r="M499" t="n">
        <v>0</v>
      </c>
      <c r="N499" t="n">
        <v>0</v>
      </c>
      <c r="O499" t="n">
        <v>0</v>
      </c>
      <c r="P499" t="n">
        <v>0</v>
      </c>
      <c r="Q499" t="n">
        <v>0</v>
      </c>
      <c r="R499" s="2" t="inlineStr"/>
    </row>
    <row r="500" ht="15" customHeight="1">
      <c r="A500" t="inlineStr">
        <is>
          <t>A 49962-2023</t>
        </is>
      </c>
      <c r="B500" s="1" t="n">
        <v>45215.38775462963</v>
      </c>
      <c r="C500" s="1" t="n">
        <v>46051</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20165-2022</t>
        </is>
      </c>
      <c r="B501" s="1" t="n">
        <v>44698.49854166667</v>
      </c>
      <c r="C501" s="1" t="n">
        <v>46051</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40294-2022</t>
        </is>
      </c>
      <c r="B502" s="1" t="n">
        <v>44821</v>
      </c>
      <c r="C502" s="1" t="n">
        <v>46051</v>
      </c>
      <c r="D502" t="inlineStr">
        <is>
          <t>GOTLANDS LÄN</t>
        </is>
      </c>
      <c r="E502" t="inlineStr">
        <is>
          <t>GOTLAND</t>
        </is>
      </c>
      <c r="G502" t="n">
        <v>1.6</v>
      </c>
      <c r="H502" t="n">
        <v>0</v>
      </c>
      <c r="I502" t="n">
        <v>0</v>
      </c>
      <c r="J502" t="n">
        <v>0</v>
      </c>
      <c r="K502" t="n">
        <v>0</v>
      </c>
      <c r="L502" t="n">
        <v>0</v>
      </c>
      <c r="M502" t="n">
        <v>0</v>
      </c>
      <c r="N502" t="n">
        <v>0</v>
      </c>
      <c r="O502" t="n">
        <v>0</v>
      </c>
      <c r="P502" t="n">
        <v>0</v>
      </c>
      <c r="Q502" t="n">
        <v>0</v>
      </c>
      <c r="R502" s="2" t="inlineStr"/>
    </row>
    <row r="503" ht="15" customHeight="1">
      <c r="A503" t="inlineStr">
        <is>
          <t>A 12032-2025</t>
        </is>
      </c>
      <c r="B503" s="1" t="n">
        <v>45728.64472222222</v>
      </c>
      <c r="C503" s="1" t="n">
        <v>46051</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38787-2023</t>
        </is>
      </c>
      <c r="B504" s="1" t="n">
        <v>45163</v>
      </c>
      <c r="C504" s="1" t="n">
        <v>46051</v>
      </c>
      <c r="D504" t="inlineStr">
        <is>
          <t>GOTLANDS LÄN</t>
        </is>
      </c>
      <c r="E504" t="inlineStr">
        <is>
          <t>GOTLAND</t>
        </is>
      </c>
      <c r="G504" t="n">
        <v>0.4</v>
      </c>
      <c r="H504" t="n">
        <v>0</v>
      </c>
      <c r="I504" t="n">
        <v>0</v>
      </c>
      <c r="J504" t="n">
        <v>0</v>
      </c>
      <c r="K504" t="n">
        <v>0</v>
      </c>
      <c r="L504" t="n">
        <v>0</v>
      </c>
      <c r="M504" t="n">
        <v>0</v>
      </c>
      <c r="N504" t="n">
        <v>0</v>
      </c>
      <c r="O504" t="n">
        <v>0</v>
      </c>
      <c r="P504" t="n">
        <v>0</v>
      </c>
      <c r="Q504" t="n">
        <v>0</v>
      </c>
      <c r="R504" s="2" t="inlineStr"/>
    </row>
    <row r="505" ht="15" customHeight="1">
      <c r="A505" t="inlineStr">
        <is>
          <t>A 43231-2023</t>
        </is>
      </c>
      <c r="B505" s="1" t="n">
        <v>45183.47025462963</v>
      </c>
      <c r="C505" s="1" t="n">
        <v>46051</v>
      </c>
      <c r="D505" t="inlineStr">
        <is>
          <t>GOTLANDS LÄN</t>
        </is>
      </c>
      <c r="E505" t="inlineStr">
        <is>
          <t>GOTLAND</t>
        </is>
      </c>
      <c r="G505" t="n">
        <v>3.6</v>
      </c>
      <c r="H505" t="n">
        <v>0</v>
      </c>
      <c r="I505" t="n">
        <v>0</v>
      </c>
      <c r="J505" t="n">
        <v>0</v>
      </c>
      <c r="K505" t="n">
        <v>0</v>
      </c>
      <c r="L505" t="n">
        <v>0</v>
      </c>
      <c r="M505" t="n">
        <v>0</v>
      </c>
      <c r="N505" t="n">
        <v>0</v>
      </c>
      <c r="O505" t="n">
        <v>0</v>
      </c>
      <c r="P505" t="n">
        <v>0</v>
      </c>
      <c r="Q505" t="n">
        <v>0</v>
      </c>
      <c r="R505" s="2" t="inlineStr"/>
    </row>
    <row r="506" ht="15" customHeight="1">
      <c r="A506" t="inlineStr">
        <is>
          <t>A 17532-2024</t>
        </is>
      </c>
      <c r="B506" s="1" t="n">
        <v>45415</v>
      </c>
      <c r="C506" s="1" t="n">
        <v>46051</v>
      </c>
      <c r="D506" t="inlineStr">
        <is>
          <t>GOTLANDS LÄN</t>
        </is>
      </c>
      <c r="E506" t="inlineStr">
        <is>
          <t>GOTLAND</t>
        </is>
      </c>
      <c r="G506" t="n">
        <v>4.3</v>
      </c>
      <c r="H506" t="n">
        <v>0</v>
      </c>
      <c r="I506" t="n">
        <v>0</v>
      </c>
      <c r="J506" t="n">
        <v>0</v>
      </c>
      <c r="K506" t="n">
        <v>0</v>
      </c>
      <c r="L506" t="n">
        <v>0</v>
      </c>
      <c r="M506" t="n">
        <v>0</v>
      </c>
      <c r="N506" t="n">
        <v>0</v>
      </c>
      <c r="O506" t="n">
        <v>0</v>
      </c>
      <c r="P506" t="n">
        <v>0</v>
      </c>
      <c r="Q506" t="n">
        <v>0</v>
      </c>
      <c r="R506" s="2" t="inlineStr"/>
    </row>
    <row r="507" ht="15" customHeight="1">
      <c r="A507" t="inlineStr">
        <is>
          <t>A 3935-2025</t>
        </is>
      </c>
      <c r="B507" s="1" t="n">
        <v>45684.46070601852</v>
      </c>
      <c r="C507" s="1" t="n">
        <v>46051</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20225-2025</t>
        </is>
      </c>
      <c r="B508" s="1" t="n">
        <v>45772.65802083333</v>
      </c>
      <c r="C508" s="1" t="n">
        <v>46051</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883-2025</t>
        </is>
      </c>
      <c r="B509" s="1" t="n">
        <v>45665</v>
      </c>
      <c r="C509" s="1" t="n">
        <v>46051</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1066-2024</t>
        </is>
      </c>
      <c r="B510" s="1" t="n">
        <v>45302.285</v>
      </c>
      <c r="C510" s="1" t="n">
        <v>46051</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46051</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56009-2024</t>
        </is>
      </c>
      <c r="B512" s="1" t="n">
        <v>45623.80864583333</v>
      </c>
      <c r="C512" s="1" t="n">
        <v>46051</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42338-2023</t>
        </is>
      </c>
      <c r="B513" s="1" t="n">
        <v>45180</v>
      </c>
      <c r="C513" s="1" t="n">
        <v>46051</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581-2023</t>
        </is>
      </c>
      <c r="B514" s="1" t="n">
        <v>44930</v>
      </c>
      <c r="C514" s="1" t="n">
        <v>46051</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61386-2023</t>
        </is>
      </c>
      <c r="B515" s="1" t="n">
        <v>45264</v>
      </c>
      <c r="C515" s="1" t="n">
        <v>46051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873-2024</t>
        </is>
      </c>
      <c r="B516" s="1" t="n">
        <v>45301</v>
      </c>
      <c r="C516" s="1" t="n">
        <v>46051</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49411-2023</t>
        </is>
      </c>
      <c r="B517" s="1" t="n">
        <v>45205</v>
      </c>
      <c r="C517" s="1" t="n">
        <v>46051</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22275-2023</t>
        </is>
      </c>
      <c r="B518" s="1" t="n">
        <v>45070.39875</v>
      </c>
      <c r="C518" s="1" t="n">
        <v>46051</v>
      </c>
      <c r="D518" t="inlineStr">
        <is>
          <t>GOTLANDS LÄN</t>
        </is>
      </c>
      <c r="E518" t="inlineStr">
        <is>
          <t>GOTLAND</t>
        </is>
      </c>
      <c r="G518" t="n">
        <v>7.2</v>
      </c>
      <c r="H518" t="n">
        <v>0</v>
      </c>
      <c r="I518" t="n">
        <v>0</v>
      </c>
      <c r="J518" t="n">
        <v>0</v>
      </c>
      <c r="K518" t="n">
        <v>0</v>
      </c>
      <c r="L518" t="n">
        <v>0</v>
      </c>
      <c r="M518" t="n">
        <v>0</v>
      </c>
      <c r="N518" t="n">
        <v>0</v>
      </c>
      <c r="O518" t="n">
        <v>0</v>
      </c>
      <c r="P518" t="n">
        <v>0</v>
      </c>
      <c r="Q518" t="n">
        <v>0</v>
      </c>
      <c r="R518" s="2" t="inlineStr"/>
    </row>
    <row r="519" ht="15" customHeight="1">
      <c r="A519" t="inlineStr">
        <is>
          <t>A 12322-2025</t>
        </is>
      </c>
      <c r="B519" s="1" t="n">
        <v>45730</v>
      </c>
      <c r="C519" s="1" t="n">
        <v>46051</v>
      </c>
      <c r="D519" t="inlineStr">
        <is>
          <t>GOTLANDS LÄN</t>
        </is>
      </c>
      <c r="E519" t="inlineStr">
        <is>
          <t>GOTLAND</t>
        </is>
      </c>
      <c r="G519" t="n">
        <v>1.4</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46051</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999-2024</t>
        </is>
      </c>
      <c r="B521" s="1" t="n">
        <v>45301</v>
      </c>
      <c r="C521" s="1" t="n">
        <v>46051</v>
      </c>
      <c r="D521" t="inlineStr">
        <is>
          <t>GOTLANDS LÄN</t>
        </is>
      </c>
      <c r="E521" t="inlineStr">
        <is>
          <t>GOTLAND</t>
        </is>
      </c>
      <c r="G521" t="n">
        <v>1</v>
      </c>
      <c r="H521" t="n">
        <v>0</v>
      </c>
      <c r="I521" t="n">
        <v>0</v>
      </c>
      <c r="J521" t="n">
        <v>0</v>
      </c>
      <c r="K521" t="n">
        <v>0</v>
      </c>
      <c r="L521" t="n">
        <v>0</v>
      </c>
      <c r="M521" t="n">
        <v>0</v>
      </c>
      <c r="N521" t="n">
        <v>0</v>
      </c>
      <c r="O521" t="n">
        <v>0</v>
      </c>
      <c r="P521" t="n">
        <v>0</v>
      </c>
      <c r="Q521" t="n">
        <v>0</v>
      </c>
      <c r="R521" s="2" t="inlineStr"/>
    </row>
    <row r="522" ht="15" customHeight="1">
      <c r="A522" t="inlineStr">
        <is>
          <t>A 61596-2023</t>
        </is>
      </c>
      <c r="B522" s="1" t="n">
        <v>45265</v>
      </c>
      <c r="C522" s="1" t="n">
        <v>46051</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14638-2025</t>
        </is>
      </c>
      <c r="B523" s="1" t="n">
        <v>45742</v>
      </c>
      <c r="C523" s="1" t="n">
        <v>46051</v>
      </c>
      <c r="D523" t="inlineStr">
        <is>
          <t>GOTLANDS LÄN</t>
        </is>
      </c>
      <c r="E523" t="inlineStr">
        <is>
          <t>GOTLAND</t>
        </is>
      </c>
      <c r="G523" t="n">
        <v>13.4</v>
      </c>
      <c r="H523" t="n">
        <v>0</v>
      </c>
      <c r="I523" t="n">
        <v>0</v>
      </c>
      <c r="J523" t="n">
        <v>0</v>
      </c>
      <c r="K523" t="n">
        <v>0</v>
      </c>
      <c r="L523" t="n">
        <v>0</v>
      </c>
      <c r="M523" t="n">
        <v>0</v>
      </c>
      <c r="N523" t="n">
        <v>0</v>
      </c>
      <c r="O523" t="n">
        <v>0</v>
      </c>
      <c r="P523" t="n">
        <v>0</v>
      </c>
      <c r="Q523" t="n">
        <v>0</v>
      </c>
      <c r="R523" s="2" t="inlineStr"/>
    </row>
    <row r="524" ht="15" customHeight="1">
      <c r="A524" t="inlineStr">
        <is>
          <t>A 60675-2021</t>
        </is>
      </c>
      <c r="B524" s="1" t="n">
        <v>44496.64855324074</v>
      </c>
      <c r="C524" s="1" t="n">
        <v>46051</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37728-2024</t>
        </is>
      </c>
      <c r="B525" s="1" t="n">
        <v>45541</v>
      </c>
      <c r="C525" s="1" t="n">
        <v>46051</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22287-2022</t>
        </is>
      </c>
      <c r="B526" s="1" t="n">
        <v>44712</v>
      </c>
      <c r="C526" s="1" t="n">
        <v>46051</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46051</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65249-2023</t>
        </is>
      </c>
      <c r="B528" s="1" t="n">
        <v>45290</v>
      </c>
      <c r="C528" s="1" t="n">
        <v>46051</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13910-2025</t>
        </is>
      </c>
      <c r="B529" s="1" t="n">
        <v>45737</v>
      </c>
      <c r="C529" s="1" t="n">
        <v>46051</v>
      </c>
      <c r="D529" t="inlineStr">
        <is>
          <t>GOTLANDS LÄN</t>
        </is>
      </c>
      <c r="E529" t="inlineStr">
        <is>
          <t>GOTLAND</t>
        </is>
      </c>
      <c r="F529" t="inlineStr">
        <is>
          <t>Kommuner</t>
        </is>
      </c>
      <c r="G529" t="n">
        <v>3.2</v>
      </c>
      <c r="H529" t="n">
        <v>0</v>
      </c>
      <c r="I529" t="n">
        <v>0</v>
      </c>
      <c r="J529" t="n">
        <v>0</v>
      </c>
      <c r="K529" t="n">
        <v>0</v>
      </c>
      <c r="L529" t="n">
        <v>0</v>
      </c>
      <c r="M529" t="n">
        <v>0</v>
      </c>
      <c r="N529" t="n">
        <v>0</v>
      </c>
      <c r="O529" t="n">
        <v>0</v>
      </c>
      <c r="P529" t="n">
        <v>0</v>
      </c>
      <c r="Q529" t="n">
        <v>0</v>
      </c>
      <c r="R529" s="2" t="inlineStr"/>
    </row>
    <row r="530" ht="15" customHeight="1">
      <c r="A530" t="inlineStr">
        <is>
          <t>A 17780-2022</t>
        </is>
      </c>
      <c r="B530" s="1" t="n">
        <v>44682.82622685185</v>
      </c>
      <c r="C530" s="1" t="n">
        <v>46051</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59986-2022</t>
        </is>
      </c>
      <c r="B531" s="1" t="n">
        <v>44909</v>
      </c>
      <c r="C531" s="1" t="n">
        <v>46051</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14536-2021</t>
        </is>
      </c>
      <c r="B532" s="1" t="n">
        <v>44279.66168981481</v>
      </c>
      <c r="C532" s="1" t="n">
        <v>46051</v>
      </c>
      <c r="D532" t="inlineStr">
        <is>
          <t>GOTLANDS LÄN</t>
        </is>
      </c>
      <c r="E532" t="inlineStr">
        <is>
          <t>GOTLAND</t>
        </is>
      </c>
      <c r="G532" t="n">
        <v>8.5</v>
      </c>
      <c r="H532" t="n">
        <v>0</v>
      </c>
      <c r="I532" t="n">
        <v>0</v>
      </c>
      <c r="J532" t="n">
        <v>0</v>
      </c>
      <c r="K532" t="n">
        <v>0</v>
      </c>
      <c r="L532" t="n">
        <v>0</v>
      </c>
      <c r="M532" t="n">
        <v>0</v>
      </c>
      <c r="N532" t="n">
        <v>0</v>
      </c>
      <c r="O532" t="n">
        <v>0</v>
      </c>
      <c r="P532" t="n">
        <v>0</v>
      </c>
      <c r="Q532" t="n">
        <v>0</v>
      </c>
      <c r="R532" s="2" t="inlineStr"/>
    </row>
    <row r="533" ht="15" customHeight="1">
      <c r="A533" t="inlineStr">
        <is>
          <t>A 11874-2024</t>
        </is>
      </c>
      <c r="B533" s="1" t="n">
        <v>45376.46956018519</v>
      </c>
      <c r="C533" s="1" t="n">
        <v>46051</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42041-2024</t>
        </is>
      </c>
      <c r="B534" s="1" t="n">
        <v>45561</v>
      </c>
      <c r="C534" s="1" t="n">
        <v>46051</v>
      </c>
      <c r="D534" t="inlineStr">
        <is>
          <t>GOTLANDS LÄN</t>
        </is>
      </c>
      <c r="E534" t="inlineStr">
        <is>
          <t>GOTLAND</t>
        </is>
      </c>
      <c r="G534" t="n">
        <v>3.2</v>
      </c>
      <c r="H534" t="n">
        <v>0</v>
      </c>
      <c r="I534" t="n">
        <v>0</v>
      </c>
      <c r="J534" t="n">
        <v>0</v>
      </c>
      <c r="K534" t="n">
        <v>0</v>
      </c>
      <c r="L534" t="n">
        <v>0</v>
      </c>
      <c r="M534" t="n">
        <v>0</v>
      </c>
      <c r="N534" t="n">
        <v>0</v>
      </c>
      <c r="O534" t="n">
        <v>0</v>
      </c>
      <c r="P534" t="n">
        <v>0</v>
      </c>
      <c r="Q534" t="n">
        <v>0</v>
      </c>
      <c r="R534" s="2" t="inlineStr"/>
    </row>
    <row r="535" ht="15" customHeight="1">
      <c r="A535" t="inlineStr">
        <is>
          <t>A 61694-2023</t>
        </is>
      </c>
      <c r="B535" s="1" t="n">
        <v>45264</v>
      </c>
      <c r="C535" s="1" t="n">
        <v>46051</v>
      </c>
      <c r="D535" t="inlineStr">
        <is>
          <t>GOTLANDS LÄN</t>
        </is>
      </c>
      <c r="E535" t="inlineStr">
        <is>
          <t>GOTLAND</t>
        </is>
      </c>
      <c r="G535" t="n">
        <v>4.6</v>
      </c>
      <c r="H535" t="n">
        <v>0</v>
      </c>
      <c r="I535" t="n">
        <v>0</v>
      </c>
      <c r="J535" t="n">
        <v>0</v>
      </c>
      <c r="K535" t="n">
        <v>0</v>
      </c>
      <c r="L535" t="n">
        <v>0</v>
      </c>
      <c r="M535" t="n">
        <v>0</v>
      </c>
      <c r="N535" t="n">
        <v>0</v>
      </c>
      <c r="O535" t="n">
        <v>0</v>
      </c>
      <c r="P535" t="n">
        <v>0</v>
      </c>
      <c r="Q535" t="n">
        <v>0</v>
      </c>
      <c r="R535" s="2" t="inlineStr"/>
    </row>
    <row r="536" ht="15" customHeight="1">
      <c r="A536" t="inlineStr">
        <is>
          <t>A 64555-2023</t>
        </is>
      </c>
      <c r="B536" s="1" t="n">
        <v>45281</v>
      </c>
      <c r="C536" s="1" t="n">
        <v>46051</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64831-2023</t>
        </is>
      </c>
      <c r="B537" s="1" t="n">
        <v>45282.44924768519</v>
      </c>
      <c r="C537" s="1" t="n">
        <v>46051</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14804-2021</t>
        </is>
      </c>
      <c r="B538" s="1" t="n">
        <v>44280</v>
      </c>
      <c r="C538" s="1" t="n">
        <v>46051</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46051</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27602-2023</t>
        </is>
      </c>
      <c r="B540" s="1" t="n">
        <v>45097</v>
      </c>
      <c r="C540" s="1" t="n">
        <v>46051</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4377-2023</t>
        </is>
      </c>
      <c r="B541" s="1" t="n">
        <v>44955.5502662037</v>
      </c>
      <c r="C541" s="1" t="n">
        <v>46051</v>
      </c>
      <c r="D541" t="inlineStr">
        <is>
          <t>GOTLANDS LÄN</t>
        </is>
      </c>
      <c r="E541" t="inlineStr">
        <is>
          <t>GOTLAND</t>
        </is>
      </c>
      <c r="F541" t="inlineStr">
        <is>
          <t>Kyrkan</t>
        </is>
      </c>
      <c r="G541" t="n">
        <v>0.6</v>
      </c>
      <c r="H541" t="n">
        <v>0</v>
      </c>
      <c r="I541" t="n">
        <v>0</v>
      </c>
      <c r="J541" t="n">
        <v>0</v>
      </c>
      <c r="K541" t="n">
        <v>0</v>
      </c>
      <c r="L541" t="n">
        <v>0</v>
      </c>
      <c r="M541" t="n">
        <v>0</v>
      </c>
      <c r="N541" t="n">
        <v>0</v>
      </c>
      <c r="O541" t="n">
        <v>0</v>
      </c>
      <c r="P541" t="n">
        <v>0</v>
      </c>
      <c r="Q541" t="n">
        <v>0</v>
      </c>
      <c r="R541" s="2" t="inlineStr"/>
    </row>
    <row r="542" ht="15" customHeight="1">
      <c r="A542" t="inlineStr">
        <is>
          <t>A 4387-2023</t>
        </is>
      </c>
      <c r="B542" s="1" t="n">
        <v>44955.73359953704</v>
      </c>
      <c r="C542" s="1" t="n">
        <v>46051</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39479-2022</t>
        </is>
      </c>
      <c r="B543" s="1" t="n">
        <v>44818</v>
      </c>
      <c r="C543" s="1" t="n">
        <v>46051</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51963-2024</t>
        </is>
      </c>
      <c r="B544" s="1" t="n">
        <v>45607.64833333333</v>
      </c>
      <c r="C544" s="1" t="n">
        <v>46051</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811-2023</t>
        </is>
      </c>
      <c r="B545" s="1" t="n">
        <v>44931</v>
      </c>
      <c r="C545" s="1" t="n">
        <v>46051</v>
      </c>
      <c r="D545" t="inlineStr">
        <is>
          <t>GOTLANDS LÄN</t>
        </is>
      </c>
      <c r="E545" t="inlineStr">
        <is>
          <t>GOTLAND</t>
        </is>
      </c>
      <c r="G545" t="n">
        <v>0.6</v>
      </c>
      <c r="H545" t="n">
        <v>0</v>
      </c>
      <c r="I545" t="n">
        <v>0</v>
      </c>
      <c r="J545" t="n">
        <v>0</v>
      </c>
      <c r="K545" t="n">
        <v>0</v>
      </c>
      <c r="L545" t="n">
        <v>0</v>
      </c>
      <c r="M545" t="n">
        <v>0</v>
      </c>
      <c r="N545" t="n">
        <v>0</v>
      </c>
      <c r="O545" t="n">
        <v>0</v>
      </c>
      <c r="P545" t="n">
        <v>0</v>
      </c>
      <c r="Q545" t="n">
        <v>0</v>
      </c>
      <c r="R545" s="2" t="inlineStr"/>
    </row>
    <row r="546" ht="15" customHeight="1">
      <c r="A546" t="inlineStr">
        <is>
          <t>A 46389-2021</t>
        </is>
      </c>
      <c r="B546" s="1" t="n">
        <v>44443</v>
      </c>
      <c r="C546" s="1" t="n">
        <v>46051</v>
      </c>
      <c r="D546" t="inlineStr">
        <is>
          <t>GOTLANDS LÄN</t>
        </is>
      </c>
      <c r="E546" t="inlineStr">
        <is>
          <t>GOTLAND</t>
        </is>
      </c>
      <c r="F546" t="inlineStr">
        <is>
          <t>Kyrkan</t>
        </is>
      </c>
      <c r="G546" t="n">
        <v>2.1</v>
      </c>
      <c r="H546" t="n">
        <v>0</v>
      </c>
      <c r="I546" t="n">
        <v>0</v>
      </c>
      <c r="J546" t="n">
        <v>0</v>
      </c>
      <c r="K546" t="n">
        <v>0</v>
      </c>
      <c r="L546" t="n">
        <v>0</v>
      </c>
      <c r="M546" t="n">
        <v>0</v>
      </c>
      <c r="N546" t="n">
        <v>0</v>
      </c>
      <c r="O546" t="n">
        <v>0</v>
      </c>
      <c r="P546" t="n">
        <v>0</v>
      </c>
      <c r="Q546" t="n">
        <v>0</v>
      </c>
      <c r="R546" s="2" t="inlineStr"/>
    </row>
    <row r="547" ht="15" customHeight="1">
      <c r="A547" t="inlineStr">
        <is>
          <t>A 26810-2021</t>
        </is>
      </c>
      <c r="B547" s="1" t="n">
        <v>44349.55087962963</v>
      </c>
      <c r="C547" s="1" t="n">
        <v>46051</v>
      </c>
      <c r="D547" t="inlineStr">
        <is>
          <t>GOTLANDS LÄN</t>
        </is>
      </c>
      <c r="E547" t="inlineStr">
        <is>
          <t>GOTLAND</t>
        </is>
      </c>
      <c r="G547" t="n">
        <v>3.5</v>
      </c>
      <c r="H547" t="n">
        <v>0</v>
      </c>
      <c r="I547" t="n">
        <v>0</v>
      </c>
      <c r="J547" t="n">
        <v>0</v>
      </c>
      <c r="K547" t="n">
        <v>0</v>
      </c>
      <c r="L547" t="n">
        <v>0</v>
      </c>
      <c r="M547" t="n">
        <v>0</v>
      </c>
      <c r="N547" t="n">
        <v>0</v>
      </c>
      <c r="O547" t="n">
        <v>0</v>
      </c>
      <c r="P547" t="n">
        <v>0</v>
      </c>
      <c r="Q547" t="n">
        <v>0</v>
      </c>
      <c r="R547" s="2" t="inlineStr"/>
    </row>
    <row r="548" ht="15" customHeight="1">
      <c r="A548" t="inlineStr">
        <is>
          <t>A 5923-2023</t>
        </is>
      </c>
      <c r="B548" s="1" t="n">
        <v>44963.69503472222</v>
      </c>
      <c r="C548" s="1" t="n">
        <v>46051</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33853-2024</t>
        </is>
      </c>
      <c r="B549" s="1" t="n">
        <v>45520.64298611111</v>
      </c>
      <c r="C549" s="1" t="n">
        <v>46051</v>
      </c>
      <c r="D549" t="inlineStr">
        <is>
          <t>GOTLANDS LÄN</t>
        </is>
      </c>
      <c r="E549" t="inlineStr">
        <is>
          <t>GOTLAND</t>
        </is>
      </c>
      <c r="G549" t="n">
        <v>3.9</v>
      </c>
      <c r="H549" t="n">
        <v>0</v>
      </c>
      <c r="I549" t="n">
        <v>0</v>
      </c>
      <c r="J549" t="n">
        <v>0</v>
      </c>
      <c r="K549" t="n">
        <v>0</v>
      </c>
      <c r="L549" t="n">
        <v>0</v>
      </c>
      <c r="M549" t="n">
        <v>0</v>
      </c>
      <c r="N549" t="n">
        <v>0</v>
      </c>
      <c r="O549" t="n">
        <v>0</v>
      </c>
      <c r="P549" t="n">
        <v>0</v>
      </c>
      <c r="Q549" t="n">
        <v>0</v>
      </c>
      <c r="R549" s="2" t="inlineStr"/>
    </row>
    <row r="550" ht="15" customHeight="1">
      <c r="A550" t="inlineStr">
        <is>
          <t>A 18918-2025</t>
        </is>
      </c>
      <c r="B550" s="1" t="n">
        <v>45764</v>
      </c>
      <c r="C550" s="1" t="n">
        <v>46051</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2674-2023</t>
        </is>
      </c>
      <c r="B551" s="1" t="n">
        <v>44944</v>
      </c>
      <c r="C551" s="1" t="n">
        <v>46051</v>
      </c>
      <c r="D551" t="inlineStr">
        <is>
          <t>GOTLANDS LÄN</t>
        </is>
      </c>
      <c r="E551" t="inlineStr">
        <is>
          <t>GOTLAND</t>
        </is>
      </c>
      <c r="G551" t="n">
        <v>2.5</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44988.49543981482</v>
      </c>
      <c r="C552" s="1" t="n">
        <v>46051</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2719-2023</t>
        </is>
      </c>
      <c r="B553" s="1" t="n">
        <v>44944.55361111111</v>
      </c>
      <c r="C553" s="1" t="n">
        <v>46051</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26891-2024</t>
        </is>
      </c>
      <c r="B554" s="1" t="n">
        <v>45470.65540509259</v>
      </c>
      <c r="C554" s="1" t="n">
        <v>46051</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42007-2023</t>
        </is>
      </c>
      <c r="B555" s="1" t="n">
        <v>45177</v>
      </c>
      <c r="C555" s="1" t="n">
        <v>46051</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9887-2025</t>
        </is>
      </c>
      <c r="B556" s="1" t="n">
        <v>45716</v>
      </c>
      <c r="C556" s="1" t="n">
        <v>46051</v>
      </c>
      <c r="D556" t="inlineStr">
        <is>
          <t>GOTLANDS LÄN</t>
        </is>
      </c>
      <c r="E556" t="inlineStr">
        <is>
          <t>GOTLAND</t>
        </is>
      </c>
      <c r="G556" t="n">
        <v>7.5</v>
      </c>
      <c r="H556" t="n">
        <v>0</v>
      </c>
      <c r="I556" t="n">
        <v>0</v>
      </c>
      <c r="J556" t="n">
        <v>0</v>
      </c>
      <c r="K556" t="n">
        <v>0</v>
      </c>
      <c r="L556" t="n">
        <v>0</v>
      </c>
      <c r="M556" t="n">
        <v>0</v>
      </c>
      <c r="N556" t="n">
        <v>0</v>
      </c>
      <c r="O556" t="n">
        <v>0</v>
      </c>
      <c r="P556" t="n">
        <v>0</v>
      </c>
      <c r="Q556" t="n">
        <v>0</v>
      </c>
      <c r="R556" s="2" t="inlineStr"/>
    </row>
    <row r="557" ht="15" customHeight="1">
      <c r="A557" t="inlineStr">
        <is>
          <t>A 38165-2023</t>
        </is>
      </c>
      <c r="B557" s="1" t="n">
        <v>45161</v>
      </c>
      <c r="C557" s="1" t="n">
        <v>46051</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27596-2023</t>
        </is>
      </c>
      <c r="B558" s="1" t="n">
        <v>45097</v>
      </c>
      <c r="C558" s="1" t="n">
        <v>46051</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24825-2024</t>
        </is>
      </c>
      <c r="B559" s="1" t="n">
        <v>45461</v>
      </c>
      <c r="C559" s="1" t="n">
        <v>46051</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6696-2023</t>
        </is>
      </c>
      <c r="B560" s="1" t="n">
        <v>44966.66425925926</v>
      </c>
      <c r="C560" s="1" t="n">
        <v>46051</v>
      </c>
      <c r="D560" t="inlineStr">
        <is>
          <t>GOTLANDS LÄN</t>
        </is>
      </c>
      <c r="E560" t="inlineStr">
        <is>
          <t>GOTLAND</t>
        </is>
      </c>
      <c r="G560" t="n">
        <v>1.5</v>
      </c>
      <c r="H560" t="n">
        <v>0</v>
      </c>
      <c r="I560" t="n">
        <v>0</v>
      </c>
      <c r="J560" t="n">
        <v>0</v>
      </c>
      <c r="K560" t="n">
        <v>0</v>
      </c>
      <c r="L560" t="n">
        <v>0</v>
      </c>
      <c r="M560" t="n">
        <v>0</v>
      </c>
      <c r="N560" t="n">
        <v>0</v>
      </c>
      <c r="O560" t="n">
        <v>0</v>
      </c>
      <c r="P560" t="n">
        <v>0</v>
      </c>
      <c r="Q560" t="n">
        <v>0</v>
      </c>
      <c r="R560" s="2" t="inlineStr"/>
    </row>
    <row r="561" ht="15" customHeight="1">
      <c r="A561" t="inlineStr">
        <is>
          <t>A 21247-2022</t>
        </is>
      </c>
      <c r="B561" s="1" t="n">
        <v>44705.38832175926</v>
      </c>
      <c r="C561" s="1" t="n">
        <v>46051</v>
      </c>
      <c r="D561" t="inlineStr">
        <is>
          <t>GOTLANDS LÄN</t>
        </is>
      </c>
      <c r="E561" t="inlineStr">
        <is>
          <t>GOTLAND</t>
        </is>
      </c>
      <c r="G561" t="n">
        <v>16.2</v>
      </c>
      <c r="H561" t="n">
        <v>0</v>
      </c>
      <c r="I561" t="n">
        <v>0</v>
      </c>
      <c r="J561" t="n">
        <v>0</v>
      </c>
      <c r="K561" t="n">
        <v>0</v>
      </c>
      <c r="L561" t="n">
        <v>0</v>
      </c>
      <c r="M561" t="n">
        <v>0</v>
      </c>
      <c r="N561" t="n">
        <v>0</v>
      </c>
      <c r="O561" t="n">
        <v>0</v>
      </c>
      <c r="P561" t="n">
        <v>0</v>
      </c>
      <c r="Q561" t="n">
        <v>0</v>
      </c>
      <c r="R561" s="2" t="inlineStr"/>
    </row>
    <row r="562" ht="15" customHeight="1">
      <c r="A562" t="inlineStr">
        <is>
          <t>A 456-2023</t>
        </is>
      </c>
      <c r="B562" s="1" t="n">
        <v>44929.87122685185</v>
      </c>
      <c r="C562" s="1" t="n">
        <v>46051</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2714-2023</t>
        </is>
      </c>
      <c r="B563" s="1" t="n">
        <v>44944.54896990741</v>
      </c>
      <c r="C563" s="1" t="n">
        <v>46051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4421-2024</t>
        </is>
      </c>
      <c r="B564" s="1" t="n">
        <v>45327.45173611111</v>
      </c>
      <c r="C564" s="1" t="n">
        <v>46051</v>
      </c>
      <c r="D564" t="inlineStr">
        <is>
          <t>GOTLANDS LÄN</t>
        </is>
      </c>
      <c r="E564" t="inlineStr">
        <is>
          <t>GOTLAND</t>
        </is>
      </c>
      <c r="G564" t="n">
        <v>5.1</v>
      </c>
      <c r="H564" t="n">
        <v>0</v>
      </c>
      <c r="I564" t="n">
        <v>0</v>
      </c>
      <c r="J564" t="n">
        <v>0</v>
      </c>
      <c r="K564" t="n">
        <v>0</v>
      </c>
      <c r="L564" t="n">
        <v>0</v>
      </c>
      <c r="M564" t="n">
        <v>0</v>
      </c>
      <c r="N564" t="n">
        <v>0</v>
      </c>
      <c r="O564" t="n">
        <v>0</v>
      </c>
      <c r="P564" t="n">
        <v>0</v>
      </c>
      <c r="Q564" t="n">
        <v>0</v>
      </c>
      <c r="R564" s="2" t="inlineStr"/>
    </row>
    <row r="565" ht="15" customHeight="1">
      <c r="A565" t="inlineStr">
        <is>
          <t>A 51782-2023</t>
        </is>
      </c>
      <c r="B565" s="1" t="n">
        <v>45222.80952546297</v>
      </c>
      <c r="C565" s="1" t="n">
        <v>46051</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54268-2022</t>
        </is>
      </c>
      <c r="B566" s="1" t="n">
        <v>44882</v>
      </c>
      <c r="C566" s="1" t="n">
        <v>46051</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57534-2022</t>
        </is>
      </c>
      <c r="B567" s="1" t="n">
        <v>44896</v>
      </c>
      <c r="C567" s="1" t="n">
        <v>46051</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25866-2022</t>
        </is>
      </c>
      <c r="B568" s="1" t="n">
        <v>44733</v>
      </c>
      <c r="C568" s="1" t="n">
        <v>46051</v>
      </c>
      <c r="D568" t="inlineStr">
        <is>
          <t>GOTLANDS LÄN</t>
        </is>
      </c>
      <c r="E568" t="inlineStr">
        <is>
          <t>GOTLAND</t>
        </is>
      </c>
      <c r="G568" t="n">
        <v>2.9</v>
      </c>
      <c r="H568" t="n">
        <v>0</v>
      </c>
      <c r="I568" t="n">
        <v>0</v>
      </c>
      <c r="J568" t="n">
        <v>0</v>
      </c>
      <c r="K568" t="n">
        <v>0</v>
      </c>
      <c r="L568" t="n">
        <v>0</v>
      </c>
      <c r="M568" t="n">
        <v>0</v>
      </c>
      <c r="N568" t="n">
        <v>0</v>
      </c>
      <c r="O568" t="n">
        <v>0</v>
      </c>
      <c r="P568" t="n">
        <v>0</v>
      </c>
      <c r="Q568" t="n">
        <v>0</v>
      </c>
      <c r="R568" s="2" t="inlineStr"/>
    </row>
    <row r="569" ht="15" customHeight="1">
      <c r="A569" t="inlineStr">
        <is>
          <t>A 43229-2023</t>
        </is>
      </c>
      <c r="B569" s="1" t="n">
        <v>45183.46704861111</v>
      </c>
      <c r="C569" s="1" t="n">
        <v>46051</v>
      </c>
      <c r="D569" t="inlineStr">
        <is>
          <t>GOTLANDS LÄN</t>
        </is>
      </c>
      <c r="E569" t="inlineStr">
        <is>
          <t>GOTLAND</t>
        </is>
      </c>
      <c r="G569" t="n">
        <v>7.1</v>
      </c>
      <c r="H569" t="n">
        <v>0</v>
      </c>
      <c r="I569" t="n">
        <v>0</v>
      </c>
      <c r="J569" t="n">
        <v>0</v>
      </c>
      <c r="K569" t="n">
        <v>0</v>
      </c>
      <c r="L569" t="n">
        <v>0</v>
      </c>
      <c r="M569" t="n">
        <v>0</v>
      </c>
      <c r="N569" t="n">
        <v>0</v>
      </c>
      <c r="O569" t="n">
        <v>0</v>
      </c>
      <c r="P569" t="n">
        <v>0</v>
      </c>
      <c r="Q569" t="n">
        <v>0</v>
      </c>
      <c r="R569" s="2" t="inlineStr"/>
    </row>
    <row r="570" ht="15" customHeight="1">
      <c r="A570" t="inlineStr">
        <is>
          <t>A 1175-2025</t>
        </is>
      </c>
      <c r="B570" s="1" t="n">
        <v>45667.34449074074</v>
      </c>
      <c r="C570" s="1" t="n">
        <v>46051</v>
      </c>
      <c r="D570" t="inlineStr">
        <is>
          <t>GOTLANDS LÄN</t>
        </is>
      </c>
      <c r="E570" t="inlineStr">
        <is>
          <t>GOTLAND</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27095-2022</t>
        </is>
      </c>
      <c r="B571" s="1" t="n">
        <v>44741</v>
      </c>
      <c r="C571" s="1" t="n">
        <v>46051</v>
      </c>
      <c r="D571" t="inlineStr">
        <is>
          <t>GOTLANDS LÄN</t>
        </is>
      </c>
      <c r="E571" t="inlineStr">
        <is>
          <t>GOTLAND</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46051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23978-2023</t>
        </is>
      </c>
      <c r="B573" s="1" t="n">
        <v>45078</v>
      </c>
      <c r="C573" s="1" t="n">
        <v>46051</v>
      </c>
      <c r="D573" t="inlineStr">
        <is>
          <t>GOTLANDS LÄN</t>
        </is>
      </c>
      <c r="E573" t="inlineStr">
        <is>
          <t>GOTLAND</t>
        </is>
      </c>
      <c r="F573" t="inlineStr">
        <is>
          <t>Naturvårdsverket</t>
        </is>
      </c>
      <c r="G573" t="n">
        <v>1.7</v>
      </c>
      <c r="H573" t="n">
        <v>0</v>
      </c>
      <c r="I573" t="n">
        <v>0</v>
      </c>
      <c r="J573" t="n">
        <v>0</v>
      </c>
      <c r="K573" t="n">
        <v>0</v>
      </c>
      <c r="L573" t="n">
        <v>0</v>
      </c>
      <c r="M573" t="n">
        <v>0</v>
      </c>
      <c r="N573" t="n">
        <v>0</v>
      </c>
      <c r="O573" t="n">
        <v>0</v>
      </c>
      <c r="P573" t="n">
        <v>0</v>
      </c>
      <c r="Q573" t="n">
        <v>0</v>
      </c>
      <c r="R573" s="2" t="inlineStr"/>
    </row>
    <row r="574" ht="15" customHeight="1">
      <c r="A574" t="inlineStr">
        <is>
          <t>A 34407-2023</t>
        </is>
      </c>
      <c r="B574" s="1" t="n">
        <v>45132</v>
      </c>
      <c r="C574" s="1" t="n">
        <v>46051</v>
      </c>
      <c r="D574" t="inlineStr">
        <is>
          <t>GOTLANDS LÄN</t>
        </is>
      </c>
      <c r="E574" t="inlineStr">
        <is>
          <t>GOTLAND</t>
        </is>
      </c>
      <c r="G574" t="n">
        <v>4.4</v>
      </c>
      <c r="H574" t="n">
        <v>0</v>
      </c>
      <c r="I574" t="n">
        <v>0</v>
      </c>
      <c r="J574" t="n">
        <v>0</v>
      </c>
      <c r="K574" t="n">
        <v>0</v>
      </c>
      <c r="L574" t="n">
        <v>0</v>
      </c>
      <c r="M574" t="n">
        <v>0</v>
      </c>
      <c r="N574" t="n">
        <v>0</v>
      </c>
      <c r="O574" t="n">
        <v>0</v>
      </c>
      <c r="P574" t="n">
        <v>0</v>
      </c>
      <c r="Q574" t="n">
        <v>0</v>
      </c>
      <c r="R574" s="2" t="inlineStr"/>
    </row>
    <row r="575" ht="15" customHeight="1">
      <c r="A575" t="inlineStr">
        <is>
          <t>A 11013-2024</t>
        </is>
      </c>
      <c r="B575" s="1" t="n">
        <v>45370</v>
      </c>
      <c r="C575" s="1" t="n">
        <v>46051</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27694-2024</t>
        </is>
      </c>
      <c r="B576" s="1" t="n">
        <v>45475</v>
      </c>
      <c r="C576" s="1" t="n">
        <v>46051</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15083-2025</t>
        </is>
      </c>
      <c r="B577" s="1" t="n">
        <v>45743</v>
      </c>
      <c r="C577" s="1" t="n">
        <v>46051</v>
      </c>
      <c r="D577" t="inlineStr">
        <is>
          <t>GOTLANDS LÄN</t>
        </is>
      </c>
      <c r="E577" t="inlineStr">
        <is>
          <t>GOTLAND</t>
        </is>
      </c>
      <c r="G577" t="n">
        <v>2.3</v>
      </c>
      <c r="H577" t="n">
        <v>0</v>
      </c>
      <c r="I577" t="n">
        <v>0</v>
      </c>
      <c r="J577" t="n">
        <v>0</v>
      </c>
      <c r="K577" t="n">
        <v>0</v>
      </c>
      <c r="L577" t="n">
        <v>0</v>
      </c>
      <c r="M577" t="n">
        <v>0</v>
      </c>
      <c r="N577" t="n">
        <v>0</v>
      </c>
      <c r="O577" t="n">
        <v>0</v>
      </c>
      <c r="P577" t="n">
        <v>0</v>
      </c>
      <c r="Q577" t="n">
        <v>0</v>
      </c>
      <c r="R577" s="2" t="inlineStr"/>
    </row>
    <row r="578" ht="15" customHeight="1">
      <c r="A578" t="inlineStr">
        <is>
          <t>A 13037-2025</t>
        </is>
      </c>
      <c r="B578" s="1" t="n">
        <v>45734</v>
      </c>
      <c r="C578" s="1" t="n">
        <v>46051</v>
      </c>
      <c r="D578" t="inlineStr">
        <is>
          <t>GOTLANDS LÄN</t>
        </is>
      </c>
      <c r="E578" t="inlineStr">
        <is>
          <t>GOTLAND</t>
        </is>
      </c>
      <c r="G578" t="n">
        <v>9.5</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46051</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44228-2022</t>
        </is>
      </c>
      <c r="B580" s="1" t="n">
        <v>44839.51599537037</v>
      </c>
      <c r="C580" s="1" t="n">
        <v>46051</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58132-2023</t>
        </is>
      </c>
      <c r="B581" s="1" t="n">
        <v>45250</v>
      </c>
      <c r="C581" s="1" t="n">
        <v>46051</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49884-2023</t>
        </is>
      </c>
      <c r="B582" s="1" t="n">
        <v>45213</v>
      </c>
      <c r="C582" s="1" t="n">
        <v>46051</v>
      </c>
      <c r="D582" t="inlineStr">
        <is>
          <t>GOTLANDS LÄN</t>
        </is>
      </c>
      <c r="E582" t="inlineStr">
        <is>
          <t>GOTLAND</t>
        </is>
      </c>
      <c r="G582" t="n">
        <v>8.9</v>
      </c>
      <c r="H582" t="n">
        <v>0</v>
      </c>
      <c r="I582" t="n">
        <v>0</v>
      </c>
      <c r="J582" t="n">
        <v>0</v>
      </c>
      <c r="K582" t="n">
        <v>0</v>
      </c>
      <c r="L582" t="n">
        <v>0</v>
      </c>
      <c r="M582" t="n">
        <v>0</v>
      </c>
      <c r="N582" t="n">
        <v>0</v>
      </c>
      <c r="O582" t="n">
        <v>0</v>
      </c>
      <c r="P582" t="n">
        <v>0</v>
      </c>
      <c r="Q582" t="n">
        <v>0</v>
      </c>
      <c r="R582" s="2" t="inlineStr"/>
    </row>
    <row r="583" ht="15" customHeight="1">
      <c r="A583" t="inlineStr">
        <is>
          <t>A 876-2024</t>
        </is>
      </c>
      <c r="B583" s="1" t="n">
        <v>45301</v>
      </c>
      <c r="C583" s="1" t="n">
        <v>46051</v>
      </c>
      <c r="D583" t="inlineStr">
        <is>
          <t>GOTLANDS LÄN</t>
        </is>
      </c>
      <c r="E583" t="inlineStr">
        <is>
          <t>GOTLAND</t>
        </is>
      </c>
      <c r="G583" t="n">
        <v>5.3</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46051</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28425-2023</t>
        </is>
      </c>
      <c r="B585" s="1" t="n">
        <v>45102</v>
      </c>
      <c r="C585" s="1" t="n">
        <v>46051</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58476-2022</t>
        </is>
      </c>
      <c r="B586" s="1" t="n">
        <v>44902</v>
      </c>
      <c r="C586" s="1" t="n">
        <v>46051</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43200-2023</t>
        </is>
      </c>
      <c r="B587" s="1" t="n">
        <v>45183</v>
      </c>
      <c r="C587" s="1" t="n">
        <v>46051</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43223-2023</t>
        </is>
      </c>
      <c r="B588" s="1" t="n">
        <v>45183.45642361111</v>
      </c>
      <c r="C588" s="1" t="n">
        <v>46051</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46051</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3431-2025</t>
        </is>
      </c>
      <c r="B590" s="1" t="n">
        <v>45680.42935185185</v>
      </c>
      <c r="C590" s="1" t="n">
        <v>46051</v>
      </c>
      <c r="D590" t="inlineStr">
        <is>
          <t>GOTLANDS LÄN</t>
        </is>
      </c>
      <c r="E590" t="inlineStr">
        <is>
          <t>GOTLAND</t>
        </is>
      </c>
      <c r="G590" t="n">
        <v>4.8</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46051</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46051</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1364-2025</t>
        </is>
      </c>
      <c r="B593" s="1" t="n">
        <v>45667.63929398148</v>
      </c>
      <c r="C593" s="1" t="n">
        <v>46051</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46051</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2180-2025</t>
        </is>
      </c>
      <c r="B595" s="1" t="n">
        <v>45673</v>
      </c>
      <c r="C595" s="1" t="n">
        <v>46051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15436-2025</t>
        </is>
      </c>
      <c r="B596" s="1" t="n">
        <v>45747.47462962963</v>
      </c>
      <c r="C596" s="1" t="n">
        <v>46051</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49257-2024</t>
        </is>
      </c>
      <c r="B597" s="1" t="n">
        <v>45595.47627314815</v>
      </c>
      <c r="C597" s="1" t="n">
        <v>46051</v>
      </c>
      <c r="D597" t="inlineStr">
        <is>
          <t>GOTLANDS LÄN</t>
        </is>
      </c>
      <c r="E597" t="inlineStr">
        <is>
          <t>GOTLAND</t>
        </is>
      </c>
      <c r="G597" t="n">
        <v>6.3</v>
      </c>
      <c r="H597" t="n">
        <v>0</v>
      </c>
      <c r="I597" t="n">
        <v>0</v>
      </c>
      <c r="J597" t="n">
        <v>0</v>
      </c>
      <c r="K597" t="n">
        <v>0</v>
      </c>
      <c r="L597" t="n">
        <v>0</v>
      </c>
      <c r="M597" t="n">
        <v>0</v>
      </c>
      <c r="N597" t="n">
        <v>0</v>
      </c>
      <c r="O597" t="n">
        <v>0</v>
      </c>
      <c r="P597" t="n">
        <v>0</v>
      </c>
      <c r="Q597" t="n">
        <v>0</v>
      </c>
      <c r="R597" s="2" t="inlineStr"/>
    </row>
    <row r="598" ht="15" customHeight="1">
      <c r="A598" t="inlineStr">
        <is>
          <t>A 37202-2024</t>
        </is>
      </c>
      <c r="B598" s="1" t="n">
        <v>45539.67310185185</v>
      </c>
      <c r="C598" s="1" t="n">
        <v>46051</v>
      </c>
      <c r="D598" t="inlineStr">
        <is>
          <t>GOTLANDS LÄN</t>
        </is>
      </c>
      <c r="E598" t="inlineStr">
        <is>
          <t>GOTLAND</t>
        </is>
      </c>
      <c r="G598" t="n">
        <v>0.3</v>
      </c>
      <c r="H598" t="n">
        <v>0</v>
      </c>
      <c r="I598" t="n">
        <v>0</v>
      </c>
      <c r="J598" t="n">
        <v>0</v>
      </c>
      <c r="K598" t="n">
        <v>0</v>
      </c>
      <c r="L598" t="n">
        <v>0</v>
      </c>
      <c r="M598" t="n">
        <v>0</v>
      </c>
      <c r="N598" t="n">
        <v>0</v>
      </c>
      <c r="O598" t="n">
        <v>0</v>
      </c>
      <c r="P598" t="n">
        <v>0</v>
      </c>
      <c r="Q598" t="n">
        <v>0</v>
      </c>
      <c r="R598" s="2" t="inlineStr"/>
    </row>
    <row r="599" ht="15" customHeight="1">
      <c r="A599" t="inlineStr">
        <is>
          <t>A 56115-2023</t>
        </is>
      </c>
      <c r="B599" s="1" t="n">
        <v>45236</v>
      </c>
      <c r="C599" s="1" t="n">
        <v>46051</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2774-2024</t>
        </is>
      </c>
      <c r="B600" s="1" t="n">
        <v>45314.62375</v>
      </c>
      <c r="C600" s="1" t="n">
        <v>46051</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60709-2023</t>
        </is>
      </c>
      <c r="B601" s="1" t="n">
        <v>45260</v>
      </c>
      <c r="C601" s="1" t="n">
        <v>46051</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64208-2021</t>
        </is>
      </c>
      <c r="B602" s="1" t="n">
        <v>44510</v>
      </c>
      <c r="C602" s="1" t="n">
        <v>46051</v>
      </c>
      <c r="D602" t="inlineStr">
        <is>
          <t>GOTLANDS LÄN</t>
        </is>
      </c>
      <c r="E602" t="inlineStr">
        <is>
          <t>GOTLAND</t>
        </is>
      </c>
      <c r="G602" t="n">
        <v>4.7</v>
      </c>
      <c r="H602" t="n">
        <v>0</v>
      </c>
      <c r="I602" t="n">
        <v>0</v>
      </c>
      <c r="J602" t="n">
        <v>0</v>
      </c>
      <c r="K602" t="n">
        <v>0</v>
      </c>
      <c r="L602" t="n">
        <v>0</v>
      </c>
      <c r="M602" t="n">
        <v>0</v>
      </c>
      <c r="N602" t="n">
        <v>0</v>
      </c>
      <c r="O602" t="n">
        <v>0</v>
      </c>
      <c r="P602" t="n">
        <v>0</v>
      </c>
      <c r="Q602" t="n">
        <v>0</v>
      </c>
      <c r="R602" s="2" t="inlineStr"/>
    </row>
    <row r="603" ht="15" customHeight="1">
      <c r="A603" t="inlineStr">
        <is>
          <t>A 39764-2022</t>
        </is>
      </c>
      <c r="B603" s="1" t="n">
        <v>44819</v>
      </c>
      <c r="C603" s="1" t="n">
        <v>46051</v>
      </c>
      <c r="D603" t="inlineStr">
        <is>
          <t>GOTLANDS LÄN</t>
        </is>
      </c>
      <c r="E603" t="inlineStr">
        <is>
          <t>GOTLAND</t>
        </is>
      </c>
      <c r="F603" t="inlineStr">
        <is>
          <t>Kyrkan</t>
        </is>
      </c>
      <c r="G603" t="n">
        <v>3.7</v>
      </c>
      <c r="H603" t="n">
        <v>0</v>
      </c>
      <c r="I603" t="n">
        <v>0</v>
      </c>
      <c r="J603" t="n">
        <v>0</v>
      </c>
      <c r="K603" t="n">
        <v>0</v>
      </c>
      <c r="L603" t="n">
        <v>0</v>
      </c>
      <c r="M603" t="n">
        <v>0</v>
      </c>
      <c r="N603" t="n">
        <v>0</v>
      </c>
      <c r="O603" t="n">
        <v>0</v>
      </c>
      <c r="P603" t="n">
        <v>0</v>
      </c>
      <c r="Q603" t="n">
        <v>0</v>
      </c>
      <c r="R603" s="2" t="inlineStr"/>
    </row>
    <row r="604" ht="15" customHeight="1">
      <c r="A604" t="inlineStr">
        <is>
          <t>A 58211-2024</t>
        </is>
      </c>
      <c r="B604" s="1" t="n">
        <v>45632.49292824074</v>
      </c>
      <c r="C604" s="1" t="n">
        <v>46051</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30956-2024</t>
        </is>
      </c>
      <c r="B605" s="1" t="n">
        <v>45499.42527777778</v>
      </c>
      <c r="C605" s="1" t="n">
        <v>46051</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30892-2024</t>
        </is>
      </c>
      <c r="B606" s="1" t="n">
        <v>45491</v>
      </c>
      <c r="C606" s="1" t="n">
        <v>46051</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14635-2023</t>
        </is>
      </c>
      <c r="B607" s="1" t="n">
        <v>45013.69365740741</v>
      </c>
      <c r="C607" s="1" t="n">
        <v>46051</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59469-2024</t>
        </is>
      </c>
      <c r="B608" s="1" t="n">
        <v>45638</v>
      </c>
      <c r="C608" s="1" t="n">
        <v>46051</v>
      </c>
      <c r="D608" t="inlineStr">
        <is>
          <t>GOTLANDS LÄN</t>
        </is>
      </c>
      <c r="E608" t="inlineStr">
        <is>
          <t>GOTLAND</t>
        </is>
      </c>
      <c r="G608" t="n">
        <v>0.4</v>
      </c>
      <c r="H608" t="n">
        <v>0</v>
      </c>
      <c r="I608" t="n">
        <v>0</v>
      </c>
      <c r="J608" t="n">
        <v>0</v>
      </c>
      <c r="K608" t="n">
        <v>0</v>
      </c>
      <c r="L608" t="n">
        <v>0</v>
      </c>
      <c r="M608" t="n">
        <v>0</v>
      </c>
      <c r="N608" t="n">
        <v>0</v>
      </c>
      <c r="O608" t="n">
        <v>0</v>
      </c>
      <c r="P608" t="n">
        <v>0</v>
      </c>
      <c r="Q608" t="n">
        <v>0</v>
      </c>
      <c r="R608" s="2" t="inlineStr"/>
    </row>
    <row r="609" ht="15" customHeight="1">
      <c r="A609" t="inlineStr">
        <is>
          <t>A 7858-2025</t>
        </is>
      </c>
      <c r="B609" s="1" t="n">
        <v>45706.68633101852</v>
      </c>
      <c r="C609" s="1" t="n">
        <v>46051</v>
      </c>
      <c r="D609" t="inlineStr">
        <is>
          <t>GOTLANDS LÄN</t>
        </is>
      </c>
      <c r="E609" t="inlineStr">
        <is>
          <t>GOTLAND</t>
        </is>
      </c>
      <c r="G609" t="n">
        <v>3</v>
      </c>
      <c r="H609" t="n">
        <v>0</v>
      </c>
      <c r="I609" t="n">
        <v>0</v>
      </c>
      <c r="J609" t="n">
        <v>0</v>
      </c>
      <c r="K609" t="n">
        <v>0</v>
      </c>
      <c r="L609" t="n">
        <v>0</v>
      </c>
      <c r="M609" t="n">
        <v>0</v>
      </c>
      <c r="N609" t="n">
        <v>0</v>
      </c>
      <c r="O609" t="n">
        <v>0</v>
      </c>
      <c r="P609" t="n">
        <v>0</v>
      </c>
      <c r="Q609" t="n">
        <v>0</v>
      </c>
      <c r="R609" s="2" t="inlineStr"/>
    </row>
    <row r="610" ht="15" customHeight="1">
      <c r="A610" t="inlineStr">
        <is>
          <t>A 53935-2024</t>
        </is>
      </c>
      <c r="B610" s="1" t="n">
        <v>45615</v>
      </c>
      <c r="C610" s="1" t="n">
        <v>46051</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18223-2025</t>
        </is>
      </c>
      <c r="B611" s="1" t="n">
        <v>45761</v>
      </c>
      <c r="C611" s="1" t="n">
        <v>46051</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4420-2025</t>
        </is>
      </c>
      <c r="B612" s="1" t="n">
        <v>45686.47157407407</v>
      </c>
      <c r="C612" s="1" t="n">
        <v>46051</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5891-2025</t>
        </is>
      </c>
      <c r="B613" s="1" t="n">
        <v>45695.38327546296</v>
      </c>
      <c r="C613" s="1" t="n">
        <v>46051</v>
      </c>
      <c r="D613" t="inlineStr">
        <is>
          <t>GOTLANDS LÄN</t>
        </is>
      </c>
      <c r="E613" t="inlineStr">
        <is>
          <t>GOTLAND</t>
        </is>
      </c>
      <c r="G613" t="n">
        <v>0.8</v>
      </c>
      <c r="H613" t="n">
        <v>0</v>
      </c>
      <c r="I613" t="n">
        <v>0</v>
      </c>
      <c r="J613" t="n">
        <v>0</v>
      </c>
      <c r="K613" t="n">
        <v>0</v>
      </c>
      <c r="L613" t="n">
        <v>0</v>
      </c>
      <c r="M613" t="n">
        <v>0</v>
      </c>
      <c r="N613" t="n">
        <v>0</v>
      </c>
      <c r="O613" t="n">
        <v>0</v>
      </c>
      <c r="P613" t="n">
        <v>0</v>
      </c>
      <c r="Q613" t="n">
        <v>0</v>
      </c>
      <c r="R613" s="2" t="inlineStr"/>
    </row>
    <row r="614" ht="15" customHeight="1">
      <c r="A614" t="inlineStr">
        <is>
          <t>A 7835-2024</t>
        </is>
      </c>
      <c r="B614" s="1" t="n">
        <v>45349.83138888889</v>
      </c>
      <c r="C614" s="1" t="n">
        <v>46051</v>
      </c>
      <c r="D614" t="inlineStr">
        <is>
          <t>GOTLANDS LÄN</t>
        </is>
      </c>
      <c r="E614" t="inlineStr">
        <is>
          <t>GOTLAND</t>
        </is>
      </c>
      <c r="G614" t="n">
        <v>3.8</v>
      </c>
      <c r="H614" t="n">
        <v>0</v>
      </c>
      <c r="I614" t="n">
        <v>0</v>
      </c>
      <c r="J614" t="n">
        <v>0</v>
      </c>
      <c r="K614" t="n">
        <v>0</v>
      </c>
      <c r="L614" t="n">
        <v>0</v>
      </c>
      <c r="M614" t="n">
        <v>0</v>
      </c>
      <c r="N614" t="n">
        <v>0</v>
      </c>
      <c r="O614" t="n">
        <v>0</v>
      </c>
      <c r="P614" t="n">
        <v>0</v>
      </c>
      <c r="Q614" t="n">
        <v>0</v>
      </c>
      <c r="R614" s="2" t="inlineStr"/>
    </row>
    <row r="615" ht="15" customHeight="1">
      <c r="A615" t="inlineStr">
        <is>
          <t>A 20794-2025</t>
        </is>
      </c>
      <c r="B615" s="1" t="n">
        <v>45776</v>
      </c>
      <c r="C615" s="1" t="n">
        <v>46051</v>
      </c>
      <c r="D615" t="inlineStr">
        <is>
          <t>GOTLANDS LÄN</t>
        </is>
      </c>
      <c r="E615" t="inlineStr">
        <is>
          <t>GOTLAND</t>
        </is>
      </c>
      <c r="G615" t="n">
        <v>6</v>
      </c>
      <c r="H615" t="n">
        <v>0</v>
      </c>
      <c r="I615" t="n">
        <v>0</v>
      </c>
      <c r="J615" t="n">
        <v>0</v>
      </c>
      <c r="K615" t="n">
        <v>0</v>
      </c>
      <c r="L615" t="n">
        <v>0</v>
      </c>
      <c r="M615" t="n">
        <v>0</v>
      </c>
      <c r="N615" t="n">
        <v>0</v>
      </c>
      <c r="O615" t="n">
        <v>0</v>
      </c>
      <c r="P615" t="n">
        <v>0</v>
      </c>
      <c r="Q615" t="n">
        <v>0</v>
      </c>
      <c r="R615" s="2" t="inlineStr"/>
    </row>
    <row r="616" ht="15" customHeight="1">
      <c r="A616" t="inlineStr">
        <is>
          <t>A 20805-2025</t>
        </is>
      </c>
      <c r="B616" s="1" t="n">
        <v>45776</v>
      </c>
      <c r="C616" s="1" t="n">
        <v>46051</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21389-2025</t>
        </is>
      </c>
      <c r="B617" s="1" t="n">
        <v>45782</v>
      </c>
      <c r="C617" s="1" t="n">
        <v>46051</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21651-2025</t>
        </is>
      </c>
      <c r="B618" s="1" t="n">
        <v>45783</v>
      </c>
      <c r="C618" s="1" t="n">
        <v>46051</v>
      </c>
      <c r="D618" t="inlineStr">
        <is>
          <t>GOTLANDS LÄN</t>
        </is>
      </c>
      <c r="E618" t="inlineStr">
        <is>
          <t>GOTLAND</t>
        </is>
      </c>
      <c r="G618" t="n">
        <v>4.2</v>
      </c>
      <c r="H618" t="n">
        <v>0</v>
      </c>
      <c r="I618" t="n">
        <v>0</v>
      </c>
      <c r="J618" t="n">
        <v>0</v>
      </c>
      <c r="K618" t="n">
        <v>0</v>
      </c>
      <c r="L618" t="n">
        <v>0</v>
      </c>
      <c r="M618" t="n">
        <v>0</v>
      </c>
      <c r="N618" t="n">
        <v>0</v>
      </c>
      <c r="O618" t="n">
        <v>0</v>
      </c>
      <c r="P618" t="n">
        <v>0</v>
      </c>
      <c r="Q618" t="n">
        <v>0</v>
      </c>
      <c r="R618" s="2" t="inlineStr"/>
    </row>
    <row r="619" ht="15" customHeight="1">
      <c r="A619" t="inlineStr">
        <is>
          <t>A 57356-2023</t>
        </is>
      </c>
      <c r="B619" s="1" t="n">
        <v>45240</v>
      </c>
      <c r="C619" s="1" t="n">
        <v>46051</v>
      </c>
      <c r="D619" t="inlineStr">
        <is>
          <t>GOTLANDS LÄN</t>
        </is>
      </c>
      <c r="E619" t="inlineStr">
        <is>
          <t>GOTLAND</t>
        </is>
      </c>
      <c r="G619" t="n">
        <v>6.4</v>
      </c>
      <c r="H619" t="n">
        <v>0</v>
      </c>
      <c r="I619" t="n">
        <v>0</v>
      </c>
      <c r="J619" t="n">
        <v>0</v>
      </c>
      <c r="K619" t="n">
        <v>0</v>
      </c>
      <c r="L619" t="n">
        <v>0</v>
      </c>
      <c r="M619" t="n">
        <v>0</v>
      </c>
      <c r="N619" t="n">
        <v>0</v>
      </c>
      <c r="O619" t="n">
        <v>0</v>
      </c>
      <c r="P619" t="n">
        <v>0</v>
      </c>
      <c r="Q619" t="n">
        <v>0</v>
      </c>
      <c r="R619" s="2" t="inlineStr"/>
    </row>
    <row r="620" ht="15" customHeight="1">
      <c r="A620" t="inlineStr">
        <is>
          <t>A 10656-2024</t>
        </is>
      </c>
      <c r="B620" s="1" t="n">
        <v>45368</v>
      </c>
      <c r="C620" s="1" t="n">
        <v>46051</v>
      </c>
      <c r="D620" t="inlineStr">
        <is>
          <t>GOTLANDS LÄN</t>
        </is>
      </c>
      <c r="E620" t="inlineStr">
        <is>
          <t>GOTLAND</t>
        </is>
      </c>
      <c r="G620" t="n">
        <v>1.5</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46051</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21420-2024</t>
        </is>
      </c>
      <c r="B622" s="1" t="n">
        <v>45441.38293981482</v>
      </c>
      <c r="C622" s="1" t="n">
        <v>46051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23188-2025</t>
        </is>
      </c>
      <c r="B623" s="1" t="n">
        <v>45791</v>
      </c>
      <c r="C623" s="1" t="n">
        <v>46051</v>
      </c>
      <c r="D623" t="inlineStr">
        <is>
          <t>GOTLANDS LÄN</t>
        </is>
      </c>
      <c r="E623" t="inlineStr">
        <is>
          <t>GOTLAND</t>
        </is>
      </c>
      <c r="G623" t="n">
        <v>6.2</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46051</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23856-2025</t>
        </is>
      </c>
      <c r="B625" s="1" t="n">
        <v>45793</v>
      </c>
      <c r="C625" s="1" t="n">
        <v>46051</v>
      </c>
      <c r="D625" t="inlineStr">
        <is>
          <t>GOTLANDS LÄN</t>
        </is>
      </c>
      <c r="E625" t="inlineStr">
        <is>
          <t>GOTLAND</t>
        </is>
      </c>
      <c r="G625" t="n">
        <v>4.4</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46051</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46051</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23698-2025</t>
        </is>
      </c>
      <c r="B628" s="1" t="n">
        <v>45793</v>
      </c>
      <c r="C628" s="1" t="n">
        <v>46051</v>
      </c>
      <c r="D628" t="inlineStr">
        <is>
          <t>GOTLANDS LÄN</t>
        </is>
      </c>
      <c r="E628" t="inlineStr">
        <is>
          <t>GOTLAND</t>
        </is>
      </c>
      <c r="G628" t="n">
        <v>0.8</v>
      </c>
      <c r="H628" t="n">
        <v>0</v>
      </c>
      <c r="I628" t="n">
        <v>0</v>
      </c>
      <c r="J628" t="n">
        <v>0</v>
      </c>
      <c r="K628" t="n">
        <v>0</v>
      </c>
      <c r="L628" t="n">
        <v>0</v>
      </c>
      <c r="M628" t="n">
        <v>0</v>
      </c>
      <c r="N628" t="n">
        <v>0</v>
      </c>
      <c r="O628" t="n">
        <v>0</v>
      </c>
      <c r="P628" t="n">
        <v>0</v>
      </c>
      <c r="Q628" t="n">
        <v>0</v>
      </c>
      <c r="R628" s="2" t="inlineStr"/>
    </row>
    <row r="629">
      <c r="A629" t="inlineStr">
        <is>
          <t>A 5462-2025</t>
        </is>
      </c>
      <c r="B629" s="1" t="n">
        <v>45693.29331018519</v>
      </c>
      <c r="C629" s="1" t="n">
        <v>46051</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2026-01-29T10:58:07Z</dcterms:created>
  <dcterms:modified xmlns:dcterms="http://purl.org/dc/terms/" xmlns:xsi="http://www.w3.org/2001/XMLSchema-instance" xsi:type="dcterms:W3CDTF">2026-01-29T10:58:07Z</dcterms:modified>
</cp:coreProperties>
</file>