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45900</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45900</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45900</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4572-2025</t>
        </is>
      </c>
      <c r="B9" s="1" t="n">
        <v>45687</v>
      </c>
      <c r="C9" s="1" t="n">
        <v>45900</v>
      </c>
      <c r="D9" t="inlineStr">
        <is>
          <t>GOTLANDS LÄN</t>
        </is>
      </c>
      <c r="E9" t="inlineStr">
        <is>
          <t>GOTLAND</t>
        </is>
      </c>
      <c r="G9" t="n">
        <v>6.2</v>
      </c>
      <c r="H9" t="n">
        <v>13</v>
      </c>
      <c r="I9" t="n">
        <v>2</v>
      </c>
      <c r="J9" t="n">
        <v>10</v>
      </c>
      <c r="K9" t="n">
        <v>0</v>
      </c>
      <c r="L9" t="n">
        <v>1</v>
      </c>
      <c r="M9" t="n">
        <v>0</v>
      </c>
      <c r="N9" t="n">
        <v>0</v>
      </c>
      <c r="O9" t="n">
        <v>11</v>
      </c>
      <c r="P9" t="n">
        <v>1</v>
      </c>
      <c r="Q9" t="n">
        <v>18</v>
      </c>
      <c r="R9" s="2" t="inlineStr">
        <is>
          <t>Brun glada
Apollofjäril
Axveronika
Backtimjan
Havsörn
Jordtistel
Mindre hackspett
Reliktbock
Solvända
Spillkråka
Svartfläckig blåvinge
Purpurknipprot
Skogsknipprot
Brudsporre
Grönvit nattviol
Nattviol
Sankt pers nycklar
Blåsippa</t>
        </is>
      </c>
      <c r="S9">
        <f>HYPERLINK("https://klasma.github.io/Logging_0980/artfynd/A 4572-2025 artfynd.xlsx", "A 4572-2025")</f>
        <v/>
      </c>
      <c r="T9">
        <f>HYPERLINK("https://klasma.github.io/Logging_0980/kartor/A 4572-2025 karta.png", "A 4572-2025")</f>
        <v/>
      </c>
      <c r="V9">
        <f>HYPERLINK("https://klasma.github.io/Logging_0980/klagomål/A 4572-2025 FSC-klagomål.docx", "A 4572-2025")</f>
        <v/>
      </c>
      <c r="W9">
        <f>HYPERLINK("https://klasma.github.io/Logging_0980/klagomålsmail/A 4572-2025 FSC-klagomål mail.docx", "A 4572-2025")</f>
        <v/>
      </c>
      <c r="X9">
        <f>HYPERLINK("https://klasma.github.io/Logging_0980/tillsyn/A 4572-2025 tillsynsbegäran.docx", "A 4572-2025")</f>
        <v/>
      </c>
      <c r="Y9">
        <f>HYPERLINK("https://klasma.github.io/Logging_0980/tillsynsmail/A 4572-2025 tillsynsbegäran mail.docx", "A 4572-2025")</f>
        <v/>
      </c>
      <c r="Z9">
        <f>HYPERLINK("https://klasma.github.io/Logging_0980/fåglar/A 4572-2025 prioriterade fågelarter.docx", "A 4572-2025")</f>
        <v/>
      </c>
    </row>
    <row r="10" ht="15" customHeight="1">
      <c r="A10" t="inlineStr">
        <is>
          <t>A 530-2024</t>
        </is>
      </c>
      <c r="B10" s="1" t="n">
        <v>45299</v>
      </c>
      <c r="C10" s="1" t="n">
        <v>45900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8645-2025</t>
        </is>
      </c>
      <c r="B11" s="1" t="n">
        <v>45712</v>
      </c>
      <c r="C11" s="1" t="n">
        <v>45900</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62551-2022</t>
        </is>
      </c>
      <c r="B12" s="1" t="n">
        <v>44924</v>
      </c>
      <c r="C12" s="1" t="n">
        <v>45900</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61664-2023</t>
        </is>
      </c>
      <c r="B13" s="1" t="n">
        <v>45265</v>
      </c>
      <c r="C13" s="1" t="n">
        <v>45900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45900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45900</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45900</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45900</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45900</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45900</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45900</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45900</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45900</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45900</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45900</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2804-2023</t>
        </is>
      </c>
      <c r="B25" s="1" t="n">
        <v>44944</v>
      </c>
      <c r="C25" s="1" t="n">
        <v>45900</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45900</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45900</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45900</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45900</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45900</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45900</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45900</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45900</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45900</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45900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45900</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45900</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45900</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45900</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45900</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45900</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45900</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45900</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45900</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45900</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45900</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45900</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45900</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45900</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45900</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45900</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45900</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45900</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45900</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45900</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45900</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45900</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45900</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45900</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45900</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65819-2020</t>
        </is>
      </c>
      <c r="B61" s="1" t="n">
        <v>44174</v>
      </c>
      <c r="C61" s="1" t="n">
        <v>45900</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16823-2024</t>
        </is>
      </c>
      <c r="B62" s="1" t="n">
        <v>45411</v>
      </c>
      <c r="C62" s="1" t="n">
        <v>45900</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7038-2023</t>
        </is>
      </c>
      <c r="B63" s="1" t="n">
        <v>44968</v>
      </c>
      <c r="C63" s="1" t="n">
        <v>45900</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54527-2023</t>
        </is>
      </c>
      <c r="B64" s="1" t="n">
        <v>45233</v>
      </c>
      <c r="C64" s="1" t="n">
        <v>45900</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45900</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45900</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45900</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45900</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45900</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35293-2025</t>
        </is>
      </c>
      <c r="B70" s="1" t="n">
        <v>45854.39438657407</v>
      </c>
      <c r="C70" s="1" t="n">
        <v>45900</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44944-2022</t>
        </is>
      </c>
      <c r="B71" s="1" t="n">
        <v>44841</v>
      </c>
      <c r="C71" s="1" t="n">
        <v>45900</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45900</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45900</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45900</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54523-2023</t>
        </is>
      </c>
      <c r="B75" s="1" t="n">
        <v>45233</v>
      </c>
      <c r="C75" s="1" t="n">
        <v>45900</v>
      </c>
      <c r="D75" t="inlineStr">
        <is>
          <t>GOTLANDS LÄN</t>
        </is>
      </c>
      <c r="E75" t="inlineStr">
        <is>
          <t>GOTLAND</t>
        </is>
      </c>
      <c r="G75" t="n">
        <v>3.7</v>
      </c>
      <c r="H75" t="n">
        <v>2</v>
      </c>
      <c r="I75" t="n">
        <v>0</v>
      </c>
      <c r="J75" t="n">
        <v>1</v>
      </c>
      <c r="K75" t="n">
        <v>1</v>
      </c>
      <c r="L75" t="n">
        <v>0</v>
      </c>
      <c r="M75" t="n">
        <v>0</v>
      </c>
      <c r="N75" t="n">
        <v>0</v>
      </c>
      <c r="O75" t="n">
        <v>2</v>
      </c>
      <c r="P75" t="n">
        <v>1</v>
      </c>
      <c r="Q75" t="n">
        <v>4</v>
      </c>
      <c r="R75" s="2" t="inlineStr">
        <is>
          <t>Sommarklynne
Åkerkulla
Brudsporre
Kärrknipprot</t>
        </is>
      </c>
      <c r="S75">
        <f>HYPERLINK("https://klasma.github.io/Logging_0980/artfynd/A 54523-2023 artfynd.xlsx", "A 54523-2023")</f>
        <v/>
      </c>
      <c r="T75">
        <f>HYPERLINK("https://klasma.github.io/Logging_0980/kartor/A 54523-2023 karta.png", "A 54523-2023")</f>
        <v/>
      </c>
      <c r="V75">
        <f>HYPERLINK("https://klasma.github.io/Logging_0980/klagomål/A 54523-2023 FSC-klagomål.docx", "A 54523-2023")</f>
        <v/>
      </c>
      <c r="W75">
        <f>HYPERLINK("https://klasma.github.io/Logging_0980/klagomålsmail/A 54523-2023 FSC-klagomål mail.docx", "A 54523-2023")</f>
        <v/>
      </c>
      <c r="X75">
        <f>HYPERLINK("https://klasma.github.io/Logging_0980/tillsyn/A 54523-2023 tillsynsbegäran.docx", "A 54523-2023")</f>
        <v/>
      </c>
      <c r="Y75">
        <f>HYPERLINK("https://klasma.github.io/Logging_0980/tillsynsmail/A 54523-2023 tillsynsbegäran mail.docx", "A 54523-2023")</f>
        <v/>
      </c>
    </row>
    <row r="76" ht="15" customHeight="1">
      <c r="A76" t="inlineStr">
        <is>
          <t>A 6159-2023</t>
        </is>
      </c>
      <c r="B76" s="1" t="n">
        <v>44964</v>
      </c>
      <c r="C76" s="1" t="n">
        <v>45900</v>
      </c>
      <c r="D76" t="inlineStr">
        <is>
          <t>GOTLANDS LÄN</t>
        </is>
      </c>
      <c r="E76" t="inlineStr">
        <is>
          <t>GOTLAND</t>
        </is>
      </c>
      <c r="G76" t="n">
        <v>2</v>
      </c>
      <c r="H76" t="n">
        <v>0</v>
      </c>
      <c r="I76" t="n">
        <v>2</v>
      </c>
      <c r="J76" t="n">
        <v>2</v>
      </c>
      <c r="K76" t="n">
        <v>0</v>
      </c>
      <c r="L76" t="n">
        <v>0</v>
      </c>
      <c r="M76" t="n">
        <v>0</v>
      </c>
      <c r="N76" t="n">
        <v>0</v>
      </c>
      <c r="O76" t="n">
        <v>2</v>
      </c>
      <c r="P76" t="n">
        <v>0</v>
      </c>
      <c r="Q76" t="n">
        <v>4</v>
      </c>
      <c r="R76" s="2" t="inlineStr">
        <is>
          <t>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43197-2023</t>
        </is>
      </c>
      <c r="B77" s="1" t="n">
        <v>45183</v>
      </c>
      <c r="C77" s="1" t="n">
        <v>45900</v>
      </c>
      <c r="D77" t="inlineStr">
        <is>
          <t>GOTLANDS LÄN</t>
        </is>
      </c>
      <c r="E77" t="inlineStr">
        <is>
          <t>GOTLAND</t>
        </is>
      </c>
      <c r="G77" t="n">
        <v>3.7</v>
      </c>
      <c r="H77" t="n">
        <v>2</v>
      </c>
      <c r="I77" t="n">
        <v>1</v>
      </c>
      <c r="J77" t="n">
        <v>1</v>
      </c>
      <c r="K77" t="n">
        <v>1</v>
      </c>
      <c r="L77" t="n">
        <v>0</v>
      </c>
      <c r="M77" t="n">
        <v>0</v>
      </c>
      <c r="N77" t="n">
        <v>0</v>
      </c>
      <c r="O77" t="n">
        <v>2</v>
      </c>
      <c r="P77" t="n">
        <v>1</v>
      </c>
      <c r="Q77" t="n">
        <v>4</v>
      </c>
      <c r="R77" s="2" t="inlineStr">
        <is>
          <t>Allékantlav
Svinrot
Skogsknipprot
Revlummer</t>
        </is>
      </c>
      <c r="S77">
        <f>HYPERLINK("https://klasma.github.io/Logging_0980/artfynd/A 43197-2023 artfynd.xlsx", "A 43197-2023")</f>
        <v/>
      </c>
      <c r="T77">
        <f>HYPERLINK("https://klasma.github.io/Logging_0980/kartor/A 43197-2023 karta.png", "A 43197-2023")</f>
        <v/>
      </c>
      <c r="V77">
        <f>HYPERLINK("https://klasma.github.io/Logging_0980/klagomål/A 43197-2023 FSC-klagomål.docx", "A 43197-2023")</f>
        <v/>
      </c>
      <c r="W77">
        <f>HYPERLINK("https://klasma.github.io/Logging_0980/klagomålsmail/A 43197-2023 FSC-klagomål mail.docx", "A 43197-2023")</f>
        <v/>
      </c>
      <c r="X77">
        <f>HYPERLINK("https://klasma.github.io/Logging_0980/tillsyn/A 43197-2023 tillsynsbegäran.docx", "A 43197-2023")</f>
        <v/>
      </c>
      <c r="Y77">
        <f>HYPERLINK("https://klasma.github.io/Logging_0980/tillsynsmail/A 43197-2023 tillsynsbegäran mail.docx", "A 43197-2023")</f>
        <v/>
      </c>
    </row>
    <row r="78" ht="15" customHeight="1">
      <c r="A78" t="inlineStr">
        <is>
          <t>A 1971-2023</t>
        </is>
      </c>
      <c r="B78" s="1" t="n">
        <v>44939</v>
      </c>
      <c r="C78" s="1" t="n">
        <v>45900</v>
      </c>
      <c r="D78" t="inlineStr">
        <is>
          <t>GOTLANDS LÄN</t>
        </is>
      </c>
      <c r="E78" t="inlineStr">
        <is>
          <t>GOTLAND</t>
        </is>
      </c>
      <c r="G78" t="n">
        <v>5.5</v>
      </c>
      <c r="H78" t="n">
        <v>0</v>
      </c>
      <c r="I78" t="n">
        <v>2</v>
      </c>
      <c r="J78" t="n">
        <v>1</v>
      </c>
      <c r="K78" t="n">
        <v>1</v>
      </c>
      <c r="L78" t="n">
        <v>0</v>
      </c>
      <c r="M78" t="n">
        <v>0</v>
      </c>
      <c r="N78" t="n">
        <v>0</v>
      </c>
      <c r="O78" t="n">
        <v>2</v>
      </c>
      <c r="P78" t="n">
        <v>1</v>
      </c>
      <c r="Q78" t="n">
        <v>4</v>
      </c>
      <c r="R78" s="2" t="inlineStr">
        <is>
          <t>Gulsträngad fagerspindling
Svinrot
Fjällig taggsvamp s.str.
Olivspindling</t>
        </is>
      </c>
      <c r="S78">
        <f>HYPERLINK("https://klasma.github.io/Logging_0980/artfynd/A 1971-2023 artfynd.xlsx", "A 1971-2023")</f>
        <v/>
      </c>
      <c r="T78">
        <f>HYPERLINK("https://klasma.github.io/Logging_0980/kartor/A 1971-2023 karta.png", "A 1971-2023")</f>
        <v/>
      </c>
      <c r="V78">
        <f>HYPERLINK("https://klasma.github.io/Logging_0980/klagomål/A 1971-2023 FSC-klagomål.docx", "A 1971-2023")</f>
        <v/>
      </c>
      <c r="W78">
        <f>HYPERLINK("https://klasma.github.io/Logging_0980/klagomålsmail/A 1971-2023 FSC-klagomål mail.docx", "A 1971-2023")</f>
        <v/>
      </c>
      <c r="X78">
        <f>HYPERLINK("https://klasma.github.io/Logging_0980/tillsyn/A 1971-2023 tillsynsbegäran.docx", "A 1971-2023")</f>
        <v/>
      </c>
      <c r="Y78">
        <f>HYPERLINK("https://klasma.github.io/Logging_0980/tillsynsmail/A 1971-2023 tillsynsbegäran mail.docx", "A 1971-2023")</f>
        <v/>
      </c>
    </row>
    <row r="79" ht="15" customHeight="1">
      <c r="A79" t="inlineStr">
        <is>
          <t>A 2485-2025</t>
        </is>
      </c>
      <c r="B79" s="1" t="n">
        <v>45673</v>
      </c>
      <c r="C79" s="1" t="n">
        <v>45900</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64378-2020</t>
        </is>
      </c>
      <c r="B80" s="1" t="n">
        <v>44168</v>
      </c>
      <c r="C80" s="1" t="n">
        <v>45900</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45900</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45900</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40099-2025</t>
        </is>
      </c>
      <c r="B83" s="1" t="n">
        <v>45894.48462962963</v>
      </c>
      <c r="C83" s="1" t="n">
        <v>45900</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8265-2023</t>
        </is>
      </c>
      <c r="B84" s="1" t="n">
        <v>44974</v>
      </c>
      <c r="C84" s="1" t="n">
        <v>45900</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186-2023</t>
        </is>
      </c>
      <c r="B85" s="1" t="n">
        <v>44928</v>
      </c>
      <c r="C85" s="1" t="n">
        <v>45900</v>
      </c>
      <c r="D85" t="inlineStr">
        <is>
          <t>GOTLANDS LÄN</t>
        </is>
      </c>
      <c r="E85" t="inlineStr">
        <is>
          <t>GOTLAND</t>
        </is>
      </c>
      <c r="G85" t="n">
        <v>2.2</v>
      </c>
      <c r="H85" t="n">
        <v>2</v>
      </c>
      <c r="I85" t="n">
        <v>2</v>
      </c>
      <c r="J85" t="n">
        <v>0</v>
      </c>
      <c r="K85" t="n">
        <v>2</v>
      </c>
      <c r="L85" t="n">
        <v>0</v>
      </c>
      <c r="M85" t="n">
        <v>0</v>
      </c>
      <c r="N85" t="n">
        <v>0</v>
      </c>
      <c r="O85" t="n">
        <v>2</v>
      </c>
      <c r="P85" t="n">
        <v>2</v>
      </c>
      <c r="Q85" t="n">
        <v>4</v>
      </c>
      <c r="R85" s="2" t="inlineStr">
        <is>
          <t>Svartgrön spindling
Vit taggsvamp
Nästrot
Skogsknipprot</t>
        </is>
      </c>
      <c r="S85">
        <f>HYPERLINK("https://klasma.github.io/Logging_0980/artfynd/A 186-2023 artfynd.xlsx", "A 186-2023")</f>
        <v/>
      </c>
      <c r="T85">
        <f>HYPERLINK("https://klasma.github.io/Logging_0980/kartor/A 186-2023 karta.png", "A 186-2023")</f>
        <v/>
      </c>
      <c r="V85">
        <f>HYPERLINK("https://klasma.github.io/Logging_0980/klagomål/A 186-2023 FSC-klagomål.docx", "A 186-2023")</f>
        <v/>
      </c>
      <c r="W85">
        <f>HYPERLINK("https://klasma.github.io/Logging_0980/klagomålsmail/A 186-2023 FSC-klagomål mail.docx", "A 186-2023")</f>
        <v/>
      </c>
      <c r="X85">
        <f>HYPERLINK("https://klasma.github.io/Logging_0980/tillsyn/A 186-2023 tillsynsbegäran.docx", "A 186-2023")</f>
        <v/>
      </c>
      <c r="Y85">
        <f>HYPERLINK("https://klasma.github.io/Logging_0980/tillsynsmail/A 186-2023 tillsynsbegäran mail.docx", "A 186-2023")</f>
        <v/>
      </c>
    </row>
    <row r="86" ht="15" customHeight="1">
      <c r="A86" t="inlineStr">
        <is>
          <t>A 56717-2024</t>
        </is>
      </c>
      <c r="B86" s="1" t="n">
        <v>45628.3166550926</v>
      </c>
      <c r="C86" s="1" t="n">
        <v>45900</v>
      </c>
      <c r="D86" t="inlineStr">
        <is>
          <t>GOTLANDS LÄN</t>
        </is>
      </c>
      <c r="E86" t="inlineStr">
        <is>
          <t>GOTLAND</t>
        </is>
      </c>
      <c r="G86" t="n">
        <v>9.699999999999999</v>
      </c>
      <c r="H86" t="n">
        <v>0</v>
      </c>
      <c r="I86" t="n">
        <v>2</v>
      </c>
      <c r="J86" t="n">
        <v>2</v>
      </c>
      <c r="K86" t="n">
        <v>0</v>
      </c>
      <c r="L86" t="n">
        <v>0</v>
      </c>
      <c r="M86" t="n">
        <v>0</v>
      </c>
      <c r="N86" t="n">
        <v>0</v>
      </c>
      <c r="O86" t="n">
        <v>2</v>
      </c>
      <c r="P86" t="n">
        <v>0</v>
      </c>
      <c r="Q86" t="n">
        <v>4</v>
      </c>
      <c r="R86" s="2" t="inlineStr">
        <is>
          <t>Ekvaxskivling
Odörspindling
Fjällig taggsvamp s.str.
Kattfotslav</t>
        </is>
      </c>
      <c r="S86">
        <f>HYPERLINK("https://klasma.github.io/Logging_0980/artfynd/A 56717-2024 artfynd.xlsx", "A 56717-2024")</f>
        <v/>
      </c>
      <c r="T86">
        <f>HYPERLINK("https://klasma.github.io/Logging_0980/kartor/A 56717-2024 karta.png", "A 56717-2024")</f>
        <v/>
      </c>
      <c r="V86">
        <f>HYPERLINK("https://klasma.github.io/Logging_0980/klagomål/A 56717-2024 FSC-klagomål.docx", "A 56717-2024")</f>
        <v/>
      </c>
      <c r="W86">
        <f>HYPERLINK("https://klasma.github.io/Logging_0980/klagomålsmail/A 56717-2024 FSC-klagomål mail.docx", "A 56717-2024")</f>
        <v/>
      </c>
      <c r="X86">
        <f>HYPERLINK("https://klasma.github.io/Logging_0980/tillsyn/A 56717-2024 tillsynsbegäran.docx", "A 56717-2024")</f>
        <v/>
      </c>
      <c r="Y86">
        <f>HYPERLINK("https://klasma.github.io/Logging_0980/tillsynsmail/A 56717-2024 tillsynsbegäran mail.docx", "A 56717-2024")</f>
        <v/>
      </c>
    </row>
    <row r="87" ht="15" customHeight="1">
      <c r="A87" t="inlineStr">
        <is>
          <t>A 55029-2020</t>
        </is>
      </c>
      <c r="B87" s="1" t="n">
        <v>44130</v>
      </c>
      <c r="C87" s="1" t="n">
        <v>45900</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45900</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45900</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45900</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45900</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45900</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17982-2023</t>
        </is>
      </c>
      <c r="B93" s="1" t="n">
        <v>45040</v>
      </c>
      <c r="C93" s="1" t="n">
        <v>45900</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45900</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45900</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30490-2025</t>
        </is>
      </c>
      <c r="B96" s="1" t="n">
        <v>45830</v>
      </c>
      <c r="C96" s="1" t="n">
        <v>45900</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45900</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12315-2024</t>
        </is>
      </c>
      <c r="B98" s="1" t="n">
        <v>45378.6434837963</v>
      </c>
      <c r="C98" s="1" t="n">
        <v>45900</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43013-2022</t>
        </is>
      </c>
      <c r="B99" s="1" t="n">
        <v>44833</v>
      </c>
      <c r="C99" s="1" t="n">
        <v>45900</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45900</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62326-2020</t>
        </is>
      </c>
      <c r="B101" s="1" t="n">
        <v>44160</v>
      </c>
      <c r="C101" s="1" t="n">
        <v>45900</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53552-2021</t>
        </is>
      </c>
      <c r="B102" s="1" t="n">
        <v>44468</v>
      </c>
      <c r="C102" s="1" t="n">
        <v>45900</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29870-2021</t>
        </is>
      </c>
      <c r="B103" s="1" t="n">
        <v>44362</v>
      </c>
      <c r="C103" s="1" t="n">
        <v>45900</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45900</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45900</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45900</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45900</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45900</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48126-2022</t>
        </is>
      </c>
      <c r="B109" s="1" t="n">
        <v>44857</v>
      </c>
      <c r="C109" s="1" t="n">
        <v>45900</v>
      </c>
      <c r="D109" t="inlineStr">
        <is>
          <t>GOTLANDS LÄN</t>
        </is>
      </c>
      <c r="E109" t="inlineStr">
        <is>
          <t>GOTLAND</t>
        </is>
      </c>
      <c r="G109" t="n">
        <v>9.800000000000001</v>
      </c>
      <c r="H109" t="n">
        <v>1</v>
      </c>
      <c r="I109" t="n">
        <v>0</v>
      </c>
      <c r="J109" t="n">
        <v>2</v>
      </c>
      <c r="K109" t="n">
        <v>0</v>
      </c>
      <c r="L109" t="n">
        <v>0</v>
      </c>
      <c r="M109" t="n">
        <v>0</v>
      </c>
      <c r="N109" t="n">
        <v>0</v>
      </c>
      <c r="O109" t="n">
        <v>2</v>
      </c>
      <c r="P109" t="n">
        <v>0</v>
      </c>
      <c r="Q109" t="n">
        <v>2</v>
      </c>
      <c r="R109" s="2" t="inlineStr">
        <is>
          <t>Jordtistel
Spillkråka</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21879-2025</t>
        </is>
      </c>
      <c r="B110" s="1" t="n">
        <v>45784.40533564815</v>
      </c>
      <c r="C110" s="1" t="n">
        <v>45900</v>
      </c>
      <c r="D110" t="inlineStr">
        <is>
          <t>GOTLANDS LÄN</t>
        </is>
      </c>
      <c r="E110" t="inlineStr">
        <is>
          <t>GOTLAND</t>
        </is>
      </c>
      <c r="G110" t="n">
        <v>11.1</v>
      </c>
      <c r="H110" t="n">
        <v>0</v>
      </c>
      <c r="I110" t="n">
        <v>1</v>
      </c>
      <c r="J110" t="n">
        <v>0</v>
      </c>
      <c r="K110" t="n">
        <v>0</v>
      </c>
      <c r="L110" t="n">
        <v>1</v>
      </c>
      <c r="M110" t="n">
        <v>0</v>
      </c>
      <c r="N110" t="n">
        <v>0</v>
      </c>
      <c r="O110" t="n">
        <v>1</v>
      </c>
      <c r="P110" t="n">
        <v>1</v>
      </c>
      <c r="Q110" t="n">
        <v>2</v>
      </c>
      <c r="R110" s="2" t="inlineStr">
        <is>
          <t>Ask
Murgröna</t>
        </is>
      </c>
      <c r="S110">
        <f>HYPERLINK("https://klasma.github.io/Logging_0980/artfynd/A 21879-2025 artfynd.xlsx", "A 21879-2025")</f>
        <v/>
      </c>
      <c r="T110">
        <f>HYPERLINK("https://klasma.github.io/Logging_0980/kartor/A 21879-2025 karta.png", "A 21879-2025")</f>
        <v/>
      </c>
      <c r="V110">
        <f>HYPERLINK("https://klasma.github.io/Logging_0980/klagomål/A 21879-2025 FSC-klagomål.docx", "A 21879-2025")</f>
        <v/>
      </c>
      <c r="W110">
        <f>HYPERLINK("https://klasma.github.io/Logging_0980/klagomålsmail/A 21879-2025 FSC-klagomål mail.docx", "A 21879-2025")</f>
        <v/>
      </c>
      <c r="X110">
        <f>HYPERLINK("https://klasma.github.io/Logging_0980/tillsyn/A 21879-2025 tillsynsbegäran.docx", "A 21879-2025")</f>
        <v/>
      </c>
      <c r="Y110">
        <f>HYPERLINK("https://klasma.github.io/Logging_0980/tillsynsmail/A 21879-2025 tillsynsbegäran mail.docx", "A 21879-2025")</f>
        <v/>
      </c>
    </row>
    <row r="111" ht="15" customHeight="1">
      <c r="A111" t="inlineStr">
        <is>
          <t>A 26077-2024</t>
        </is>
      </c>
      <c r="B111" s="1" t="n">
        <v>45467</v>
      </c>
      <c r="C111" s="1" t="n">
        <v>45900</v>
      </c>
      <c r="D111" t="inlineStr">
        <is>
          <t>GOTLANDS LÄN</t>
        </is>
      </c>
      <c r="E111" t="inlineStr">
        <is>
          <t>GOTLAND</t>
        </is>
      </c>
      <c r="G111" t="n">
        <v>4.6</v>
      </c>
      <c r="H111" t="n">
        <v>0</v>
      </c>
      <c r="I111" t="n">
        <v>0</v>
      </c>
      <c r="J111" t="n">
        <v>1</v>
      </c>
      <c r="K111" t="n">
        <v>0</v>
      </c>
      <c r="L111" t="n">
        <v>1</v>
      </c>
      <c r="M111" t="n">
        <v>0</v>
      </c>
      <c r="N111" t="n">
        <v>0</v>
      </c>
      <c r="O111" t="n">
        <v>2</v>
      </c>
      <c r="P111" t="n">
        <v>1</v>
      </c>
      <c r="Q111" t="n">
        <v>2</v>
      </c>
      <c r="R111" s="2" t="inlineStr">
        <is>
          <t>Ask
Tallticka</t>
        </is>
      </c>
      <c r="S111">
        <f>HYPERLINK("https://klasma.github.io/Logging_0980/artfynd/A 26077-2024 artfynd.xlsx", "A 26077-2024")</f>
        <v/>
      </c>
      <c r="T111">
        <f>HYPERLINK("https://klasma.github.io/Logging_0980/kartor/A 26077-2024 karta.png", "A 26077-2024")</f>
        <v/>
      </c>
      <c r="V111">
        <f>HYPERLINK("https://klasma.github.io/Logging_0980/klagomål/A 26077-2024 FSC-klagomål.docx", "A 26077-2024")</f>
        <v/>
      </c>
      <c r="W111">
        <f>HYPERLINK("https://klasma.github.io/Logging_0980/klagomålsmail/A 26077-2024 FSC-klagomål mail.docx", "A 26077-2024")</f>
        <v/>
      </c>
      <c r="X111">
        <f>HYPERLINK("https://klasma.github.io/Logging_0980/tillsyn/A 26077-2024 tillsynsbegäran.docx", "A 26077-2024")</f>
        <v/>
      </c>
      <c r="Y111">
        <f>HYPERLINK("https://klasma.github.io/Logging_0980/tillsynsmail/A 26077-2024 tillsynsbegäran mail.docx", "A 26077-2024")</f>
        <v/>
      </c>
    </row>
    <row r="112" ht="15" customHeight="1">
      <c r="A112" t="inlineStr">
        <is>
          <t>A 54357-2024</t>
        </is>
      </c>
      <c r="B112" s="1" t="n">
        <v>45617.40662037037</v>
      </c>
      <c r="C112" s="1" t="n">
        <v>45900</v>
      </c>
      <c r="D112" t="inlineStr">
        <is>
          <t>GOTLANDS LÄN</t>
        </is>
      </c>
      <c r="E112" t="inlineStr">
        <is>
          <t>GOTLAND</t>
        </is>
      </c>
      <c r="G112" t="n">
        <v>1.5</v>
      </c>
      <c r="H112" t="n">
        <v>1</v>
      </c>
      <c r="I112" t="n">
        <v>0</v>
      </c>
      <c r="J112" t="n">
        <v>1</v>
      </c>
      <c r="K112" t="n">
        <v>0</v>
      </c>
      <c r="L112" t="n">
        <v>0</v>
      </c>
      <c r="M112" t="n">
        <v>0</v>
      </c>
      <c r="N112" t="n">
        <v>0</v>
      </c>
      <c r="O112" t="n">
        <v>1</v>
      </c>
      <c r="P112" t="n">
        <v>0</v>
      </c>
      <c r="Q112" t="n">
        <v>2</v>
      </c>
      <c r="R112" s="2" t="inlineStr">
        <is>
          <t>Loppstarr
Fläcknycklar</t>
        </is>
      </c>
      <c r="S112">
        <f>HYPERLINK("https://klasma.github.io/Logging_0980/artfynd/A 54357-2024 artfynd.xlsx", "A 54357-2024")</f>
        <v/>
      </c>
      <c r="T112">
        <f>HYPERLINK("https://klasma.github.io/Logging_0980/kartor/A 54357-2024 karta.png", "A 54357-2024")</f>
        <v/>
      </c>
      <c r="V112">
        <f>HYPERLINK("https://klasma.github.io/Logging_0980/klagomål/A 54357-2024 FSC-klagomål.docx", "A 54357-2024")</f>
        <v/>
      </c>
      <c r="W112">
        <f>HYPERLINK("https://klasma.github.io/Logging_0980/klagomålsmail/A 54357-2024 FSC-klagomål mail.docx", "A 54357-2024")</f>
        <v/>
      </c>
      <c r="X112">
        <f>HYPERLINK("https://klasma.github.io/Logging_0980/tillsyn/A 54357-2024 tillsynsbegäran.docx", "A 54357-2024")</f>
        <v/>
      </c>
      <c r="Y112">
        <f>HYPERLINK("https://klasma.github.io/Logging_0980/tillsynsmail/A 54357-2024 tillsynsbegäran mail.docx", "A 54357-2024")</f>
        <v/>
      </c>
    </row>
    <row r="113" ht="15" customHeight="1">
      <c r="A113" t="inlineStr">
        <is>
          <t>A 58701-2020</t>
        </is>
      </c>
      <c r="B113" s="1" t="n">
        <v>44146</v>
      </c>
      <c r="C113" s="1" t="n">
        <v>45900</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45900</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7070-2022</t>
        </is>
      </c>
      <c r="B115" s="1" t="n">
        <v>44603</v>
      </c>
      <c r="C115" s="1" t="n">
        <v>45900</v>
      </c>
      <c r="D115" t="inlineStr">
        <is>
          <t>GOTLANDS LÄN</t>
        </is>
      </c>
      <c r="E115" t="inlineStr">
        <is>
          <t>GOTLAND</t>
        </is>
      </c>
      <c r="G115" t="n">
        <v>2.6</v>
      </c>
      <c r="H115" t="n">
        <v>0</v>
      </c>
      <c r="I115" t="n">
        <v>2</v>
      </c>
      <c r="J115" t="n">
        <v>0</v>
      </c>
      <c r="K115" t="n">
        <v>0</v>
      </c>
      <c r="L115" t="n">
        <v>0</v>
      </c>
      <c r="M115" t="n">
        <v>0</v>
      </c>
      <c r="N115" t="n">
        <v>0</v>
      </c>
      <c r="O115" t="n">
        <v>0</v>
      </c>
      <c r="P115" t="n">
        <v>0</v>
      </c>
      <c r="Q115" t="n">
        <v>2</v>
      </c>
      <c r="R115" s="2" t="inlineStr">
        <is>
          <t>Blåmossa
Kattfotslav</t>
        </is>
      </c>
      <c r="S115">
        <f>HYPERLINK("https://klasma.github.io/Logging_0980/artfynd/A 7070-2022 artfynd.xlsx", "A 7070-2022")</f>
        <v/>
      </c>
      <c r="T115">
        <f>HYPERLINK("https://klasma.github.io/Logging_0980/kartor/A 7070-2022 karta.png", "A 7070-2022")</f>
        <v/>
      </c>
      <c r="V115">
        <f>HYPERLINK("https://klasma.github.io/Logging_0980/klagomål/A 7070-2022 FSC-klagomål.docx", "A 7070-2022")</f>
        <v/>
      </c>
      <c r="W115">
        <f>HYPERLINK("https://klasma.github.io/Logging_0980/klagomålsmail/A 7070-2022 FSC-klagomål mail.docx", "A 7070-2022")</f>
        <v/>
      </c>
      <c r="X115">
        <f>HYPERLINK("https://klasma.github.io/Logging_0980/tillsyn/A 7070-2022 tillsynsbegäran.docx", "A 7070-2022")</f>
        <v/>
      </c>
      <c r="Y115">
        <f>HYPERLINK("https://klasma.github.io/Logging_0980/tillsynsmail/A 7070-2022 tillsynsbegäran mail.docx", "A 7070-2022")</f>
        <v/>
      </c>
    </row>
    <row r="116" ht="15" customHeight="1">
      <c r="A116" t="inlineStr">
        <is>
          <t>A 12914-2025</t>
        </is>
      </c>
      <c r="B116" s="1" t="n">
        <v>45733</v>
      </c>
      <c r="C116" s="1" t="n">
        <v>45900</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28261-2024</t>
        </is>
      </c>
      <c r="B117" s="1" t="n">
        <v>45477</v>
      </c>
      <c r="C117" s="1" t="n">
        <v>45900</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28261-2024 artfynd.xlsx", "A 28261-2024")</f>
        <v/>
      </c>
      <c r="T117">
        <f>HYPERLINK("https://klasma.github.io/Logging_0980/kartor/A 28261-2024 karta.png", "A 28261-2024")</f>
        <v/>
      </c>
      <c r="V117">
        <f>HYPERLINK("https://klasma.github.io/Logging_0980/klagomål/A 28261-2024 FSC-klagomål.docx", "A 28261-2024")</f>
        <v/>
      </c>
      <c r="W117">
        <f>HYPERLINK("https://klasma.github.io/Logging_0980/klagomålsmail/A 28261-2024 FSC-klagomål mail.docx", "A 28261-2024")</f>
        <v/>
      </c>
      <c r="X117">
        <f>HYPERLINK("https://klasma.github.io/Logging_0980/tillsyn/A 28261-2024 tillsynsbegäran.docx", "A 28261-2024")</f>
        <v/>
      </c>
      <c r="Y117">
        <f>HYPERLINK("https://klasma.github.io/Logging_0980/tillsynsmail/A 28261-2024 tillsynsbegäran mail.docx", "A 28261-2024")</f>
        <v/>
      </c>
    </row>
    <row r="118" ht="15" customHeight="1">
      <c r="A118" t="inlineStr">
        <is>
          <t>A 41238-2025</t>
        </is>
      </c>
      <c r="B118" s="1" t="n">
        <v>45898</v>
      </c>
      <c r="C118" s="1" t="n">
        <v>45900</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55649-2024</t>
        </is>
      </c>
      <c r="B119" s="1" t="n">
        <v>45622.63053240741</v>
      </c>
      <c r="C119" s="1" t="n">
        <v>45900</v>
      </c>
      <c r="D119" t="inlineStr">
        <is>
          <t>GOTLANDS LÄN</t>
        </is>
      </c>
      <c r="E119" t="inlineStr">
        <is>
          <t>GOTLAND</t>
        </is>
      </c>
      <c r="G119" t="n">
        <v>4.6</v>
      </c>
      <c r="H119" t="n">
        <v>2</v>
      </c>
      <c r="I119" t="n">
        <v>0</v>
      </c>
      <c r="J119" t="n">
        <v>0</v>
      </c>
      <c r="K119" t="n">
        <v>0</v>
      </c>
      <c r="L119" t="n">
        <v>0</v>
      </c>
      <c r="M119" t="n">
        <v>0</v>
      </c>
      <c r="N119" t="n">
        <v>0</v>
      </c>
      <c r="O119" t="n">
        <v>0</v>
      </c>
      <c r="P119" t="n">
        <v>0</v>
      </c>
      <c r="Q119" t="n">
        <v>2</v>
      </c>
      <c r="R119" s="2" t="inlineStr">
        <is>
          <t>Sankt pers nycklar
Blåsippa</t>
        </is>
      </c>
      <c r="S119">
        <f>HYPERLINK("https://klasma.github.io/Logging_0980/artfynd/A 55649-2024 artfynd.xlsx", "A 55649-2024")</f>
        <v/>
      </c>
      <c r="T119">
        <f>HYPERLINK("https://klasma.github.io/Logging_0980/kartor/A 55649-2024 karta.png", "A 55649-2024")</f>
        <v/>
      </c>
      <c r="V119">
        <f>HYPERLINK("https://klasma.github.io/Logging_0980/klagomål/A 55649-2024 FSC-klagomål.docx", "A 55649-2024")</f>
        <v/>
      </c>
      <c r="W119">
        <f>HYPERLINK("https://klasma.github.io/Logging_0980/klagomålsmail/A 55649-2024 FSC-klagomål mail.docx", "A 55649-2024")</f>
        <v/>
      </c>
      <c r="X119">
        <f>HYPERLINK("https://klasma.github.io/Logging_0980/tillsyn/A 55649-2024 tillsynsbegäran.docx", "A 55649-2024")</f>
        <v/>
      </c>
      <c r="Y119">
        <f>HYPERLINK("https://klasma.github.io/Logging_0980/tillsynsmail/A 55649-2024 tillsynsbegäran mail.docx", "A 55649-2024")</f>
        <v/>
      </c>
    </row>
    <row r="120" ht="15" customHeight="1">
      <c r="A120" t="inlineStr">
        <is>
          <t>A 20838-2024</t>
        </is>
      </c>
      <c r="B120" s="1" t="n">
        <v>45439</v>
      </c>
      <c r="C120" s="1" t="n">
        <v>45900</v>
      </c>
      <c r="D120" t="inlineStr">
        <is>
          <t>GOTLANDS LÄN</t>
        </is>
      </c>
      <c r="E120" t="inlineStr">
        <is>
          <t>GOTLAND</t>
        </is>
      </c>
      <c r="G120" t="n">
        <v>0.7</v>
      </c>
      <c r="H120" t="n">
        <v>2</v>
      </c>
      <c r="I120" t="n">
        <v>1</v>
      </c>
      <c r="J120" t="n">
        <v>1</v>
      </c>
      <c r="K120" t="n">
        <v>0</v>
      </c>
      <c r="L120" t="n">
        <v>0</v>
      </c>
      <c r="M120" t="n">
        <v>0</v>
      </c>
      <c r="N120" t="n">
        <v>0</v>
      </c>
      <c r="O120" t="n">
        <v>1</v>
      </c>
      <c r="P120" t="n">
        <v>0</v>
      </c>
      <c r="Q120" t="n">
        <v>2</v>
      </c>
      <c r="R120" s="2" t="inlineStr">
        <is>
          <t>Spillkråka
Skogsknipprot</t>
        </is>
      </c>
      <c r="S120">
        <f>HYPERLINK("https://klasma.github.io/Logging_0980/artfynd/A 20838-2024 artfynd.xlsx", "A 20838-2024")</f>
        <v/>
      </c>
      <c r="T120">
        <f>HYPERLINK("https://klasma.github.io/Logging_0980/kartor/A 20838-2024 karta.png", "A 20838-2024")</f>
        <v/>
      </c>
      <c r="V120">
        <f>HYPERLINK("https://klasma.github.io/Logging_0980/klagomål/A 20838-2024 FSC-klagomål.docx", "A 20838-2024")</f>
        <v/>
      </c>
      <c r="W120">
        <f>HYPERLINK("https://klasma.github.io/Logging_0980/klagomålsmail/A 20838-2024 FSC-klagomål mail.docx", "A 20838-2024")</f>
        <v/>
      </c>
      <c r="X120">
        <f>HYPERLINK("https://klasma.github.io/Logging_0980/tillsyn/A 20838-2024 tillsynsbegäran.docx", "A 20838-2024")</f>
        <v/>
      </c>
      <c r="Y120">
        <f>HYPERLINK("https://klasma.github.io/Logging_0980/tillsynsmail/A 20838-2024 tillsynsbegäran mail.docx", "A 20838-2024")</f>
        <v/>
      </c>
      <c r="Z120">
        <f>HYPERLINK("https://klasma.github.io/Logging_0980/fåglar/A 20838-2024 prioriterade fågelarter.docx", "A 20838-2024")</f>
        <v/>
      </c>
    </row>
    <row r="121" ht="15" customHeight="1">
      <c r="A121" t="inlineStr">
        <is>
          <t>A 64263-2020</t>
        </is>
      </c>
      <c r="B121" s="1" t="n">
        <v>44168</v>
      </c>
      <c r="C121" s="1" t="n">
        <v>45900</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73144-2021</t>
        </is>
      </c>
      <c r="B122" s="1" t="n">
        <v>44550</v>
      </c>
      <c r="C122" s="1" t="n">
        <v>45900</v>
      </c>
      <c r="D122" t="inlineStr">
        <is>
          <t>GOTLANDS LÄN</t>
        </is>
      </c>
      <c r="E122" t="inlineStr">
        <is>
          <t>GOTLAND</t>
        </is>
      </c>
      <c r="G122" t="n">
        <v>1.9</v>
      </c>
      <c r="H122" t="n">
        <v>0</v>
      </c>
      <c r="I122" t="n">
        <v>1</v>
      </c>
      <c r="J122" t="n">
        <v>0</v>
      </c>
      <c r="K122" t="n">
        <v>1</v>
      </c>
      <c r="L122" t="n">
        <v>0</v>
      </c>
      <c r="M122" t="n">
        <v>0</v>
      </c>
      <c r="N122" t="n">
        <v>0</v>
      </c>
      <c r="O122" t="n">
        <v>1</v>
      </c>
      <c r="P122" t="n">
        <v>1</v>
      </c>
      <c r="Q122" t="n">
        <v>2</v>
      </c>
      <c r="R122" s="2" t="inlineStr">
        <is>
          <t>Skogskorn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28276-2024</t>
        </is>
      </c>
      <c r="B123" s="1" t="n">
        <v>45477</v>
      </c>
      <c r="C123" s="1" t="n">
        <v>45900</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28276-2024 artfynd.xlsx", "A 28276-2024")</f>
        <v/>
      </c>
      <c r="T123">
        <f>HYPERLINK("https://klasma.github.io/Logging_0980/kartor/A 28276-2024 karta.png", "A 28276-2024")</f>
        <v/>
      </c>
      <c r="V123">
        <f>HYPERLINK("https://klasma.github.io/Logging_0980/klagomål/A 28276-2024 FSC-klagomål.docx", "A 28276-2024")</f>
        <v/>
      </c>
      <c r="W123">
        <f>HYPERLINK("https://klasma.github.io/Logging_0980/klagomålsmail/A 28276-2024 FSC-klagomål mail.docx", "A 28276-2024")</f>
        <v/>
      </c>
      <c r="X123">
        <f>HYPERLINK("https://klasma.github.io/Logging_0980/tillsyn/A 28276-2024 tillsynsbegäran.docx", "A 28276-2024")</f>
        <v/>
      </c>
      <c r="Y123">
        <f>HYPERLINK("https://klasma.github.io/Logging_0980/tillsynsmail/A 28276-2024 tillsynsbegäran mail.docx", "A 28276-2024")</f>
        <v/>
      </c>
    </row>
    <row r="124" ht="15" customHeight="1">
      <c r="A124" t="inlineStr">
        <is>
          <t>A 24-2021</t>
        </is>
      </c>
      <c r="B124" s="1" t="n">
        <v>44197</v>
      </c>
      <c r="C124" s="1" t="n">
        <v>45900</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45900</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45900</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45900</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45900</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45900</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63576-2021</t>
        </is>
      </c>
      <c r="B130" s="1" t="n">
        <v>44508</v>
      </c>
      <c r="C130" s="1" t="n">
        <v>45900</v>
      </c>
      <c r="D130" t="inlineStr">
        <is>
          <t>GOTLANDS LÄN</t>
        </is>
      </c>
      <c r="E130" t="inlineStr">
        <is>
          <t>GOTLAND</t>
        </is>
      </c>
      <c r="F130" t="inlineStr">
        <is>
          <t>Kyrkan</t>
        </is>
      </c>
      <c r="G130" t="n">
        <v>4.1</v>
      </c>
      <c r="H130" t="n">
        <v>1</v>
      </c>
      <c r="I130" t="n">
        <v>0</v>
      </c>
      <c r="J130" t="n">
        <v>1</v>
      </c>
      <c r="K130" t="n">
        <v>0</v>
      </c>
      <c r="L130" t="n">
        <v>0</v>
      </c>
      <c r="M130" t="n">
        <v>0</v>
      </c>
      <c r="N130" t="n">
        <v>0</v>
      </c>
      <c r="O130" t="n">
        <v>1</v>
      </c>
      <c r="P130" t="n">
        <v>0</v>
      </c>
      <c r="Q130" t="n">
        <v>1</v>
      </c>
      <c r="R130" s="2" t="inlineStr">
        <is>
          <t>Dårgräsfjäril</t>
        </is>
      </c>
      <c r="S130">
        <f>HYPERLINK("https://klasma.github.io/Logging_0980/artfynd/A 63576-2021 artfynd.xlsx", "A 63576-2021")</f>
        <v/>
      </c>
      <c r="T130">
        <f>HYPERLINK("https://klasma.github.io/Logging_0980/kartor/A 63576-2021 karta.png", "A 63576-2021")</f>
        <v/>
      </c>
      <c r="V130">
        <f>HYPERLINK("https://klasma.github.io/Logging_0980/klagomål/A 63576-2021 FSC-klagomål.docx", "A 63576-2021")</f>
        <v/>
      </c>
      <c r="W130">
        <f>HYPERLINK("https://klasma.github.io/Logging_0980/klagomålsmail/A 63576-2021 FSC-klagomål mail.docx", "A 63576-2021")</f>
        <v/>
      </c>
      <c r="X130">
        <f>HYPERLINK("https://klasma.github.io/Logging_0980/tillsyn/A 63576-2021 tillsynsbegäran.docx", "A 63576-2021")</f>
        <v/>
      </c>
      <c r="Y130">
        <f>HYPERLINK("https://klasma.github.io/Logging_0980/tillsynsmail/A 63576-2021 tillsynsbegäran mail.docx", "A 63576-2021")</f>
        <v/>
      </c>
    </row>
    <row r="131" ht="15" customHeight="1">
      <c r="A131" t="inlineStr">
        <is>
          <t>A 10218-2025</t>
        </is>
      </c>
      <c r="B131" s="1" t="n">
        <v>45720</v>
      </c>
      <c r="C131" s="1" t="n">
        <v>45900</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12379-2024</t>
        </is>
      </c>
      <c r="B132" s="1" t="n">
        <v>45379.28155092592</v>
      </c>
      <c r="C132" s="1" t="n">
        <v>45900</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20429-2025</t>
        </is>
      </c>
      <c r="B133" s="1" t="n">
        <v>45775.47728009259</v>
      </c>
      <c r="C133" s="1" t="n">
        <v>45900</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45900</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17723-2021</t>
        </is>
      </c>
      <c r="B135" s="1" t="n">
        <v>44300</v>
      </c>
      <c r="C135" s="1" t="n">
        <v>45900</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21466-2025</t>
        </is>
      </c>
      <c r="B136" s="1" t="n">
        <v>45782</v>
      </c>
      <c r="C136" s="1" t="n">
        <v>45900</v>
      </c>
      <c r="D136" t="inlineStr">
        <is>
          <t>GOTLANDS LÄN</t>
        </is>
      </c>
      <c r="E136" t="inlineStr">
        <is>
          <t>GOTLAND</t>
        </is>
      </c>
      <c r="F136" t="inlineStr">
        <is>
          <t>Övriga statliga verk och myndigheter</t>
        </is>
      </c>
      <c r="G136" t="n">
        <v>1.7</v>
      </c>
      <c r="H136" t="n">
        <v>1</v>
      </c>
      <c r="I136" t="n">
        <v>0</v>
      </c>
      <c r="J136" t="n">
        <v>0</v>
      </c>
      <c r="K136" t="n">
        <v>0</v>
      </c>
      <c r="L136" t="n">
        <v>0</v>
      </c>
      <c r="M136" t="n">
        <v>0</v>
      </c>
      <c r="N136" t="n">
        <v>0</v>
      </c>
      <c r="O136" t="n">
        <v>0</v>
      </c>
      <c r="P136" t="n">
        <v>0</v>
      </c>
      <c r="Q136" t="n">
        <v>1</v>
      </c>
      <c r="R136" s="2" t="inlineStr">
        <is>
          <t>Blåsippa</t>
        </is>
      </c>
      <c r="S136">
        <f>HYPERLINK("https://klasma.github.io/Logging_0980/artfynd/A 21466-2025 artfynd.xlsx", "A 21466-2025")</f>
        <v/>
      </c>
      <c r="T136">
        <f>HYPERLINK("https://klasma.github.io/Logging_0980/kartor/A 21466-2025 karta.png", "A 21466-2025")</f>
        <v/>
      </c>
      <c r="V136">
        <f>HYPERLINK("https://klasma.github.io/Logging_0980/klagomål/A 21466-2025 FSC-klagomål.docx", "A 21466-2025")</f>
        <v/>
      </c>
      <c r="W136">
        <f>HYPERLINK("https://klasma.github.io/Logging_0980/klagomålsmail/A 21466-2025 FSC-klagomål mail.docx", "A 21466-2025")</f>
        <v/>
      </c>
      <c r="X136">
        <f>HYPERLINK("https://klasma.github.io/Logging_0980/tillsyn/A 21466-2025 tillsynsbegäran.docx", "A 21466-2025")</f>
        <v/>
      </c>
      <c r="Y136">
        <f>HYPERLINK("https://klasma.github.io/Logging_0980/tillsynsmail/A 21466-2025 tillsynsbegäran mail.docx", "A 21466-2025")</f>
        <v/>
      </c>
    </row>
    <row r="137" ht="15" customHeight="1">
      <c r="A137" t="inlineStr">
        <is>
          <t>A 27589-2023</t>
        </is>
      </c>
      <c r="B137" s="1" t="n">
        <v>45097</v>
      </c>
      <c r="C137" s="1" t="n">
        <v>45900</v>
      </c>
      <c r="D137" t="inlineStr">
        <is>
          <t>GOTLANDS LÄN</t>
        </is>
      </c>
      <c r="E137" t="inlineStr">
        <is>
          <t>GOTLAND</t>
        </is>
      </c>
      <c r="G137" t="n">
        <v>5.4</v>
      </c>
      <c r="H137" t="n">
        <v>0</v>
      </c>
      <c r="I137" t="n">
        <v>0</v>
      </c>
      <c r="J137" t="n">
        <v>0</v>
      </c>
      <c r="K137" t="n">
        <v>0</v>
      </c>
      <c r="L137" t="n">
        <v>0</v>
      </c>
      <c r="M137" t="n">
        <v>1</v>
      </c>
      <c r="N137" t="n">
        <v>0</v>
      </c>
      <c r="O137" t="n">
        <v>1</v>
      </c>
      <c r="P137" t="n">
        <v>1</v>
      </c>
      <c r="Q137" t="n">
        <v>1</v>
      </c>
      <c r="R137" s="2" t="inlineStr">
        <is>
          <t>Skogsalm</t>
        </is>
      </c>
      <c r="S137">
        <f>HYPERLINK("https://klasma.github.io/Logging_0980/artfynd/A 27589-2023 artfynd.xlsx", "A 27589-2023")</f>
        <v/>
      </c>
      <c r="T137">
        <f>HYPERLINK("https://klasma.github.io/Logging_0980/kartor/A 27589-2023 karta.png", "A 27589-2023")</f>
        <v/>
      </c>
      <c r="V137">
        <f>HYPERLINK("https://klasma.github.io/Logging_0980/klagomål/A 27589-2023 FSC-klagomål.docx", "A 27589-2023")</f>
        <v/>
      </c>
      <c r="W137">
        <f>HYPERLINK("https://klasma.github.io/Logging_0980/klagomålsmail/A 27589-2023 FSC-klagomål mail.docx", "A 27589-2023")</f>
        <v/>
      </c>
      <c r="X137">
        <f>HYPERLINK("https://klasma.github.io/Logging_0980/tillsyn/A 27589-2023 tillsynsbegäran.docx", "A 27589-2023")</f>
        <v/>
      </c>
      <c r="Y137">
        <f>HYPERLINK("https://klasma.github.io/Logging_0980/tillsynsmail/A 27589-2023 tillsynsbegäran mail.docx", "A 27589-2023")</f>
        <v/>
      </c>
    </row>
    <row r="138" ht="15" customHeight="1">
      <c r="A138" t="inlineStr">
        <is>
          <t>A 35574-2024</t>
        </is>
      </c>
      <c r="B138" s="1" t="n">
        <v>45531</v>
      </c>
      <c r="C138" s="1" t="n">
        <v>45900</v>
      </c>
      <c r="D138" t="inlineStr">
        <is>
          <t>GOTLANDS LÄN</t>
        </is>
      </c>
      <c r="E138" t="inlineStr">
        <is>
          <t>GOTLAND</t>
        </is>
      </c>
      <c r="G138" t="n">
        <v>5.7</v>
      </c>
      <c r="H138" t="n">
        <v>0</v>
      </c>
      <c r="I138" t="n">
        <v>1</v>
      </c>
      <c r="J138" t="n">
        <v>0</v>
      </c>
      <c r="K138" t="n">
        <v>0</v>
      </c>
      <c r="L138" t="n">
        <v>0</v>
      </c>
      <c r="M138" t="n">
        <v>0</v>
      </c>
      <c r="N138" t="n">
        <v>0</v>
      </c>
      <c r="O138" t="n">
        <v>0</v>
      </c>
      <c r="P138" t="n">
        <v>0</v>
      </c>
      <c r="Q138" t="n">
        <v>1</v>
      </c>
      <c r="R138" s="2" t="inlineStr">
        <is>
          <t>Murgröna</t>
        </is>
      </c>
      <c r="S138">
        <f>HYPERLINK("https://klasma.github.io/Logging_0980/artfynd/A 35574-2024 artfynd.xlsx", "A 35574-2024")</f>
        <v/>
      </c>
      <c r="T138">
        <f>HYPERLINK("https://klasma.github.io/Logging_0980/kartor/A 35574-2024 karta.png", "A 35574-2024")</f>
        <v/>
      </c>
      <c r="V138">
        <f>HYPERLINK("https://klasma.github.io/Logging_0980/klagomål/A 35574-2024 FSC-klagomål.docx", "A 35574-2024")</f>
        <v/>
      </c>
      <c r="W138">
        <f>HYPERLINK("https://klasma.github.io/Logging_0980/klagomålsmail/A 35574-2024 FSC-klagomål mail.docx", "A 35574-2024")</f>
        <v/>
      </c>
      <c r="X138">
        <f>HYPERLINK("https://klasma.github.io/Logging_0980/tillsyn/A 35574-2024 tillsynsbegäran.docx", "A 35574-2024")</f>
        <v/>
      </c>
      <c r="Y138">
        <f>HYPERLINK("https://klasma.github.io/Logging_0980/tillsynsmail/A 35574-2024 tillsynsbegäran mail.docx", "A 35574-2024")</f>
        <v/>
      </c>
    </row>
    <row r="139" ht="15" customHeight="1">
      <c r="A139" t="inlineStr">
        <is>
          <t>A 10440-2024</t>
        </is>
      </c>
      <c r="B139" s="1" t="n">
        <v>45366.32818287037</v>
      </c>
      <c r="C139" s="1" t="n">
        <v>45900</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7637-2025</t>
        </is>
      </c>
      <c r="B140" s="1" t="n">
        <v>45705.77181712963</v>
      </c>
      <c r="C140" s="1" t="n">
        <v>45900</v>
      </c>
      <c r="D140" t="inlineStr">
        <is>
          <t>GOTLANDS LÄN</t>
        </is>
      </c>
      <c r="E140" t="inlineStr">
        <is>
          <t>GOTLAND</t>
        </is>
      </c>
      <c r="G140" t="n">
        <v>3.7</v>
      </c>
      <c r="H140" t="n">
        <v>0</v>
      </c>
      <c r="I140" t="n">
        <v>0</v>
      </c>
      <c r="J140" t="n">
        <v>0</v>
      </c>
      <c r="K140" t="n">
        <v>0</v>
      </c>
      <c r="L140" t="n">
        <v>0</v>
      </c>
      <c r="M140" t="n">
        <v>1</v>
      </c>
      <c r="N140" t="n">
        <v>0</v>
      </c>
      <c r="O140" t="n">
        <v>1</v>
      </c>
      <c r="P140" t="n">
        <v>1</v>
      </c>
      <c r="Q140" t="n">
        <v>1</v>
      </c>
      <c r="R140" s="2" t="inlineStr">
        <is>
          <t>Skogsalm</t>
        </is>
      </c>
      <c r="S140">
        <f>HYPERLINK("https://klasma.github.io/Logging_0980/artfynd/A 7637-2025 artfynd.xlsx", "A 7637-2025")</f>
        <v/>
      </c>
      <c r="T140">
        <f>HYPERLINK("https://klasma.github.io/Logging_0980/kartor/A 7637-2025 karta.png", "A 7637-2025")</f>
        <v/>
      </c>
      <c r="V140">
        <f>HYPERLINK("https://klasma.github.io/Logging_0980/klagomål/A 7637-2025 FSC-klagomål.docx", "A 7637-2025")</f>
        <v/>
      </c>
      <c r="W140">
        <f>HYPERLINK("https://klasma.github.io/Logging_0980/klagomålsmail/A 7637-2025 FSC-klagomål mail.docx", "A 7637-2025")</f>
        <v/>
      </c>
      <c r="X140">
        <f>HYPERLINK("https://klasma.github.io/Logging_0980/tillsyn/A 7637-2025 tillsynsbegäran.docx", "A 7637-2025")</f>
        <v/>
      </c>
      <c r="Y140">
        <f>HYPERLINK("https://klasma.github.io/Logging_0980/tillsynsmail/A 7637-2025 tillsynsbegäran mail.docx", "A 7637-2025")</f>
        <v/>
      </c>
    </row>
    <row r="141" ht="15" customHeight="1">
      <c r="A141" t="inlineStr">
        <is>
          <t>A 44958-2020</t>
        </is>
      </c>
      <c r="B141" s="1" t="n">
        <v>44088</v>
      </c>
      <c r="C141" s="1" t="n">
        <v>45900</v>
      </c>
      <c r="D141" t="inlineStr">
        <is>
          <t>GOTLANDS LÄN</t>
        </is>
      </c>
      <c r="E141" t="inlineStr">
        <is>
          <t>GOTLAND</t>
        </is>
      </c>
      <c r="G141" t="n">
        <v>0.6</v>
      </c>
      <c r="H141" t="n">
        <v>1</v>
      </c>
      <c r="I141" t="n">
        <v>0</v>
      </c>
      <c r="J141" t="n">
        <v>1</v>
      </c>
      <c r="K141" t="n">
        <v>0</v>
      </c>
      <c r="L141" t="n">
        <v>0</v>
      </c>
      <c r="M141" t="n">
        <v>0</v>
      </c>
      <c r="N141" t="n">
        <v>0</v>
      </c>
      <c r="O141" t="n">
        <v>1</v>
      </c>
      <c r="P141" t="n">
        <v>0</v>
      </c>
      <c r="Q141" t="n">
        <v>1</v>
      </c>
      <c r="R141" s="2" t="inlineStr">
        <is>
          <t>Hornuggla</t>
        </is>
      </c>
      <c r="S141">
        <f>HYPERLINK("https://klasma.github.io/Logging_0980/artfynd/A 44958-2020 artfynd.xlsx", "A 44958-2020")</f>
        <v/>
      </c>
      <c r="T141">
        <f>HYPERLINK("https://klasma.github.io/Logging_0980/kartor/A 44958-2020 karta.png", "A 44958-2020")</f>
        <v/>
      </c>
      <c r="V141">
        <f>HYPERLINK("https://klasma.github.io/Logging_0980/klagomål/A 44958-2020 FSC-klagomål.docx", "A 44958-2020")</f>
        <v/>
      </c>
      <c r="W141">
        <f>HYPERLINK("https://klasma.github.io/Logging_0980/klagomålsmail/A 44958-2020 FSC-klagomål mail.docx", "A 44958-2020")</f>
        <v/>
      </c>
      <c r="X141">
        <f>HYPERLINK("https://klasma.github.io/Logging_0980/tillsyn/A 44958-2020 tillsynsbegäran.docx", "A 44958-2020")</f>
        <v/>
      </c>
      <c r="Y141">
        <f>HYPERLINK("https://klasma.github.io/Logging_0980/tillsynsmail/A 44958-2020 tillsynsbegäran mail.docx", "A 44958-2020")</f>
        <v/>
      </c>
      <c r="Z141">
        <f>HYPERLINK("https://klasma.github.io/Logging_0980/fåglar/A 44958-2020 prioriterade fågelarter.docx", "A 44958-2020")</f>
        <v/>
      </c>
    </row>
    <row r="142" ht="15" customHeight="1">
      <c r="A142" t="inlineStr">
        <is>
          <t>A 25977-2024</t>
        </is>
      </c>
      <c r="B142" s="1" t="n">
        <v>45467.69356481481</v>
      </c>
      <c r="C142" s="1" t="n">
        <v>45900</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12924-2025</t>
        </is>
      </c>
      <c r="B143" s="1" t="n">
        <v>45734</v>
      </c>
      <c r="C143" s="1" t="n">
        <v>45900</v>
      </c>
      <c r="D143" t="inlineStr">
        <is>
          <t>GOTLANDS LÄN</t>
        </is>
      </c>
      <c r="E143" t="inlineStr">
        <is>
          <t>GOTLAND</t>
        </is>
      </c>
      <c r="G143" t="n">
        <v>11.7</v>
      </c>
      <c r="H143" t="n">
        <v>0</v>
      </c>
      <c r="I143" t="n">
        <v>0</v>
      </c>
      <c r="J143" t="n">
        <v>0</v>
      </c>
      <c r="K143" t="n">
        <v>1</v>
      </c>
      <c r="L143" t="n">
        <v>0</v>
      </c>
      <c r="M143" t="n">
        <v>0</v>
      </c>
      <c r="N143" t="n">
        <v>0</v>
      </c>
      <c r="O143" t="n">
        <v>1</v>
      </c>
      <c r="P143" t="n">
        <v>1</v>
      </c>
      <c r="Q143" t="n">
        <v>1</v>
      </c>
      <c r="R143" s="2" t="inlineStr">
        <is>
          <t>Gotlandsmåra</t>
        </is>
      </c>
      <c r="S143">
        <f>HYPERLINK("https://klasma.github.io/Logging_0980/artfynd/A 12924-2025 artfynd.xlsx", "A 12924-2025")</f>
        <v/>
      </c>
      <c r="T143">
        <f>HYPERLINK("https://klasma.github.io/Logging_0980/kartor/A 12924-2025 karta.png", "A 12924-2025")</f>
        <v/>
      </c>
      <c r="V143">
        <f>HYPERLINK("https://klasma.github.io/Logging_0980/klagomål/A 12924-2025 FSC-klagomål.docx", "A 12924-2025")</f>
        <v/>
      </c>
      <c r="W143">
        <f>HYPERLINK("https://klasma.github.io/Logging_0980/klagomålsmail/A 12924-2025 FSC-klagomål mail.docx", "A 12924-2025")</f>
        <v/>
      </c>
      <c r="X143">
        <f>HYPERLINK("https://klasma.github.io/Logging_0980/tillsyn/A 12924-2025 tillsynsbegäran.docx", "A 12924-2025")</f>
        <v/>
      </c>
      <c r="Y143">
        <f>HYPERLINK("https://klasma.github.io/Logging_0980/tillsynsmail/A 12924-2025 tillsynsbegäran mail.docx", "A 12924-2025")</f>
        <v/>
      </c>
    </row>
    <row r="144" ht="15" customHeight="1">
      <c r="A144" t="inlineStr">
        <is>
          <t>A 6303-2024</t>
        </is>
      </c>
      <c r="B144" s="1" t="n">
        <v>45338.35376157407</v>
      </c>
      <c r="C144" s="1" t="n">
        <v>45900</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65927-2021</t>
        </is>
      </c>
      <c r="B145" s="1" t="n">
        <v>44516</v>
      </c>
      <c r="C145" s="1" t="n">
        <v>45900</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26461-2025</t>
        </is>
      </c>
      <c r="B146" s="1" t="n">
        <v>45807.43337962963</v>
      </c>
      <c r="C146" s="1" t="n">
        <v>45900</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44468-2024</t>
        </is>
      </c>
      <c r="B147" s="1" t="n">
        <v>45574.36651620371</v>
      </c>
      <c r="C147" s="1" t="n">
        <v>45900</v>
      </c>
      <c r="D147" t="inlineStr">
        <is>
          <t>GOTLANDS LÄN</t>
        </is>
      </c>
      <c r="E147" t="inlineStr">
        <is>
          <t>GOTLAND</t>
        </is>
      </c>
      <c r="G147" t="n">
        <v>7</v>
      </c>
      <c r="H147" t="n">
        <v>0</v>
      </c>
      <c r="I147" t="n">
        <v>0</v>
      </c>
      <c r="J147" t="n">
        <v>0</v>
      </c>
      <c r="K147" t="n">
        <v>0</v>
      </c>
      <c r="L147" t="n">
        <v>0</v>
      </c>
      <c r="M147" t="n">
        <v>1</v>
      </c>
      <c r="N147" t="n">
        <v>0</v>
      </c>
      <c r="O147" t="n">
        <v>1</v>
      </c>
      <c r="P147" t="n">
        <v>1</v>
      </c>
      <c r="Q147" t="n">
        <v>1</v>
      </c>
      <c r="R147" s="2" t="inlineStr">
        <is>
          <t>Skogsalm</t>
        </is>
      </c>
      <c r="S147">
        <f>HYPERLINK("https://klasma.github.io/Logging_0980/artfynd/A 44468-2024 artfynd.xlsx", "A 44468-2024")</f>
        <v/>
      </c>
      <c r="T147">
        <f>HYPERLINK("https://klasma.github.io/Logging_0980/kartor/A 44468-2024 karta.png", "A 44468-2024")</f>
        <v/>
      </c>
      <c r="V147">
        <f>HYPERLINK("https://klasma.github.io/Logging_0980/klagomål/A 44468-2024 FSC-klagomål.docx", "A 44468-2024")</f>
        <v/>
      </c>
      <c r="W147">
        <f>HYPERLINK("https://klasma.github.io/Logging_0980/klagomålsmail/A 44468-2024 FSC-klagomål mail.docx", "A 44468-2024")</f>
        <v/>
      </c>
      <c r="X147">
        <f>HYPERLINK("https://klasma.github.io/Logging_0980/tillsyn/A 44468-2024 tillsynsbegäran.docx", "A 44468-2024")</f>
        <v/>
      </c>
      <c r="Y147">
        <f>HYPERLINK("https://klasma.github.io/Logging_0980/tillsynsmail/A 44468-2024 tillsynsbegäran mail.docx", "A 44468-2024")</f>
        <v/>
      </c>
    </row>
    <row r="148" ht="15" customHeight="1">
      <c r="A148" t="inlineStr">
        <is>
          <t>A 61796-2022</t>
        </is>
      </c>
      <c r="B148" s="1" t="n">
        <v>44917</v>
      </c>
      <c r="C148" s="1" t="n">
        <v>45900</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34809-2024</t>
        </is>
      </c>
      <c r="B149" s="1" t="n">
        <v>45526</v>
      </c>
      <c r="C149" s="1" t="n">
        <v>45900</v>
      </c>
      <c r="D149" t="inlineStr">
        <is>
          <t>GOTLANDS LÄN</t>
        </is>
      </c>
      <c r="E149" t="inlineStr">
        <is>
          <t>GOTLAND</t>
        </is>
      </c>
      <c r="G149" t="n">
        <v>9.9</v>
      </c>
      <c r="H149" t="n">
        <v>1</v>
      </c>
      <c r="I149" t="n">
        <v>0</v>
      </c>
      <c r="J149" t="n">
        <v>1</v>
      </c>
      <c r="K149" t="n">
        <v>0</v>
      </c>
      <c r="L149" t="n">
        <v>0</v>
      </c>
      <c r="M149" t="n">
        <v>0</v>
      </c>
      <c r="N149" t="n">
        <v>0</v>
      </c>
      <c r="O149" t="n">
        <v>1</v>
      </c>
      <c r="P149" t="n">
        <v>0</v>
      </c>
      <c r="Q149" t="n">
        <v>1</v>
      </c>
      <c r="R149" s="2" t="inlineStr">
        <is>
          <t>Brun ögontröst</t>
        </is>
      </c>
      <c r="S149">
        <f>HYPERLINK("https://klasma.github.io/Logging_0980/artfynd/A 34809-2024 artfynd.xlsx", "A 34809-2024")</f>
        <v/>
      </c>
      <c r="T149">
        <f>HYPERLINK("https://klasma.github.io/Logging_0980/kartor/A 34809-2024 karta.png", "A 34809-2024")</f>
        <v/>
      </c>
      <c r="V149">
        <f>HYPERLINK("https://klasma.github.io/Logging_0980/klagomål/A 34809-2024 FSC-klagomål.docx", "A 34809-2024")</f>
        <v/>
      </c>
      <c r="W149">
        <f>HYPERLINK("https://klasma.github.io/Logging_0980/klagomålsmail/A 34809-2024 FSC-klagomål mail.docx", "A 34809-2024")</f>
        <v/>
      </c>
      <c r="X149">
        <f>HYPERLINK("https://klasma.github.io/Logging_0980/tillsyn/A 34809-2024 tillsynsbegäran.docx", "A 34809-2024")</f>
        <v/>
      </c>
      <c r="Y149">
        <f>HYPERLINK("https://klasma.github.io/Logging_0980/tillsynsmail/A 34809-2024 tillsynsbegäran mail.docx", "A 34809-2024")</f>
        <v/>
      </c>
    </row>
    <row r="150" ht="15" customHeight="1">
      <c r="A150" t="inlineStr">
        <is>
          <t>A 43219-2023</t>
        </is>
      </c>
      <c r="B150" s="1" t="n">
        <v>45183</v>
      </c>
      <c r="C150" s="1" t="n">
        <v>45900</v>
      </c>
      <c r="D150" t="inlineStr">
        <is>
          <t>GOTLANDS LÄN</t>
        </is>
      </c>
      <c r="E150" t="inlineStr">
        <is>
          <t>GOTLAND</t>
        </is>
      </c>
      <c r="G150" t="n">
        <v>3.6</v>
      </c>
      <c r="H150" t="n">
        <v>1</v>
      </c>
      <c r="I150" t="n">
        <v>0</v>
      </c>
      <c r="J150" t="n">
        <v>0</v>
      </c>
      <c r="K150" t="n">
        <v>0</v>
      </c>
      <c r="L150" t="n">
        <v>0</v>
      </c>
      <c r="M150" t="n">
        <v>0</v>
      </c>
      <c r="N150" t="n">
        <v>0</v>
      </c>
      <c r="O150" t="n">
        <v>0</v>
      </c>
      <c r="P150" t="n">
        <v>0</v>
      </c>
      <c r="Q150" t="n">
        <v>1</v>
      </c>
      <c r="R150" s="2" t="inlineStr">
        <is>
          <t>Skogsduva</t>
        </is>
      </c>
      <c r="S150">
        <f>HYPERLINK("https://klasma.github.io/Logging_0980/artfynd/A 43219-2023 artfynd.xlsx", "A 43219-2023")</f>
        <v/>
      </c>
      <c r="T150">
        <f>HYPERLINK("https://klasma.github.io/Logging_0980/kartor/A 43219-2023 karta.png", "A 43219-2023")</f>
        <v/>
      </c>
      <c r="V150">
        <f>HYPERLINK("https://klasma.github.io/Logging_0980/klagomål/A 43219-2023 FSC-klagomål.docx", "A 43219-2023")</f>
        <v/>
      </c>
      <c r="W150">
        <f>HYPERLINK("https://klasma.github.io/Logging_0980/klagomålsmail/A 43219-2023 FSC-klagomål mail.docx", "A 43219-2023")</f>
        <v/>
      </c>
      <c r="X150">
        <f>HYPERLINK("https://klasma.github.io/Logging_0980/tillsyn/A 43219-2023 tillsynsbegäran.docx", "A 43219-2023")</f>
        <v/>
      </c>
      <c r="Y150">
        <f>HYPERLINK("https://klasma.github.io/Logging_0980/tillsynsmail/A 43219-2023 tillsynsbegäran mail.docx", "A 43219-2023")</f>
        <v/>
      </c>
      <c r="Z150">
        <f>HYPERLINK("https://klasma.github.io/Logging_0980/fåglar/A 43219-2023 prioriterade fågelarter.docx", "A 43219-2023")</f>
        <v/>
      </c>
    </row>
    <row r="151" ht="15" customHeight="1">
      <c r="A151" t="inlineStr">
        <is>
          <t>A 15637-2024</t>
        </is>
      </c>
      <c r="B151" s="1" t="n">
        <v>45403.6684837963</v>
      </c>
      <c r="C151" s="1" t="n">
        <v>45900</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45900</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2476-2025</t>
        </is>
      </c>
      <c r="B153" s="1" t="n">
        <v>45673</v>
      </c>
      <c r="C153" s="1" t="n">
        <v>45900</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9862-2024</t>
        </is>
      </c>
      <c r="B154" s="1" t="n">
        <v>45363</v>
      </c>
      <c r="C154" s="1" t="n">
        <v>45900</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61561-2023</t>
        </is>
      </c>
      <c r="B155" s="1" t="n">
        <v>45265</v>
      </c>
      <c r="C155" s="1" t="n">
        <v>45900</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8725-2025</t>
        </is>
      </c>
      <c r="B156" s="1" t="n">
        <v>45712</v>
      </c>
      <c r="C156" s="1" t="n">
        <v>45900</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45900</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39812-2025</t>
        </is>
      </c>
      <c r="B158" s="1" t="n">
        <v>45891</v>
      </c>
      <c r="C158" s="1" t="n">
        <v>45900</v>
      </c>
      <c r="D158" t="inlineStr">
        <is>
          <t>GOTLANDS LÄN</t>
        </is>
      </c>
      <c r="E158" t="inlineStr">
        <is>
          <t>GOTLAND</t>
        </is>
      </c>
      <c r="G158" t="n">
        <v>6</v>
      </c>
      <c r="H158" t="n">
        <v>1</v>
      </c>
      <c r="I158" t="n">
        <v>0</v>
      </c>
      <c r="J158" t="n">
        <v>0</v>
      </c>
      <c r="K158" t="n">
        <v>0</v>
      </c>
      <c r="L158" t="n">
        <v>1</v>
      </c>
      <c r="M158" t="n">
        <v>0</v>
      </c>
      <c r="N158" t="n">
        <v>0</v>
      </c>
      <c r="O158" t="n">
        <v>1</v>
      </c>
      <c r="P158" t="n">
        <v>1</v>
      </c>
      <c r="Q158" t="n">
        <v>1</v>
      </c>
      <c r="R158" s="2" t="inlineStr">
        <is>
          <t>Nålkörvel</t>
        </is>
      </c>
      <c r="S158">
        <f>HYPERLINK("https://klasma.github.io/Logging_0980/artfynd/A 39812-2025 artfynd.xlsx", "A 39812-2025")</f>
        <v/>
      </c>
      <c r="T158">
        <f>HYPERLINK("https://klasma.github.io/Logging_0980/kartor/A 39812-2025 karta.png", "A 39812-2025")</f>
        <v/>
      </c>
      <c r="V158">
        <f>HYPERLINK("https://klasma.github.io/Logging_0980/klagomål/A 39812-2025 FSC-klagomål.docx", "A 39812-2025")</f>
        <v/>
      </c>
      <c r="W158">
        <f>HYPERLINK("https://klasma.github.io/Logging_0980/klagomålsmail/A 39812-2025 FSC-klagomål mail.docx", "A 39812-2025")</f>
        <v/>
      </c>
      <c r="X158">
        <f>HYPERLINK("https://klasma.github.io/Logging_0980/tillsyn/A 39812-2025 tillsynsbegäran.docx", "A 39812-2025")</f>
        <v/>
      </c>
      <c r="Y158">
        <f>HYPERLINK("https://klasma.github.io/Logging_0980/tillsynsmail/A 39812-2025 tillsynsbegäran mail.docx", "A 39812-2025")</f>
        <v/>
      </c>
    </row>
    <row r="159" ht="15" customHeight="1">
      <c r="A159" t="inlineStr">
        <is>
          <t>A 62552-2022</t>
        </is>
      </c>
      <c r="B159" s="1" t="n">
        <v>44924</v>
      </c>
      <c r="C159" s="1" t="n">
        <v>45900</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44088-2022</t>
        </is>
      </c>
      <c r="B160" s="1" t="n">
        <v>44839</v>
      </c>
      <c r="C160" s="1" t="n">
        <v>45900</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Strävlosta</t>
        </is>
      </c>
      <c r="S160">
        <f>HYPERLINK("https://klasma.github.io/Logging_0980/artfynd/A 44088-2022 artfynd.xlsx", "A 44088-2022")</f>
        <v/>
      </c>
      <c r="T160">
        <f>HYPERLINK("https://klasma.github.io/Logging_0980/kartor/A 44088-2022 karta.png", "A 44088-2022")</f>
        <v/>
      </c>
      <c r="V160">
        <f>HYPERLINK("https://klasma.github.io/Logging_0980/klagomål/A 44088-2022 FSC-klagomål.docx", "A 44088-2022")</f>
        <v/>
      </c>
      <c r="W160">
        <f>HYPERLINK("https://klasma.github.io/Logging_0980/klagomålsmail/A 44088-2022 FSC-klagomål mail.docx", "A 44088-2022")</f>
        <v/>
      </c>
      <c r="X160">
        <f>HYPERLINK("https://klasma.github.io/Logging_0980/tillsyn/A 44088-2022 tillsynsbegäran.docx", "A 44088-2022")</f>
        <v/>
      </c>
      <c r="Y160">
        <f>HYPERLINK("https://klasma.github.io/Logging_0980/tillsynsmail/A 44088-2022 tillsynsbegäran mail.docx", "A 44088-2022")</f>
        <v/>
      </c>
    </row>
    <row r="161" ht="15" customHeight="1">
      <c r="A161" t="inlineStr">
        <is>
          <t>A 63299-2020</t>
        </is>
      </c>
      <c r="B161" s="1" t="n">
        <v>44165</v>
      </c>
      <c r="C161" s="1" t="n">
        <v>45900</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27168-2022</t>
        </is>
      </c>
      <c r="B162" s="1" t="n">
        <v>44741</v>
      </c>
      <c r="C162" s="1" t="n">
        <v>45900</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44308-2021</t>
        </is>
      </c>
      <c r="B163" s="1" t="n">
        <v>44434</v>
      </c>
      <c r="C163" s="1" t="n">
        <v>45900</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22782-2023</t>
        </is>
      </c>
      <c r="B164" s="1" t="n">
        <v>45072</v>
      </c>
      <c r="C164" s="1" t="n">
        <v>45900</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447-2023</t>
        </is>
      </c>
      <c r="B165" s="1" t="n">
        <v>44929</v>
      </c>
      <c r="C165" s="1" t="n">
        <v>45900</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45900</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45900</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24245-2022</t>
        </is>
      </c>
      <c r="B168" s="1" t="n">
        <v>44725</v>
      </c>
      <c r="C168" s="1" t="n">
        <v>45900</v>
      </c>
      <c r="D168" t="inlineStr">
        <is>
          <t>GOTLANDS LÄN</t>
        </is>
      </c>
      <c r="E168" t="inlineStr">
        <is>
          <t>GOTLAND</t>
        </is>
      </c>
      <c r="G168" t="n">
        <v>4.9</v>
      </c>
      <c r="H168" t="n">
        <v>0</v>
      </c>
      <c r="I168" t="n">
        <v>0</v>
      </c>
      <c r="J168" t="n">
        <v>0</v>
      </c>
      <c r="K168" t="n">
        <v>0</v>
      </c>
      <c r="L168" t="n">
        <v>1</v>
      </c>
      <c r="M168" t="n">
        <v>0</v>
      </c>
      <c r="N168" t="n">
        <v>0</v>
      </c>
      <c r="O168" t="n">
        <v>1</v>
      </c>
      <c r="P168" t="n">
        <v>1</v>
      </c>
      <c r="Q168" t="n">
        <v>1</v>
      </c>
      <c r="R168" s="2" t="inlineStr">
        <is>
          <t>Slät taggsvamp</t>
        </is>
      </c>
      <c r="S168">
        <f>HYPERLINK("https://klasma.github.io/Logging_0980/artfynd/A 24245-2022 artfynd.xlsx", "A 24245-2022")</f>
        <v/>
      </c>
      <c r="T168">
        <f>HYPERLINK("https://klasma.github.io/Logging_0980/kartor/A 24245-2022 karta.png", "A 24245-2022")</f>
        <v/>
      </c>
      <c r="V168">
        <f>HYPERLINK("https://klasma.github.io/Logging_0980/klagomål/A 24245-2022 FSC-klagomål.docx", "A 24245-2022")</f>
        <v/>
      </c>
      <c r="W168">
        <f>HYPERLINK("https://klasma.github.io/Logging_0980/klagomålsmail/A 24245-2022 FSC-klagomål mail.docx", "A 24245-2022")</f>
        <v/>
      </c>
      <c r="X168">
        <f>HYPERLINK("https://klasma.github.io/Logging_0980/tillsyn/A 24245-2022 tillsynsbegäran.docx", "A 24245-2022")</f>
        <v/>
      </c>
      <c r="Y168">
        <f>HYPERLINK("https://klasma.github.io/Logging_0980/tillsynsmail/A 24245-2022 tillsynsbegäran mail.docx", "A 24245-2022")</f>
        <v/>
      </c>
    </row>
    <row r="169" ht="15" customHeight="1">
      <c r="A169" t="inlineStr">
        <is>
          <t>A 2213-2023</t>
        </is>
      </c>
      <c r="B169" s="1" t="n">
        <v>44942</v>
      </c>
      <c r="C169" s="1" t="n">
        <v>45900</v>
      </c>
      <c r="D169" t="inlineStr">
        <is>
          <t>GOTLANDS LÄN</t>
        </is>
      </c>
      <c r="E169" t="inlineStr">
        <is>
          <t>GOTLAND</t>
        </is>
      </c>
      <c r="G169" t="n">
        <v>2.7</v>
      </c>
      <c r="H169" t="n">
        <v>0</v>
      </c>
      <c r="I169" t="n">
        <v>0</v>
      </c>
      <c r="J169" t="n">
        <v>1</v>
      </c>
      <c r="K169" t="n">
        <v>0</v>
      </c>
      <c r="L169" t="n">
        <v>0</v>
      </c>
      <c r="M169" t="n">
        <v>0</v>
      </c>
      <c r="N169" t="n">
        <v>0</v>
      </c>
      <c r="O169" t="n">
        <v>1</v>
      </c>
      <c r="P169" t="n">
        <v>0</v>
      </c>
      <c r="Q169" t="n">
        <v>1</v>
      </c>
      <c r="R169" s="2" t="inlineStr">
        <is>
          <t>Odörspindling</t>
        </is>
      </c>
      <c r="S169">
        <f>HYPERLINK("https://klasma.github.io/Logging_0980/artfynd/A 2213-2023 artfynd.xlsx", "A 2213-2023")</f>
        <v/>
      </c>
      <c r="T169">
        <f>HYPERLINK("https://klasma.github.io/Logging_0980/kartor/A 2213-2023 karta.png", "A 2213-2023")</f>
        <v/>
      </c>
      <c r="V169">
        <f>HYPERLINK("https://klasma.github.io/Logging_0980/klagomål/A 2213-2023 FSC-klagomål.docx", "A 2213-2023")</f>
        <v/>
      </c>
      <c r="W169">
        <f>HYPERLINK("https://klasma.github.io/Logging_0980/klagomålsmail/A 2213-2023 FSC-klagomål mail.docx", "A 2213-2023")</f>
        <v/>
      </c>
      <c r="X169">
        <f>HYPERLINK("https://klasma.github.io/Logging_0980/tillsyn/A 2213-2023 tillsynsbegäran.docx", "A 2213-2023")</f>
        <v/>
      </c>
      <c r="Y169">
        <f>HYPERLINK("https://klasma.github.io/Logging_0980/tillsynsmail/A 2213-2023 tillsynsbegäran mail.docx", "A 2213-2023")</f>
        <v/>
      </c>
    </row>
    <row r="170" ht="15" customHeight="1">
      <c r="A170" t="inlineStr">
        <is>
          <t>A 49847-2023</t>
        </is>
      </c>
      <c r="B170" s="1" t="n">
        <v>45212</v>
      </c>
      <c r="C170" s="1" t="n">
        <v>45900</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46527-2023</t>
        </is>
      </c>
      <c r="B171" s="1" t="n">
        <v>45197</v>
      </c>
      <c r="C171" s="1" t="n">
        <v>45900</v>
      </c>
      <c r="D171" t="inlineStr">
        <is>
          <t>GOTLANDS LÄN</t>
        </is>
      </c>
      <c r="E171" t="inlineStr">
        <is>
          <t>GOTLAND</t>
        </is>
      </c>
      <c r="G171" t="n">
        <v>0.9</v>
      </c>
      <c r="H171" t="n">
        <v>0</v>
      </c>
      <c r="I171" t="n">
        <v>0</v>
      </c>
      <c r="J171" t="n">
        <v>1</v>
      </c>
      <c r="K171" t="n">
        <v>0</v>
      </c>
      <c r="L171" t="n">
        <v>0</v>
      </c>
      <c r="M171" t="n">
        <v>0</v>
      </c>
      <c r="N171" t="n">
        <v>0</v>
      </c>
      <c r="O171" t="n">
        <v>1</v>
      </c>
      <c r="P171" t="n">
        <v>0</v>
      </c>
      <c r="Q171" t="n">
        <v>1</v>
      </c>
      <c r="R171" s="2" t="inlineStr">
        <is>
          <t>Guldgräshoppa</t>
        </is>
      </c>
      <c r="S171">
        <f>HYPERLINK("https://klasma.github.io/Logging_0980/artfynd/A 46527-2023 artfynd.xlsx", "A 46527-2023")</f>
        <v/>
      </c>
      <c r="T171">
        <f>HYPERLINK("https://klasma.github.io/Logging_0980/kartor/A 46527-2023 karta.png", "A 46527-2023")</f>
        <v/>
      </c>
      <c r="V171">
        <f>HYPERLINK("https://klasma.github.io/Logging_0980/klagomål/A 46527-2023 FSC-klagomål.docx", "A 46527-2023")</f>
        <v/>
      </c>
      <c r="W171">
        <f>HYPERLINK("https://klasma.github.io/Logging_0980/klagomålsmail/A 46527-2023 FSC-klagomål mail.docx", "A 46527-2023")</f>
        <v/>
      </c>
      <c r="X171">
        <f>HYPERLINK("https://klasma.github.io/Logging_0980/tillsyn/A 46527-2023 tillsynsbegäran.docx", "A 46527-2023")</f>
        <v/>
      </c>
      <c r="Y171">
        <f>HYPERLINK("https://klasma.github.io/Logging_0980/tillsynsmail/A 46527-2023 tillsynsbegäran mail.docx", "A 46527-2023")</f>
        <v/>
      </c>
    </row>
    <row r="172" ht="15" customHeight="1">
      <c r="A172" t="inlineStr">
        <is>
          <t>A 12324-2025</t>
        </is>
      </c>
      <c r="B172" s="1" t="n">
        <v>45730</v>
      </c>
      <c r="C172" s="1" t="n">
        <v>45900</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19901-2021</t>
        </is>
      </c>
      <c r="B173" s="1" t="n">
        <v>44312</v>
      </c>
      <c r="C173" s="1" t="n">
        <v>45900</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45900</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45900</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45900</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45900</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45900</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45900</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45900</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45900</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45900</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26857-2021</t>
        </is>
      </c>
      <c r="B183" s="1" t="n">
        <v>44349.60091435185</v>
      </c>
      <c r="C183" s="1" t="n">
        <v>45900</v>
      </c>
      <c r="D183" t="inlineStr">
        <is>
          <t>GOTLANDS LÄN</t>
        </is>
      </c>
      <c r="E183" t="inlineStr">
        <is>
          <t>GOTLAND</t>
        </is>
      </c>
      <c r="G183" t="n">
        <v>1.9</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45900</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45900</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45900</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45900</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45900</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45900</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45900</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45900</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45900</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45900</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45900</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45900</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45900</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45900</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45900</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45900</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45900</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45900</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45900</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45900</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45900</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45900</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45900</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45900</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45900</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45900</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45900</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1229-2021</t>
        </is>
      </c>
      <c r="B219" s="1" t="n">
        <v>44208</v>
      </c>
      <c r="C219" s="1" t="n">
        <v>45900</v>
      </c>
      <c r="D219" t="inlineStr">
        <is>
          <t>GOTLANDS LÄN</t>
        </is>
      </c>
      <c r="E219" t="inlineStr">
        <is>
          <t>GOTLAND</t>
        </is>
      </c>
      <c r="G219" t="n">
        <v>5.3</v>
      </c>
      <c r="H219" t="n">
        <v>0</v>
      </c>
      <c r="I219" t="n">
        <v>0</v>
      </c>
      <c r="J219" t="n">
        <v>0</v>
      </c>
      <c r="K219" t="n">
        <v>0</v>
      </c>
      <c r="L219" t="n">
        <v>0</v>
      </c>
      <c r="M219" t="n">
        <v>0</v>
      </c>
      <c r="N219" t="n">
        <v>0</v>
      </c>
      <c r="O219" t="n">
        <v>0</v>
      </c>
      <c r="P219" t="n">
        <v>0</v>
      </c>
      <c r="Q219" t="n">
        <v>0</v>
      </c>
      <c r="R219" s="2" t="inlineStr"/>
    </row>
    <row r="220" ht="15" customHeight="1">
      <c r="A220" t="inlineStr">
        <is>
          <t>A 62120-2020</t>
        </is>
      </c>
      <c r="B220" s="1" t="n">
        <v>44158</v>
      </c>
      <c r="C220" s="1" t="n">
        <v>45900</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45900</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45900</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45900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45900</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45900</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45900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22495-2022</t>
        </is>
      </c>
      <c r="B227" s="1" t="n">
        <v>44713.6452199074</v>
      </c>
      <c r="C227" s="1" t="n">
        <v>45900</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45900</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45900</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45900</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45900</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45900</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45900</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37037-2021</t>
        </is>
      </c>
      <c r="B234" s="1" t="n">
        <v>44393.84688657407</v>
      </c>
      <c r="C234" s="1" t="n">
        <v>45900</v>
      </c>
      <c r="D234" t="inlineStr">
        <is>
          <t>GOTLANDS LÄN</t>
        </is>
      </c>
      <c r="E234" t="inlineStr">
        <is>
          <t>GOTLAND</t>
        </is>
      </c>
      <c r="G234" t="n">
        <v>10.2</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45900</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45900</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45900</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9613-2025</t>
        </is>
      </c>
      <c r="B238" s="1" t="n">
        <v>45715</v>
      </c>
      <c r="C238" s="1" t="n">
        <v>45900</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45900</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44942-2022</t>
        </is>
      </c>
      <c r="B240" s="1" t="n">
        <v>44841</v>
      </c>
      <c r="C240" s="1" t="n">
        <v>45900</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60086-2022</t>
        </is>
      </c>
      <c r="B241" s="1" t="n">
        <v>44909</v>
      </c>
      <c r="C241" s="1" t="n">
        <v>45900</v>
      </c>
      <c r="D241" t="inlineStr">
        <is>
          <t>GOTLANDS LÄN</t>
        </is>
      </c>
      <c r="E241" t="inlineStr">
        <is>
          <t>GOTLAND</t>
        </is>
      </c>
      <c r="G241" t="n">
        <v>2.1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45900</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28480-2023</t>
        </is>
      </c>
      <c r="B243" s="1" t="n">
        <v>45103</v>
      </c>
      <c r="C243" s="1" t="n">
        <v>45900</v>
      </c>
      <c r="D243" t="inlineStr">
        <is>
          <t>GOTLANDS LÄN</t>
        </is>
      </c>
      <c r="E243" t="inlineStr">
        <is>
          <t>GOTLAND</t>
        </is>
      </c>
      <c r="G243" t="n">
        <v>5.7</v>
      </c>
      <c r="H243" t="n">
        <v>0</v>
      </c>
      <c r="I243" t="n">
        <v>0</v>
      </c>
      <c r="J243" t="n">
        <v>0</v>
      </c>
      <c r="K243" t="n">
        <v>0</v>
      </c>
      <c r="L243" t="n">
        <v>0</v>
      </c>
      <c r="M243" t="n">
        <v>0</v>
      </c>
      <c r="N243" t="n">
        <v>0</v>
      </c>
      <c r="O243" t="n">
        <v>0</v>
      </c>
      <c r="P243" t="n">
        <v>0</v>
      </c>
      <c r="Q243" t="n">
        <v>0</v>
      </c>
      <c r="R243" s="2" t="inlineStr"/>
    </row>
    <row r="244" ht="15" customHeight="1">
      <c r="A244" t="inlineStr">
        <is>
          <t>A 28485-2023</t>
        </is>
      </c>
      <c r="B244" s="1" t="n">
        <v>45103.43731481482</v>
      </c>
      <c r="C244" s="1" t="n">
        <v>45900</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53935-2024</t>
        </is>
      </c>
      <c r="B245" s="1" t="n">
        <v>45615</v>
      </c>
      <c r="C245" s="1" t="n">
        <v>45900</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37591-2023</t>
        </is>
      </c>
      <c r="B246" s="1" t="n">
        <v>45159</v>
      </c>
      <c r="C246" s="1" t="n">
        <v>45900</v>
      </c>
      <c r="D246" t="inlineStr">
        <is>
          <t>GOTLANDS LÄN</t>
        </is>
      </c>
      <c r="E246" t="inlineStr">
        <is>
          <t>GOTLAND</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30282-2022</t>
        </is>
      </c>
      <c r="B247" s="1" t="n">
        <v>44760</v>
      </c>
      <c r="C247" s="1" t="n">
        <v>45900</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62915-2021</t>
        </is>
      </c>
      <c r="B248" s="1" t="n">
        <v>44504</v>
      </c>
      <c r="C248" s="1" t="n">
        <v>45900</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18223-2025</t>
        </is>
      </c>
      <c r="B249" s="1" t="n">
        <v>45761</v>
      </c>
      <c r="C249" s="1" t="n">
        <v>45900</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4420-2025</t>
        </is>
      </c>
      <c r="B250" s="1" t="n">
        <v>45686.47157407407</v>
      </c>
      <c r="C250" s="1" t="n">
        <v>45900</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4868-2024</t>
        </is>
      </c>
      <c r="B251" s="1" t="n">
        <v>45329</v>
      </c>
      <c r="C251" s="1" t="n">
        <v>45900</v>
      </c>
      <c r="D251" t="inlineStr">
        <is>
          <t>GOTLANDS LÄN</t>
        </is>
      </c>
      <c r="E251" t="inlineStr">
        <is>
          <t>GOTLAND</t>
        </is>
      </c>
      <c r="G251" t="n">
        <v>7.1</v>
      </c>
      <c r="H251" t="n">
        <v>0</v>
      </c>
      <c r="I251" t="n">
        <v>0</v>
      </c>
      <c r="J251" t="n">
        <v>0</v>
      </c>
      <c r="K251" t="n">
        <v>0</v>
      </c>
      <c r="L251" t="n">
        <v>0</v>
      </c>
      <c r="M251" t="n">
        <v>0</v>
      </c>
      <c r="N251" t="n">
        <v>0</v>
      </c>
      <c r="O251" t="n">
        <v>0</v>
      </c>
      <c r="P251" t="n">
        <v>0</v>
      </c>
      <c r="Q251" t="n">
        <v>0</v>
      </c>
      <c r="R251" s="2" t="inlineStr"/>
    </row>
    <row r="252" ht="15" customHeight="1">
      <c r="A252" t="inlineStr">
        <is>
          <t>A 6108-2025</t>
        </is>
      </c>
      <c r="B252" s="1" t="n">
        <v>45698.29880787037</v>
      </c>
      <c r="C252" s="1" t="n">
        <v>45900</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8701-2025</t>
        </is>
      </c>
      <c r="B253" s="1" t="n">
        <v>45712</v>
      </c>
      <c r="C253" s="1" t="n">
        <v>45900</v>
      </c>
      <c r="D253" t="inlineStr">
        <is>
          <t>GOTLANDS LÄN</t>
        </is>
      </c>
      <c r="E253" t="inlineStr">
        <is>
          <t>GOTLAND</t>
        </is>
      </c>
      <c r="G253" t="n">
        <v>7</v>
      </c>
      <c r="H253" t="n">
        <v>0</v>
      </c>
      <c r="I253" t="n">
        <v>0</v>
      </c>
      <c r="J253" t="n">
        <v>0</v>
      </c>
      <c r="K253" t="n">
        <v>0</v>
      </c>
      <c r="L253" t="n">
        <v>0</v>
      </c>
      <c r="M253" t="n">
        <v>0</v>
      </c>
      <c r="N253" t="n">
        <v>0</v>
      </c>
      <c r="O253" t="n">
        <v>0</v>
      </c>
      <c r="P253" t="n">
        <v>0</v>
      </c>
      <c r="Q253" t="n">
        <v>0</v>
      </c>
      <c r="R253" s="2" t="inlineStr"/>
    </row>
    <row r="254" ht="15" customHeight="1">
      <c r="A254" t="inlineStr">
        <is>
          <t>A 44949-2023</t>
        </is>
      </c>
      <c r="B254" s="1" t="n">
        <v>45190.69520833333</v>
      </c>
      <c r="C254" s="1" t="n">
        <v>45900</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5891-2025</t>
        </is>
      </c>
      <c r="B255" s="1" t="n">
        <v>45695.38327546296</v>
      </c>
      <c r="C255" s="1" t="n">
        <v>45900</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24966-2023</t>
        </is>
      </c>
      <c r="B256" s="1" t="n">
        <v>45085</v>
      </c>
      <c r="C256" s="1" t="n">
        <v>45900</v>
      </c>
      <c r="D256" t="inlineStr">
        <is>
          <t>GOTLANDS LÄN</t>
        </is>
      </c>
      <c r="E256" t="inlineStr">
        <is>
          <t>GOTLAND</t>
        </is>
      </c>
      <c r="G256" t="n">
        <v>7</v>
      </c>
      <c r="H256" t="n">
        <v>0</v>
      </c>
      <c r="I256" t="n">
        <v>0</v>
      </c>
      <c r="J256" t="n">
        <v>0</v>
      </c>
      <c r="K256" t="n">
        <v>0</v>
      </c>
      <c r="L256" t="n">
        <v>0</v>
      </c>
      <c r="M256" t="n">
        <v>0</v>
      </c>
      <c r="N256" t="n">
        <v>0</v>
      </c>
      <c r="O256" t="n">
        <v>0</v>
      </c>
      <c r="P256" t="n">
        <v>0</v>
      </c>
      <c r="Q256" t="n">
        <v>0</v>
      </c>
      <c r="R256" s="2" t="inlineStr"/>
    </row>
    <row r="257" ht="15" customHeight="1">
      <c r="A257" t="inlineStr">
        <is>
          <t>A 46189-2022</t>
        </is>
      </c>
      <c r="B257" s="1" t="n">
        <v>44847</v>
      </c>
      <c r="C257" s="1" t="n">
        <v>45900</v>
      </c>
      <c r="D257" t="inlineStr">
        <is>
          <t>GOTLANDS LÄN</t>
        </is>
      </c>
      <c r="E257" t="inlineStr">
        <is>
          <t>GOTLAND</t>
        </is>
      </c>
      <c r="G257" t="n">
        <v>0.4</v>
      </c>
      <c r="H257" t="n">
        <v>0</v>
      </c>
      <c r="I257" t="n">
        <v>0</v>
      </c>
      <c r="J257" t="n">
        <v>0</v>
      </c>
      <c r="K257" t="n">
        <v>0</v>
      </c>
      <c r="L257" t="n">
        <v>0</v>
      </c>
      <c r="M257" t="n">
        <v>0</v>
      </c>
      <c r="N257" t="n">
        <v>0</v>
      </c>
      <c r="O257" t="n">
        <v>0</v>
      </c>
      <c r="P257" t="n">
        <v>0</v>
      </c>
      <c r="Q257" t="n">
        <v>0</v>
      </c>
      <c r="R257" s="2" t="inlineStr"/>
    </row>
    <row r="258" ht="15" customHeight="1">
      <c r="A258" t="inlineStr">
        <is>
          <t>A 37222-2021</t>
        </is>
      </c>
      <c r="B258" s="1" t="n">
        <v>44396</v>
      </c>
      <c r="C258" s="1" t="n">
        <v>45900</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7835-2024</t>
        </is>
      </c>
      <c r="B259" s="1" t="n">
        <v>45349.83138888889</v>
      </c>
      <c r="C259" s="1" t="n">
        <v>45900</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20794-2025</t>
        </is>
      </c>
      <c r="B260" s="1" t="n">
        <v>45776</v>
      </c>
      <c r="C260" s="1" t="n">
        <v>45900</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20812-2025</t>
        </is>
      </c>
      <c r="B261" s="1" t="n">
        <v>45776</v>
      </c>
      <c r="C261" s="1" t="n">
        <v>45900</v>
      </c>
      <c r="D261" t="inlineStr">
        <is>
          <t>GOTLANDS LÄN</t>
        </is>
      </c>
      <c r="E261" t="inlineStr">
        <is>
          <t>GOTLAND</t>
        </is>
      </c>
      <c r="G261" t="n">
        <v>3</v>
      </c>
      <c r="H261" t="n">
        <v>0</v>
      </c>
      <c r="I261" t="n">
        <v>0</v>
      </c>
      <c r="J261" t="n">
        <v>0</v>
      </c>
      <c r="K261" t="n">
        <v>0</v>
      </c>
      <c r="L261" t="n">
        <v>0</v>
      </c>
      <c r="M261" t="n">
        <v>0</v>
      </c>
      <c r="N261" t="n">
        <v>0</v>
      </c>
      <c r="O261" t="n">
        <v>0</v>
      </c>
      <c r="P261" t="n">
        <v>0</v>
      </c>
      <c r="Q261" t="n">
        <v>0</v>
      </c>
      <c r="R261" s="2" t="inlineStr"/>
    </row>
    <row r="262" ht="15" customHeight="1">
      <c r="A262" t="inlineStr">
        <is>
          <t>A 20805-2025</t>
        </is>
      </c>
      <c r="B262" s="1" t="n">
        <v>45776</v>
      </c>
      <c r="C262" s="1" t="n">
        <v>45900</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45900</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22031-2024</t>
        </is>
      </c>
      <c r="B264" s="1" t="n">
        <v>45443.60075231481</v>
      </c>
      <c r="C264" s="1" t="n">
        <v>45900</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44204-2022</t>
        </is>
      </c>
      <c r="B265" s="1" t="n">
        <v>44839</v>
      </c>
      <c r="C265" s="1" t="n">
        <v>45900</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49314-2024</t>
        </is>
      </c>
      <c r="B266" s="1" t="n">
        <v>45595.55893518519</v>
      </c>
      <c r="C266" s="1" t="n">
        <v>45900</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45084-2024</t>
        </is>
      </c>
      <c r="B267" s="1" t="n">
        <v>45575</v>
      </c>
      <c r="C267" s="1" t="n">
        <v>45900</v>
      </c>
      <c r="D267" t="inlineStr">
        <is>
          <t>GOTLANDS LÄN</t>
        </is>
      </c>
      <c r="E267" t="inlineStr">
        <is>
          <t>GOTLAND</t>
        </is>
      </c>
      <c r="G267" t="n">
        <v>6.8</v>
      </c>
      <c r="H267" t="n">
        <v>0</v>
      </c>
      <c r="I267" t="n">
        <v>0</v>
      </c>
      <c r="J267" t="n">
        <v>0</v>
      </c>
      <c r="K267" t="n">
        <v>0</v>
      </c>
      <c r="L267" t="n">
        <v>0</v>
      </c>
      <c r="M267" t="n">
        <v>0</v>
      </c>
      <c r="N267" t="n">
        <v>0</v>
      </c>
      <c r="O267" t="n">
        <v>0</v>
      </c>
      <c r="P267" t="n">
        <v>0</v>
      </c>
      <c r="Q267" t="n">
        <v>0</v>
      </c>
      <c r="R267" s="2" t="inlineStr"/>
    </row>
    <row r="268" ht="15" customHeight="1">
      <c r="A268" t="inlineStr">
        <is>
          <t>A 21389-2025</t>
        </is>
      </c>
      <c r="B268" s="1" t="n">
        <v>45782</v>
      </c>
      <c r="C268" s="1" t="n">
        <v>45900</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44919-2022</t>
        </is>
      </c>
      <c r="B269" s="1" t="n">
        <v>44841</v>
      </c>
      <c r="C269" s="1" t="n">
        <v>45900</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21142-2025</t>
        </is>
      </c>
      <c r="B270" s="1" t="n">
        <v>45779</v>
      </c>
      <c r="C270" s="1" t="n">
        <v>45900</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45900</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13627-2023</t>
        </is>
      </c>
      <c r="B272" s="1" t="n">
        <v>45006</v>
      </c>
      <c r="C272" s="1" t="n">
        <v>45900</v>
      </c>
      <c r="D272" t="inlineStr">
        <is>
          <t>GOTLANDS LÄN</t>
        </is>
      </c>
      <c r="E272" t="inlineStr">
        <is>
          <t>GOTLAND</t>
        </is>
      </c>
      <c r="G272" t="n">
        <v>10.7</v>
      </c>
      <c r="H272" t="n">
        <v>0</v>
      </c>
      <c r="I272" t="n">
        <v>0</v>
      </c>
      <c r="J272" t="n">
        <v>0</v>
      </c>
      <c r="K272" t="n">
        <v>0</v>
      </c>
      <c r="L272" t="n">
        <v>0</v>
      </c>
      <c r="M272" t="n">
        <v>0</v>
      </c>
      <c r="N272" t="n">
        <v>0</v>
      </c>
      <c r="O272" t="n">
        <v>0</v>
      </c>
      <c r="P272" t="n">
        <v>0</v>
      </c>
      <c r="Q272" t="n">
        <v>0</v>
      </c>
      <c r="R272" s="2" t="inlineStr"/>
    </row>
    <row r="273" ht="15" customHeight="1">
      <c r="A273" t="inlineStr">
        <is>
          <t>A 48503-2023</t>
        </is>
      </c>
      <c r="B273" s="1" t="n">
        <v>45207</v>
      </c>
      <c r="C273" s="1" t="n">
        <v>45900</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65901-2021</t>
        </is>
      </c>
      <c r="B274" s="1" t="n">
        <v>44516</v>
      </c>
      <c r="C274" s="1" t="n">
        <v>45900</v>
      </c>
      <c r="D274" t="inlineStr">
        <is>
          <t>GOTLANDS LÄN</t>
        </is>
      </c>
      <c r="E274" t="inlineStr">
        <is>
          <t>GOTLAND</t>
        </is>
      </c>
      <c r="G274" t="n">
        <v>4.9</v>
      </c>
      <c r="H274" t="n">
        <v>0</v>
      </c>
      <c r="I274" t="n">
        <v>0</v>
      </c>
      <c r="J274" t="n">
        <v>0</v>
      </c>
      <c r="K274" t="n">
        <v>0</v>
      </c>
      <c r="L274" t="n">
        <v>0</v>
      </c>
      <c r="M274" t="n">
        <v>0</v>
      </c>
      <c r="N274" t="n">
        <v>0</v>
      </c>
      <c r="O274" t="n">
        <v>0</v>
      </c>
      <c r="P274" t="n">
        <v>0</v>
      </c>
      <c r="Q274" t="n">
        <v>0</v>
      </c>
      <c r="R274" s="2" t="inlineStr"/>
    </row>
    <row r="275" ht="15" customHeight="1">
      <c r="A275" t="inlineStr">
        <is>
          <t>A 14915-2025</t>
        </is>
      </c>
      <c r="B275" s="1" t="n">
        <v>45743.53121527778</v>
      </c>
      <c r="C275" s="1" t="n">
        <v>45900</v>
      </c>
      <c r="D275" t="inlineStr">
        <is>
          <t>GOTLANDS LÄN</t>
        </is>
      </c>
      <c r="E275" t="inlineStr">
        <is>
          <t>GOTLAND</t>
        </is>
      </c>
      <c r="G275" t="n">
        <v>5.9</v>
      </c>
      <c r="H275" t="n">
        <v>0</v>
      </c>
      <c r="I275" t="n">
        <v>0</v>
      </c>
      <c r="J275" t="n">
        <v>0</v>
      </c>
      <c r="K275" t="n">
        <v>0</v>
      </c>
      <c r="L275" t="n">
        <v>0</v>
      </c>
      <c r="M275" t="n">
        <v>0</v>
      </c>
      <c r="N275" t="n">
        <v>0</v>
      </c>
      <c r="O275" t="n">
        <v>0</v>
      </c>
      <c r="P275" t="n">
        <v>0</v>
      </c>
      <c r="Q275" t="n">
        <v>0</v>
      </c>
      <c r="R275" s="2" t="inlineStr"/>
    </row>
    <row r="276" ht="15" customHeight="1">
      <c r="A276" t="inlineStr">
        <is>
          <t>A 5217-2023</t>
        </is>
      </c>
      <c r="B276" s="1" t="n">
        <v>44959.39582175926</v>
      </c>
      <c r="C276" s="1" t="n">
        <v>45900</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44649-2021</t>
        </is>
      </c>
      <c r="B277" s="1" t="n">
        <v>44437</v>
      </c>
      <c r="C277" s="1" t="n">
        <v>45900</v>
      </c>
      <c r="D277" t="inlineStr">
        <is>
          <t>GOTLANDS LÄN</t>
        </is>
      </c>
      <c r="E277" t="inlineStr">
        <is>
          <t>GOTLAND</t>
        </is>
      </c>
      <c r="G277" t="n">
        <v>8.1</v>
      </c>
      <c r="H277" t="n">
        <v>0</v>
      </c>
      <c r="I277" t="n">
        <v>0</v>
      </c>
      <c r="J277" t="n">
        <v>0</v>
      </c>
      <c r="K277" t="n">
        <v>0</v>
      </c>
      <c r="L277" t="n">
        <v>0</v>
      </c>
      <c r="M277" t="n">
        <v>0</v>
      </c>
      <c r="N277" t="n">
        <v>0</v>
      </c>
      <c r="O277" t="n">
        <v>0</v>
      </c>
      <c r="P277" t="n">
        <v>0</v>
      </c>
      <c r="Q277" t="n">
        <v>0</v>
      </c>
      <c r="R277" s="2" t="inlineStr"/>
    </row>
    <row r="278" ht="15" customHeight="1">
      <c r="A278" t="inlineStr">
        <is>
          <t>A 43790-2024</t>
        </is>
      </c>
      <c r="B278" s="1" t="n">
        <v>45571</v>
      </c>
      <c r="C278" s="1" t="n">
        <v>45900</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9947-2024</t>
        </is>
      </c>
      <c r="B279" s="1" t="n">
        <v>45363</v>
      </c>
      <c r="C279" s="1" t="n">
        <v>45900</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1477-2024</t>
        </is>
      </c>
      <c r="B280" s="1" t="n">
        <v>45305.37987268518</v>
      </c>
      <c r="C280" s="1" t="n">
        <v>45900</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44304-2021</t>
        </is>
      </c>
      <c r="B281" s="1" t="n">
        <v>44434</v>
      </c>
      <c r="C281" s="1" t="n">
        <v>45900</v>
      </c>
      <c r="D281" t="inlineStr">
        <is>
          <t>GOTLANDS LÄN</t>
        </is>
      </c>
      <c r="E281" t="inlineStr">
        <is>
          <t>GOTLAND</t>
        </is>
      </c>
      <c r="G281" t="n">
        <v>5.8</v>
      </c>
      <c r="H281" t="n">
        <v>0</v>
      </c>
      <c r="I281" t="n">
        <v>0</v>
      </c>
      <c r="J281" t="n">
        <v>0</v>
      </c>
      <c r="K281" t="n">
        <v>0</v>
      </c>
      <c r="L281" t="n">
        <v>0</v>
      </c>
      <c r="M281" t="n">
        <v>0</v>
      </c>
      <c r="N281" t="n">
        <v>0</v>
      </c>
      <c r="O281" t="n">
        <v>0</v>
      </c>
      <c r="P281" t="n">
        <v>0</v>
      </c>
      <c r="Q281" t="n">
        <v>0</v>
      </c>
      <c r="R281" s="2" t="inlineStr"/>
    </row>
    <row r="282" ht="15" customHeight="1">
      <c r="A282" t="inlineStr">
        <is>
          <t>A 1677-2023</t>
        </is>
      </c>
      <c r="B282" s="1" t="n">
        <v>44938</v>
      </c>
      <c r="C282" s="1" t="n">
        <v>45900</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17682-2024</t>
        </is>
      </c>
      <c r="B283" s="1" t="n">
        <v>45418.42966435185</v>
      </c>
      <c r="C283" s="1" t="n">
        <v>45900</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45900</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45244-2024</t>
        </is>
      </c>
      <c r="B285" s="1" t="n">
        <v>45576</v>
      </c>
      <c r="C285" s="1" t="n">
        <v>45900</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45900</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57356-2023</t>
        </is>
      </c>
      <c r="B287" s="1" t="n">
        <v>45240</v>
      </c>
      <c r="C287" s="1" t="n">
        <v>45900</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45900</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8260-2023</t>
        </is>
      </c>
      <c r="B289" s="1" t="n">
        <v>44974.61608796296</v>
      </c>
      <c r="C289" s="1" t="n">
        <v>45900</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64969-2023</t>
        </is>
      </c>
      <c r="B290" s="1" t="n">
        <v>45284.54009259259</v>
      </c>
      <c r="C290" s="1" t="n">
        <v>45900</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48843-2024</t>
        </is>
      </c>
      <c r="B291" s="1" t="n">
        <v>45593</v>
      </c>
      <c r="C291" s="1" t="n">
        <v>45900</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17541-2024</t>
        </is>
      </c>
      <c r="B292" s="1" t="n">
        <v>45415</v>
      </c>
      <c r="C292" s="1" t="n">
        <v>45900</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28506-2023</t>
        </is>
      </c>
      <c r="B293" s="1" t="n">
        <v>45103</v>
      </c>
      <c r="C293" s="1" t="n">
        <v>45900</v>
      </c>
      <c r="D293" t="inlineStr">
        <is>
          <t>GOTLANDS LÄN</t>
        </is>
      </c>
      <c r="E293" t="inlineStr">
        <is>
          <t>GOTLAND</t>
        </is>
      </c>
      <c r="G293" t="n">
        <v>3.2</v>
      </c>
      <c r="H293" t="n">
        <v>0</v>
      </c>
      <c r="I293" t="n">
        <v>0</v>
      </c>
      <c r="J293" t="n">
        <v>0</v>
      </c>
      <c r="K293" t="n">
        <v>0</v>
      </c>
      <c r="L293" t="n">
        <v>0</v>
      </c>
      <c r="M293" t="n">
        <v>0</v>
      </c>
      <c r="N293" t="n">
        <v>0</v>
      </c>
      <c r="O293" t="n">
        <v>0</v>
      </c>
      <c r="P293" t="n">
        <v>0</v>
      </c>
      <c r="Q293" t="n">
        <v>0</v>
      </c>
      <c r="R293" s="2" t="inlineStr"/>
    </row>
    <row r="294" ht="15" customHeight="1">
      <c r="A294" t="inlineStr">
        <is>
          <t>A 21420-2024</t>
        </is>
      </c>
      <c r="B294" s="1" t="n">
        <v>45441.38293981482</v>
      </c>
      <c r="C294" s="1" t="n">
        <v>45900</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23188-2025</t>
        </is>
      </c>
      <c r="B295" s="1" t="n">
        <v>45791</v>
      </c>
      <c r="C295" s="1" t="n">
        <v>45900</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63516-2023</t>
        </is>
      </c>
      <c r="B296" s="1" t="n">
        <v>45274</v>
      </c>
      <c r="C296" s="1" t="n">
        <v>45900</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2241-2025</t>
        </is>
      </c>
      <c r="B297" s="1" t="n">
        <v>45673.48710648148</v>
      </c>
      <c r="C297" s="1" t="n">
        <v>45900</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23473-2025</t>
        </is>
      </c>
      <c r="B298" s="1" t="n">
        <v>45792</v>
      </c>
      <c r="C298" s="1" t="n">
        <v>45900</v>
      </c>
      <c r="D298" t="inlineStr">
        <is>
          <t>GOTLANDS LÄN</t>
        </is>
      </c>
      <c r="E298" t="inlineStr">
        <is>
          <t>GOTLAND</t>
        </is>
      </c>
      <c r="G298" t="n">
        <v>3.6</v>
      </c>
      <c r="H298" t="n">
        <v>0</v>
      </c>
      <c r="I298" t="n">
        <v>0</v>
      </c>
      <c r="J298" t="n">
        <v>0</v>
      </c>
      <c r="K298" t="n">
        <v>0</v>
      </c>
      <c r="L298" t="n">
        <v>0</v>
      </c>
      <c r="M298" t="n">
        <v>0</v>
      </c>
      <c r="N298" t="n">
        <v>0</v>
      </c>
      <c r="O298" t="n">
        <v>0</v>
      </c>
      <c r="P298" t="n">
        <v>0</v>
      </c>
      <c r="Q298" t="n">
        <v>0</v>
      </c>
      <c r="R298" s="2" t="inlineStr"/>
    </row>
    <row r="299" ht="15" customHeight="1">
      <c r="A299" t="inlineStr">
        <is>
          <t>A 15434-2024</t>
        </is>
      </c>
      <c r="B299" s="1" t="n">
        <v>45401.38836805556</v>
      </c>
      <c r="C299" s="1" t="n">
        <v>45900</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45900</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54073-2022</t>
        </is>
      </c>
      <c r="B301" s="1" t="n">
        <v>44881.50380787037</v>
      </c>
      <c r="C301" s="1" t="n">
        <v>45900</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16361-2024</t>
        </is>
      </c>
      <c r="B302" s="1" t="n">
        <v>45407</v>
      </c>
      <c r="C302" s="1" t="n">
        <v>45900</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41038-2023</t>
        </is>
      </c>
      <c r="B303" s="1" t="n">
        <v>45173.60959490741</v>
      </c>
      <c r="C303" s="1" t="n">
        <v>45900</v>
      </c>
      <c r="D303" t="inlineStr">
        <is>
          <t>GOTLANDS LÄN</t>
        </is>
      </c>
      <c r="E303" t="inlineStr">
        <is>
          <t>GOTLAND</t>
        </is>
      </c>
      <c r="G303" t="n">
        <v>2.7</v>
      </c>
      <c r="H303" t="n">
        <v>0</v>
      </c>
      <c r="I303" t="n">
        <v>0</v>
      </c>
      <c r="J303" t="n">
        <v>0</v>
      </c>
      <c r="K303" t="n">
        <v>0</v>
      </c>
      <c r="L303" t="n">
        <v>0</v>
      </c>
      <c r="M303" t="n">
        <v>0</v>
      </c>
      <c r="N303" t="n">
        <v>0</v>
      </c>
      <c r="O303" t="n">
        <v>0</v>
      </c>
      <c r="P303" t="n">
        <v>0</v>
      </c>
      <c r="Q303" t="n">
        <v>0</v>
      </c>
      <c r="R303" s="2" t="inlineStr"/>
    </row>
    <row r="304" ht="15" customHeight="1">
      <c r="A304" t="inlineStr">
        <is>
          <t>A 23856-2025</t>
        </is>
      </c>
      <c r="B304" s="1" t="n">
        <v>45793</v>
      </c>
      <c r="C304" s="1" t="n">
        <v>45900</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23700-2025</t>
        </is>
      </c>
      <c r="B305" s="1" t="n">
        <v>45793</v>
      </c>
      <c r="C305" s="1" t="n">
        <v>45900</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24001-2021</t>
        </is>
      </c>
      <c r="B306" s="1" t="n">
        <v>44335</v>
      </c>
      <c r="C306" s="1" t="n">
        <v>45900</v>
      </c>
      <c r="D306" t="inlineStr">
        <is>
          <t>GOTLANDS LÄN</t>
        </is>
      </c>
      <c r="E306" t="inlineStr">
        <is>
          <t>GOTLAND</t>
        </is>
      </c>
      <c r="G306" t="n">
        <v>3.4</v>
      </c>
      <c r="H306" t="n">
        <v>0</v>
      </c>
      <c r="I306" t="n">
        <v>0</v>
      </c>
      <c r="J306" t="n">
        <v>0</v>
      </c>
      <c r="K306" t="n">
        <v>0</v>
      </c>
      <c r="L306" t="n">
        <v>0</v>
      </c>
      <c r="M306" t="n">
        <v>0</v>
      </c>
      <c r="N306" t="n">
        <v>0</v>
      </c>
      <c r="O306" t="n">
        <v>0</v>
      </c>
      <c r="P306" t="n">
        <v>0</v>
      </c>
      <c r="Q306" t="n">
        <v>0</v>
      </c>
      <c r="R306" s="2" t="inlineStr"/>
    </row>
    <row r="307" ht="15" customHeight="1">
      <c r="A307" t="inlineStr">
        <is>
          <t>A 15073-2025</t>
        </is>
      </c>
      <c r="B307" s="1" t="n">
        <v>45743</v>
      </c>
      <c r="C307" s="1" t="n">
        <v>45900</v>
      </c>
      <c r="D307" t="inlineStr">
        <is>
          <t>GOTLANDS LÄN</t>
        </is>
      </c>
      <c r="E307" t="inlineStr">
        <is>
          <t>GOTLAND</t>
        </is>
      </c>
      <c r="G307" t="n">
        <v>12.1</v>
      </c>
      <c r="H307" t="n">
        <v>0</v>
      </c>
      <c r="I307" t="n">
        <v>0</v>
      </c>
      <c r="J307" t="n">
        <v>0</v>
      </c>
      <c r="K307" t="n">
        <v>0</v>
      </c>
      <c r="L307" t="n">
        <v>0</v>
      </c>
      <c r="M307" t="n">
        <v>0</v>
      </c>
      <c r="N307" t="n">
        <v>0</v>
      </c>
      <c r="O307" t="n">
        <v>0</v>
      </c>
      <c r="P307" t="n">
        <v>0</v>
      </c>
      <c r="Q307" t="n">
        <v>0</v>
      </c>
      <c r="R307" s="2" t="inlineStr"/>
    </row>
    <row r="308" ht="15" customHeight="1">
      <c r="A308" t="inlineStr">
        <is>
          <t>A 6749-2025</t>
        </is>
      </c>
      <c r="B308" s="1" t="n">
        <v>45700</v>
      </c>
      <c r="C308" s="1" t="n">
        <v>45900</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30365-2024</t>
        </is>
      </c>
      <c r="B309" s="1" t="n">
        <v>45491.3716087963</v>
      </c>
      <c r="C309" s="1" t="n">
        <v>45900</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34142-2024</t>
        </is>
      </c>
      <c r="B310" s="1" t="n">
        <v>45524.36521990741</v>
      </c>
      <c r="C310" s="1" t="n">
        <v>45900</v>
      </c>
      <c r="D310" t="inlineStr">
        <is>
          <t>GOTLANDS LÄN</t>
        </is>
      </c>
      <c r="E310" t="inlineStr">
        <is>
          <t>GOTLAND</t>
        </is>
      </c>
      <c r="G310" t="n">
        <v>6</v>
      </c>
      <c r="H310" t="n">
        <v>0</v>
      </c>
      <c r="I310" t="n">
        <v>0</v>
      </c>
      <c r="J310" t="n">
        <v>0</v>
      </c>
      <c r="K310" t="n">
        <v>0</v>
      </c>
      <c r="L310" t="n">
        <v>0</v>
      </c>
      <c r="M310" t="n">
        <v>0</v>
      </c>
      <c r="N310" t="n">
        <v>0</v>
      </c>
      <c r="O310" t="n">
        <v>0</v>
      </c>
      <c r="P310" t="n">
        <v>0</v>
      </c>
      <c r="Q310" t="n">
        <v>0</v>
      </c>
      <c r="R310" s="2" t="inlineStr"/>
    </row>
    <row r="311" ht="15" customHeight="1">
      <c r="A311" t="inlineStr">
        <is>
          <t>A 14427-2024</t>
        </is>
      </c>
      <c r="B311" s="1" t="n">
        <v>45394</v>
      </c>
      <c r="C311" s="1" t="n">
        <v>45900</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15075-2025</t>
        </is>
      </c>
      <c r="B312" s="1" t="n">
        <v>45743</v>
      </c>
      <c r="C312" s="1" t="n">
        <v>45900</v>
      </c>
      <c r="D312" t="inlineStr">
        <is>
          <t>GOTLANDS LÄN</t>
        </is>
      </c>
      <c r="E312" t="inlineStr">
        <is>
          <t>GOTLAND</t>
        </is>
      </c>
      <c r="G312" t="n">
        <v>20.9</v>
      </c>
      <c r="H312" t="n">
        <v>0</v>
      </c>
      <c r="I312" t="n">
        <v>0</v>
      </c>
      <c r="J312" t="n">
        <v>0</v>
      </c>
      <c r="K312" t="n">
        <v>0</v>
      </c>
      <c r="L312" t="n">
        <v>0</v>
      </c>
      <c r="M312" t="n">
        <v>0</v>
      </c>
      <c r="N312" t="n">
        <v>0</v>
      </c>
      <c r="O312" t="n">
        <v>0</v>
      </c>
      <c r="P312" t="n">
        <v>0</v>
      </c>
      <c r="Q312" t="n">
        <v>0</v>
      </c>
      <c r="R312" s="2" t="inlineStr"/>
    </row>
    <row r="313" ht="15" customHeight="1">
      <c r="A313" t="inlineStr">
        <is>
          <t>A 1681-2023</t>
        </is>
      </c>
      <c r="B313" s="1" t="n">
        <v>44938.39715277778</v>
      </c>
      <c r="C313" s="1" t="n">
        <v>45900</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23698-2025</t>
        </is>
      </c>
      <c r="B314" s="1" t="n">
        <v>45793</v>
      </c>
      <c r="C314" s="1" t="n">
        <v>45900</v>
      </c>
      <c r="D314" t="inlineStr">
        <is>
          <t>GOTLANDS LÄN</t>
        </is>
      </c>
      <c r="E314" t="inlineStr">
        <is>
          <t>GOTLAND</t>
        </is>
      </c>
      <c r="G314" t="n">
        <v>0.8</v>
      </c>
      <c r="H314" t="n">
        <v>0</v>
      </c>
      <c r="I314" t="n">
        <v>0</v>
      </c>
      <c r="J314" t="n">
        <v>0</v>
      </c>
      <c r="K314" t="n">
        <v>0</v>
      </c>
      <c r="L314" t="n">
        <v>0</v>
      </c>
      <c r="M314" t="n">
        <v>0</v>
      </c>
      <c r="N314" t="n">
        <v>0</v>
      </c>
      <c r="O314" t="n">
        <v>0</v>
      </c>
      <c r="P314" t="n">
        <v>0</v>
      </c>
      <c r="Q314" t="n">
        <v>0</v>
      </c>
      <c r="R314" s="2" t="inlineStr"/>
    </row>
    <row r="315" ht="15" customHeight="1">
      <c r="A315" t="inlineStr">
        <is>
          <t>A 31802-2024</t>
        </is>
      </c>
      <c r="B315" s="1" t="n">
        <v>45509</v>
      </c>
      <c r="C315" s="1" t="n">
        <v>45900</v>
      </c>
      <c r="D315" t="inlineStr">
        <is>
          <t>GOTLANDS LÄN</t>
        </is>
      </c>
      <c r="E315" t="inlineStr">
        <is>
          <t>GOTLAND</t>
        </is>
      </c>
      <c r="G315" t="n">
        <v>2.8</v>
      </c>
      <c r="H315" t="n">
        <v>0</v>
      </c>
      <c r="I315" t="n">
        <v>0</v>
      </c>
      <c r="J315" t="n">
        <v>0</v>
      </c>
      <c r="K315" t="n">
        <v>0</v>
      </c>
      <c r="L315" t="n">
        <v>0</v>
      </c>
      <c r="M315" t="n">
        <v>0</v>
      </c>
      <c r="N315" t="n">
        <v>0</v>
      </c>
      <c r="O315" t="n">
        <v>0</v>
      </c>
      <c r="P315" t="n">
        <v>0</v>
      </c>
      <c r="Q315" t="n">
        <v>0</v>
      </c>
      <c r="R315" s="2" t="inlineStr"/>
    </row>
    <row r="316" ht="15" customHeight="1">
      <c r="A316" t="inlineStr">
        <is>
          <t>A 6099-2024</t>
        </is>
      </c>
      <c r="B316" s="1" t="n">
        <v>45337</v>
      </c>
      <c r="C316" s="1" t="n">
        <v>45900</v>
      </c>
      <c r="D316" t="inlineStr">
        <is>
          <t>GOTLANDS LÄN</t>
        </is>
      </c>
      <c r="E316" t="inlineStr">
        <is>
          <t>GOTLAND</t>
        </is>
      </c>
      <c r="G316" t="n">
        <v>12.6</v>
      </c>
      <c r="H316" t="n">
        <v>0</v>
      </c>
      <c r="I316" t="n">
        <v>0</v>
      </c>
      <c r="J316" t="n">
        <v>0</v>
      </c>
      <c r="K316" t="n">
        <v>0</v>
      </c>
      <c r="L316" t="n">
        <v>0</v>
      </c>
      <c r="M316" t="n">
        <v>0</v>
      </c>
      <c r="N316" t="n">
        <v>0</v>
      </c>
      <c r="O316" t="n">
        <v>0</v>
      </c>
      <c r="P316" t="n">
        <v>0</v>
      </c>
      <c r="Q316" t="n">
        <v>0</v>
      </c>
      <c r="R316" s="2" t="inlineStr"/>
    </row>
    <row r="317" ht="15" customHeight="1">
      <c r="A317" t="inlineStr">
        <is>
          <t>A 1273-2023</t>
        </is>
      </c>
      <c r="B317" s="1" t="n">
        <v>44936</v>
      </c>
      <c r="C317" s="1" t="n">
        <v>45900</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8684-2025</t>
        </is>
      </c>
      <c r="B318" s="1" t="n">
        <v>45712.45605324074</v>
      </c>
      <c r="C318" s="1" t="n">
        <v>45900</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8036-2022</t>
        </is>
      </c>
      <c r="B319" s="1" t="n">
        <v>44609.44362268518</v>
      </c>
      <c r="C319" s="1" t="n">
        <v>45900</v>
      </c>
      <c r="D319" t="inlineStr">
        <is>
          <t>GOTLANDS LÄN</t>
        </is>
      </c>
      <c r="E319" t="inlineStr">
        <is>
          <t>GOTLAND</t>
        </is>
      </c>
      <c r="G319" t="n">
        <v>6.1</v>
      </c>
      <c r="H319" t="n">
        <v>0</v>
      </c>
      <c r="I319" t="n">
        <v>0</v>
      </c>
      <c r="J319" t="n">
        <v>0</v>
      </c>
      <c r="K319" t="n">
        <v>0</v>
      </c>
      <c r="L319" t="n">
        <v>0</v>
      </c>
      <c r="M319" t="n">
        <v>0</v>
      </c>
      <c r="N319" t="n">
        <v>0</v>
      </c>
      <c r="O319" t="n">
        <v>0</v>
      </c>
      <c r="P319" t="n">
        <v>0</v>
      </c>
      <c r="Q319" t="n">
        <v>0</v>
      </c>
      <c r="R319" s="2" t="inlineStr"/>
    </row>
    <row r="320" ht="15" customHeight="1">
      <c r="A320" t="inlineStr">
        <is>
          <t>A 58780-2024</t>
        </is>
      </c>
      <c r="B320" s="1" t="n">
        <v>45635.84113425926</v>
      </c>
      <c r="C320" s="1" t="n">
        <v>45900</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12846-2025</t>
        </is>
      </c>
      <c r="B321" s="1" t="n">
        <v>45733.65049768519</v>
      </c>
      <c r="C321" s="1" t="n">
        <v>45900</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45692-2023</t>
        </is>
      </c>
      <c r="B322" s="1" t="n">
        <v>45195</v>
      </c>
      <c r="C322" s="1" t="n">
        <v>45900</v>
      </c>
      <c r="D322" t="inlineStr">
        <is>
          <t>GOTLANDS LÄN</t>
        </is>
      </c>
      <c r="E322" t="inlineStr">
        <is>
          <t>GOTLAND</t>
        </is>
      </c>
      <c r="G322" t="n">
        <v>5.3</v>
      </c>
      <c r="H322" t="n">
        <v>0</v>
      </c>
      <c r="I322" t="n">
        <v>0</v>
      </c>
      <c r="J322" t="n">
        <v>0</v>
      </c>
      <c r="K322" t="n">
        <v>0</v>
      </c>
      <c r="L322" t="n">
        <v>0</v>
      </c>
      <c r="M322" t="n">
        <v>0</v>
      </c>
      <c r="N322" t="n">
        <v>0</v>
      </c>
      <c r="O322" t="n">
        <v>0</v>
      </c>
      <c r="P322" t="n">
        <v>0</v>
      </c>
      <c r="Q322" t="n">
        <v>0</v>
      </c>
      <c r="R322" s="2" t="inlineStr"/>
    </row>
    <row r="323" ht="15" customHeight="1">
      <c r="A323" t="inlineStr">
        <is>
          <t>A 5462-2025</t>
        </is>
      </c>
      <c r="B323" s="1" t="n">
        <v>45693.29331018519</v>
      </c>
      <c r="C323" s="1" t="n">
        <v>45900</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33876-2024</t>
        </is>
      </c>
      <c r="B324" s="1" t="n">
        <v>45521.87988425926</v>
      </c>
      <c r="C324" s="1" t="n">
        <v>45900</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46778-2020</t>
        </is>
      </c>
      <c r="B325" s="1" t="n">
        <v>44096</v>
      </c>
      <c r="C325" s="1" t="n">
        <v>45900</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28285-2024</t>
        </is>
      </c>
      <c r="B326" s="1" t="n">
        <v>45477</v>
      </c>
      <c r="C326" s="1" t="n">
        <v>45900</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61100-2022</t>
        </is>
      </c>
      <c r="B327" s="1" t="n">
        <v>44915</v>
      </c>
      <c r="C327" s="1" t="n">
        <v>45900</v>
      </c>
      <c r="D327" t="inlineStr">
        <is>
          <t>GOTLANDS LÄN</t>
        </is>
      </c>
      <c r="E327" t="inlineStr">
        <is>
          <t>GOTLAND</t>
        </is>
      </c>
      <c r="G327" t="n">
        <v>1.4</v>
      </c>
      <c r="H327" t="n">
        <v>0</v>
      </c>
      <c r="I327" t="n">
        <v>0</v>
      </c>
      <c r="J327" t="n">
        <v>0</v>
      </c>
      <c r="K327" t="n">
        <v>0</v>
      </c>
      <c r="L327" t="n">
        <v>0</v>
      </c>
      <c r="M327" t="n">
        <v>0</v>
      </c>
      <c r="N327" t="n">
        <v>0</v>
      </c>
      <c r="O327" t="n">
        <v>0</v>
      </c>
      <c r="P327" t="n">
        <v>0</v>
      </c>
      <c r="Q327" t="n">
        <v>0</v>
      </c>
      <c r="R327" s="2" t="inlineStr"/>
    </row>
    <row r="328" ht="15" customHeight="1">
      <c r="A328" t="inlineStr">
        <is>
          <t>A 25796-2025</t>
        </is>
      </c>
      <c r="B328" s="1" t="n">
        <v>45804.39543981481</v>
      </c>
      <c r="C328" s="1" t="n">
        <v>45900</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61682-2024</t>
        </is>
      </c>
      <c r="B329" s="1" t="n">
        <v>45647.48824074074</v>
      </c>
      <c r="C329" s="1" t="n">
        <v>45900</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46949-2024</t>
        </is>
      </c>
      <c r="B330" s="1" t="n">
        <v>45585</v>
      </c>
      <c r="C330" s="1" t="n">
        <v>45900</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25678-2025</t>
        </is>
      </c>
      <c r="B331" s="1" t="n">
        <v>45803.64118055555</v>
      </c>
      <c r="C331" s="1" t="n">
        <v>45900</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43785-2024</t>
        </is>
      </c>
      <c r="B332" s="1" t="n">
        <v>45570</v>
      </c>
      <c r="C332" s="1" t="n">
        <v>45900</v>
      </c>
      <c r="D332" t="inlineStr">
        <is>
          <t>GOTLANDS LÄN</t>
        </is>
      </c>
      <c r="E332" t="inlineStr">
        <is>
          <t>GOTLAND</t>
        </is>
      </c>
      <c r="G332" t="n">
        <v>12.6</v>
      </c>
      <c r="H332" t="n">
        <v>0</v>
      </c>
      <c r="I332" t="n">
        <v>0</v>
      </c>
      <c r="J332" t="n">
        <v>0</v>
      </c>
      <c r="K332" t="n">
        <v>0</v>
      </c>
      <c r="L332" t="n">
        <v>0</v>
      </c>
      <c r="M332" t="n">
        <v>0</v>
      </c>
      <c r="N332" t="n">
        <v>0</v>
      </c>
      <c r="O332" t="n">
        <v>0</v>
      </c>
      <c r="P332" t="n">
        <v>0</v>
      </c>
      <c r="Q332" t="n">
        <v>0</v>
      </c>
      <c r="R332" s="2" t="inlineStr"/>
    </row>
    <row r="333" ht="15" customHeight="1">
      <c r="A333" t="inlineStr">
        <is>
          <t>A 10650-2022</t>
        </is>
      </c>
      <c r="B333" s="1" t="n">
        <v>44624.57945601852</v>
      </c>
      <c r="C333" s="1" t="n">
        <v>45900</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45900</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58388-2022</t>
        </is>
      </c>
      <c r="B335" s="1" t="n">
        <v>44894</v>
      </c>
      <c r="C335" s="1" t="n">
        <v>45900</v>
      </c>
      <c r="D335" t="inlineStr">
        <is>
          <t>GOTLANDS LÄN</t>
        </is>
      </c>
      <c r="E335" t="inlineStr">
        <is>
          <t>GOTLAND</t>
        </is>
      </c>
      <c r="F335" t="inlineStr">
        <is>
          <t>Övriga statliga verk och myndigheter</t>
        </is>
      </c>
      <c r="G335" t="n">
        <v>3.1</v>
      </c>
      <c r="H335" t="n">
        <v>0</v>
      </c>
      <c r="I335" t="n">
        <v>0</v>
      </c>
      <c r="J335" t="n">
        <v>0</v>
      </c>
      <c r="K335" t="n">
        <v>0</v>
      </c>
      <c r="L335" t="n">
        <v>0</v>
      </c>
      <c r="M335" t="n">
        <v>0</v>
      </c>
      <c r="N335" t="n">
        <v>0</v>
      </c>
      <c r="O335" t="n">
        <v>0</v>
      </c>
      <c r="P335" t="n">
        <v>0</v>
      </c>
      <c r="Q335" t="n">
        <v>0</v>
      </c>
      <c r="R335" s="2" t="inlineStr"/>
    </row>
    <row r="336" ht="15" customHeight="1">
      <c r="A336" t="inlineStr">
        <is>
          <t>A 21792-2024</t>
        </is>
      </c>
      <c r="B336" s="1" t="n">
        <v>45442.64326388889</v>
      </c>
      <c r="C336" s="1" t="n">
        <v>45900</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26457-2025</t>
        </is>
      </c>
      <c r="B337" s="1" t="n">
        <v>45807.42773148148</v>
      </c>
      <c r="C337" s="1" t="n">
        <v>45900</v>
      </c>
      <c r="D337" t="inlineStr">
        <is>
          <t>GOTLANDS LÄN</t>
        </is>
      </c>
      <c r="E337" t="inlineStr">
        <is>
          <t>GOTLAND</t>
        </is>
      </c>
      <c r="G337" t="n">
        <v>5.7</v>
      </c>
      <c r="H337" t="n">
        <v>0</v>
      </c>
      <c r="I337" t="n">
        <v>0</v>
      </c>
      <c r="J337" t="n">
        <v>0</v>
      </c>
      <c r="K337" t="n">
        <v>0</v>
      </c>
      <c r="L337" t="n">
        <v>0</v>
      </c>
      <c r="M337" t="n">
        <v>0</v>
      </c>
      <c r="N337" t="n">
        <v>0</v>
      </c>
      <c r="O337" t="n">
        <v>0</v>
      </c>
      <c r="P337" t="n">
        <v>0</v>
      </c>
      <c r="Q337" t="n">
        <v>0</v>
      </c>
      <c r="R337" s="2" t="inlineStr"/>
    </row>
    <row r="338" ht="15" customHeight="1">
      <c r="A338" t="inlineStr">
        <is>
          <t>A 26467-2025</t>
        </is>
      </c>
      <c r="B338" s="1" t="n">
        <v>45807.44640046296</v>
      </c>
      <c r="C338" s="1" t="n">
        <v>45900</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11634-2024</t>
        </is>
      </c>
      <c r="B339" s="1" t="n">
        <v>45373</v>
      </c>
      <c r="C339" s="1" t="n">
        <v>45900</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1351-2025</t>
        </is>
      </c>
      <c r="B340" s="1" t="n">
        <v>45667.62246527777</v>
      </c>
      <c r="C340" s="1" t="n">
        <v>45900</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26465-2025</t>
        </is>
      </c>
      <c r="B341" s="1" t="n">
        <v>45807.44377314814</v>
      </c>
      <c r="C341" s="1" t="n">
        <v>45900</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39496-2022</t>
        </is>
      </c>
      <c r="B342" s="1" t="n">
        <v>44818</v>
      </c>
      <c r="C342" s="1" t="n">
        <v>45900</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45900</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49874-2024</t>
        </is>
      </c>
      <c r="B344" s="1" t="n">
        <v>45597.49274305555</v>
      </c>
      <c r="C344" s="1" t="n">
        <v>45900</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3930-2025</t>
        </is>
      </c>
      <c r="B345" s="1" t="n">
        <v>45684.45427083333</v>
      </c>
      <c r="C345" s="1" t="n">
        <v>45900</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42201-2023</t>
        </is>
      </c>
      <c r="B346" s="1" t="n">
        <v>45179</v>
      </c>
      <c r="C346" s="1" t="n">
        <v>45900</v>
      </c>
      <c r="D346" t="inlineStr">
        <is>
          <t>GOTLANDS LÄN</t>
        </is>
      </c>
      <c r="E346" t="inlineStr">
        <is>
          <t>GOTLAND</t>
        </is>
      </c>
      <c r="G346" t="n">
        <v>11.9</v>
      </c>
      <c r="H346" t="n">
        <v>0</v>
      </c>
      <c r="I346" t="n">
        <v>0</v>
      </c>
      <c r="J346" t="n">
        <v>0</v>
      </c>
      <c r="K346" t="n">
        <v>0</v>
      </c>
      <c r="L346" t="n">
        <v>0</v>
      </c>
      <c r="M346" t="n">
        <v>0</v>
      </c>
      <c r="N346" t="n">
        <v>0</v>
      </c>
      <c r="O346" t="n">
        <v>0</v>
      </c>
      <c r="P346" t="n">
        <v>0</v>
      </c>
      <c r="Q346" t="n">
        <v>0</v>
      </c>
      <c r="R346" s="2" t="inlineStr"/>
    </row>
    <row r="347" ht="15" customHeight="1">
      <c r="A347" t="inlineStr">
        <is>
          <t>A 27348-2025</t>
        </is>
      </c>
      <c r="B347" s="1" t="n">
        <v>45812.62451388889</v>
      </c>
      <c r="C347" s="1" t="n">
        <v>45900</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18993-2025</t>
        </is>
      </c>
      <c r="B348" s="1" t="n">
        <v>45764</v>
      </c>
      <c r="C348" s="1" t="n">
        <v>45900</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46400-2023</t>
        </is>
      </c>
      <c r="B349" s="1" t="n">
        <v>45197.49290509259</v>
      </c>
      <c r="C349" s="1" t="n">
        <v>45900</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17688-2024</t>
        </is>
      </c>
      <c r="B350" s="1" t="n">
        <v>45418.43575231481</v>
      </c>
      <c r="C350" s="1" t="n">
        <v>45900</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9875-2025</t>
        </is>
      </c>
      <c r="B351" s="1" t="n">
        <v>45716</v>
      </c>
      <c r="C351" s="1" t="n">
        <v>45900</v>
      </c>
      <c r="D351" t="inlineStr">
        <is>
          <t>GOTLANDS LÄN</t>
        </is>
      </c>
      <c r="E351" t="inlineStr">
        <is>
          <t>GOTLAND</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19002-2025</t>
        </is>
      </c>
      <c r="B352" s="1" t="n">
        <v>45764</v>
      </c>
      <c r="C352" s="1" t="n">
        <v>45900</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27371-2025</t>
        </is>
      </c>
      <c r="B353" s="1" t="n">
        <v>45812</v>
      </c>
      <c r="C353" s="1" t="n">
        <v>45900</v>
      </c>
      <c r="D353" t="inlineStr">
        <is>
          <t>GOTLANDS LÄN</t>
        </is>
      </c>
      <c r="E353" t="inlineStr">
        <is>
          <t>GOTLAND</t>
        </is>
      </c>
      <c r="G353" t="n">
        <v>8</v>
      </c>
      <c r="H353" t="n">
        <v>0</v>
      </c>
      <c r="I353" t="n">
        <v>0</v>
      </c>
      <c r="J353" t="n">
        <v>0</v>
      </c>
      <c r="K353" t="n">
        <v>0</v>
      </c>
      <c r="L353" t="n">
        <v>0</v>
      </c>
      <c r="M353" t="n">
        <v>0</v>
      </c>
      <c r="N353" t="n">
        <v>0</v>
      </c>
      <c r="O353" t="n">
        <v>0</v>
      </c>
      <c r="P353" t="n">
        <v>0</v>
      </c>
      <c r="Q353" t="n">
        <v>0</v>
      </c>
      <c r="R353" s="2" t="inlineStr"/>
    </row>
    <row r="354" ht="15" customHeight="1">
      <c r="A354" t="inlineStr">
        <is>
          <t>A 27355-2025</t>
        </is>
      </c>
      <c r="B354" s="1" t="n">
        <v>45812</v>
      </c>
      <c r="C354" s="1" t="n">
        <v>45900</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45900</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45900</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45900</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21164-2024</t>
        </is>
      </c>
      <c r="B358" s="1" t="n">
        <v>45440</v>
      </c>
      <c r="C358" s="1" t="n">
        <v>45900</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8045-2022</t>
        </is>
      </c>
      <c r="B359" s="1" t="n">
        <v>44609</v>
      </c>
      <c r="C359" s="1" t="n">
        <v>45900</v>
      </c>
      <c r="D359" t="inlineStr">
        <is>
          <t>GOTLANDS LÄN</t>
        </is>
      </c>
      <c r="E359" t="inlineStr">
        <is>
          <t>GOTLAND</t>
        </is>
      </c>
      <c r="G359" t="n">
        <v>7</v>
      </c>
      <c r="H359" t="n">
        <v>0</v>
      </c>
      <c r="I359" t="n">
        <v>0</v>
      </c>
      <c r="J359" t="n">
        <v>0</v>
      </c>
      <c r="K359" t="n">
        <v>0</v>
      </c>
      <c r="L359" t="n">
        <v>0</v>
      </c>
      <c r="M359" t="n">
        <v>0</v>
      </c>
      <c r="N359" t="n">
        <v>0</v>
      </c>
      <c r="O359" t="n">
        <v>0</v>
      </c>
      <c r="P359" t="n">
        <v>0</v>
      </c>
      <c r="Q359" t="n">
        <v>0</v>
      </c>
      <c r="R359" s="2" t="inlineStr"/>
    </row>
    <row r="360" ht="15" customHeight="1">
      <c r="A360" t="inlineStr">
        <is>
          <t>A 8444-2025</t>
        </is>
      </c>
      <c r="B360" s="1" t="n">
        <v>45709</v>
      </c>
      <c r="C360" s="1" t="n">
        <v>45900</v>
      </c>
      <c r="D360" t="inlineStr">
        <is>
          <t>GOTLANDS LÄN</t>
        </is>
      </c>
      <c r="E360" t="inlineStr">
        <is>
          <t>GOTLAND</t>
        </is>
      </c>
      <c r="G360" t="n">
        <v>5.2</v>
      </c>
      <c r="H360" t="n">
        <v>0</v>
      </c>
      <c r="I360" t="n">
        <v>0</v>
      </c>
      <c r="J360" t="n">
        <v>0</v>
      </c>
      <c r="K360" t="n">
        <v>0</v>
      </c>
      <c r="L360" t="n">
        <v>0</v>
      </c>
      <c r="M360" t="n">
        <v>0</v>
      </c>
      <c r="N360" t="n">
        <v>0</v>
      </c>
      <c r="O360" t="n">
        <v>0</v>
      </c>
      <c r="P360" t="n">
        <v>0</v>
      </c>
      <c r="Q360" t="n">
        <v>0</v>
      </c>
      <c r="R360" s="2" t="inlineStr"/>
    </row>
    <row r="361" ht="15" customHeight="1">
      <c r="A361" t="inlineStr">
        <is>
          <t>A 4568-2025</t>
        </is>
      </c>
      <c r="B361" s="1" t="n">
        <v>45687</v>
      </c>
      <c r="C361" s="1" t="n">
        <v>45900</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22897-2023</t>
        </is>
      </c>
      <c r="B362" s="1" t="n">
        <v>45072.55239583334</v>
      </c>
      <c r="C362" s="1" t="n">
        <v>45900</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61897-2024</t>
        </is>
      </c>
      <c r="B363" s="1" t="n">
        <v>45652.75685185185</v>
      </c>
      <c r="C363" s="1" t="n">
        <v>45900</v>
      </c>
      <c r="D363" t="inlineStr">
        <is>
          <t>GOTLANDS LÄN</t>
        </is>
      </c>
      <c r="E363" t="inlineStr">
        <is>
          <t>GOTLAND</t>
        </is>
      </c>
      <c r="G363" t="n">
        <v>6.4</v>
      </c>
      <c r="H363" t="n">
        <v>0</v>
      </c>
      <c r="I363" t="n">
        <v>0</v>
      </c>
      <c r="J363" t="n">
        <v>0</v>
      </c>
      <c r="K363" t="n">
        <v>0</v>
      </c>
      <c r="L363" t="n">
        <v>0</v>
      </c>
      <c r="M363" t="n">
        <v>0</v>
      </c>
      <c r="N363" t="n">
        <v>0</v>
      </c>
      <c r="O363" t="n">
        <v>0</v>
      </c>
      <c r="P363" t="n">
        <v>0</v>
      </c>
      <c r="Q363" t="n">
        <v>0</v>
      </c>
      <c r="R363" s="2" t="inlineStr"/>
    </row>
    <row r="364" ht="15" customHeight="1">
      <c r="A364" t="inlineStr">
        <is>
          <t>A 35512-2023</t>
        </is>
      </c>
      <c r="B364" s="1" t="n">
        <v>45147.25623842593</v>
      </c>
      <c r="C364" s="1" t="n">
        <v>45900</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5905-2024</t>
        </is>
      </c>
      <c r="B365" s="1" t="n">
        <v>45335.88993055555</v>
      </c>
      <c r="C365" s="1" t="n">
        <v>45900</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45900</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49962-2023</t>
        </is>
      </c>
      <c r="B367" s="1" t="n">
        <v>45215.38775462963</v>
      </c>
      <c r="C367" s="1" t="n">
        <v>45900</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45900</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1291-2023</t>
        </is>
      </c>
      <c r="B369" s="1" t="n">
        <v>44936.47561342592</v>
      </c>
      <c r="C369" s="1" t="n">
        <v>45900</v>
      </c>
      <c r="D369" t="inlineStr">
        <is>
          <t>GOTLANDS LÄN</t>
        </is>
      </c>
      <c r="E369" t="inlineStr">
        <is>
          <t>GOTLAND</t>
        </is>
      </c>
      <c r="G369" t="n">
        <v>7.4</v>
      </c>
      <c r="H369" t="n">
        <v>0</v>
      </c>
      <c r="I369" t="n">
        <v>0</v>
      </c>
      <c r="J369" t="n">
        <v>0</v>
      </c>
      <c r="K369" t="n">
        <v>0</v>
      </c>
      <c r="L369" t="n">
        <v>0</v>
      </c>
      <c r="M369" t="n">
        <v>0</v>
      </c>
      <c r="N369" t="n">
        <v>0</v>
      </c>
      <c r="O369" t="n">
        <v>0</v>
      </c>
      <c r="P369" t="n">
        <v>0</v>
      </c>
      <c r="Q369" t="n">
        <v>0</v>
      </c>
      <c r="R369" s="2" t="inlineStr"/>
    </row>
    <row r="370" ht="15" customHeight="1">
      <c r="A370" t="inlineStr">
        <is>
          <t>A 29207-2025</t>
        </is>
      </c>
      <c r="B370" s="1" t="n">
        <v>45823</v>
      </c>
      <c r="C370" s="1" t="n">
        <v>45900</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57652-2023</t>
        </is>
      </c>
      <c r="B371" s="1" t="n">
        <v>45246</v>
      </c>
      <c r="C371" s="1" t="n">
        <v>45900</v>
      </c>
      <c r="D371" t="inlineStr">
        <is>
          <t>GOTLANDS LÄN</t>
        </is>
      </c>
      <c r="E371" t="inlineStr">
        <is>
          <t>GOTLAND</t>
        </is>
      </c>
      <c r="G371" t="n">
        <v>7.2</v>
      </c>
      <c r="H371" t="n">
        <v>0</v>
      </c>
      <c r="I371" t="n">
        <v>0</v>
      </c>
      <c r="J371" t="n">
        <v>0</v>
      </c>
      <c r="K371" t="n">
        <v>0</v>
      </c>
      <c r="L371" t="n">
        <v>0</v>
      </c>
      <c r="M371" t="n">
        <v>0</v>
      </c>
      <c r="N371" t="n">
        <v>0</v>
      </c>
      <c r="O371" t="n">
        <v>0</v>
      </c>
      <c r="P371" t="n">
        <v>0</v>
      </c>
      <c r="Q371" t="n">
        <v>0</v>
      </c>
      <c r="R371" s="2" t="inlineStr"/>
    </row>
    <row r="372" ht="15" customHeight="1">
      <c r="A372" t="inlineStr">
        <is>
          <t>A 20165-2022</t>
        </is>
      </c>
      <c r="B372" s="1" t="n">
        <v>44698.49854166667</v>
      </c>
      <c r="C372" s="1" t="n">
        <v>45900</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49315-2024</t>
        </is>
      </c>
      <c r="B373" s="1" t="n">
        <v>45595</v>
      </c>
      <c r="C373" s="1" t="n">
        <v>45900</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40294-2022</t>
        </is>
      </c>
      <c r="B374" s="1" t="n">
        <v>44821</v>
      </c>
      <c r="C374" s="1" t="n">
        <v>45900</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30157-2025</t>
        </is>
      </c>
      <c r="B375" s="1" t="n">
        <v>45826</v>
      </c>
      <c r="C375" s="1" t="n">
        <v>45900</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45106-2024</t>
        </is>
      </c>
      <c r="B376" s="1" t="n">
        <v>45575</v>
      </c>
      <c r="C376" s="1" t="n">
        <v>45900</v>
      </c>
      <c r="D376" t="inlineStr">
        <is>
          <t>GOTLANDS LÄN</t>
        </is>
      </c>
      <c r="E376" t="inlineStr">
        <is>
          <t>GOTLAND</t>
        </is>
      </c>
      <c r="G376" t="n">
        <v>10</v>
      </c>
      <c r="H376" t="n">
        <v>0</v>
      </c>
      <c r="I376" t="n">
        <v>0</v>
      </c>
      <c r="J376" t="n">
        <v>0</v>
      </c>
      <c r="K376" t="n">
        <v>0</v>
      </c>
      <c r="L376" t="n">
        <v>0</v>
      </c>
      <c r="M376" t="n">
        <v>0</v>
      </c>
      <c r="N376" t="n">
        <v>0</v>
      </c>
      <c r="O376" t="n">
        <v>0</v>
      </c>
      <c r="P376" t="n">
        <v>0</v>
      </c>
      <c r="Q376" t="n">
        <v>0</v>
      </c>
      <c r="R376" s="2" t="inlineStr"/>
    </row>
    <row r="377" ht="15" customHeight="1">
      <c r="A377" t="inlineStr">
        <is>
          <t>A 45112-2024</t>
        </is>
      </c>
      <c r="B377" s="1" t="n">
        <v>45575</v>
      </c>
      <c r="C377" s="1" t="n">
        <v>45900</v>
      </c>
      <c r="D377" t="inlineStr">
        <is>
          <t>GOTLANDS LÄN</t>
        </is>
      </c>
      <c r="E377" t="inlineStr">
        <is>
          <t>GOTLAND</t>
        </is>
      </c>
      <c r="G377" t="n">
        <v>5.1</v>
      </c>
      <c r="H377" t="n">
        <v>0</v>
      </c>
      <c r="I377" t="n">
        <v>0</v>
      </c>
      <c r="J377" t="n">
        <v>0</v>
      </c>
      <c r="K377" t="n">
        <v>0</v>
      </c>
      <c r="L377" t="n">
        <v>0</v>
      </c>
      <c r="M377" t="n">
        <v>0</v>
      </c>
      <c r="N377" t="n">
        <v>0</v>
      </c>
      <c r="O377" t="n">
        <v>0</v>
      </c>
      <c r="P377" t="n">
        <v>0</v>
      </c>
      <c r="Q377" t="n">
        <v>0</v>
      </c>
      <c r="R377" s="2" t="inlineStr"/>
    </row>
    <row r="378" ht="15" customHeight="1">
      <c r="A378" t="inlineStr">
        <is>
          <t>A 12032-2025</t>
        </is>
      </c>
      <c r="B378" s="1" t="n">
        <v>45728.64472222222</v>
      </c>
      <c r="C378" s="1" t="n">
        <v>45900</v>
      </c>
      <c r="D378" t="inlineStr">
        <is>
          <t>GOTLANDS LÄN</t>
        </is>
      </c>
      <c r="E378" t="inlineStr">
        <is>
          <t>GOTLAND</t>
        </is>
      </c>
      <c r="G378" t="n">
        <v>1.4</v>
      </c>
      <c r="H378" t="n">
        <v>0</v>
      </c>
      <c r="I378" t="n">
        <v>0</v>
      </c>
      <c r="J378" t="n">
        <v>0</v>
      </c>
      <c r="K378" t="n">
        <v>0</v>
      </c>
      <c r="L378" t="n">
        <v>0</v>
      </c>
      <c r="M378" t="n">
        <v>0</v>
      </c>
      <c r="N378" t="n">
        <v>0</v>
      </c>
      <c r="O378" t="n">
        <v>0</v>
      </c>
      <c r="P378" t="n">
        <v>0</v>
      </c>
      <c r="Q378" t="n">
        <v>0</v>
      </c>
      <c r="R378" s="2" t="inlineStr"/>
    </row>
    <row r="379" ht="15" customHeight="1">
      <c r="A379" t="inlineStr">
        <is>
          <t>A 30061-2025</t>
        </is>
      </c>
      <c r="B379" s="1" t="n">
        <v>45826.61488425926</v>
      </c>
      <c r="C379" s="1" t="n">
        <v>45900</v>
      </c>
      <c r="D379" t="inlineStr">
        <is>
          <t>GOTLANDS LÄN</t>
        </is>
      </c>
      <c r="E379" t="inlineStr">
        <is>
          <t>GOTLAND</t>
        </is>
      </c>
      <c r="G379" t="n">
        <v>4.1</v>
      </c>
      <c r="H379" t="n">
        <v>0</v>
      </c>
      <c r="I379" t="n">
        <v>0</v>
      </c>
      <c r="J379" t="n">
        <v>0</v>
      </c>
      <c r="K379" t="n">
        <v>0</v>
      </c>
      <c r="L379" t="n">
        <v>0</v>
      </c>
      <c r="M379" t="n">
        <v>0</v>
      </c>
      <c r="N379" t="n">
        <v>0</v>
      </c>
      <c r="O379" t="n">
        <v>0</v>
      </c>
      <c r="P379" t="n">
        <v>0</v>
      </c>
      <c r="Q379" t="n">
        <v>0</v>
      </c>
      <c r="R379" s="2" t="inlineStr"/>
    </row>
    <row r="380" ht="15" customHeight="1">
      <c r="A380" t="inlineStr">
        <is>
          <t>A 38787-2023</t>
        </is>
      </c>
      <c r="B380" s="1" t="n">
        <v>45163</v>
      </c>
      <c r="C380" s="1" t="n">
        <v>45900</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2676-2023</t>
        </is>
      </c>
      <c r="B381" s="1" t="n">
        <v>44944</v>
      </c>
      <c r="C381" s="1" t="n">
        <v>45900</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58160-2024</t>
        </is>
      </c>
      <c r="B382" s="1" t="n">
        <v>45632.44927083333</v>
      </c>
      <c r="C382" s="1" t="n">
        <v>45900</v>
      </c>
      <c r="D382" t="inlineStr">
        <is>
          <t>GOTLANDS LÄN</t>
        </is>
      </c>
      <c r="E382" t="inlineStr">
        <is>
          <t>GOTLAND</t>
        </is>
      </c>
      <c r="G382" t="n">
        <v>5.6</v>
      </c>
      <c r="H382" t="n">
        <v>0</v>
      </c>
      <c r="I382" t="n">
        <v>0</v>
      </c>
      <c r="J382" t="n">
        <v>0</v>
      </c>
      <c r="K382" t="n">
        <v>0</v>
      </c>
      <c r="L382" t="n">
        <v>0</v>
      </c>
      <c r="M382" t="n">
        <v>0</v>
      </c>
      <c r="N382" t="n">
        <v>0</v>
      </c>
      <c r="O382" t="n">
        <v>0</v>
      </c>
      <c r="P382" t="n">
        <v>0</v>
      </c>
      <c r="Q382" t="n">
        <v>0</v>
      </c>
      <c r="R382" s="2" t="inlineStr"/>
    </row>
    <row r="383" ht="15" customHeight="1">
      <c r="A383" t="inlineStr">
        <is>
          <t>A 3150-2025</t>
        </is>
      </c>
      <c r="B383" s="1" t="n">
        <v>45679.28974537037</v>
      </c>
      <c r="C383" s="1" t="n">
        <v>45900</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20307-2025</t>
        </is>
      </c>
      <c r="B384" s="1" t="n">
        <v>45774.95546296296</v>
      </c>
      <c r="C384" s="1" t="n">
        <v>45900</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8484-2025</t>
        </is>
      </c>
      <c r="B385" s="1" t="n">
        <v>45709</v>
      </c>
      <c r="C385" s="1" t="n">
        <v>45900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7635-2025</t>
        </is>
      </c>
      <c r="B386" s="1" t="n">
        <v>45705</v>
      </c>
      <c r="C386" s="1" t="n">
        <v>45900</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7636-2025</t>
        </is>
      </c>
      <c r="B387" s="1" t="n">
        <v>45705.7687962963</v>
      </c>
      <c r="C387" s="1" t="n">
        <v>45900</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7639-2025</t>
        </is>
      </c>
      <c r="B388" s="1" t="n">
        <v>45705.77465277778</v>
      </c>
      <c r="C388" s="1" t="n">
        <v>45900</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43231-2023</t>
        </is>
      </c>
      <c r="B389" s="1" t="n">
        <v>45183.47025462963</v>
      </c>
      <c r="C389" s="1" t="n">
        <v>45900</v>
      </c>
      <c r="D389" t="inlineStr">
        <is>
          <t>GOTLANDS LÄN</t>
        </is>
      </c>
      <c r="E389" t="inlineStr">
        <is>
          <t>GOTLAND</t>
        </is>
      </c>
      <c r="G389" t="n">
        <v>3.6</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45900</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45900</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45900</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45900</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29809-2022</t>
        </is>
      </c>
      <c r="B394" s="1" t="n">
        <v>44755.8713425926</v>
      </c>
      <c r="C394" s="1" t="n">
        <v>45900</v>
      </c>
      <c r="D394" t="inlineStr">
        <is>
          <t>GOTLANDS LÄN</t>
        </is>
      </c>
      <c r="E394" t="inlineStr">
        <is>
          <t>GOTLAND</t>
        </is>
      </c>
      <c r="G394" t="n">
        <v>11.5</v>
      </c>
      <c r="H394" t="n">
        <v>0</v>
      </c>
      <c r="I394" t="n">
        <v>0</v>
      </c>
      <c r="J394" t="n">
        <v>0</v>
      </c>
      <c r="K394" t="n">
        <v>0</v>
      </c>
      <c r="L394" t="n">
        <v>0</v>
      </c>
      <c r="M394" t="n">
        <v>0</v>
      </c>
      <c r="N394" t="n">
        <v>0</v>
      </c>
      <c r="O394" t="n">
        <v>0</v>
      </c>
      <c r="P394" t="n">
        <v>0</v>
      </c>
      <c r="Q394" t="n">
        <v>0</v>
      </c>
      <c r="R394" s="2" t="inlineStr"/>
    </row>
    <row r="395" ht="15" customHeight="1">
      <c r="A395" t="inlineStr">
        <is>
          <t>A 30488-2025</t>
        </is>
      </c>
      <c r="B395" s="1" t="n">
        <v>45830</v>
      </c>
      <c r="C395" s="1" t="n">
        <v>45900</v>
      </c>
      <c r="D395" t="inlineStr">
        <is>
          <t>GOTLANDS LÄN</t>
        </is>
      </c>
      <c r="E395" t="inlineStr">
        <is>
          <t>GOTLAND</t>
        </is>
      </c>
      <c r="F395" t="inlineStr">
        <is>
          <t>Kyrkan</t>
        </is>
      </c>
      <c r="G395" t="n">
        <v>3.9</v>
      </c>
      <c r="H395" t="n">
        <v>0</v>
      </c>
      <c r="I395" t="n">
        <v>0</v>
      </c>
      <c r="J395" t="n">
        <v>0</v>
      </c>
      <c r="K395" t="n">
        <v>0</v>
      </c>
      <c r="L395" t="n">
        <v>0</v>
      </c>
      <c r="M395" t="n">
        <v>0</v>
      </c>
      <c r="N395" t="n">
        <v>0</v>
      </c>
      <c r="O395" t="n">
        <v>0</v>
      </c>
      <c r="P395" t="n">
        <v>0</v>
      </c>
      <c r="Q395" t="n">
        <v>0</v>
      </c>
      <c r="R395" s="2" t="inlineStr"/>
    </row>
    <row r="396" ht="15" customHeight="1">
      <c r="A396" t="inlineStr">
        <is>
          <t>A 3935-2025</t>
        </is>
      </c>
      <c r="B396" s="1" t="n">
        <v>45684.46070601852</v>
      </c>
      <c r="C396" s="1" t="n">
        <v>45900</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45900</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45900</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45900</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30815-2023</t>
        </is>
      </c>
      <c r="B400" s="1" t="n">
        <v>45112</v>
      </c>
      <c r="C400" s="1" t="n">
        <v>45900</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20225-2025</t>
        </is>
      </c>
      <c r="B401" s="1" t="n">
        <v>45772.65802083333</v>
      </c>
      <c r="C401" s="1" t="n">
        <v>45900</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883-2025</t>
        </is>
      </c>
      <c r="B402" s="1" t="n">
        <v>45665</v>
      </c>
      <c r="C402" s="1" t="n">
        <v>45900</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45900</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7034-2023</t>
        </is>
      </c>
      <c r="B404" s="1" t="n">
        <v>44968.32108796296</v>
      </c>
      <c r="C404" s="1" t="n">
        <v>45900</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7042-2023</t>
        </is>
      </c>
      <c r="B405" s="1" t="n">
        <v>44968</v>
      </c>
      <c r="C405" s="1" t="n">
        <v>45900</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23516-2023</t>
        </is>
      </c>
      <c r="B406" s="1" t="n">
        <v>45076.93391203704</v>
      </c>
      <c r="C406" s="1" t="n">
        <v>45900</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64660-2023</t>
        </is>
      </c>
      <c r="B407" s="1" t="n">
        <v>45281.60122685185</v>
      </c>
      <c r="C407" s="1" t="n">
        <v>45900</v>
      </c>
      <c r="D407" t="inlineStr">
        <is>
          <t>GOTLANDS LÄN</t>
        </is>
      </c>
      <c r="E407" t="inlineStr">
        <is>
          <t>GOTLAND</t>
        </is>
      </c>
      <c r="G407" t="n">
        <v>6.3</v>
      </c>
      <c r="H407" t="n">
        <v>0</v>
      </c>
      <c r="I407" t="n">
        <v>0</v>
      </c>
      <c r="J407" t="n">
        <v>0</v>
      </c>
      <c r="K407" t="n">
        <v>0</v>
      </c>
      <c r="L407" t="n">
        <v>0</v>
      </c>
      <c r="M407" t="n">
        <v>0</v>
      </c>
      <c r="N407" t="n">
        <v>0</v>
      </c>
      <c r="O407" t="n">
        <v>0</v>
      </c>
      <c r="P407" t="n">
        <v>0</v>
      </c>
      <c r="Q407" t="n">
        <v>0</v>
      </c>
      <c r="R407" s="2" t="inlineStr"/>
    </row>
    <row r="408" ht="15" customHeight="1">
      <c r="A408" t="inlineStr">
        <is>
          <t>A 10497-2025</t>
        </is>
      </c>
      <c r="B408" s="1" t="n">
        <v>45721</v>
      </c>
      <c r="C408" s="1" t="n">
        <v>45900</v>
      </c>
      <c r="D408" t="inlineStr">
        <is>
          <t>GOTLANDS LÄN</t>
        </is>
      </c>
      <c r="E408" t="inlineStr">
        <is>
          <t>GOTLAND</t>
        </is>
      </c>
      <c r="G408" t="n">
        <v>0.9</v>
      </c>
      <c r="H408" t="n">
        <v>0</v>
      </c>
      <c r="I408" t="n">
        <v>0</v>
      </c>
      <c r="J408" t="n">
        <v>0</v>
      </c>
      <c r="K408" t="n">
        <v>0</v>
      </c>
      <c r="L408" t="n">
        <v>0</v>
      </c>
      <c r="M408" t="n">
        <v>0</v>
      </c>
      <c r="N408" t="n">
        <v>0</v>
      </c>
      <c r="O408" t="n">
        <v>0</v>
      </c>
      <c r="P408" t="n">
        <v>0</v>
      </c>
      <c r="Q408" t="n">
        <v>0</v>
      </c>
      <c r="R408" s="2" t="inlineStr"/>
    </row>
    <row r="409" ht="15" customHeight="1">
      <c r="A409" t="inlineStr">
        <is>
          <t>A 63763-2023</t>
        </is>
      </c>
      <c r="B409" s="1" t="n">
        <v>45278.33944444444</v>
      </c>
      <c r="C409" s="1" t="n">
        <v>45900</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30135-2025</t>
        </is>
      </c>
      <c r="B410" s="1" t="n">
        <v>45826</v>
      </c>
      <c r="C410" s="1" t="n">
        <v>45900</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32686-2025</t>
        </is>
      </c>
      <c r="B411" s="1" t="n">
        <v>45838</v>
      </c>
      <c r="C411" s="1" t="n">
        <v>45900</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1066-2024</t>
        </is>
      </c>
      <c r="B412" s="1" t="n">
        <v>45302.285</v>
      </c>
      <c r="C412" s="1" t="n">
        <v>45900</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17144-2025</t>
        </is>
      </c>
      <c r="B413" s="1" t="n">
        <v>45755.9499537037</v>
      </c>
      <c r="C413" s="1" t="n">
        <v>45900</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45900</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63229-2021</t>
        </is>
      </c>
      <c r="B415" s="1" t="n">
        <v>44508.34518518519</v>
      </c>
      <c r="C415" s="1" t="n">
        <v>45900</v>
      </c>
      <c r="D415" t="inlineStr">
        <is>
          <t>GOTLANDS LÄN</t>
        </is>
      </c>
      <c r="E415" t="inlineStr">
        <is>
          <t>GOTLAND</t>
        </is>
      </c>
      <c r="F415" t="inlineStr">
        <is>
          <t>Kyrkan</t>
        </is>
      </c>
      <c r="G415" t="n">
        <v>3.8</v>
      </c>
      <c r="H415" t="n">
        <v>0</v>
      </c>
      <c r="I415" t="n">
        <v>0</v>
      </c>
      <c r="J415" t="n">
        <v>0</v>
      </c>
      <c r="K415" t="n">
        <v>0</v>
      </c>
      <c r="L415" t="n">
        <v>0</v>
      </c>
      <c r="M415" t="n">
        <v>0</v>
      </c>
      <c r="N415" t="n">
        <v>0</v>
      </c>
      <c r="O415" t="n">
        <v>0</v>
      </c>
      <c r="P415" t="n">
        <v>0</v>
      </c>
      <c r="Q415" t="n">
        <v>0</v>
      </c>
      <c r="R415" s="2" t="inlineStr"/>
    </row>
    <row r="416" ht="15" customHeight="1">
      <c r="A416" t="inlineStr">
        <is>
          <t>A 46375-2024</t>
        </is>
      </c>
      <c r="B416" s="1" t="n">
        <v>45582</v>
      </c>
      <c r="C416" s="1" t="n">
        <v>45900</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10158-2025</t>
        </is>
      </c>
      <c r="B417" s="1" t="n">
        <v>45719</v>
      </c>
      <c r="C417" s="1" t="n">
        <v>45900</v>
      </c>
      <c r="D417" t="inlineStr">
        <is>
          <t>GOTLANDS LÄN</t>
        </is>
      </c>
      <c r="E417" t="inlineStr">
        <is>
          <t>GOTLAND</t>
        </is>
      </c>
      <c r="G417" t="n">
        <v>3.5</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45900</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32378-2025</t>
        </is>
      </c>
      <c r="B419" s="1" t="n">
        <v>45837</v>
      </c>
      <c r="C419" s="1" t="n">
        <v>45900</v>
      </c>
      <c r="D419" t="inlineStr">
        <is>
          <t>GOTLANDS LÄN</t>
        </is>
      </c>
      <c r="E419" t="inlineStr">
        <is>
          <t>GOTLAND</t>
        </is>
      </c>
      <c r="G419" t="n">
        <v>4.1</v>
      </c>
      <c r="H419" t="n">
        <v>0</v>
      </c>
      <c r="I419" t="n">
        <v>0</v>
      </c>
      <c r="J419" t="n">
        <v>0</v>
      </c>
      <c r="K419" t="n">
        <v>0</v>
      </c>
      <c r="L419" t="n">
        <v>0</v>
      </c>
      <c r="M419" t="n">
        <v>0</v>
      </c>
      <c r="N419" t="n">
        <v>0</v>
      </c>
      <c r="O419" t="n">
        <v>0</v>
      </c>
      <c r="P419" t="n">
        <v>0</v>
      </c>
      <c r="Q419" t="n">
        <v>0</v>
      </c>
      <c r="R419" s="2" t="inlineStr"/>
    </row>
    <row r="420" ht="15" customHeight="1">
      <c r="A420" t="inlineStr">
        <is>
          <t>A 16109-2025</t>
        </is>
      </c>
      <c r="B420" s="1" t="n">
        <v>45750</v>
      </c>
      <c r="C420" s="1" t="n">
        <v>45900</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33078-2025</t>
        </is>
      </c>
      <c r="B421" s="1" t="n">
        <v>45840</v>
      </c>
      <c r="C421" s="1" t="n">
        <v>45900</v>
      </c>
      <c r="D421" t="inlineStr">
        <is>
          <t>GOTLANDS LÄN</t>
        </is>
      </c>
      <c r="E421" t="inlineStr">
        <is>
          <t>GOTLAND</t>
        </is>
      </c>
      <c r="G421" t="n">
        <v>0.8</v>
      </c>
      <c r="H421" t="n">
        <v>0</v>
      </c>
      <c r="I421" t="n">
        <v>0</v>
      </c>
      <c r="J421" t="n">
        <v>0</v>
      </c>
      <c r="K421" t="n">
        <v>0</v>
      </c>
      <c r="L421" t="n">
        <v>0</v>
      </c>
      <c r="M421" t="n">
        <v>0</v>
      </c>
      <c r="N421" t="n">
        <v>0</v>
      </c>
      <c r="O421" t="n">
        <v>0</v>
      </c>
      <c r="P421" t="n">
        <v>0</v>
      </c>
      <c r="Q421" t="n">
        <v>0</v>
      </c>
      <c r="R421" s="2" t="inlineStr"/>
    </row>
    <row r="422" ht="15" customHeight="1">
      <c r="A422" t="inlineStr">
        <is>
          <t>A 56009-2024</t>
        </is>
      </c>
      <c r="B422" s="1" t="n">
        <v>45623.80864583333</v>
      </c>
      <c r="C422" s="1" t="n">
        <v>45900</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20660-2025</t>
        </is>
      </c>
      <c r="B423" s="1" t="n">
        <v>45776</v>
      </c>
      <c r="C423" s="1" t="n">
        <v>45900</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42338-2023</t>
        </is>
      </c>
      <c r="B424" s="1" t="n">
        <v>45180</v>
      </c>
      <c r="C424" s="1" t="n">
        <v>45900</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33007-2025</t>
        </is>
      </c>
      <c r="B425" s="1" t="n">
        <v>45840</v>
      </c>
      <c r="C425" s="1" t="n">
        <v>45900</v>
      </c>
      <c r="D425" t="inlineStr">
        <is>
          <t>GOTLANDS LÄN</t>
        </is>
      </c>
      <c r="E425" t="inlineStr">
        <is>
          <t>GOTLAND</t>
        </is>
      </c>
      <c r="G425" t="n">
        <v>4.9</v>
      </c>
      <c r="H425" t="n">
        <v>0</v>
      </c>
      <c r="I425" t="n">
        <v>0</v>
      </c>
      <c r="J425" t="n">
        <v>0</v>
      </c>
      <c r="K425" t="n">
        <v>0</v>
      </c>
      <c r="L425" t="n">
        <v>0</v>
      </c>
      <c r="M425" t="n">
        <v>0</v>
      </c>
      <c r="N425" t="n">
        <v>0</v>
      </c>
      <c r="O425" t="n">
        <v>0</v>
      </c>
      <c r="P425" t="n">
        <v>0</v>
      </c>
      <c r="Q425" t="n">
        <v>0</v>
      </c>
      <c r="R425" s="2" t="inlineStr"/>
    </row>
    <row r="426" ht="15" customHeight="1">
      <c r="A426" t="inlineStr">
        <is>
          <t>A 33011-2025</t>
        </is>
      </c>
      <c r="B426" s="1" t="n">
        <v>45840</v>
      </c>
      <c r="C426" s="1" t="n">
        <v>45900</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1734-2025</t>
        </is>
      </c>
      <c r="B427" s="1" t="n">
        <v>45671.3840625</v>
      </c>
      <c r="C427" s="1" t="n">
        <v>45900</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38649-2025</t>
        </is>
      </c>
      <c r="B428" s="1" t="n">
        <v>45884</v>
      </c>
      <c r="C428" s="1" t="n">
        <v>45900</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20993-2023</t>
        </is>
      </c>
      <c r="B429" s="1" t="n">
        <v>45056</v>
      </c>
      <c r="C429" s="1" t="n">
        <v>45900</v>
      </c>
      <c r="D429" t="inlineStr">
        <is>
          <t>GOTLANDS LÄN</t>
        </is>
      </c>
      <c r="E429" t="inlineStr">
        <is>
          <t>GOTLAND</t>
        </is>
      </c>
      <c r="G429" t="n">
        <v>7.1</v>
      </c>
      <c r="H429" t="n">
        <v>0</v>
      </c>
      <c r="I429" t="n">
        <v>0</v>
      </c>
      <c r="J429" t="n">
        <v>0</v>
      </c>
      <c r="K429" t="n">
        <v>0</v>
      </c>
      <c r="L429" t="n">
        <v>0</v>
      </c>
      <c r="M429" t="n">
        <v>0</v>
      </c>
      <c r="N429" t="n">
        <v>0</v>
      </c>
      <c r="O429" t="n">
        <v>0</v>
      </c>
      <c r="P429" t="n">
        <v>0</v>
      </c>
      <c r="Q429" t="n">
        <v>0</v>
      </c>
      <c r="R429" s="2" t="inlineStr"/>
    </row>
    <row r="430" ht="15" customHeight="1">
      <c r="A430" t="inlineStr">
        <is>
          <t>A 581-2023</t>
        </is>
      </c>
      <c r="B430" s="1" t="n">
        <v>44930</v>
      </c>
      <c r="C430" s="1" t="n">
        <v>45900</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12596-2023</t>
        </is>
      </c>
      <c r="B431" s="1" t="n">
        <v>45000.43310185185</v>
      </c>
      <c r="C431" s="1" t="n">
        <v>45900</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2125-2025</t>
        </is>
      </c>
      <c r="B432" s="1" t="n">
        <v>45672.64940972222</v>
      </c>
      <c r="C432" s="1" t="n">
        <v>45900</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61386-2023</t>
        </is>
      </c>
      <c r="B433" s="1" t="n">
        <v>45264</v>
      </c>
      <c r="C433" s="1" t="n">
        <v>45900</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12155-2023</t>
        </is>
      </c>
      <c r="B434" s="1" t="n">
        <v>44998.49106481481</v>
      </c>
      <c r="C434" s="1" t="n">
        <v>45900</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457-2023</t>
        </is>
      </c>
      <c r="B435" s="1" t="n">
        <v>44929.87238425926</v>
      </c>
      <c r="C435" s="1" t="n">
        <v>45900</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459-2023</t>
        </is>
      </c>
      <c r="B436" s="1" t="n">
        <v>44929.87423611111</v>
      </c>
      <c r="C436" s="1" t="n">
        <v>45900</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873-2024</t>
        </is>
      </c>
      <c r="B437" s="1" t="n">
        <v>45301</v>
      </c>
      <c r="C437" s="1" t="n">
        <v>45900</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38234-2023</t>
        </is>
      </c>
      <c r="B438" s="1" t="n">
        <v>45161.56663194444</v>
      </c>
      <c r="C438" s="1" t="n">
        <v>45900</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49411-2023</t>
        </is>
      </c>
      <c r="B439" s="1" t="n">
        <v>45205</v>
      </c>
      <c r="C439" s="1" t="n">
        <v>45900</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45602.4187037037</v>
      </c>
      <c r="C440" s="1" t="n">
        <v>45900</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22275-2023</t>
        </is>
      </c>
      <c r="B441" s="1" t="n">
        <v>45070.39875</v>
      </c>
      <c r="C441" s="1" t="n">
        <v>45900</v>
      </c>
      <c r="D441" t="inlineStr">
        <is>
          <t>GOTLANDS LÄN</t>
        </is>
      </c>
      <c r="E441" t="inlineStr">
        <is>
          <t>GOTLAND</t>
        </is>
      </c>
      <c r="G441" t="n">
        <v>7.2</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45900</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53934-2024</t>
        </is>
      </c>
      <c r="B443" s="1" t="n">
        <v>45615</v>
      </c>
      <c r="C443" s="1" t="n">
        <v>45900</v>
      </c>
      <c r="D443" t="inlineStr">
        <is>
          <t>GOTLANDS LÄN</t>
        </is>
      </c>
      <c r="E443" t="inlineStr">
        <is>
          <t>GOTLAND</t>
        </is>
      </c>
      <c r="G443" t="n">
        <v>5</v>
      </c>
      <c r="H443" t="n">
        <v>0</v>
      </c>
      <c r="I443" t="n">
        <v>0</v>
      </c>
      <c r="J443" t="n">
        <v>0</v>
      </c>
      <c r="K443" t="n">
        <v>0</v>
      </c>
      <c r="L443" t="n">
        <v>0</v>
      </c>
      <c r="M443" t="n">
        <v>0</v>
      </c>
      <c r="N443" t="n">
        <v>0</v>
      </c>
      <c r="O443" t="n">
        <v>0</v>
      </c>
      <c r="P443" t="n">
        <v>0</v>
      </c>
      <c r="Q443" t="n">
        <v>0</v>
      </c>
      <c r="R443" s="2" t="inlineStr"/>
    </row>
    <row r="444" ht="15" customHeight="1">
      <c r="A444" t="inlineStr">
        <is>
          <t>A 14797-2024</t>
        </is>
      </c>
      <c r="B444" s="1" t="n">
        <v>45397.87030092593</v>
      </c>
      <c r="C444" s="1" t="n">
        <v>45900</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999-2024</t>
        </is>
      </c>
      <c r="B445" s="1" t="n">
        <v>45301</v>
      </c>
      <c r="C445" s="1" t="n">
        <v>45900</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45900</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61596-2023</t>
        </is>
      </c>
      <c r="B447" s="1" t="n">
        <v>45265</v>
      </c>
      <c r="C447" s="1" t="n">
        <v>45900</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45900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14638-2025</t>
        </is>
      </c>
      <c r="B449" s="1" t="n">
        <v>45742</v>
      </c>
      <c r="C449" s="1" t="n">
        <v>45900</v>
      </c>
      <c r="D449" t="inlineStr">
        <is>
          <t>GOTLANDS LÄN</t>
        </is>
      </c>
      <c r="E449" t="inlineStr">
        <is>
          <t>GOTLAND</t>
        </is>
      </c>
      <c r="G449" t="n">
        <v>13.4</v>
      </c>
      <c r="H449" t="n">
        <v>0</v>
      </c>
      <c r="I449" t="n">
        <v>0</v>
      </c>
      <c r="J449" t="n">
        <v>0</v>
      </c>
      <c r="K449" t="n">
        <v>0</v>
      </c>
      <c r="L449" t="n">
        <v>0</v>
      </c>
      <c r="M449" t="n">
        <v>0</v>
      </c>
      <c r="N449" t="n">
        <v>0</v>
      </c>
      <c r="O449" t="n">
        <v>0</v>
      </c>
      <c r="P449" t="n">
        <v>0</v>
      </c>
      <c r="Q449" t="n">
        <v>0</v>
      </c>
      <c r="R449" s="2" t="inlineStr"/>
    </row>
    <row r="450" ht="15" customHeight="1">
      <c r="A450" t="inlineStr">
        <is>
          <t>A 40235-2025</t>
        </is>
      </c>
      <c r="B450" s="1" t="n">
        <v>45894.74005787037</v>
      </c>
      <c r="C450" s="1" t="n">
        <v>45900</v>
      </c>
      <c r="D450" t="inlineStr">
        <is>
          <t>GOTLANDS LÄN</t>
        </is>
      </c>
      <c r="E450" t="inlineStr">
        <is>
          <t>GOTLAND</t>
        </is>
      </c>
      <c r="G450" t="n">
        <v>10.6</v>
      </c>
      <c r="H450" t="n">
        <v>0</v>
      </c>
      <c r="I450" t="n">
        <v>0</v>
      </c>
      <c r="J450" t="n">
        <v>0</v>
      </c>
      <c r="K450" t="n">
        <v>0</v>
      </c>
      <c r="L450" t="n">
        <v>0</v>
      </c>
      <c r="M450" t="n">
        <v>0</v>
      </c>
      <c r="N450" t="n">
        <v>0</v>
      </c>
      <c r="O450" t="n">
        <v>0</v>
      </c>
      <c r="P450" t="n">
        <v>0</v>
      </c>
      <c r="Q450" t="n">
        <v>0</v>
      </c>
      <c r="R450" s="2" t="inlineStr"/>
    </row>
    <row r="451" ht="15" customHeight="1">
      <c r="A451" t="inlineStr">
        <is>
          <t>A 35123-2025</t>
        </is>
      </c>
      <c r="B451" s="1" t="n">
        <v>45852.614375</v>
      </c>
      <c r="C451" s="1" t="n">
        <v>45900</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35133-2025</t>
        </is>
      </c>
      <c r="B452" s="1" t="n">
        <v>45852.6363425926</v>
      </c>
      <c r="C452" s="1" t="n">
        <v>45900</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60675-2021</t>
        </is>
      </c>
      <c r="B453" s="1" t="n">
        <v>44496.64855324074</v>
      </c>
      <c r="C453" s="1" t="n">
        <v>45900</v>
      </c>
      <c r="D453" t="inlineStr">
        <is>
          <t>GOTLANDS LÄN</t>
        </is>
      </c>
      <c r="E453" t="inlineStr">
        <is>
          <t>GOTLAND</t>
        </is>
      </c>
      <c r="G453" t="n">
        <v>4.6</v>
      </c>
      <c r="H453" t="n">
        <v>0</v>
      </c>
      <c r="I453" t="n">
        <v>0</v>
      </c>
      <c r="J453" t="n">
        <v>0</v>
      </c>
      <c r="K453" t="n">
        <v>0</v>
      </c>
      <c r="L453" t="n">
        <v>0</v>
      </c>
      <c r="M453" t="n">
        <v>0</v>
      </c>
      <c r="N453" t="n">
        <v>0</v>
      </c>
      <c r="O453" t="n">
        <v>0</v>
      </c>
      <c r="P453" t="n">
        <v>0</v>
      </c>
      <c r="Q453" t="n">
        <v>0</v>
      </c>
      <c r="R453" s="2" t="inlineStr"/>
    </row>
    <row r="454" ht="15" customHeight="1">
      <c r="A454" t="inlineStr">
        <is>
          <t>A 36319-2025</t>
        </is>
      </c>
      <c r="B454" s="1" t="n">
        <v>45868.38543981482</v>
      </c>
      <c r="C454" s="1" t="n">
        <v>45900</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37728-2024</t>
        </is>
      </c>
      <c r="B455" s="1" t="n">
        <v>45541</v>
      </c>
      <c r="C455" s="1" t="n">
        <v>45900</v>
      </c>
      <c r="D455" t="inlineStr">
        <is>
          <t>GOTLANDS LÄN</t>
        </is>
      </c>
      <c r="E455" t="inlineStr">
        <is>
          <t>GOTLAND</t>
        </is>
      </c>
      <c r="G455" t="n">
        <v>0.4</v>
      </c>
      <c r="H455" t="n">
        <v>0</v>
      </c>
      <c r="I455" t="n">
        <v>0</v>
      </c>
      <c r="J455" t="n">
        <v>0</v>
      </c>
      <c r="K455" t="n">
        <v>0</v>
      </c>
      <c r="L455" t="n">
        <v>0</v>
      </c>
      <c r="M455" t="n">
        <v>0</v>
      </c>
      <c r="N455" t="n">
        <v>0</v>
      </c>
      <c r="O455" t="n">
        <v>0</v>
      </c>
      <c r="P455" t="n">
        <v>0</v>
      </c>
      <c r="Q455" t="n">
        <v>0</v>
      </c>
      <c r="R455" s="2" t="inlineStr"/>
    </row>
    <row r="456" ht="15" customHeight="1">
      <c r="A456" t="inlineStr">
        <is>
          <t>A 39814-2025</t>
        </is>
      </c>
      <c r="B456" s="1" t="n">
        <v>45891.52694444444</v>
      </c>
      <c r="C456" s="1" t="n">
        <v>45900</v>
      </c>
      <c r="D456" t="inlineStr">
        <is>
          <t>GOTLANDS LÄN</t>
        </is>
      </c>
      <c r="E456" t="inlineStr">
        <is>
          <t>GOTLAND</t>
        </is>
      </c>
      <c r="G456" t="n">
        <v>4.5</v>
      </c>
      <c r="H456" t="n">
        <v>0</v>
      </c>
      <c r="I456" t="n">
        <v>0</v>
      </c>
      <c r="J456" t="n">
        <v>0</v>
      </c>
      <c r="K456" t="n">
        <v>0</v>
      </c>
      <c r="L456" t="n">
        <v>0</v>
      </c>
      <c r="M456" t="n">
        <v>0</v>
      </c>
      <c r="N456" t="n">
        <v>0</v>
      </c>
      <c r="O456" t="n">
        <v>0</v>
      </c>
      <c r="P456" t="n">
        <v>0</v>
      </c>
      <c r="Q456" t="n">
        <v>0</v>
      </c>
      <c r="R456" s="2" t="inlineStr"/>
    </row>
    <row r="457" ht="15" customHeight="1">
      <c r="A457" t="inlineStr">
        <is>
          <t>A 35141-2025</t>
        </is>
      </c>
      <c r="B457" s="1" t="n">
        <v>45852.65206018519</v>
      </c>
      <c r="C457" s="1" t="n">
        <v>45900</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35096-2025</t>
        </is>
      </c>
      <c r="B458" s="1" t="n">
        <v>45852.54356481481</v>
      </c>
      <c r="C458" s="1" t="n">
        <v>45900</v>
      </c>
      <c r="D458" t="inlineStr">
        <is>
          <t>GOTLANDS LÄN</t>
        </is>
      </c>
      <c r="E458" t="inlineStr">
        <is>
          <t>GOTLAND</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35142-2025</t>
        </is>
      </c>
      <c r="B459" s="1" t="n">
        <v>45852.65532407408</v>
      </c>
      <c r="C459" s="1" t="n">
        <v>45900</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39849-2025</t>
        </is>
      </c>
      <c r="B460" s="1" t="n">
        <v>45891.58502314815</v>
      </c>
      <c r="C460" s="1" t="n">
        <v>45900</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40103-2025</t>
        </is>
      </c>
      <c r="B461" s="1" t="n">
        <v>45894.4880324074</v>
      </c>
      <c r="C461" s="1" t="n">
        <v>45900</v>
      </c>
      <c r="D461" t="inlineStr">
        <is>
          <t>GOTLANDS LÄN</t>
        </is>
      </c>
      <c r="E461" t="inlineStr">
        <is>
          <t>GOTLAND</t>
        </is>
      </c>
      <c r="G461" t="n">
        <v>0.9</v>
      </c>
      <c r="H461" t="n">
        <v>0</v>
      </c>
      <c r="I461" t="n">
        <v>0</v>
      </c>
      <c r="J461" t="n">
        <v>0</v>
      </c>
      <c r="K461" t="n">
        <v>0</v>
      </c>
      <c r="L461" t="n">
        <v>0</v>
      </c>
      <c r="M461" t="n">
        <v>0</v>
      </c>
      <c r="N461" t="n">
        <v>0</v>
      </c>
      <c r="O461" t="n">
        <v>0</v>
      </c>
      <c r="P461" t="n">
        <v>0</v>
      </c>
      <c r="Q461" t="n">
        <v>0</v>
      </c>
      <c r="R461" s="2" t="inlineStr"/>
    </row>
    <row r="462" ht="15" customHeight="1">
      <c r="A462" t="inlineStr">
        <is>
          <t>A 35129-2025</t>
        </is>
      </c>
      <c r="B462" s="1" t="n">
        <v>45852.63224537037</v>
      </c>
      <c r="C462" s="1" t="n">
        <v>45900</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22287-2022</t>
        </is>
      </c>
      <c r="B463" s="1" t="n">
        <v>44712</v>
      </c>
      <c r="C463" s="1" t="n">
        <v>45900</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39819-2025</t>
        </is>
      </c>
      <c r="B464" s="1" t="n">
        <v>45891.53418981482</v>
      </c>
      <c r="C464" s="1" t="n">
        <v>45900</v>
      </c>
      <c r="D464" t="inlineStr">
        <is>
          <t>GOTLANDS LÄN</t>
        </is>
      </c>
      <c r="E464" t="inlineStr">
        <is>
          <t>GOTLAND</t>
        </is>
      </c>
      <c r="G464" t="n">
        <v>3.1</v>
      </c>
      <c r="H464" t="n">
        <v>0</v>
      </c>
      <c r="I464" t="n">
        <v>0</v>
      </c>
      <c r="J464" t="n">
        <v>0</v>
      </c>
      <c r="K464" t="n">
        <v>0</v>
      </c>
      <c r="L464" t="n">
        <v>0</v>
      </c>
      <c r="M464" t="n">
        <v>0</v>
      </c>
      <c r="N464" t="n">
        <v>0</v>
      </c>
      <c r="O464" t="n">
        <v>0</v>
      </c>
      <c r="P464" t="n">
        <v>0</v>
      </c>
      <c r="Q464" t="n">
        <v>0</v>
      </c>
      <c r="R464" s="2" t="inlineStr"/>
    </row>
    <row r="465" ht="15" customHeight="1">
      <c r="A465" t="inlineStr">
        <is>
          <t>A 1446-2025</t>
        </is>
      </c>
      <c r="B465" s="1" t="n">
        <v>45669.86035879629</v>
      </c>
      <c r="C465" s="1" t="n">
        <v>45900</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10813-2025</t>
        </is>
      </c>
      <c r="B466" s="1" t="n">
        <v>45722.54163194444</v>
      </c>
      <c r="C466" s="1" t="n">
        <v>45900</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40372-2025</t>
        </is>
      </c>
      <c r="B467" s="1" t="n">
        <v>45895.5162037037</v>
      </c>
      <c r="C467" s="1" t="n">
        <v>45900</v>
      </c>
      <c r="D467" t="inlineStr">
        <is>
          <t>GOTLANDS LÄN</t>
        </is>
      </c>
      <c r="E467" t="inlineStr">
        <is>
          <t>GOTLAND</t>
        </is>
      </c>
      <c r="G467" t="n">
        <v>3.3</v>
      </c>
      <c r="H467" t="n">
        <v>0</v>
      </c>
      <c r="I467" t="n">
        <v>0</v>
      </c>
      <c r="J467" t="n">
        <v>0</v>
      </c>
      <c r="K467" t="n">
        <v>0</v>
      </c>
      <c r="L467" t="n">
        <v>0</v>
      </c>
      <c r="M467" t="n">
        <v>0</v>
      </c>
      <c r="N467" t="n">
        <v>0</v>
      </c>
      <c r="O467" t="n">
        <v>0</v>
      </c>
      <c r="P467" t="n">
        <v>0</v>
      </c>
      <c r="Q467" t="n">
        <v>0</v>
      </c>
      <c r="R467" s="2" t="inlineStr"/>
    </row>
    <row r="468" ht="15" customHeight="1">
      <c r="A468" t="inlineStr">
        <is>
          <t>A 40373-2025</t>
        </is>
      </c>
      <c r="B468" s="1" t="n">
        <v>45895.51821759259</v>
      </c>
      <c r="C468" s="1" t="n">
        <v>45900</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30104-2025</t>
        </is>
      </c>
      <c r="B469" s="1" t="n">
        <v>45826.68806712963</v>
      </c>
      <c r="C469" s="1" t="n">
        <v>45900</v>
      </c>
      <c r="D469" t="inlineStr">
        <is>
          <t>GOTLANDS LÄN</t>
        </is>
      </c>
      <c r="E469" t="inlineStr">
        <is>
          <t>GOTLAND</t>
        </is>
      </c>
      <c r="G469" t="n">
        <v>15.4</v>
      </c>
      <c r="H469" t="n">
        <v>0</v>
      </c>
      <c r="I469" t="n">
        <v>0</v>
      </c>
      <c r="J469" t="n">
        <v>0</v>
      </c>
      <c r="K469" t="n">
        <v>0</v>
      </c>
      <c r="L469" t="n">
        <v>0</v>
      </c>
      <c r="M469" t="n">
        <v>0</v>
      </c>
      <c r="N469" t="n">
        <v>0</v>
      </c>
      <c r="O469" t="n">
        <v>0</v>
      </c>
      <c r="P469" t="n">
        <v>0</v>
      </c>
      <c r="Q469" t="n">
        <v>0</v>
      </c>
      <c r="R469" s="2" t="inlineStr"/>
    </row>
    <row r="470" ht="15" customHeight="1">
      <c r="A470" t="inlineStr">
        <is>
          <t>A 40499-2025</t>
        </is>
      </c>
      <c r="B470" s="1" t="n">
        <v>45896.32517361111</v>
      </c>
      <c r="C470" s="1" t="n">
        <v>45900</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54074-2022</t>
        </is>
      </c>
      <c r="B471" s="1" t="n">
        <v>44881</v>
      </c>
      <c r="C471" s="1" t="n">
        <v>45900</v>
      </c>
      <c r="D471" t="inlineStr">
        <is>
          <t>GOTLANDS LÄN</t>
        </is>
      </c>
      <c r="E471" t="inlineStr">
        <is>
          <t>GOTLAND</t>
        </is>
      </c>
      <c r="G471" t="n">
        <v>0.9</v>
      </c>
      <c r="H471" t="n">
        <v>0</v>
      </c>
      <c r="I471" t="n">
        <v>0</v>
      </c>
      <c r="J471" t="n">
        <v>0</v>
      </c>
      <c r="K471" t="n">
        <v>0</v>
      </c>
      <c r="L471" t="n">
        <v>0</v>
      </c>
      <c r="M471" t="n">
        <v>0</v>
      </c>
      <c r="N471" t="n">
        <v>0</v>
      </c>
      <c r="O471" t="n">
        <v>0</v>
      </c>
      <c r="P471" t="n">
        <v>0</v>
      </c>
      <c r="Q471" t="n">
        <v>0</v>
      </c>
      <c r="R471" s="2" t="inlineStr"/>
    </row>
    <row r="472" ht="15" customHeight="1">
      <c r="A472" t="inlineStr">
        <is>
          <t>A 35290-2025</t>
        </is>
      </c>
      <c r="B472" s="1" t="n">
        <v>45854.38502314815</v>
      </c>
      <c r="C472" s="1" t="n">
        <v>45900</v>
      </c>
      <c r="D472" t="inlineStr">
        <is>
          <t>GOTLANDS LÄN</t>
        </is>
      </c>
      <c r="E472" t="inlineStr">
        <is>
          <t>GOTLAND</t>
        </is>
      </c>
      <c r="G472" t="n">
        <v>5.4</v>
      </c>
      <c r="H472" t="n">
        <v>0</v>
      </c>
      <c r="I472" t="n">
        <v>0</v>
      </c>
      <c r="J472" t="n">
        <v>0</v>
      </c>
      <c r="K472" t="n">
        <v>0</v>
      </c>
      <c r="L472" t="n">
        <v>0</v>
      </c>
      <c r="M472" t="n">
        <v>0</v>
      </c>
      <c r="N472" t="n">
        <v>0</v>
      </c>
      <c r="O472" t="n">
        <v>0</v>
      </c>
      <c r="P472" t="n">
        <v>0</v>
      </c>
      <c r="Q472" t="n">
        <v>0</v>
      </c>
      <c r="R472" s="2" t="inlineStr"/>
    </row>
    <row r="473" ht="15" customHeight="1">
      <c r="A473" t="inlineStr">
        <is>
          <t>A 39752-2025</t>
        </is>
      </c>
      <c r="B473" s="1" t="n">
        <v>45891</v>
      </c>
      <c r="C473" s="1" t="n">
        <v>45900</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39816-2025</t>
        </is>
      </c>
      <c r="B474" s="1" t="n">
        <v>45891</v>
      </c>
      <c r="C474" s="1" t="n">
        <v>45900</v>
      </c>
      <c r="D474" t="inlineStr">
        <is>
          <t>GOTLANDS LÄN</t>
        </is>
      </c>
      <c r="E474" t="inlineStr">
        <is>
          <t>GOTLAND</t>
        </is>
      </c>
      <c r="G474" t="n">
        <v>0.9</v>
      </c>
      <c r="H474" t="n">
        <v>0</v>
      </c>
      <c r="I474" t="n">
        <v>0</v>
      </c>
      <c r="J474" t="n">
        <v>0</v>
      </c>
      <c r="K474" t="n">
        <v>0</v>
      </c>
      <c r="L474" t="n">
        <v>0</v>
      </c>
      <c r="M474" t="n">
        <v>0</v>
      </c>
      <c r="N474" t="n">
        <v>0</v>
      </c>
      <c r="O474" t="n">
        <v>0</v>
      </c>
      <c r="P474" t="n">
        <v>0</v>
      </c>
      <c r="Q474" t="n">
        <v>0</v>
      </c>
      <c r="R474" s="2" t="inlineStr"/>
    </row>
    <row r="475" ht="15" customHeight="1">
      <c r="A475" t="inlineStr">
        <is>
          <t>A 32669-2024</t>
        </is>
      </c>
      <c r="B475" s="1" t="n">
        <v>45514</v>
      </c>
      <c r="C475" s="1" t="n">
        <v>45900</v>
      </c>
      <c r="D475" t="inlineStr">
        <is>
          <t>GOTLANDS LÄN</t>
        </is>
      </c>
      <c r="E475" t="inlineStr">
        <is>
          <t>GOTLAND</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31264-2021</t>
        </is>
      </c>
      <c r="B476" s="1" t="n">
        <v>44368</v>
      </c>
      <c r="C476" s="1" t="n">
        <v>45900</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65249-2023</t>
        </is>
      </c>
      <c r="B477" s="1" t="n">
        <v>45290</v>
      </c>
      <c r="C477" s="1" t="n">
        <v>45900</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43901-2023</t>
        </is>
      </c>
      <c r="B478" s="1" t="n">
        <v>45187</v>
      </c>
      <c r="C478" s="1" t="n">
        <v>45900</v>
      </c>
      <c r="D478" t="inlineStr">
        <is>
          <t>GOTLANDS LÄN</t>
        </is>
      </c>
      <c r="E478" t="inlineStr">
        <is>
          <t>GOTLAND</t>
        </is>
      </c>
      <c r="G478" t="n">
        <v>5.4</v>
      </c>
      <c r="H478" t="n">
        <v>0</v>
      </c>
      <c r="I478" t="n">
        <v>0</v>
      </c>
      <c r="J478" t="n">
        <v>0</v>
      </c>
      <c r="K478" t="n">
        <v>0</v>
      </c>
      <c r="L478" t="n">
        <v>0</v>
      </c>
      <c r="M478" t="n">
        <v>0</v>
      </c>
      <c r="N478" t="n">
        <v>0</v>
      </c>
      <c r="O478" t="n">
        <v>0</v>
      </c>
      <c r="P478" t="n">
        <v>0</v>
      </c>
      <c r="Q478" t="n">
        <v>0</v>
      </c>
      <c r="R478" s="2" t="inlineStr"/>
    </row>
    <row r="479" ht="15" customHeight="1">
      <c r="A479" t="inlineStr">
        <is>
          <t>A 2035-2025</t>
        </is>
      </c>
      <c r="B479" s="1" t="n">
        <v>45672</v>
      </c>
      <c r="C479" s="1" t="n">
        <v>45900</v>
      </c>
      <c r="D479" t="inlineStr">
        <is>
          <t>GOTLANDS LÄN</t>
        </is>
      </c>
      <c r="E479" t="inlineStr">
        <is>
          <t>GOTLAND</t>
        </is>
      </c>
      <c r="G479" t="n">
        <v>7.5</v>
      </c>
      <c r="H479" t="n">
        <v>0</v>
      </c>
      <c r="I479" t="n">
        <v>0</v>
      </c>
      <c r="J479" t="n">
        <v>0</v>
      </c>
      <c r="K479" t="n">
        <v>0</v>
      </c>
      <c r="L479" t="n">
        <v>0</v>
      </c>
      <c r="M479" t="n">
        <v>0</v>
      </c>
      <c r="N479" t="n">
        <v>0</v>
      </c>
      <c r="O479" t="n">
        <v>0</v>
      </c>
      <c r="P479" t="n">
        <v>0</v>
      </c>
      <c r="Q479" t="n">
        <v>0</v>
      </c>
      <c r="R479" s="2" t="inlineStr"/>
    </row>
    <row r="480" ht="15" customHeight="1">
      <c r="A480" t="inlineStr">
        <is>
          <t>A 35537-2025</t>
        </is>
      </c>
      <c r="B480" s="1" t="n">
        <v>45856</v>
      </c>
      <c r="C480" s="1" t="n">
        <v>45900</v>
      </c>
      <c r="D480" t="inlineStr">
        <is>
          <t>GOTLANDS LÄN</t>
        </is>
      </c>
      <c r="E480" t="inlineStr">
        <is>
          <t>GOTLAND</t>
        </is>
      </c>
      <c r="G480" t="n">
        <v>16.8</v>
      </c>
      <c r="H480" t="n">
        <v>0</v>
      </c>
      <c r="I480" t="n">
        <v>0</v>
      </c>
      <c r="J480" t="n">
        <v>0</v>
      </c>
      <c r="K480" t="n">
        <v>0</v>
      </c>
      <c r="L480" t="n">
        <v>0</v>
      </c>
      <c r="M480" t="n">
        <v>0</v>
      </c>
      <c r="N480" t="n">
        <v>0</v>
      </c>
      <c r="O480" t="n">
        <v>0</v>
      </c>
      <c r="P480" t="n">
        <v>0</v>
      </c>
      <c r="Q480" t="n">
        <v>0</v>
      </c>
      <c r="R480" s="2" t="inlineStr"/>
    </row>
    <row r="481" ht="15" customHeight="1">
      <c r="A481" t="inlineStr">
        <is>
          <t>A 10746-2025</t>
        </is>
      </c>
      <c r="B481" s="1" t="n">
        <v>45722.42766203704</v>
      </c>
      <c r="C481" s="1" t="n">
        <v>45900</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35550-2025</t>
        </is>
      </c>
      <c r="B482" s="1" t="n">
        <v>45856.49324074074</v>
      </c>
      <c r="C482" s="1" t="n">
        <v>45900</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16501-2023</t>
        </is>
      </c>
      <c r="B483" s="1" t="n">
        <v>45029</v>
      </c>
      <c r="C483" s="1" t="n">
        <v>45900</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55334-2024</t>
        </is>
      </c>
      <c r="B484" s="1" t="n">
        <v>45621</v>
      </c>
      <c r="C484" s="1" t="n">
        <v>45900</v>
      </c>
      <c r="D484" t="inlineStr">
        <is>
          <t>GOTLANDS LÄN</t>
        </is>
      </c>
      <c r="E484" t="inlineStr">
        <is>
          <t>GOTLAND</t>
        </is>
      </c>
      <c r="G484" t="n">
        <v>21.7</v>
      </c>
      <c r="H484" t="n">
        <v>0</v>
      </c>
      <c r="I484" t="n">
        <v>0</v>
      </c>
      <c r="J484" t="n">
        <v>0</v>
      </c>
      <c r="K484" t="n">
        <v>0</v>
      </c>
      <c r="L484" t="n">
        <v>0</v>
      </c>
      <c r="M484" t="n">
        <v>0</v>
      </c>
      <c r="N484" t="n">
        <v>0</v>
      </c>
      <c r="O484" t="n">
        <v>0</v>
      </c>
      <c r="P484" t="n">
        <v>0</v>
      </c>
      <c r="Q484" t="n">
        <v>0</v>
      </c>
      <c r="R484" s="2" t="inlineStr"/>
    </row>
    <row r="485" ht="15" customHeight="1">
      <c r="A485" t="inlineStr">
        <is>
          <t>A 27930-2021</t>
        </is>
      </c>
      <c r="B485" s="1" t="n">
        <v>44354</v>
      </c>
      <c r="C485" s="1" t="n">
        <v>45900</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61962-2024</t>
        </is>
      </c>
      <c r="B486" s="1" t="n">
        <v>45653.54340277778</v>
      </c>
      <c r="C486" s="1" t="n">
        <v>45900</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13910-2025</t>
        </is>
      </c>
      <c r="B487" s="1" t="n">
        <v>45737</v>
      </c>
      <c r="C487" s="1" t="n">
        <v>45900</v>
      </c>
      <c r="D487" t="inlineStr">
        <is>
          <t>GOTLANDS LÄN</t>
        </is>
      </c>
      <c r="E487" t="inlineStr">
        <is>
          <t>GOTLAND</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45900</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1728-2025</t>
        </is>
      </c>
      <c r="B489" s="1" t="n">
        <v>45671.3565162037</v>
      </c>
      <c r="C489" s="1" t="n">
        <v>45900</v>
      </c>
      <c r="D489" t="inlineStr">
        <is>
          <t>GOTLANDS LÄN</t>
        </is>
      </c>
      <c r="E489" t="inlineStr">
        <is>
          <t>GOTLAND</t>
        </is>
      </c>
      <c r="G489" t="n">
        <v>2</v>
      </c>
      <c r="H489" t="n">
        <v>0</v>
      </c>
      <c r="I489" t="n">
        <v>0</v>
      </c>
      <c r="J489" t="n">
        <v>0</v>
      </c>
      <c r="K489" t="n">
        <v>0</v>
      </c>
      <c r="L489" t="n">
        <v>0</v>
      </c>
      <c r="M489" t="n">
        <v>0</v>
      </c>
      <c r="N489" t="n">
        <v>0</v>
      </c>
      <c r="O489" t="n">
        <v>0</v>
      </c>
      <c r="P489" t="n">
        <v>0</v>
      </c>
      <c r="Q489" t="n">
        <v>0</v>
      </c>
      <c r="R489" s="2" t="inlineStr"/>
    </row>
    <row r="490" ht="15" customHeight="1">
      <c r="A490" t="inlineStr">
        <is>
          <t>A 17780-2022</t>
        </is>
      </c>
      <c r="B490" s="1" t="n">
        <v>44682.82622685185</v>
      </c>
      <c r="C490" s="1" t="n">
        <v>45900</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5909-2025</t>
        </is>
      </c>
      <c r="B491" s="1" t="n">
        <v>45695.40634259259</v>
      </c>
      <c r="C491" s="1" t="n">
        <v>45900</v>
      </c>
      <c r="D491" t="inlineStr">
        <is>
          <t>GOTLANDS LÄN</t>
        </is>
      </c>
      <c r="E491" t="inlineStr">
        <is>
          <t>GOTLAND</t>
        </is>
      </c>
      <c r="G491" t="n">
        <v>2.9</v>
      </c>
      <c r="H491" t="n">
        <v>0</v>
      </c>
      <c r="I491" t="n">
        <v>0</v>
      </c>
      <c r="J491" t="n">
        <v>0</v>
      </c>
      <c r="K491" t="n">
        <v>0</v>
      </c>
      <c r="L491" t="n">
        <v>0</v>
      </c>
      <c r="M491" t="n">
        <v>0</v>
      </c>
      <c r="N491" t="n">
        <v>0</v>
      </c>
      <c r="O491" t="n">
        <v>0</v>
      </c>
      <c r="P491" t="n">
        <v>0</v>
      </c>
      <c r="Q491" t="n">
        <v>0</v>
      </c>
      <c r="R491" s="2" t="inlineStr"/>
    </row>
    <row r="492" ht="15" customHeight="1">
      <c r="A492" t="inlineStr">
        <is>
          <t>A 10653-2023</t>
        </is>
      </c>
      <c r="B492" s="1" t="n">
        <v>44988.48859953704</v>
      </c>
      <c r="C492" s="1" t="n">
        <v>45900</v>
      </c>
      <c r="D492" t="inlineStr">
        <is>
          <t>GOTLANDS LÄN</t>
        </is>
      </c>
      <c r="E492" t="inlineStr">
        <is>
          <t>GOTLAND</t>
        </is>
      </c>
      <c r="F492" t="inlineStr">
        <is>
          <t>Kyrkan</t>
        </is>
      </c>
      <c r="G492" t="n">
        <v>3</v>
      </c>
      <c r="H492" t="n">
        <v>0</v>
      </c>
      <c r="I492" t="n">
        <v>0</v>
      </c>
      <c r="J492" t="n">
        <v>0</v>
      </c>
      <c r="K492" t="n">
        <v>0</v>
      </c>
      <c r="L492" t="n">
        <v>0</v>
      </c>
      <c r="M492" t="n">
        <v>0</v>
      </c>
      <c r="N492" t="n">
        <v>0</v>
      </c>
      <c r="O492" t="n">
        <v>0</v>
      </c>
      <c r="P492" t="n">
        <v>0</v>
      </c>
      <c r="Q492" t="n">
        <v>0</v>
      </c>
      <c r="R492" s="2" t="inlineStr"/>
    </row>
    <row r="493" ht="15" customHeight="1">
      <c r="A493" t="inlineStr">
        <is>
          <t>A 15001-2025</t>
        </is>
      </c>
      <c r="B493" s="1" t="n">
        <v>45743</v>
      </c>
      <c r="C493" s="1" t="n">
        <v>45900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4990-2025</t>
        </is>
      </c>
      <c r="B494" s="1" t="n">
        <v>45691</v>
      </c>
      <c r="C494" s="1" t="n">
        <v>45900</v>
      </c>
      <c r="D494" t="inlineStr">
        <is>
          <t>GOTLANDS LÄN</t>
        </is>
      </c>
      <c r="E494" t="inlineStr">
        <is>
          <t>GOTLAND</t>
        </is>
      </c>
      <c r="G494" t="n">
        <v>7.7</v>
      </c>
      <c r="H494" t="n">
        <v>0</v>
      </c>
      <c r="I494" t="n">
        <v>0</v>
      </c>
      <c r="J494" t="n">
        <v>0</v>
      </c>
      <c r="K494" t="n">
        <v>0</v>
      </c>
      <c r="L494" t="n">
        <v>0</v>
      </c>
      <c r="M494" t="n">
        <v>0</v>
      </c>
      <c r="N494" t="n">
        <v>0</v>
      </c>
      <c r="O494" t="n">
        <v>0</v>
      </c>
      <c r="P494" t="n">
        <v>0</v>
      </c>
      <c r="Q494" t="n">
        <v>0</v>
      </c>
      <c r="R494" s="2" t="inlineStr"/>
    </row>
    <row r="495" ht="15" customHeight="1">
      <c r="A495" t="inlineStr">
        <is>
          <t>A 59986-2022</t>
        </is>
      </c>
      <c r="B495" s="1" t="n">
        <v>44909</v>
      </c>
      <c r="C495" s="1" t="n">
        <v>45900</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14536-2021</t>
        </is>
      </c>
      <c r="B496" s="1" t="n">
        <v>44279.66168981481</v>
      </c>
      <c r="C496" s="1" t="n">
        <v>45900</v>
      </c>
      <c r="D496" t="inlineStr">
        <is>
          <t>GOTLANDS LÄN</t>
        </is>
      </c>
      <c r="E496" t="inlineStr">
        <is>
          <t>GOTLAND</t>
        </is>
      </c>
      <c r="G496" t="n">
        <v>8.5</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45900</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32958-2021</t>
        </is>
      </c>
      <c r="B498" s="1" t="n">
        <v>44376</v>
      </c>
      <c r="C498" s="1" t="n">
        <v>45900</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5884-2025</t>
        </is>
      </c>
      <c r="B499" s="1" t="n">
        <v>45695.37482638889</v>
      </c>
      <c r="C499" s="1" t="n">
        <v>45900</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5897-2025</t>
        </is>
      </c>
      <c r="B500" s="1" t="n">
        <v>45695.39273148148</v>
      </c>
      <c r="C500" s="1" t="n">
        <v>45900</v>
      </c>
      <c r="D500" t="inlineStr">
        <is>
          <t>GOTLANDS LÄN</t>
        </is>
      </c>
      <c r="E500" t="inlineStr">
        <is>
          <t>GOTLAND</t>
        </is>
      </c>
      <c r="G500" t="n">
        <v>3.7</v>
      </c>
      <c r="H500" t="n">
        <v>0</v>
      </c>
      <c r="I500" t="n">
        <v>0</v>
      </c>
      <c r="J500" t="n">
        <v>0</v>
      </c>
      <c r="K500" t="n">
        <v>0</v>
      </c>
      <c r="L500" t="n">
        <v>0</v>
      </c>
      <c r="M500" t="n">
        <v>0</v>
      </c>
      <c r="N500" t="n">
        <v>0</v>
      </c>
      <c r="O500" t="n">
        <v>0</v>
      </c>
      <c r="P500" t="n">
        <v>0</v>
      </c>
      <c r="Q500" t="n">
        <v>0</v>
      </c>
      <c r="R500" s="2" t="inlineStr"/>
    </row>
    <row r="501" ht="15" customHeight="1">
      <c r="A501" t="inlineStr">
        <is>
          <t>A 49693-2023</t>
        </is>
      </c>
      <c r="B501" s="1" t="n">
        <v>45212.38138888889</v>
      </c>
      <c r="C501" s="1" t="n">
        <v>45900</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49697-2023</t>
        </is>
      </c>
      <c r="B502" s="1" t="n">
        <v>45212.38909722222</v>
      </c>
      <c r="C502" s="1" t="n">
        <v>45900</v>
      </c>
      <c r="D502" t="inlineStr">
        <is>
          <t>GOTLANDS LÄN</t>
        </is>
      </c>
      <c r="E502" t="inlineStr">
        <is>
          <t>GOTLAND</t>
        </is>
      </c>
      <c r="G502" t="n">
        <v>4.4</v>
      </c>
      <c r="H502" t="n">
        <v>0</v>
      </c>
      <c r="I502" t="n">
        <v>0</v>
      </c>
      <c r="J502" t="n">
        <v>0</v>
      </c>
      <c r="K502" t="n">
        <v>0</v>
      </c>
      <c r="L502" t="n">
        <v>0</v>
      </c>
      <c r="M502" t="n">
        <v>0</v>
      </c>
      <c r="N502" t="n">
        <v>0</v>
      </c>
      <c r="O502" t="n">
        <v>0</v>
      </c>
      <c r="P502" t="n">
        <v>0</v>
      </c>
      <c r="Q502" t="n">
        <v>0</v>
      </c>
      <c r="R502" s="2" t="inlineStr"/>
    </row>
    <row r="503" ht="15" customHeight="1">
      <c r="A503" t="inlineStr">
        <is>
          <t>A 17901-2023</t>
        </is>
      </c>
      <c r="B503" s="1" t="n">
        <v>45039</v>
      </c>
      <c r="C503" s="1" t="n">
        <v>45900</v>
      </c>
      <c r="D503" t="inlineStr">
        <is>
          <t>GOTLANDS LÄN</t>
        </is>
      </c>
      <c r="E503" t="inlineStr">
        <is>
          <t>GOTLAND</t>
        </is>
      </c>
      <c r="F503" t="inlineStr">
        <is>
          <t>Kyrkan</t>
        </is>
      </c>
      <c r="G503" t="n">
        <v>0.6</v>
      </c>
      <c r="H503" t="n">
        <v>0</v>
      </c>
      <c r="I503" t="n">
        <v>0</v>
      </c>
      <c r="J503" t="n">
        <v>0</v>
      </c>
      <c r="K503" t="n">
        <v>0</v>
      </c>
      <c r="L503" t="n">
        <v>0</v>
      </c>
      <c r="M503" t="n">
        <v>0</v>
      </c>
      <c r="N503" t="n">
        <v>0</v>
      </c>
      <c r="O503" t="n">
        <v>0</v>
      </c>
      <c r="P503" t="n">
        <v>0</v>
      </c>
      <c r="Q503" t="n">
        <v>0</v>
      </c>
      <c r="R503" s="2" t="inlineStr"/>
    </row>
    <row r="504" ht="15" customHeight="1">
      <c r="A504" t="inlineStr">
        <is>
          <t>A 11874-2024</t>
        </is>
      </c>
      <c r="B504" s="1" t="n">
        <v>45376.46956018519</v>
      </c>
      <c r="C504" s="1" t="n">
        <v>45900</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2292-2021</t>
        </is>
      </c>
      <c r="B505" s="1" t="n">
        <v>44212</v>
      </c>
      <c r="C505" s="1" t="n">
        <v>45900</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42041-2024</t>
        </is>
      </c>
      <c r="B506" s="1" t="n">
        <v>45561</v>
      </c>
      <c r="C506" s="1" t="n">
        <v>45900</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61694-2023</t>
        </is>
      </c>
      <c r="B507" s="1" t="n">
        <v>45264</v>
      </c>
      <c r="C507" s="1" t="n">
        <v>45900</v>
      </c>
      <c r="D507" t="inlineStr">
        <is>
          <t>GOTLANDS LÄN</t>
        </is>
      </c>
      <c r="E507" t="inlineStr">
        <is>
          <t>GOTLAND</t>
        </is>
      </c>
      <c r="G507" t="n">
        <v>4.6</v>
      </c>
      <c r="H507" t="n">
        <v>0</v>
      </c>
      <c r="I507" t="n">
        <v>0</v>
      </c>
      <c r="J507" t="n">
        <v>0</v>
      </c>
      <c r="K507" t="n">
        <v>0</v>
      </c>
      <c r="L507" t="n">
        <v>0</v>
      </c>
      <c r="M507" t="n">
        <v>0</v>
      </c>
      <c r="N507" t="n">
        <v>0</v>
      </c>
      <c r="O507" t="n">
        <v>0</v>
      </c>
      <c r="P507" t="n">
        <v>0</v>
      </c>
      <c r="Q507" t="n">
        <v>0</v>
      </c>
      <c r="R507" s="2" t="inlineStr"/>
    </row>
    <row r="508" ht="15" customHeight="1">
      <c r="A508" t="inlineStr">
        <is>
          <t>A 52892-2021</t>
        </is>
      </c>
      <c r="B508" s="1" t="n">
        <v>44467.49048611111</v>
      </c>
      <c r="C508" s="1" t="n">
        <v>45900</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45900</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46396-2023</t>
        </is>
      </c>
      <c r="B510" s="1" t="n">
        <v>45197</v>
      </c>
      <c r="C510" s="1" t="n">
        <v>45900</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64555-2023</t>
        </is>
      </c>
      <c r="B511" s="1" t="n">
        <v>45281</v>
      </c>
      <c r="C511" s="1" t="n">
        <v>45900</v>
      </c>
      <c r="D511" t="inlineStr">
        <is>
          <t>GOTLANDS LÄN</t>
        </is>
      </c>
      <c r="E511" t="inlineStr">
        <is>
          <t>GOTLAND</t>
        </is>
      </c>
      <c r="G511" t="n">
        <v>3.5</v>
      </c>
      <c r="H511" t="n">
        <v>0</v>
      </c>
      <c r="I511" t="n">
        <v>0</v>
      </c>
      <c r="J511" t="n">
        <v>0</v>
      </c>
      <c r="K511" t="n">
        <v>0</v>
      </c>
      <c r="L511" t="n">
        <v>0</v>
      </c>
      <c r="M511" t="n">
        <v>0</v>
      </c>
      <c r="N511" t="n">
        <v>0</v>
      </c>
      <c r="O511" t="n">
        <v>0</v>
      </c>
      <c r="P511" t="n">
        <v>0</v>
      </c>
      <c r="Q511" t="n">
        <v>0</v>
      </c>
      <c r="R511" s="2" t="inlineStr"/>
    </row>
    <row r="512" ht="15" customHeight="1">
      <c r="A512" t="inlineStr">
        <is>
          <t>A 64831-2023</t>
        </is>
      </c>
      <c r="B512" s="1" t="n">
        <v>45282.44924768519</v>
      </c>
      <c r="C512" s="1" t="n">
        <v>45900</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14804-2021</t>
        </is>
      </c>
      <c r="B513" s="1" t="n">
        <v>44280</v>
      </c>
      <c r="C513" s="1" t="n">
        <v>45900</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17724-2024</t>
        </is>
      </c>
      <c r="B514" s="1" t="n">
        <v>45418.55096064815</v>
      </c>
      <c r="C514" s="1" t="n">
        <v>45900</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999-2023</t>
        </is>
      </c>
      <c r="B515" s="1" t="n">
        <v>44935</v>
      </c>
      <c r="C515" s="1" t="n">
        <v>45900</v>
      </c>
      <c r="D515" t="inlineStr">
        <is>
          <t>GOTLANDS LÄN</t>
        </is>
      </c>
      <c r="E515" t="inlineStr">
        <is>
          <t>GOTLAND</t>
        </is>
      </c>
      <c r="G515" t="n">
        <v>4.7</v>
      </c>
      <c r="H515" t="n">
        <v>0</v>
      </c>
      <c r="I515" t="n">
        <v>0</v>
      </c>
      <c r="J515" t="n">
        <v>0</v>
      </c>
      <c r="K515" t="n">
        <v>0</v>
      </c>
      <c r="L515" t="n">
        <v>0</v>
      </c>
      <c r="M515" t="n">
        <v>0</v>
      </c>
      <c r="N515" t="n">
        <v>0</v>
      </c>
      <c r="O515" t="n">
        <v>0</v>
      </c>
      <c r="P515" t="n">
        <v>0</v>
      </c>
      <c r="Q515" t="n">
        <v>0</v>
      </c>
      <c r="R515" s="2" t="inlineStr"/>
    </row>
    <row r="516" ht="15" customHeight="1">
      <c r="A516" t="inlineStr">
        <is>
          <t>A 34312-2024</t>
        </is>
      </c>
      <c r="B516" s="1" t="n">
        <v>45524.69703703704</v>
      </c>
      <c r="C516" s="1" t="n">
        <v>45900</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27602-2023</t>
        </is>
      </c>
      <c r="B517" s="1" t="n">
        <v>45097</v>
      </c>
      <c r="C517" s="1" t="n">
        <v>45900</v>
      </c>
      <c r="D517" t="inlineStr">
        <is>
          <t>GOTLANDS LÄN</t>
        </is>
      </c>
      <c r="E517" t="inlineStr">
        <is>
          <t>GOTLAND</t>
        </is>
      </c>
      <c r="G517" t="n">
        <v>2.7</v>
      </c>
      <c r="H517" t="n">
        <v>0</v>
      </c>
      <c r="I517" t="n">
        <v>0</v>
      </c>
      <c r="J517" t="n">
        <v>0</v>
      </c>
      <c r="K517" t="n">
        <v>0</v>
      </c>
      <c r="L517" t="n">
        <v>0</v>
      </c>
      <c r="M517" t="n">
        <v>0</v>
      </c>
      <c r="N517" t="n">
        <v>0</v>
      </c>
      <c r="O517" t="n">
        <v>0</v>
      </c>
      <c r="P517" t="n">
        <v>0</v>
      </c>
      <c r="Q517" t="n">
        <v>0</v>
      </c>
      <c r="R517" s="2" t="inlineStr"/>
    </row>
    <row r="518" ht="15" customHeight="1">
      <c r="A518" t="inlineStr">
        <is>
          <t>A 15216-2025</t>
        </is>
      </c>
      <c r="B518" s="1" t="n">
        <v>45744</v>
      </c>
      <c r="C518" s="1" t="n">
        <v>45900</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6153-2024</t>
        </is>
      </c>
      <c r="B519" s="1" t="n">
        <v>45337</v>
      </c>
      <c r="C519" s="1" t="n">
        <v>45900</v>
      </c>
      <c r="D519" t="inlineStr">
        <is>
          <t>GOTLANDS LÄN</t>
        </is>
      </c>
      <c r="E519" t="inlineStr">
        <is>
          <t>GOTLAND</t>
        </is>
      </c>
      <c r="G519" t="n">
        <v>14.2</v>
      </c>
      <c r="H519" t="n">
        <v>0</v>
      </c>
      <c r="I519" t="n">
        <v>0</v>
      </c>
      <c r="J519" t="n">
        <v>0</v>
      </c>
      <c r="K519" t="n">
        <v>0</v>
      </c>
      <c r="L519" t="n">
        <v>0</v>
      </c>
      <c r="M519" t="n">
        <v>0</v>
      </c>
      <c r="N519" t="n">
        <v>0</v>
      </c>
      <c r="O519" t="n">
        <v>0</v>
      </c>
      <c r="P519" t="n">
        <v>0</v>
      </c>
      <c r="Q519" t="n">
        <v>0</v>
      </c>
      <c r="R519" s="2" t="inlineStr"/>
    </row>
    <row r="520" ht="15" customHeight="1">
      <c r="A520" t="inlineStr">
        <is>
          <t>A 69112-2021</t>
        </is>
      </c>
      <c r="B520" s="1" t="n">
        <v>44530</v>
      </c>
      <c r="C520" s="1" t="n">
        <v>45900</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4377-2023</t>
        </is>
      </c>
      <c r="B521" s="1" t="n">
        <v>44955.5502662037</v>
      </c>
      <c r="C521" s="1" t="n">
        <v>45900</v>
      </c>
      <c r="D521" t="inlineStr">
        <is>
          <t>GOTLANDS LÄN</t>
        </is>
      </c>
      <c r="E521" t="inlineStr">
        <is>
          <t>GOTLAND</t>
        </is>
      </c>
      <c r="F521" t="inlineStr">
        <is>
          <t>Kyrkan</t>
        </is>
      </c>
      <c r="G521" t="n">
        <v>0.6</v>
      </c>
      <c r="H521" t="n">
        <v>0</v>
      </c>
      <c r="I521" t="n">
        <v>0</v>
      </c>
      <c r="J521" t="n">
        <v>0</v>
      </c>
      <c r="K521" t="n">
        <v>0</v>
      </c>
      <c r="L521" t="n">
        <v>0</v>
      </c>
      <c r="M521" t="n">
        <v>0</v>
      </c>
      <c r="N521" t="n">
        <v>0</v>
      </c>
      <c r="O521" t="n">
        <v>0</v>
      </c>
      <c r="P521" t="n">
        <v>0</v>
      </c>
      <c r="Q521" t="n">
        <v>0</v>
      </c>
      <c r="R521" s="2" t="inlineStr"/>
    </row>
    <row r="522" ht="15" customHeight="1">
      <c r="A522" t="inlineStr">
        <is>
          <t>A 4387-2023</t>
        </is>
      </c>
      <c r="B522" s="1" t="n">
        <v>44955.73359953704</v>
      </c>
      <c r="C522" s="1" t="n">
        <v>45900</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7638-2025</t>
        </is>
      </c>
      <c r="B523" s="1" t="n">
        <v>45705.77306712963</v>
      </c>
      <c r="C523" s="1" t="n">
        <v>45900</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45900</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50482-2024</t>
        </is>
      </c>
      <c r="B525" s="1" t="n">
        <v>45601.48114583334</v>
      </c>
      <c r="C525" s="1" t="n">
        <v>45900</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1394-2023</t>
        </is>
      </c>
      <c r="B526" s="1" t="n">
        <v>44936.72997685185</v>
      </c>
      <c r="C526" s="1" t="n">
        <v>45900</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58230-2024</t>
        </is>
      </c>
      <c r="B527" s="1" t="n">
        <v>45632.51625</v>
      </c>
      <c r="C527" s="1" t="n">
        <v>45900</v>
      </c>
      <c r="D527" t="inlineStr">
        <is>
          <t>GOTLANDS LÄN</t>
        </is>
      </c>
      <c r="E527" t="inlineStr">
        <is>
          <t>GOTLAND</t>
        </is>
      </c>
      <c r="G527" t="n">
        <v>7.3</v>
      </c>
      <c r="H527" t="n">
        <v>0</v>
      </c>
      <c r="I527" t="n">
        <v>0</v>
      </c>
      <c r="J527" t="n">
        <v>0</v>
      </c>
      <c r="K527" t="n">
        <v>0</v>
      </c>
      <c r="L527" t="n">
        <v>0</v>
      </c>
      <c r="M527" t="n">
        <v>0</v>
      </c>
      <c r="N527" t="n">
        <v>0</v>
      </c>
      <c r="O527" t="n">
        <v>0</v>
      </c>
      <c r="P527" t="n">
        <v>0</v>
      </c>
      <c r="Q527" t="n">
        <v>0</v>
      </c>
      <c r="R527" s="2" t="inlineStr"/>
    </row>
    <row r="528" ht="15" customHeight="1">
      <c r="A528" t="inlineStr">
        <is>
          <t>A 51963-2024</t>
        </is>
      </c>
      <c r="B528" s="1" t="n">
        <v>45607.64833333333</v>
      </c>
      <c r="C528" s="1" t="n">
        <v>45900</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1462-2025</t>
        </is>
      </c>
      <c r="B529" s="1" t="n">
        <v>45670.36319444444</v>
      </c>
      <c r="C529" s="1" t="n">
        <v>45900</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22883-2024</t>
        </is>
      </c>
      <c r="B530" s="1" t="n">
        <v>45448.66368055555</v>
      </c>
      <c r="C530" s="1" t="n">
        <v>45900</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811-2023</t>
        </is>
      </c>
      <c r="B531" s="1" t="n">
        <v>44931</v>
      </c>
      <c r="C531" s="1" t="n">
        <v>45900</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46389-2021</t>
        </is>
      </c>
      <c r="B532" s="1" t="n">
        <v>44443</v>
      </c>
      <c r="C532" s="1" t="n">
        <v>45900</v>
      </c>
      <c r="D532" t="inlineStr">
        <is>
          <t>GOTLANDS LÄN</t>
        </is>
      </c>
      <c r="E532" t="inlineStr">
        <is>
          <t>GOTLAND</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25129-2023</t>
        </is>
      </c>
      <c r="B533" s="1" t="n">
        <v>45086.44261574074</v>
      </c>
      <c r="C533" s="1" t="n">
        <v>45900</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17343-2025</t>
        </is>
      </c>
      <c r="B534" s="1" t="n">
        <v>45756.6687037037</v>
      </c>
      <c r="C534" s="1" t="n">
        <v>45900</v>
      </c>
      <c r="D534" t="inlineStr">
        <is>
          <t>GOTLANDS LÄN</t>
        </is>
      </c>
      <c r="E534" t="inlineStr">
        <is>
          <t>GOTLAND</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24192-2023</t>
        </is>
      </c>
      <c r="B535" s="1" t="n">
        <v>45079</v>
      </c>
      <c r="C535" s="1" t="n">
        <v>45900</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18914-2025</t>
        </is>
      </c>
      <c r="B536" s="1" t="n">
        <v>45764.46783564815</v>
      </c>
      <c r="C536" s="1" t="n">
        <v>45900</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26810-2021</t>
        </is>
      </c>
      <c r="B537" s="1" t="n">
        <v>44349.55087962963</v>
      </c>
      <c r="C537" s="1" t="n">
        <v>45900</v>
      </c>
      <c r="D537" t="inlineStr">
        <is>
          <t>GOTLANDS LÄN</t>
        </is>
      </c>
      <c r="E537" t="inlineStr">
        <is>
          <t>GOTLAND</t>
        </is>
      </c>
      <c r="G537" t="n">
        <v>3.5</v>
      </c>
      <c r="H537" t="n">
        <v>0</v>
      </c>
      <c r="I537" t="n">
        <v>0</v>
      </c>
      <c r="J537" t="n">
        <v>0</v>
      </c>
      <c r="K537" t="n">
        <v>0</v>
      </c>
      <c r="L537" t="n">
        <v>0</v>
      </c>
      <c r="M537" t="n">
        <v>0</v>
      </c>
      <c r="N537" t="n">
        <v>0</v>
      </c>
      <c r="O537" t="n">
        <v>0</v>
      </c>
      <c r="P537" t="n">
        <v>0</v>
      </c>
      <c r="Q537" t="n">
        <v>0</v>
      </c>
      <c r="R537" s="2" t="inlineStr"/>
    </row>
    <row r="538" ht="15" customHeight="1">
      <c r="A538" t="inlineStr">
        <is>
          <t>A 18742-2025</t>
        </is>
      </c>
      <c r="B538" s="1" t="n">
        <v>45763</v>
      </c>
      <c r="C538" s="1" t="n">
        <v>45900</v>
      </c>
      <c r="D538" t="inlineStr">
        <is>
          <t>GOTLANDS LÄN</t>
        </is>
      </c>
      <c r="E538" t="inlineStr">
        <is>
          <t>GOTLAND</t>
        </is>
      </c>
      <c r="G538" t="n">
        <v>3.4</v>
      </c>
      <c r="H538" t="n">
        <v>0</v>
      </c>
      <c r="I538" t="n">
        <v>0</v>
      </c>
      <c r="J538" t="n">
        <v>0</v>
      </c>
      <c r="K538" t="n">
        <v>0</v>
      </c>
      <c r="L538" t="n">
        <v>0</v>
      </c>
      <c r="M538" t="n">
        <v>0</v>
      </c>
      <c r="N538" t="n">
        <v>0</v>
      </c>
      <c r="O538" t="n">
        <v>0</v>
      </c>
      <c r="P538" t="n">
        <v>0</v>
      </c>
      <c r="Q538" t="n">
        <v>0</v>
      </c>
      <c r="R538" s="2" t="inlineStr"/>
    </row>
    <row r="539" ht="15" customHeight="1">
      <c r="A539" t="inlineStr">
        <is>
          <t>A 5386-2023</t>
        </is>
      </c>
      <c r="B539" s="1" t="n">
        <v>44959</v>
      </c>
      <c r="C539" s="1" t="n">
        <v>45900</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7026-2023</t>
        </is>
      </c>
      <c r="B540" s="1" t="n">
        <v>44968.30340277778</v>
      </c>
      <c r="C540" s="1" t="n">
        <v>45900</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20855-2023</t>
        </is>
      </c>
      <c r="B541" s="1" t="n">
        <v>45058.82172453704</v>
      </c>
      <c r="C541" s="1" t="n">
        <v>45900</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44963.69503472222</v>
      </c>
      <c r="C542" s="1" t="n">
        <v>45900</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33853-2024</t>
        </is>
      </c>
      <c r="B543" s="1" t="n">
        <v>45520.64298611111</v>
      </c>
      <c r="C543" s="1" t="n">
        <v>45900</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18918-2025</t>
        </is>
      </c>
      <c r="B544" s="1" t="n">
        <v>45764</v>
      </c>
      <c r="C544" s="1" t="n">
        <v>45900</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45900</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45900</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1000-2024</t>
        </is>
      </c>
      <c r="B547" s="1" t="n">
        <v>45301.63371527778</v>
      </c>
      <c r="C547" s="1" t="n">
        <v>45900</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1010-2024</t>
        </is>
      </c>
      <c r="B548" s="1" t="n">
        <v>45301</v>
      </c>
      <c r="C548" s="1" t="n">
        <v>45900</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10655-2023</t>
        </is>
      </c>
      <c r="B549" s="1" t="n">
        <v>44988.49543981482</v>
      </c>
      <c r="C549" s="1" t="n">
        <v>45900</v>
      </c>
      <c r="D549" t="inlineStr">
        <is>
          <t>GOTLANDS LÄN</t>
        </is>
      </c>
      <c r="E549" t="inlineStr">
        <is>
          <t>GOTLAND</t>
        </is>
      </c>
      <c r="F549" t="inlineStr">
        <is>
          <t>Kyrkan</t>
        </is>
      </c>
      <c r="G549" t="n">
        <v>2</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44944.55361111111</v>
      </c>
      <c r="C550" s="1" t="n">
        <v>45900</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26891-2024</t>
        </is>
      </c>
      <c r="B551" s="1" t="n">
        <v>45470.65540509259</v>
      </c>
      <c r="C551" s="1" t="n">
        <v>45900</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47762-2023</t>
        </is>
      </c>
      <c r="B552" s="1" t="n">
        <v>45203.86256944444</v>
      </c>
      <c r="C552" s="1" t="n">
        <v>45900</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45900</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9887-2025</t>
        </is>
      </c>
      <c r="B554" s="1" t="n">
        <v>45716</v>
      </c>
      <c r="C554" s="1" t="n">
        <v>45900</v>
      </c>
      <c r="D554" t="inlineStr">
        <is>
          <t>GOTLANDS LÄN</t>
        </is>
      </c>
      <c r="E554" t="inlineStr">
        <is>
          <t>GOTLAND</t>
        </is>
      </c>
      <c r="G554" t="n">
        <v>7.5</v>
      </c>
      <c r="H554" t="n">
        <v>0</v>
      </c>
      <c r="I554" t="n">
        <v>0</v>
      </c>
      <c r="J554" t="n">
        <v>0</v>
      </c>
      <c r="K554" t="n">
        <v>0</v>
      </c>
      <c r="L554" t="n">
        <v>0</v>
      </c>
      <c r="M554" t="n">
        <v>0</v>
      </c>
      <c r="N554" t="n">
        <v>0</v>
      </c>
      <c r="O554" t="n">
        <v>0</v>
      </c>
      <c r="P554" t="n">
        <v>0</v>
      </c>
      <c r="Q554" t="n">
        <v>0</v>
      </c>
      <c r="R554" s="2" t="inlineStr"/>
    </row>
    <row r="555" ht="15" customHeight="1">
      <c r="A555" t="inlineStr">
        <is>
          <t>A 38165-2023</t>
        </is>
      </c>
      <c r="B555" s="1" t="n">
        <v>45161</v>
      </c>
      <c r="C555" s="1" t="n">
        <v>45900</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27596-2023</t>
        </is>
      </c>
      <c r="B556" s="1" t="n">
        <v>45097</v>
      </c>
      <c r="C556" s="1" t="n">
        <v>45900</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24825-2024</t>
        </is>
      </c>
      <c r="B557" s="1" t="n">
        <v>45461</v>
      </c>
      <c r="C557" s="1" t="n">
        <v>45900</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6696-2023</t>
        </is>
      </c>
      <c r="B558" s="1" t="n">
        <v>44966.66425925926</v>
      </c>
      <c r="C558" s="1" t="n">
        <v>45900</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21247-2022</t>
        </is>
      </c>
      <c r="B559" s="1" t="n">
        <v>44705.38832175926</v>
      </c>
      <c r="C559" s="1" t="n">
        <v>45900</v>
      </c>
      <c r="D559" t="inlineStr">
        <is>
          <t>GOTLANDS LÄN</t>
        </is>
      </c>
      <c r="E559" t="inlineStr">
        <is>
          <t>GOTLAND</t>
        </is>
      </c>
      <c r="G559" t="n">
        <v>16.2</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44929.87122685185</v>
      </c>
      <c r="C560" s="1" t="n">
        <v>45900</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44944.54896990741</v>
      </c>
      <c r="C561" s="1" t="n">
        <v>45900</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4421-2024</t>
        </is>
      </c>
      <c r="B562" s="1" t="n">
        <v>45327.45173611111</v>
      </c>
      <c r="C562" s="1" t="n">
        <v>45900</v>
      </c>
      <c r="D562" t="inlineStr">
        <is>
          <t>GOTLANDS LÄN</t>
        </is>
      </c>
      <c r="E562" t="inlineStr">
        <is>
          <t>GOTLAND</t>
        </is>
      </c>
      <c r="G562" t="n">
        <v>5.1</v>
      </c>
      <c r="H562" t="n">
        <v>0</v>
      </c>
      <c r="I562" t="n">
        <v>0</v>
      </c>
      <c r="J562" t="n">
        <v>0</v>
      </c>
      <c r="K562" t="n">
        <v>0</v>
      </c>
      <c r="L562" t="n">
        <v>0</v>
      </c>
      <c r="M562" t="n">
        <v>0</v>
      </c>
      <c r="N562" t="n">
        <v>0</v>
      </c>
      <c r="O562" t="n">
        <v>0</v>
      </c>
      <c r="P562" t="n">
        <v>0</v>
      </c>
      <c r="Q562" t="n">
        <v>0</v>
      </c>
      <c r="R562" s="2" t="inlineStr"/>
    </row>
    <row r="563" ht="15" customHeight="1">
      <c r="A563" t="inlineStr">
        <is>
          <t>A 51782-2023</t>
        </is>
      </c>
      <c r="B563" s="1" t="n">
        <v>45222.80952546297</v>
      </c>
      <c r="C563" s="1" t="n">
        <v>45900</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54268-2022</t>
        </is>
      </c>
      <c r="B564" s="1" t="n">
        <v>44882</v>
      </c>
      <c r="C564" s="1" t="n">
        <v>45900</v>
      </c>
      <c r="D564" t="inlineStr">
        <is>
          <t>GOTLANDS LÄN</t>
        </is>
      </c>
      <c r="E564" t="inlineStr">
        <is>
          <t>GOTLAND</t>
        </is>
      </c>
      <c r="G564" t="n">
        <v>2.7</v>
      </c>
      <c r="H564" t="n">
        <v>0</v>
      </c>
      <c r="I564" t="n">
        <v>0</v>
      </c>
      <c r="J564" t="n">
        <v>0</v>
      </c>
      <c r="K564" t="n">
        <v>0</v>
      </c>
      <c r="L564" t="n">
        <v>0</v>
      </c>
      <c r="M564" t="n">
        <v>0</v>
      </c>
      <c r="N564" t="n">
        <v>0</v>
      </c>
      <c r="O564" t="n">
        <v>0</v>
      </c>
      <c r="P564" t="n">
        <v>0</v>
      </c>
      <c r="Q564" t="n">
        <v>0</v>
      </c>
      <c r="R564" s="2" t="inlineStr"/>
    </row>
    <row r="565" ht="15" customHeight="1">
      <c r="A565" t="inlineStr">
        <is>
          <t>A 57534-2022</t>
        </is>
      </c>
      <c r="B565" s="1" t="n">
        <v>44896</v>
      </c>
      <c r="C565" s="1" t="n">
        <v>45900</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45900</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43229-2023</t>
        </is>
      </c>
      <c r="B567" s="1" t="n">
        <v>45183.46704861111</v>
      </c>
      <c r="C567" s="1" t="n">
        <v>45900</v>
      </c>
      <c r="D567" t="inlineStr">
        <is>
          <t>GOTLANDS LÄN</t>
        </is>
      </c>
      <c r="E567" t="inlineStr">
        <is>
          <t>GOTLAND</t>
        </is>
      </c>
      <c r="G567" t="n">
        <v>7.1</v>
      </c>
      <c r="H567" t="n">
        <v>0</v>
      </c>
      <c r="I567" t="n">
        <v>0</v>
      </c>
      <c r="J567" t="n">
        <v>0</v>
      </c>
      <c r="K567" t="n">
        <v>0</v>
      </c>
      <c r="L567" t="n">
        <v>0</v>
      </c>
      <c r="M567" t="n">
        <v>0</v>
      </c>
      <c r="N567" t="n">
        <v>0</v>
      </c>
      <c r="O567" t="n">
        <v>0</v>
      </c>
      <c r="P567" t="n">
        <v>0</v>
      </c>
      <c r="Q567" t="n">
        <v>0</v>
      </c>
      <c r="R567" s="2" t="inlineStr"/>
    </row>
    <row r="568" ht="15" customHeight="1">
      <c r="A568" t="inlineStr">
        <is>
          <t>A 1175-2025</t>
        </is>
      </c>
      <c r="B568" s="1" t="n">
        <v>45667.34449074074</v>
      </c>
      <c r="C568" s="1" t="n">
        <v>45900</v>
      </c>
      <c r="D568" t="inlineStr">
        <is>
          <t>GOTLANDS LÄN</t>
        </is>
      </c>
      <c r="E568" t="inlineStr">
        <is>
          <t>GOTLAND</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27095-2022</t>
        </is>
      </c>
      <c r="B569" s="1" t="n">
        <v>44741</v>
      </c>
      <c r="C569" s="1" t="n">
        <v>45900</v>
      </c>
      <c r="D569" t="inlineStr">
        <is>
          <t>GOTLANDS LÄN</t>
        </is>
      </c>
      <c r="E569" t="inlineStr">
        <is>
          <t>GOTLAND</t>
        </is>
      </c>
      <c r="F569" t="inlineStr">
        <is>
          <t>Övriga Aktiebolag</t>
        </is>
      </c>
      <c r="G569" t="n">
        <v>2.9</v>
      </c>
      <c r="H569" t="n">
        <v>0</v>
      </c>
      <c r="I569" t="n">
        <v>0</v>
      </c>
      <c r="J569" t="n">
        <v>0</v>
      </c>
      <c r="K569" t="n">
        <v>0</v>
      </c>
      <c r="L569" t="n">
        <v>0</v>
      </c>
      <c r="M569" t="n">
        <v>0</v>
      </c>
      <c r="N569" t="n">
        <v>0</v>
      </c>
      <c r="O569" t="n">
        <v>0</v>
      </c>
      <c r="P569" t="n">
        <v>0</v>
      </c>
      <c r="Q569" t="n">
        <v>0</v>
      </c>
      <c r="R569" s="2" t="inlineStr"/>
    </row>
    <row r="570" ht="15" customHeight="1">
      <c r="A570" t="inlineStr">
        <is>
          <t>A 22899-2023</t>
        </is>
      </c>
      <c r="B570" s="1" t="n">
        <v>45072</v>
      </c>
      <c r="C570" s="1" t="n">
        <v>45900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23978-2023</t>
        </is>
      </c>
      <c r="B571" s="1" t="n">
        <v>45078</v>
      </c>
      <c r="C571" s="1" t="n">
        <v>45900</v>
      </c>
      <c r="D571" t="inlineStr">
        <is>
          <t>GOTLANDS LÄN</t>
        </is>
      </c>
      <c r="E571" t="inlineStr">
        <is>
          <t>GOTLAND</t>
        </is>
      </c>
      <c r="F571" t="inlineStr">
        <is>
          <t>Naturvårdsverket</t>
        </is>
      </c>
      <c r="G571" t="n">
        <v>1.7</v>
      </c>
      <c r="H571" t="n">
        <v>0</v>
      </c>
      <c r="I571" t="n">
        <v>0</v>
      </c>
      <c r="J571" t="n">
        <v>0</v>
      </c>
      <c r="K571" t="n">
        <v>0</v>
      </c>
      <c r="L571" t="n">
        <v>0</v>
      </c>
      <c r="M571" t="n">
        <v>0</v>
      </c>
      <c r="N571" t="n">
        <v>0</v>
      </c>
      <c r="O571" t="n">
        <v>0</v>
      </c>
      <c r="P571" t="n">
        <v>0</v>
      </c>
      <c r="Q571" t="n">
        <v>0</v>
      </c>
      <c r="R571" s="2" t="inlineStr"/>
    </row>
    <row r="572" ht="15" customHeight="1">
      <c r="A572" t="inlineStr">
        <is>
          <t>A 34407-2023</t>
        </is>
      </c>
      <c r="B572" s="1" t="n">
        <v>45132</v>
      </c>
      <c r="C572" s="1" t="n">
        <v>45900</v>
      </c>
      <c r="D572" t="inlineStr">
        <is>
          <t>GOTLANDS LÄN</t>
        </is>
      </c>
      <c r="E572" t="inlineStr">
        <is>
          <t>GOTLAND</t>
        </is>
      </c>
      <c r="G572" t="n">
        <v>4.4</v>
      </c>
      <c r="H572" t="n">
        <v>0</v>
      </c>
      <c r="I572" t="n">
        <v>0</v>
      </c>
      <c r="J572" t="n">
        <v>0</v>
      </c>
      <c r="K572" t="n">
        <v>0</v>
      </c>
      <c r="L572" t="n">
        <v>0</v>
      </c>
      <c r="M572" t="n">
        <v>0</v>
      </c>
      <c r="N572" t="n">
        <v>0</v>
      </c>
      <c r="O572" t="n">
        <v>0</v>
      </c>
      <c r="P572" t="n">
        <v>0</v>
      </c>
      <c r="Q572" t="n">
        <v>0</v>
      </c>
      <c r="R572" s="2" t="inlineStr"/>
    </row>
    <row r="573" ht="15" customHeight="1">
      <c r="A573" t="inlineStr">
        <is>
          <t>A 11013-2024</t>
        </is>
      </c>
      <c r="B573" s="1" t="n">
        <v>45370</v>
      </c>
      <c r="C573" s="1" t="n">
        <v>45900</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27694-2024</t>
        </is>
      </c>
      <c r="B574" s="1" t="n">
        <v>45475</v>
      </c>
      <c r="C574" s="1" t="n">
        <v>45900</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15083-2025</t>
        </is>
      </c>
      <c r="B575" s="1" t="n">
        <v>45743</v>
      </c>
      <c r="C575" s="1" t="n">
        <v>45900</v>
      </c>
      <c r="D575" t="inlineStr">
        <is>
          <t>GOTLANDS LÄN</t>
        </is>
      </c>
      <c r="E575" t="inlineStr">
        <is>
          <t>GOTLAND</t>
        </is>
      </c>
      <c r="G575" t="n">
        <v>2.3</v>
      </c>
      <c r="H575" t="n">
        <v>0</v>
      </c>
      <c r="I575" t="n">
        <v>0</v>
      </c>
      <c r="J575" t="n">
        <v>0</v>
      </c>
      <c r="K575" t="n">
        <v>0</v>
      </c>
      <c r="L575" t="n">
        <v>0</v>
      </c>
      <c r="M575" t="n">
        <v>0</v>
      </c>
      <c r="N575" t="n">
        <v>0</v>
      </c>
      <c r="O575" t="n">
        <v>0</v>
      </c>
      <c r="P575" t="n">
        <v>0</v>
      </c>
      <c r="Q575" t="n">
        <v>0</v>
      </c>
      <c r="R575" s="2" t="inlineStr"/>
    </row>
    <row r="576" ht="15" customHeight="1">
      <c r="A576" t="inlineStr">
        <is>
          <t>A 13037-2025</t>
        </is>
      </c>
      <c r="B576" s="1" t="n">
        <v>45734</v>
      </c>
      <c r="C576" s="1" t="n">
        <v>45900</v>
      </c>
      <c r="D576" t="inlineStr">
        <is>
          <t>GOTLANDS LÄN</t>
        </is>
      </c>
      <c r="E576" t="inlineStr">
        <is>
          <t>GOTLAND</t>
        </is>
      </c>
      <c r="G576" t="n">
        <v>9.5</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45900</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44228-2022</t>
        </is>
      </c>
      <c r="B578" s="1" t="n">
        <v>44839.51599537037</v>
      </c>
      <c r="C578" s="1" t="n">
        <v>45900</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58132-2023</t>
        </is>
      </c>
      <c r="B579" s="1" t="n">
        <v>45250</v>
      </c>
      <c r="C579" s="1" t="n">
        <v>45900</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49884-2023</t>
        </is>
      </c>
      <c r="B580" s="1" t="n">
        <v>45213</v>
      </c>
      <c r="C580" s="1" t="n">
        <v>45900</v>
      </c>
      <c r="D580" t="inlineStr">
        <is>
          <t>GOTLANDS LÄN</t>
        </is>
      </c>
      <c r="E580" t="inlineStr">
        <is>
          <t>GOTLAND</t>
        </is>
      </c>
      <c r="G580" t="n">
        <v>8.9</v>
      </c>
      <c r="H580" t="n">
        <v>0</v>
      </c>
      <c r="I580" t="n">
        <v>0</v>
      </c>
      <c r="J580" t="n">
        <v>0</v>
      </c>
      <c r="K580" t="n">
        <v>0</v>
      </c>
      <c r="L580" t="n">
        <v>0</v>
      </c>
      <c r="M580" t="n">
        <v>0</v>
      </c>
      <c r="N580" t="n">
        <v>0</v>
      </c>
      <c r="O580" t="n">
        <v>0</v>
      </c>
      <c r="P580" t="n">
        <v>0</v>
      </c>
      <c r="Q580" t="n">
        <v>0</v>
      </c>
      <c r="R580" s="2" t="inlineStr"/>
    </row>
    <row r="581" ht="15" customHeight="1">
      <c r="A581" t="inlineStr">
        <is>
          <t>A 17847-2025</t>
        </is>
      </c>
      <c r="B581" s="1" t="n">
        <v>45758</v>
      </c>
      <c r="C581" s="1" t="n">
        <v>45900</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876-2024</t>
        </is>
      </c>
      <c r="B582" s="1" t="n">
        <v>45301</v>
      </c>
      <c r="C582" s="1" t="n">
        <v>45900</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6796-2025</t>
        </is>
      </c>
      <c r="B583" s="1" t="n">
        <v>45700.66559027778</v>
      </c>
      <c r="C583" s="1" t="n">
        <v>45900</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45900</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28425-2023</t>
        </is>
      </c>
      <c r="B585" s="1" t="n">
        <v>45102</v>
      </c>
      <c r="C585" s="1" t="n">
        <v>45900</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58476-2022</t>
        </is>
      </c>
      <c r="B586" s="1" t="n">
        <v>44902</v>
      </c>
      <c r="C586" s="1" t="n">
        <v>45900</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43200-2023</t>
        </is>
      </c>
      <c r="B587" s="1" t="n">
        <v>45183</v>
      </c>
      <c r="C587" s="1" t="n">
        <v>45900</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43223-2023</t>
        </is>
      </c>
      <c r="B588" s="1" t="n">
        <v>45183.45642361111</v>
      </c>
      <c r="C588" s="1" t="n">
        <v>45900</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12327-2025</t>
        </is>
      </c>
      <c r="B589" s="1" t="n">
        <v>45730</v>
      </c>
      <c r="C589" s="1" t="n">
        <v>45900</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3431-2025</t>
        </is>
      </c>
      <c r="B590" s="1" t="n">
        <v>45680.42935185185</v>
      </c>
      <c r="C590" s="1" t="n">
        <v>45900</v>
      </c>
      <c r="D590" t="inlineStr">
        <is>
          <t>GOTLANDS LÄN</t>
        </is>
      </c>
      <c r="E590" t="inlineStr">
        <is>
          <t>GOTLAND</t>
        </is>
      </c>
      <c r="G590" t="n">
        <v>4.8</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45900</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45900</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1364-2025</t>
        </is>
      </c>
      <c r="B593" s="1" t="n">
        <v>45667.63929398148</v>
      </c>
      <c r="C593" s="1" t="n">
        <v>45900</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45900</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2180-2025</t>
        </is>
      </c>
      <c r="B595" s="1" t="n">
        <v>45673</v>
      </c>
      <c r="C595" s="1" t="n">
        <v>45900</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15436-2025</t>
        </is>
      </c>
      <c r="B596" s="1" t="n">
        <v>45747.47462962963</v>
      </c>
      <c r="C596" s="1" t="n">
        <v>45900</v>
      </c>
      <c r="D596" t="inlineStr">
        <is>
          <t>GOTLANDS LÄN</t>
        </is>
      </c>
      <c r="E596" t="inlineStr">
        <is>
          <t>GOTLAND</t>
        </is>
      </c>
      <c r="G596" t="n">
        <v>4.1</v>
      </c>
      <c r="H596" t="n">
        <v>0</v>
      </c>
      <c r="I596" t="n">
        <v>0</v>
      </c>
      <c r="J596" t="n">
        <v>0</v>
      </c>
      <c r="K596" t="n">
        <v>0</v>
      </c>
      <c r="L596" t="n">
        <v>0</v>
      </c>
      <c r="M596" t="n">
        <v>0</v>
      </c>
      <c r="N596" t="n">
        <v>0</v>
      </c>
      <c r="O596" t="n">
        <v>0</v>
      </c>
      <c r="P596" t="n">
        <v>0</v>
      </c>
      <c r="Q596" t="n">
        <v>0</v>
      </c>
      <c r="R596" s="2" t="inlineStr"/>
    </row>
    <row r="597" ht="15" customHeight="1">
      <c r="A597" t="inlineStr">
        <is>
          <t>A 10652-2025</t>
        </is>
      </c>
      <c r="B597" s="1" t="n">
        <v>45721.68640046296</v>
      </c>
      <c r="C597" s="1" t="n">
        <v>45900</v>
      </c>
      <c r="D597" t="inlineStr">
        <is>
          <t>GOTLANDS LÄN</t>
        </is>
      </c>
      <c r="E597" t="inlineStr">
        <is>
          <t>GOTLAND</t>
        </is>
      </c>
      <c r="G597" t="n">
        <v>3.6</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45900</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37202-2024</t>
        </is>
      </c>
      <c r="B599" s="1" t="n">
        <v>45539.67310185185</v>
      </c>
      <c r="C599" s="1" t="n">
        <v>45900</v>
      </c>
      <c r="D599" t="inlineStr">
        <is>
          <t>GOTLANDS LÄN</t>
        </is>
      </c>
      <c r="E599" t="inlineStr">
        <is>
          <t>GOTLAND</t>
        </is>
      </c>
      <c r="G599" t="n">
        <v>0.3</v>
      </c>
      <c r="H599" t="n">
        <v>0</v>
      </c>
      <c r="I599" t="n">
        <v>0</v>
      </c>
      <c r="J599" t="n">
        <v>0</v>
      </c>
      <c r="K599" t="n">
        <v>0</v>
      </c>
      <c r="L599" t="n">
        <v>0</v>
      </c>
      <c r="M599" t="n">
        <v>0</v>
      </c>
      <c r="N599" t="n">
        <v>0</v>
      </c>
      <c r="O599" t="n">
        <v>0</v>
      </c>
      <c r="P599" t="n">
        <v>0</v>
      </c>
      <c r="Q599" t="n">
        <v>0</v>
      </c>
      <c r="R599" s="2" t="inlineStr"/>
    </row>
    <row r="600" ht="15" customHeight="1">
      <c r="A600" t="inlineStr">
        <is>
          <t>A 56115-2023</t>
        </is>
      </c>
      <c r="B600" s="1" t="n">
        <v>45236</v>
      </c>
      <c r="C600" s="1" t="n">
        <v>45900</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2774-2024</t>
        </is>
      </c>
      <c r="B601" s="1" t="n">
        <v>45314.62375</v>
      </c>
      <c r="C601" s="1" t="n">
        <v>45900</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60709-2023</t>
        </is>
      </c>
      <c r="B602" s="1" t="n">
        <v>45260</v>
      </c>
      <c r="C602" s="1" t="n">
        <v>45900</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64208-2021</t>
        </is>
      </c>
      <c r="B603" s="1" t="n">
        <v>44510</v>
      </c>
      <c r="C603" s="1" t="n">
        <v>45900</v>
      </c>
      <c r="D603" t="inlineStr">
        <is>
          <t>GOTLANDS LÄN</t>
        </is>
      </c>
      <c r="E603" t="inlineStr">
        <is>
          <t>GOTLAND</t>
        </is>
      </c>
      <c r="G603" t="n">
        <v>4.7</v>
      </c>
      <c r="H603" t="n">
        <v>0</v>
      </c>
      <c r="I603" t="n">
        <v>0</v>
      </c>
      <c r="J603" t="n">
        <v>0</v>
      </c>
      <c r="K603" t="n">
        <v>0</v>
      </c>
      <c r="L603" t="n">
        <v>0</v>
      </c>
      <c r="M603" t="n">
        <v>0</v>
      </c>
      <c r="N603" t="n">
        <v>0</v>
      </c>
      <c r="O603" t="n">
        <v>0</v>
      </c>
      <c r="P603" t="n">
        <v>0</v>
      </c>
      <c r="Q603" t="n">
        <v>0</v>
      </c>
      <c r="R603" s="2" t="inlineStr"/>
    </row>
    <row r="604" ht="15" customHeight="1">
      <c r="A604" t="inlineStr">
        <is>
          <t>A 39764-2022</t>
        </is>
      </c>
      <c r="B604" s="1" t="n">
        <v>44819</v>
      </c>
      <c r="C604" s="1" t="n">
        <v>45900</v>
      </c>
      <c r="D604" t="inlineStr">
        <is>
          <t>GOTLANDS LÄN</t>
        </is>
      </c>
      <c r="E604" t="inlineStr">
        <is>
          <t>GOTLAND</t>
        </is>
      </c>
      <c r="F604" t="inlineStr">
        <is>
          <t>Kyrkan</t>
        </is>
      </c>
      <c r="G604" t="n">
        <v>3.7</v>
      </c>
      <c r="H604" t="n">
        <v>0</v>
      </c>
      <c r="I604" t="n">
        <v>0</v>
      </c>
      <c r="J604" t="n">
        <v>0</v>
      </c>
      <c r="K604" t="n">
        <v>0</v>
      </c>
      <c r="L604" t="n">
        <v>0</v>
      </c>
      <c r="M604" t="n">
        <v>0</v>
      </c>
      <c r="N604" t="n">
        <v>0</v>
      </c>
      <c r="O604" t="n">
        <v>0</v>
      </c>
      <c r="P604" t="n">
        <v>0</v>
      </c>
      <c r="Q604" t="n">
        <v>0</v>
      </c>
      <c r="R604" s="2" t="inlineStr"/>
    </row>
    <row r="605" ht="15" customHeight="1">
      <c r="A605" t="inlineStr">
        <is>
          <t>A 58211-2024</t>
        </is>
      </c>
      <c r="B605" s="1" t="n">
        <v>45632.49292824074</v>
      </c>
      <c r="C605" s="1" t="n">
        <v>45900</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30956-2024</t>
        </is>
      </c>
      <c r="B606" s="1" t="n">
        <v>45499.42527777778</v>
      </c>
      <c r="C606" s="1" t="n">
        <v>45900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30892-2024</t>
        </is>
      </c>
      <c r="B607" s="1" t="n">
        <v>45491</v>
      </c>
      <c r="C607" s="1" t="n">
        <v>45900</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45013.69365740741</v>
      </c>
      <c r="C608" s="1" t="n">
        <v>45900</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59469-2024</t>
        </is>
      </c>
      <c r="B609" s="1" t="n">
        <v>45638</v>
      </c>
      <c r="C609" s="1" t="n">
        <v>45900</v>
      </c>
      <c r="D609" t="inlineStr">
        <is>
          <t>GOTLANDS LÄN</t>
        </is>
      </c>
      <c r="E609" t="inlineStr">
        <is>
          <t>GOTLAND</t>
        </is>
      </c>
      <c r="G609" t="n">
        <v>0.4</v>
      </c>
      <c r="H609" t="n">
        <v>0</v>
      </c>
      <c r="I609" t="n">
        <v>0</v>
      </c>
      <c r="J609" t="n">
        <v>0</v>
      </c>
      <c r="K609" t="n">
        <v>0</v>
      </c>
      <c r="L609" t="n">
        <v>0</v>
      </c>
      <c r="M609" t="n">
        <v>0</v>
      </c>
      <c r="N609" t="n">
        <v>0</v>
      </c>
      <c r="O609" t="n">
        <v>0</v>
      </c>
      <c r="P609" t="n">
        <v>0</v>
      </c>
      <c r="Q609" t="n">
        <v>0</v>
      </c>
      <c r="R609" s="2" t="inlineStr"/>
    </row>
    <row r="610">
      <c r="A610" t="inlineStr">
        <is>
          <t>A 7858-2025</t>
        </is>
      </c>
      <c r="B610" s="1" t="n">
        <v>45706.68633101852</v>
      </c>
      <c r="C610" s="1" t="n">
        <v>45900</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2025-08-31T08:30:34Z</dcterms:created>
  <dcterms:modified xmlns:dcterms="http://purl.org/dc/terms/" xmlns:xsi="http://www.w3.org/2001/XMLSchema-instance" xsi:type="dcterms:W3CDTF">2025-08-31T08:30:35Z</dcterms:modified>
</cp:coreProperties>
</file>