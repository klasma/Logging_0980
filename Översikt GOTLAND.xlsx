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46060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46060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46060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46060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46060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46060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46060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46060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46060</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46060</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46060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46060</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46060</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46060</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46060</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46060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46060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46060</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46060</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46060</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46060</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46060</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46060</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46060</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46060</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46060</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46060</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46060</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46060</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46060</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62132-2023</t>
        </is>
      </c>
      <c r="B32" s="1" t="n">
        <v>45267</v>
      </c>
      <c r="C32" s="1" t="n">
        <v>46060</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46060</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46060</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2804-2023</t>
        </is>
      </c>
      <c r="B35" s="1" t="n">
        <v>44944</v>
      </c>
      <c r="C35" s="1" t="n">
        <v>46060</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44928-2022</t>
        </is>
      </c>
      <c r="B36" s="1" t="n">
        <v>44841</v>
      </c>
      <c r="C36" s="1" t="n">
        <v>46060</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35141-2022</t>
        </is>
      </c>
      <c r="B37" s="1" t="n">
        <v>44797.53318287037</v>
      </c>
      <c r="C37" s="1" t="n">
        <v>46060</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46060</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46060</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46060</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46060</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46060</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46060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46060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46060</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46060</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46060</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46060</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46060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46060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46060</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46060</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46060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46060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46060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46060</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46060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46060</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46060</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46060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46060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46060</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46060</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46060</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46060</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46060</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46060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46060</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46060</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46060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46060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46060</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16823-2024</t>
        </is>
      </c>
      <c r="B73" s="1" t="n">
        <v>45411</v>
      </c>
      <c r="C73" s="1" t="n">
        <v>46060</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53584-2025</t>
        </is>
      </c>
      <c r="B74" s="1" t="n">
        <v>45960.43130787037</v>
      </c>
      <c r="C74" s="1" t="n">
        <v>46060</v>
      </c>
      <c r="D74" t="inlineStr">
        <is>
          <t>GOTLANDS LÄN</t>
        </is>
      </c>
      <c r="E74" t="inlineStr">
        <is>
          <t>GOTLAND</t>
        </is>
      </c>
      <c r="F74" t="inlineStr">
        <is>
          <t>Övriga Aktiebolag</t>
        </is>
      </c>
      <c r="G74" t="n">
        <v>18.1</v>
      </c>
      <c r="H74" t="n">
        <v>3</v>
      </c>
      <c r="I74" t="n">
        <v>0</v>
      </c>
      <c r="J74" t="n">
        <v>4</v>
      </c>
      <c r="K74" t="n">
        <v>0</v>
      </c>
      <c r="L74" t="n">
        <v>0</v>
      </c>
      <c r="M74" t="n">
        <v>0</v>
      </c>
      <c r="N74" t="n">
        <v>0</v>
      </c>
      <c r="O74" t="n">
        <v>4</v>
      </c>
      <c r="P74" t="n">
        <v>0</v>
      </c>
      <c r="Q74" t="n">
        <v>6</v>
      </c>
      <c r="R74" s="2" t="inlineStr">
        <is>
          <t>Apollofjäril
Jordtistel
Klasefibbla
Majviva
Gråkråka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row>
    <row r="75" ht="15" customHeight="1">
      <c r="A75" t="inlineStr">
        <is>
          <t>A 446-2023</t>
        </is>
      </c>
      <c r="B75" s="1" t="n">
        <v>44929</v>
      </c>
      <c r="C75" s="1" t="n">
        <v>46060</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54527-2023</t>
        </is>
      </c>
      <c r="B76" s="1" t="n">
        <v>45233</v>
      </c>
      <c r="C76" s="1" t="n">
        <v>46060</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46060</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46060</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46060</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46060</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46060</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46060</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46060</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46060</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46060</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6839-2026</t>
        </is>
      </c>
      <c r="B86" s="1" t="n">
        <v>46057.41193287037</v>
      </c>
      <c r="C86" s="1" t="n">
        <v>46060</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42936-2024</t>
        </is>
      </c>
      <c r="B87" s="1" t="n">
        <v>45567</v>
      </c>
      <c r="C87" s="1" t="n">
        <v>46060</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46060</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46060</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46060</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46060</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2485-2025</t>
        </is>
      </c>
      <c r="B92" s="1" t="n">
        <v>45673</v>
      </c>
      <c r="C92" s="1" t="n">
        <v>46060</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46060</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20833-2024</t>
        </is>
      </c>
      <c r="B94" s="1" t="n">
        <v>45439</v>
      </c>
      <c r="C94" s="1" t="n">
        <v>46060</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43197-2023</t>
        </is>
      </c>
      <c r="B95" s="1" t="n">
        <v>45183</v>
      </c>
      <c r="C95" s="1" t="n">
        <v>46060</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5904-2024</t>
        </is>
      </c>
      <c r="B96" s="1" t="n">
        <v>45335</v>
      </c>
      <c r="C96" s="1" t="n">
        <v>46060</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52250-2025</t>
        </is>
      </c>
      <c r="B97" s="1" t="n">
        <v>45953.48998842593</v>
      </c>
      <c r="C97" s="1" t="n">
        <v>46060</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57463-2025</t>
        </is>
      </c>
      <c r="B98" s="1" t="n">
        <v>45980.54174768519</v>
      </c>
      <c r="C98" s="1" t="n">
        <v>46060</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1971-2023</t>
        </is>
      </c>
      <c r="B99" s="1" t="n">
        <v>44939</v>
      </c>
      <c r="C99" s="1" t="n">
        <v>46060</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54523-2023</t>
        </is>
      </c>
      <c r="B100" s="1" t="n">
        <v>45233</v>
      </c>
      <c r="C100" s="1" t="n">
        <v>46060</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186-2023</t>
        </is>
      </c>
      <c r="B101" s="1" t="n">
        <v>44928</v>
      </c>
      <c r="C101" s="1" t="n">
        <v>46060</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6836-2026</t>
        </is>
      </c>
      <c r="B102" s="1" t="n">
        <v>46057.40902777778</v>
      </c>
      <c r="C102" s="1" t="n">
        <v>46060</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8265-2023</t>
        </is>
      </c>
      <c r="B103" s="1" t="n">
        <v>44974</v>
      </c>
      <c r="C103" s="1" t="n">
        <v>46060</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46060</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46060</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46060</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46060</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46060</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46060</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46060</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5235-2025</t>
        </is>
      </c>
      <c r="B111" s="1" t="n">
        <v>45692.26797453704</v>
      </c>
      <c r="C111" s="1" t="n">
        <v>46060</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13499-2022</t>
        </is>
      </c>
      <c r="B112" s="1" t="n">
        <v>44647.79203703703</v>
      </c>
      <c r="C112" s="1" t="n">
        <v>46060</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48126-2022</t>
        </is>
      </c>
      <c r="B113" s="1" t="n">
        <v>44857</v>
      </c>
      <c r="C113" s="1" t="n">
        <v>46060</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46060</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55334-2024</t>
        </is>
      </c>
      <c r="B115" s="1" t="n">
        <v>45621</v>
      </c>
      <c r="C115" s="1" t="n">
        <v>46060</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46060</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20831-2024</t>
        </is>
      </c>
      <c r="B117" s="1" t="n">
        <v>45439</v>
      </c>
      <c r="C117" s="1" t="n">
        <v>46060</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46060</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1520-2026</t>
        </is>
      </c>
      <c r="B119" s="1" t="n">
        <v>46034.35891203704</v>
      </c>
      <c r="C119" s="1" t="n">
        <v>46060</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17982-2023</t>
        </is>
      </c>
      <c r="B120" s="1" t="n">
        <v>45040</v>
      </c>
      <c r="C120" s="1" t="n">
        <v>46060</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53552-2021</t>
        </is>
      </c>
      <c r="B121" s="1" t="n">
        <v>44468</v>
      </c>
      <c r="C121" s="1" t="n">
        <v>46060</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46060</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46060</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46060</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46060</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46060</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46060</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46060</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46060</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46060</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46060</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46060</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46060</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46060</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62760-2025</t>
        </is>
      </c>
      <c r="B135" s="1" t="n">
        <v>46008</v>
      </c>
      <c r="C135" s="1" t="n">
        <v>46060</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63162-2025</t>
        </is>
      </c>
      <c r="B136" s="1" t="n">
        <v>46010.37629629629</v>
      </c>
      <c r="C136" s="1" t="n">
        <v>46060</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26077-2024</t>
        </is>
      </c>
      <c r="B137" s="1" t="n">
        <v>45467</v>
      </c>
      <c r="C137" s="1" t="n">
        <v>46060</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46060</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46060</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46060</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46060</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46060</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46060</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22883-2024</t>
        </is>
      </c>
      <c r="B144" s="1" t="n">
        <v>45448.66368055555</v>
      </c>
      <c r="C144" s="1" t="n">
        <v>46060</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24245-2022</t>
        </is>
      </c>
      <c r="B145" s="1" t="n">
        <v>44725</v>
      </c>
      <c r="C145" s="1" t="n">
        <v>46060</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44308-2021</t>
        </is>
      </c>
      <c r="B146" s="1" t="n">
        <v>44434</v>
      </c>
      <c r="C146" s="1" t="n">
        <v>46060</v>
      </c>
      <c r="D146" t="inlineStr">
        <is>
          <t>GOTLANDS LÄN</t>
        </is>
      </c>
      <c r="E146" t="inlineStr">
        <is>
          <t>GOTLAND</t>
        </is>
      </c>
      <c r="G146" t="n">
        <v>5.9</v>
      </c>
      <c r="H146" t="n">
        <v>0</v>
      </c>
      <c r="I146" t="n">
        <v>1</v>
      </c>
      <c r="J146" t="n">
        <v>0</v>
      </c>
      <c r="K146" t="n">
        <v>0</v>
      </c>
      <c r="L146" t="n">
        <v>0</v>
      </c>
      <c r="M146" t="n">
        <v>0</v>
      </c>
      <c r="N146" t="n">
        <v>0</v>
      </c>
      <c r="O146" t="n">
        <v>0</v>
      </c>
      <c r="P146" t="n">
        <v>0</v>
      </c>
      <c r="Q146" t="n">
        <v>1</v>
      </c>
      <c r="R146" s="2" t="inlineStr">
        <is>
          <t>Svavelriska</t>
        </is>
      </c>
      <c r="S146">
        <f>HYPERLINK("https://klasma.github.io/Logging_0980/artfynd/A 44308-2021 artfynd.xlsx", "A 44308-2021")</f>
        <v/>
      </c>
      <c r="T146">
        <f>HYPERLINK("https://klasma.github.io/Logging_0980/kartor/A 44308-2021 karta.png", "A 44308-2021")</f>
        <v/>
      </c>
      <c r="V146">
        <f>HYPERLINK("https://klasma.github.io/Logging_0980/klagomål/A 44308-2021 FSC-klagomål.docx", "A 44308-2021")</f>
        <v/>
      </c>
      <c r="W146">
        <f>HYPERLINK("https://klasma.github.io/Logging_0980/klagomålsmail/A 44308-2021 FSC-klagomål mail.docx", "A 44308-2021")</f>
        <v/>
      </c>
      <c r="X146">
        <f>HYPERLINK("https://klasma.github.io/Logging_0980/tillsyn/A 44308-2021 tillsynsbegäran.docx", "A 44308-2021")</f>
        <v/>
      </c>
      <c r="Y146">
        <f>HYPERLINK("https://klasma.github.io/Logging_0980/tillsynsmail/A 44308-2021 tillsynsbegäran mail.docx", "A 44308-2021")</f>
        <v/>
      </c>
    </row>
    <row r="147" ht="15" customHeight="1">
      <c r="A147" t="inlineStr">
        <is>
          <t>A 46527-2023</t>
        </is>
      </c>
      <c r="B147" s="1" t="n">
        <v>45197</v>
      </c>
      <c r="C147" s="1" t="n">
        <v>46060</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26461-2025</t>
        </is>
      </c>
      <c r="B148" s="1" t="n">
        <v>45807.43337962963</v>
      </c>
      <c r="C148" s="1" t="n">
        <v>46060</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17723-2021</t>
        </is>
      </c>
      <c r="B149" s="1" t="n">
        <v>44300</v>
      </c>
      <c r="C149" s="1" t="n">
        <v>46060</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39812-2025</t>
        </is>
      </c>
      <c r="B150" s="1" t="n">
        <v>45891</v>
      </c>
      <c r="C150" s="1" t="n">
        <v>46060</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6303-2024</t>
        </is>
      </c>
      <c r="B151" s="1" t="n">
        <v>45338.35376157407</v>
      </c>
      <c r="C151" s="1" t="n">
        <v>46060</v>
      </c>
      <c r="D151" t="inlineStr">
        <is>
          <t>GOTLANDS LÄN</t>
        </is>
      </c>
      <c r="E151" t="inlineStr">
        <is>
          <t>GOTLAND</t>
        </is>
      </c>
      <c r="G151" t="n">
        <v>0.6</v>
      </c>
      <c r="H151" t="n">
        <v>0</v>
      </c>
      <c r="I151" t="n">
        <v>1</v>
      </c>
      <c r="J151" t="n">
        <v>0</v>
      </c>
      <c r="K151" t="n">
        <v>0</v>
      </c>
      <c r="L151" t="n">
        <v>0</v>
      </c>
      <c r="M151" t="n">
        <v>0</v>
      </c>
      <c r="N151" t="n">
        <v>0</v>
      </c>
      <c r="O151" t="n">
        <v>0</v>
      </c>
      <c r="P151" t="n">
        <v>0</v>
      </c>
      <c r="Q151" t="n">
        <v>1</v>
      </c>
      <c r="R151" s="2" t="inlineStr">
        <is>
          <t>Strävlosta</t>
        </is>
      </c>
      <c r="S151">
        <f>HYPERLINK("https://klasma.github.io/Logging_0980/artfynd/A 6303-2024 artfynd.xlsx", "A 6303-2024")</f>
        <v/>
      </c>
      <c r="T151">
        <f>HYPERLINK("https://klasma.github.io/Logging_0980/kartor/A 6303-2024 karta.png", "A 6303-2024")</f>
        <v/>
      </c>
      <c r="V151">
        <f>HYPERLINK("https://klasma.github.io/Logging_0980/klagomål/A 6303-2024 FSC-klagomål.docx", "A 6303-2024")</f>
        <v/>
      </c>
      <c r="W151">
        <f>HYPERLINK("https://klasma.github.io/Logging_0980/klagomålsmail/A 6303-2024 FSC-klagomål mail.docx", "A 6303-2024")</f>
        <v/>
      </c>
      <c r="X151">
        <f>HYPERLINK("https://klasma.github.io/Logging_0980/tillsyn/A 6303-2024 tillsynsbegäran.docx", "A 6303-2024")</f>
        <v/>
      </c>
      <c r="Y151">
        <f>HYPERLINK("https://klasma.github.io/Logging_0980/tillsynsmail/A 6303-2024 tillsynsbegäran mail.docx", "A 6303-2024")</f>
        <v/>
      </c>
    </row>
    <row r="152" ht="15" customHeight="1">
      <c r="A152" t="inlineStr">
        <is>
          <t>A 62552-2022</t>
        </is>
      </c>
      <c r="B152" s="1" t="n">
        <v>44924</v>
      </c>
      <c r="C152" s="1" t="n">
        <v>46060</v>
      </c>
      <c r="D152" t="inlineStr">
        <is>
          <t>GOTLANDS LÄN</t>
        </is>
      </c>
      <c r="E152" t="inlineStr">
        <is>
          <t>GOTLAND</t>
        </is>
      </c>
      <c r="G152" t="n">
        <v>1.6</v>
      </c>
      <c r="H152" t="n">
        <v>0</v>
      </c>
      <c r="I152" t="n">
        <v>0</v>
      </c>
      <c r="J152" t="n">
        <v>1</v>
      </c>
      <c r="K152" t="n">
        <v>0</v>
      </c>
      <c r="L152" t="n">
        <v>0</v>
      </c>
      <c r="M152" t="n">
        <v>0</v>
      </c>
      <c r="N152" t="n">
        <v>0</v>
      </c>
      <c r="O152" t="n">
        <v>1</v>
      </c>
      <c r="P152" t="n">
        <v>0</v>
      </c>
      <c r="Q152" t="n">
        <v>1</v>
      </c>
      <c r="R152" s="2" t="inlineStr">
        <is>
          <t>Äggspindling</t>
        </is>
      </c>
      <c r="S152">
        <f>HYPERLINK("https://klasma.github.io/Logging_0980/artfynd/A 62552-2022 artfynd.xlsx", "A 62552-2022")</f>
        <v/>
      </c>
      <c r="T152">
        <f>HYPERLINK("https://klasma.github.io/Logging_0980/kartor/A 62552-2022 karta.png", "A 62552-2022")</f>
        <v/>
      </c>
      <c r="V152">
        <f>HYPERLINK("https://klasma.github.io/Logging_0980/klagomål/A 62552-2022 FSC-klagomål.docx", "A 62552-2022")</f>
        <v/>
      </c>
      <c r="W152">
        <f>HYPERLINK("https://klasma.github.io/Logging_0980/klagomålsmail/A 62552-2022 FSC-klagomål mail.docx", "A 62552-2022")</f>
        <v/>
      </c>
      <c r="X152">
        <f>HYPERLINK("https://klasma.github.io/Logging_0980/tillsyn/A 62552-2022 tillsynsbegäran.docx", "A 62552-2022")</f>
        <v/>
      </c>
      <c r="Y152">
        <f>HYPERLINK("https://klasma.github.io/Logging_0980/tillsynsmail/A 62552-2022 tillsynsbegäran mail.docx", "A 62552-2022")</f>
        <v/>
      </c>
    </row>
    <row r="153" ht="15" customHeight="1">
      <c r="A153" t="inlineStr">
        <is>
          <t>A 25977-2024</t>
        </is>
      </c>
      <c r="B153" s="1" t="n">
        <v>45467.69356481481</v>
      </c>
      <c r="C153" s="1" t="n">
        <v>46060</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27589-2023</t>
        </is>
      </c>
      <c r="B154" s="1" t="n">
        <v>45097</v>
      </c>
      <c r="C154" s="1" t="n">
        <v>46060</v>
      </c>
      <c r="D154" t="inlineStr">
        <is>
          <t>GOTLANDS LÄN</t>
        </is>
      </c>
      <c r="E154" t="inlineStr">
        <is>
          <t>GOTLAND</t>
        </is>
      </c>
      <c r="G154" t="n">
        <v>5.4</v>
      </c>
      <c r="H154" t="n">
        <v>0</v>
      </c>
      <c r="I154" t="n">
        <v>0</v>
      </c>
      <c r="J154" t="n">
        <v>0</v>
      </c>
      <c r="K154" t="n">
        <v>0</v>
      </c>
      <c r="L154" t="n">
        <v>0</v>
      </c>
      <c r="M154" t="n">
        <v>1</v>
      </c>
      <c r="N154" t="n">
        <v>0</v>
      </c>
      <c r="O154" t="n">
        <v>1</v>
      </c>
      <c r="P154" t="n">
        <v>1</v>
      </c>
      <c r="Q154" t="n">
        <v>1</v>
      </c>
      <c r="R154" s="2" t="inlineStr">
        <is>
          <t>Skogsalm</t>
        </is>
      </c>
      <c r="S154">
        <f>HYPERLINK("https://klasma.github.io/Logging_0980/artfynd/A 27589-2023 artfynd.xlsx", "A 27589-2023")</f>
        <v/>
      </c>
      <c r="T154">
        <f>HYPERLINK("https://klasma.github.io/Logging_0980/kartor/A 27589-2023 karta.png", "A 27589-2023")</f>
        <v/>
      </c>
      <c r="V154">
        <f>HYPERLINK("https://klasma.github.io/Logging_0980/klagomål/A 27589-2023 FSC-klagomål.docx", "A 27589-2023")</f>
        <v/>
      </c>
      <c r="W154">
        <f>HYPERLINK("https://klasma.github.io/Logging_0980/klagomålsmail/A 27589-2023 FSC-klagomål mail.docx", "A 27589-2023")</f>
        <v/>
      </c>
      <c r="X154">
        <f>HYPERLINK("https://klasma.github.io/Logging_0980/tillsyn/A 27589-2023 tillsynsbegäran.docx", "A 27589-2023")</f>
        <v/>
      </c>
      <c r="Y154">
        <f>HYPERLINK("https://klasma.github.io/Logging_0980/tillsynsmail/A 27589-2023 tillsynsbegäran mail.docx", "A 27589-2023")</f>
        <v/>
      </c>
    </row>
    <row r="155" ht="15" customHeight="1">
      <c r="A155" t="inlineStr">
        <is>
          <t>A 35467-2021</t>
        </is>
      </c>
      <c r="B155" s="1" t="n">
        <v>44385</v>
      </c>
      <c r="C155" s="1" t="n">
        <v>46060</v>
      </c>
      <c r="D155" t="inlineStr">
        <is>
          <t>GOTLANDS LÄN</t>
        </is>
      </c>
      <c r="E155" t="inlineStr">
        <is>
          <t>GOTLAND</t>
        </is>
      </c>
      <c r="G155" t="n">
        <v>12.7</v>
      </c>
      <c r="H155" t="n">
        <v>0</v>
      </c>
      <c r="I155" t="n">
        <v>0</v>
      </c>
      <c r="J155" t="n">
        <v>1</v>
      </c>
      <c r="K155" t="n">
        <v>0</v>
      </c>
      <c r="L155" t="n">
        <v>0</v>
      </c>
      <c r="M155" t="n">
        <v>0</v>
      </c>
      <c r="N155" t="n">
        <v>0</v>
      </c>
      <c r="O155" t="n">
        <v>1</v>
      </c>
      <c r="P155" t="n">
        <v>0</v>
      </c>
      <c r="Q155" t="n">
        <v>1</v>
      </c>
      <c r="R155" s="2" t="inlineStr">
        <is>
          <t>Loppstarr</t>
        </is>
      </c>
      <c r="S155">
        <f>HYPERLINK("https://klasma.github.io/Logging_0980/artfynd/A 35467-2021 artfynd.xlsx", "A 35467-2021")</f>
        <v/>
      </c>
      <c r="T155">
        <f>HYPERLINK("https://klasma.github.io/Logging_0980/kartor/A 35467-2021 karta.png", "A 35467-2021")</f>
        <v/>
      </c>
      <c r="V155">
        <f>HYPERLINK("https://klasma.github.io/Logging_0980/klagomål/A 35467-2021 FSC-klagomål.docx", "A 35467-2021")</f>
        <v/>
      </c>
      <c r="W155">
        <f>HYPERLINK("https://klasma.github.io/Logging_0980/klagomålsmail/A 35467-2021 FSC-klagomål mail.docx", "A 35467-2021")</f>
        <v/>
      </c>
      <c r="X155">
        <f>HYPERLINK("https://klasma.github.io/Logging_0980/tillsyn/A 35467-2021 tillsynsbegäran.docx", "A 35467-2021")</f>
        <v/>
      </c>
      <c r="Y155">
        <f>HYPERLINK("https://klasma.github.io/Logging_0980/tillsynsmail/A 35467-2021 tillsynsbegäran mail.docx", "A 35467-2021")</f>
        <v/>
      </c>
    </row>
    <row r="156" ht="15" customHeight="1">
      <c r="A156" t="inlineStr">
        <is>
          <t>A 44619-2025</t>
        </is>
      </c>
      <c r="B156" s="1" t="n">
        <v>45917</v>
      </c>
      <c r="C156" s="1" t="n">
        <v>46060</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Ögonpyrola</t>
        </is>
      </c>
      <c r="S156">
        <f>HYPERLINK("https://klasma.github.io/Logging_0980/artfynd/A 44619-2025 artfynd.xlsx", "A 44619-2025")</f>
        <v/>
      </c>
      <c r="T156">
        <f>HYPERLINK("https://klasma.github.io/Logging_0980/kartor/A 44619-2025 karta.png", "A 44619-2025")</f>
        <v/>
      </c>
      <c r="V156">
        <f>HYPERLINK("https://klasma.github.io/Logging_0980/klagomål/A 44619-2025 FSC-klagomål.docx", "A 44619-2025")</f>
        <v/>
      </c>
      <c r="W156">
        <f>HYPERLINK("https://klasma.github.io/Logging_0980/klagomålsmail/A 44619-2025 FSC-klagomål mail.docx", "A 44619-2025")</f>
        <v/>
      </c>
      <c r="X156">
        <f>HYPERLINK("https://klasma.github.io/Logging_0980/tillsyn/A 44619-2025 tillsynsbegäran.docx", "A 44619-2025")</f>
        <v/>
      </c>
      <c r="Y156">
        <f>HYPERLINK("https://klasma.github.io/Logging_0980/tillsynsmail/A 44619-2025 tillsynsbegäran mail.docx", "A 44619-2025")</f>
        <v/>
      </c>
    </row>
    <row r="157" ht="15" customHeight="1">
      <c r="A157" t="inlineStr">
        <is>
          <t>A 65927-2021</t>
        </is>
      </c>
      <c r="B157" s="1" t="n">
        <v>44516</v>
      </c>
      <c r="C157" s="1" t="n">
        <v>46060</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46060</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61561-2023</t>
        </is>
      </c>
      <c r="B159" s="1" t="n">
        <v>45265</v>
      </c>
      <c r="C159" s="1" t="n">
        <v>46060</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20429-2025</t>
        </is>
      </c>
      <c r="B160" s="1" t="n">
        <v>45775.47728009259</v>
      </c>
      <c r="C160" s="1" t="n">
        <v>46060</v>
      </c>
      <c r="D160" t="inlineStr">
        <is>
          <t>GOTLANDS LÄN</t>
        </is>
      </c>
      <c r="E160" t="inlineStr">
        <is>
          <t>GOTLAND</t>
        </is>
      </c>
      <c r="G160" t="n">
        <v>1.4</v>
      </c>
      <c r="H160" t="n">
        <v>1</v>
      </c>
      <c r="I160" t="n">
        <v>0</v>
      </c>
      <c r="J160" t="n">
        <v>0</v>
      </c>
      <c r="K160" t="n">
        <v>0</v>
      </c>
      <c r="L160" t="n">
        <v>0</v>
      </c>
      <c r="M160" t="n">
        <v>0</v>
      </c>
      <c r="N160" t="n">
        <v>0</v>
      </c>
      <c r="O160" t="n">
        <v>0</v>
      </c>
      <c r="P160" t="n">
        <v>0</v>
      </c>
      <c r="Q160" t="n">
        <v>1</v>
      </c>
      <c r="R160" s="2" t="inlineStr">
        <is>
          <t>Äkta lopplummer</t>
        </is>
      </c>
      <c r="S160">
        <f>HYPERLINK("https://klasma.github.io/Logging_0980/artfynd/A 20429-2025 artfynd.xlsx", "A 20429-2025")</f>
        <v/>
      </c>
      <c r="T160">
        <f>HYPERLINK("https://klasma.github.io/Logging_0980/kartor/A 20429-2025 karta.png", "A 20429-2025")</f>
        <v/>
      </c>
      <c r="V160">
        <f>HYPERLINK("https://klasma.github.io/Logging_0980/klagomål/A 20429-2025 FSC-klagomål.docx", "A 20429-2025")</f>
        <v/>
      </c>
      <c r="W160">
        <f>HYPERLINK("https://klasma.github.io/Logging_0980/klagomålsmail/A 20429-2025 FSC-klagomål mail.docx", "A 20429-2025")</f>
        <v/>
      </c>
      <c r="X160">
        <f>HYPERLINK("https://klasma.github.io/Logging_0980/tillsyn/A 20429-2025 tillsynsbegäran.docx", "A 20429-2025")</f>
        <v/>
      </c>
      <c r="Y160">
        <f>HYPERLINK("https://klasma.github.io/Logging_0980/tillsynsmail/A 20429-2025 tillsynsbegäran mail.docx", "A 20429-2025")</f>
        <v/>
      </c>
    </row>
    <row r="161" ht="15" customHeight="1">
      <c r="A161" t="inlineStr">
        <is>
          <t>A 9862-2024</t>
        </is>
      </c>
      <c r="B161" s="1" t="n">
        <v>45363</v>
      </c>
      <c r="C161" s="1" t="n">
        <v>46060</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34141-2024</t>
        </is>
      </c>
      <c r="B162" s="1" t="n">
        <v>45524.36229166666</v>
      </c>
      <c r="C162" s="1" t="n">
        <v>46060</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49726-2025</t>
        </is>
      </c>
      <c r="B163" s="1" t="n">
        <v>45939.84466435185</v>
      </c>
      <c r="C163" s="1" t="n">
        <v>46060</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12324-2025</t>
        </is>
      </c>
      <c r="B164" s="1" t="n">
        <v>45730</v>
      </c>
      <c r="C164" s="1" t="n">
        <v>46060</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12924-2025</t>
        </is>
      </c>
      <c r="B165" s="1" t="n">
        <v>45734</v>
      </c>
      <c r="C165" s="1" t="n">
        <v>46060</v>
      </c>
      <c r="D165" t="inlineStr">
        <is>
          <t>GOTLANDS LÄN</t>
        </is>
      </c>
      <c r="E165" t="inlineStr">
        <is>
          <t>GOTLAND</t>
        </is>
      </c>
      <c r="G165" t="n">
        <v>11.7</v>
      </c>
      <c r="H165" t="n">
        <v>0</v>
      </c>
      <c r="I165" t="n">
        <v>0</v>
      </c>
      <c r="J165" t="n">
        <v>0</v>
      </c>
      <c r="K165" t="n">
        <v>1</v>
      </c>
      <c r="L165" t="n">
        <v>0</v>
      </c>
      <c r="M165" t="n">
        <v>0</v>
      </c>
      <c r="N165" t="n">
        <v>0</v>
      </c>
      <c r="O165" t="n">
        <v>1</v>
      </c>
      <c r="P165" t="n">
        <v>1</v>
      </c>
      <c r="Q165" t="n">
        <v>1</v>
      </c>
      <c r="R165" s="2" t="inlineStr">
        <is>
          <t>Gotlandsmåra</t>
        </is>
      </c>
      <c r="S165">
        <f>HYPERLINK("https://klasma.github.io/Logging_0980/artfynd/A 12924-2025 artfynd.xlsx", "A 12924-2025")</f>
        <v/>
      </c>
      <c r="T165">
        <f>HYPERLINK("https://klasma.github.io/Logging_0980/kartor/A 12924-2025 karta.png", "A 12924-2025")</f>
        <v/>
      </c>
      <c r="V165">
        <f>HYPERLINK("https://klasma.github.io/Logging_0980/klagomål/A 12924-2025 FSC-klagomål.docx", "A 12924-2025")</f>
        <v/>
      </c>
      <c r="W165">
        <f>HYPERLINK("https://klasma.github.io/Logging_0980/klagomålsmail/A 12924-2025 FSC-klagomål mail.docx", "A 12924-2025")</f>
        <v/>
      </c>
      <c r="X165">
        <f>HYPERLINK("https://klasma.github.io/Logging_0980/tillsyn/A 12924-2025 tillsynsbegäran.docx", "A 12924-2025")</f>
        <v/>
      </c>
      <c r="Y165">
        <f>HYPERLINK("https://klasma.github.io/Logging_0980/tillsynsmail/A 12924-2025 tillsynsbegäran mail.docx", "A 12924-2025")</f>
        <v/>
      </c>
    </row>
    <row r="166" ht="15" customHeight="1">
      <c r="A166" t="inlineStr">
        <is>
          <t>A 2476-2025</t>
        </is>
      </c>
      <c r="B166" s="1" t="n">
        <v>45673</v>
      </c>
      <c r="C166" s="1" t="n">
        <v>46060</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13939-2021</t>
        </is>
      </c>
      <c r="B167" s="1" t="n">
        <v>44277</v>
      </c>
      <c r="C167" s="1" t="n">
        <v>46060</v>
      </c>
      <c r="D167" t="inlineStr">
        <is>
          <t>GOTLANDS LÄN</t>
        </is>
      </c>
      <c r="E167" t="inlineStr">
        <is>
          <t>GOTLAND</t>
        </is>
      </c>
      <c r="G167" t="n">
        <v>1</v>
      </c>
      <c r="H167" t="n">
        <v>0</v>
      </c>
      <c r="I167" t="n">
        <v>0</v>
      </c>
      <c r="J167" t="n">
        <v>1</v>
      </c>
      <c r="K167" t="n">
        <v>0</v>
      </c>
      <c r="L167" t="n">
        <v>0</v>
      </c>
      <c r="M167" t="n">
        <v>0</v>
      </c>
      <c r="N167" t="n">
        <v>0</v>
      </c>
      <c r="O167" t="n">
        <v>1</v>
      </c>
      <c r="P167" t="n">
        <v>0</v>
      </c>
      <c r="Q167" t="n">
        <v>1</v>
      </c>
      <c r="R167" s="2" t="inlineStr">
        <is>
          <t>Axveronika</t>
        </is>
      </c>
      <c r="S167">
        <f>HYPERLINK("https://klasma.github.io/Logging_0980/artfynd/A 13939-2021 artfynd.xlsx", "A 13939-2021")</f>
        <v/>
      </c>
      <c r="T167">
        <f>HYPERLINK("https://klasma.github.io/Logging_0980/kartor/A 13939-2021 karta.png", "A 13939-2021")</f>
        <v/>
      </c>
      <c r="V167">
        <f>HYPERLINK("https://klasma.github.io/Logging_0980/klagomål/A 13939-2021 FSC-klagomål.docx", "A 13939-2021")</f>
        <v/>
      </c>
      <c r="W167">
        <f>HYPERLINK("https://klasma.github.io/Logging_0980/klagomålsmail/A 13939-2021 FSC-klagomål mail.docx", "A 13939-2021")</f>
        <v/>
      </c>
      <c r="X167">
        <f>HYPERLINK("https://klasma.github.io/Logging_0980/tillsyn/A 13939-2021 tillsynsbegäran.docx", "A 13939-2021")</f>
        <v/>
      </c>
      <c r="Y167">
        <f>HYPERLINK("https://klasma.github.io/Logging_0980/tillsynsmail/A 13939-2021 tillsynsbegäran mail.docx", "A 13939-2021")</f>
        <v/>
      </c>
    </row>
    <row r="168" ht="15" customHeight="1">
      <c r="A168" t="inlineStr">
        <is>
          <t>A 44304-2021</t>
        </is>
      </c>
      <c r="B168" s="1" t="n">
        <v>44434</v>
      </c>
      <c r="C168" s="1" t="n">
        <v>46060</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Svinrot</t>
        </is>
      </c>
      <c r="S168">
        <f>HYPERLINK("https://klasma.github.io/Logging_0980/artfynd/A 44304-2021 artfynd.xlsx", "A 44304-2021")</f>
        <v/>
      </c>
      <c r="T168">
        <f>HYPERLINK("https://klasma.github.io/Logging_0980/kartor/A 44304-2021 karta.png", "A 44304-2021")</f>
        <v/>
      </c>
      <c r="V168">
        <f>HYPERLINK("https://klasma.github.io/Logging_0980/klagomål/A 44304-2021 FSC-klagomål.docx", "A 44304-2021")</f>
        <v/>
      </c>
      <c r="W168">
        <f>HYPERLINK("https://klasma.github.io/Logging_0980/klagomålsmail/A 44304-2021 FSC-klagomål mail.docx", "A 44304-2021")</f>
        <v/>
      </c>
      <c r="X168">
        <f>HYPERLINK("https://klasma.github.io/Logging_0980/tillsyn/A 44304-2021 tillsynsbegäran.docx", "A 44304-2021")</f>
        <v/>
      </c>
      <c r="Y168">
        <f>HYPERLINK("https://klasma.github.io/Logging_0980/tillsynsmail/A 44304-2021 tillsynsbegäran mail.docx", "A 44304-2021")</f>
        <v/>
      </c>
    </row>
    <row r="169" ht="15" customHeight="1">
      <c r="A169" t="inlineStr">
        <is>
          <t>A 447-2023</t>
        </is>
      </c>
      <c r="B169" s="1" t="n">
        <v>44929</v>
      </c>
      <c r="C169" s="1" t="n">
        <v>46060</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34809-2024</t>
        </is>
      </c>
      <c r="B170" s="1" t="n">
        <v>45526</v>
      </c>
      <c r="C170" s="1" t="n">
        <v>46060</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46060</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46060</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46060</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63149-2025</t>
        </is>
      </c>
      <c r="B174" s="1" t="n">
        <v>46010</v>
      </c>
      <c r="C174" s="1" t="n">
        <v>46060</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1477-2024</t>
        </is>
      </c>
      <c r="B175" s="1" t="n">
        <v>45305.37987268518</v>
      </c>
      <c r="C175" s="1" t="n">
        <v>46060</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46060</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46060</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46060</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46060</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46060</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46060</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46060</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46060</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46060</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46060</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46060</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46060</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46060</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19901-2021</t>
        </is>
      </c>
      <c r="B189" s="1" t="n">
        <v>44312</v>
      </c>
      <c r="C189" s="1" t="n">
        <v>46060</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46060</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46060</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46060</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46060</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46060</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46060</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46060</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46060</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46060</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46060</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46060</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46060</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46060</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46060</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46060</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46060</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46060</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46060</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46060</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46060</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46060</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46060</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46060</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46060</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46060</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46060</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46060</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46060</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46060</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46060</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46060</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46060</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46060</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46060</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46060</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46060</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46060</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46060</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46060</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46060</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46060</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46060</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46060</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13498-2022</t>
        </is>
      </c>
      <c r="B233" s="1" t="n">
        <v>44647.78866898148</v>
      </c>
      <c r="C233" s="1" t="n">
        <v>46060</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13500-2022</t>
        </is>
      </c>
      <c r="B234" s="1" t="n">
        <v>44647.79513888889</v>
      </c>
      <c r="C234" s="1" t="n">
        <v>46060</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21507-2021</t>
        </is>
      </c>
      <c r="B235" s="1" t="n">
        <v>44321</v>
      </c>
      <c r="C235" s="1" t="n">
        <v>46060</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57219-2021</t>
        </is>
      </c>
      <c r="B236" s="1" t="n">
        <v>44483</v>
      </c>
      <c r="C236" s="1" t="n">
        <v>46060</v>
      </c>
      <c r="D236" t="inlineStr">
        <is>
          <t>GOTLANDS LÄN</t>
        </is>
      </c>
      <c r="E236" t="inlineStr">
        <is>
          <t>GOTLAND</t>
        </is>
      </c>
      <c r="F236" t="inlineStr">
        <is>
          <t>Kyrkan</t>
        </is>
      </c>
      <c r="G236" t="n">
        <v>4</v>
      </c>
      <c r="H236" t="n">
        <v>0</v>
      </c>
      <c r="I236" t="n">
        <v>0</v>
      </c>
      <c r="J236" t="n">
        <v>0</v>
      </c>
      <c r="K236" t="n">
        <v>0</v>
      </c>
      <c r="L236" t="n">
        <v>0</v>
      </c>
      <c r="M236" t="n">
        <v>0</v>
      </c>
      <c r="N236" t="n">
        <v>0</v>
      </c>
      <c r="O236" t="n">
        <v>0</v>
      </c>
      <c r="P236" t="n">
        <v>0</v>
      </c>
      <c r="Q236" t="n">
        <v>0</v>
      </c>
      <c r="R236" s="2" t="inlineStr"/>
    </row>
    <row r="237" ht="15" customHeight="1">
      <c r="A237" t="inlineStr">
        <is>
          <t>A 17901-2023</t>
        </is>
      </c>
      <c r="B237" s="1" t="n">
        <v>45039</v>
      </c>
      <c r="C237" s="1" t="n">
        <v>46060</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456-2023</t>
        </is>
      </c>
      <c r="B238" s="1" t="n">
        <v>44929.87122685185</v>
      </c>
      <c r="C238" s="1" t="n">
        <v>46060</v>
      </c>
      <c r="D238" t="inlineStr">
        <is>
          <t>GOTLANDS LÄN</t>
        </is>
      </c>
      <c r="E238" t="inlineStr">
        <is>
          <t>GOTLAND</t>
        </is>
      </c>
      <c r="G238" t="n">
        <v>3.2</v>
      </c>
      <c r="H238" t="n">
        <v>0</v>
      </c>
      <c r="I238" t="n">
        <v>0</v>
      </c>
      <c r="J238" t="n">
        <v>0</v>
      </c>
      <c r="K238" t="n">
        <v>0</v>
      </c>
      <c r="L238" t="n">
        <v>0</v>
      </c>
      <c r="M238" t="n">
        <v>0</v>
      </c>
      <c r="N238" t="n">
        <v>0</v>
      </c>
      <c r="O238" t="n">
        <v>0</v>
      </c>
      <c r="P238" t="n">
        <v>0</v>
      </c>
      <c r="Q238" t="n">
        <v>0</v>
      </c>
      <c r="R238" s="2" t="inlineStr"/>
    </row>
    <row r="239" ht="15" customHeight="1">
      <c r="A239" t="inlineStr">
        <is>
          <t>A 58476-2022</t>
        </is>
      </c>
      <c r="B239" s="1" t="n">
        <v>44902</v>
      </c>
      <c r="C239" s="1" t="n">
        <v>46060</v>
      </c>
      <c r="D239" t="inlineStr">
        <is>
          <t>GOTLANDS LÄN</t>
        </is>
      </c>
      <c r="E239" t="inlineStr">
        <is>
          <t>GOTLAND</t>
        </is>
      </c>
      <c r="G239" t="n">
        <v>0.9</v>
      </c>
      <c r="H239" t="n">
        <v>0</v>
      </c>
      <c r="I239" t="n">
        <v>0</v>
      </c>
      <c r="J239" t="n">
        <v>0</v>
      </c>
      <c r="K239" t="n">
        <v>0</v>
      </c>
      <c r="L239" t="n">
        <v>0</v>
      </c>
      <c r="M239" t="n">
        <v>0</v>
      </c>
      <c r="N239" t="n">
        <v>0</v>
      </c>
      <c r="O239" t="n">
        <v>0</v>
      </c>
      <c r="P239" t="n">
        <v>0</v>
      </c>
      <c r="Q239" t="n">
        <v>0</v>
      </c>
      <c r="R239" s="2" t="inlineStr"/>
    </row>
    <row r="240" ht="15" customHeight="1">
      <c r="A240" t="inlineStr">
        <is>
          <t>A 61596-2023</t>
        </is>
      </c>
      <c r="B240" s="1" t="n">
        <v>45265</v>
      </c>
      <c r="C240" s="1" t="n">
        <v>46060</v>
      </c>
      <c r="D240" t="inlineStr">
        <is>
          <t>GOTLANDS LÄN</t>
        </is>
      </c>
      <c r="E240" t="inlineStr">
        <is>
          <t>GOTLAND</t>
        </is>
      </c>
      <c r="G240" t="n">
        <v>1.7</v>
      </c>
      <c r="H240" t="n">
        <v>0</v>
      </c>
      <c r="I240" t="n">
        <v>0</v>
      </c>
      <c r="J240" t="n">
        <v>0</v>
      </c>
      <c r="K240" t="n">
        <v>0</v>
      </c>
      <c r="L240" t="n">
        <v>0</v>
      </c>
      <c r="M240" t="n">
        <v>0</v>
      </c>
      <c r="N240" t="n">
        <v>0</v>
      </c>
      <c r="O240" t="n">
        <v>0</v>
      </c>
      <c r="P240" t="n">
        <v>0</v>
      </c>
      <c r="Q240" t="n">
        <v>0</v>
      </c>
      <c r="R240" s="2" t="inlineStr"/>
    </row>
    <row r="241" ht="15" customHeight="1">
      <c r="A241" t="inlineStr">
        <is>
          <t>A 873-2024</t>
        </is>
      </c>
      <c r="B241" s="1" t="n">
        <v>45301</v>
      </c>
      <c r="C241" s="1" t="n">
        <v>46060</v>
      </c>
      <c r="D241" t="inlineStr">
        <is>
          <t>GOTLANDS LÄN</t>
        </is>
      </c>
      <c r="E241" t="inlineStr">
        <is>
          <t>GOTLAND</t>
        </is>
      </c>
      <c r="G241" t="n">
        <v>2.7</v>
      </c>
      <c r="H241" t="n">
        <v>0</v>
      </c>
      <c r="I241" t="n">
        <v>0</v>
      </c>
      <c r="J241" t="n">
        <v>0</v>
      </c>
      <c r="K241" t="n">
        <v>0</v>
      </c>
      <c r="L241" t="n">
        <v>0</v>
      </c>
      <c r="M241" t="n">
        <v>0</v>
      </c>
      <c r="N241" t="n">
        <v>0</v>
      </c>
      <c r="O241" t="n">
        <v>0</v>
      </c>
      <c r="P241" t="n">
        <v>0</v>
      </c>
      <c r="Q241" t="n">
        <v>0</v>
      </c>
      <c r="R241" s="2" t="inlineStr"/>
    </row>
    <row r="242" ht="15" customHeight="1">
      <c r="A242" t="inlineStr">
        <is>
          <t>A 44228-2022</t>
        </is>
      </c>
      <c r="B242" s="1" t="n">
        <v>44839.51599537037</v>
      </c>
      <c r="C242" s="1" t="n">
        <v>46060</v>
      </c>
      <c r="D242" t="inlineStr">
        <is>
          <t>GOTLANDS LÄN</t>
        </is>
      </c>
      <c r="E242" t="inlineStr">
        <is>
          <t>GOTLAND</t>
        </is>
      </c>
      <c r="G242" t="n">
        <v>2.1</v>
      </c>
      <c r="H242" t="n">
        <v>0</v>
      </c>
      <c r="I242" t="n">
        <v>0</v>
      </c>
      <c r="J242" t="n">
        <v>0</v>
      </c>
      <c r="K242" t="n">
        <v>0</v>
      </c>
      <c r="L242" t="n">
        <v>0</v>
      </c>
      <c r="M242" t="n">
        <v>0</v>
      </c>
      <c r="N242" t="n">
        <v>0</v>
      </c>
      <c r="O242" t="n">
        <v>0</v>
      </c>
      <c r="P242" t="n">
        <v>0</v>
      </c>
      <c r="Q242" t="n">
        <v>0</v>
      </c>
      <c r="R242" s="2" t="inlineStr"/>
    </row>
    <row r="243" ht="15" customHeight="1">
      <c r="A243" t="inlineStr">
        <is>
          <t>A 27593-2023</t>
        </is>
      </c>
      <c r="B243" s="1" t="n">
        <v>45097</v>
      </c>
      <c r="C243" s="1" t="n">
        <v>46060</v>
      </c>
      <c r="D243" t="inlineStr">
        <is>
          <t>GOTLANDS LÄN</t>
        </is>
      </c>
      <c r="E243" t="inlineStr">
        <is>
          <t>GOTLAND</t>
        </is>
      </c>
      <c r="G243" t="n">
        <v>3.1</v>
      </c>
      <c r="H243" t="n">
        <v>0</v>
      </c>
      <c r="I243" t="n">
        <v>0</v>
      </c>
      <c r="J243" t="n">
        <v>0</v>
      </c>
      <c r="K243" t="n">
        <v>0</v>
      </c>
      <c r="L243" t="n">
        <v>0</v>
      </c>
      <c r="M243" t="n">
        <v>0</v>
      </c>
      <c r="N243" t="n">
        <v>0</v>
      </c>
      <c r="O243" t="n">
        <v>0</v>
      </c>
      <c r="P243" t="n">
        <v>0</v>
      </c>
      <c r="Q243" t="n">
        <v>0</v>
      </c>
      <c r="R243" s="2" t="inlineStr"/>
    </row>
    <row r="244" ht="15" customHeight="1">
      <c r="A244" t="inlineStr">
        <is>
          <t>A 63229-2021</t>
        </is>
      </c>
      <c r="B244" s="1" t="n">
        <v>44508.34518518519</v>
      </c>
      <c r="C244" s="1" t="n">
        <v>46060</v>
      </c>
      <c r="D244" t="inlineStr">
        <is>
          <t>GOTLANDS LÄN</t>
        </is>
      </c>
      <c r="E244" t="inlineStr">
        <is>
          <t>GOTLAND</t>
        </is>
      </c>
      <c r="F244" t="inlineStr">
        <is>
          <t>Kyrkan</t>
        </is>
      </c>
      <c r="G244" t="n">
        <v>3.8</v>
      </c>
      <c r="H244" t="n">
        <v>0</v>
      </c>
      <c r="I244" t="n">
        <v>0</v>
      </c>
      <c r="J244" t="n">
        <v>0</v>
      </c>
      <c r="K244" t="n">
        <v>0</v>
      </c>
      <c r="L244" t="n">
        <v>0</v>
      </c>
      <c r="M244" t="n">
        <v>0</v>
      </c>
      <c r="N244" t="n">
        <v>0</v>
      </c>
      <c r="O244" t="n">
        <v>0</v>
      </c>
      <c r="P244" t="n">
        <v>0</v>
      </c>
      <c r="Q244" t="n">
        <v>0</v>
      </c>
      <c r="R244" s="2" t="inlineStr"/>
    </row>
    <row r="245" ht="15" customHeight="1">
      <c r="A245" t="inlineStr">
        <is>
          <t>A 25129-2023</t>
        </is>
      </c>
      <c r="B245" s="1" t="n">
        <v>45086.44261574074</v>
      </c>
      <c r="C245" s="1" t="n">
        <v>46060</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61386-2023</t>
        </is>
      </c>
      <c r="B246" s="1" t="n">
        <v>45264</v>
      </c>
      <c r="C246" s="1" t="n">
        <v>46060</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56009-2024</t>
        </is>
      </c>
      <c r="B247" s="1" t="n">
        <v>45623.80864583333</v>
      </c>
      <c r="C247" s="1" t="n">
        <v>46060</v>
      </c>
      <c r="D247" t="inlineStr">
        <is>
          <t>GOTLANDS LÄN</t>
        </is>
      </c>
      <c r="E247" t="inlineStr">
        <is>
          <t>GOTLAND</t>
        </is>
      </c>
      <c r="G247" t="n">
        <v>2.8</v>
      </c>
      <c r="H247" t="n">
        <v>0</v>
      </c>
      <c r="I247" t="n">
        <v>0</v>
      </c>
      <c r="J247" t="n">
        <v>0</v>
      </c>
      <c r="K247" t="n">
        <v>0</v>
      </c>
      <c r="L247" t="n">
        <v>0</v>
      </c>
      <c r="M247" t="n">
        <v>0</v>
      </c>
      <c r="N247" t="n">
        <v>0</v>
      </c>
      <c r="O247" t="n">
        <v>0</v>
      </c>
      <c r="P247" t="n">
        <v>0</v>
      </c>
      <c r="Q247" t="n">
        <v>0</v>
      </c>
      <c r="R247" s="2" t="inlineStr"/>
    </row>
    <row r="248" ht="15" customHeight="1">
      <c r="A248" t="inlineStr">
        <is>
          <t>A 45106-2024</t>
        </is>
      </c>
      <c r="B248" s="1" t="n">
        <v>45575</v>
      </c>
      <c r="C248" s="1" t="n">
        <v>46060</v>
      </c>
      <c r="D248" t="inlineStr">
        <is>
          <t>GOTLANDS LÄN</t>
        </is>
      </c>
      <c r="E248" t="inlineStr">
        <is>
          <t>GOTLAND</t>
        </is>
      </c>
      <c r="G248" t="n">
        <v>10</v>
      </c>
      <c r="H248" t="n">
        <v>0</v>
      </c>
      <c r="I248" t="n">
        <v>0</v>
      </c>
      <c r="J248" t="n">
        <v>0</v>
      </c>
      <c r="K248" t="n">
        <v>0</v>
      </c>
      <c r="L248" t="n">
        <v>0</v>
      </c>
      <c r="M248" t="n">
        <v>0</v>
      </c>
      <c r="N248" t="n">
        <v>0</v>
      </c>
      <c r="O248" t="n">
        <v>0</v>
      </c>
      <c r="P248" t="n">
        <v>0</v>
      </c>
      <c r="Q248" t="n">
        <v>0</v>
      </c>
      <c r="R248" s="2" t="inlineStr"/>
    </row>
    <row r="249" ht="15" customHeight="1">
      <c r="A249" t="inlineStr">
        <is>
          <t>A 45112-2024</t>
        </is>
      </c>
      <c r="B249" s="1" t="n">
        <v>45575</v>
      </c>
      <c r="C249" s="1" t="n">
        <v>46060</v>
      </c>
      <c r="D249" t="inlineStr">
        <is>
          <t>GOTLANDS LÄN</t>
        </is>
      </c>
      <c r="E249" t="inlineStr">
        <is>
          <t>GOTLAND</t>
        </is>
      </c>
      <c r="G249" t="n">
        <v>5.1</v>
      </c>
      <c r="H249" t="n">
        <v>0</v>
      </c>
      <c r="I249" t="n">
        <v>0</v>
      </c>
      <c r="J249" t="n">
        <v>0</v>
      </c>
      <c r="K249" t="n">
        <v>0</v>
      </c>
      <c r="L249" t="n">
        <v>0</v>
      </c>
      <c r="M249" t="n">
        <v>0</v>
      </c>
      <c r="N249" t="n">
        <v>0</v>
      </c>
      <c r="O249" t="n">
        <v>0</v>
      </c>
      <c r="P249" t="n">
        <v>0</v>
      </c>
      <c r="Q249" t="n">
        <v>0</v>
      </c>
      <c r="R249" s="2" t="inlineStr"/>
    </row>
    <row r="250" ht="15" customHeight="1">
      <c r="A250" t="inlineStr">
        <is>
          <t>A 54073-2022</t>
        </is>
      </c>
      <c r="B250" s="1" t="n">
        <v>44881.50380787037</v>
      </c>
      <c r="C250" s="1" t="n">
        <v>46060</v>
      </c>
      <c r="D250" t="inlineStr">
        <is>
          <t>GOTLANDS LÄN</t>
        </is>
      </c>
      <c r="E250" t="inlineStr">
        <is>
          <t>GOTLAND</t>
        </is>
      </c>
      <c r="G250" t="n">
        <v>3.8</v>
      </c>
      <c r="H250" t="n">
        <v>0</v>
      </c>
      <c r="I250" t="n">
        <v>0</v>
      </c>
      <c r="J250" t="n">
        <v>0</v>
      </c>
      <c r="K250" t="n">
        <v>0</v>
      </c>
      <c r="L250" t="n">
        <v>0</v>
      </c>
      <c r="M250" t="n">
        <v>0</v>
      </c>
      <c r="N250" t="n">
        <v>0</v>
      </c>
      <c r="O250" t="n">
        <v>0</v>
      </c>
      <c r="P250" t="n">
        <v>0</v>
      </c>
      <c r="Q250" t="n">
        <v>0</v>
      </c>
      <c r="R250" s="2" t="inlineStr"/>
    </row>
    <row r="251" ht="15" customHeight="1">
      <c r="A251" t="inlineStr">
        <is>
          <t>A 7026-2023</t>
        </is>
      </c>
      <c r="B251" s="1" t="n">
        <v>44968.30340277778</v>
      </c>
      <c r="C251" s="1" t="n">
        <v>46060</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3964-2024</t>
        </is>
      </c>
      <c r="B252" s="1" t="n">
        <v>45322</v>
      </c>
      <c r="C252" s="1" t="n">
        <v>46060</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49874-2024</t>
        </is>
      </c>
      <c r="B253" s="1" t="n">
        <v>45597.49274305555</v>
      </c>
      <c r="C253" s="1" t="n">
        <v>46060</v>
      </c>
      <c r="D253" t="inlineStr">
        <is>
          <t>GOTLANDS LÄN</t>
        </is>
      </c>
      <c r="E253" t="inlineStr">
        <is>
          <t>GOTLAND</t>
        </is>
      </c>
      <c r="G253" t="n">
        <v>1.1</v>
      </c>
      <c r="H253" t="n">
        <v>0</v>
      </c>
      <c r="I253" t="n">
        <v>0</v>
      </c>
      <c r="J253" t="n">
        <v>0</v>
      </c>
      <c r="K253" t="n">
        <v>0</v>
      </c>
      <c r="L253" t="n">
        <v>0</v>
      </c>
      <c r="M253" t="n">
        <v>0</v>
      </c>
      <c r="N253" t="n">
        <v>0</v>
      </c>
      <c r="O253" t="n">
        <v>0</v>
      </c>
      <c r="P253" t="n">
        <v>0</v>
      </c>
      <c r="Q253" t="n">
        <v>0</v>
      </c>
      <c r="R253" s="2" t="inlineStr"/>
    </row>
    <row r="254" ht="15" customHeight="1">
      <c r="A254" t="inlineStr">
        <is>
          <t>A 52892-2021</t>
        </is>
      </c>
      <c r="B254" s="1" t="n">
        <v>44467.49048611111</v>
      </c>
      <c r="C254" s="1" t="n">
        <v>46060</v>
      </c>
      <c r="D254" t="inlineStr">
        <is>
          <t>GOTLANDS LÄN</t>
        </is>
      </c>
      <c r="E254" t="inlineStr">
        <is>
          <t>GOTLAND</t>
        </is>
      </c>
      <c r="G254" t="n">
        <v>2</v>
      </c>
      <c r="H254" t="n">
        <v>0</v>
      </c>
      <c r="I254" t="n">
        <v>0</v>
      </c>
      <c r="J254" t="n">
        <v>0</v>
      </c>
      <c r="K254" t="n">
        <v>0</v>
      </c>
      <c r="L254" t="n">
        <v>0</v>
      </c>
      <c r="M254" t="n">
        <v>0</v>
      </c>
      <c r="N254" t="n">
        <v>0</v>
      </c>
      <c r="O254" t="n">
        <v>0</v>
      </c>
      <c r="P254" t="n">
        <v>0</v>
      </c>
      <c r="Q254" t="n">
        <v>0</v>
      </c>
      <c r="R254" s="2" t="inlineStr"/>
    </row>
    <row r="255" ht="15" customHeight="1">
      <c r="A255" t="inlineStr">
        <is>
          <t>A 1351-2025</t>
        </is>
      </c>
      <c r="B255" s="1" t="n">
        <v>45667.62246527777</v>
      </c>
      <c r="C255" s="1" t="n">
        <v>46060</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51782-2023</t>
        </is>
      </c>
      <c r="B256" s="1" t="n">
        <v>45222.80952546297</v>
      </c>
      <c r="C256" s="1" t="n">
        <v>46060</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60675-2021</t>
        </is>
      </c>
      <c r="B257" s="1" t="n">
        <v>44496.64855324074</v>
      </c>
      <c r="C257" s="1" t="n">
        <v>46060</v>
      </c>
      <c r="D257" t="inlineStr">
        <is>
          <t>GOTLANDS LÄN</t>
        </is>
      </c>
      <c r="E257" t="inlineStr">
        <is>
          <t>GOTLAND</t>
        </is>
      </c>
      <c r="G257" t="n">
        <v>4.6</v>
      </c>
      <c r="H257" t="n">
        <v>0</v>
      </c>
      <c r="I257" t="n">
        <v>0</v>
      </c>
      <c r="J257" t="n">
        <v>0</v>
      </c>
      <c r="K257" t="n">
        <v>0</v>
      </c>
      <c r="L257" t="n">
        <v>0</v>
      </c>
      <c r="M257" t="n">
        <v>0</v>
      </c>
      <c r="N257" t="n">
        <v>0</v>
      </c>
      <c r="O257" t="n">
        <v>0</v>
      </c>
      <c r="P257" t="n">
        <v>0</v>
      </c>
      <c r="Q257" t="n">
        <v>0</v>
      </c>
      <c r="R257" s="2" t="inlineStr"/>
    </row>
    <row r="258" ht="15" customHeight="1">
      <c r="A258" t="inlineStr">
        <is>
          <t>A 4421-2024</t>
        </is>
      </c>
      <c r="B258" s="1" t="n">
        <v>45327.45173611111</v>
      </c>
      <c r="C258" s="1" t="n">
        <v>46060</v>
      </c>
      <c r="D258" t="inlineStr">
        <is>
          <t>GOTLANDS LÄN</t>
        </is>
      </c>
      <c r="E258" t="inlineStr">
        <is>
          <t>GOTLAND</t>
        </is>
      </c>
      <c r="G258" t="n">
        <v>5.1</v>
      </c>
      <c r="H258" t="n">
        <v>0</v>
      </c>
      <c r="I258" t="n">
        <v>0</v>
      </c>
      <c r="J258" t="n">
        <v>0</v>
      </c>
      <c r="K258" t="n">
        <v>0</v>
      </c>
      <c r="L258" t="n">
        <v>0</v>
      </c>
      <c r="M258" t="n">
        <v>0</v>
      </c>
      <c r="N258" t="n">
        <v>0</v>
      </c>
      <c r="O258" t="n">
        <v>0</v>
      </c>
      <c r="P258" t="n">
        <v>0</v>
      </c>
      <c r="Q258" t="n">
        <v>0</v>
      </c>
      <c r="R258" s="2" t="inlineStr"/>
    </row>
    <row r="259" ht="15" customHeight="1">
      <c r="A259" t="inlineStr">
        <is>
          <t>A 20165-2022</t>
        </is>
      </c>
      <c r="B259" s="1" t="n">
        <v>44698.49854166667</v>
      </c>
      <c r="C259" s="1" t="n">
        <v>46060</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5217-2023</t>
        </is>
      </c>
      <c r="B260" s="1" t="n">
        <v>44959.39582175926</v>
      </c>
      <c r="C260" s="1" t="n">
        <v>46060</v>
      </c>
      <c r="D260" t="inlineStr">
        <is>
          <t>GOTLANDS LÄN</t>
        </is>
      </c>
      <c r="E260" t="inlineStr">
        <is>
          <t>GOTLAND</t>
        </is>
      </c>
      <c r="G260" t="n">
        <v>1.9</v>
      </c>
      <c r="H260" t="n">
        <v>0</v>
      </c>
      <c r="I260" t="n">
        <v>0</v>
      </c>
      <c r="J260" t="n">
        <v>0</v>
      </c>
      <c r="K260" t="n">
        <v>0</v>
      </c>
      <c r="L260" t="n">
        <v>0</v>
      </c>
      <c r="M260" t="n">
        <v>0</v>
      </c>
      <c r="N260" t="n">
        <v>0</v>
      </c>
      <c r="O260" t="n">
        <v>0</v>
      </c>
      <c r="P260" t="n">
        <v>0</v>
      </c>
      <c r="Q260" t="n">
        <v>0</v>
      </c>
      <c r="R260" s="2" t="inlineStr"/>
    </row>
    <row r="261" ht="15" customHeight="1">
      <c r="A261" t="inlineStr">
        <is>
          <t>A 31264-2021</t>
        </is>
      </c>
      <c r="B261" s="1" t="n">
        <v>44368</v>
      </c>
      <c r="C261" s="1" t="n">
        <v>46060</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33876-2024</t>
        </is>
      </c>
      <c r="B262" s="1" t="n">
        <v>45521.87988425926</v>
      </c>
      <c r="C262" s="1" t="n">
        <v>46060</v>
      </c>
      <c r="D262" t="inlineStr">
        <is>
          <t>GOTLANDS LÄN</t>
        </is>
      </c>
      <c r="E262" t="inlineStr">
        <is>
          <t>GOTLAND</t>
        </is>
      </c>
      <c r="G262" t="n">
        <v>1.3</v>
      </c>
      <c r="H262" t="n">
        <v>0</v>
      </c>
      <c r="I262" t="n">
        <v>0</v>
      </c>
      <c r="J262" t="n">
        <v>0</v>
      </c>
      <c r="K262" t="n">
        <v>0</v>
      </c>
      <c r="L262" t="n">
        <v>0</v>
      </c>
      <c r="M262" t="n">
        <v>0</v>
      </c>
      <c r="N262" t="n">
        <v>0</v>
      </c>
      <c r="O262" t="n">
        <v>0</v>
      </c>
      <c r="P262" t="n">
        <v>0</v>
      </c>
      <c r="Q262" t="n">
        <v>0</v>
      </c>
      <c r="R262" s="2" t="inlineStr"/>
    </row>
    <row r="263" ht="15" customHeight="1">
      <c r="A263" t="inlineStr">
        <is>
          <t>A 14638-2025</t>
        </is>
      </c>
      <c r="B263" s="1" t="n">
        <v>45742</v>
      </c>
      <c r="C263" s="1" t="n">
        <v>46060</v>
      </c>
      <c r="D263" t="inlineStr">
        <is>
          <t>GOTLANDS LÄN</t>
        </is>
      </c>
      <c r="E263" t="inlineStr">
        <is>
          <t>GOTLAND</t>
        </is>
      </c>
      <c r="G263" t="n">
        <v>13.4</v>
      </c>
      <c r="H263" t="n">
        <v>0</v>
      </c>
      <c r="I263" t="n">
        <v>0</v>
      </c>
      <c r="J263" t="n">
        <v>0</v>
      </c>
      <c r="K263" t="n">
        <v>0</v>
      </c>
      <c r="L263" t="n">
        <v>0</v>
      </c>
      <c r="M263" t="n">
        <v>0</v>
      </c>
      <c r="N263" t="n">
        <v>0</v>
      </c>
      <c r="O263" t="n">
        <v>0</v>
      </c>
      <c r="P263" t="n">
        <v>0</v>
      </c>
      <c r="Q263" t="n">
        <v>0</v>
      </c>
      <c r="R263" s="2" t="inlineStr"/>
    </row>
    <row r="264" ht="15" customHeight="1">
      <c r="A264" t="inlineStr">
        <is>
          <t>A 61962-2024</t>
        </is>
      </c>
      <c r="B264" s="1" t="n">
        <v>45653.54340277778</v>
      </c>
      <c r="C264" s="1" t="n">
        <v>46060</v>
      </c>
      <c r="D264" t="inlineStr">
        <is>
          <t>GOTLANDS LÄN</t>
        </is>
      </c>
      <c r="E264" t="inlineStr">
        <is>
          <t>GOTLAND</t>
        </is>
      </c>
      <c r="G264" t="n">
        <v>0.7</v>
      </c>
      <c r="H264" t="n">
        <v>0</v>
      </c>
      <c r="I264" t="n">
        <v>0</v>
      </c>
      <c r="J264" t="n">
        <v>0</v>
      </c>
      <c r="K264" t="n">
        <v>0</v>
      </c>
      <c r="L264" t="n">
        <v>0</v>
      </c>
      <c r="M264" t="n">
        <v>0</v>
      </c>
      <c r="N264" t="n">
        <v>0</v>
      </c>
      <c r="O264" t="n">
        <v>0</v>
      </c>
      <c r="P264" t="n">
        <v>0</v>
      </c>
      <c r="Q264" t="n">
        <v>0</v>
      </c>
      <c r="R264" s="2" t="inlineStr"/>
    </row>
    <row r="265" ht="15" customHeight="1">
      <c r="A265" t="inlineStr">
        <is>
          <t>A 43223-2023</t>
        </is>
      </c>
      <c r="B265" s="1" t="n">
        <v>45183.45642361111</v>
      </c>
      <c r="C265" s="1" t="n">
        <v>46060</v>
      </c>
      <c r="D265" t="inlineStr">
        <is>
          <t>GOTLANDS LÄN</t>
        </is>
      </c>
      <c r="E265" t="inlineStr">
        <is>
          <t>GOTLAND</t>
        </is>
      </c>
      <c r="G265" t="n">
        <v>1.8</v>
      </c>
      <c r="H265" t="n">
        <v>0</v>
      </c>
      <c r="I265" t="n">
        <v>0</v>
      </c>
      <c r="J265" t="n">
        <v>0</v>
      </c>
      <c r="K265" t="n">
        <v>0</v>
      </c>
      <c r="L265" t="n">
        <v>0</v>
      </c>
      <c r="M265" t="n">
        <v>0</v>
      </c>
      <c r="N265" t="n">
        <v>0</v>
      </c>
      <c r="O265" t="n">
        <v>0</v>
      </c>
      <c r="P265" t="n">
        <v>0</v>
      </c>
      <c r="Q265" t="n">
        <v>0</v>
      </c>
      <c r="R265" s="2" t="inlineStr"/>
    </row>
    <row r="266" ht="15" customHeight="1">
      <c r="A266" t="inlineStr">
        <is>
          <t>A 27930-2021</t>
        </is>
      </c>
      <c r="B266" s="1" t="n">
        <v>44354</v>
      </c>
      <c r="C266" s="1" t="n">
        <v>46060</v>
      </c>
      <c r="D266" t="inlineStr">
        <is>
          <t>GOTLANDS LÄN</t>
        </is>
      </c>
      <c r="E266" t="inlineStr">
        <is>
          <t>GOTLAND</t>
        </is>
      </c>
      <c r="G266" t="n">
        <v>2.5</v>
      </c>
      <c r="H266" t="n">
        <v>0</v>
      </c>
      <c r="I266" t="n">
        <v>0</v>
      </c>
      <c r="J266" t="n">
        <v>0</v>
      </c>
      <c r="K266" t="n">
        <v>0</v>
      </c>
      <c r="L266" t="n">
        <v>0</v>
      </c>
      <c r="M266" t="n">
        <v>0</v>
      </c>
      <c r="N266" t="n">
        <v>0</v>
      </c>
      <c r="O266" t="n">
        <v>0</v>
      </c>
      <c r="P266" t="n">
        <v>0</v>
      </c>
      <c r="Q266" t="n">
        <v>0</v>
      </c>
      <c r="R266" s="2" t="inlineStr"/>
    </row>
    <row r="267" ht="15" customHeight="1">
      <c r="A267" t="inlineStr">
        <is>
          <t>A 59469-2024</t>
        </is>
      </c>
      <c r="B267" s="1" t="n">
        <v>45638</v>
      </c>
      <c r="C267" s="1" t="n">
        <v>46060</v>
      </c>
      <c r="D267" t="inlineStr">
        <is>
          <t>GOTLANDS LÄN</t>
        </is>
      </c>
      <c r="E267" t="inlineStr">
        <is>
          <t>GOTLAND</t>
        </is>
      </c>
      <c r="G267" t="n">
        <v>0.4</v>
      </c>
      <c r="H267" t="n">
        <v>0</v>
      </c>
      <c r="I267" t="n">
        <v>0</v>
      </c>
      <c r="J267" t="n">
        <v>0</v>
      </c>
      <c r="K267" t="n">
        <v>0</v>
      </c>
      <c r="L267" t="n">
        <v>0</v>
      </c>
      <c r="M267" t="n">
        <v>0</v>
      </c>
      <c r="N267" t="n">
        <v>0</v>
      </c>
      <c r="O267" t="n">
        <v>0</v>
      </c>
      <c r="P267" t="n">
        <v>0</v>
      </c>
      <c r="Q267" t="n">
        <v>0</v>
      </c>
      <c r="R267" s="2" t="inlineStr"/>
    </row>
    <row r="268" ht="15" customHeight="1">
      <c r="A268" t="inlineStr">
        <is>
          <t>A 5462-2025</t>
        </is>
      </c>
      <c r="B268" s="1" t="n">
        <v>45693.29331018519</v>
      </c>
      <c r="C268" s="1" t="n">
        <v>46060</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5751-2024</t>
        </is>
      </c>
      <c r="B269" s="1" t="n">
        <v>45335.32702546296</v>
      </c>
      <c r="C269" s="1" t="n">
        <v>46060</v>
      </c>
      <c r="D269" t="inlineStr">
        <is>
          <t>GOTLANDS LÄN</t>
        </is>
      </c>
      <c r="E269" t="inlineStr">
        <is>
          <t>GOTLAND</t>
        </is>
      </c>
      <c r="G269" t="n">
        <v>4.2</v>
      </c>
      <c r="H269" t="n">
        <v>0</v>
      </c>
      <c r="I269" t="n">
        <v>0</v>
      </c>
      <c r="J269" t="n">
        <v>0</v>
      </c>
      <c r="K269" t="n">
        <v>0</v>
      </c>
      <c r="L269" t="n">
        <v>0</v>
      </c>
      <c r="M269" t="n">
        <v>0</v>
      </c>
      <c r="N269" t="n">
        <v>0</v>
      </c>
      <c r="O269" t="n">
        <v>0</v>
      </c>
      <c r="P269" t="n">
        <v>0</v>
      </c>
      <c r="Q269" t="n">
        <v>0</v>
      </c>
      <c r="R269" s="2" t="inlineStr"/>
    </row>
    <row r="270" ht="15" customHeight="1">
      <c r="A270" t="inlineStr">
        <is>
          <t>A 6696-2023</t>
        </is>
      </c>
      <c r="B270" s="1" t="n">
        <v>44966.66425925926</v>
      </c>
      <c r="C270" s="1" t="n">
        <v>46060</v>
      </c>
      <c r="D270" t="inlineStr">
        <is>
          <t>GOTLANDS LÄN</t>
        </is>
      </c>
      <c r="E270" t="inlineStr">
        <is>
          <t>GOTLAND</t>
        </is>
      </c>
      <c r="G270" t="n">
        <v>1.5</v>
      </c>
      <c r="H270" t="n">
        <v>0</v>
      </c>
      <c r="I270" t="n">
        <v>0</v>
      </c>
      <c r="J270" t="n">
        <v>0</v>
      </c>
      <c r="K270" t="n">
        <v>0</v>
      </c>
      <c r="L270" t="n">
        <v>0</v>
      </c>
      <c r="M270" t="n">
        <v>0</v>
      </c>
      <c r="N270" t="n">
        <v>0</v>
      </c>
      <c r="O270" t="n">
        <v>0</v>
      </c>
      <c r="P270" t="n">
        <v>0</v>
      </c>
      <c r="Q270" t="n">
        <v>0</v>
      </c>
      <c r="R270" s="2" t="inlineStr"/>
    </row>
    <row r="271" ht="15" customHeight="1">
      <c r="A271" t="inlineStr">
        <is>
          <t>A 28480-2023</t>
        </is>
      </c>
      <c r="B271" s="1" t="n">
        <v>45103</v>
      </c>
      <c r="C271" s="1" t="n">
        <v>46060</v>
      </c>
      <c r="D271" t="inlineStr">
        <is>
          <t>GOTLANDS LÄN</t>
        </is>
      </c>
      <c r="E271" t="inlineStr">
        <is>
          <t>GOTLAND</t>
        </is>
      </c>
      <c r="G271" t="n">
        <v>5.7</v>
      </c>
      <c r="H271" t="n">
        <v>0</v>
      </c>
      <c r="I271" t="n">
        <v>0</v>
      </c>
      <c r="J271" t="n">
        <v>0</v>
      </c>
      <c r="K271" t="n">
        <v>0</v>
      </c>
      <c r="L271" t="n">
        <v>0</v>
      </c>
      <c r="M271" t="n">
        <v>0</v>
      </c>
      <c r="N271" t="n">
        <v>0</v>
      </c>
      <c r="O271" t="n">
        <v>0</v>
      </c>
      <c r="P271" t="n">
        <v>0</v>
      </c>
      <c r="Q271" t="n">
        <v>0</v>
      </c>
      <c r="R271" s="2" t="inlineStr"/>
    </row>
    <row r="272" ht="15" customHeight="1">
      <c r="A272" t="inlineStr">
        <is>
          <t>A 28485-2023</t>
        </is>
      </c>
      <c r="B272" s="1" t="n">
        <v>45103.43731481482</v>
      </c>
      <c r="C272" s="1" t="n">
        <v>46060</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4990-2025</t>
        </is>
      </c>
      <c r="B273" s="1" t="n">
        <v>45691</v>
      </c>
      <c r="C273" s="1" t="n">
        <v>46060</v>
      </c>
      <c r="D273" t="inlineStr">
        <is>
          <t>GOTLANDS LÄN</t>
        </is>
      </c>
      <c r="E273" t="inlineStr">
        <is>
          <t>GOTLAND</t>
        </is>
      </c>
      <c r="G273" t="n">
        <v>7.7</v>
      </c>
      <c r="H273" t="n">
        <v>0</v>
      </c>
      <c r="I273" t="n">
        <v>0</v>
      </c>
      <c r="J273" t="n">
        <v>0</v>
      </c>
      <c r="K273" t="n">
        <v>0</v>
      </c>
      <c r="L273" t="n">
        <v>0</v>
      </c>
      <c r="M273" t="n">
        <v>0</v>
      </c>
      <c r="N273" t="n">
        <v>0</v>
      </c>
      <c r="O273" t="n">
        <v>0</v>
      </c>
      <c r="P273" t="n">
        <v>0</v>
      </c>
      <c r="Q273" t="n">
        <v>0</v>
      </c>
      <c r="R273" s="2" t="inlineStr"/>
    </row>
    <row r="274" ht="15" customHeight="1">
      <c r="A274" t="inlineStr">
        <is>
          <t>A 38165-2023</t>
        </is>
      </c>
      <c r="B274" s="1" t="n">
        <v>45161</v>
      </c>
      <c r="C274" s="1" t="n">
        <v>46060</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20356-2022</t>
        </is>
      </c>
      <c r="B275" s="1" t="n">
        <v>44699</v>
      </c>
      <c r="C275" s="1" t="n">
        <v>46060</v>
      </c>
      <c r="D275" t="inlineStr">
        <is>
          <t>GOTLANDS LÄN</t>
        </is>
      </c>
      <c r="E275" t="inlineStr">
        <is>
          <t>GOTLAND</t>
        </is>
      </c>
      <c r="F275" t="inlineStr">
        <is>
          <t>Övriga Aktiebolag</t>
        </is>
      </c>
      <c r="G275" t="n">
        <v>4.4</v>
      </c>
      <c r="H275" t="n">
        <v>0</v>
      </c>
      <c r="I275" t="n">
        <v>0</v>
      </c>
      <c r="J275" t="n">
        <v>0</v>
      </c>
      <c r="K275" t="n">
        <v>0</v>
      </c>
      <c r="L275" t="n">
        <v>0</v>
      </c>
      <c r="M275" t="n">
        <v>0</v>
      </c>
      <c r="N275" t="n">
        <v>0</v>
      </c>
      <c r="O275" t="n">
        <v>0</v>
      </c>
      <c r="P275" t="n">
        <v>0</v>
      </c>
      <c r="Q275" t="n">
        <v>0</v>
      </c>
      <c r="R275" s="2" t="inlineStr"/>
    </row>
    <row r="276" ht="15" customHeight="1">
      <c r="A276" t="inlineStr">
        <is>
          <t>A 35142-2025</t>
        </is>
      </c>
      <c r="B276" s="1" t="n">
        <v>45852.65532407408</v>
      </c>
      <c r="C276" s="1" t="n">
        <v>46060</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49693-2023</t>
        </is>
      </c>
      <c r="B277" s="1" t="n">
        <v>45212.38138888889</v>
      </c>
      <c r="C277" s="1" t="n">
        <v>46060</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49697-2023</t>
        </is>
      </c>
      <c r="B278" s="1" t="n">
        <v>45212.38909722222</v>
      </c>
      <c r="C278" s="1" t="n">
        <v>46060</v>
      </c>
      <c r="D278" t="inlineStr">
        <is>
          <t>GOTLANDS LÄN</t>
        </is>
      </c>
      <c r="E278" t="inlineStr">
        <is>
          <t>GOTLAND</t>
        </is>
      </c>
      <c r="G278" t="n">
        <v>4.4</v>
      </c>
      <c r="H278" t="n">
        <v>0</v>
      </c>
      <c r="I278" t="n">
        <v>0</v>
      </c>
      <c r="J278" t="n">
        <v>0</v>
      </c>
      <c r="K278" t="n">
        <v>0</v>
      </c>
      <c r="L278" t="n">
        <v>0</v>
      </c>
      <c r="M278" t="n">
        <v>0</v>
      </c>
      <c r="N278" t="n">
        <v>0</v>
      </c>
      <c r="O278" t="n">
        <v>0</v>
      </c>
      <c r="P278" t="n">
        <v>0</v>
      </c>
      <c r="Q278" t="n">
        <v>0</v>
      </c>
      <c r="R278" s="2" t="inlineStr"/>
    </row>
    <row r="279" ht="15" customHeight="1">
      <c r="A279" t="inlineStr">
        <is>
          <t>A 34312-2024</t>
        </is>
      </c>
      <c r="B279" s="1" t="n">
        <v>45524.69703703704</v>
      </c>
      <c r="C279" s="1" t="n">
        <v>46060</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25796-2025</t>
        </is>
      </c>
      <c r="B280" s="1" t="n">
        <v>45804.39543981481</v>
      </c>
      <c r="C280" s="1" t="n">
        <v>46060</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35141-2025</t>
        </is>
      </c>
      <c r="B281" s="1" t="n">
        <v>45852.65206018519</v>
      </c>
      <c r="C281" s="1" t="n">
        <v>46060</v>
      </c>
      <c r="D281" t="inlineStr">
        <is>
          <t>GOTLANDS LÄN</t>
        </is>
      </c>
      <c r="E281" t="inlineStr">
        <is>
          <t>GOTLAND</t>
        </is>
      </c>
      <c r="G281" t="n">
        <v>1</v>
      </c>
      <c r="H281" t="n">
        <v>0</v>
      </c>
      <c r="I281" t="n">
        <v>0</v>
      </c>
      <c r="J281" t="n">
        <v>0</v>
      </c>
      <c r="K281" t="n">
        <v>0</v>
      </c>
      <c r="L281" t="n">
        <v>0</v>
      </c>
      <c r="M281" t="n">
        <v>0</v>
      </c>
      <c r="N281" t="n">
        <v>0</v>
      </c>
      <c r="O281" t="n">
        <v>0</v>
      </c>
      <c r="P281" t="n">
        <v>0</v>
      </c>
      <c r="Q281" t="n">
        <v>0</v>
      </c>
      <c r="R281" s="2" t="inlineStr"/>
    </row>
    <row r="282" ht="15" customHeight="1">
      <c r="A282" t="inlineStr">
        <is>
          <t>A 48503-2023</t>
        </is>
      </c>
      <c r="B282" s="1" t="n">
        <v>45207</v>
      </c>
      <c r="C282" s="1" t="n">
        <v>46060</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26465-2025</t>
        </is>
      </c>
      <c r="B283" s="1" t="n">
        <v>45807.44377314814</v>
      </c>
      <c r="C283" s="1" t="n">
        <v>46060</v>
      </c>
      <c r="D283" t="inlineStr">
        <is>
          <t>GOTLANDS LÄN</t>
        </is>
      </c>
      <c r="E283" t="inlineStr">
        <is>
          <t>GOTLAND</t>
        </is>
      </c>
      <c r="G283" t="n">
        <v>4.5</v>
      </c>
      <c r="H283" t="n">
        <v>0</v>
      </c>
      <c r="I283" t="n">
        <v>0</v>
      </c>
      <c r="J283" t="n">
        <v>0</v>
      </c>
      <c r="K283" t="n">
        <v>0</v>
      </c>
      <c r="L283" t="n">
        <v>0</v>
      </c>
      <c r="M283" t="n">
        <v>0</v>
      </c>
      <c r="N283" t="n">
        <v>0</v>
      </c>
      <c r="O283" t="n">
        <v>0</v>
      </c>
      <c r="P283" t="n">
        <v>0</v>
      </c>
      <c r="Q283" t="n">
        <v>0</v>
      </c>
      <c r="R283" s="2" t="inlineStr"/>
    </row>
    <row r="284" ht="15" customHeight="1">
      <c r="A284" t="inlineStr">
        <is>
          <t>A 26457-2025</t>
        </is>
      </c>
      <c r="B284" s="1" t="n">
        <v>45807.42773148148</v>
      </c>
      <c r="C284" s="1" t="n">
        <v>46060</v>
      </c>
      <c r="D284" t="inlineStr">
        <is>
          <t>GOTLANDS LÄN</t>
        </is>
      </c>
      <c r="E284" t="inlineStr">
        <is>
          <t>GOTLAND</t>
        </is>
      </c>
      <c r="G284" t="n">
        <v>5.7</v>
      </c>
      <c r="H284" t="n">
        <v>0</v>
      </c>
      <c r="I284" t="n">
        <v>0</v>
      </c>
      <c r="J284" t="n">
        <v>0</v>
      </c>
      <c r="K284" t="n">
        <v>0</v>
      </c>
      <c r="L284" t="n">
        <v>0</v>
      </c>
      <c r="M284" t="n">
        <v>0</v>
      </c>
      <c r="N284" t="n">
        <v>0</v>
      </c>
      <c r="O284" t="n">
        <v>0</v>
      </c>
      <c r="P284" t="n">
        <v>0</v>
      </c>
      <c r="Q284" t="n">
        <v>0</v>
      </c>
      <c r="R284" s="2" t="inlineStr"/>
    </row>
    <row r="285" ht="15" customHeight="1">
      <c r="A285" t="inlineStr">
        <is>
          <t>A 26467-2025</t>
        </is>
      </c>
      <c r="B285" s="1" t="n">
        <v>45807.44640046296</v>
      </c>
      <c r="C285" s="1" t="n">
        <v>46060</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24825-2024</t>
        </is>
      </c>
      <c r="B286" s="1" t="n">
        <v>45461</v>
      </c>
      <c r="C286" s="1" t="n">
        <v>46060</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26660-2025</t>
        </is>
      </c>
      <c r="B287" s="1" t="n">
        <v>45810.39737268518</v>
      </c>
      <c r="C287" s="1" t="n">
        <v>46060</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22031-2024</t>
        </is>
      </c>
      <c r="B288" s="1" t="n">
        <v>45443.60075231481</v>
      </c>
      <c r="C288" s="1" t="n">
        <v>46060</v>
      </c>
      <c r="D288" t="inlineStr">
        <is>
          <t>GOTLANDS LÄN</t>
        </is>
      </c>
      <c r="E288" t="inlineStr">
        <is>
          <t>GOTLAND</t>
        </is>
      </c>
      <c r="G288" t="n">
        <v>2.3</v>
      </c>
      <c r="H288" t="n">
        <v>0</v>
      </c>
      <c r="I288" t="n">
        <v>0</v>
      </c>
      <c r="J288" t="n">
        <v>0</v>
      </c>
      <c r="K288" t="n">
        <v>0</v>
      </c>
      <c r="L288" t="n">
        <v>0</v>
      </c>
      <c r="M288" t="n">
        <v>0</v>
      </c>
      <c r="N288" t="n">
        <v>0</v>
      </c>
      <c r="O288" t="n">
        <v>0</v>
      </c>
      <c r="P288" t="n">
        <v>0</v>
      </c>
      <c r="Q288" t="n">
        <v>0</v>
      </c>
      <c r="R288" s="2" t="inlineStr"/>
    </row>
    <row r="289" ht="15" customHeight="1">
      <c r="A289" t="inlineStr">
        <is>
          <t>A 17688-2024</t>
        </is>
      </c>
      <c r="B289" s="1" t="n">
        <v>45418.43575231481</v>
      </c>
      <c r="C289" s="1" t="n">
        <v>46060</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39849-2025</t>
        </is>
      </c>
      <c r="B290" s="1" t="n">
        <v>45891.58502314815</v>
      </c>
      <c r="C290" s="1" t="n">
        <v>46060</v>
      </c>
      <c r="D290" t="inlineStr">
        <is>
          <t>GOTLANDS LÄN</t>
        </is>
      </c>
      <c r="E290" t="inlineStr">
        <is>
          <t>GOTLAND</t>
        </is>
      </c>
      <c r="G290" t="n">
        <v>6.1</v>
      </c>
      <c r="H290" t="n">
        <v>0</v>
      </c>
      <c r="I290" t="n">
        <v>0</v>
      </c>
      <c r="J290" t="n">
        <v>0</v>
      </c>
      <c r="K290" t="n">
        <v>0</v>
      </c>
      <c r="L290" t="n">
        <v>0</v>
      </c>
      <c r="M290" t="n">
        <v>0</v>
      </c>
      <c r="N290" t="n">
        <v>0</v>
      </c>
      <c r="O290" t="n">
        <v>0</v>
      </c>
      <c r="P290" t="n">
        <v>0</v>
      </c>
      <c r="Q290" t="n">
        <v>0</v>
      </c>
      <c r="R290" s="2" t="inlineStr"/>
    </row>
    <row r="291" ht="15" customHeight="1">
      <c r="A291" t="inlineStr">
        <is>
          <t>A 27355-2025</t>
        </is>
      </c>
      <c r="B291" s="1" t="n">
        <v>45812</v>
      </c>
      <c r="C291" s="1" t="n">
        <v>46060</v>
      </c>
      <c r="D291" t="inlineStr">
        <is>
          <t>GOTLANDS LÄN</t>
        </is>
      </c>
      <c r="E291" t="inlineStr">
        <is>
          <t>GOTLAND</t>
        </is>
      </c>
      <c r="G291" t="n">
        <v>1.1</v>
      </c>
      <c r="H291" t="n">
        <v>0</v>
      </c>
      <c r="I291" t="n">
        <v>0</v>
      </c>
      <c r="J291" t="n">
        <v>0</v>
      </c>
      <c r="K291" t="n">
        <v>0</v>
      </c>
      <c r="L291" t="n">
        <v>0</v>
      </c>
      <c r="M291" t="n">
        <v>0</v>
      </c>
      <c r="N291" t="n">
        <v>0</v>
      </c>
      <c r="O291" t="n">
        <v>0</v>
      </c>
      <c r="P291" t="n">
        <v>0</v>
      </c>
      <c r="Q291" t="n">
        <v>0</v>
      </c>
      <c r="R291" s="2" t="inlineStr"/>
    </row>
    <row r="292" ht="15" customHeight="1">
      <c r="A292" t="inlineStr">
        <is>
          <t>A 39814-2025</t>
        </is>
      </c>
      <c r="B292" s="1" t="n">
        <v>45891.52694444444</v>
      </c>
      <c r="C292" s="1" t="n">
        <v>46060</v>
      </c>
      <c r="D292" t="inlineStr">
        <is>
          <t>GOTLANDS LÄN</t>
        </is>
      </c>
      <c r="E292" t="inlineStr">
        <is>
          <t>GOTLAND</t>
        </is>
      </c>
      <c r="G292" t="n">
        <v>4.5</v>
      </c>
      <c r="H292" t="n">
        <v>0</v>
      </c>
      <c r="I292" t="n">
        <v>0</v>
      </c>
      <c r="J292" t="n">
        <v>0</v>
      </c>
      <c r="K292" t="n">
        <v>0</v>
      </c>
      <c r="L292" t="n">
        <v>0</v>
      </c>
      <c r="M292" t="n">
        <v>0</v>
      </c>
      <c r="N292" t="n">
        <v>0</v>
      </c>
      <c r="O292" t="n">
        <v>0</v>
      </c>
      <c r="P292" t="n">
        <v>0</v>
      </c>
      <c r="Q292" t="n">
        <v>0</v>
      </c>
      <c r="R292" s="2" t="inlineStr"/>
    </row>
    <row r="293" ht="15" customHeight="1">
      <c r="A293" t="inlineStr">
        <is>
          <t>A 27371-2025</t>
        </is>
      </c>
      <c r="B293" s="1" t="n">
        <v>45812</v>
      </c>
      <c r="C293" s="1" t="n">
        <v>46060</v>
      </c>
      <c r="D293" t="inlineStr">
        <is>
          <t>GOTLANDS LÄN</t>
        </is>
      </c>
      <c r="E293" t="inlineStr">
        <is>
          <t>GOTLAND</t>
        </is>
      </c>
      <c r="G293" t="n">
        <v>8</v>
      </c>
      <c r="H293" t="n">
        <v>0</v>
      </c>
      <c r="I293" t="n">
        <v>0</v>
      </c>
      <c r="J293" t="n">
        <v>0</v>
      </c>
      <c r="K293" t="n">
        <v>0</v>
      </c>
      <c r="L293" t="n">
        <v>0</v>
      </c>
      <c r="M293" t="n">
        <v>0</v>
      </c>
      <c r="N293" t="n">
        <v>0</v>
      </c>
      <c r="O293" t="n">
        <v>0</v>
      </c>
      <c r="P293" t="n">
        <v>0</v>
      </c>
      <c r="Q293" t="n">
        <v>0</v>
      </c>
      <c r="R293" s="2" t="inlineStr"/>
    </row>
    <row r="294" ht="15" customHeight="1">
      <c r="A294" t="inlineStr">
        <is>
          <t>A 39819-2025</t>
        </is>
      </c>
      <c r="B294" s="1" t="n">
        <v>45891.53418981482</v>
      </c>
      <c r="C294" s="1" t="n">
        <v>46060</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39752-2025</t>
        </is>
      </c>
      <c r="B295" s="1" t="n">
        <v>45891</v>
      </c>
      <c r="C295" s="1" t="n">
        <v>46060</v>
      </c>
      <c r="D295" t="inlineStr">
        <is>
          <t>GOTLANDS LÄN</t>
        </is>
      </c>
      <c r="E295" t="inlineStr">
        <is>
          <t>GOTLAND</t>
        </is>
      </c>
      <c r="G295" t="n">
        <v>5.3</v>
      </c>
      <c r="H295" t="n">
        <v>0</v>
      </c>
      <c r="I295" t="n">
        <v>0</v>
      </c>
      <c r="J295" t="n">
        <v>0</v>
      </c>
      <c r="K295" t="n">
        <v>0</v>
      </c>
      <c r="L295" t="n">
        <v>0</v>
      </c>
      <c r="M295" t="n">
        <v>0</v>
      </c>
      <c r="N295" t="n">
        <v>0</v>
      </c>
      <c r="O295" t="n">
        <v>0</v>
      </c>
      <c r="P295" t="n">
        <v>0</v>
      </c>
      <c r="Q295" t="n">
        <v>0</v>
      </c>
      <c r="R295" s="2" t="inlineStr"/>
    </row>
    <row r="296" ht="15" customHeight="1">
      <c r="A296" t="inlineStr">
        <is>
          <t>A 39816-2025</t>
        </is>
      </c>
      <c r="B296" s="1" t="n">
        <v>45891</v>
      </c>
      <c r="C296" s="1" t="n">
        <v>46060</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40372-2025</t>
        </is>
      </c>
      <c r="B297" s="1" t="n">
        <v>45895.5162037037</v>
      </c>
      <c r="C297" s="1" t="n">
        <v>46060</v>
      </c>
      <c r="D297" t="inlineStr">
        <is>
          <t>GOTLANDS LÄN</t>
        </is>
      </c>
      <c r="E297" t="inlineStr">
        <is>
          <t>GOTLAND</t>
        </is>
      </c>
      <c r="G297" t="n">
        <v>3.3</v>
      </c>
      <c r="H297" t="n">
        <v>0</v>
      </c>
      <c r="I297" t="n">
        <v>0</v>
      </c>
      <c r="J297" t="n">
        <v>0</v>
      </c>
      <c r="K297" t="n">
        <v>0</v>
      </c>
      <c r="L297" t="n">
        <v>0</v>
      </c>
      <c r="M297" t="n">
        <v>0</v>
      </c>
      <c r="N297" t="n">
        <v>0</v>
      </c>
      <c r="O297" t="n">
        <v>0</v>
      </c>
      <c r="P297" t="n">
        <v>0</v>
      </c>
      <c r="Q297" t="n">
        <v>0</v>
      </c>
      <c r="R297" s="2" t="inlineStr"/>
    </row>
    <row r="298" ht="15" customHeight="1">
      <c r="A298" t="inlineStr">
        <is>
          <t>A 27694-2024</t>
        </is>
      </c>
      <c r="B298" s="1" t="n">
        <v>45475</v>
      </c>
      <c r="C298" s="1" t="n">
        <v>46060</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46060</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39764-2022</t>
        </is>
      </c>
      <c r="B300" s="1" t="n">
        <v>44819</v>
      </c>
      <c r="C300" s="1" t="n">
        <v>46060</v>
      </c>
      <c r="D300" t="inlineStr">
        <is>
          <t>GOTLANDS LÄN</t>
        </is>
      </c>
      <c r="E300" t="inlineStr">
        <is>
          <t>GOTLAND</t>
        </is>
      </c>
      <c r="F300" t="inlineStr">
        <is>
          <t>Kyrkan</t>
        </is>
      </c>
      <c r="G300" t="n">
        <v>3.7</v>
      </c>
      <c r="H300" t="n">
        <v>0</v>
      </c>
      <c r="I300" t="n">
        <v>0</v>
      </c>
      <c r="J300" t="n">
        <v>0</v>
      </c>
      <c r="K300" t="n">
        <v>0</v>
      </c>
      <c r="L300" t="n">
        <v>0</v>
      </c>
      <c r="M300" t="n">
        <v>0</v>
      </c>
      <c r="N300" t="n">
        <v>0</v>
      </c>
      <c r="O300" t="n">
        <v>0</v>
      </c>
      <c r="P300" t="n">
        <v>0</v>
      </c>
      <c r="Q300" t="n">
        <v>0</v>
      </c>
      <c r="R300" s="2" t="inlineStr"/>
    </row>
    <row r="301" ht="15" customHeight="1">
      <c r="A301" t="inlineStr">
        <is>
          <t>A 6099-2024</t>
        </is>
      </c>
      <c r="B301" s="1" t="n">
        <v>45337</v>
      </c>
      <c r="C301" s="1" t="n">
        <v>46060</v>
      </c>
      <c r="D301" t="inlineStr">
        <is>
          <t>GOTLANDS LÄN</t>
        </is>
      </c>
      <c r="E301" t="inlineStr">
        <is>
          <t>GOTLAND</t>
        </is>
      </c>
      <c r="G301" t="n">
        <v>12.6</v>
      </c>
      <c r="H301" t="n">
        <v>0</v>
      </c>
      <c r="I301" t="n">
        <v>0</v>
      </c>
      <c r="J301" t="n">
        <v>0</v>
      </c>
      <c r="K301" t="n">
        <v>0</v>
      </c>
      <c r="L301" t="n">
        <v>0</v>
      </c>
      <c r="M301" t="n">
        <v>0</v>
      </c>
      <c r="N301" t="n">
        <v>0</v>
      </c>
      <c r="O301" t="n">
        <v>0</v>
      </c>
      <c r="P301" t="n">
        <v>0</v>
      </c>
      <c r="Q301" t="n">
        <v>0</v>
      </c>
      <c r="R301" s="2" t="inlineStr"/>
    </row>
    <row r="302" ht="15" customHeight="1">
      <c r="A302" t="inlineStr">
        <is>
          <t>A 8260-2023</t>
        </is>
      </c>
      <c r="B302" s="1" t="n">
        <v>44974.61608796296</v>
      </c>
      <c r="C302" s="1" t="n">
        <v>46060</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7850-2025</t>
        </is>
      </c>
      <c r="B303" s="1" t="n">
        <v>45706</v>
      </c>
      <c r="C303" s="1" t="n">
        <v>46060</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40103-2025</t>
        </is>
      </c>
      <c r="B304" s="1" t="n">
        <v>45894.4880324074</v>
      </c>
      <c r="C304" s="1" t="n">
        <v>46060</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6739-2025</t>
        </is>
      </c>
      <c r="B305" s="1" t="n">
        <v>45700</v>
      </c>
      <c r="C305" s="1" t="n">
        <v>46060</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22287-2022</t>
        </is>
      </c>
      <c r="B306" s="1" t="n">
        <v>44712</v>
      </c>
      <c r="C306" s="1" t="n">
        <v>46060</v>
      </c>
      <c r="D306" t="inlineStr">
        <is>
          <t>GOTLANDS LÄN</t>
        </is>
      </c>
      <c r="E306" t="inlineStr">
        <is>
          <t>GOTLAND</t>
        </is>
      </c>
      <c r="G306" t="n">
        <v>6.1</v>
      </c>
      <c r="H306" t="n">
        <v>0</v>
      </c>
      <c r="I306" t="n">
        <v>0</v>
      </c>
      <c r="J306" t="n">
        <v>0</v>
      </c>
      <c r="K306" t="n">
        <v>0</v>
      </c>
      <c r="L306" t="n">
        <v>0</v>
      </c>
      <c r="M306" t="n">
        <v>0</v>
      </c>
      <c r="N306" t="n">
        <v>0</v>
      </c>
      <c r="O306" t="n">
        <v>0</v>
      </c>
      <c r="P306" t="n">
        <v>0</v>
      </c>
      <c r="Q306" t="n">
        <v>0</v>
      </c>
      <c r="R306" s="2" t="inlineStr"/>
    </row>
    <row r="307" ht="15" customHeight="1">
      <c r="A307" t="inlineStr">
        <is>
          <t>A 40499-2025</t>
        </is>
      </c>
      <c r="B307" s="1" t="n">
        <v>45896.32517361111</v>
      </c>
      <c r="C307" s="1" t="n">
        <v>46060</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57534-2022</t>
        </is>
      </c>
      <c r="B308" s="1" t="n">
        <v>44896</v>
      </c>
      <c r="C308" s="1" t="n">
        <v>46060</v>
      </c>
      <c r="D308" t="inlineStr">
        <is>
          <t>GOTLANDS LÄN</t>
        </is>
      </c>
      <c r="E308" t="inlineStr">
        <is>
          <t>GOTLAND</t>
        </is>
      </c>
      <c r="G308" t="n">
        <v>0.6</v>
      </c>
      <c r="H308" t="n">
        <v>0</v>
      </c>
      <c r="I308" t="n">
        <v>0</v>
      </c>
      <c r="J308" t="n">
        <v>0</v>
      </c>
      <c r="K308" t="n">
        <v>0</v>
      </c>
      <c r="L308" t="n">
        <v>0</v>
      </c>
      <c r="M308" t="n">
        <v>0</v>
      </c>
      <c r="N308" t="n">
        <v>0</v>
      </c>
      <c r="O308" t="n">
        <v>0</v>
      </c>
      <c r="P308" t="n">
        <v>0</v>
      </c>
      <c r="Q308" t="n">
        <v>0</v>
      </c>
      <c r="R308" s="2" t="inlineStr"/>
    </row>
    <row r="309" ht="15" customHeight="1">
      <c r="A309" t="inlineStr">
        <is>
          <t>A 41551-2025</t>
        </is>
      </c>
      <c r="B309" s="1" t="n">
        <v>45901.58854166666</v>
      </c>
      <c r="C309" s="1" t="n">
        <v>46060</v>
      </c>
      <c r="D309" t="inlineStr">
        <is>
          <t>GOTLANDS LÄN</t>
        </is>
      </c>
      <c r="E309" t="inlineStr">
        <is>
          <t>GOTLAND</t>
        </is>
      </c>
      <c r="G309" t="n">
        <v>5.6</v>
      </c>
      <c r="H309" t="n">
        <v>0</v>
      </c>
      <c r="I309" t="n">
        <v>0</v>
      </c>
      <c r="J309" t="n">
        <v>0</v>
      </c>
      <c r="K309" t="n">
        <v>0</v>
      </c>
      <c r="L309" t="n">
        <v>0</v>
      </c>
      <c r="M309" t="n">
        <v>0</v>
      </c>
      <c r="N309" t="n">
        <v>0</v>
      </c>
      <c r="O309" t="n">
        <v>0</v>
      </c>
      <c r="P309" t="n">
        <v>0</v>
      </c>
      <c r="Q309" t="n">
        <v>0</v>
      </c>
      <c r="R309" s="2" t="inlineStr"/>
    </row>
    <row r="310" ht="15" customHeight="1">
      <c r="A310" t="inlineStr">
        <is>
          <t>A 8444-2025</t>
        </is>
      </c>
      <c r="B310" s="1" t="n">
        <v>45709</v>
      </c>
      <c r="C310" s="1" t="n">
        <v>46060</v>
      </c>
      <c r="D310" t="inlineStr">
        <is>
          <t>GOTLANDS LÄN</t>
        </is>
      </c>
      <c r="E310" t="inlineStr">
        <is>
          <t>GOTLAND</t>
        </is>
      </c>
      <c r="G310" t="n">
        <v>5.2</v>
      </c>
      <c r="H310" t="n">
        <v>0</v>
      </c>
      <c r="I310" t="n">
        <v>0</v>
      </c>
      <c r="J310" t="n">
        <v>0</v>
      </c>
      <c r="K310" t="n">
        <v>0</v>
      </c>
      <c r="L310" t="n">
        <v>0</v>
      </c>
      <c r="M310" t="n">
        <v>0</v>
      </c>
      <c r="N310" t="n">
        <v>0</v>
      </c>
      <c r="O310" t="n">
        <v>0</v>
      </c>
      <c r="P310" t="n">
        <v>0</v>
      </c>
      <c r="Q310" t="n">
        <v>0</v>
      </c>
      <c r="R310" s="2" t="inlineStr"/>
    </row>
    <row r="311" ht="15" customHeight="1">
      <c r="A311" t="inlineStr">
        <is>
          <t>A 19905-2025</t>
        </is>
      </c>
      <c r="B311" s="1" t="n">
        <v>45771</v>
      </c>
      <c r="C311" s="1" t="n">
        <v>46060</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39278-2025</t>
        </is>
      </c>
      <c r="B312" s="1" t="n">
        <v>45889</v>
      </c>
      <c r="C312" s="1" t="n">
        <v>46060</v>
      </c>
      <c r="D312" t="inlineStr">
        <is>
          <t>GOTLANDS LÄN</t>
        </is>
      </c>
      <c r="E312" t="inlineStr">
        <is>
          <t>GOTLAND</t>
        </is>
      </c>
      <c r="G312" t="n">
        <v>3.7</v>
      </c>
      <c r="H312" t="n">
        <v>0</v>
      </c>
      <c r="I312" t="n">
        <v>0</v>
      </c>
      <c r="J312" t="n">
        <v>0</v>
      </c>
      <c r="K312" t="n">
        <v>0</v>
      </c>
      <c r="L312" t="n">
        <v>0</v>
      </c>
      <c r="M312" t="n">
        <v>0</v>
      </c>
      <c r="N312" t="n">
        <v>0</v>
      </c>
      <c r="O312" t="n">
        <v>0</v>
      </c>
      <c r="P312" t="n">
        <v>0</v>
      </c>
      <c r="Q312" t="n">
        <v>0</v>
      </c>
      <c r="R312" s="2" t="inlineStr"/>
    </row>
    <row r="313" ht="15" customHeight="1">
      <c r="A313" t="inlineStr">
        <is>
          <t>A 41435-2025</t>
        </is>
      </c>
      <c r="B313" s="1" t="n">
        <v>45901.39974537037</v>
      </c>
      <c r="C313" s="1" t="n">
        <v>46060</v>
      </c>
      <c r="D313" t="inlineStr">
        <is>
          <t>GOTLANDS LÄN</t>
        </is>
      </c>
      <c r="E313" t="inlineStr">
        <is>
          <t>GOTLAND</t>
        </is>
      </c>
      <c r="G313" t="n">
        <v>4.9</v>
      </c>
      <c r="H313" t="n">
        <v>0</v>
      </c>
      <c r="I313" t="n">
        <v>0</v>
      </c>
      <c r="J313" t="n">
        <v>0</v>
      </c>
      <c r="K313" t="n">
        <v>0</v>
      </c>
      <c r="L313" t="n">
        <v>0</v>
      </c>
      <c r="M313" t="n">
        <v>0</v>
      </c>
      <c r="N313" t="n">
        <v>0</v>
      </c>
      <c r="O313" t="n">
        <v>0</v>
      </c>
      <c r="P313" t="n">
        <v>0</v>
      </c>
      <c r="Q313" t="n">
        <v>0</v>
      </c>
      <c r="R313" s="2" t="inlineStr"/>
    </row>
    <row r="314" ht="15" customHeight="1">
      <c r="A314" t="inlineStr">
        <is>
          <t>A 64660-2023</t>
        </is>
      </c>
      <c r="B314" s="1" t="n">
        <v>45281.60122685185</v>
      </c>
      <c r="C314" s="1" t="n">
        <v>46060</v>
      </c>
      <c r="D314" t="inlineStr">
        <is>
          <t>GOTLANDS LÄN</t>
        </is>
      </c>
      <c r="E314" t="inlineStr">
        <is>
          <t>GOTLAND</t>
        </is>
      </c>
      <c r="G314" t="n">
        <v>6.3</v>
      </c>
      <c r="H314" t="n">
        <v>0</v>
      </c>
      <c r="I314" t="n">
        <v>0</v>
      </c>
      <c r="J314" t="n">
        <v>0</v>
      </c>
      <c r="K314" t="n">
        <v>0</v>
      </c>
      <c r="L314" t="n">
        <v>0</v>
      </c>
      <c r="M314" t="n">
        <v>0</v>
      </c>
      <c r="N314" t="n">
        <v>0</v>
      </c>
      <c r="O314" t="n">
        <v>0</v>
      </c>
      <c r="P314" t="n">
        <v>0</v>
      </c>
      <c r="Q314" t="n">
        <v>0</v>
      </c>
      <c r="R314" s="2" t="inlineStr"/>
    </row>
    <row r="315" ht="15" customHeight="1">
      <c r="A315" t="inlineStr">
        <is>
          <t>A 42608-2025</t>
        </is>
      </c>
      <c r="B315" s="1" t="n">
        <v>45905</v>
      </c>
      <c r="C315" s="1" t="n">
        <v>46060</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16373-2025</t>
        </is>
      </c>
      <c r="B316" s="1" t="n">
        <v>45751</v>
      </c>
      <c r="C316" s="1" t="n">
        <v>46060</v>
      </c>
      <c r="D316" t="inlineStr">
        <is>
          <t>GOTLANDS LÄN</t>
        </is>
      </c>
      <c r="E316" t="inlineStr">
        <is>
          <t>GOTLAND</t>
        </is>
      </c>
      <c r="G316" t="n">
        <v>1.5</v>
      </c>
      <c r="H316" t="n">
        <v>0</v>
      </c>
      <c r="I316" t="n">
        <v>0</v>
      </c>
      <c r="J316" t="n">
        <v>0</v>
      </c>
      <c r="K316" t="n">
        <v>0</v>
      </c>
      <c r="L316" t="n">
        <v>0</v>
      </c>
      <c r="M316" t="n">
        <v>0</v>
      </c>
      <c r="N316" t="n">
        <v>0</v>
      </c>
      <c r="O316" t="n">
        <v>0</v>
      </c>
      <c r="P316" t="n">
        <v>0</v>
      </c>
      <c r="Q316" t="n">
        <v>0</v>
      </c>
      <c r="R316" s="2" t="inlineStr"/>
    </row>
    <row r="317" ht="15" customHeight="1">
      <c r="A317" t="inlineStr">
        <is>
          <t>A 29207-2025</t>
        </is>
      </c>
      <c r="B317" s="1" t="n">
        <v>45823</v>
      </c>
      <c r="C317" s="1" t="n">
        <v>46060</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46060</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20855-2023</t>
        </is>
      </c>
      <c r="B319" s="1" t="n">
        <v>45058.82172453704</v>
      </c>
      <c r="C319" s="1" t="n">
        <v>46060</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10158-2025</t>
        </is>
      </c>
      <c r="B320" s="1" t="n">
        <v>45719</v>
      </c>
      <c r="C320" s="1" t="n">
        <v>46060</v>
      </c>
      <c r="D320" t="inlineStr">
        <is>
          <t>GOTLANDS LÄN</t>
        </is>
      </c>
      <c r="E320" t="inlineStr">
        <is>
          <t>GOTLAND</t>
        </is>
      </c>
      <c r="G320" t="n">
        <v>3.5</v>
      </c>
      <c r="H320" t="n">
        <v>0</v>
      </c>
      <c r="I320" t="n">
        <v>0</v>
      </c>
      <c r="J320" t="n">
        <v>0</v>
      </c>
      <c r="K320" t="n">
        <v>0</v>
      </c>
      <c r="L320" t="n">
        <v>0</v>
      </c>
      <c r="M320" t="n">
        <v>0</v>
      </c>
      <c r="N320" t="n">
        <v>0</v>
      </c>
      <c r="O320" t="n">
        <v>0</v>
      </c>
      <c r="P320" t="n">
        <v>0</v>
      </c>
      <c r="Q320" t="n">
        <v>0</v>
      </c>
      <c r="R320" s="2" t="inlineStr"/>
    </row>
    <row r="321" ht="15" customHeight="1">
      <c r="A321" t="inlineStr">
        <is>
          <t>A 60709-2023</t>
        </is>
      </c>
      <c r="B321" s="1" t="n">
        <v>45260</v>
      </c>
      <c r="C321" s="1" t="n">
        <v>46060</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1000-2024</t>
        </is>
      </c>
      <c r="B322" s="1" t="n">
        <v>45301.63371527778</v>
      </c>
      <c r="C322" s="1" t="n">
        <v>46060</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1010-2024</t>
        </is>
      </c>
      <c r="B323" s="1" t="n">
        <v>45301</v>
      </c>
      <c r="C323" s="1" t="n">
        <v>46060</v>
      </c>
      <c r="D323" t="inlineStr">
        <is>
          <t>GOTLANDS LÄN</t>
        </is>
      </c>
      <c r="E323" t="inlineStr">
        <is>
          <t>GOTLAND</t>
        </is>
      </c>
      <c r="G323" t="n">
        <v>2.4</v>
      </c>
      <c r="H323" t="n">
        <v>0</v>
      </c>
      <c r="I323" t="n">
        <v>0</v>
      </c>
      <c r="J323" t="n">
        <v>0</v>
      </c>
      <c r="K323" t="n">
        <v>0</v>
      </c>
      <c r="L323" t="n">
        <v>0</v>
      </c>
      <c r="M323" t="n">
        <v>0</v>
      </c>
      <c r="N323" t="n">
        <v>0</v>
      </c>
      <c r="O323" t="n">
        <v>0</v>
      </c>
      <c r="P323" t="n">
        <v>0</v>
      </c>
      <c r="Q323" t="n">
        <v>0</v>
      </c>
      <c r="R323" s="2" t="inlineStr"/>
    </row>
    <row r="324" ht="15" customHeight="1">
      <c r="A324" t="inlineStr">
        <is>
          <t>A 65249-2023</t>
        </is>
      </c>
      <c r="B324" s="1" t="n">
        <v>45290</v>
      </c>
      <c r="C324" s="1" t="n">
        <v>46060</v>
      </c>
      <c r="D324" t="inlineStr">
        <is>
          <t>GOTLANDS LÄN</t>
        </is>
      </c>
      <c r="E324" t="inlineStr">
        <is>
          <t>GOTLAND</t>
        </is>
      </c>
      <c r="G324" t="n">
        <v>2.4</v>
      </c>
      <c r="H324" t="n">
        <v>0</v>
      </c>
      <c r="I324" t="n">
        <v>0</v>
      </c>
      <c r="J324" t="n">
        <v>0</v>
      </c>
      <c r="K324" t="n">
        <v>0</v>
      </c>
      <c r="L324" t="n">
        <v>0</v>
      </c>
      <c r="M324" t="n">
        <v>0</v>
      </c>
      <c r="N324" t="n">
        <v>0</v>
      </c>
      <c r="O324" t="n">
        <v>0</v>
      </c>
      <c r="P324" t="n">
        <v>0</v>
      </c>
      <c r="Q324" t="n">
        <v>0</v>
      </c>
      <c r="R324" s="2" t="inlineStr"/>
    </row>
    <row r="325" ht="15" customHeight="1">
      <c r="A325" t="inlineStr">
        <is>
          <t>A 43911-2025</t>
        </is>
      </c>
      <c r="B325" s="1" t="n">
        <v>45914.3881712963</v>
      </c>
      <c r="C325" s="1" t="n">
        <v>46060</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30061-2025</t>
        </is>
      </c>
      <c r="B326" s="1" t="n">
        <v>45826.61488425926</v>
      </c>
      <c r="C326" s="1" t="n">
        <v>46060</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30956-2024</t>
        </is>
      </c>
      <c r="B327" s="1" t="n">
        <v>45499.42527777778</v>
      </c>
      <c r="C327" s="1" t="n">
        <v>46060</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12596-2023</t>
        </is>
      </c>
      <c r="B328" s="1" t="n">
        <v>45000.43310185185</v>
      </c>
      <c r="C328" s="1" t="n">
        <v>46060</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8045-2022</t>
        </is>
      </c>
      <c r="B329" s="1" t="n">
        <v>44609</v>
      </c>
      <c r="C329" s="1" t="n">
        <v>46060</v>
      </c>
      <c r="D329" t="inlineStr">
        <is>
          <t>GOTLANDS LÄN</t>
        </is>
      </c>
      <c r="E329" t="inlineStr">
        <is>
          <t>GOTLAND</t>
        </is>
      </c>
      <c r="G329" t="n">
        <v>7</v>
      </c>
      <c r="H329" t="n">
        <v>0</v>
      </c>
      <c r="I329" t="n">
        <v>0</v>
      </c>
      <c r="J329" t="n">
        <v>0</v>
      </c>
      <c r="K329" t="n">
        <v>0</v>
      </c>
      <c r="L329" t="n">
        <v>0</v>
      </c>
      <c r="M329" t="n">
        <v>0</v>
      </c>
      <c r="N329" t="n">
        <v>0</v>
      </c>
      <c r="O329" t="n">
        <v>0</v>
      </c>
      <c r="P329" t="n">
        <v>0</v>
      </c>
      <c r="Q329" t="n">
        <v>0</v>
      </c>
      <c r="R329" s="2" t="inlineStr"/>
    </row>
    <row r="330" ht="15" customHeight="1">
      <c r="A330" t="inlineStr">
        <is>
          <t>A 43951-2025</t>
        </is>
      </c>
      <c r="B330" s="1" t="n">
        <v>45915.38119212963</v>
      </c>
      <c r="C330" s="1" t="n">
        <v>46060</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44410-2025</t>
        </is>
      </c>
      <c r="B331" s="1" t="n">
        <v>45916.53699074074</v>
      </c>
      <c r="C331" s="1" t="n">
        <v>46060</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44405-2025</t>
        </is>
      </c>
      <c r="B332" s="1" t="n">
        <v>45916.52405092592</v>
      </c>
      <c r="C332" s="1" t="n">
        <v>46060</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999-2024</t>
        </is>
      </c>
      <c r="B333" s="1" t="n">
        <v>45301</v>
      </c>
      <c r="C333" s="1" t="n">
        <v>46060</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65901-2021</t>
        </is>
      </c>
      <c r="B334" s="1" t="n">
        <v>44516</v>
      </c>
      <c r="C334" s="1" t="n">
        <v>46060</v>
      </c>
      <c r="D334" t="inlineStr">
        <is>
          <t>GOTLANDS LÄN</t>
        </is>
      </c>
      <c r="E334" t="inlineStr">
        <is>
          <t>GOTLAND</t>
        </is>
      </c>
      <c r="G334" t="n">
        <v>4.9</v>
      </c>
      <c r="H334" t="n">
        <v>0</v>
      </c>
      <c r="I334" t="n">
        <v>0</v>
      </c>
      <c r="J334" t="n">
        <v>0</v>
      </c>
      <c r="K334" t="n">
        <v>0</v>
      </c>
      <c r="L334" t="n">
        <v>0</v>
      </c>
      <c r="M334" t="n">
        <v>0</v>
      </c>
      <c r="N334" t="n">
        <v>0</v>
      </c>
      <c r="O334" t="n">
        <v>0</v>
      </c>
      <c r="P334" t="n">
        <v>0</v>
      </c>
      <c r="Q334" t="n">
        <v>0</v>
      </c>
      <c r="R334" s="2" t="inlineStr"/>
    </row>
    <row r="335" ht="15" customHeight="1">
      <c r="A335" t="inlineStr">
        <is>
          <t>A 47762-2023</t>
        </is>
      </c>
      <c r="B335" s="1" t="n">
        <v>45203.86256944444</v>
      </c>
      <c r="C335" s="1" t="n">
        <v>46060</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58160-2024</t>
        </is>
      </c>
      <c r="B336" s="1" t="n">
        <v>45632.44927083333</v>
      </c>
      <c r="C336" s="1" t="n">
        <v>46060</v>
      </c>
      <c r="D336" t="inlineStr">
        <is>
          <t>GOTLANDS LÄN</t>
        </is>
      </c>
      <c r="E336" t="inlineStr">
        <is>
          <t>GOTLAND</t>
        </is>
      </c>
      <c r="G336" t="n">
        <v>5.6</v>
      </c>
      <c r="H336" t="n">
        <v>0</v>
      </c>
      <c r="I336" t="n">
        <v>0</v>
      </c>
      <c r="J336" t="n">
        <v>0</v>
      </c>
      <c r="K336" t="n">
        <v>0</v>
      </c>
      <c r="L336" t="n">
        <v>0</v>
      </c>
      <c r="M336" t="n">
        <v>0</v>
      </c>
      <c r="N336" t="n">
        <v>0</v>
      </c>
      <c r="O336" t="n">
        <v>0</v>
      </c>
      <c r="P336" t="n">
        <v>0</v>
      </c>
      <c r="Q336" t="n">
        <v>0</v>
      </c>
      <c r="R336" s="2" t="inlineStr"/>
    </row>
    <row r="337" ht="15" customHeight="1">
      <c r="A337" t="inlineStr">
        <is>
          <t>A 40294-2022</t>
        </is>
      </c>
      <c r="B337" s="1" t="n">
        <v>44821</v>
      </c>
      <c r="C337" s="1" t="n">
        <v>46060</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27602-2023</t>
        </is>
      </c>
      <c r="B338" s="1" t="n">
        <v>45097</v>
      </c>
      <c r="C338" s="1" t="n">
        <v>46060</v>
      </c>
      <c r="D338" t="inlineStr">
        <is>
          <t>GOTLANDS LÄN</t>
        </is>
      </c>
      <c r="E338" t="inlineStr">
        <is>
          <t>GOTLAND</t>
        </is>
      </c>
      <c r="G338" t="n">
        <v>2.7</v>
      </c>
      <c r="H338" t="n">
        <v>0</v>
      </c>
      <c r="I338" t="n">
        <v>0</v>
      </c>
      <c r="J338" t="n">
        <v>0</v>
      </c>
      <c r="K338" t="n">
        <v>0</v>
      </c>
      <c r="L338" t="n">
        <v>0</v>
      </c>
      <c r="M338" t="n">
        <v>0</v>
      </c>
      <c r="N338" t="n">
        <v>0</v>
      </c>
      <c r="O338" t="n">
        <v>0</v>
      </c>
      <c r="P338" t="n">
        <v>0</v>
      </c>
      <c r="Q338" t="n">
        <v>0</v>
      </c>
      <c r="R338" s="2" t="inlineStr"/>
    </row>
    <row r="339" ht="15" customHeight="1">
      <c r="A339" t="inlineStr">
        <is>
          <t>A 58780-2024</t>
        </is>
      </c>
      <c r="B339" s="1" t="n">
        <v>45635.84113425926</v>
      </c>
      <c r="C339" s="1" t="n">
        <v>46060</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12322-2025</t>
        </is>
      </c>
      <c r="B340" s="1" t="n">
        <v>45730</v>
      </c>
      <c r="C340" s="1" t="n">
        <v>46060</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24192-2023</t>
        </is>
      </c>
      <c r="B341" s="1" t="n">
        <v>45079</v>
      </c>
      <c r="C341" s="1" t="n">
        <v>46060</v>
      </c>
      <c r="D341" t="inlineStr">
        <is>
          <t>GOTLANDS LÄN</t>
        </is>
      </c>
      <c r="E341" t="inlineStr">
        <is>
          <t>GOTLAND</t>
        </is>
      </c>
      <c r="G341" t="n">
        <v>2.1</v>
      </c>
      <c r="H341" t="n">
        <v>0</v>
      </c>
      <c r="I341" t="n">
        <v>0</v>
      </c>
      <c r="J341" t="n">
        <v>0</v>
      </c>
      <c r="K341" t="n">
        <v>0</v>
      </c>
      <c r="L341" t="n">
        <v>0</v>
      </c>
      <c r="M341" t="n">
        <v>0</v>
      </c>
      <c r="N341" t="n">
        <v>0</v>
      </c>
      <c r="O341" t="n">
        <v>0</v>
      </c>
      <c r="P341" t="n">
        <v>0</v>
      </c>
      <c r="Q341" t="n">
        <v>0</v>
      </c>
      <c r="R341" s="2" t="inlineStr"/>
    </row>
    <row r="342" ht="15" customHeight="1">
      <c r="A342" t="inlineStr">
        <is>
          <t>A 30282-2022</t>
        </is>
      </c>
      <c r="B342" s="1" t="n">
        <v>44760</v>
      </c>
      <c r="C342" s="1" t="n">
        <v>46060</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7835-2024</t>
        </is>
      </c>
      <c r="B343" s="1" t="n">
        <v>45349.83138888889</v>
      </c>
      <c r="C343" s="1" t="n">
        <v>46060</v>
      </c>
      <c r="D343" t="inlineStr">
        <is>
          <t>GOTLANDS LÄN</t>
        </is>
      </c>
      <c r="E343" t="inlineStr">
        <is>
          <t>GOTLAND</t>
        </is>
      </c>
      <c r="G343" t="n">
        <v>3.8</v>
      </c>
      <c r="H343" t="n">
        <v>0</v>
      </c>
      <c r="I343" t="n">
        <v>0</v>
      </c>
      <c r="J343" t="n">
        <v>0</v>
      </c>
      <c r="K343" t="n">
        <v>0</v>
      </c>
      <c r="L343" t="n">
        <v>0</v>
      </c>
      <c r="M343" t="n">
        <v>0</v>
      </c>
      <c r="N343" t="n">
        <v>0</v>
      </c>
      <c r="O343" t="n">
        <v>0</v>
      </c>
      <c r="P343" t="n">
        <v>0</v>
      </c>
      <c r="Q343" t="n">
        <v>0</v>
      </c>
      <c r="R343" s="2" t="inlineStr"/>
    </row>
    <row r="344" ht="15" customHeight="1">
      <c r="A344" t="inlineStr">
        <is>
          <t>A 10650-2022</t>
        </is>
      </c>
      <c r="B344" s="1" t="n">
        <v>44624.57945601852</v>
      </c>
      <c r="C344" s="1" t="n">
        <v>46060</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26810-2021</t>
        </is>
      </c>
      <c r="B345" s="1" t="n">
        <v>44349.55087962963</v>
      </c>
      <c r="C345" s="1" t="n">
        <v>46060</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26391-2025</t>
        </is>
      </c>
      <c r="B346" s="1" t="n">
        <v>45806</v>
      </c>
      <c r="C346" s="1" t="n">
        <v>46060</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28425-2023</t>
        </is>
      </c>
      <c r="B347" s="1" t="n">
        <v>45102</v>
      </c>
      <c r="C347" s="1" t="n">
        <v>46060</v>
      </c>
      <c r="D347" t="inlineStr">
        <is>
          <t>GOTLANDS LÄN</t>
        </is>
      </c>
      <c r="E347" t="inlineStr">
        <is>
          <t>GOTLAND</t>
        </is>
      </c>
      <c r="G347" t="n">
        <v>0.5</v>
      </c>
      <c r="H347" t="n">
        <v>0</v>
      </c>
      <c r="I347" t="n">
        <v>0</v>
      </c>
      <c r="J347" t="n">
        <v>0</v>
      </c>
      <c r="K347" t="n">
        <v>0</v>
      </c>
      <c r="L347" t="n">
        <v>0</v>
      </c>
      <c r="M347" t="n">
        <v>0</v>
      </c>
      <c r="N347" t="n">
        <v>0</v>
      </c>
      <c r="O347" t="n">
        <v>0</v>
      </c>
      <c r="P347" t="n">
        <v>0</v>
      </c>
      <c r="Q347" t="n">
        <v>0</v>
      </c>
      <c r="R347" s="2" t="inlineStr"/>
    </row>
    <row r="348" ht="15" customHeight="1">
      <c r="A348" t="inlineStr">
        <is>
          <t>A 46836-2025</t>
        </is>
      </c>
      <c r="B348" s="1" t="n">
        <v>45928.31511574074</v>
      </c>
      <c r="C348" s="1" t="n">
        <v>46060</v>
      </c>
      <c r="D348" t="inlineStr">
        <is>
          <t>GOTLANDS LÄN</t>
        </is>
      </c>
      <c r="E348" t="inlineStr">
        <is>
          <t>GOTLAND</t>
        </is>
      </c>
      <c r="G348" t="n">
        <v>2.8</v>
      </c>
      <c r="H348" t="n">
        <v>0</v>
      </c>
      <c r="I348" t="n">
        <v>0</v>
      </c>
      <c r="J348" t="n">
        <v>0</v>
      </c>
      <c r="K348" t="n">
        <v>0</v>
      </c>
      <c r="L348" t="n">
        <v>0</v>
      </c>
      <c r="M348" t="n">
        <v>0</v>
      </c>
      <c r="N348" t="n">
        <v>0</v>
      </c>
      <c r="O348" t="n">
        <v>0</v>
      </c>
      <c r="P348" t="n">
        <v>0</v>
      </c>
      <c r="Q348" t="n">
        <v>0</v>
      </c>
      <c r="R348" s="2" t="inlineStr"/>
    </row>
    <row r="349" ht="15" customHeight="1">
      <c r="A349" t="inlineStr">
        <is>
          <t>A 13037-2025</t>
        </is>
      </c>
      <c r="B349" s="1" t="n">
        <v>45734</v>
      </c>
      <c r="C349" s="1" t="n">
        <v>46060</v>
      </c>
      <c r="D349" t="inlineStr">
        <is>
          <t>GOTLANDS LÄN</t>
        </is>
      </c>
      <c r="E349" t="inlineStr">
        <is>
          <t>GOTLAND</t>
        </is>
      </c>
      <c r="G349" t="n">
        <v>9.5</v>
      </c>
      <c r="H349" t="n">
        <v>0</v>
      </c>
      <c r="I349" t="n">
        <v>0</v>
      </c>
      <c r="J349" t="n">
        <v>0</v>
      </c>
      <c r="K349" t="n">
        <v>0</v>
      </c>
      <c r="L349" t="n">
        <v>0</v>
      </c>
      <c r="M349" t="n">
        <v>0</v>
      </c>
      <c r="N349" t="n">
        <v>0</v>
      </c>
      <c r="O349" t="n">
        <v>0</v>
      </c>
      <c r="P349" t="n">
        <v>0</v>
      </c>
      <c r="Q349" t="n">
        <v>0</v>
      </c>
      <c r="R349" s="2" t="inlineStr"/>
    </row>
    <row r="350" ht="15" customHeight="1">
      <c r="A350" t="inlineStr">
        <is>
          <t>A 47637-2025</t>
        </is>
      </c>
      <c r="B350" s="1" t="n">
        <v>45931.49753472222</v>
      </c>
      <c r="C350" s="1" t="n">
        <v>46060</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16109-2025</t>
        </is>
      </c>
      <c r="B351" s="1" t="n">
        <v>45750</v>
      </c>
      <c r="C351" s="1" t="n">
        <v>46060</v>
      </c>
      <c r="D351" t="inlineStr">
        <is>
          <t>GOTLANDS LÄN</t>
        </is>
      </c>
      <c r="E351" t="inlineStr">
        <is>
          <t>GOTLAND</t>
        </is>
      </c>
      <c r="G351" t="n">
        <v>4.9</v>
      </c>
      <c r="H351" t="n">
        <v>0</v>
      </c>
      <c r="I351" t="n">
        <v>0</v>
      </c>
      <c r="J351" t="n">
        <v>0</v>
      </c>
      <c r="K351" t="n">
        <v>0</v>
      </c>
      <c r="L351" t="n">
        <v>0</v>
      </c>
      <c r="M351" t="n">
        <v>0</v>
      </c>
      <c r="N351" t="n">
        <v>0</v>
      </c>
      <c r="O351" t="n">
        <v>0</v>
      </c>
      <c r="P351" t="n">
        <v>0</v>
      </c>
      <c r="Q351" t="n">
        <v>0</v>
      </c>
      <c r="R351" s="2" t="inlineStr"/>
    </row>
    <row r="352" ht="15" customHeight="1">
      <c r="A352" t="inlineStr">
        <is>
          <t>A 32467-2025</t>
        </is>
      </c>
      <c r="B352" s="1" t="n">
        <v>45838.42111111111</v>
      </c>
      <c r="C352" s="1" t="n">
        <v>46060</v>
      </c>
      <c r="D352" t="inlineStr">
        <is>
          <t>GOTLANDS LÄN</t>
        </is>
      </c>
      <c r="E352" t="inlineStr">
        <is>
          <t>GOTLAND</t>
        </is>
      </c>
      <c r="G352" t="n">
        <v>4.3</v>
      </c>
      <c r="H352" t="n">
        <v>0</v>
      </c>
      <c r="I352" t="n">
        <v>0</v>
      </c>
      <c r="J352" t="n">
        <v>0</v>
      </c>
      <c r="K352" t="n">
        <v>0</v>
      </c>
      <c r="L352" t="n">
        <v>0</v>
      </c>
      <c r="M352" t="n">
        <v>0</v>
      </c>
      <c r="N352" t="n">
        <v>0</v>
      </c>
      <c r="O352" t="n">
        <v>0</v>
      </c>
      <c r="P352" t="n">
        <v>0</v>
      </c>
      <c r="Q352" t="n">
        <v>0</v>
      </c>
      <c r="R352" s="2" t="inlineStr"/>
    </row>
    <row r="353" ht="15" customHeight="1">
      <c r="A353" t="inlineStr">
        <is>
          <t>A 32378-2025</t>
        </is>
      </c>
      <c r="B353" s="1" t="n">
        <v>45837</v>
      </c>
      <c r="C353" s="1" t="n">
        <v>46060</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32379-2025</t>
        </is>
      </c>
      <c r="B354" s="1" t="n">
        <v>45837</v>
      </c>
      <c r="C354" s="1" t="n">
        <v>46060</v>
      </c>
      <c r="D354" t="inlineStr">
        <is>
          <t>GOTLANDS LÄN</t>
        </is>
      </c>
      <c r="E354" t="inlineStr">
        <is>
          <t>GOTLAND</t>
        </is>
      </c>
      <c r="G354" t="n">
        <v>1</v>
      </c>
      <c r="H354" t="n">
        <v>0</v>
      </c>
      <c r="I354" t="n">
        <v>0</v>
      </c>
      <c r="J354" t="n">
        <v>0</v>
      </c>
      <c r="K354" t="n">
        <v>0</v>
      </c>
      <c r="L354" t="n">
        <v>0</v>
      </c>
      <c r="M354" t="n">
        <v>0</v>
      </c>
      <c r="N354" t="n">
        <v>0</v>
      </c>
      <c r="O354" t="n">
        <v>0</v>
      </c>
      <c r="P354" t="n">
        <v>0</v>
      </c>
      <c r="Q354" t="n">
        <v>0</v>
      </c>
      <c r="R354" s="2" t="inlineStr"/>
    </row>
    <row r="355" ht="15" customHeight="1">
      <c r="A355" t="inlineStr">
        <is>
          <t>A 10746-2025</t>
        </is>
      </c>
      <c r="B355" s="1" t="n">
        <v>45722.42766203704</v>
      </c>
      <c r="C355" s="1" t="n">
        <v>46060</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35550-2025</t>
        </is>
      </c>
      <c r="B356" s="1" t="n">
        <v>45856.49324074074</v>
      </c>
      <c r="C356" s="1" t="n">
        <v>46060</v>
      </c>
      <c r="D356" t="inlineStr">
        <is>
          <t>GOTLANDS LÄN</t>
        </is>
      </c>
      <c r="E356" t="inlineStr">
        <is>
          <t>GOTLAND</t>
        </is>
      </c>
      <c r="G356" t="n">
        <v>3.2</v>
      </c>
      <c r="H356" t="n">
        <v>0</v>
      </c>
      <c r="I356" t="n">
        <v>0</v>
      </c>
      <c r="J356" t="n">
        <v>0</v>
      </c>
      <c r="K356" t="n">
        <v>0</v>
      </c>
      <c r="L356" t="n">
        <v>0</v>
      </c>
      <c r="M356" t="n">
        <v>0</v>
      </c>
      <c r="N356" t="n">
        <v>0</v>
      </c>
      <c r="O356" t="n">
        <v>0</v>
      </c>
      <c r="P356" t="n">
        <v>0</v>
      </c>
      <c r="Q356" t="n">
        <v>0</v>
      </c>
      <c r="R356" s="2" t="inlineStr"/>
    </row>
    <row r="357" ht="15" customHeight="1">
      <c r="A357" t="inlineStr">
        <is>
          <t>A 47578-2025</t>
        </is>
      </c>
      <c r="B357" s="1" t="n">
        <v>45931</v>
      </c>
      <c r="C357" s="1" t="n">
        <v>46060</v>
      </c>
      <c r="D357" t="inlineStr">
        <is>
          <t>GOTLANDS LÄN</t>
        </is>
      </c>
      <c r="E357" t="inlineStr">
        <is>
          <t>GOTLAND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33007-2025</t>
        </is>
      </c>
      <c r="B358" s="1" t="n">
        <v>45840</v>
      </c>
      <c r="C358" s="1" t="n">
        <v>46060</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33011-2025</t>
        </is>
      </c>
      <c r="B359" s="1" t="n">
        <v>45840</v>
      </c>
      <c r="C359" s="1" t="n">
        <v>46060</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43229-2023</t>
        </is>
      </c>
      <c r="B360" s="1" t="n">
        <v>45183.46704861111</v>
      </c>
      <c r="C360" s="1" t="n">
        <v>46060</v>
      </c>
      <c r="D360" t="inlineStr">
        <is>
          <t>GOTLANDS LÄN</t>
        </is>
      </c>
      <c r="E360" t="inlineStr">
        <is>
          <t>GOTLAND</t>
        </is>
      </c>
      <c r="G360" t="n">
        <v>7.1</v>
      </c>
      <c r="H360" t="n">
        <v>0</v>
      </c>
      <c r="I360" t="n">
        <v>0</v>
      </c>
      <c r="J360" t="n">
        <v>0</v>
      </c>
      <c r="K360" t="n">
        <v>0</v>
      </c>
      <c r="L360" t="n">
        <v>0</v>
      </c>
      <c r="M360" t="n">
        <v>0</v>
      </c>
      <c r="N360" t="n">
        <v>0</v>
      </c>
      <c r="O360" t="n">
        <v>0</v>
      </c>
      <c r="P360" t="n">
        <v>0</v>
      </c>
      <c r="Q360" t="n">
        <v>0</v>
      </c>
      <c r="R360" s="2" t="inlineStr"/>
    </row>
    <row r="361" ht="15" customHeight="1">
      <c r="A361" t="inlineStr">
        <is>
          <t>A 49690-2025</t>
        </is>
      </c>
      <c r="B361" s="1" t="n">
        <v>45939.66730324074</v>
      </c>
      <c r="C361" s="1" t="n">
        <v>46060</v>
      </c>
      <c r="D361" t="inlineStr">
        <is>
          <t>GOTLANDS LÄN</t>
        </is>
      </c>
      <c r="E361" t="inlineStr">
        <is>
          <t>GOTLAND</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41038-2023</t>
        </is>
      </c>
      <c r="B362" s="1" t="n">
        <v>45173.60959490741</v>
      </c>
      <c r="C362" s="1" t="n">
        <v>46060</v>
      </c>
      <c r="D362" t="inlineStr">
        <is>
          <t>GOTLANDS LÄN</t>
        </is>
      </c>
      <c r="E362" t="inlineStr">
        <is>
          <t>GOTLAND</t>
        </is>
      </c>
      <c r="G362" t="n">
        <v>2.7</v>
      </c>
      <c r="H362" t="n">
        <v>0</v>
      </c>
      <c r="I362" t="n">
        <v>0</v>
      </c>
      <c r="J362" t="n">
        <v>0</v>
      </c>
      <c r="K362" t="n">
        <v>0</v>
      </c>
      <c r="L362" t="n">
        <v>0</v>
      </c>
      <c r="M362" t="n">
        <v>0</v>
      </c>
      <c r="N362" t="n">
        <v>0</v>
      </c>
      <c r="O362" t="n">
        <v>0</v>
      </c>
      <c r="P362" t="n">
        <v>0</v>
      </c>
      <c r="Q362" t="n">
        <v>0</v>
      </c>
      <c r="R362" s="2" t="inlineStr"/>
    </row>
    <row r="363" ht="15" customHeight="1">
      <c r="A363" t="inlineStr">
        <is>
          <t>A 49724-2025</t>
        </is>
      </c>
      <c r="B363" s="1" t="n">
        <v>45939.83730324074</v>
      </c>
      <c r="C363" s="1" t="n">
        <v>46060</v>
      </c>
      <c r="D363" t="inlineStr">
        <is>
          <t>GOTLANDS LÄN</t>
        </is>
      </c>
      <c r="E363" t="inlineStr">
        <is>
          <t>GOTLAND</t>
        </is>
      </c>
      <c r="F363" t="inlineStr">
        <is>
          <t>Kyrkan</t>
        </is>
      </c>
      <c r="G363" t="n">
        <v>3.1</v>
      </c>
      <c r="H363" t="n">
        <v>0</v>
      </c>
      <c r="I363" t="n">
        <v>0</v>
      </c>
      <c r="J363" t="n">
        <v>0</v>
      </c>
      <c r="K363" t="n">
        <v>0</v>
      </c>
      <c r="L363" t="n">
        <v>0</v>
      </c>
      <c r="M363" t="n">
        <v>0</v>
      </c>
      <c r="N363" t="n">
        <v>0</v>
      </c>
      <c r="O363" t="n">
        <v>0</v>
      </c>
      <c r="P363" t="n">
        <v>0</v>
      </c>
      <c r="Q363" t="n">
        <v>0</v>
      </c>
      <c r="R363" s="2" t="inlineStr"/>
    </row>
    <row r="364" ht="15" customHeight="1">
      <c r="A364" t="inlineStr">
        <is>
          <t>A 49730-2025</t>
        </is>
      </c>
      <c r="B364" s="1" t="n">
        <v>45939.87613425926</v>
      </c>
      <c r="C364" s="1" t="n">
        <v>46060</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50421-2025</t>
        </is>
      </c>
      <c r="B365" s="1" t="n">
        <v>45944.66049768519</v>
      </c>
      <c r="C365" s="1" t="n">
        <v>46060</v>
      </c>
      <c r="D365" t="inlineStr">
        <is>
          <t>GOTLANDS LÄN</t>
        </is>
      </c>
      <c r="E365" t="inlineStr">
        <is>
          <t>GOTLAND</t>
        </is>
      </c>
      <c r="G365" t="n">
        <v>3.9</v>
      </c>
      <c r="H365" t="n">
        <v>0</v>
      </c>
      <c r="I365" t="n">
        <v>0</v>
      </c>
      <c r="J365" t="n">
        <v>0</v>
      </c>
      <c r="K365" t="n">
        <v>0</v>
      </c>
      <c r="L365" t="n">
        <v>0</v>
      </c>
      <c r="M365" t="n">
        <v>0</v>
      </c>
      <c r="N365" t="n">
        <v>0</v>
      </c>
      <c r="O365" t="n">
        <v>0</v>
      </c>
      <c r="P365" t="n">
        <v>0</v>
      </c>
      <c r="Q365" t="n">
        <v>0</v>
      </c>
      <c r="R365" s="2" t="inlineStr"/>
    </row>
    <row r="366" ht="15" customHeight="1">
      <c r="A366" t="inlineStr">
        <is>
          <t>A 24966-2023</t>
        </is>
      </c>
      <c r="B366" s="1" t="n">
        <v>45085</v>
      </c>
      <c r="C366" s="1" t="n">
        <v>46060</v>
      </c>
      <c r="D366" t="inlineStr">
        <is>
          <t>GOTLANDS LÄN</t>
        </is>
      </c>
      <c r="E366" t="inlineStr">
        <is>
          <t>GOTLAND</t>
        </is>
      </c>
      <c r="G366" t="n">
        <v>7</v>
      </c>
      <c r="H366" t="n">
        <v>0</v>
      </c>
      <c r="I366" t="n">
        <v>0</v>
      </c>
      <c r="J366" t="n">
        <v>0</v>
      </c>
      <c r="K366" t="n">
        <v>0</v>
      </c>
      <c r="L366" t="n">
        <v>0</v>
      </c>
      <c r="M366" t="n">
        <v>0</v>
      </c>
      <c r="N366" t="n">
        <v>0</v>
      </c>
      <c r="O366" t="n">
        <v>0</v>
      </c>
      <c r="P366" t="n">
        <v>0</v>
      </c>
      <c r="Q366" t="n">
        <v>0</v>
      </c>
      <c r="R366" s="2" t="inlineStr"/>
    </row>
    <row r="367" ht="15" customHeight="1">
      <c r="A367" t="inlineStr">
        <is>
          <t>A 57652-2023</t>
        </is>
      </c>
      <c r="B367" s="1" t="n">
        <v>45246</v>
      </c>
      <c r="C367" s="1" t="n">
        <v>46060</v>
      </c>
      <c r="D367" t="inlineStr">
        <is>
          <t>GOTLANDS LÄN</t>
        </is>
      </c>
      <c r="E367" t="inlineStr">
        <is>
          <t>GOTLAND</t>
        </is>
      </c>
      <c r="G367" t="n">
        <v>7.2</v>
      </c>
      <c r="H367" t="n">
        <v>0</v>
      </c>
      <c r="I367" t="n">
        <v>0</v>
      </c>
      <c r="J367" t="n">
        <v>0</v>
      </c>
      <c r="K367" t="n">
        <v>0</v>
      </c>
      <c r="L367" t="n">
        <v>0</v>
      </c>
      <c r="M367" t="n">
        <v>0</v>
      </c>
      <c r="N367" t="n">
        <v>0</v>
      </c>
      <c r="O367" t="n">
        <v>0</v>
      </c>
      <c r="P367" t="n">
        <v>0</v>
      </c>
      <c r="Q367" t="n">
        <v>0</v>
      </c>
      <c r="R367" s="2" t="inlineStr"/>
    </row>
    <row r="368" ht="15" customHeight="1">
      <c r="A368" t="inlineStr">
        <is>
          <t>A 50431-2025</t>
        </is>
      </c>
      <c r="B368" s="1" t="n">
        <v>45944.68453703704</v>
      </c>
      <c r="C368" s="1" t="n">
        <v>46060</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46189-2022</t>
        </is>
      </c>
      <c r="B369" s="1" t="n">
        <v>44847</v>
      </c>
      <c r="C369" s="1" t="n">
        <v>46060</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57522-2022</t>
        </is>
      </c>
      <c r="B370" s="1" t="n">
        <v>44896</v>
      </c>
      <c r="C370" s="1" t="n">
        <v>46060</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14797-2024</t>
        </is>
      </c>
      <c r="B371" s="1" t="n">
        <v>45397.87030092593</v>
      </c>
      <c r="C371" s="1" t="n">
        <v>46060</v>
      </c>
      <c r="D371" t="inlineStr">
        <is>
          <t>GOTLANDS LÄN</t>
        </is>
      </c>
      <c r="E371" t="inlineStr">
        <is>
          <t>GOTLAND</t>
        </is>
      </c>
      <c r="G371" t="n">
        <v>8.1</v>
      </c>
      <c r="H371" t="n">
        <v>0</v>
      </c>
      <c r="I371" t="n">
        <v>0</v>
      </c>
      <c r="J371" t="n">
        <v>0</v>
      </c>
      <c r="K371" t="n">
        <v>0</v>
      </c>
      <c r="L371" t="n">
        <v>0</v>
      </c>
      <c r="M371" t="n">
        <v>0</v>
      </c>
      <c r="N371" t="n">
        <v>0</v>
      </c>
      <c r="O371" t="n">
        <v>0</v>
      </c>
      <c r="P371" t="n">
        <v>0</v>
      </c>
      <c r="Q371" t="n">
        <v>0</v>
      </c>
      <c r="R371" s="2" t="inlineStr"/>
    </row>
    <row r="372" ht="15" customHeight="1">
      <c r="A372" t="inlineStr">
        <is>
          <t>A 15413-2025</t>
        </is>
      </c>
      <c r="B372" s="1" t="n">
        <v>45747.451875</v>
      </c>
      <c r="C372" s="1" t="n">
        <v>46060</v>
      </c>
      <c r="D372" t="inlineStr">
        <is>
          <t>GOTLANDS LÄN</t>
        </is>
      </c>
      <c r="E372" t="inlineStr">
        <is>
          <t>GOTLAND</t>
        </is>
      </c>
      <c r="G372" t="n">
        <v>0.6</v>
      </c>
      <c r="H372" t="n">
        <v>0</v>
      </c>
      <c r="I372" t="n">
        <v>0</v>
      </c>
      <c r="J372" t="n">
        <v>0</v>
      </c>
      <c r="K372" t="n">
        <v>0</v>
      </c>
      <c r="L372" t="n">
        <v>0</v>
      </c>
      <c r="M372" t="n">
        <v>0</v>
      </c>
      <c r="N372" t="n">
        <v>0</v>
      </c>
      <c r="O372" t="n">
        <v>0</v>
      </c>
      <c r="P372" t="n">
        <v>0</v>
      </c>
      <c r="Q372" t="n">
        <v>0</v>
      </c>
      <c r="R372" s="2" t="inlineStr"/>
    </row>
    <row r="373" ht="15" customHeight="1">
      <c r="A373" t="inlineStr">
        <is>
          <t>A 50928-2025</t>
        </is>
      </c>
      <c r="B373" s="1" t="n">
        <v>45946.67896990741</v>
      </c>
      <c r="C373" s="1" t="n">
        <v>46060</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35096-2025</t>
        </is>
      </c>
      <c r="B374" s="1" t="n">
        <v>45852.54356481481</v>
      </c>
      <c r="C374" s="1" t="n">
        <v>46060</v>
      </c>
      <c r="D374" t="inlineStr">
        <is>
          <t>GOTLANDS LÄN</t>
        </is>
      </c>
      <c r="E374" t="inlineStr">
        <is>
          <t>GOTLAND</t>
        </is>
      </c>
      <c r="F374" t="inlineStr">
        <is>
          <t>Kyrkan</t>
        </is>
      </c>
      <c r="G374" t="n">
        <v>1</v>
      </c>
      <c r="H374" t="n">
        <v>0</v>
      </c>
      <c r="I374" t="n">
        <v>0</v>
      </c>
      <c r="J374" t="n">
        <v>0</v>
      </c>
      <c r="K374" t="n">
        <v>0</v>
      </c>
      <c r="L374" t="n">
        <v>0</v>
      </c>
      <c r="M374" t="n">
        <v>0</v>
      </c>
      <c r="N374" t="n">
        <v>0</v>
      </c>
      <c r="O374" t="n">
        <v>0</v>
      </c>
      <c r="P374" t="n">
        <v>0</v>
      </c>
      <c r="Q374" t="n">
        <v>0</v>
      </c>
      <c r="R374" s="2" t="inlineStr"/>
    </row>
    <row r="375" ht="15" customHeight="1">
      <c r="A375" t="inlineStr">
        <is>
          <t>A 51262-2025</t>
        </is>
      </c>
      <c r="B375" s="1" t="n">
        <v>45949.49872685185</v>
      </c>
      <c r="C375" s="1" t="n">
        <v>46060</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35123-2025</t>
        </is>
      </c>
      <c r="B376" s="1" t="n">
        <v>45852.614375</v>
      </c>
      <c r="C376" s="1" t="n">
        <v>46060</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7837-2024</t>
        </is>
      </c>
      <c r="B377" s="1" t="n">
        <v>45349.83787037037</v>
      </c>
      <c r="C377" s="1" t="n">
        <v>46060</v>
      </c>
      <c r="D377" t="inlineStr">
        <is>
          <t>GOTLANDS LÄN</t>
        </is>
      </c>
      <c r="E377" t="inlineStr">
        <is>
          <t>GOTLAND</t>
        </is>
      </c>
      <c r="G377" t="n">
        <v>5</v>
      </c>
      <c r="H377" t="n">
        <v>0</v>
      </c>
      <c r="I377" t="n">
        <v>0</v>
      </c>
      <c r="J377" t="n">
        <v>0</v>
      </c>
      <c r="K377" t="n">
        <v>0</v>
      </c>
      <c r="L377" t="n">
        <v>0</v>
      </c>
      <c r="M377" t="n">
        <v>0</v>
      </c>
      <c r="N377" t="n">
        <v>0</v>
      </c>
      <c r="O377" t="n">
        <v>0</v>
      </c>
      <c r="P377" t="n">
        <v>0</v>
      </c>
      <c r="Q377" t="n">
        <v>0</v>
      </c>
      <c r="R377" s="2" t="inlineStr"/>
    </row>
    <row r="378" ht="15" customHeight="1">
      <c r="A378" t="inlineStr">
        <is>
          <t>A 35290-2025</t>
        </is>
      </c>
      <c r="B378" s="1" t="n">
        <v>45854.38502314815</v>
      </c>
      <c r="C378" s="1" t="n">
        <v>46060</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30104-2025</t>
        </is>
      </c>
      <c r="B379" s="1" t="n">
        <v>45826.68806712963</v>
      </c>
      <c r="C379" s="1" t="n">
        <v>46060</v>
      </c>
      <c r="D379" t="inlineStr">
        <is>
          <t>GOTLANDS LÄN</t>
        </is>
      </c>
      <c r="E379" t="inlineStr">
        <is>
          <t>GOTLAND</t>
        </is>
      </c>
      <c r="G379" t="n">
        <v>15.4</v>
      </c>
      <c r="H379" t="n">
        <v>0</v>
      </c>
      <c r="I379" t="n">
        <v>0</v>
      </c>
      <c r="J379" t="n">
        <v>0</v>
      </c>
      <c r="K379" t="n">
        <v>0</v>
      </c>
      <c r="L379" t="n">
        <v>0</v>
      </c>
      <c r="M379" t="n">
        <v>0</v>
      </c>
      <c r="N379" t="n">
        <v>0</v>
      </c>
      <c r="O379" t="n">
        <v>0</v>
      </c>
      <c r="P379" t="n">
        <v>0</v>
      </c>
      <c r="Q379" t="n">
        <v>0</v>
      </c>
      <c r="R379" s="2" t="inlineStr"/>
    </row>
    <row r="380" ht="15" customHeight="1">
      <c r="A380" t="inlineStr">
        <is>
          <t>A 32669-2024</t>
        </is>
      </c>
      <c r="B380" s="1" t="n">
        <v>45514</v>
      </c>
      <c r="C380" s="1" t="n">
        <v>46060</v>
      </c>
      <c r="D380" t="inlineStr">
        <is>
          <t>GOTLANDS LÄN</t>
        </is>
      </c>
      <c r="E380" t="inlineStr">
        <is>
          <t>GOTLAND</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35537-2025</t>
        </is>
      </c>
      <c r="B381" s="1" t="n">
        <v>45856</v>
      </c>
      <c r="C381" s="1" t="n">
        <v>46060</v>
      </c>
      <c r="D381" t="inlineStr">
        <is>
          <t>GOTLANDS LÄN</t>
        </is>
      </c>
      <c r="E381" t="inlineStr">
        <is>
          <t>GOTLAND</t>
        </is>
      </c>
      <c r="G381" t="n">
        <v>16.8</v>
      </c>
      <c r="H381" t="n">
        <v>0</v>
      </c>
      <c r="I381" t="n">
        <v>0</v>
      </c>
      <c r="J381" t="n">
        <v>0</v>
      </c>
      <c r="K381" t="n">
        <v>0</v>
      </c>
      <c r="L381" t="n">
        <v>0</v>
      </c>
      <c r="M381" t="n">
        <v>0</v>
      </c>
      <c r="N381" t="n">
        <v>0</v>
      </c>
      <c r="O381" t="n">
        <v>0</v>
      </c>
      <c r="P381" t="n">
        <v>0</v>
      </c>
      <c r="Q381" t="n">
        <v>0</v>
      </c>
      <c r="R381" s="2" t="inlineStr"/>
    </row>
    <row r="382" ht="15" customHeight="1">
      <c r="A382" t="inlineStr">
        <is>
          <t>A 1394-2023</t>
        </is>
      </c>
      <c r="B382" s="1" t="n">
        <v>44936.72997685185</v>
      </c>
      <c r="C382" s="1" t="n">
        <v>46060</v>
      </c>
      <c r="D382" t="inlineStr">
        <is>
          <t>GOTLANDS LÄN</t>
        </is>
      </c>
      <c r="E382" t="inlineStr">
        <is>
          <t>GOTLAND</t>
        </is>
      </c>
      <c r="G382" t="n">
        <v>2.1</v>
      </c>
      <c r="H382" t="n">
        <v>0</v>
      </c>
      <c r="I382" t="n">
        <v>0</v>
      </c>
      <c r="J382" t="n">
        <v>0</v>
      </c>
      <c r="K382" t="n">
        <v>0</v>
      </c>
      <c r="L382" t="n">
        <v>0</v>
      </c>
      <c r="M382" t="n">
        <v>0</v>
      </c>
      <c r="N382" t="n">
        <v>0</v>
      </c>
      <c r="O382" t="n">
        <v>0</v>
      </c>
      <c r="P382" t="n">
        <v>0</v>
      </c>
      <c r="Q382" t="n">
        <v>0</v>
      </c>
      <c r="R382" s="2" t="inlineStr"/>
    </row>
    <row r="383" ht="15" customHeight="1">
      <c r="A383" t="inlineStr">
        <is>
          <t>A 2676-2023</t>
        </is>
      </c>
      <c r="B383" s="1" t="n">
        <v>44944</v>
      </c>
      <c r="C383" s="1" t="n">
        <v>46060</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4387-2023</t>
        </is>
      </c>
      <c r="B384" s="1" t="n">
        <v>44955.73359953704</v>
      </c>
      <c r="C384" s="1" t="n">
        <v>46060</v>
      </c>
      <c r="D384" t="inlineStr">
        <is>
          <t>GOTLANDS LÄN</t>
        </is>
      </c>
      <c r="E384" t="inlineStr">
        <is>
          <t>GOTLAND</t>
        </is>
      </c>
      <c r="G384" t="n">
        <v>1.9</v>
      </c>
      <c r="H384" t="n">
        <v>0</v>
      </c>
      <c r="I384" t="n">
        <v>0</v>
      </c>
      <c r="J384" t="n">
        <v>0</v>
      </c>
      <c r="K384" t="n">
        <v>0</v>
      </c>
      <c r="L384" t="n">
        <v>0</v>
      </c>
      <c r="M384" t="n">
        <v>0</v>
      </c>
      <c r="N384" t="n">
        <v>0</v>
      </c>
      <c r="O384" t="n">
        <v>0</v>
      </c>
      <c r="P384" t="n">
        <v>0</v>
      </c>
      <c r="Q384" t="n">
        <v>0</v>
      </c>
      <c r="R384" s="2" t="inlineStr"/>
    </row>
    <row r="385" ht="15" customHeight="1">
      <c r="A385" t="inlineStr">
        <is>
          <t>A 49411-2023</t>
        </is>
      </c>
      <c r="B385" s="1" t="n">
        <v>45205</v>
      </c>
      <c r="C385" s="1" t="n">
        <v>46060</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37728-2024</t>
        </is>
      </c>
      <c r="B386" s="1" t="n">
        <v>45541</v>
      </c>
      <c r="C386" s="1" t="n">
        <v>46060</v>
      </c>
      <c r="D386" t="inlineStr">
        <is>
          <t>GOTLANDS LÄN</t>
        </is>
      </c>
      <c r="E386" t="inlineStr">
        <is>
          <t>GOTLAND</t>
        </is>
      </c>
      <c r="G386" t="n">
        <v>0.4</v>
      </c>
      <c r="H386" t="n">
        <v>0</v>
      </c>
      <c r="I386" t="n">
        <v>0</v>
      </c>
      <c r="J386" t="n">
        <v>0</v>
      </c>
      <c r="K386" t="n">
        <v>0</v>
      </c>
      <c r="L386" t="n">
        <v>0</v>
      </c>
      <c r="M386" t="n">
        <v>0</v>
      </c>
      <c r="N386" t="n">
        <v>0</v>
      </c>
      <c r="O386" t="n">
        <v>0</v>
      </c>
      <c r="P386" t="n">
        <v>0</v>
      </c>
      <c r="Q386" t="n">
        <v>0</v>
      </c>
      <c r="R386" s="2" t="inlineStr"/>
    </row>
    <row r="387" ht="15" customHeight="1">
      <c r="A387" t="inlineStr">
        <is>
          <t>A 2241-2025</t>
        </is>
      </c>
      <c r="B387" s="1" t="n">
        <v>45673.48710648148</v>
      </c>
      <c r="C387" s="1" t="n">
        <v>46060</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30488-2025</t>
        </is>
      </c>
      <c r="B388" s="1" t="n">
        <v>45830</v>
      </c>
      <c r="C388" s="1" t="n">
        <v>46060</v>
      </c>
      <c r="D388" t="inlineStr">
        <is>
          <t>GOTLANDS LÄN</t>
        </is>
      </c>
      <c r="E388" t="inlineStr">
        <is>
          <t>GOTLAND</t>
        </is>
      </c>
      <c r="F388" t="inlineStr">
        <is>
          <t>Kyrkan</t>
        </is>
      </c>
      <c r="G388" t="n">
        <v>3.9</v>
      </c>
      <c r="H388" t="n">
        <v>0</v>
      </c>
      <c r="I388" t="n">
        <v>0</v>
      </c>
      <c r="J388" t="n">
        <v>0</v>
      </c>
      <c r="K388" t="n">
        <v>0</v>
      </c>
      <c r="L388" t="n">
        <v>0</v>
      </c>
      <c r="M388" t="n">
        <v>0</v>
      </c>
      <c r="N388" t="n">
        <v>0</v>
      </c>
      <c r="O388" t="n">
        <v>0</v>
      </c>
      <c r="P388" t="n">
        <v>0</v>
      </c>
      <c r="Q388" t="n">
        <v>0</v>
      </c>
      <c r="R388" s="2" t="inlineStr"/>
    </row>
    <row r="389" ht="15" customHeight="1">
      <c r="A389" t="inlineStr">
        <is>
          <t>A 15216-2025</t>
        </is>
      </c>
      <c r="B389" s="1" t="n">
        <v>45744</v>
      </c>
      <c r="C389" s="1" t="n">
        <v>46060</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15001-2025</t>
        </is>
      </c>
      <c r="B390" s="1" t="n">
        <v>45743</v>
      </c>
      <c r="C390" s="1" t="n">
        <v>46060</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43790-2024</t>
        </is>
      </c>
      <c r="B391" s="1" t="n">
        <v>45571</v>
      </c>
      <c r="C391" s="1" t="n">
        <v>46060</v>
      </c>
      <c r="D391" t="inlineStr">
        <is>
          <t>GOTLANDS LÄN</t>
        </is>
      </c>
      <c r="E391" t="inlineStr">
        <is>
          <t>GOTLAND</t>
        </is>
      </c>
      <c r="G391" t="n">
        <v>3.5</v>
      </c>
      <c r="H391" t="n">
        <v>0</v>
      </c>
      <c r="I391" t="n">
        <v>0</v>
      </c>
      <c r="J391" t="n">
        <v>0</v>
      </c>
      <c r="K391" t="n">
        <v>0</v>
      </c>
      <c r="L391" t="n">
        <v>0</v>
      </c>
      <c r="M391" t="n">
        <v>0</v>
      </c>
      <c r="N391" t="n">
        <v>0</v>
      </c>
      <c r="O391" t="n">
        <v>0</v>
      </c>
      <c r="P391" t="n">
        <v>0</v>
      </c>
      <c r="Q391" t="n">
        <v>0</v>
      </c>
      <c r="R391" s="2" t="inlineStr"/>
    </row>
    <row r="392" ht="15" customHeight="1">
      <c r="A392" t="inlineStr">
        <is>
          <t>A 17847-2025</t>
        </is>
      </c>
      <c r="B392" s="1" t="n">
        <v>45758</v>
      </c>
      <c r="C392" s="1" t="n">
        <v>46060</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52249-2025</t>
        </is>
      </c>
      <c r="B393" s="1" t="n">
        <v>45953.48637731482</v>
      </c>
      <c r="C393" s="1" t="n">
        <v>46060</v>
      </c>
      <c r="D393" t="inlineStr">
        <is>
          <t>GOTLANDS LÄN</t>
        </is>
      </c>
      <c r="E393" t="inlineStr">
        <is>
          <t>GOTLAND</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18742-2025</t>
        </is>
      </c>
      <c r="B394" s="1" t="n">
        <v>45763</v>
      </c>
      <c r="C394" s="1" t="n">
        <v>46060</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35129-2025</t>
        </is>
      </c>
      <c r="B395" s="1" t="n">
        <v>45852.63224537037</v>
      </c>
      <c r="C395" s="1" t="n">
        <v>46060</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52637-2025</t>
        </is>
      </c>
      <c r="B396" s="1" t="n">
        <v>45954.75099537037</v>
      </c>
      <c r="C396" s="1" t="n">
        <v>46060</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22275-2023</t>
        </is>
      </c>
      <c r="B397" s="1" t="n">
        <v>45070.39875</v>
      </c>
      <c r="C397" s="1" t="n">
        <v>46060</v>
      </c>
      <c r="D397" t="inlineStr">
        <is>
          <t>GOTLANDS LÄN</t>
        </is>
      </c>
      <c r="E397" t="inlineStr">
        <is>
          <t>GOTLAND</t>
        </is>
      </c>
      <c r="G397" t="n">
        <v>7.2</v>
      </c>
      <c r="H397" t="n">
        <v>0</v>
      </c>
      <c r="I397" t="n">
        <v>0</v>
      </c>
      <c r="J397" t="n">
        <v>0</v>
      </c>
      <c r="K397" t="n">
        <v>0</v>
      </c>
      <c r="L397" t="n">
        <v>0</v>
      </c>
      <c r="M397" t="n">
        <v>0</v>
      </c>
      <c r="N397" t="n">
        <v>0</v>
      </c>
      <c r="O397" t="n">
        <v>0</v>
      </c>
      <c r="P397" t="n">
        <v>0</v>
      </c>
      <c r="Q397" t="n">
        <v>0</v>
      </c>
      <c r="R397" s="2" t="inlineStr"/>
    </row>
    <row r="398" ht="15" customHeight="1">
      <c r="A398" t="inlineStr">
        <is>
          <t>A 14635-2023</t>
        </is>
      </c>
      <c r="B398" s="1" t="n">
        <v>45013.69365740741</v>
      </c>
      <c r="C398" s="1" t="n">
        <v>46060</v>
      </c>
      <c r="D398" t="inlineStr">
        <is>
          <t>GOTLANDS LÄN</t>
        </is>
      </c>
      <c r="E398" t="inlineStr">
        <is>
          <t>GOTLAND</t>
        </is>
      </c>
      <c r="G398" t="n">
        <v>3.1</v>
      </c>
      <c r="H398" t="n">
        <v>0</v>
      </c>
      <c r="I398" t="n">
        <v>0</v>
      </c>
      <c r="J398" t="n">
        <v>0</v>
      </c>
      <c r="K398" t="n">
        <v>0</v>
      </c>
      <c r="L398" t="n">
        <v>0</v>
      </c>
      <c r="M398" t="n">
        <v>0</v>
      </c>
      <c r="N398" t="n">
        <v>0</v>
      </c>
      <c r="O398" t="n">
        <v>0</v>
      </c>
      <c r="P398" t="n">
        <v>0</v>
      </c>
      <c r="Q398" t="n">
        <v>0</v>
      </c>
      <c r="R398" s="2" t="inlineStr"/>
    </row>
    <row r="399" ht="15" customHeight="1">
      <c r="A399" t="inlineStr">
        <is>
          <t>A 63763-2023</t>
        </is>
      </c>
      <c r="B399" s="1" t="n">
        <v>45278.33944444444</v>
      </c>
      <c r="C399" s="1" t="n">
        <v>46060</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7635-2025</t>
        </is>
      </c>
      <c r="B400" s="1" t="n">
        <v>45705</v>
      </c>
      <c r="C400" s="1" t="n">
        <v>46060</v>
      </c>
      <c r="D400" t="inlineStr">
        <is>
          <t>GOTLANDS LÄN</t>
        </is>
      </c>
      <c r="E400" t="inlineStr">
        <is>
          <t>GOTLAND</t>
        </is>
      </c>
      <c r="G400" t="n">
        <v>0.9</v>
      </c>
      <c r="H400" t="n">
        <v>0</v>
      </c>
      <c r="I400" t="n">
        <v>0</v>
      </c>
      <c r="J400" t="n">
        <v>0</v>
      </c>
      <c r="K400" t="n">
        <v>0</v>
      </c>
      <c r="L400" t="n">
        <v>0</v>
      </c>
      <c r="M400" t="n">
        <v>0</v>
      </c>
      <c r="N400" t="n">
        <v>0</v>
      </c>
      <c r="O400" t="n">
        <v>0</v>
      </c>
      <c r="P400" t="n">
        <v>0</v>
      </c>
      <c r="Q400" t="n">
        <v>0</v>
      </c>
      <c r="R400" s="2" t="inlineStr"/>
    </row>
    <row r="401" ht="15" customHeight="1">
      <c r="A401" t="inlineStr">
        <is>
          <t>A 7636-2025</t>
        </is>
      </c>
      <c r="B401" s="1" t="n">
        <v>45705.7687962963</v>
      </c>
      <c r="C401" s="1" t="n">
        <v>46060</v>
      </c>
      <c r="D401" t="inlineStr">
        <is>
          <t>GOTLANDS LÄN</t>
        </is>
      </c>
      <c r="E401" t="inlineStr">
        <is>
          <t>GOTLAND</t>
        </is>
      </c>
      <c r="G401" t="n">
        <v>0.6</v>
      </c>
      <c r="H401" t="n">
        <v>0</v>
      </c>
      <c r="I401" t="n">
        <v>0</v>
      </c>
      <c r="J401" t="n">
        <v>0</v>
      </c>
      <c r="K401" t="n">
        <v>0</v>
      </c>
      <c r="L401" t="n">
        <v>0</v>
      </c>
      <c r="M401" t="n">
        <v>0</v>
      </c>
      <c r="N401" t="n">
        <v>0</v>
      </c>
      <c r="O401" t="n">
        <v>0</v>
      </c>
      <c r="P401" t="n">
        <v>0</v>
      </c>
      <c r="Q401" t="n">
        <v>0</v>
      </c>
      <c r="R401" s="2" t="inlineStr"/>
    </row>
    <row r="402" ht="15" customHeight="1">
      <c r="A402" t="inlineStr">
        <is>
          <t>A 7639-2025</t>
        </is>
      </c>
      <c r="B402" s="1" t="n">
        <v>45705.77465277778</v>
      </c>
      <c r="C402" s="1" t="n">
        <v>46060</v>
      </c>
      <c r="D402" t="inlineStr">
        <is>
          <t>GOTLANDS LÄN</t>
        </is>
      </c>
      <c r="E402" t="inlineStr">
        <is>
          <t>GOTLAND</t>
        </is>
      </c>
      <c r="G402" t="n">
        <v>1</v>
      </c>
      <c r="H402" t="n">
        <v>0</v>
      </c>
      <c r="I402" t="n">
        <v>0</v>
      </c>
      <c r="J402" t="n">
        <v>0</v>
      </c>
      <c r="K402" t="n">
        <v>0</v>
      </c>
      <c r="L402" t="n">
        <v>0</v>
      </c>
      <c r="M402" t="n">
        <v>0</v>
      </c>
      <c r="N402" t="n">
        <v>0</v>
      </c>
      <c r="O402" t="n">
        <v>0</v>
      </c>
      <c r="P402" t="n">
        <v>0</v>
      </c>
      <c r="Q402" t="n">
        <v>0</v>
      </c>
      <c r="R402" s="2" t="inlineStr"/>
    </row>
    <row r="403" ht="15" customHeight="1">
      <c r="A403" t="inlineStr">
        <is>
          <t>A 61682-2024</t>
        </is>
      </c>
      <c r="B403" s="1" t="n">
        <v>45647.48824074074</v>
      </c>
      <c r="C403" s="1" t="n">
        <v>46060</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15434-2024</t>
        </is>
      </c>
      <c r="B404" s="1" t="n">
        <v>45401.38836805556</v>
      </c>
      <c r="C404" s="1" t="n">
        <v>46060</v>
      </c>
      <c r="D404" t="inlineStr">
        <is>
          <t>GOTLANDS LÄN</t>
        </is>
      </c>
      <c r="E404" t="inlineStr">
        <is>
          <t>GOTLAND</t>
        </is>
      </c>
      <c r="G404" t="n">
        <v>2.5</v>
      </c>
      <c r="H404" t="n">
        <v>0</v>
      </c>
      <c r="I404" t="n">
        <v>0</v>
      </c>
      <c r="J404" t="n">
        <v>0</v>
      </c>
      <c r="K404" t="n">
        <v>0</v>
      </c>
      <c r="L404" t="n">
        <v>0</v>
      </c>
      <c r="M404" t="n">
        <v>0</v>
      </c>
      <c r="N404" t="n">
        <v>0</v>
      </c>
      <c r="O404" t="n">
        <v>0</v>
      </c>
      <c r="P404" t="n">
        <v>0</v>
      </c>
      <c r="Q404" t="n">
        <v>0</v>
      </c>
      <c r="R404" s="2" t="inlineStr"/>
    </row>
    <row r="405" ht="15" customHeight="1">
      <c r="A405" t="inlineStr">
        <is>
          <t>A 7034-2023</t>
        </is>
      </c>
      <c r="B405" s="1" t="n">
        <v>44968.32108796296</v>
      </c>
      <c r="C405" s="1" t="n">
        <v>46060</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7042-2023</t>
        </is>
      </c>
      <c r="B406" s="1" t="n">
        <v>44968</v>
      </c>
      <c r="C406" s="1" t="n">
        <v>46060</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2180-2025</t>
        </is>
      </c>
      <c r="B407" s="1" t="n">
        <v>45673</v>
      </c>
      <c r="C407" s="1" t="n">
        <v>46060</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53577-2025</t>
        </is>
      </c>
      <c r="B408" s="1" t="n">
        <v>45960.42224537037</v>
      </c>
      <c r="C408" s="1" t="n">
        <v>46060</v>
      </c>
      <c r="D408" t="inlineStr">
        <is>
          <t>GOTLANDS LÄN</t>
        </is>
      </c>
      <c r="E408" t="inlineStr">
        <is>
          <t>GOTLAND</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54074-2022</t>
        </is>
      </c>
      <c r="B409" s="1" t="n">
        <v>44881</v>
      </c>
      <c r="C409" s="1" t="n">
        <v>46060</v>
      </c>
      <c r="D409" t="inlineStr">
        <is>
          <t>GOTLANDS LÄN</t>
        </is>
      </c>
      <c r="E409" t="inlineStr">
        <is>
          <t>GOTLAND</t>
        </is>
      </c>
      <c r="G409" t="n">
        <v>0.9</v>
      </c>
      <c r="H409" t="n">
        <v>0</v>
      </c>
      <c r="I409" t="n">
        <v>0</v>
      </c>
      <c r="J409" t="n">
        <v>0</v>
      </c>
      <c r="K409" t="n">
        <v>0</v>
      </c>
      <c r="L409" t="n">
        <v>0</v>
      </c>
      <c r="M409" t="n">
        <v>0</v>
      </c>
      <c r="N409" t="n">
        <v>0</v>
      </c>
      <c r="O409" t="n">
        <v>0</v>
      </c>
      <c r="P409" t="n">
        <v>0</v>
      </c>
      <c r="Q409" t="n">
        <v>0</v>
      </c>
      <c r="R409" s="2" t="inlineStr"/>
    </row>
    <row r="410" ht="15" customHeight="1">
      <c r="A410" t="inlineStr">
        <is>
          <t>A 61694-2023</t>
        </is>
      </c>
      <c r="B410" s="1" t="n">
        <v>45264</v>
      </c>
      <c r="C410" s="1" t="n">
        <v>46060</v>
      </c>
      <c r="D410" t="inlineStr">
        <is>
          <t>GOTLANDS LÄN</t>
        </is>
      </c>
      <c r="E410" t="inlineStr">
        <is>
          <t>GOTLAND</t>
        </is>
      </c>
      <c r="G410" t="n">
        <v>4.6</v>
      </c>
      <c r="H410" t="n">
        <v>0</v>
      </c>
      <c r="I410" t="n">
        <v>0</v>
      </c>
      <c r="J410" t="n">
        <v>0</v>
      </c>
      <c r="K410" t="n">
        <v>0</v>
      </c>
      <c r="L410" t="n">
        <v>0</v>
      </c>
      <c r="M410" t="n">
        <v>0</v>
      </c>
      <c r="N410" t="n">
        <v>0</v>
      </c>
      <c r="O410" t="n">
        <v>0</v>
      </c>
      <c r="P410" t="n">
        <v>0</v>
      </c>
      <c r="Q410" t="n">
        <v>0</v>
      </c>
      <c r="R410" s="2" t="inlineStr"/>
    </row>
    <row r="411" ht="15" customHeight="1">
      <c r="A411" t="inlineStr">
        <is>
          <t>A 64208-2021</t>
        </is>
      </c>
      <c r="B411" s="1" t="n">
        <v>44510</v>
      </c>
      <c r="C411" s="1" t="n">
        <v>46060</v>
      </c>
      <c r="D411" t="inlineStr">
        <is>
          <t>GOTLANDS LÄN</t>
        </is>
      </c>
      <c r="E411" t="inlineStr">
        <is>
          <t>GOTLAND</t>
        </is>
      </c>
      <c r="G411" t="n">
        <v>4.7</v>
      </c>
      <c r="H411" t="n">
        <v>0</v>
      </c>
      <c r="I411" t="n">
        <v>0</v>
      </c>
      <c r="J411" t="n">
        <v>0</v>
      </c>
      <c r="K411" t="n">
        <v>0</v>
      </c>
      <c r="L411" t="n">
        <v>0</v>
      </c>
      <c r="M411" t="n">
        <v>0</v>
      </c>
      <c r="N411" t="n">
        <v>0</v>
      </c>
      <c r="O411" t="n">
        <v>0</v>
      </c>
      <c r="P411" t="n">
        <v>0</v>
      </c>
      <c r="Q411" t="n">
        <v>0</v>
      </c>
      <c r="R411" s="2" t="inlineStr"/>
    </row>
    <row r="412" ht="15" customHeight="1">
      <c r="A412" t="inlineStr">
        <is>
          <t>A 53569-2025</t>
        </is>
      </c>
      <c r="B412" s="1" t="n">
        <v>45960.41155092593</v>
      </c>
      <c r="C412" s="1" t="n">
        <v>46060</v>
      </c>
      <c r="D412" t="inlineStr">
        <is>
          <t>GOTLANDS LÄN</t>
        </is>
      </c>
      <c r="E412" t="inlineStr">
        <is>
          <t>GOTLAND</t>
        </is>
      </c>
      <c r="F412" t="inlineStr">
        <is>
          <t>Övriga Aktiebolag</t>
        </is>
      </c>
      <c r="G412" t="n">
        <v>11.3</v>
      </c>
      <c r="H412" t="n">
        <v>0</v>
      </c>
      <c r="I412" t="n">
        <v>0</v>
      </c>
      <c r="J412" t="n">
        <v>0</v>
      </c>
      <c r="K412" t="n">
        <v>0</v>
      </c>
      <c r="L412" t="n">
        <v>0</v>
      </c>
      <c r="M412" t="n">
        <v>0</v>
      </c>
      <c r="N412" t="n">
        <v>0</v>
      </c>
      <c r="O412" t="n">
        <v>0</v>
      </c>
      <c r="P412" t="n">
        <v>0</v>
      </c>
      <c r="Q412" t="n">
        <v>0</v>
      </c>
      <c r="R412" s="2" t="inlineStr"/>
    </row>
    <row r="413" ht="15" customHeight="1">
      <c r="A413" t="inlineStr">
        <is>
          <t>A 30489-2025</t>
        </is>
      </c>
      <c r="B413" s="1" t="n">
        <v>45830</v>
      </c>
      <c r="C413" s="1" t="n">
        <v>46060</v>
      </c>
      <c r="D413" t="inlineStr">
        <is>
          <t>GOTLANDS LÄN</t>
        </is>
      </c>
      <c r="E413" t="inlineStr">
        <is>
          <t>GOTLAND</t>
        </is>
      </c>
      <c r="G413" t="n">
        <v>4.6</v>
      </c>
      <c r="H413" t="n">
        <v>0</v>
      </c>
      <c r="I413" t="n">
        <v>0</v>
      </c>
      <c r="J413" t="n">
        <v>0</v>
      </c>
      <c r="K413" t="n">
        <v>0</v>
      </c>
      <c r="L413" t="n">
        <v>0</v>
      </c>
      <c r="M413" t="n">
        <v>0</v>
      </c>
      <c r="N413" t="n">
        <v>0</v>
      </c>
      <c r="O413" t="n">
        <v>0</v>
      </c>
      <c r="P413" t="n">
        <v>0</v>
      </c>
      <c r="Q413" t="n">
        <v>0</v>
      </c>
      <c r="R413" s="2" t="inlineStr"/>
    </row>
    <row r="414" ht="15" customHeight="1">
      <c r="A414" t="inlineStr">
        <is>
          <t>A 21142-2025</t>
        </is>
      </c>
      <c r="B414" s="1" t="n">
        <v>45779</v>
      </c>
      <c r="C414" s="1" t="n">
        <v>46060</v>
      </c>
      <c r="D414" t="inlineStr">
        <is>
          <t>GOTLANDS LÄN</t>
        </is>
      </c>
      <c r="E414" t="inlineStr">
        <is>
          <t>GOTLAND</t>
        </is>
      </c>
      <c r="G414" t="n">
        <v>1.3</v>
      </c>
      <c r="H414" t="n">
        <v>0</v>
      </c>
      <c r="I414" t="n">
        <v>0</v>
      </c>
      <c r="J414" t="n">
        <v>0</v>
      </c>
      <c r="K414" t="n">
        <v>0</v>
      </c>
      <c r="L414" t="n">
        <v>0</v>
      </c>
      <c r="M414" t="n">
        <v>0</v>
      </c>
      <c r="N414" t="n">
        <v>0</v>
      </c>
      <c r="O414" t="n">
        <v>0</v>
      </c>
      <c r="P414" t="n">
        <v>0</v>
      </c>
      <c r="Q414" t="n">
        <v>0</v>
      </c>
      <c r="R414" s="2" t="inlineStr"/>
    </row>
    <row r="415" ht="15" customHeight="1">
      <c r="A415" t="inlineStr">
        <is>
          <t>A 54268-2022</t>
        </is>
      </c>
      <c r="B415" s="1" t="n">
        <v>44882</v>
      </c>
      <c r="C415" s="1" t="n">
        <v>46060</v>
      </c>
      <c r="D415" t="inlineStr">
        <is>
          <t>GOTLANDS LÄN</t>
        </is>
      </c>
      <c r="E415" t="inlineStr">
        <is>
          <t>GOTLAND</t>
        </is>
      </c>
      <c r="G415" t="n">
        <v>2.7</v>
      </c>
      <c r="H415" t="n">
        <v>0</v>
      </c>
      <c r="I415" t="n">
        <v>0</v>
      </c>
      <c r="J415" t="n">
        <v>0</v>
      </c>
      <c r="K415" t="n">
        <v>0</v>
      </c>
      <c r="L415" t="n">
        <v>0</v>
      </c>
      <c r="M415" t="n">
        <v>0</v>
      </c>
      <c r="N415" t="n">
        <v>0</v>
      </c>
      <c r="O415" t="n">
        <v>0</v>
      </c>
      <c r="P415" t="n">
        <v>0</v>
      </c>
      <c r="Q415" t="n">
        <v>0</v>
      </c>
      <c r="R415" s="2" t="inlineStr"/>
    </row>
    <row r="416" ht="15" customHeight="1">
      <c r="A416" t="inlineStr">
        <is>
          <t>A 6108-2025</t>
        </is>
      </c>
      <c r="B416" s="1" t="n">
        <v>45698.29880787037</v>
      </c>
      <c r="C416" s="1" t="n">
        <v>46060</v>
      </c>
      <c r="D416" t="inlineStr">
        <is>
          <t>GOTLANDS LÄN</t>
        </is>
      </c>
      <c r="E416" t="inlineStr">
        <is>
          <t>GOTLAND</t>
        </is>
      </c>
      <c r="G416" t="n">
        <v>2.8</v>
      </c>
      <c r="H416" t="n">
        <v>0</v>
      </c>
      <c r="I416" t="n">
        <v>0</v>
      </c>
      <c r="J416" t="n">
        <v>0</v>
      </c>
      <c r="K416" t="n">
        <v>0</v>
      </c>
      <c r="L416" t="n">
        <v>0</v>
      </c>
      <c r="M416" t="n">
        <v>0</v>
      </c>
      <c r="N416" t="n">
        <v>0</v>
      </c>
      <c r="O416" t="n">
        <v>0</v>
      </c>
      <c r="P416" t="n">
        <v>0</v>
      </c>
      <c r="Q416" t="n">
        <v>0</v>
      </c>
      <c r="R416" s="2" t="inlineStr"/>
    </row>
    <row r="417" ht="15" customHeight="1">
      <c r="A417" t="inlineStr">
        <is>
          <t>A 1446-2025</t>
        </is>
      </c>
      <c r="B417" s="1" t="n">
        <v>45669.86035879629</v>
      </c>
      <c r="C417" s="1" t="n">
        <v>46060</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1462-2025</t>
        </is>
      </c>
      <c r="B418" s="1" t="n">
        <v>45670.36319444444</v>
      </c>
      <c r="C418" s="1" t="n">
        <v>46060</v>
      </c>
      <c r="D418" t="inlineStr">
        <is>
          <t>GOTLANDS LÄN</t>
        </is>
      </c>
      <c r="E418" t="inlineStr">
        <is>
          <t>GOTLAND</t>
        </is>
      </c>
      <c r="G418" t="n">
        <v>2.8</v>
      </c>
      <c r="H418" t="n">
        <v>0</v>
      </c>
      <c r="I418" t="n">
        <v>0</v>
      </c>
      <c r="J418" t="n">
        <v>0</v>
      </c>
      <c r="K418" t="n">
        <v>0</v>
      </c>
      <c r="L418" t="n">
        <v>0</v>
      </c>
      <c r="M418" t="n">
        <v>0</v>
      </c>
      <c r="N418" t="n">
        <v>0</v>
      </c>
      <c r="O418" t="n">
        <v>0</v>
      </c>
      <c r="P418" t="n">
        <v>0</v>
      </c>
      <c r="Q418" t="n">
        <v>0</v>
      </c>
      <c r="R418" s="2" t="inlineStr"/>
    </row>
    <row r="419" ht="15" customHeight="1">
      <c r="A419" t="inlineStr">
        <is>
          <t>A 57685-2022</t>
        </is>
      </c>
      <c r="B419" s="1" t="n">
        <v>44897.4777662037</v>
      </c>
      <c r="C419" s="1" t="n">
        <v>46060</v>
      </c>
      <c r="D419" t="inlineStr">
        <is>
          <t>GOTLANDS LÄN</t>
        </is>
      </c>
      <c r="E419" t="inlineStr">
        <is>
          <t>GOTLAND</t>
        </is>
      </c>
      <c r="G419" t="n">
        <v>3.7</v>
      </c>
      <c r="H419" t="n">
        <v>0</v>
      </c>
      <c r="I419" t="n">
        <v>0</v>
      </c>
      <c r="J419" t="n">
        <v>0</v>
      </c>
      <c r="K419" t="n">
        <v>0</v>
      </c>
      <c r="L419" t="n">
        <v>0</v>
      </c>
      <c r="M419" t="n">
        <v>0</v>
      </c>
      <c r="N419" t="n">
        <v>0</v>
      </c>
      <c r="O419" t="n">
        <v>0</v>
      </c>
      <c r="P419" t="n">
        <v>0</v>
      </c>
      <c r="Q419" t="n">
        <v>0</v>
      </c>
      <c r="R419" s="2" t="inlineStr"/>
    </row>
    <row r="420" ht="15" customHeight="1">
      <c r="A420" t="inlineStr">
        <is>
          <t>A 811-2023</t>
        </is>
      </c>
      <c r="B420" s="1" t="n">
        <v>44931</v>
      </c>
      <c r="C420" s="1" t="n">
        <v>46060</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17343-2025</t>
        </is>
      </c>
      <c r="B421" s="1" t="n">
        <v>45756.6687037037</v>
      </c>
      <c r="C421" s="1" t="n">
        <v>46060</v>
      </c>
      <c r="D421" t="inlineStr">
        <is>
          <t>GOTLANDS LÄN</t>
        </is>
      </c>
      <c r="E421" t="inlineStr">
        <is>
          <t>GOTLAND</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18938-2025</t>
        </is>
      </c>
      <c r="B422" s="1" t="n">
        <v>45764.49172453704</v>
      </c>
      <c r="C422" s="1" t="n">
        <v>46060</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20307-2025</t>
        </is>
      </c>
      <c r="B423" s="1" t="n">
        <v>45774.95546296296</v>
      </c>
      <c r="C423" s="1" t="n">
        <v>46060</v>
      </c>
      <c r="D423" t="inlineStr">
        <is>
          <t>GOTLANDS LÄN</t>
        </is>
      </c>
      <c r="E423" t="inlineStr">
        <is>
          <t>GOTLAND</t>
        </is>
      </c>
      <c r="G423" t="n">
        <v>6.8</v>
      </c>
      <c r="H423" t="n">
        <v>0</v>
      </c>
      <c r="I423" t="n">
        <v>0</v>
      </c>
      <c r="J423" t="n">
        <v>0</v>
      </c>
      <c r="K423" t="n">
        <v>0</v>
      </c>
      <c r="L423" t="n">
        <v>0</v>
      </c>
      <c r="M423" t="n">
        <v>0</v>
      </c>
      <c r="N423" t="n">
        <v>0</v>
      </c>
      <c r="O423" t="n">
        <v>0</v>
      </c>
      <c r="P423" t="n">
        <v>0</v>
      </c>
      <c r="Q423" t="n">
        <v>0</v>
      </c>
      <c r="R423" s="2" t="inlineStr"/>
    </row>
    <row r="424" ht="15" customHeight="1">
      <c r="A424" t="inlineStr">
        <is>
          <t>A 5905-2024</t>
        </is>
      </c>
      <c r="B424" s="1" t="n">
        <v>45335.88993055555</v>
      </c>
      <c r="C424" s="1" t="n">
        <v>46060</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3431-2025</t>
        </is>
      </c>
      <c r="B425" s="1" t="n">
        <v>45680.42935185185</v>
      </c>
      <c r="C425" s="1" t="n">
        <v>46060</v>
      </c>
      <c r="D425" t="inlineStr">
        <is>
          <t>GOTLANDS LÄN</t>
        </is>
      </c>
      <c r="E425" t="inlineStr">
        <is>
          <t>GOTLAND</t>
        </is>
      </c>
      <c r="G425" t="n">
        <v>4.8</v>
      </c>
      <c r="H425" t="n">
        <v>0</v>
      </c>
      <c r="I425" t="n">
        <v>0</v>
      </c>
      <c r="J425" t="n">
        <v>0</v>
      </c>
      <c r="K425" t="n">
        <v>0</v>
      </c>
      <c r="L425" t="n">
        <v>0</v>
      </c>
      <c r="M425" t="n">
        <v>0</v>
      </c>
      <c r="N425" t="n">
        <v>0</v>
      </c>
      <c r="O425" t="n">
        <v>0</v>
      </c>
      <c r="P425" t="n">
        <v>0</v>
      </c>
      <c r="Q425" t="n">
        <v>0</v>
      </c>
      <c r="R425" s="2" t="inlineStr"/>
    </row>
    <row r="426" ht="15" customHeight="1">
      <c r="A426" t="inlineStr">
        <is>
          <t>A 34407-2023</t>
        </is>
      </c>
      <c r="B426" s="1" t="n">
        <v>45132</v>
      </c>
      <c r="C426" s="1" t="n">
        <v>46060</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30892-2024</t>
        </is>
      </c>
      <c r="B427" s="1" t="n">
        <v>45491</v>
      </c>
      <c r="C427" s="1" t="n">
        <v>46060</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32958-2021</t>
        </is>
      </c>
      <c r="B428" s="1" t="n">
        <v>44376</v>
      </c>
      <c r="C428" s="1" t="n">
        <v>46060</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7858-2025</t>
        </is>
      </c>
      <c r="B429" s="1" t="n">
        <v>45706.68633101852</v>
      </c>
      <c r="C429" s="1" t="n">
        <v>46060</v>
      </c>
      <c r="D429" t="inlineStr">
        <is>
          <t>GOTLANDS LÄN</t>
        </is>
      </c>
      <c r="E429" t="inlineStr">
        <is>
          <t>GOTLAND</t>
        </is>
      </c>
      <c r="G429" t="n">
        <v>3</v>
      </c>
      <c r="H429" t="n">
        <v>0</v>
      </c>
      <c r="I429" t="n">
        <v>0</v>
      </c>
      <c r="J429" t="n">
        <v>0</v>
      </c>
      <c r="K429" t="n">
        <v>0</v>
      </c>
      <c r="L429" t="n">
        <v>0</v>
      </c>
      <c r="M429" t="n">
        <v>0</v>
      </c>
      <c r="N429" t="n">
        <v>0</v>
      </c>
      <c r="O429" t="n">
        <v>0</v>
      </c>
      <c r="P429" t="n">
        <v>0</v>
      </c>
      <c r="Q429" t="n">
        <v>0</v>
      </c>
      <c r="R429" s="2" t="inlineStr"/>
    </row>
    <row r="430" ht="15" customHeight="1">
      <c r="A430" t="inlineStr">
        <is>
          <t>A 46545-2024</t>
        </is>
      </c>
      <c r="B430" s="1" t="n">
        <v>45582.65831018519</v>
      </c>
      <c r="C430" s="1" t="n">
        <v>46060</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999-2023</t>
        </is>
      </c>
      <c r="B431" s="1" t="n">
        <v>44935</v>
      </c>
      <c r="C431" s="1" t="n">
        <v>46060</v>
      </c>
      <c r="D431" t="inlineStr">
        <is>
          <t>GOTLANDS LÄN</t>
        </is>
      </c>
      <c r="E431" t="inlineStr">
        <is>
          <t>GOTLAND</t>
        </is>
      </c>
      <c r="G431" t="n">
        <v>4.7</v>
      </c>
      <c r="H431" t="n">
        <v>0</v>
      </c>
      <c r="I431" t="n">
        <v>0</v>
      </c>
      <c r="J431" t="n">
        <v>0</v>
      </c>
      <c r="K431" t="n">
        <v>0</v>
      </c>
      <c r="L431" t="n">
        <v>0</v>
      </c>
      <c r="M431" t="n">
        <v>0</v>
      </c>
      <c r="N431" t="n">
        <v>0</v>
      </c>
      <c r="O431" t="n">
        <v>0</v>
      </c>
      <c r="P431" t="n">
        <v>0</v>
      </c>
      <c r="Q431" t="n">
        <v>0</v>
      </c>
      <c r="R431" s="2" t="inlineStr"/>
    </row>
    <row r="432" ht="15" customHeight="1">
      <c r="A432" t="inlineStr">
        <is>
          <t>A 1364-2025</t>
        </is>
      </c>
      <c r="B432" s="1" t="n">
        <v>45667.63929398148</v>
      </c>
      <c r="C432" s="1" t="n">
        <v>46060</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2125-2025</t>
        </is>
      </c>
      <c r="B433" s="1" t="n">
        <v>45672.64940972222</v>
      </c>
      <c r="C433" s="1" t="n">
        <v>46060</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18993-2025</t>
        </is>
      </c>
      <c r="B434" s="1" t="n">
        <v>45764</v>
      </c>
      <c r="C434" s="1" t="n">
        <v>46060</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30135-2025</t>
        </is>
      </c>
      <c r="B435" s="1" t="n">
        <v>45826</v>
      </c>
      <c r="C435" s="1" t="n">
        <v>46060</v>
      </c>
      <c r="D435" t="inlineStr">
        <is>
          <t>GOTLANDS LÄN</t>
        </is>
      </c>
      <c r="E435" t="inlineStr">
        <is>
          <t>GOTLAND</t>
        </is>
      </c>
      <c r="G435" t="n">
        <v>2.7</v>
      </c>
      <c r="H435" t="n">
        <v>0</v>
      </c>
      <c r="I435" t="n">
        <v>0</v>
      </c>
      <c r="J435" t="n">
        <v>0</v>
      </c>
      <c r="K435" t="n">
        <v>0</v>
      </c>
      <c r="L435" t="n">
        <v>0</v>
      </c>
      <c r="M435" t="n">
        <v>0</v>
      </c>
      <c r="N435" t="n">
        <v>0</v>
      </c>
      <c r="O435" t="n">
        <v>0</v>
      </c>
      <c r="P435" t="n">
        <v>0</v>
      </c>
      <c r="Q435" t="n">
        <v>0</v>
      </c>
      <c r="R435" s="2" t="inlineStr"/>
    </row>
    <row r="436" ht="15" customHeight="1">
      <c r="A436" t="inlineStr">
        <is>
          <t>A 12599-2025</t>
        </is>
      </c>
      <c r="B436" s="1" t="n">
        <v>45733.29546296296</v>
      </c>
      <c r="C436" s="1" t="n">
        <v>46060</v>
      </c>
      <c r="D436" t="inlineStr">
        <is>
          <t>GOTLANDS LÄN</t>
        </is>
      </c>
      <c r="E436" t="inlineStr">
        <is>
          <t>GOTLAND</t>
        </is>
      </c>
      <c r="G436" t="n">
        <v>4.7</v>
      </c>
      <c r="H436" t="n">
        <v>0</v>
      </c>
      <c r="I436" t="n">
        <v>0</v>
      </c>
      <c r="J436" t="n">
        <v>0</v>
      </c>
      <c r="K436" t="n">
        <v>0</v>
      </c>
      <c r="L436" t="n">
        <v>0</v>
      </c>
      <c r="M436" t="n">
        <v>0</v>
      </c>
      <c r="N436" t="n">
        <v>0</v>
      </c>
      <c r="O436" t="n">
        <v>0</v>
      </c>
      <c r="P436" t="n">
        <v>0</v>
      </c>
      <c r="Q436" t="n">
        <v>0</v>
      </c>
      <c r="R436" s="2" t="inlineStr"/>
    </row>
    <row r="437" ht="15" customHeight="1">
      <c r="A437" t="inlineStr">
        <is>
          <t>A 14141-2024</t>
        </is>
      </c>
      <c r="B437" s="1" t="n">
        <v>45392.85193287037</v>
      </c>
      <c r="C437" s="1" t="n">
        <v>46060</v>
      </c>
      <c r="D437" t="inlineStr">
        <is>
          <t>GOTLANDS LÄN</t>
        </is>
      </c>
      <c r="E437" t="inlineStr">
        <is>
          <t>GOTLAND</t>
        </is>
      </c>
      <c r="G437" t="n">
        <v>5.3</v>
      </c>
      <c r="H437" t="n">
        <v>0</v>
      </c>
      <c r="I437" t="n">
        <v>0</v>
      </c>
      <c r="J437" t="n">
        <v>0</v>
      </c>
      <c r="K437" t="n">
        <v>0</v>
      </c>
      <c r="L437" t="n">
        <v>0</v>
      </c>
      <c r="M437" t="n">
        <v>0</v>
      </c>
      <c r="N437" t="n">
        <v>0</v>
      </c>
      <c r="O437" t="n">
        <v>0</v>
      </c>
      <c r="P437" t="n">
        <v>0</v>
      </c>
      <c r="Q437" t="n">
        <v>0</v>
      </c>
      <c r="R437" s="2" t="inlineStr"/>
    </row>
    <row r="438" ht="15" customHeight="1">
      <c r="A438" t="inlineStr">
        <is>
          <t>A 56688-2025</t>
        </is>
      </c>
      <c r="B438" s="1" t="n">
        <v>45975.84331018518</v>
      </c>
      <c r="C438" s="1" t="n">
        <v>46060</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12155-2023</t>
        </is>
      </c>
      <c r="B439" s="1" t="n">
        <v>44998.49106481481</v>
      </c>
      <c r="C439" s="1" t="n">
        <v>46060</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56799-2025</t>
        </is>
      </c>
      <c r="B440" s="1" t="n">
        <v>45978.43392361111</v>
      </c>
      <c r="C440" s="1" t="n">
        <v>46060</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2774-2024</t>
        </is>
      </c>
      <c r="B441" s="1" t="n">
        <v>45314.62375</v>
      </c>
      <c r="C441" s="1" t="n">
        <v>46060</v>
      </c>
      <c r="D441" t="inlineStr">
        <is>
          <t>GOTLANDS LÄN</t>
        </is>
      </c>
      <c r="E441" t="inlineStr">
        <is>
          <t>GOTLAND</t>
        </is>
      </c>
      <c r="G441" t="n">
        <v>1</v>
      </c>
      <c r="H441" t="n">
        <v>0</v>
      </c>
      <c r="I441" t="n">
        <v>0</v>
      </c>
      <c r="J441" t="n">
        <v>0</v>
      </c>
      <c r="K441" t="n">
        <v>0</v>
      </c>
      <c r="L441" t="n">
        <v>0</v>
      </c>
      <c r="M441" t="n">
        <v>0</v>
      </c>
      <c r="N441" t="n">
        <v>0</v>
      </c>
      <c r="O441" t="n">
        <v>0</v>
      </c>
      <c r="P441" t="n">
        <v>0</v>
      </c>
      <c r="Q441" t="n">
        <v>0</v>
      </c>
      <c r="R441" s="2" t="inlineStr"/>
    </row>
    <row r="442" ht="15" customHeight="1">
      <c r="A442" t="inlineStr">
        <is>
          <t>A 9947-2024</t>
        </is>
      </c>
      <c r="B442" s="1" t="n">
        <v>45363</v>
      </c>
      <c r="C442" s="1" t="n">
        <v>46060</v>
      </c>
      <c r="D442" t="inlineStr">
        <is>
          <t>GOTLANDS LÄN</t>
        </is>
      </c>
      <c r="E442" t="inlineStr">
        <is>
          <t>GOTLAND</t>
        </is>
      </c>
      <c r="G442" t="n">
        <v>2</v>
      </c>
      <c r="H442" t="n">
        <v>0</v>
      </c>
      <c r="I442" t="n">
        <v>0</v>
      </c>
      <c r="J442" t="n">
        <v>0</v>
      </c>
      <c r="K442" t="n">
        <v>0</v>
      </c>
      <c r="L442" t="n">
        <v>0</v>
      </c>
      <c r="M442" t="n">
        <v>0</v>
      </c>
      <c r="N442" t="n">
        <v>0</v>
      </c>
      <c r="O442" t="n">
        <v>0</v>
      </c>
      <c r="P442" t="n">
        <v>0</v>
      </c>
      <c r="Q442" t="n">
        <v>0</v>
      </c>
      <c r="R442" s="2" t="inlineStr"/>
    </row>
    <row r="443" ht="15" customHeight="1">
      <c r="A443" t="inlineStr">
        <is>
          <t>A 42007-2023</t>
        </is>
      </c>
      <c r="B443" s="1" t="n">
        <v>45177</v>
      </c>
      <c r="C443" s="1" t="n">
        <v>46060</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15083-2025</t>
        </is>
      </c>
      <c r="B444" s="1" t="n">
        <v>45743</v>
      </c>
      <c r="C444" s="1" t="n">
        <v>46060</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36-2026</t>
        </is>
      </c>
      <c r="B445" s="1" t="n">
        <v>46024.38886574074</v>
      </c>
      <c r="C445" s="1" t="n">
        <v>46060</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1066-2024</t>
        </is>
      </c>
      <c r="B446" s="1" t="n">
        <v>45302.285</v>
      </c>
      <c r="C446" s="1" t="n">
        <v>46060</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59197-2025</t>
        </is>
      </c>
      <c r="B447" s="1" t="n">
        <v>45988.59846064815</v>
      </c>
      <c r="C447" s="1" t="n">
        <v>46060</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37202-2024</t>
        </is>
      </c>
      <c r="B448" s="1" t="n">
        <v>45539.67310185185</v>
      </c>
      <c r="C448" s="1" t="n">
        <v>46060</v>
      </c>
      <c r="D448" t="inlineStr">
        <is>
          <t>GOTLANDS LÄN</t>
        </is>
      </c>
      <c r="E448" t="inlineStr">
        <is>
          <t>GOTLAND</t>
        </is>
      </c>
      <c r="G448" t="n">
        <v>0.3</v>
      </c>
      <c r="H448" t="n">
        <v>0</v>
      </c>
      <c r="I448" t="n">
        <v>0</v>
      </c>
      <c r="J448" t="n">
        <v>0</v>
      </c>
      <c r="K448" t="n">
        <v>0</v>
      </c>
      <c r="L448" t="n">
        <v>0</v>
      </c>
      <c r="M448" t="n">
        <v>0</v>
      </c>
      <c r="N448" t="n">
        <v>0</v>
      </c>
      <c r="O448" t="n">
        <v>0</v>
      </c>
      <c r="P448" t="n">
        <v>0</v>
      </c>
      <c r="Q448" t="n">
        <v>0</v>
      </c>
      <c r="R448" s="2" t="inlineStr"/>
    </row>
    <row r="449" ht="15" customHeight="1">
      <c r="A449" t="inlineStr">
        <is>
          <t>A 1355-2026</t>
        </is>
      </c>
      <c r="B449" s="1" t="n">
        <v>46031.59909722222</v>
      </c>
      <c r="C449" s="1" t="n">
        <v>46060</v>
      </c>
      <c r="D449" t="inlineStr">
        <is>
          <t>GOTLANDS LÄN</t>
        </is>
      </c>
      <c r="E449" t="inlineStr">
        <is>
          <t>GOTLAND</t>
        </is>
      </c>
      <c r="G449" t="n">
        <v>3.1</v>
      </c>
      <c r="H449" t="n">
        <v>0</v>
      </c>
      <c r="I449" t="n">
        <v>0</v>
      </c>
      <c r="J449" t="n">
        <v>0</v>
      </c>
      <c r="K449" t="n">
        <v>0</v>
      </c>
      <c r="L449" t="n">
        <v>0</v>
      </c>
      <c r="M449" t="n">
        <v>0</v>
      </c>
      <c r="N449" t="n">
        <v>0</v>
      </c>
      <c r="O449" t="n">
        <v>0</v>
      </c>
      <c r="P449" t="n">
        <v>0</v>
      </c>
      <c r="Q449" t="n">
        <v>0</v>
      </c>
      <c r="R449" s="2" t="inlineStr"/>
    </row>
    <row r="450" ht="15" customHeight="1">
      <c r="A450" t="inlineStr">
        <is>
          <t>A 36319-2025</t>
        </is>
      </c>
      <c r="B450" s="1" t="n">
        <v>45868</v>
      </c>
      <c r="C450" s="1" t="n">
        <v>46060</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30815-2023</t>
        </is>
      </c>
      <c r="B451" s="1" t="n">
        <v>45112</v>
      </c>
      <c r="C451" s="1" t="n">
        <v>46060</v>
      </c>
      <c r="D451" t="inlineStr">
        <is>
          <t>GOTLANDS LÄN</t>
        </is>
      </c>
      <c r="E451" t="inlineStr">
        <is>
          <t>GOTLAND</t>
        </is>
      </c>
      <c r="G451" t="n">
        <v>6</v>
      </c>
      <c r="H451" t="n">
        <v>0</v>
      </c>
      <c r="I451" t="n">
        <v>0</v>
      </c>
      <c r="J451" t="n">
        <v>0</v>
      </c>
      <c r="K451" t="n">
        <v>0</v>
      </c>
      <c r="L451" t="n">
        <v>0</v>
      </c>
      <c r="M451" t="n">
        <v>0</v>
      </c>
      <c r="N451" t="n">
        <v>0</v>
      </c>
      <c r="O451" t="n">
        <v>0</v>
      </c>
      <c r="P451" t="n">
        <v>0</v>
      </c>
      <c r="Q451" t="n">
        <v>0</v>
      </c>
      <c r="R451" s="2" t="inlineStr"/>
    </row>
    <row r="452" ht="15" customHeight="1">
      <c r="A452" t="inlineStr">
        <is>
          <t>A 46400-2023</t>
        </is>
      </c>
      <c r="B452" s="1" t="n">
        <v>45197.49290509259</v>
      </c>
      <c r="C452" s="1" t="n">
        <v>46060</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10492-2023</t>
        </is>
      </c>
      <c r="B453" s="1" t="n">
        <v>44987</v>
      </c>
      <c r="C453" s="1" t="n">
        <v>46060</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1839-2026</t>
        </is>
      </c>
      <c r="B454" s="1" t="n">
        <v>46035.3942824074</v>
      </c>
      <c r="C454" s="1" t="n">
        <v>46060</v>
      </c>
      <c r="D454" t="inlineStr">
        <is>
          <t>GOTLANDS LÄN</t>
        </is>
      </c>
      <c r="E454" t="inlineStr">
        <is>
          <t>GOTLAND</t>
        </is>
      </c>
      <c r="G454" t="n">
        <v>3.5</v>
      </c>
      <c r="H454" t="n">
        <v>0</v>
      </c>
      <c r="I454" t="n">
        <v>0</v>
      </c>
      <c r="J454" t="n">
        <v>0</v>
      </c>
      <c r="K454" t="n">
        <v>0</v>
      </c>
      <c r="L454" t="n">
        <v>0</v>
      </c>
      <c r="M454" t="n">
        <v>0</v>
      </c>
      <c r="N454" t="n">
        <v>0</v>
      </c>
      <c r="O454" t="n">
        <v>0</v>
      </c>
      <c r="P454" t="n">
        <v>0</v>
      </c>
      <c r="Q454" t="n">
        <v>0</v>
      </c>
      <c r="R454" s="2" t="inlineStr"/>
    </row>
    <row r="455" ht="15" customHeight="1">
      <c r="A455" t="inlineStr">
        <is>
          <t>A 1898-2026</t>
        </is>
      </c>
      <c r="B455" s="1" t="n">
        <v>46035.52024305556</v>
      </c>
      <c r="C455" s="1" t="n">
        <v>46060</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1854-2026</t>
        </is>
      </c>
      <c r="B456" s="1" t="n">
        <v>46035.4171875</v>
      </c>
      <c r="C456" s="1" t="n">
        <v>46060</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44919-2022</t>
        </is>
      </c>
      <c r="B457" s="1" t="n">
        <v>44841</v>
      </c>
      <c r="C457" s="1" t="n">
        <v>46060</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16501-2023</t>
        </is>
      </c>
      <c r="B458" s="1" t="n">
        <v>45029</v>
      </c>
      <c r="C458" s="1" t="n">
        <v>46060</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2415-2026</t>
        </is>
      </c>
      <c r="B459" s="1" t="n">
        <v>46036.76203703704</v>
      </c>
      <c r="C459" s="1" t="n">
        <v>46060</v>
      </c>
      <c r="D459" t="inlineStr">
        <is>
          <t>GOTLANDS LÄN</t>
        </is>
      </c>
      <c r="E459" t="inlineStr">
        <is>
          <t>GOTLAND</t>
        </is>
      </c>
      <c r="G459" t="n">
        <v>6.9</v>
      </c>
      <c r="H459" t="n">
        <v>0</v>
      </c>
      <c r="I459" t="n">
        <v>0</v>
      </c>
      <c r="J459" t="n">
        <v>0</v>
      </c>
      <c r="K459" t="n">
        <v>0</v>
      </c>
      <c r="L459" t="n">
        <v>0</v>
      </c>
      <c r="M459" t="n">
        <v>0</v>
      </c>
      <c r="N459" t="n">
        <v>0</v>
      </c>
      <c r="O459" t="n">
        <v>0</v>
      </c>
      <c r="P459" t="n">
        <v>0</v>
      </c>
      <c r="Q459" t="n">
        <v>0</v>
      </c>
      <c r="R459" s="2" t="inlineStr"/>
    </row>
    <row r="460" ht="15" customHeight="1">
      <c r="A460" t="inlineStr">
        <is>
          <t>A 2134-2026</t>
        </is>
      </c>
      <c r="B460" s="1" t="n">
        <v>46036</v>
      </c>
      <c r="C460" s="1" t="n">
        <v>46060</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27095-2022</t>
        </is>
      </c>
      <c r="B461" s="1" t="n">
        <v>44741</v>
      </c>
      <c r="C461" s="1" t="n">
        <v>46060</v>
      </c>
      <c r="D461" t="inlineStr">
        <is>
          <t>GOTLANDS LÄN</t>
        </is>
      </c>
      <c r="E461" t="inlineStr">
        <is>
          <t>GOTLAND</t>
        </is>
      </c>
      <c r="F461" t="inlineStr">
        <is>
          <t>Övriga Aktiebolag</t>
        </is>
      </c>
      <c r="G461" t="n">
        <v>2.9</v>
      </c>
      <c r="H461" t="n">
        <v>0</v>
      </c>
      <c r="I461" t="n">
        <v>0</v>
      </c>
      <c r="J461" t="n">
        <v>0</v>
      </c>
      <c r="K461" t="n">
        <v>0</v>
      </c>
      <c r="L461" t="n">
        <v>0</v>
      </c>
      <c r="M461" t="n">
        <v>0</v>
      </c>
      <c r="N461" t="n">
        <v>0</v>
      </c>
      <c r="O461" t="n">
        <v>0</v>
      </c>
      <c r="P461" t="n">
        <v>0</v>
      </c>
      <c r="Q461" t="n">
        <v>0</v>
      </c>
      <c r="R461" s="2" t="inlineStr"/>
    </row>
    <row r="462" ht="15" customHeight="1">
      <c r="A462" t="inlineStr">
        <is>
          <t>A 458-2023</t>
        </is>
      </c>
      <c r="B462" s="1" t="n">
        <v>44929</v>
      </c>
      <c r="C462" s="1" t="n">
        <v>46060</v>
      </c>
      <c r="D462" t="inlineStr">
        <is>
          <t>GOTLANDS LÄN</t>
        </is>
      </c>
      <c r="E462" t="inlineStr">
        <is>
          <t>GOTLAND</t>
        </is>
      </c>
      <c r="G462" t="n">
        <v>3.6</v>
      </c>
      <c r="H462" t="n">
        <v>0</v>
      </c>
      <c r="I462" t="n">
        <v>0</v>
      </c>
      <c r="J462" t="n">
        <v>0</v>
      </c>
      <c r="K462" t="n">
        <v>0</v>
      </c>
      <c r="L462" t="n">
        <v>0</v>
      </c>
      <c r="M462" t="n">
        <v>0</v>
      </c>
      <c r="N462" t="n">
        <v>0</v>
      </c>
      <c r="O462" t="n">
        <v>0</v>
      </c>
      <c r="P462" t="n">
        <v>0</v>
      </c>
      <c r="Q462" t="n">
        <v>0</v>
      </c>
      <c r="R462" s="2" t="inlineStr"/>
    </row>
    <row r="463" ht="15" customHeight="1">
      <c r="A463" t="inlineStr">
        <is>
          <t>A 1291-2023</t>
        </is>
      </c>
      <c r="B463" s="1" t="n">
        <v>44936.47561342592</v>
      </c>
      <c r="C463" s="1" t="n">
        <v>46060</v>
      </c>
      <c r="D463" t="inlineStr">
        <is>
          <t>GOTLANDS LÄN</t>
        </is>
      </c>
      <c r="E463" t="inlineStr">
        <is>
          <t>GOTLAND</t>
        </is>
      </c>
      <c r="G463" t="n">
        <v>7.4</v>
      </c>
      <c r="H463" t="n">
        <v>0</v>
      </c>
      <c r="I463" t="n">
        <v>0</v>
      </c>
      <c r="J463" t="n">
        <v>0</v>
      </c>
      <c r="K463" t="n">
        <v>0</v>
      </c>
      <c r="L463" t="n">
        <v>0</v>
      </c>
      <c r="M463" t="n">
        <v>0</v>
      </c>
      <c r="N463" t="n">
        <v>0</v>
      </c>
      <c r="O463" t="n">
        <v>0</v>
      </c>
      <c r="P463" t="n">
        <v>0</v>
      </c>
      <c r="Q463" t="n">
        <v>0</v>
      </c>
      <c r="R463" s="2" t="inlineStr"/>
    </row>
    <row r="464" ht="15" customHeight="1">
      <c r="A464" t="inlineStr">
        <is>
          <t>A 2135-2026</t>
        </is>
      </c>
      <c r="B464" s="1" t="n">
        <v>46036</v>
      </c>
      <c r="C464" s="1" t="n">
        <v>46060</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32330-2024</t>
        </is>
      </c>
      <c r="B465" s="1" t="n">
        <v>45512</v>
      </c>
      <c r="C465" s="1" t="n">
        <v>46060</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5891-2025</t>
        </is>
      </c>
      <c r="B466" s="1" t="n">
        <v>45695.38327546296</v>
      </c>
      <c r="C466" s="1" t="n">
        <v>46060</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14804-2021</t>
        </is>
      </c>
      <c r="B467" s="1" t="n">
        <v>44280</v>
      </c>
      <c r="C467" s="1" t="n">
        <v>46060</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2719-2023</t>
        </is>
      </c>
      <c r="B468" s="1" t="n">
        <v>44944.55361111111</v>
      </c>
      <c r="C468" s="1" t="n">
        <v>46060</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17144-2025</t>
        </is>
      </c>
      <c r="B469" s="1" t="n">
        <v>45755.9499537037</v>
      </c>
      <c r="C469" s="1" t="n">
        <v>46060</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49314-2024</t>
        </is>
      </c>
      <c r="B470" s="1" t="n">
        <v>45595.55893518519</v>
      </c>
      <c r="C470" s="1" t="n">
        <v>46060</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9875-2025</t>
        </is>
      </c>
      <c r="B471" s="1" t="n">
        <v>45716</v>
      </c>
      <c r="C471" s="1" t="n">
        <v>46060</v>
      </c>
      <c r="D471" t="inlineStr">
        <is>
          <t>GOTLANDS LÄN</t>
        </is>
      </c>
      <c r="E471" t="inlineStr">
        <is>
          <t>GOTLAND</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29809-2022</t>
        </is>
      </c>
      <c r="B472" s="1" t="n">
        <v>44755.8713425926</v>
      </c>
      <c r="C472" s="1" t="n">
        <v>46060</v>
      </c>
      <c r="D472" t="inlineStr">
        <is>
          <t>GOTLANDS LÄN</t>
        </is>
      </c>
      <c r="E472" t="inlineStr">
        <is>
          <t>GOTLAND</t>
        </is>
      </c>
      <c r="G472" t="n">
        <v>11.5</v>
      </c>
      <c r="H472" t="n">
        <v>0</v>
      </c>
      <c r="I472" t="n">
        <v>0</v>
      </c>
      <c r="J472" t="n">
        <v>0</v>
      </c>
      <c r="K472" t="n">
        <v>0</v>
      </c>
      <c r="L472" t="n">
        <v>0</v>
      </c>
      <c r="M472" t="n">
        <v>0</v>
      </c>
      <c r="N472" t="n">
        <v>0</v>
      </c>
      <c r="O472" t="n">
        <v>0</v>
      </c>
      <c r="P472" t="n">
        <v>0</v>
      </c>
      <c r="Q472" t="n">
        <v>0</v>
      </c>
      <c r="R472" s="2" t="inlineStr"/>
    </row>
    <row r="473" ht="15" customHeight="1">
      <c r="A473" t="inlineStr">
        <is>
          <t>A 3067-2026</t>
        </is>
      </c>
      <c r="B473" s="1" t="n">
        <v>46040.59025462963</v>
      </c>
      <c r="C473" s="1" t="n">
        <v>46060</v>
      </c>
      <c r="D473" t="inlineStr">
        <is>
          <t>GOTLANDS LÄN</t>
        </is>
      </c>
      <c r="E473" t="inlineStr">
        <is>
          <t>GOTLAND</t>
        </is>
      </c>
      <c r="G473" t="n">
        <v>7.8</v>
      </c>
      <c r="H473" t="n">
        <v>0</v>
      </c>
      <c r="I473" t="n">
        <v>0</v>
      </c>
      <c r="J473" t="n">
        <v>0</v>
      </c>
      <c r="K473" t="n">
        <v>0</v>
      </c>
      <c r="L473" t="n">
        <v>0</v>
      </c>
      <c r="M473" t="n">
        <v>0</v>
      </c>
      <c r="N473" t="n">
        <v>0</v>
      </c>
      <c r="O473" t="n">
        <v>0</v>
      </c>
      <c r="P473" t="n">
        <v>0</v>
      </c>
      <c r="Q473" t="n">
        <v>0</v>
      </c>
      <c r="R473" s="2" t="inlineStr"/>
    </row>
    <row r="474" ht="15" customHeight="1">
      <c r="A474" t="inlineStr">
        <is>
          <t>A 16361-2024</t>
        </is>
      </c>
      <c r="B474" s="1" t="n">
        <v>45407</v>
      </c>
      <c r="C474" s="1" t="n">
        <v>46060</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3253-2026</t>
        </is>
      </c>
      <c r="B475" s="1" t="n">
        <v>46041.58902777778</v>
      </c>
      <c r="C475" s="1" t="n">
        <v>46060</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43081-2022</t>
        </is>
      </c>
      <c r="B476" s="1" t="n">
        <v>44833</v>
      </c>
      <c r="C476" s="1" t="n">
        <v>46060</v>
      </c>
      <c r="D476" t="inlineStr">
        <is>
          <t>GOTLANDS LÄN</t>
        </is>
      </c>
      <c r="E476" t="inlineStr">
        <is>
          <t>GOTLAND</t>
        </is>
      </c>
      <c r="G476" t="n">
        <v>6.8</v>
      </c>
      <c r="H476" t="n">
        <v>0</v>
      </c>
      <c r="I476" t="n">
        <v>0</v>
      </c>
      <c r="J476" t="n">
        <v>0</v>
      </c>
      <c r="K476" t="n">
        <v>0</v>
      </c>
      <c r="L476" t="n">
        <v>0</v>
      </c>
      <c r="M476" t="n">
        <v>0</v>
      </c>
      <c r="N476" t="n">
        <v>0</v>
      </c>
      <c r="O476" t="n">
        <v>0</v>
      </c>
      <c r="P476" t="n">
        <v>0</v>
      </c>
      <c r="Q476" t="n">
        <v>0</v>
      </c>
      <c r="R476" s="2" t="inlineStr"/>
    </row>
    <row r="477" ht="15" customHeight="1">
      <c r="A477" t="inlineStr">
        <is>
          <t>A 1175-2025</t>
        </is>
      </c>
      <c r="B477" s="1" t="n">
        <v>45667.34449074074</v>
      </c>
      <c r="C477" s="1" t="n">
        <v>46060</v>
      </c>
      <c r="D477" t="inlineStr">
        <is>
          <t>GOTLANDS LÄN</t>
        </is>
      </c>
      <c r="E477" t="inlineStr">
        <is>
          <t>GOTLAND</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42201-2023</t>
        </is>
      </c>
      <c r="B478" s="1" t="n">
        <v>45179</v>
      </c>
      <c r="C478" s="1" t="n">
        <v>46060</v>
      </c>
      <c r="D478" t="inlineStr">
        <is>
          <t>GOTLANDS LÄN</t>
        </is>
      </c>
      <c r="E478" t="inlineStr">
        <is>
          <t>GOTLAND</t>
        </is>
      </c>
      <c r="G478" t="n">
        <v>11.9</v>
      </c>
      <c r="H478" t="n">
        <v>0</v>
      </c>
      <c r="I478" t="n">
        <v>0</v>
      </c>
      <c r="J478" t="n">
        <v>0</v>
      </c>
      <c r="K478" t="n">
        <v>0</v>
      </c>
      <c r="L478" t="n">
        <v>0</v>
      </c>
      <c r="M478" t="n">
        <v>0</v>
      </c>
      <c r="N478" t="n">
        <v>0</v>
      </c>
      <c r="O478" t="n">
        <v>0</v>
      </c>
      <c r="P478" t="n">
        <v>0</v>
      </c>
      <c r="Q478" t="n">
        <v>0</v>
      </c>
      <c r="R478" s="2" t="inlineStr"/>
    </row>
    <row r="479" ht="15" customHeight="1">
      <c r="A479" t="inlineStr">
        <is>
          <t>A 3150-2025</t>
        </is>
      </c>
      <c r="B479" s="1" t="n">
        <v>45679.28974537037</v>
      </c>
      <c r="C479" s="1" t="n">
        <v>46060</v>
      </c>
      <c r="D479" t="inlineStr">
        <is>
          <t>GOTLANDS LÄN</t>
        </is>
      </c>
      <c r="E479" t="inlineStr">
        <is>
          <t>GOTLAND</t>
        </is>
      </c>
      <c r="G479" t="n">
        <v>2.5</v>
      </c>
      <c r="H479" t="n">
        <v>0</v>
      </c>
      <c r="I479" t="n">
        <v>0</v>
      </c>
      <c r="J479" t="n">
        <v>0</v>
      </c>
      <c r="K479" t="n">
        <v>0</v>
      </c>
      <c r="L479" t="n">
        <v>0</v>
      </c>
      <c r="M479" t="n">
        <v>0</v>
      </c>
      <c r="N479" t="n">
        <v>0</v>
      </c>
      <c r="O479" t="n">
        <v>0</v>
      </c>
      <c r="P479" t="n">
        <v>0</v>
      </c>
      <c r="Q479" t="n">
        <v>0</v>
      </c>
      <c r="R479" s="2" t="inlineStr"/>
    </row>
    <row r="480" ht="15" customHeight="1">
      <c r="A480" t="inlineStr">
        <is>
          <t>A 42041-2024</t>
        </is>
      </c>
      <c r="B480" s="1" t="n">
        <v>45561</v>
      </c>
      <c r="C480" s="1" t="n">
        <v>46060</v>
      </c>
      <c r="D480" t="inlineStr">
        <is>
          <t>GOTLANDS LÄN</t>
        </is>
      </c>
      <c r="E480" t="inlineStr">
        <is>
          <t>GOTLAND</t>
        </is>
      </c>
      <c r="G480" t="n">
        <v>3.2</v>
      </c>
      <c r="H480" t="n">
        <v>0</v>
      </c>
      <c r="I480" t="n">
        <v>0</v>
      </c>
      <c r="J480" t="n">
        <v>0</v>
      </c>
      <c r="K480" t="n">
        <v>0</v>
      </c>
      <c r="L480" t="n">
        <v>0</v>
      </c>
      <c r="M480" t="n">
        <v>0</v>
      </c>
      <c r="N480" t="n">
        <v>0</v>
      </c>
      <c r="O480" t="n">
        <v>0</v>
      </c>
      <c r="P480" t="n">
        <v>0</v>
      </c>
      <c r="Q480" t="n">
        <v>0</v>
      </c>
      <c r="R480" s="2" t="inlineStr"/>
    </row>
    <row r="481" ht="15" customHeight="1">
      <c r="A481" t="inlineStr">
        <is>
          <t>A 15436-2025</t>
        </is>
      </c>
      <c r="B481" s="1" t="n">
        <v>45747.47462962963</v>
      </c>
      <c r="C481" s="1" t="n">
        <v>46060</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4670-2026</t>
        </is>
      </c>
      <c r="B482" s="1" t="n">
        <v>46048.41733796296</v>
      </c>
      <c r="C482" s="1" t="n">
        <v>46060</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4662-2026</t>
        </is>
      </c>
      <c r="B483" s="1" t="n">
        <v>46048.40949074074</v>
      </c>
      <c r="C483" s="1" t="n">
        <v>46060</v>
      </c>
      <c r="D483" t="inlineStr">
        <is>
          <t>GOTLANDS LÄN</t>
        </is>
      </c>
      <c r="E483" t="inlineStr">
        <is>
          <t>GOTLAND</t>
        </is>
      </c>
      <c r="G483" t="n">
        <v>7.6</v>
      </c>
      <c r="H483" t="n">
        <v>0</v>
      </c>
      <c r="I483" t="n">
        <v>0</v>
      </c>
      <c r="J483" t="n">
        <v>0</v>
      </c>
      <c r="K483" t="n">
        <v>0</v>
      </c>
      <c r="L483" t="n">
        <v>0</v>
      </c>
      <c r="M483" t="n">
        <v>0</v>
      </c>
      <c r="N483" t="n">
        <v>0</v>
      </c>
      <c r="O483" t="n">
        <v>0</v>
      </c>
      <c r="P483" t="n">
        <v>0</v>
      </c>
      <c r="Q483" t="n">
        <v>0</v>
      </c>
      <c r="R483" s="2" t="inlineStr"/>
    </row>
    <row r="484" ht="15" customHeight="1">
      <c r="A484" t="inlineStr">
        <is>
          <t>A 21247-2022</t>
        </is>
      </c>
      <c r="B484" s="1" t="n">
        <v>44705.38832175926</v>
      </c>
      <c r="C484" s="1" t="n">
        <v>46060</v>
      </c>
      <c r="D484" t="inlineStr">
        <is>
          <t>GOTLANDS LÄN</t>
        </is>
      </c>
      <c r="E484" t="inlineStr">
        <is>
          <t>GOTLAND</t>
        </is>
      </c>
      <c r="G484" t="n">
        <v>16.2</v>
      </c>
      <c r="H484" t="n">
        <v>0</v>
      </c>
      <c r="I484" t="n">
        <v>0</v>
      </c>
      <c r="J484" t="n">
        <v>0</v>
      </c>
      <c r="K484" t="n">
        <v>0</v>
      </c>
      <c r="L484" t="n">
        <v>0</v>
      </c>
      <c r="M484" t="n">
        <v>0</v>
      </c>
      <c r="N484" t="n">
        <v>0</v>
      </c>
      <c r="O484" t="n">
        <v>0</v>
      </c>
      <c r="P484" t="n">
        <v>0</v>
      </c>
      <c r="Q484" t="n">
        <v>0</v>
      </c>
      <c r="R484" s="2" t="inlineStr"/>
    </row>
    <row r="485" ht="15" customHeight="1">
      <c r="A485" t="inlineStr">
        <is>
          <t>A 4646-2026</t>
        </is>
      </c>
      <c r="B485" s="1" t="n">
        <v>46048.40357638889</v>
      </c>
      <c r="C485" s="1" t="n">
        <v>46060</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4639-2026</t>
        </is>
      </c>
      <c r="B486" s="1" t="n">
        <v>46048.39880787037</v>
      </c>
      <c r="C486" s="1" t="n">
        <v>46060</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62066-2025</t>
        </is>
      </c>
      <c r="B487" s="1" t="n">
        <v>46006.34738425926</v>
      </c>
      <c r="C487" s="1" t="n">
        <v>46060</v>
      </c>
      <c r="D487" t="inlineStr">
        <is>
          <t>GOTLANDS LÄN</t>
        </is>
      </c>
      <c r="E487" t="inlineStr">
        <is>
          <t>GOTLAND</t>
        </is>
      </c>
      <c r="G487" t="n">
        <v>1.7</v>
      </c>
      <c r="H487" t="n">
        <v>0</v>
      </c>
      <c r="I487" t="n">
        <v>0</v>
      </c>
      <c r="J487" t="n">
        <v>0</v>
      </c>
      <c r="K487" t="n">
        <v>0</v>
      </c>
      <c r="L487" t="n">
        <v>0</v>
      </c>
      <c r="M487" t="n">
        <v>0</v>
      </c>
      <c r="N487" t="n">
        <v>0</v>
      </c>
      <c r="O487" t="n">
        <v>0</v>
      </c>
      <c r="P487" t="n">
        <v>0</v>
      </c>
      <c r="Q487" t="n">
        <v>0</v>
      </c>
      <c r="R487" s="2" t="inlineStr"/>
    </row>
    <row r="488" ht="15" customHeight="1">
      <c r="A488" t="inlineStr">
        <is>
          <t>A 62103-2025</t>
        </is>
      </c>
      <c r="B488" s="1" t="n">
        <v>46006</v>
      </c>
      <c r="C488" s="1" t="n">
        <v>46060</v>
      </c>
      <c r="D488" t="inlineStr">
        <is>
          <t>GOTLANDS LÄN</t>
        </is>
      </c>
      <c r="E488" t="inlineStr">
        <is>
          <t>GOTLAND</t>
        </is>
      </c>
      <c r="F488" t="inlineStr">
        <is>
          <t>Övriga Aktiebolag</t>
        </is>
      </c>
      <c r="G488" t="n">
        <v>1.7</v>
      </c>
      <c r="H488" t="n">
        <v>0</v>
      </c>
      <c r="I488" t="n">
        <v>0</v>
      </c>
      <c r="J488" t="n">
        <v>0</v>
      </c>
      <c r="K488" t="n">
        <v>0</v>
      </c>
      <c r="L488" t="n">
        <v>0</v>
      </c>
      <c r="M488" t="n">
        <v>0</v>
      </c>
      <c r="N488" t="n">
        <v>0</v>
      </c>
      <c r="O488" t="n">
        <v>0</v>
      </c>
      <c r="P488" t="n">
        <v>0</v>
      </c>
      <c r="Q488" t="n">
        <v>0</v>
      </c>
      <c r="R488" s="2" t="inlineStr"/>
    </row>
    <row r="489" ht="15" customHeight="1">
      <c r="A489" t="inlineStr">
        <is>
          <t>A 17780-2022</t>
        </is>
      </c>
      <c r="B489" s="1" t="n">
        <v>44682.82622685185</v>
      </c>
      <c r="C489" s="1" t="n">
        <v>46060</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4634-2026</t>
        </is>
      </c>
      <c r="B490" s="1" t="n">
        <v>46048.39304398148</v>
      </c>
      <c r="C490" s="1" t="n">
        <v>46060</v>
      </c>
      <c r="D490" t="inlineStr">
        <is>
          <t>GOTLANDS LÄN</t>
        </is>
      </c>
      <c r="E490" t="inlineStr">
        <is>
          <t>GOTLAND</t>
        </is>
      </c>
      <c r="G490" t="n">
        <v>7.8</v>
      </c>
      <c r="H490" t="n">
        <v>0</v>
      </c>
      <c r="I490" t="n">
        <v>0</v>
      </c>
      <c r="J490" t="n">
        <v>0</v>
      </c>
      <c r="K490" t="n">
        <v>0</v>
      </c>
      <c r="L490" t="n">
        <v>0</v>
      </c>
      <c r="M490" t="n">
        <v>0</v>
      </c>
      <c r="N490" t="n">
        <v>0</v>
      </c>
      <c r="O490" t="n">
        <v>0</v>
      </c>
      <c r="P490" t="n">
        <v>0</v>
      </c>
      <c r="Q490" t="n">
        <v>0</v>
      </c>
      <c r="R490" s="2" t="inlineStr"/>
    </row>
    <row r="491" ht="15" customHeight="1">
      <c r="A491" t="inlineStr">
        <is>
          <t>A 63516-2023</t>
        </is>
      </c>
      <c r="B491" s="1" t="n">
        <v>45274</v>
      </c>
      <c r="C491" s="1" t="n">
        <v>46060</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53935-2024</t>
        </is>
      </c>
      <c r="B492" s="1" t="n">
        <v>45615</v>
      </c>
      <c r="C492" s="1" t="n">
        <v>46060</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63000-2025</t>
        </is>
      </c>
      <c r="B493" s="1" t="n">
        <v>46009</v>
      </c>
      <c r="C493" s="1" t="n">
        <v>46060</v>
      </c>
      <c r="D493" t="inlineStr">
        <is>
          <t>GOTLANDS LÄN</t>
        </is>
      </c>
      <c r="E493" t="inlineStr">
        <is>
          <t>GOTLAND</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69112-2021</t>
        </is>
      </c>
      <c r="B494" s="1" t="n">
        <v>44530</v>
      </c>
      <c r="C494" s="1" t="n">
        <v>46060</v>
      </c>
      <c r="D494" t="inlineStr">
        <is>
          <t>GOTLANDS LÄN</t>
        </is>
      </c>
      <c r="E494" t="inlineStr">
        <is>
          <t>GOTLAND</t>
        </is>
      </c>
      <c r="G494" t="n">
        <v>4.2</v>
      </c>
      <c r="H494" t="n">
        <v>0</v>
      </c>
      <c r="I494" t="n">
        <v>0</v>
      </c>
      <c r="J494" t="n">
        <v>0</v>
      </c>
      <c r="K494" t="n">
        <v>0</v>
      </c>
      <c r="L494" t="n">
        <v>0</v>
      </c>
      <c r="M494" t="n">
        <v>0</v>
      </c>
      <c r="N494" t="n">
        <v>0</v>
      </c>
      <c r="O494" t="n">
        <v>0</v>
      </c>
      <c r="P494" t="n">
        <v>0</v>
      </c>
      <c r="Q494" t="n">
        <v>0</v>
      </c>
      <c r="R494" s="2" t="inlineStr"/>
    </row>
    <row r="495" ht="15" customHeight="1">
      <c r="A495" t="inlineStr">
        <is>
          <t>A 62751-2025</t>
        </is>
      </c>
      <c r="B495" s="1" t="n">
        <v>46008</v>
      </c>
      <c r="C495" s="1" t="n">
        <v>46060</v>
      </c>
      <c r="D495" t="inlineStr">
        <is>
          <t>GOTLANDS LÄN</t>
        </is>
      </c>
      <c r="E495" t="inlineStr">
        <is>
          <t>GOTLAND</t>
        </is>
      </c>
      <c r="F495" t="inlineStr">
        <is>
          <t>Övriga Aktiebolag</t>
        </is>
      </c>
      <c r="G495" t="n">
        <v>7.8</v>
      </c>
      <c r="H495" t="n">
        <v>0</v>
      </c>
      <c r="I495" t="n">
        <v>0</v>
      </c>
      <c r="J495" t="n">
        <v>0</v>
      </c>
      <c r="K495" t="n">
        <v>0</v>
      </c>
      <c r="L495" t="n">
        <v>0</v>
      </c>
      <c r="M495" t="n">
        <v>0</v>
      </c>
      <c r="N495" t="n">
        <v>0</v>
      </c>
      <c r="O495" t="n">
        <v>0</v>
      </c>
      <c r="P495" t="n">
        <v>0</v>
      </c>
      <c r="Q495" t="n">
        <v>0</v>
      </c>
      <c r="R495" s="2" t="inlineStr"/>
    </row>
    <row r="496" ht="15" customHeight="1">
      <c r="A496" t="inlineStr">
        <is>
          <t>A 48734-2022</t>
        </is>
      </c>
      <c r="B496" s="1" t="n">
        <v>44855</v>
      </c>
      <c r="C496" s="1" t="n">
        <v>46060</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23516-2023</t>
        </is>
      </c>
      <c r="B497" s="1" t="n">
        <v>45076.93391203704</v>
      </c>
      <c r="C497" s="1" t="n">
        <v>46060</v>
      </c>
      <c r="D497" t="inlineStr">
        <is>
          <t>GOTLANDS LÄN</t>
        </is>
      </c>
      <c r="E497" t="inlineStr">
        <is>
          <t>GOTLAND</t>
        </is>
      </c>
      <c r="G497" t="n">
        <v>1.4</v>
      </c>
      <c r="H497" t="n">
        <v>0</v>
      </c>
      <c r="I497" t="n">
        <v>0</v>
      </c>
      <c r="J497" t="n">
        <v>0</v>
      </c>
      <c r="K497" t="n">
        <v>0</v>
      </c>
      <c r="L497" t="n">
        <v>0</v>
      </c>
      <c r="M497" t="n">
        <v>0</v>
      </c>
      <c r="N497" t="n">
        <v>0</v>
      </c>
      <c r="O497" t="n">
        <v>0</v>
      </c>
      <c r="P497" t="n">
        <v>0</v>
      </c>
      <c r="Q497" t="n">
        <v>0</v>
      </c>
      <c r="R497" s="2" t="inlineStr"/>
    </row>
    <row r="498" ht="15" customHeight="1">
      <c r="A498" t="inlineStr">
        <is>
          <t>A 47147-2025</t>
        </is>
      </c>
      <c r="B498" s="1" t="n">
        <v>45929</v>
      </c>
      <c r="C498" s="1" t="n">
        <v>46060</v>
      </c>
      <c r="D498" t="inlineStr">
        <is>
          <t>GOTLANDS LÄN</t>
        </is>
      </c>
      <c r="E498" t="inlineStr">
        <is>
          <t>GOTLAND</t>
        </is>
      </c>
      <c r="G498" t="n">
        <v>2.3</v>
      </c>
      <c r="H498" t="n">
        <v>0</v>
      </c>
      <c r="I498" t="n">
        <v>0</v>
      </c>
      <c r="J498" t="n">
        <v>0</v>
      </c>
      <c r="K498" t="n">
        <v>0</v>
      </c>
      <c r="L498" t="n">
        <v>0</v>
      </c>
      <c r="M498" t="n">
        <v>0</v>
      </c>
      <c r="N498" t="n">
        <v>0</v>
      </c>
      <c r="O498" t="n">
        <v>0</v>
      </c>
      <c r="P498" t="n">
        <v>0</v>
      </c>
      <c r="Q498" t="n">
        <v>0</v>
      </c>
      <c r="R498" s="2" t="inlineStr"/>
    </row>
    <row r="499" ht="15" customHeight="1">
      <c r="A499" t="inlineStr">
        <is>
          <t>A 43231-2023</t>
        </is>
      </c>
      <c r="B499" s="1" t="n">
        <v>45183.47025462963</v>
      </c>
      <c r="C499" s="1" t="n">
        <v>46060</v>
      </c>
      <c r="D499" t="inlineStr">
        <is>
          <t>GOTLANDS LÄN</t>
        </is>
      </c>
      <c r="E499" t="inlineStr">
        <is>
          <t>GOTLAND</t>
        </is>
      </c>
      <c r="G499" t="n">
        <v>3.6</v>
      </c>
      <c r="H499" t="n">
        <v>0</v>
      </c>
      <c r="I499" t="n">
        <v>0</v>
      </c>
      <c r="J499" t="n">
        <v>0</v>
      </c>
      <c r="K499" t="n">
        <v>0</v>
      </c>
      <c r="L499" t="n">
        <v>0</v>
      </c>
      <c r="M499" t="n">
        <v>0</v>
      </c>
      <c r="N499" t="n">
        <v>0</v>
      </c>
      <c r="O499" t="n">
        <v>0</v>
      </c>
      <c r="P499" t="n">
        <v>0</v>
      </c>
      <c r="Q499" t="n">
        <v>0</v>
      </c>
      <c r="R499" s="2" t="inlineStr"/>
    </row>
    <row r="500" ht="15" customHeight="1">
      <c r="A500" t="inlineStr">
        <is>
          <t>A 62754-2025</t>
        </is>
      </c>
      <c r="B500" s="1" t="n">
        <v>46008</v>
      </c>
      <c r="C500" s="1" t="n">
        <v>46060</v>
      </c>
      <c r="D500" t="inlineStr">
        <is>
          <t>GOTLANDS LÄN</t>
        </is>
      </c>
      <c r="E500" t="inlineStr">
        <is>
          <t>GOTLAND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63002-2025</t>
        </is>
      </c>
      <c r="B501" s="1" t="n">
        <v>46009.56564814815</v>
      </c>
      <c r="C501" s="1" t="n">
        <v>46060</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58230-2024</t>
        </is>
      </c>
      <c r="B502" s="1" t="n">
        <v>45632.51625</v>
      </c>
      <c r="C502" s="1" t="n">
        <v>46060</v>
      </c>
      <c r="D502" t="inlineStr">
        <is>
          <t>GOTLANDS LÄN</t>
        </is>
      </c>
      <c r="E502" t="inlineStr">
        <is>
          <t>GOTLAND</t>
        </is>
      </c>
      <c r="G502" t="n">
        <v>7.3</v>
      </c>
      <c r="H502" t="n">
        <v>0</v>
      </c>
      <c r="I502" t="n">
        <v>0</v>
      </c>
      <c r="J502" t="n">
        <v>0</v>
      </c>
      <c r="K502" t="n">
        <v>0</v>
      </c>
      <c r="L502" t="n">
        <v>0</v>
      </c>
      <c r="M502" t="n">
        <v>0</v>
      </c>
      <c r="N502" t="n">
        <v>0</v>
      </c>
      <c r="O502" t="n">
        <v>0</v>
      </c>
      <c r="P502" t="n">
        <v>0</v>
      </c>
      <c r="Q502" t="n">
        <v>0</v>
      </c>
      <c r="R502" s="2" t="inlineStr"/>
    </row>
    <row r="503" ht="15" customHeight="1">
      <c r="A503" t="inlineStr">
        <is>
          <t>A 64555-2023</t>
        </is>
      </c>
      <c r="B503" s="1" t="n">
        <v>45281</v>
      </c>
      <c r="C503" s="1" t="n">
        <v>46060</v>
      </c>
      <c r="D503" t="inlineStr">
        <is>
          <t>GOTLANDS LÄN</t>
        </is>
      </c>
      <c r="E503" t="inlineStr">
        <is>
          <t>GOTLAND</t>
        </is>
      </c>
      <c r="G503" t="n">
        <v>3.5</v>
      </c>
      <c r="H503" t="n">
        <v>0</v>
      </c>
      <c r="I503" t="n">
        <v>0</v>
      </c>
      <c r="J503" t="n">
        <v>0</v>
      </c>
      <c r="K503" t="n">
        <v>0</v>
      </c>
      <c r="L503" t="n">
        <v>0</v>
      </c>
      <c r="M503" t="n">
        <v>0</v>
      </c>
      <c r="N503" t="n">
        <v>0</v>
      </c>
      <c r="O503" t="n">
        <v>0</v>
      </c>
      <c r="P503" t="n">
        <v>0</v>
      </c>
      <c r="Q503" t="n">
        <v>0</v>
      </c>
      <c r="R503" s="2" t="inlineStr"/>
    </row>
    <row r="504" ht="15" customHeight="1">
      <c r="A504" t="inlineStr">
        <is>
          <t>A 457-2023</t>
        </is>
      </c>
      <c r="B504" s="1" t="n">
        <v>44929.87238425926</v>
      </c>
      <c r="C504" s="1" t="n">
        <v>46060</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459-2023</t>
        </is>
      </c>
      <c r="B505" s="1" t="n">
        <v>44929.87423611111</v>
      </c>
      <c r="C505" s="1" t="n">
        <v>46060</v>
      </c>
      <c r="D505" t="inlineStr">
        <is>
          <t>GOTLANDS LÄN</t>
        </is>
      </c>
      <c r="E505" t="inlineStr">
        <is>
          <t>GOTLAND</t>
        </is>
      </c>
      <c r="G505" t="n">
        <v>4.2</v>
      </c>
      <c r="H505" t="n">
        <v>0</v>
      </c>
      <c r="I505" t="n">
        <v>0</v>
      </c>
      <c r="J505" t="n">
        <v>0</v>
      </c>
      <c r="K505" t="n">
        <v>0</v>
      </c>
      <c r="L505" t="n">
        <v>0</v>
      </c>
      <c r="M505" t="n">
        <v>0</v>
      </c>
      <c r="N505" t="n">
        <v>0</v>
      </c>
      <c r="O505" t="n">
        <v>0</v>
      </c>
      <c r="P505" t="n">
        <v>0</v>
      </c>
      <c r="Q505" t="n">
        <v>0</v>
      </c>
      <c r="R505" s="2" t="inlineStr"/>
    </row>
    <row r="506" ht="15" customHeight="1">
      <c r="A506" t="inlineStr">
        <is>
          <t>A 6207-2026</t>
        </is>
      </c>
      <c r="B506" s="1" t="n">
        <v>46055.42083333333</v>
      </c>
      <c r="C506" s="1" t="n">
        <v>46060</v>
      </c>
      <c r="D506" t="inlineStr">
        <is>
          <t>GOTLANDS LÄN</t>
        </is>
      </c>
      <c r="E506" t="inlineStr">
        <is>
          <t>GOTLAND</t>
        </is>
      </c>
      <c r="G506" t="n">
        <v>7.6</v>
      </c>
      <c r="H506" t="n">
        <v>0</v>
      </c>
      <c r="I506" t="n">
        <v>0</v>
      </c>
      <c r="J506" t="n">
        <v>0</v>
      </c>
      <c r="K506" t="n">
        <v>0</v>
      </c>
      <c r="L506" t="n">
        <v>0</v>
      </c>
      <c r="M506" t="n">
        <v>0</v>
      </c>
      <c r="N506" t="n">
        <v>0</v>
      </c>
      <c r="O506" t="n">
        <v>0</v>
      </c>
      <c r="P506" t="n">
        <v>0</v>
      </c>
      <c r="Q506" t="n">
        <v>0</v>
      </c>
      <c r="R506" s="2" t="inlineStr"/>
    </row>
    <row r="507" ht="15" customHeight="1">
      <c r="A507" t="inlineStr">
        <is>
          <t>A 876-2024</t>
        </is>
      </c>
      <c r="B507" s="1" t="n">
        <v>45301</v>
      </c>
      <c r="C507" s="1" t="n">
        <v>46060</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5863-2026</t>
        </is>
      </c>
      <c r="B508" s="1" t="n">
        <v>46052.36697916667</v>
      </c>
      <c r="C508" s="1" t="n">
        <v>46060</v>
      </c>
      <c r="D508" t="inlineStr">
        <is>
          <t>GOTLANDS LÄN</t>
        </is>
      </c>
      <c r="E508" t="inlineStr">
        <is>
          <t>GOTLAND</t>
        </is>
      </c>
      <c r="G508" t="n">
        <v>1.8</v>
      </c>
      <c r="H508" t="n">
        <v>0</v>
      </c>
      <c r="I508" t="n">
        <v>0</v>
      </c>
      <c r="J508" t="n">
        <v>0</v>
      </c>
      <c r="K508" t="n">
        <v>0</v>
      </c>
      <c r="L508" t="n">
        <v>0</v>
      </c>
      <c r="M508" t="n">
        <v>0</v>
      </c>
      <c r="N508" t="n">
        <v>0</v>
      </c>
      <c r="O508" t="n">
        <v>0</v>
      </c>
      <c r="P508" t="n">
        <v>0</v>
      </c>
      <c r="Q508" t="n">
        <v>0</v>
      </c>
      <c r="R508" s="2" t="inlineStr"/>
    </row>
    <row r="509" ht="15" customHeight="1">
      <c r="A509" t="inlineStr">
        <is>
          <t>A 26891-2024</t>
        </is>
      </c>
      <c r="B509" s="1" t="n">
        <v>45470.65540509259</v>
      </c>
      <c r="C509" s="1" t="n">
        <v>46060</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14536-2021</t>
        </is>
      </c>
      <c r="B510" s="1" t="n">
        <v>44279.66168981481</v>
      </c>
      <c r="C510" s="1" t="n">
        <v>46060</v>
      </c>
      <c r="D510" t="inlineStr">
        <is>
          <t>GOTLANDS LÄN</t>
        </is>
      </c>
      <c r="E510" t="inlineStr">
        <is>
          <t>GOTLAND</t>
        </is>
      </c>
      <c r="G510" t="n">
        <v>8.5</v>
      </c>
      <c r="H510" t="n">
        <v>0</v>
      </c>
      <c r="I510" t="n">
        <v>0</v>
      </c>
      <c r="J510" t="n">
        <v>0</v>
      </c>
      <c r="K510" t="n">
        <v>0</v>
      </c>
      <c r="L510" t="n">
        <v>0</v>
      </c>
      <c r="M510" t="n">
        <v>0</v>
      </c>
      <c r="N510" t="n">
        <v>0</v>
      </c>
      <c r="O510" t="n">
        <v>0</v>
      </c>
      <c r="P510" t="n">
        <v>0</v>
      </c>
      <c r="Q510" t="n">
        <v>0</v>
      </c>
      <c r="R510" s="2" t="inlineStr"/>
    </row>
    <row r="511" ht="15" customHeight="1">
      <c r="A511" t="inlineStr">
        <is>
          <t>A 5923-2023</t>
        </is>
      </c>
      <c r="B511" s="1" t="n">
        <v>44963.69503472222</v>
      </c>
      <c r="C511" s="1" t="n">
        <v>46060</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50482-2024</t>
        </is>
      </c>
      <c r="B512" s="1" t="n">
        <v>45601.48114583334</v>
      </c>
      <c r="C512" s="1" t="n">
        <v>46060</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6218-2026</t>
        </is>
      </c>
      <c r="B513" s="1" t="n">
        <v>46055.42859953704</v>
      </c>
      <c r="C513" s="1" t="n">
        <v>46060</v>
      </c>
      <c r="D513" t="inlineStr">
        <is>
          <t>GOTLANDS LÄN</t>
        </is>
      </c>
      <c r="E513" t="inlineStr">
        <is>
          <t>GOTLAND</t>
        </is>
      </c>
      <c r="G513" t="n">
        <v>4.3</v>
      </c>
      <c r="H513" t="n">
        <v>0</v>
      </c>
      <c r="I513" t="n">
        <v>0</v>
      </c>
      <c r="J513" t="n">
        <v>0</v>
      </c>
      <c r="K513" t="n">
        <v>0</v>
      </c>
      <c r="L513" t="n">
        <v>0</v>
      </c>
      <c r="M513" t="n">
        <v>0</v>
      </c>
      <c r="N513" t="n">
        <v>0</v>
      </c>
      <c r="O513" t="n">
        <v>0</v>
      </c>
      <c r="P513" t="n">
        <v>0</v>
      </c>
      <c r="Q513" t="n">
        <v>0</v>
      </c>
      <c r="R513" s="2" t="inlineStr"/>
    </row>
    <row r="514" ht="15" customHeight="1">
      <c r="A514" t="inlineStr">
        <is>
          <t>A 5943-2024</t>
        </is>
      </c>
      <c r="B514" s="1" t="n">
        <v>45336</v>
      </c>
      <c r="C514" s="1" t="n">
        <v>46060</v>
      </c>
      <c r="D514" t="inlineStr">
        <is>
          <t>GOTLANDS LÄN</t>
        </is>
      </c>
      <c r="E514" t="inlineStr">
        <is>
          <t>GOTLAND</t>
        </is>
      </c>
      <c r="G514" t="n">
        <v>4.3</v>
      </c>
      <c r="H514" t="n">
        <v>0</v>
      </c>
      <c r="I514" t="n">
        <v>0</v>
      </c>
      <c r="J514" t="n">
        <v>0</v>
      </c>
      <c r="K514" t="n">
        <v>0</v>
      </c>
      <c r="L514" t="n">
        <v>0</v>
      </c>
      <c r="M514" t="n">
        <v>0</v>
      </c>
      <c r="N514" t="n">
        <v>0</v>
      </c>
      <c r="O514" t="n">
        <v>0</v>
      </c>
      <c r="P514" t="n">
        <v>0</v>
      </c>
      <c r="Q514" t="n">
        <v>0</v>
      </c>
      <c r="R514" s="2" t="inlineStr"/>
    </row>
    <row r="515" ht="15" customHeight="1">
      <c r="A515" t="inlineStr">
        <is>
          <t>A 38234-2023</t>
        </is>
      </c>
      <c r="B515" s="1" t="n">
        <v>45161.56663194444</v>
      </c>
      <c r="C515" s="1" t="n">
        <v>46060</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6960-2026</t>
        </is>
      </c>
      <c r="B516" s="1" t="n">
        <v>46057.58105324074</v>
      </c>
      <c r="C516" s="1" t="n">
        <v>46060</v>
      </c>
      <c r="D516" t="inlineStr">
        <is>
          <t>GOTLANDS LÄN</t>
        </is>
      </c>
      <c r="E516" t="inlineStr">
        <is>
          <t>GOTLAND</t>
        </is>
      </c>
      <c r="F516" t="inlineStr">
        <is>
          <t>Kyrkan</t>
        </is>
      </c>
      <c r="G516" t="n">
        <v>2.4</v>
      </c>
      <c r="H516" t="n">
        <v>0</v>
      </c>
      <c r="I516" t="n">
        <v>0</v>
      </c>
      <c r="J516" t="n">
        <v>0</v>
      </c>
      <c r="K516" t="n">
        <v>0</v>
      </c>
      <c r="L516" t="n">
        <v>0</v>
      </c>
      <c r="M516" t="n">
        <v>0</v>
      </c>
      <c r="N516" t="n">
        <v>0</v>
      </c>
      <c r="O516" t="n">
        <v>0</v>
      </c>
      <c r="P516" t="n">
        <v>0</v>
      </c>
      <c r="Q516" t="n">
        <v>0</v>
      </c>
      <c r="R516" s="2" t="inlineStr"/>
    </row>
    <row r="517" ht="15" customHeight="1">
      <c r="A517" t="inlineStr">
        <is>
          <t>A 1273-2023</t>
        </is>
      </c>
      <c r="B517" s="1" t="n">
        <v>44936</v>
      </c>
      <c r="C517" s="1" t="n">
        <v>46060</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54584-2025</t>
        </is>
      </c>
      <c r="B518" s="1" t="n">
        <v>45965.71788194445</v>
      </c>
      <c r="C518" s="1" t="n">
        <v>46060</v>
      </c>
      <c r="D518" t="inlineStr">
        <is>
          <t>GOTLANDS LÄN</t>
        </is>
      </c>
      <c r="E518" t="inlineStr">
        <is>
          <t>GOTLAND</t>
        </is>
      </c>
      <c r="G518" t="n">
        <v>3.5</v>
      </c>
      <c r="H518" t="n">
        <v>0</v>
      </c>
      <c r="I518" t="n">
        <v>0</v>
      </c>
      <c r="J518" t="n">
        <v>0</v>
      </c>
      <c r="K518" t="n">
        <v>0</v>
      </c>
      <c r="L518" t="n">
        <v>0</v>
      </c>
      <c r="M518" t="n">
        <v>0</v>
      </c>
      <c r="N518" t="n">
        <v>0</v>
      </c>
      <c r="O518" t="n">
        <v>0</v>
      </c>
      <c r="P518" t="n">
        <v>0</v>
      </c>
      <c r="Q518" t="n">
        <v>0</v>
      </c>
      <c r="R518" s="2" t="inlineStr"/>
    </row>
    <row r="519" ht="15" customHeight="1">
      <c r="A519" t="inlineStr">
        <is>
          <t>A 6959-2026</t>
        </is>
      </c>
      <c r="B519" s="1" t="n">
        <v>46057.580625</v>
      </c>
      <c r="C519" s="1" t="n">
        <v>46060</v>
      </c>
      <c r="D519" t="inlineStr">
        <is>
          <t>GOTLANDS LÄN</t>
        </is>
      </c>
      <c r="E519" t="inlineStr">
        <is>
          <t>GOTLAND</t>
        </is>
      </c>
      <c r="F519" t="inlineStr">
        <is>
          <t>Kyrkan</t>
        </is>
      </c>
      <c r="G519" t="n">
        <v>1.2</v>
      </c>
      <c r="H519" t="n">
        <v>0</v>
      </c>
      <c r="I519" t="n">
        <v>0</v>
      </c>
      <c r="J519" t="n">
        <v>0</v>
      </c>
      <c r="K519" t="n">
        <v>0</v>
      </c>
      <c r="L519" t="n">
        <v>0</v>
      </c>
      <c r="M519" t="n">
        <v>0</v>
      </c>
      <c r="N519" t="n">
        <v>0</v>
      </c>
      <c r="O519" t="n">
        <v>0</v>
      </c>
      <c r="P519" t="n">
        <v>0</v>
      </c>
      <c r="Q519" t="n">
        <v>0</v>
      </c>
      <c r="R519" s="2" t="inlineStr"/>
    </row>
    <row r="520" ht="15" customHeight="1">
      <c r="A520" t="inlineStr">
        <is>
          <t>A 61080-2025</t>
        </is>
      </c>
      <c r="B520" s="1" t="n">
        <v>46000</v>
      </c>
      <c r="C520" s="1" t="n">
        <v>46060</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17724-2024</t>
        </is>
      </c>
      <c r="B521" s="1" t="n">
        <v>45418.55096064815</v>
      </c>
      <c r="C521" s="1" t="n">
        <v>46060</v>
      </c>
      <c r="D521" t="inlineStr">
        <is>
          <t>GOTLANDS LÄN</t>
        </is>
      </c>
      <c r="E521" t="inlineStr">
        <is>
          <t>GOTLAND</t>
        </is>
      </c>
      <c r="G521" t="n">
        <v>2</v>
      </c>
      <c r="H521" t="n">
        <v>0</v>
      </c>
      <c r="I521" t="n">
        <v>0</v>
      </c>
      <c r="J521" t="n">
        <v>0</v>
      </c>
      <c r="K521" t="n">
        <v>0</v>
      </c>
      <c r="L521" t="n">
        <v>0</v>
      </c>
      <c r="M521" t="n">
        <v>0</v>
      </c>
      <c r="N521" t="n">
        <v>0</v>
      </c>
      <c r="O521" t="n">
        <v>0</v>
      </c>
      <c r="P521" t="n">
        <v>0</v>
      </c>
      <c r="Q521" t="n">
        <v>0</v>
      </c>
      <c r="R521" s="2" t="inlineStr"/>
    </row>
    <row r="522" ht="15" customHeight="1">
      <c r="A522" t="inlineStr">
        <is>
          <t>A 23978-2023</t>
        </is>
      </c>
      <c r="B522" s="1" t="n">
        <v>45078</v>
      </c>
      <c r="C522" s="1" t="n">
        <v>46060</v>
      </c>
      <c r="D522" t="inlineStr">
        <is>
          <t>GOTLANDS LÄN</t>
        </is>
      </c>
      <c r="E522" t="inlineStr">
        <is>
          <t>GOTLAND</t>
        </is>
      </c>
      <c r="F522" t="inlineStr">
        <is>
          <t>Naturvårdsverket</t>
        </is>
      </c>
      <c r="G522" t="n">
        <v>1.7</v>
      </c>
      <c r="H522" t="n">
        <v>0</v>
      </c>
      <c r="I522" t="n">
        <v>0</v>
      </c>
      <c r="J522" t="n">
        <v>0</v>
      </c>
      <c r="K522" t="n">
        <v>0</v>
      </c>
      <c r="L522" t="n">
        <v>0</v>
      </c>
      <c r="M522" t="n">
        <v>0</v>
      </c>
      <c r="N522" t="n">
        <v>0</v>
      </c>
      <c r="O522" t="n">
        <v>0</v>
      </c>
      <c r="P522" t="n">
        <v>0</v>
      </c>
      <c r="Q522" t="n">
        <v>0</v>
      </c>
      <c r="R522" s="2" t="inlineStr"/>
    </row>
    <row r="523" ht="15" customHeight="1">
      <c r="A523" t="inlineStr">
        <is>
          <t>A 49884-2023</t>
        </is>
      </c>
      <c r="B523" s="1" t="n">
        <v>45213</v>
      </c>
      <c r="C523" s="1" t="n">
        <v>46060</v>
      </c>
      <c r="D523" t="inlineStr">
        <is>
          <t>GOTLANDS LÄN</t>
        </is>
      </c>
      <c r="E523" t="inlineStr">
        <is>
          <t>GOTLAND</t>
        </is>
      </c>
      <c r="G523" t="n">
        <v>8.9</v>
      </c>
      <c r="H523" t="n">
        <v>0</v>
      </c>
      <c r="I523" t="n">
        <v>0</v>
      </c>
      <c r="J523" t="n">
        <v>0</v>
      </c>
      <c r="K523" t="n">
        <v>0</v>
      </c>
      <c r="L523" t="n">
        <v>0</v>
      </c>
      <c r="M523" t="n">
        <v>0</v>
      </c>
      <c r="N523" t="n">
        <v>0</v>
      </c>
      <c r="O523" t="n">
        <v>0</v>
      </c>
      <c r="P523" t="n">
        <v>0</v>
      </c>
      <c r="Q523" t="n">
        <v>0</v>
      </c>
      <c r="R523" s="2" t="inlineStr"/>
    </row>
    <row r="524" ht="15" customHeight="1">
      <c r="A524" t="inlineStr">
        <is>
          <t>A 53587-2025</t>
        </is>
      </c>
      <c r="B524" s="1" t="n">
        <v>45960.43681712963</v>
      </c>
      <c r="C524" s="1" t="n">
        <v>46060</v>
      </c>
      <c r="D524" t="inlineStr">
        <is>
          <t>GOTLANDS LÄN</t>
        </is>
      </c>
      <c r="E524" t="inlineStr">
        <is>
          <t>GOTLAND</t>
        </is>
      </c>
      <c r="F524" t="inlineStr">
        <is>
          <t>Övriga Aktiebolag</t>
        </is>
      </c>
      <c r="G524" t="n">
        <v>1.7</v>
      </c>
      <c r="H524" t="n">
        <v>0</v>
      </c>
      <c r="I524" t="n">
        <v>0</v>
      </c>
      <c r="J524" t="n">
        <v>0</v>
      </c>
      <c r="K524" t="n">
        <v>0</v>
      </c>
      <c r="L524" t="n">
        <v>0</v>
      </c>
      <c r="M524" t="n">
        <v>0</v>
      </c>
      <c r="N524" t="n">
        <v>0</v>
      </c>
      <c r="O524" t="n">
        <v>0</v>
      </c>
      <c r="P524" t="n">
        <v>0</v>
      </c>
      <c r="Q524" t="n">
        <v>0</v>
      </c>
      <c r="R524" s="2" t="inlineStr"/>
    </row>
    <row r="525" ht="15" customHeight="1">
      <c r="A525" t="inlineStr">
        <is>
          <t>A 61078-2025</t>
        </is>
      </c>
      <c r="B525" s="1" t="n">
        <v>46000</v>
      </c>
      <c r="C525" s="1" t="n">
        <v>46060</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12846-2025</t>
        </is>
      </c>
      <c r="B526" s="1" t="n">
        <v>45733.65049768519</v>
      </c>
      <c r="C526" s="1" t="n">
        <v>46060</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43200-2023</t>
        </is>
      </c>
      <c r="B527" s="1" t="n">
        <v>45183</v>
      </c>
      <c r="C527" s="1" t="n">
        <v>46060</v>
      </c>
      <c r="D527" t="inlineStr">
        <is>
          <t>GOTLANDS LÄN</t>
        </is>
      </c>
      <c r="E527" t="inlineStr">
        <is>
          <t>GOTLAND</t>
        </is>
      </c>
      <c r="G527" t="n">
        <v>0.5</v>
      </c>
      <c r="H527" t="n">
        <v>0</v>
      </c>
      <c r="I527" t="n">
        <v>0</v>
      </c>
      <c r="J527" t="n">
        <v>0</v>
      </c>
      <c r="K527" t="n">
        <v>0</v>
      </c>
      <c r="L527" t="n">
        <v>0</v>
      </c>
      <c r="M527" t="n">
        <v>0</v>
      </c>
      <c r="N527" t="n">
        <v>0</v>
      </c>
      <c r="O527" t="n">
        <v>0</v>
      </c>
      <c r="P527" t="n">
        <v>0</v>
      </c>
      <c r="Q527" t="n">
        <v>0</v>
      </c>
      <c r="R527" s="2" t="inlineStr"/>
    </row>
    <row r="528" ht="15" customHeight="1">
      <c r="A528" t="inlineStr">
        <is>
          <t>A 63152-2025</t>
        </is>
      </c>
      <c r="B528" s="1" t="n">
        <v>46010</v>
      </c>
      <c r="C528" s="1" t="n">
        <v>46060</v>
      </c>
      <c r="D528" t="inlineStr">
        <is>
          <t>GOTLANDS LÄN</t>
        </is>
      </c>
      <c r="E528" t="inlineStr">
        <is>
          <t>GOTLAND</t>
        </is>
      </c>
      <c r="G528" t="n">
        <v>1.5</v>
      </c>
      <c r="H528" t="n">
        <v>0</v>
      </c>
      <c r="I528" t="n">
        <v>0</v>
      </c>
      <c r="J528" t="n">
        <v>0</v>
      </c>
      <c r="K528" t="n">
        <v>0</v>
      </c>
      <c r="L528" t="n">
        <v>0</v>
      </c>
      <c r="M528" t="n">
        <v>0</v>
      </c>
      <c r="N528" t="n">
        <v>0</v>
      </c>
      <c r="O528" t="n">
        <v>0</v>
      </c>
      <c r="P528" t="n">
        <v>0</v>
      </c>
      <c r="Q528" t="n">
        <v>0</v>
      </c>
      <c r="R528" s="2" t="inlineStr"/>
    </row>
    <row r="529" ht="15" customHeight="1">
      <c r="A529" t="inlineStr">
        <is>
          <t>A 38649-2025</t>
        </is>
      </c>
      <c r="B529" s="1" t="n">
        <v>45884</v>
      </c>
      <c r="C529" s="1" t="n">
        <v>46060</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3935-2025</t>
        </is>
      </c>
      <c r="B530" s="1" t="n">
        <v>45684.46070601852</v>
      </c>
      <c r="C530" s="1" t="n">
        <v>46060</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62836-2025</t>
        </is>
      </c>
      <c r="B531" s="1" t="n">
        <v>46008</v>
      </c>
      <c r="C531" s="1" t="n">
        <v>46060</v>
      </c>
      <c r="D531" t="inlineStr">
        <is>
          <t>GOTLANDS LÄN</t>
        </is>
      </c>
      <c r="E531" t="inlineStr">
        <is>
          <t>GOTLAND</t>
        </is>
      </c>
      <c r="G531" t="n">
        <v>6.5</v>
      </c>
      <c r="H531" t="n">
        <v>0</v>
      </c>
      <c r="I531" t="n">
        <v>0</v>
      </c>
      <c r="J531" t="n">
        <v>0</v>
      </c>
      <c r="K531" t="n">
        <v>0</v>
      </c>
      <c r="L531" t="n">
        <v>0</v>
      </c>
      <c r="M531" t="n">
        <v>0</v>
      </c>
      <c r="N531" t="n">
        <v>0</v>
      </c>
      <c r="O531" t="n">
        <v>0</v>
      </c>
      <c r="P531" t="n">
        <v>0</v>
      </c>
      <c r="Q531" t="n">
        <v>0</v>
      </c>
      <c r="R531" s="2" t="inlineStr"/>
    </row>
    <row r="532" ht="15" customHeight="1">
      <c r="A532" t="inlineStr">
        <is>
          <t>A 62674-2025</t>
        </is>
      </c>
      <c r="B532" s="1" t="n">
        <v>46008</v>
      </c>
      <c r="C532" s="1" t="n">
        <v>46060</v>
      </c>
      <c r="D532" t="inlineStr">
        <is>
          <t>GOTLANDS LÄN</t>
        </is>
      </c>
      <c r="E532" t="inlineStr">
        <is>
          <t>GOTLAND</t>
        </is>
      </c>
      <c r="G532" t="n">
        <v>5</v>
      </c>
      <c r="H532" t="n">
        <v>0</v>
      </c>
      <c r="I532" t="n">
        <v>0</v>
      </c>
      <c r="J532" t="n">
        <v>0</v>
      </c>
      <c r="K532" t="n">
        <v>0</v>
      </c>
      <c r="L532" t="n">
        <v>0</v>
      </c>
      <c r="M532" t="n">
        <v>0</v>
      </c>
      <c r="N532" t="n">
        <v>0</v>
      </c>
      <c r="O532" t="n">
        <v>0</v>
      </c>
      <c r="P532" t="n">
        <v>0</v>
      </c>
      <c r="Q532" t="n">
        <v>0</v>
      </c>
      <c r="R532" s="2" t="inlineStr"/>
    </row>
    <row r="533" ht="15" customHeight="1">
      <c r="A533" t="inlineStr">
        <is>
          <t>A 53561-2025</t>
        </is>
      </c>
      <c r="B533" s="1" t="n">
        <v>45960.4059375</v>
      </c>
      <c r="C533" s="1" t="n">
        <v>46060</v>
      </c>
      <c r="D533" t="inlineStr">
        <is>
          <t>GOTLANDS LÄN</t>
        </is>
      </c>
      <c r="E533" t="inlineStr">
        <is>
          <t>GOTLAND</t>
        </is>
      </c>
      <c r="F533" t="inlineStr">
        <is>
          <t>Övriga Aktiebolag</t>
        </is>
      </c>
      <c r="G533" t="n">
        <v>2.4</v>
      </c>
      <c r="H533" t="n">
        <v>0</v>
      </c>
      <c r="I533" t="n">
        <v>0</v>
      </c>
      <c r="J533" t="n">
        <v>0</v>
      </c>
      <c r="K533" t="n">
        <v>0</v>
      </c>
      <c r="L533" t="n">
        <v>0</v>
      </c>
      <c r="M533" t="n">
        <v>0</v>
      </c>
      <c r="N533" t="n">
        <v>0</v>
      </c>
      <c r="O533" t="n">
        <v>0</v>
      </c>
      <c r="P533" t="n">
        <v>0</v>
      </c>
      <c r="Q533" t="n">
        <v>0</v>
      </c>
      <c r="R533" s="2" t="inlineStr"/>
    </row>
    <row r="534" ht="15" customHeight="1">
      <c r="A534" t="inlineStr">
        <is>
          <t>A 63105-2025</t>
        </is>
      </c>
      <c r="B534" s="1" t="n">
        <v>46009</v>
      </c>
      <c r="C534" s="1" t="n">
        <v>46060</v>
      </c>
      <c r="D534" t="inlineStr">
        <is>
          <t>GOTLANDS LÄN</t>
        </is>
      </c>
      <c r="E534" t="inlineStr">
        <is>
          <t>GOTLAND</t>
        </is>
      </c>
      <c r="G534" t="n">
        <v>2.6</v>
      </c>
      <c r="H534" t="n">
        <v>0</v>
      </c>
      <c r="I534" t="n">
        <v>0</v>
      </c>
      <c r="J534" t="n">
        <v>0</v>
      </c>
      <c r="K534" t="n">
        <v>0</v>
      </c>
      <c r="L534" t="n">
        <v>0</v>
      </c>
      <c r="M534" t="n">
        <v>0</v>
      </c>
      <c r="N534" t="n">
        <v>0</v>
      </c>
      <c r="O534" t="n">
        <v>0</v>
      </c>
      <c r="P534" t="n">
        <v>0</v>
      </c>
      <c r="Q534" t="n">
        <v>0</v>
      </c>
      <c r="R534" s="2" t="inlineStr"/>
    </row>
    <row r="535" ht="15" customHeight="1">
      <c r="A535" t="inlineStr">
        <is>
          <t>A 21792-2024</t>
        </is>
      </c>
      <c r="B535" s="1" t="n">
        <v>45442.64326388889</v>
      </c>
      <c r="C535" s="1" t="n">
        <v>46060</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60384-2025</t>
        </is>
      </c>
      <c r="B536" s="1" t="n">
        <v>45995</v>
      </c>
      <c r="C536" s="1" t="n">
        <v>46060</v>
      </c>
      <c r="D536" t="inlineStr">
        <is>
          <t>GOTLANDS LÄN</t>
        </is>
      </c>
      <c r="E536" t="inlineStr">
        <is>
          <t>GOTLAND</t>
        </is>
      </c>
      <c r="G536" t="n">
        <v>2.5</v>
      </c>
      <c r="H536" t="n">
        <v>0</v>
      </c>
      <c r="I536" t="n">
        <v>0</v>
      </c>
      <c r="J536" t="n">
        <v>0</v>
      </c>
      <c r="K536" t="n">
        <v>0</v>
      </c>
      <c r="L536" t="n">
        <v>0</v>
      </c>
      <c r="M536" t="n">
        <v>0</v>
      </c>
      <c r="N536" t="n">
        <v>0</v>
      </c>
      <c r="O536" t="n">
        <v>0</v>
      </c>
      <c r="P536" t="n">
        <v>0</v>
      </c>
      <c r="Q536" t="n">
        <v>0</v>
      </c>
      <c r="R536" s="2" t="inlineStr"/>
    </row>
    <row r="537" ht="15" customHeight="1">
      <c r="A537" t="inlineStr">
        <is>
          <t>A 48843-2024</t>
        </is>
      </c>
      <c r="B537" s="1" t="n">
        <v>45593</v>
      </c>
      <c r="C537" s="1" t="n">
        <v>46060</v>
      </c>
      <c r="D537" t="inlineStr">
        <is>
          <t>GOTLANDS LÄN</t>
        </is>
      </c>
      <c r="E537" t="inlineStr">
        <is>
          <t>GOTLAND</t>
        </is>
      </c>
      <c r="G537" t="n">
        <v>0.5</v>
      </c>
      <c r="H537" t="n">
        <v>0</v>
      </c>
      <c r="I537" t="n">
        <v>0</v>
      </c>
      <c r="J537" t="n">
        <v>0</v>
      </c>
      <c r="K537" t="n">
        <v>0</v>
      </c>
      <c r="L537" t="n">
        <v>0</v>
      </c>
      <c r="M537" t="n">
        <v>0</v>
      </c>
      <c r="N537" t="n">
        <v>0</v>
      </c>
      <c r="O537" t="n">
        <v>0</v>
      </c>
      <c r="P537" t="n">
        <v>0</v>
      </c>
      <c r="Q537" t="n">
        <v>0</v>
      </c>
      <c r="R537" s="2" t="inlineStr"/>
    </row>
    <row r="538" ht="15" customHeight="1">
      <c r="A538" t="inlineStr">
        <is>
          <t>A 10653-2023</t>
        </is>
      </c>
      <c r="B538" s="1" t="n">
        <v>44988.48859953704</v>
      </c>
      <c r="C538" s="1" t="n">
        <v>46060</v>
      </c>
      <c r="D538" t="inlineStr">
        <is>
          <t>GOTLANDS LÄN</t>
        </is>
      </c>
      <c r="E538" t="inlineStr">
        <is>
          <t>GOTLAND</t>
        </is>
      </c>
      <c r="F538" t="inlineStr">
        <is>
          <t>Kyrkan</t>
        </is>
      </c>
      <c r="G538" t="n">
        <v>3</v>
      </c>
      <c r="H538" t="n">
        <v>0</v>
      </c>
      <c r="I538" t="n">
        <v>0</v>
      </c>
      <c r="J538" t="n">
        <v>0</v>
      </c>
      <c r="K538" t="n">
        <v>0</v>
      </c>
      <c r="L538" t="n">
        <v>0</v>
      </c>
      <c r="M538" t="n">
        <v>0</v>
      </c>
      <c r="N538" t="n">
        <v>0</v>
      </c>
      <c r="O538" t="n">
        <v>0</v>
      </c>
      <c r="P538" t="n">
        <v>0</v>
      </c>
      <c r="Q538" t="n">
        <v>0</v>
      </c>
      <c r="R538" s="2" t="inlineStr"/>
    </row>
    <row r="539" ht="15" customHeight="1">
      <c r="A539" t="inlineStr">
        <is>
          <t>A 35512-2023</t>
        </is>
      </c>
      <c r="B539" s="1" t="n">
        <v>45147.25623842593</v>
      </c>
      <c r="C539" s="1" t="n">
        <v>46060</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46060</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20225-2025</t>
        </is>
      </c>
      <c r="B541" s="1" t="n">
        <v>45772.65802083333</v>
      </c>
      <c r="C541" s="1" t="n">
        <v>46060</v>
      </c>
      <c r="D541" t="inlineStr">
        <is>
          <t>GOTLANDS LÄN</t>
        </is>
      </c>
      <c r="E541" t="inlineStr">
        <is>
          <t>GOTLAND</t>
        </is>
      </c>
      <c r="G541" t="n">
        <v>1.1</v>
      </c>
      <c r="H541" t="n">
        <v>0</v>
      </c>
      <c r="I541" t="n">
        <v>0</v>
      </c>
      <c r="J541" t="n">
        <v>0</v>
      </c>
      <c r="K541" t="n">
        <v>0</v>
      </c>
      <c r="L541" t="n">
        <v>0</v>
      </c>
      <c r="M541" t="n">
        <v>0</v>
      </c>
      <c r="N541" t="n">
        <v>0</v>
      </c>
      <c r="O541" t="n">
        <v>0</v>
      </c>
      <c r="P541" t="n">
        <v>0</v>
      </c>
      <c r="Q541" t="n">
        <v>0</v>
      </c>
      <c r="R541" s="2" t="inlineStr"/>
    </row>
    <row r="542" ht="15" customHeight="1">
      <c r="A542" t="inlineStr">
        <is>
          <t>A 1677-2023</t>
        </is>
      </c>
      <c r="B542" s="1" t="n">
        <v>44938</v>
      </c>
      <c r="C542" s="1" t="n">
        <v>46060</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64831-2023</t>
        </is>
      </c>
      <c r="B543" s="1" t="n">
        <v>45282.44924768519</v>
      </c>
      <c r="C543" s="1" t="n">
        <v>46060</v>
      </c>
      <c r="D543" t="inlineStr">
        <is>
          <t>GOTLANDS LÄN</t>
        </is>
      </c>
      <c r="E543" t="inlineStr">
        <is>
          <t>GOTLAND</t>
        </is>
      </c>
      <c r="G543" t="n">
        <v>1.9</v>
      </c>
      <c r="H543" t="n">
        <v>0</v>
      </c>
      <c r="I543" t="n">
        <v>0</v>
      </c>
      <c r="J543" t="n">
        <v>0</v>
      </c>
      <c r="K543" t="n">
        <v>0</v>
      </c>
      <c r="L543" t="n">
        <v>0</v>
      </c>
      <c r="M543" t="n">
        <v>0</v>
      </c>
      <c r="N543" t="n">
        <v>0</v>
      </c>
      <c r="O543" t="n">
        <v>0</v>
      </c>
      <c r="P543" t="n">
        <v>0</v>
      </c>
      <c r="Q543" t="n">
        <v>0</v>
      </c>
      <c r="R543" s="2" t="inlineStr"/>
    </row>
    <row r="544" ht="15" customHeight="1">
      <c r="A544" t="inlineStr">
        <is>
          <t>A 8036-2022</t>
        </is>
      </c>
      <c r="B544" s="1" t="n">
        <v>44609.44362268518</v>
      </c>
      <c r="C544" s="1" t="n">
        <v>46060</v>
      </c>
      <c r="D544" t="inlineStr">
        <is>
          <t>GOTLANDS LÄN</t>
        </is>
      </c>
      <c r="E544" t="inlineStr">
        <is>
          <t>GOTLAND</t>
        </is>
      </c>
      <c r="G544" t="n">
        <v>6.1</v>
      </c>
      <c r="H544" t="n">
        <v>0</v>
      </c>
      <c r="I544" t="n">
        <v>0</v>
      </c>
      <c r="J544" t="n">
        <v>0</v>
      </c>
      <c r="K544" t="n">
        <v>0</v>
      </c>
      <c r="L544" t="n">
        <v>0</v>
      </c>
      <c r="M544" t="n">
        <v>0</v>
      </c>
      <c r="N544" t="n">
        <v>0</v>
      </c>
      <c r="O544" t="n">
        <v>0</v>
      </c>
      <c r="P544" t="n">
        <v>0</v>
      </c>
      <c r="Q544" t="n">
        <v>0</v>
      </c>
      <c r="R544" s="2" t="inlineStr"/>
    </row>
    <row r="545" ht="15" customHeight="1">
      <c r="A545" t="inlineStr">
        <is>
          <t>A 46375-2024</t>
        </is>
      </c>
      <c r="B545" s="1" t="n">
        <v>45582</v>
      </c>
      <c r="C545" s="1" t="n">
        <v>46060</v>
      </c>
      <c r="D545" t="inlineStr">
        <is>
          <t>GOTLANDS LÄN</t>
        </is>
      </c>
      <c r="E545" t="inlineStr">
        <is>
          <t>GOTLAND</t>
        </is>
      </c>
      <c r="G545" t="n">
        <v>3</v>
      </c>
      <c r="H545" t="n">
        <v>0</v>
      </c>
      <c r="I545" t="n">
        <v>0</v>
      </c>
      <c r="J545" t="n">
        <v>0</v>
      </c>
      <c r="K545" t="n">
        <v>0</v>
      </c>
      <c r="L545" t="n">
        <v>0</v>
      </c>
      <c r="M545" t="n">
        <v>0</v>
      </c>
      <c r="N545" t="n">
        <v>0</v>
      </c>
      <c r="O545" t="n">
        <v>0</v>
      </c>
      <c r="P545" t="n">
        <v>0</v>
      </c>
      <c r="Q545" t="n">
        <v>0</v>
      </c>
      <c r="R545" s="2" t="inlineStr"/>
    </row>
    <row r="546" ht="15" customHeight="1">
      <c r="A546" t="inlineStr">
        <is>
          <t>A 62915-2021</t>
        </is>
      </c>
      <c r="B546" s="1" t="n">
        <v>44504</v>
      </c>
      <c r="C546" s="1" t="n">
        <v>46060</v>
      </c>
      <c r="D546" t="inlineStr">
        <is>
          <t>GOTLANDS LÄN</t>
        </is>
      </c>
      <c r="E546" t="inlineStr">
        <is>
          <t>GOTLAND</t>
        </is>
      </c>
      <c r="G546" t="n">
        <v>1.1</v>
      </c>
      <c r="H546" t="n">
        <v>0</v>
      </c>
      <c r="I546" t="n">
        <v>0</v>
      </c>
      <c r="J546" t="n">
        <v>0</v>
      </c>
      <c r="K546" t="n">
        <v>0</v>
      </c>
      <c r="L546" t="n">
        <v>0</v>
      </c>
      <c r="M546" t="n">
        <v>0</v>
      </c>
      <c r="N546" t="n">
        <v>0</v>
      </c>
      <c r="O546" t="n">
        <v>0</v>
      </c>
      <c r="P546" t="n">
        <v>0</v>
      </c>
      <c r="Q546" t="n">
        <v>0</v>
      </c>
      <c r="R546" s="2" t="inlineStr"/>
    </row>
    <row r="547" ht="15" customHeight="1">
      <c r="A547" t="inlineStr">
        <is>
          <t>A 7638-2025</t>
        </is>
      </c>
      <c r="B547" s="1" t="n">
        <v>45705.77306712963</v>
      </c>
      <c r="C547" s="1" t="n">
        <v>46060</v>
      </c>
      <c r="D547" t="inlineStr">
        <is>
          <t>GOTLANDS LÄN</t>
        </is>
      </c>
      <c r="E547" t="inlineStr">
        <is>
          <t>GOTLAND</t>
        </is>
      </c>
      <c r="G547" t="n">
        <v>2.2</v>
      </c>
      <c r="H547" t="n">
        <v>0</v>
      </c>
      <c r="I547" t="n">
        <v>0</v>
      </c>
      <c r="J547" t="n">
        <v>0</v>
      </c>
      <c r="K547" t="n">
        <v>0</v>
      </c>
      <c r="L547" t="n">
        <v>0</v>
      </c>
      <c r="M547" t="n">
        <v>0</v>
      </c>
      <c r="N547" t="n">
        <v>0</v>
      </c>
      <c r="O547" t="n">
        <v>0</v>
      </c>
      <c r="P547" t="n">
        <v>0</v>
      </c>
      <c r="Q547" t="n">
        <v>0</v>
      </c>
      <c r="R547" s="2" t="inlineStr"/>
    </row>
    <row r="548" ht="15" customHeight="1">
      <c r="A548" t="inlineStr">
        <is>
          <t>A 4377-2023</t>
        </is>
      </c>
      <c r="B548" s="1" t="n">
        <v>44955.5502662037</v>
      </c>
      <c r="C548" s="1" t="n">
        <v>46060</v>
      </c>
      <c r="D548" t="inlineStr">
        <is>
          <t>GOTLANDS LÄN</t>
        </is>
      </c>
      <c r="E548" t="inlineStr">
        <is>
          <t>GOTLAND</t>
        </is>
      </c>
      <c r="F548" t="inlineStr">
        <is>
          <t>Kyrkan</t>
        </is>
      </c>
      <c r="G548" t="n">
        <v>0.6</v>
      </c>
      <c r="H548" t="n">
        <v>0</v>
      </c>
      <c r="I548" t="n">
        <v>0</v>
      </c>
      <c r="J548" t="n">
        <v>0</v>
      </c>
      <c r="K548" t="n">
        <v>0</v>
      </c>
      <c r="L548" t="n">
        <v>0</v>
      </c>
      <c r="M548" t="n">
        <v>0</v>
      </c>
      <c r="N548" t="n">
        <v>0</v>
      </c>
      <c r="O548" t="n">
        <v>0</v>
      </c>
      <c r="P548" t="n">
        <v>0</v>
      </c>
      <c r="Q548" t="n">
        <v>0</v>
      </c>
      <c r="R548" s="2" t="inlineStr"/>
    </row>
    <row r="549" ht="15" customHeight="1">
      <c r="A549" t="inlineStr">
        <is>
          <t>A 43901-2023</t>
        </is>
      </c>
      <c r="B549" s="1" t="n">
        <v>45187</v>
      </c>
      <c r="C549" s="1" t="n">
        <v>46060</v>
      </c>
      <c r="D549" t="inlineStr">
        <is>
          <t>GOTLANDS LÄN</t>
        </is>
      </c>
      <c r="E549" t="inlineStr">
        <is>
          <t>GOTLAND</t>
        </is>
      </c>
      <c r="G549" t="n">
        <v>5.4</v>
      </c>
      <c r="H549" t="n">
        <v>0</v>
      </c>
      <c r="I549" t="n">
        <v>0</v>
      </c>
      <c r="J549" t="n">
        <v>0</v>
      </c>
      <c r="K549" t="n">
        <v>0</v>
      </c>
      <c r="L549" t="n">
        <v>0</v>
      </c>
      <c r="M549" t="n">
        <v>0</v>
      </c>
      <c r="N549" t="n">
        <v>0</v>
      </c>
      <c r="O549" t="n">
        <v>0</v>
      </c>
      <c r="P549" t="n">
        <v>0</v>
      </c>
      <c r="Q549" t="n">
        <v>0</v>
      </c>
      <c r="R549" s="2" t="inlineStr"/>
    </row>
    <row r="550" ht="15" customHeight="1">
      <c r="A550" t="inlineStr">
        <is>
          <t>A 17532-2024</t>
        </is>
      </c>
      <c r="B550" s="1" t="n">
        <v>45415</v>
      </c>
      <c r="C550" s="1" t="n">
        <v>46060</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45692-2023</t>
        </is>
      </c>
      <c r="B551" s="1" t="n">
        <v>45195</v>
      </c>
      <c r="C551" s="1" t="n">
        <v>46060</v>
      </c>
      <c r="D551" t="inlineStr">
        <is>
          <t>GOTLANDS LÄN</t>
        </is>
      </c>
      <c r="E551" t="inlineStr">
        <is>
          <t>GOTLAND</t>
        </is>
      </c>
      <c r="G551" t="n">
        <v>5.3</v>
      </c>
      <c r="H551" t="n">
        <v>0</v>
      </c>
      <c r="I551" t="n">
        <v>0</v>
      </c>
      <c r="J551" t="n">
        <v>0</v>
      </c>
      <c r="K551" t="n">
        <v>0</v>
      </c>
      <c r="L551" t="n">
        <v>0</v>
      </c>
      <c r="M551" t="n">
        <v>0</v>
      </c>
      <c r="N551" t="n">
        <v>0</v>
      </c>
      <c r="O551" t="n">
        <v>0</v>
      </c>
      <c r="P551" t="n">
        <v>0</v>
      </c>
      <c r="Q551" t="n">
        <v>0</v>
      </c>
      <c r="R551" s="2" t="inlineStr"/>
    </row>
    <row r="552" ht="15" customHeight="1">
      <c r="A552" t="inlineStr">
        <is>
          <t>A 37222-2021</t>
        </is>
      </c>
      <c r="B552" s="1" t="n">
        <v>44396</v>
      </c>
      <c r="C552" s="1" t="n">
        <v>46060</v>
      </c>
      <c r="D552" t="inlineStr">
        <is>
          <t>GOTLANDS LÄN</t>
        </is>
      </c>
      <c r="E552" t="inlineStr">
        <is>
          <t>GOTLAND</t>
        </is>
      </c>
      <c r="G552" t="n">
        <v>3</v>
      </c>
      <c r="H552" t="n">
        <v>0</v>
      </c>
      <c r="I552" t="n">
        <v>0</v>
      </c>
      <c r="J552" t="n">
        <v>0</v>
      </c>
      <c r="K552" t="n">
        <v>0</v>
      </c>
      <c r="L552" t="n">
        <v>0</v>
      </c>
      <c r="M552" t="n">
        <v>0</v>
      </c>
      <c r="N552" t="n">
        <v>0</v>
      </c>
      <c r="O552" t="n">
        <v>0</v>
      </c>
      <c r="P552" t="n">
        <v>0</v>
      </c>
      <c r="Q552" t="n">
        <v>0</v>
      </c>
      <c r="R552" s="2" t="inlineStr"/>
    </row>
    <row r="553" ht="15" customHeight="1">
      <c r="A553" t="inlineStr">
        <is>
          <t>A 46396-2023</t>
        </is>
      </c>
      <c r="B553" s="1" t="n">
        <v>45197</v>
      </c>
      <c r="C553" s="1" t="n">
        <v>46060</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58388-2022</t>
        </is>
      </c>
      <c r="B554" s="1" t="n">
        <v>44894</v>
      </c>
      <c r="C554" s="1" t="n">
        <v>46060</v>
      </c>
      <c r="D554" t="inlineStr">
        <is>
          <t>GOTLANDS LÄN</t>
        </is>
      </c>
      <c r="E554" t="inlineStr">
        <is>
          <t>GOTLAND</t>
        </is>
      </c>
      <c r="F554" t="inlineStr">
        <is>
          <t>Övriga statliga verk och myndigheter</t>
        </is>
      </c>
      <c r="G554" t="n">
        <v>3.1</v>
      </c>
      <c r="H554" t="n">
        <v>0</v>
      </c>
      <c r="I554" t="n">
        <v>0</v>
      </c>
      <c r="J554" t="n">
        <v>0</v>
      </c>
      <c r="K554" t="n">
        <v>0</v>
      </c>
      <c r="L554" t="n">
        <v>0</v>
      </c>
      <c r="M554" t="n">
        <v>0</v>
      </c>
      <c r="N554" t="n">
        <v>0</v>
      </c>
      <c r="O554" t="n">
        <v>0</v>
      </c>
      <c r="P554" t="n">
        <v>0</v>
      </c>
      <c r="Q554" t="n">
        <v>0</v>
      </c>
      <c r="R554" s="2" t="inlineStr"/>
    </row>
    <row r="555" ht="15" customHeight="1">
      <c r="A555" t="inlineStr">
        <is>
          <t>A 53934-2024</t>
        </is>
      </c>
      <c r="B555" s="1" t="n">
        <v>45615</v>
      </c>
      <c r="C555" s="1" t="n">
        <v>46060</v>
      </c>
      <c r="D555" t="inlineStr">
        <is>
          <t>GOTLANDS LÄN</t>
        </is>
      </c>
      <c r="E555" t="inlineStr">
        <is>
          <t>GOTLAND</t>
        </is>
      </c>
      <c r="G555" t="n">
        <v>5</v>
      </c>
      <c r="H555" t="n">
        <v>0</v>
      </c>
      <c r="I555" t="n">
        <v>0</v>
      </c>
      <c r="J555" t="n">
        <v>0</v>
      </c>
      <c r="K555" t="n">
        <v>0</v>
      </c>
      <c r="L555" t="n">
        <v>0</v>
      </c>
      <c r="M555" t="n">
        <v>0</v>
      </c>
      <c r="N555" t="n">
        <v>0</v>
      </c>
      <c r="O555" t="n">
        <v>0</v>
      </c>
      <c r="P555" t="n">
        <v>0</v>
      </c>
      <c r="Q555" t="n">
        <v>0</v>
      </c>
      <c r="R555" s="2" t="inlineStr"/>
    </row>
    <row r="556" ht="15" customHeight="1">
      <c r="A556" t="inlineStr">
        <is>
          <t>A 58132-2023</t>
        </is>
      </c>
      <c r="B556" s="1" t="n">
        <v>45250</v>
      </c>
      <c r="C556" s="1" t="n">
        <v>46060</v>
      </c>
      <c r="D556" t="inlineStr">
        <is>
          <t>GOTLANDS LÄN</t>
        </is>
      </c>
      <c r="E556" t="inlineStr">
        <is>
          <t>GOTLAND</t>
        </is>
      </c>
      <c r="G556" t="n">
        <v>3.1</v>
      </c>
      <c r="H556" t="n">
        <v>0</v>
      </c>
      <c r="I556" t="n">
        <v>0</v>
      </c>
      <c r="J556" t="n">
        <v>0</v>
      </c>
      <c r="K556" t="n">
        <v>0</v>
      </c>
      <c r="L556" t="n">
        <v>0</v>
      </c>
      <c r="M556" t="n">
        <v>0</v>
      </c>
      <c r="N556" t="n">
        <v>0</v>
      </c>
      <c r="O556" t="n">
        <v>0</v>
      </c>
      <c r="P556" t="n">
        <v>0</v>
      </c>
      <c r="Q556" t="n">
        <v>0</v>
      </c>
      <c r="R556" s="2" t="inlineStr"/>
    </row>
    <row r="557" ht="15" customHeight="1">
      <c r="A557" t="inlineStr">
        <is>
          <t>A 22899-2023</t>
        </is>
      </c>
      <c r="B557" s="1" t="n">
        <v>45072</v>
      </c>
      <c r="C557" s="1" t="n">
        <v>46060</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28285-2024</t>
        </is>
      </c>
      <c r="B558" s="1" t="n">
        <v>45477</v>
      </c>
      <c r="C558" s="1" t="n">
        <v>46060</v>
      </c>
      <c r="D558" t="inlineStr">
        <is>
          <t>GOTLANDS LÄN</t>
        </is>
      </c>
      <c r="E558" t="inlineStr">
        <is>
          <t>GOTLAND</t>
        </is>
      </c>
      <c r="G558" t="n">
        <v>1.6</v>
      </c>
      <c r="H558" t="n">
        <v>0</v>
      </c>
      <c r="I558" t="n">
        <v>0</v>
      </c>
      <c r="J558" t="n">
        <v>0</v>
      </c>
      <c r="K558" t="n">
        <v>0</v>
      </c>
      <c r="L558" t="n">
        <v>0</v>
      </c>
      <c r="M558" t="n">
        <v>0</v>
      </c>
      <c r="N558" t="n">
        <v>0</v>
      </c>
      <c r="O558" t="n">
        <v>0</v>
      </c>
      <c r="P558" t="n">
        <v>0</v>
      </c>
      <c r="Q558" t="n">
        <v>0</v>
      </c>
      <c r="R558" s="2" t="inlineStr"/>
    </row>
    <row r="559" ht="15" customHeight="1">
      <c r="A559" t="inlineStr">
        <is>
          <t>A 51963-2024</t>
        </is>
      </c>
      <c r="B559" s="1" t="n">
        <v>45607.64833333333</v>
      </c>
      <c r="C559" s="1" t="n">
        <v>46060</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1734-2025</t>
        </is>
      </c>
      <c r="B560" s="1" t="n">
        <v>45671.3840625</v>
      </c>
      <c r="C560" s="1" t="n">
        <v>46060</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30365-2024</t>
        </is>
      </c>
      <c r="B561" s="1" t="n">
        <v>45491.3716087963</v>
      </c>
      <c r="C561" s="1" t="n">
        <v>46060</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2674-2023</t>
        </is>
      </c>
      <c r="B562" s="1" t="n">
        <v>44944</v>
      </c>
      <c r="C562" s="1" t="n">
        <v>46060</v>
      </c>
      <c r="D562" t="inlineStr">
        <is>
          <t>GOTLANDS LÄN</t>
        </is>
      </c>
      <c r="E562" t="inlineStr">
        <is>
          <t>GOTLAND</t>
        </is>
      </c>
      <c r="G562" t="n">
        <v>2.5</v>
      </c>
      <c r="H562" t="n">
        <v>0</v>
      </c>
      <c r="I562" t="n">
        <v>0</v>
      </c>
      <c r="J562" t="n">
        <v>0</v>
      </c>
      <c r="K562" t="n">
        <v>0</v>
      </c>
      <c r="L562" t="n">
        <v>0</v>
      </c>
      <c r="M562" t="n">
        <v>0</v>
      </c>
      <c r="N562" t="n">
        <v>0</v>
      </c>
      <c r="O562" t="n">
        <v>0</v>
      </c>
      <c r="P562" t="n">
        <v>0</v>
      </c>
      <c r="Q562" t="n">
        <v>0</v>
      </c>
      <c r="R562" s="2" t="inlineStr"/>
    </row>
    <row r="563" ht="15" customHeight="1">
      <c r="A563" t="inlineStr">
        <is>
          <t>A 61100-2022</t>
        </is>
      </c>
      <c r="B563" s="1" t="n">
        <v>44915</v>
      </c>
      <c r="C563" s="1" t="n">
        <v>46060</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46060</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10655-2023</t>
        </is>
      </c>
      <c r="B565" s="1" t="n">
        <v>44988.49543981482</v>
      </c>
      <c r="C565" s="1" t="n">
        <v>46060</v>
      </c>
      <c r="D565" t="inlineStr">
        <is>
          <t>GOTLANDS LÄN</t>
        </is>
      </c>
      <c r="E565" t="inlineStr">
        <is>
          <t>GOTLAND</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44649-2021</t>
        </is>
      </c>
      <c r="B566" s="1" t="n">
        <v>44437</v>
      </c>
      <c r="C566" s="1" t="n">
        <v>46060</v>
      </c>
      <c r="D566" t="inlineStr">
        <is>
          <t>GOTLANDS LÄN</t>
        </is>
      </c>
      <c r="E566" t="inlineStr">
        <is>
          <t>GOTLAND</t>
        </is>
      </c>
      <c r="G566" t="n">
        <v>8.1</v>
      </c>
      <c r="H566" t="n">
        <v>0</v>
      </c>
      <c r="I566" t="n">
        <v>0</v>
      </c>
      <c r="J566" t="n">
        <v>0</v>
      </c>
      <c r="K566" t="n">
        <v>0</v>
      </c>
      <c r="L566" t="n">
        <v>0</v>
      </c>
      <c r="M566" t="n">
        <v>0</v>
      </c>
      <c r="N566" t="n">
        <v>0</v>
      </c>
      <c r="O566" t="n">
        <v>0</v>
      </c>
      <c r="P566" t="n">
        <v>0</v>
      </c>
      <c r="Q566" t="n">
        <v>0</v>
      </c>
      <c r="R566" s="2" t="inlineStr"/>
    </row>
    <row r="567" ht="15" customHeight="1">
      <c r="A567" t="inlineStr">
        <is>
          <t>A 8484-2025</t>
        </is>
      </c>
      <c r="B567" s="1" t="n">
        <v>45709</v>
      </c>
      <c r="C567" s="1" t="n">
        <v>46060</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49962-2023</t>
        </is>
      </c>
      <c r="B568" s="1" t="n">
        <v>45215.38775462963</v>
      </c>
      <c r="C568" s="1" t="n">
        <v>46060</v>
      </c>
      <c r="D568" t="inlineStr">
        <is>
          <t>GOTLANDS LÄN</t>
        </is>
      </c>
      <c r="E568" t="inlineStr">
        <is>
          <t>GOTLAND</t>
        </is>
      </c>
      <c r="G568" t="n">
        <v>1.4</v>
      </c>
      <c r="H568" t="n">
        <v>0</v>
      </c>
      <c r="I568" t="n">
        <v>0</v>
      </c>
      <c r="J568" t="n">
        <v>0</v>
      </c>
      <c r="K568" t="n">
        <v>0</v>
      </c>
      <c r="L568" t="n">
        <v>0</v>
      </c>
      <c r="M568" t="n">
        <v>0</v>
      </c>
      <c r="N568" t="n">
        <v>0</v>
      </c>
      <c r="O568" t="n">
        <v>0</v>
      </c>
      <c r="P568" t="n">
        <v>0</v>
      </c>
      <c r="Q568" t="n">
        <v>0</v>
      </c>
      <c r="R568" s="2" t="inlineStr"/>
    </row>
    <row r="569" ht="15" customHeight="1">
      <c r="A569" t="inlineStr">
        <is>
          <t>A 50744-2024</t>
        </is>
      </c>
      <c r="B569" s="1" t="n">
        <v>45602.4187037037</v>
      </c>
      <c r="C569" s="1" t="n">
        <v>46060</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45244-2024</t>
        </is>
      </c>
      <c r="B570" s="1" t="n">
        <v>45576</v>
      </c>
      <c r="C570" s="1" t="n">
        <v>46060</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38787-2023</t>
        </is>
      </c>
      <c r="B571" s="1" t="n">
        <v>45163</v>
      </c>
      <c r="C571" s="1" t="n">
        <v>46060</v>
      </c>
      <c r="D571" t="inlineStr">
        <is>
          <t>GOTLANDS LÄN</t>
        </is>
      </c>
      <c r="E571" t="inlineStr">
        <is>
          <t>GOTLAND</t>
        </is>
      </c>
      <c r="G571" t="n">
        <v>0.4</v>
      </c>
      <c r="H571" t="n">
        <v>0</v>
      </c>
      <c r="I571" t="n">
        <v>0</v>
      </c>
      <c r="J571" t="n">
        <v>0</v>
      </c>
      <c r="K571" t="n">
        <v>0</v>
      </c>
      <c r="L571" t="n">
        <v>0</v>
      </c>
      <c r="M571" t="n">
        <v>0</v>
      </c>
      <c r="N571" t="n">
        <v>0</v>
      </c>
      <c r="O571" t="n">
        <v>0</v>
      </c>
      <c r="P571" t="n">
        <v>0</v>
      </c>
      <c r="Q571" t="n">
        <v>0</v>
      </c>
      <c r="R571" s="2" t="inlineStr"/>
    </row>
    <row r="572" ht="15" customHeight="1">
      <c r="A572" t="inlineStr">
        <is>
          <t>A 2714-2023</t>
        </is>
      </c>
      <c r="B572" s="1" t="n">
        <v>44944.54896990741</v>
      </c>
      <c r="C572" s="1" t="n">
        <v>46060</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22897-2023</t>
        </is>
      </c>
      <c r="B573" s="1" t="n">
        <v>45072.55239583334</v>
      </c>
      <c r="C573" s="1" t="n">
        <v>46060</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4568-2025</t>
        </is>
      </c>
      <c r="B574" s="1" t="n">
        <v>45687</v>
      </c>
      <c r="C574" s="1" t="n">
        <v>46060</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1681-2023</t>
        </is>
      </c>
      <c r="B575" s="1" t="n">
        <v>44938.39715277778</v>
      </c>
      <c r="C575" s="1" t="n">
        <v>46060</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42338-2023</t>
        </is>
      </c>
      <c r="B576" s="1" t="n">
        <v>45180</v>
      </c>
      <c r="C576" s="1" t="n">
        <v>46060</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18918-2025</t>
        </is>
      </c>
      <c r="B577" s="1" t="n">
        <v>45764</v>
      </c>
      <c r="C577" s="1" t="n">
        <v>46060</v>
      </c>
      <c r="D577" t="inlineStr">
        <is>
          <t>GOTLANDS LÄN</t>
        </is>
      </c>
      <c r="E577" t="inlineStr">
        <is>
          <t>GOTLAND</t>
        </is>
      </c>
      <c r="G577" t="n">
        <v>1.7</v>
      </c>
      <c r="H577" t="n">
        <v>0</v>
      </c>
      <c r="I577" t="n">
        <v>0</v>
      </c>
      <c r="J577" t="n">
        <v>0</v>
      </c>
      <c r="K577" t="n">
        <v>0</v>
      </c>
      <c r="L577" t="n">
        <v>0</v>
      </c>
      <c r="M577" t="n">
        <v>0</v>
      </c>
      <c r="N577" t="n">
        <v>0</v>
      </c>
      <c r="O577" t="n">
        <v>0</v>
      </c>
      <c r="P577" t="n">
        <v>0</v>
      </c>
      <c r="Q577" t="n">
        <v>0</v>
      </c>
      <c r="R577" s="2" t="inlineStr"/>
    </row>
    <row r="578" ht="15" customHeight="1">
      <c r="A578" t="inlineStr">
        <is>
          <t>A 11013-2024</t>
        </is>
      </c>
      <c r="B578" s="1" t="n">
        <v>45370</v>
      </c>
      <c r="C578" s="1" t="n">
        <v>46060</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45084-2024</t>
        </is>
      </c>
      <c r="B579" s="1" t="n">
        <v>45575</v>
      </c>
      <c r="C579" s="1" t="n">
        <v>46060</v>
      </c>
      <c r="D579" t="inlineStr">
        <is>
          <t>GOTLANDS LÄN</t>
        </is>
      </c>
      <c r="E579" t="inlineStr">
        <is>
          <t>GOTLAND</t>
        </is>
      </c>
      <c r="G579" t="n">
        <v>6.8</v>
      </c>
      <c r="H579" t="n">
        <v>0</v>
      </c>
      <c r="I579" t="n">
        <v>0</v>
      </c>
      <c r="J579" t="n">
        <v>0</v>
      </c>
      <c r="K579" t="n">
        <v>0</v>
      </c>
      <c r="L579" t="n">
        <v>0</v>
      </c>
      <c r="M579" t="n">
        <v>0</v>
      </c>
      <c r="N579" t="n">
        <v>0</v>
      </c>
      <c r="O579" t="n">
        <v>0</v>
      </c>
      <c r="P579" t="n">
        <v>0</v>
      </c>
      <c r="Q579" t="n">
        <v>0</v>
      </c>
      <c r="R579" s="2" t="inlineStr"/>
    </row>
    <row r="580" ht="15" customHeight="1">
      <c r="A580" t="inlineStr">
        <is>
          <t>A 20356-2022</t>
        </is>
      </c>
      <c r="B580" s="1" t="n">
        <v>44699</v>
      </c>
      <c r="C580" s="1" t="n">
        <v>46060</v>
      </c>
      <c r="D580" t="inlineStr">
        <is>
          <t>GOTLANDS LÄN</t>
        </is>
      </c>
      <c r="E580" t="inlineStr">
        <is>
          <t>GOTLAND</t>
        </is>
      </c>
      <c r="F580" t="inlineStr">
        <is>
          <t>Övriga Aktiebolag</t>
        </is>
      </c>
      <c r="G580" t="n">
        <v>4.4</v>
      </c>
      <c r="H580" t="n">
        <v>0</v>
      </c>
      <c r="I580" t="n">
        <v>0</v>
      </c>
      <c r="J580" t="n">
        <v>0</v>
      </c>
      <c r="K580" t="n">
        <v>0</v>
      </c>
      <c r="L580" t="n">
        <v>0</v>
      </c>
      <c r="M580" t="n">
        <v>0</v>
      </c>
      <c r="N580" t="n">
        <v>0</v>
      </c>
      <c r="O580" t="n">
        <v>0</v>
      </c>
      <c r="P580" t="n">
        <v>0</v>
      </c>
      <c r="Q580" t="n">
        <v>0</v>
      </c>
      <c r="R580" s="2" t="inlineStr"/>
    </row>
    <row r="581" ht="15" customHeight="1">
      <c r="A581" t="inlineStr">
        <is>
          <t>A 4868-2024</t>
        </is>
      </c>
      <c r="B581" s="1" t="n">
        <v>45329</v>
      </c>
      <c r="C581" s="1" t="n">
        <v>46060</v>
      </c>
      <c r="D581" t="inlineStr">
        <is>
          <t>GOTLANDS LÄN</t>
        </is>
      </c>
      <c r="E581" t="inlineStr">
        <is>
          <t>GOTLAND</t>
        </is>
      </c>
      <c r="G581" t="n">
        <v>7.1</v>
      </c>
      <c r="H581" t="n">
        <v>0</v>
      </c>
      <c r="I581" t="n">
        <v>0</v>
      </c>
      <c r="J581" t="n">
        <v>0</v>
      </c>
      <c r="K581" t="n">
        <v>0</v>
      </c>
      <c r="L581" t="n">
        <v>0</v>
      </c>
      <c r="M581" t="n">
        <v>0</v>
      </c>
      <c r="N581" t="n">
        <v>0</v>
      </c>
      <c r="O581" t="n">
        <v>0</v>
      </c>
      <c r="P581" t="n">
        <v>0</v>
      </c>
      <c r="Q581" t="n">
        <v>0</v>
      </c>
      <c r="R581" s="2" t="inlineStr"/>
    </row>
    <row r="582" ht="15" customHeight="1">
      <c r="A582" t="inlineStr">
        <is>
          <t>A 9613-2025</t>
        </is>
      </c>
      <c r="B582" s="1" t="n">
        <v>45715</v>
      </c>
      <c r="C582" s="1" t="n">
        <v>46060</v>
      </c>
      <c r="D582" t="inlineStr">
        <is>
          <t>GOTLANDS LÄN</t>
        </is>
      </c>
      <c r="E582" t="inlineStr">
        <is>
          <t>GOTLAND</t>
        </is>
      </c>
      <c r="G582" t="n">
        <v>3.5</v>
      </c>
      <c r="H582" t="n">
        <v>0</v>
      </c>
      <c r="I582" t="n">
        <v>0</v>
      </c>
      <c r="J582" t="n">
        <v>0</v>
      </c>
      <c r="K582" t="n">
        <v>0</v>
      </c>
      <c r="L582" t="n">
        <v>0</v>
      </c>
      <c r="M582" t="n">
        <v>0</v>
      </c>
      <c r="N582" t="n">
        <v>0</v>
      </c>
      <c r="O582" t="n">
        <v>0</v>
      </c>
      <c r="P582" t="n">
        <v>0</v>
      </c>
      <c r="Q582" t="n">
        <v>0</v>
      </c>
      <c r="R582" s="2" t="inlineStr"/>
    </row>
    <row r="583" ht="15" customHeight="1">
      <c r="A583" t="inlineStr">
        <is>
          <t>A 5386-2023</t>
        </is>
      </c>
      <c r="B583" s="1" t="n">
        <v>44959</v>
      </c>
      <c r="C583" s="1" t="n">
        <v>46060</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58211-2024</t>
        </is>
      </c>
      <c r="B584" s="1" t="n">
        <v>45632.49292824074</v>
      </c>
      <c r="C584" s="1" t="n">
        <v>46060</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11634-2024</t>
        </is>
      </c>
      <c r="B585" s="1" t="n">
        <v>45373</v>
      </c>
      <c r="C585" s="1" t="n">
        <v>46060</v>
      </c>
      <c r="D585" t="inlineStr">
        <is>
          <t>GOTLANDS LÄN</t>
        </is>
      </c>
      <c r="E585" t="inlineStr">
        <is>
          <t>GOTLAND</t>
        </is>
      </c>
      <c r="G585" t="n">
        <v>3</v>
      </c>
      <c r="H585" t="n">
        <v>0</v>
      </c>
      <c r="I585" t="n">
        <v>0</v>
      </c>
      <c r="J585" t="n">
        <v>0</v>
      </c>
      <c r="K585" t="n">
        <v>0</v>
      </c>
      <c r="L585" t="n">
        <v>0</v>
      </c>
      <c r="M585" t="n">
        <v>0</v>
      </c>
      <c r="N585" t="n">
        <v>0</v>
      </c>
      <c r="O585" t="n">
        <v>0</v>
      </c>
      <c r="P585" t="n">
        <v>0</v>
      </c>
      <c r="Q585" t="n">
        <v>0</v>
      </c>
      <c r="R585" s="2" t="inlineStr"/>
    </row>
    <row r="586" ht="15" customHeight="1">
      <c r="A586" t="inlineStr">
        <is>
          <t>A 5884-2025</t>
        </is>
      </c>
      <c r="B586" s="1" t="n">
        <v>45695.37482638889</v>
      </c>
      <c r="C586" s="1" t="n">
        <v>46060</v>
      </c>
      <c r="D586" t="inlineStr">
        <is>
          <t>GOTLANDS LÄN</t>
        </is>
      </c>
      <c r="E586" t="inlineStr">
        <is>
          <t>GOTLAND</t>
        </is>
      </c>
      <c r="G586" t="n">
        <v>2.1</v>
      </c>
      <c r="H586" t="n">
        <v>0</v>
      </c>
      <c r="I586" t="n">
        <v>0</v>
      </c>
      <c r="J586" t="n">
        <v>0</v>
      </c>
      <c r="K586" t="n">
        <v>0</v>
      </c>
      <c r="L586" t="n">
        <v>0</v>
      </c>
      <c r="M586" t="n">
        <v>0</v>
      </c>
      <c r="N586" t="n">
        <v>0</v>
      </c>
      <c r="O586" t="n">
        <v>0</v>
      </c>
      <c r="P586" t="n">
        <v>0</v>
      </c>
      <c r="Q586" t="n">
        <v>0</v>
      </c>
      <c r="R586" s="2" t="inlineStr"/>
    </row>
    <row r="587" ht="15" customHeight="1">
      <c r="A587" t="inlineStr">
        <is>
          <t>A 5897-2025</t>
        </is>
      </c>
      <c r="B587" s="1" t="n">
        <v>45695.39273148148</v>
      </c>
      <c r="C587" s="1" t="n">
        <v>46060</v>
      </c>
      <c r="D587" t="inlineStr">
        <is>
          <t>GOTLANDS LÄN</t>
        </is>
      </c>
      <c r="E587" t="inlineStr">
        <is>
          <t>GOTLAND</t>
        </is>
      </c>
      <c r="G587" t="n">
        <v>3.7</v>
      </c>
      <c r="H587" t="n">
        <v>0</v>
      </c>
      <c r="I587" t="n">
        <v>0</v>
      </c>
      <c r="J587" t="n">
        <v>0</v>
      </c>
      <c r="K587" t="n">
        <v>0</v>
      </c>
      <c r="L587" t="n">
        <v>0</v>
      </c>
      <c r="M587" t="n">
        <v>0</v>
      </c>
      <c r="N587" t="n">
        <v>0</v>
      </c>
      <c r="O587" t="n">
        <v>0</v>
      </c>
      <c r="P587" t="n">
        <v>0</v>
      </c>
      <c r="Q587" t="n">
        <v>0</v>
      </c>
      <c r="R587" s="2" t="inlineStr"/>
    </row>
    <row r="588" ht="15" customHeight="1">
      <c r="A588" t="inlineStr">
        <is>
          <t>A 5909-2025</t>
        </is>
      </c>
      <c r="B588" s="1" t="n">
        <v>45695.40634259259</v>
      </c>
      <c r="C588" s="1" t="n">
        <v>46060</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60086-2022</t>
        </is>
      </c>
      <c r="B589" s="1" t="n">
        <v>44909</v>
      </c>
      <c r="C589" s="1" t="n">
        <v>46060</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22704-2023</t>
        </is>
      </c>
      <c r="B590" s="1" t="n">
        <v>45071</v>
      </c>
      <c r="C590" s="1" t="n">
        <v>46060</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25866-2022</t>
        </is>
      </c>
      <c r="B591" s="1" t="n">
        <v>44733</v>
      </c>
      <c r="C591" s="1" t="n">
        <v>46060</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9887-2025</t>
        </is>
      </c>
      <c r="B592" s="1" t="n">
        <v>45716</v>
      </c>
      <c r="C592" s="1" t="n">
        <v>46060</v>
      </c>
      <c r="D592" t="inlineStr">
        <is>
          <t>GOTLANDS LÄN</t>
        </is>
      </c>
      <c r="E592" t="inlineStr">
        <is>
          <t>GOTLAND</t>
        </is>
      </c>
      <c r="G592" t="n">
        <v>7.5</v>
      </c>
      <c r="H592" t="n">
        <v>0</v>
      </c>
      <c r="I592" t="n">
        <v>0</v>
      </c>
      <c r="J592" t="n">
        <v>0</v>
      </c>
      <c r="K592" t="n">
        <v>0</v>
      </c>
      <c r="L592" t="n">
        <v>0</v>
      </c>
      <c r="M592" t="n">
        <v>0</v>
      </c>
      <c r="N592" t="n">
        <v>0</v>
      </c>
      <c r="O592" t="n">
        <v>0</v>
      </c>
      <c r="P592" t="n">
        <v>0</v>
      </c>
      <c r="Q592" t="n">
        <v>0</v>
      </c>
      <c r="R592" s="2" t="inlineStr"/>
    </row>
    <row r="593" ht="15" customHeight="1">
      <c r="A593" t="inlineStr">
        <is>
          <t>A 12209-2024</t>
        </is>
      </c>
      <c r="B593" s="1" t="n">
        <v>45378</v>
      </c>
      <c r="C593" s="1" t="n">
        <v>46060</v>
      </c>
      <c r="D593" t="inlineStr">
        <is>
          <t>GOTLANDS LÄN</t>
        </is>
      </c>
      <c r="E593" t="inlineStr">
        <is>
          <t>GOTLAND</t>
        </is>
      </c>
      <c r="G593" t="n">
        <v>5.3</v>
      </c>
      <c r="H593" t="n">
        <v>0</v>
      </c>
      <c r="I593" t="n">
        <v>0</v>
      </c>
      <c r="J593" t="n">
        <v>0</v>
      </c>
      <c r="K593" t="n">
        <v>0</v>
      </c>
      <c r="L593" t="n">
        <v>0</v>
      </c>
      <c r="M593" t="n">
        <v>0</v>
      </c>
      <c r="N593" t="n">
        <v>0</v>
      </c>
      <c r="O593" t="n">
        <v>0</v>
      </c>
      <c r="P593" t="n">
        <v>0</v>
      </c>
      <c r="Q593" t="n">
        <v>0</v>
      </c>
      <c r="R593" s="2" t="inlineStr"/>
    </row>
    <row r="594" ht="15" customHeight="1">
      <c r="A594" t="inlineStr">
        <is>
          <t>A 12210-2024</t>
        </is>
      </c>
      <c r="B594" s="1" t="n">
        <v>45378</v>
      </c>
      <c r="C594" s="1" t="n">
        <v>46060</v>
      </c>
      <c r="D594" t="inlineStr">
        <is>
          <t>GOTLANDS LÄN</t>
        </is>
      </c>
      <c r="E594" t="inlineStr">
        <is>
          <t>GOTLAND</t>
        </is>
      </c>
      <c r="G594" t="n">
        <v>4.1</v>
      </c>
      <c r="H594" t="n">
        <v>0</v>
      </c>
      <c r="I594" t="n">
        <v>0</v>
      </c>
      <c r="J594" t="n">
        <v>0</v>
      </c>
      <c r="K594" t="n">
        <v>0</v>
      </c>
      <c r="L594" t="n">
        <v>0</v>
      </c>
      <c r="M594" t="n">
        <v>0</v>
      </c>
      <c r="N594" t="n">
        <v>0</v>
      </c>
      <c r="O594" t="n">
        <v>0</v>
      </c>
      <c r="P594" t="n">
        <v>0</v>
      </c>
      <c r="Q594" t="n">
        <v>0</v>
      </c>
      <c r="R594" s="2" t="inlineStr"/>
    </row>
    <row r="595" ht="15" customHeight="1">
      <c r="A595" t="inlineStr">
        <is>
          <t>A 59986-2022</t>
        </is>
      </c>
      <c r="B595" s="1" t="n">
        <v>44909</v>
      </c>
      <c r="C595" s="1" t="n">
        <v>46060</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31802-2024</t>
        </is>
      </c>
      <c r="B596" s="1" t="n">
        <v>45509</v>
      </c>
      <c r="C596" s="1" t="n">
        <v>46060</v>
      </c>
      <c r="D596" t="inlineStr">
        <is>
          <t>GOTLANDS LÄN</t>
        </is>
      </c>
      <c r="E596" t="inlineStr">
        <is>
          <t>GOTLAND</t>
        </is>
      </c>
      <c r="G596" t="n">
        <v>2.8</v>
      </c>
      <c r="H596" t="n">
        <v>0</v>
      </c>
      <c r="I596" t="n">
        <v>0</v>
      </c>
      <c r="J596" t="n">
        <v>0</v>
      </c>
      <c r="K596" t="n">
        <v>0</v>
      </c>
      <c r="L596" t="n">
        <v>0</v>
      </c>
      <c r="M596" t="n">
        <v>0</v>
      </c>
      <c r="N596" t="n">
        <v>0</v>
      </c>
      <c r="O596" t="n">
        <v>0</v>
      </c>
      <c r="P596" t="n">
        <v>0</v>
      </c>
      <c r="Q596" t="n">
        <v>0</v>
      </c>
      <c r="R596" s="2" t="inlineStr"/>
    </row>
    <row r="597" ht="15" customHeight="1">
      <c r="A597" t="inlineStr">
        <is>
          <t>A 20993-2023</t>
        </is>
      </c>
      <c r="B597" s="1" t="n">
        <v>45056</v>
      </c>
      <c r="C597" s="1" t="n">
        <v>46060</v>
      </c>
      <c r="D597" t="inlineStr">
        <is>
          <t>GOTLANDS LÄN</t>
        </is>
      </c>
      <c r="E597" t="inlineStr">
        <is>
          <t>GOTLAND</t>
        </is>
      </c>
      <c r="G597" t="n">
        <v>7.1</v>
      </c>
      <c r="H597" t="n">
        <v>0</v>
      </c>
      <c r="I597" t="n">
        <v>0</v>
      </c>
      <c r="J597" t="n">
        <v>0</v>
      </c>
      <c r="K597" t="n">
        <v>0</v>
      </c>
      <c r="L597" t="n">
        <v>0</v>
      </c>
      <c r="M597" t="n">
        <v>0</v>
      </c>
      <c r="N597" t="n">
        <v>0</v>
      </c>
      <c r="O597" t="n">
        <v>0</v>
      </c>
      <c r="P597" t="n">
        <v>0</v>
      </c>
      <c r="Q597" t="n">
        <v>0</v>
      </c>
      <c r="R597" s="2" t="inlineStr"/>
    </row>
    <row r="598" ht="15" customHeight="1">
      <c r="A598" t="inlineStr">
        <is>
          <t>A 15042-2025</t>
        </is>
      </c>
      <c r="B598" s="1" t="n">
        <v>45743</v>
      </c>
      <c r="C598" s="1" t="n">
        <v>46060</v>
      </c>
      <c r="D598" t="inlineStr">
        <is>
          <t>GOTLANDS LÄN</t>
        </is>
      </c>
      <c r="E598" t="inlineStr">
        <is>
          <t>GOTLAND</t>
        </is>
      </c>
      <c r="G598" t="n">
        <v>8.5</v>
      </c>
      <c r="H598" t="n">
        <v>0</v>
      </c>
      <c r="I598" t="n">
        <v>0</v>
      </c>
      <c r="J598" t="n">
        <v>0</v>
      </c>
      <c r="K598" t="n">
        <v>0</v>
      </c>
      <c r="L598" t="n">
        <v>0</v>
      </c>
      <c r="M598" t="n">
        <v>0</v>
      </c>
      <c r="N598" t="n">
        <v>0</v>
      </c>
      <c r="O598" t="n">
        <v>0</v>
      </c>
      <c r="P598" t="n">
        <v>0</v>
      </c>
      <c r="Q598" t="n">
        <v>0</v>
      </c>
      <c r="R598" s="2" t="inlineStr"/>
    </row>
    <row r="599" ht="15" customHeight="1">
      <c r="A599" t="inlineStr">
        <is>
          <t>A 12327-2025</t>
        </is>
      </c>
      <c r="B599" s="1" t="n">
        <v>45730</v>
      </c>
      <c r="C599" s="1" t="n">
        <v>46060</v>
      </c>
      <c r="D599" t="inlineStr">
        <is>
          <t>GOTLANDS LÄN</t>
        </is>
      </c>
      <c r="E599" t="inlineStr">
        <is>
          <t>GOTLAND</t>
        </is>
      </c>
      <c r="G599" t="n">
        <v>1.8</v>
      </c>
      <c r="H599" t="n">
        <v>0</v>
      </c>
      <c r="I599" t="n">
        <v>0</v>
      </c>
      <c r="J599" t="n">
        <v>0</v>
      </c>
      <c r="K599" t="n">
        <v>0</v>
      </c>
      <c r="L599" t="n">
        <v>0</v>
      </c>
      <c r="M599" t="n">
        <v>0</v>
      </c>
      <c r="N599" t="n">
        <v>0</v>
      </c>
      <c r="O599" t="n">
        <v>0</v>
      </c>
      <c r="P599" t="n">
        <v>0</v>
      </c>
      <c r="Q599" t="n">
        <v>0</v>
      </c>
      <c r="R599" s="2" t="inlineStr"/>
    </row>
    <row r="600" ht="15" customHeight="1">
      <c r="A600" t="inlineStr">
        <is>
          <t>A 4420-2025</t>
        </is>
      </c>
      <c r="B600" s="1" t="n">
        <v>45686.47157407407</v>
      </c>
      <c r="C600" s="1" t="n">
        <v>46060</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14427-2024</t>
        </is>
      </c>
      <c r="B601" s="1" t="n">
        <v>45394</v>
      </c>
      <c r="C601" s="1" t="n">
        <v>46060</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49257-2024</t>
        </is>
      </c>
      <c r="B602" s="1" t="n">
        <v>45595.47627314815</v>
      </c>
      <c r="C602" s="1" t="n">
        <v>46060</v>
      </c>
      <c r="D602" t="inlineStr">
        <is>
          <t>GOTLANDS LÄN</t>
        </is>
      </c>
      <c r="E602" t="inlineStr">
        <is>
          <t>GOTLAND</t>
        </is>
      </c>
      <c r="G602" t="n">
        <v>6.3</v>
      </c>
      <c r="H602" t="n">
        <v>0</v>
      </c>
      <c r="I602" t="n">
        <v>0</v>
      </c>
      <c r="J602" t="n">
        <v>0</v>
      </c>
      <c r="K602" t="n">
        <v>0</v>
      </c>
      <c r="L602" t="n">
        <v>0</v>
      </c>
      <c r="M602" t="n">
        <v>0</v>
      </c>
      <c r="N602" t="n">
        <v>0</v>
      </c>
      <c r="O602" t="n">
        <v>0</v>
      </c>
      <c r="P602" t="n">
        <v>0</v>
      </c>
      <c r="Q602" t="n">
        <v>0</v>
      </c>
      <c r="R602" s="2" t="inlineStr"/>
    </row>
    <row r="603" ht="15" customHeight="1">
      <c r="A603" t="inlineStr">
        <is>
          <t>A 49315-2024</t>
        </is>
      </c>
      <c r="B603" s="1" t="n">
        <v>45595</v>
      </c>
      <c r="C603" s="1" t="n">
        <v>46060</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27596-2023</t>
        </is>
      </c>
      <c r="B604" s="1" t="n">
        <v>45097</v>
      </c>
      <c r="C604" s="1" t="n">
        <v>46060</v>
      </c>
      <c r="D604" t="inlineStr">
        <is>
          <t>GOTLANDS LÄN</t>
        </is>
      </c>
      <c r="E604" t="inlineStr">
        <is>
          <t>GOTLAND</t>
        </is>
      </c>
      <c r="G604" t="n">
        <v>3.6</v>
      </c>
      <c r="H604" t="n">
        <v>0</v>
      </c>
      <c r="I604" t="n">
        <v>0</v>
      </c>
      <c r="J604" t="n">
        <v>0</v>
      </c>
      <c r="K604" t="n">
        <v>0</v>
      </c>
      <c r="L604" t="n">
        <v>0</v>
      </c>
      <c r="M604" t="n">
        <v>0</v>
      </c>
      <c r="N604" t="n">
        <v>0</v>
      </c>
      <c r="O604" t="n">
        <v>0</v>
      </c>
      <c r="P604" t="n">
        <v>0</v>
      </c>
      <c r="Q604" t="n">
        <v>0</v>
      </c>
      <c r="R604" s="2" t="inlineStr"/>
    </row>
    <row r="605" ht="15" customHeight="1">
      <c r="A605" t="inlineStr">
        <is>
          <t>A 56115-2023</t>
        </is>
      </c>
      <c r="B605" s="1" t="n">
        <v>45236</v>
      </c>
      <c r="C605" s="1" t="n">
        <v>46060</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64969-2023</t>
        </is>
      </c>
      <c r="B606" s="1" t="n">
        <v>45284.54009259259</v>
      </c>
      <c r="C606" s="1" t="n">
        <v>46060</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33853-2024</t>
        </is>
      </c>
      <c r="B607" s="1" t="n">
        <v>45520.64298611111</v>
      </c>
      <c r="C607" s="1" t="n">
        <v>46060</v>
      </c>
      <c r="D607" t="inlineStr">
        <is>
          <t>GOTLANDS LÄN</t>
        </is>
      </c>
      <c r="E607" t="inlineStr">
        <is>
          <t>GOTLAND</t>
        </is>
      </c>
      <c r="G607" t="n">
        <v>3.9</v>
      </c>
      <c r="H607" t="n">
        <v>0</v>
      </c>
      <c r="I607" t="n">
        <v>0</v>
      </c>
      <c r="J607" t="n">
        <v>0</v>
      </c>
      <c r="K607" t="n">
        <v>0</v>
      </c>
      <c r="L607" t="n">
        <v>0</v>
      </c>
      <c r="M607" t="n">
        <v>0</v>
      </c>
      <c r="N607" t="n">
        <v>0</v>
      </c>
      <c r="O607" t="n">
        <v>0</v>
      </c>
      <c r="P607" t="n">
        <v>0</v>
      </c>
      <c r="Q607" t="n">
        <v>0</v>
      </c>
      <c r="R607" s="2" t="inlineStr"/>
    </row>
    <row r="608" ht="15" customHeight="1">
      <c r="A608" t="inlineStr">
        <is>
          <t>A 18223-2025</t>
        </is>
      </c>
      <c r="B608" s="1" t="n">
        <v>45761</v>
      </c>
      <c r="C608" s="1" t="n">
        <v>46060</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46949-2024</t>
        </is>
      </c>
      <c r="B609" s="1" t="n">
        <v>45585</v>
      </c>
      <c r="C609" s="1" t="n">
        <v>46060</v>
      </c>
      <c r="D609" t="inlineStr">
        <is>
          <t>GOTLANDS LÄN</t>
        </is>
      </c>
      <c r="E609" t="inlineStr">
        <is>
          <t>GOTLAND</t>
        </is>
      </c>
      <c r="G609" t="n">
        <v>0.6</v>
      </c>
      <c r="H609" t="n">
        <v>0</v>
      </c>
      <c r="I609" t="n">
        <v>0</v>
      </c>
      <c r="J609" t="n">
        <v>0</v>
      </c>
      <c r="K609" t="n">
        <v>0</v>
      </c>
      <c r="L609" t="n">
        <v>0</v>
      </c>
      <c r="M609" t="n">
        <v>0</v>
      </c>
      <c r="N609" t="n">
        <v>0</v>
      </c>
      <c r="O609" t="n">
        <v>0</v>
      </c>
      <c r="P609" t="n">
        <v>0</v>
      </c>
      <c r="Q609" t="n">
        <v>0</v>
      </c>
      <c r="R609" s="2" t="inlineStr"/>
    </row>
    <row r="610" ht="15" customHeight="1">
      <c r="A610" t="inlineStr">
        <is>
          <t>A 24001-2021</t>
        </is>
      </c>
      <c r="B610" s="1" t="n">
        <v>44335</v>
      </c>
      <c r="C610" s="1" t="n">
        <v>46060</v>
      </c>
      <c r="D610" t="inlineStr">
        <is>
          <t>GOTLANDS LÄN</t>
        </is>
      </c>
      <c r="E610" t="inlineStr">
        <is>
          <t>GOTLAND</t>
        </is>
      </c>
      <c r="G610" t="n">
        <v>3.4</v>
      </c>
      <c r="H610" t="n">
        <v>0</v>
      </c>
      <c r="I610" t="n">
        <v>0</v>
      </c>
      <c r="J610" t="n">
        <v>0</v>
      </c>
      <c r="K610" t="n">
        <v>0</v>
      </c>
      <c r="L610" t="n">
        <v>0</v>
      </c>
      <c r="M610" t="n">
        <v>0</v>
      </c>
      <c r="N610" t="n">
        <v>0</v>
      </c>
      <c r="O610" t="n">
        <v>0</v>
      </c>
      <c r="P610" t="n">
        <v>0</v>
      </c>
      <c r="Q610" t="n">
        <v>0</v>
      </c>
      <c r="R610" s="2" t="inlineStr"/>
    </row>
    <row r="611" ht="15" customHeight="1">
      <c r="A611" t="inlineStr">
        <is>
          <t>A 39479-2022</t>
        </is>
      </c>
      <c r="B611" s="1" t="n">
        <v>44818</v>
      </c>
      <c r="C611" s="1" t="n">
        <v>46060</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39496-2022</t>
        </is>
      </c>
      <c r="B612" s="1" t="n">
        <v>44818</v>
      </c>
      <c r="C612" s="1" t="n">
        <v>46060</v>
      </c>
      <c r="D612" t="inlineStr">
        <is>
          <t>GOTLANDS LÄN</t>
        </is>
      </c>
      <c r="E612" t="inlineStr">
        <is>
          <t>GOTLAND</t>
        </is>
      </c>
      <c r="G612" t="n">
        <v>2.4</v>
      </c>
      <c r="H612" t="n">
        <v>0</v>
      </c>
      <c r="I612" t="n">
        <v>0</v>
      </c>
      <c r="J612" t="n">
        <v>0</v>
      </c>
      <c r="K612" t="n">
        <v>0</v>
      </c>
      <c r="L612" t="n">
        <v>0</v>
      </c>
      <c r="M612" t="n">
        <v>0</v>
      </c>
      <c r="N612" t="n">
        <v>0</v>
      </c>
      <c r="O612" t="n">
        <v>0</v>
      </c>
      <c r="P612" t="n">
        <v>0</v>
      </c>
      <c r="Q612" t="n">
        <v>0</v>
      </c>
      <c r="R612" s="2" t="inlineStr"/>
    </row>
    <row r="613" ht="15" customHeight="1">
      <c r="A613" t="inlineStr">
        <is>
          <t>A 46389-2021</t>
        </is>
      </c>
      <c r="B613" s="1" t="n">
        <v>44443</v>
      </c>
      <c r="C613" s="1" t="n">
        <v>46060</v>
      </c>
      <c r="D613" t="inlineStr">
        <is>
          <t>GOTLANDS LÄN</t>
        </is>
      </c>
      <c r="E613" t="inlineStr">
        <is>
          <t>GOTLAND</t>
        </is>
      </c>
      <c r="F613" t="inlineStr">
        <is>
          <t>Kyrkan</t>
        </is>
      </c>
      <c r="G613" t="n">
        <v>2.1</v>
      </c>
      <c r="H613" t="n">
        <v>0</v>
      </c>
      <c r="I613" t="n">
        <v>0</v>
      </c>
      <c r="J613" t="n">
        <v>0</v>
      </c>
      <c r="K613" t="n">
        <v>0</v>
      </c>
      <c r="L613" t="n">
        <v>0</v>
      </c>
      <c r="M613" t="n">
        <v>0</v>
      </c>
      <c r="N613" t="n">
        <v>0</v>
      </c>
      <c r="O613" t="n">
        <v>0</v>
      </c>
      <c r="P613" t="n">
        <v>0</v>
      </c>
      <c r="Q613" t="n">
        <v>0</v>
      </c>
      <c r="R613" s="2" t="inlineStr"/>
    </row>
    <row r="614" ht="15" customHeight="1">
      <c r="A614" t="inlineStr">
        <is>
          <t>A 44949-2023</t>
        </is>
      </c>
      <c r="B614" s="1" t="n">
        <v>45190.69520833333</v>
      </c>
      <c r="C614" s="1" t="n">
        <v>46060</v>
      </c>
      <c r="D614" t="inlineStr">
        <is>
          <t>GOTLANDS LÄN</t>
        </is>
      </c>
      <c r="E614" t="inlineStr">
        <is>
          <t>GOTLAND</t>
        </is>
      </c>
      <c r="G614" t="n">
        <v>1.4</v>
      </c>
      <c r="H614" t="n">
        <v>0</v>
      </c>
      <c r="I614" t="n">
        <v>0</v>
      </c>
      <c r="J614" t="n">
        <v>0</v>
      </c>
      <c r="K614" t="n">
        <v>0</v>
      </c>
      <c r="L614" t="n">
        <v>0</v>
      </c>
      <c r="M614" t="n">
        <v>0</v>
      </c>
      <c r="N614" t="n">
        <v>0</v>
      </c>
      <c r="O614" t="n">
        <v>0</v>
      </c>
      <c r="P614" t="n">
        <v>0</v>
      </c>
      <c r="Q614" t="n">
        <v>0</v>
      </c>
      <c r="R614" s="2" t="inlineStr"/>
    </row>
    <row r="615" ht="15" customHeight="1">
      <c r="A615" t="inlineStr">
        <is>
          <t>A 17682-2024</t>
        </is>
      </c>
      <c r="B615" s="1" t="n">
        <v>45418.42966435185</v>
      </c>
      <c r="C615" s="1" t="n">
        <v>46060</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61897-2024</t>
        </is>
      </c>
      <c r="B616" s="1" t="n">
        <v>45652.75685185185</v>
      </c>
      <c r="C616" s="1" t="n">
        <v>46060</v>
      </c>
      <c r="D616" t="inlineStr">
        <is>
          <t>GOTLANDS LÄN</t>
        </is>
      </c>
      <c r="E616" t="inlineStr">
        <is>
          <t>GOTLAND</t>
        </is>
      </c>
      <c r="G616" t="n">
        <v>6.4</v>
      </c>
      <c r="H616" t="n">
        <v>0</v>
      </c>
      <c r="I616" t="n">
        <v>0</v>
      </c>
      <c r="J616" t="n">
        <v>0</v>
      </c>
      <c r="K616" t="n">
        <v>0</v>
      </c>
      <c r="L616" t="n">
        <v>0</v>
      </c>
      <c r="M616" t="n">
        <v>0</v>
      </c>
      <c r="N616" t="n">
        <v>0</v>
      </c>
      <c r="O616" t="n">
        <v>0</v>
      </c>
      <c r="P616" t="n">
        <v>0</v>
      </c>
      <c r="Q616" t="n">
        <v>0</v>
      </c>
      <c r="R616" s="2" t="inlineStr"/>
    </row>
    <row r="617" ht="15" customHeight="1">
      <c r="A617" t="inlineStr">
        <is>
          <t>A 12032-2025</t>
        </is>
      </c>
      <c r="B617" s="1" t="n">
        <v>45728.64472222222</v>
      </c>
      <c r="C617" s="1" t="n">
        <v>46060</v>
      </c>
      <c r="D617" t="inlineStr">
        <is>
          <t>GOTLANDS LÄN</t>
        </is>
      </c>
      <c r="E617" t="inlineStr">
        <is>
          <t>GOTLAND</t>
        </is>
      </c>
      <c r="G617" t="n">
        <v>1.4</v>
      </c>
      <c r="H617" t="n">
        <v>0</v>
      </c>
      <c r="I617" t="n">
        <v>0</v>
      </c>
      <c r="J617" t="n">
        <v>0</v>
      </c>
      <c r="K617" t="n">
        <v>0</v>
      </c>
      <c r="L617" t="n">
        <v>0</v>
      </c>
      <c r="M617" t="n">
        <v>0</v>
      </c>
      <c r="N617" t="n">
        <v>0</v>
      </c>
      <c r="O617" t="n">
        <v>0</v>
      </c>
      <c r="P617" t="n">
        <v>0</v>
      </c>
      <c r="Q617" t="n">
        <v>0</v>
      </c>
      <c r="R617" s="2" t="inlineStr"/>
    </row>
    <row r="618" ht="15" customHeight="1">
      <c r="A618" t="inlineStr">
        <is>
          <t>A 15595-2024</t>
        </is>
      </c>
      <c r="B618" s="1" t="n">
        <v>45401.81480324074</v>
      </c>
      <c r="C618" s="1" t="n">
        <v>46060</v>
      </c>
      <c r="D618" t="inlineStr">
        <is>
          <t>GOTLANDS LÄN</t>
        </is>
      </c>
      <c r="E618" t="inlineStr">
        <is>
          <t>GOTLAND</t>
        </is>
      </c>
      <c r="G618" t="n">
        <v>6.4</v>
      </c>
      <c r="H618" t="n">
        <v>0</v>
      </c>
      <c r="I618" t="n">
        <v>0</v>
      </c>
      <c r="J618" t="n">
        <v>0</v>
      </c>
      <c r="K618" t="n">
        <v>0</v>
      </c>
      <c r="L618" t="n">
        <v>0</v>
      </c>
      <c r="M618" t="n">
        <v>0</v>
      </c>
      <c r="N618" t="n">
        <v>0</v>
      </c>
      <c r="O618" t="n">
        <v>0</v>
      </c>
      <c r="P618" t="n">
        <v>0</v>
      </c>
      <c r="Q618" t="n">
        <v>0</v>
      </c>
      <c r="R618" s="2" t="inlineStr"/>
    </row>
    <row r="619" ht="15" customHeight="1">
      <c r="A619" t="inlineStr">
        <is>
          <t>A 21164-2024</t>
        </is>
      </c>
      <c r="B619" s="1" t="n">
        <v>45440</v>
      </c>
      <c r="C619" s="1" t="n">
        <v>46060</v>
      </c>
      <c r="D619" t="inlineStr">
        <is>
          <t>GOTLANDS LÄN</t>
        </is>
      </c>
      <c r="E619" t="inlineStr">
        <is>
          <t>GOTLAND</t>
        </is>
      </c>
      <c r="G619" t="n">
        <v>6.3</v>
      </c>
      <c r="H619" t="n">
        <v>0</v>
      </c>
      <c r="I619" t="n">
        <v>0</v>
      </c>
      <c r="J619" t="n">
        <v>0</v>
      </c>
      <c r="K619" t="n">
        <v>0</v>
      </c>
      <c r="L619" t="n">
        <v>0</v>
      </c>
      <c r="M619" t="n">
        <v>0</v>
      </c>
      <c r="N619" t="n">
        <v>0</v>
      </c>
      <c r="O619" t="n">
        <v>0</v>
      </c>
      <c r="P619" t="n">
        <v>0</v>
      </c>
      <c r="Q619" t="n">
        <v>0</v>
      </c>
      <c r="R619" s="2" t="inlineStr"/>
    </row>
    <row r="620" ht="15" customHeight="1">
      <c r="A620" t="inlineStr">
        <is>
          <t>A 17541-2024</t>
        </is>
      </c>
      <c r="B620" s="1" t="n">
        <v>45415</v>
      </c>
      <c r="C620" s="1" t="n">
        <v>46060</v>
      </c>
      <c r="D620" t="inlineStr">
        <is>
          <t>GOTLANDS LÄN</t>
        </is>
      </c>
      <c r="E620" t="inlineStr">
        <is>
          <t>GOTLAND</t>
        </is>
      </c>
      <c r="G620" t="n">
        <v>2.6</v>
      </c>
      <c r="H620" t="n">
        <v>0</v>
      </c>
      <c r="I620" t="n">
        <v>0</v>
      </c>
      <c r="J620" t="n">
        <v>0</v>
      </c>
      <c r="K620" t="n">
        <v>0</v>
      </c>
      <c r="L620" t="n">
        <v>0</v>
      </c>
      <c r="M620" t="n">
        <v>0</v>
      </c>
      <c r="N620" t="n">
        <v>0</v>
      </c>
      <c r="O620" t="n">
        <v>0</v>
      </c>
      <c r="P620" t="n">
        <v>0</v>
      </c>
      <c r="Q620" t="n">
        <v>0</v>
      </c>
      <c r="R620" s="2" t="inlineStr"/>
    </row>
    <row r="621" ht="15" customHeight="1">
      <c r="A621" t="inlineStr">
        <is>
          <t>A 883-2025</t>
        </is>
      </c>
      <c r="B621" s="1" t="n">
        <v>45665</v>
      </c>
      <c r="C621" s="1" t="n">
        <v>46060</v>
      </c>
      <c r="D621" t="inlineStr">
        <is>
          <t>GOTLANDS LÄN</t>
        </is>
      </c>
      <c r="E621" t="inlineStr">
        <is>
          <t>GOTLAND</t>
        </is>
      </c>
      <c r="G621" t="n">
        <v>1.3</v>
      </c>
      <c r="H621" t="n">
        <v>0</v>
      </c>
      <c r="I621" t="n">
        <v>0</v>
      </c>
      <c r="J621" t="n">
        <v>0</v>
      </c>
      <c r="K621" t="n">
        <v>0</v>
      </c>
      <c r="L621" t="n">
        <v>0</v>
      </c>
      <c r="M621" t="n">
        <v>0</v>
      </c>
      <c r="N621" t="n">
        <v>0</v>
      </c>
      <c r="O621" t="n">
        <v>0</v>
      </c>
      <c r="P621" t="n">
        <v>0</v>
      </c>
      <c r="Q621" t="n">
        <v>0</v>
      </c>
      <c r="R621" s="2" t="inlineStr"/>
    </row>
    <row r="622" ht="15" customHeight="1">
      <c r="A622" t="inlineStr">
        <is>
          <t>A 13910-2025</t>
        </is>
      </c>
      <c r="B622" s="1" t="n">
        <v>45737</v>
      </c>
      <c r="C622" s="1" t="n">
        <v>46060</v>
      </c>
      <c r="D622" t="inlineStr">
        <is>
          <t>GOTLANDS LÄN</t>
        </is>
      </c>
      <c r="E622" t="inlineStr">
        <is>
          <t>GOTLAND</t>
        </is>
      </c>
      <c r="F622" t="inlineStr">
        <is>
          <t>Kommuner</t>
        </is>
      </c>
      <c r="G622" t="n">
        <v>3.2</v>
      </c>
      <c r="H622" t="n">
        <v>0</v>
      </c>
      <c r="I622" t="n">
        <v>0</v>
      </c>
      <c r="J622" t="n">
        <v>0</v>
      </c>
      <c r="K622" t="n">
        <v>0</v>
      </c>
      <c r="L622" t="n">
        <v>0</v>
      </c>
      <c r="M622" t="n">
        <v>0</v>
      </c>
      <c r="N622" t="n">
        <v>0</v>
      </c>
      <c r="O622" t="n">
        <v>0</v>
      </c>
      <c r="P622" t="n">
        <v>0</v>
      </c>
      <c r="Q622" t="n">
        <v>0</v>
      </c>
      <c r="R622" s="2" t="inlineStr"/>
    </row>
    <row r="623" ht="15" customHeight="1">
      <c r="A623" t="inlineStr">
        <is>
          <t>A 20794-2025</t>
        </is>
      </c>
      <c r="B623" s="1" t="n">
        <v>45776</v>
      </c>
      <c r="C623" s="1" t="n">
        <v>46060</v>
      </c>
      <c r="D623" t="inlineStr">
        <is>
          <t>GOTLANDS LÄN</t>
        </is>
      </c>
      <c r="E623" t="inlineStr">
        <is>
          <t>GOTLAND</t>
        </is>
      </c>
      <c r="G623" t="n">
        <v>6</v>
      </c>
      <c r="H623" t="n">
        <v>0</v>
      </c>
      <c r="I623" t="n">
        <v>0</v>
      </c>
      <c r="J623" t="n">
        <v>0</v>
      </c>
      <c r="K623" t="n">
        <v>0</v>
      </c>
      <c r="L623" t="n">
        <v>0</v>
      </c>
      <c r="M623" t="n">
        <v>0</v>
      </c>
      <c r="N623" t="n">
        <v>0</v>
      </c>
      <c r="O623" t="n">
        <v>0</v>
      </c>
      <c r="P623" t="n">
        <v>0</v>
      </c>
      <c r="Q623" t="n">
        <v>0</v>
      </c>
      <c r="R623" s="2" t="inlineStr"/>
    </row>
    <row r="624" ht="15" customHeight="1">
      <c r="A624" t="inlineStr">
        <is>
          <t>A 20805-2025</t>
        </is>
      </c>
      <c r="B624" s="1" t="n">
        <v>45776</v>
      </c>
      <c r="C624" s="1" t="n">
        <v>46060</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21389-2025</t>
        </is>
      </c>
      <c r="B625" s="1" t="n">
        <v>45782</v>
      </c>
      <c r="C625" s="1" t="n">
        <v>46060</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21651-2025</t>
        </is>
      </c>
      <c r="B626" s="1" t="n">
        <v>45783</v>
      </c>
      <c r="C626" s="1" t="n">
        <v>46060</v>
      </c>
      <c r="D626" t="inlineStr">
        <is>
          <t>GOTLANDS LÄN</t>
        </is>
      </c>
      <c r="E626" t="inlineStr">
        <is>
          <t>GOTLAND</t>
        </is>
      </c>
      <c r="G626" t="n">
        <v>4.2</v>
      </c>
      <c r="H626" t="n">
        <v>0</v>
      </c>
      <c r="I626" t="n">
        <v>0</v>
      </c>
      <c r="J626" t="n">
        <v>0</v>
      </c>
      <c r="K626" t="n">
        <v>0</v>
      </c>
      <c r="L626" t="n">
        <v>0</v>
      </c>
      <c r="M626" t="n">
        <v>0</v>
      </c>
      <c r="N626" t="n">
        <v>0</v>
      </c>
      <c r="O626" t="n">
        <v>0</v>
      </c>
      <c r="P626" t="n">
        <v>0</v>
      </c>
      <c r="Q626" t="n">
        <v>0</v>
      </c>
      <c r="R626" s="2" t="inlineStr"/>
    </row>
    <row r="627" ht="15" customHeight="1">
      <c r="A627" t="inlineStr">
        <is>
          <t>A 21420-2024</t>
        </is>
      </c>
      <c r="B627" s="1" t="n">
        <v>45441.38293981482</v>
      </c>
      <c r="C627" s="1" t="n">
        <v>46060</v>
      </c>
      <c r="D627" t="inlineStr">
        <is>
          <t>GOTLANDS LÄN</t>
        </is>
      </c>
      <c r="E627" t="inlineStr">
        <is>
          <t>GOTLAND</t>
        </is>
      </c>
      <c r="G627" t="n">
        <v>4.1</v>
      </c>
      <c r="H627" t="n">
        <v>0</v>
      </c>
      <c r="I627" t="n">
        <v>0</v>
      </c>
      <c r="J627" t="n">
        <v>0</v>
      </c>
      <c r="K627" t="n">
        <v>0</v>
      </c>
      <c r="L627" t="n">
        <v>0</v>
      </c>
      <c r="M627" t="n">
        <v>0</v>
      </c>
      <c r="N627" t="n">
        <v>0</v>
      </c>
      <c r="O627" t="n">
        <v>0</v>
      </c>
      <c r="P627" t="n">
        <v>0</v>
      </c>
      <c r="Q627" t="n">
        <v>0</v>
      </c>
      <c r="R627" s="2" t="inlineStr"/>
    </row>
    <row r="628" ht="15" customHeight="1">
      <c r="A628" t="inlineStr">
        <is>
          <t>A 10656-2024</t>
        </is>
      </c>
      <c r="B628" s="1" t="n">
        <v>45368</v>
      </c>
      <c r="C628" s="1" t="n">
        <v>46060</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57356-2023</t>
        </is>
      </c>
      <c r="B629" s="1" t="n">
        <v>45240</v>
      </c>
      <c r="C629" s="1" t="n">
        <v>46060</v>
      </c>
      <c r="D629" t="inlineStr">
        <is>
          <t>GOTLANDS LÄN</t>
        </is>
      </c>
      <c r="E629" t="inlineStr">
        <is>
          <t>GOTLAND</t>
        </is>
      </c>
      <c r="G629" t="n">
        <v>6.4</v>
      </c>
      <c r="H629" t="n">
        <v>0</v>
      </c>
      <c r="I629" t="n">
        <v>0</v>
      </c>
      <c r="J629" t="n">
        <v>0</v>
      </c>
      <c r="K629" t="n">
        <v>0</v>
      </c>
      <c r="L629" t="n">
        <v>0</v>
      </c>
      <c r="M629" t="n">
        <v>0</v>
      </c>
      <c r="N629" t="n">
        <v>0</v>
      </c>
      <c r="O629" t="n">
        <v>0</v>
      </c>
      <c r="P629" t="n">
        <v>0</v>
      </c>
      <c r="Q629" t="n">
        <v>0</v>
      </c>
      <c r="R629" s="2" t="inlineStr"/>
    </row>
    <row r="630" ht="15" customHeight="1">
      <c r="A630" t="inlineStr">
        <is>
          <t>A 28506-2023</t>
        </is>
      </c>
      <c r="B630" s="1" t="n">
        <v>45103</v>
      </c>
      <c r="C630" s="1" t="n">
        <v>46060</v>
      </c>
      <c r="D630" t="inlineStr">
        <is>
          <t>GOTLANDS LÄN</t>
        </is>
      </c>
      <c r="E630" t="inlineStr">
        <is>
          <t>GOTLAND</t>
        </is>
      </c>
      <c r="G630" t="n">
        <v>3.2</v>
      </c>
      <c r="H630" t="n">
        <v>0</v>
      </c>
      <c r="I630" t="n">
        <v>0</v>
      </c>
      <c r="J630" t="n">
        <v>0</v>
      </c>
      <c r="K630" t="n">
        <v>0</v>
      </c>
      <c r="L630" t="n">
        <v>0</v>
      </c>
      <c r="M630" t="n">
        <v>0</v>
      </c>
      <c r="N630" t="n">
        <v>0</v>
      </c>
      <c r="O630" t="n">
        <v>0</v>
      </c>
      <c r="P630" t="n">
        <v>0</v>
      </c>
      <c r="Q630" t="n">
        <v>0</v>
      </c>
      <c r="R630" s="2" t="inlineStr"/>
    </row>
    <row r="631" ht="15" customHeight="1">
      <c r="A631" t="inlineStr">
        <is>
          <t>A 23188-2025</t>
        </is>
      </c>
      <c r="B631" s="1" t="n">
        <v>45791</v>
      </c>
      <c r="C631" s="1" t="n">
        <v>46060</v>
      </c>
      <c r="D631" t="inlineStr">
        <is>
          <t>GOTLANDS LÄN</t>
        </is>
      </c>
      <c r="E631" t="inlineStr">
        <is>
          <t>GOTLAND</t>
        </is>
      </c>
      <c r="G631" t="n">
        <v>6.2</v>
      </c>
      <c r="H631" t="n">
        <v>0</v>
      </c>
      <c r="I631" t="n">
        <v>0</v>
      </c>
      <c r="J631" t="n">
        <v>0</v>
      </c>
      <c r="K631" t="n">
        <v>0</v>
      </c>
      <c r="L631" t="n">
        <v>0</v>
      </c>
      <c r="M631" t="n">
        <v>0</v>
      </c>
      <c r="N631" t="n">
        <v>0</v>
      </c>
      <c r="O631" t="n">
        <v>0</v>
      </c>
      <c r="P631" t="n">
        <v>0</v>
      </c>
      <c r="Q631" t="n">
        <v>0</v>
      </c>
      <c r="R631" s="2" t="inlineStr"/>
    </row>
    <row r="632" ht="15" customHeight="1">
      <c r="A632" t="inlineStr">
        <is>
          <t>A 23856-2025</t>
        </is>
      </c>
      <c r="B632" s="1" t="n">
        <v>45793</v>
      </c>
      <c r="C632" s="1" t="n">
        <v>46060</v>
      </c>
      <c r="D632" t="inlineStr">
        <is>
          <t>GOTLANDS LÄN</t>
        </is>
      </c>
      <c r="E632" t="inlineStr">
        <is>
          <t>GOTLAND</t>
        </is>
      </c>
      <c r="G632" t="n">
        <v>4.4</v>
      </c>
      <c r="H632" t="n">
        <v>0</v>
      </c>
      <c r="I632" t="n">
        <v>0</v>
      </c>
      <c r="J632" t="n">
        <v>0</v>
      </c>
      <c r="K632" t="n">
        <v>0</v>
      </c>
      <c r="L632" t="n">
        <v>0</v>
      </c>
      <c r="M632" t="n">
        <v>0</v>
      </c>
      <c r="N632" t="n">
        <v>0</v>
      </c>
      <c r="O632" t="n">
        <v>0</v>
      </c>
      <c r="P632" t="n">
        <v>0</v>
      </c>
      <c r="Q632" t="n">
        <v>0</v>
      </c>
      <c r="R632" s="2" t="inlineStr"/>
    </row>
    <row r="633" ht="15" customHeight="1">
      <c r="A633" t="inlineStr">
        <is>
          <t>A 23473-2025</t>
        </is>
      </c>
      <c r="B633" s="1" t="n">
        <v>45792</v>
      </c>
      <c r="C633" s="1" t="n">
        <v>46060</v>
      </c>
      <c r="D633" t="inlineStr">
        <is>
          <t>GOTLANDS LÄN</t>
        </is>
      </c>
      <c r="E633" t="inlineStr">
        <is>
          <t>GOTLAND</t>
        </is>
      </c>
      <c r="G633" t="n">
        <v>3.6</v>
      </c>
      <c r="H633" t="n">
        <v>0</v>
      </c>
      <c r="I633" t="n">
        <v>0</v>
      </c>
      <c r="J633" t="n">
        <v>0</v>
      </c>
      <c r="K633" t="n">
        <v>0</v>
      </c>
      <c r="L633" t="n">
        <v>0</v>
      </c>
      <c r="M633" t="n">
        <v>0</v>
      </c>
      <c r="N633" t="n">
        <v>0</v>
      </c>
      <c r="O633" t="n">
        <v>0</v>
      </c>
      <c r="P633" t="n">
        <v>0</v>
      </c>
      <c r="Q633" t="n">
        <v>0</v>
      </c>
      <c r="R633" s="2" t="inlineStr"/>
    </row>
    <row r="634" ht="15" customHeight="1">
      <c r="A634" t="inlineStr">
        <is>
          <t>A 23698-2025</t>
        </is>
      </c>
      <c r="B634" s="1" t="n">
        <v>45793</v>
      </c>
      <c r="C634" s="1" t="n">
        <v>46060</v>
      </c>
      <c r="D634" t="inlineStr">
        <is>
          <t>GOTLANDS LÄN</t>
        </is>
      </c>
      <c r="E634" t="inlineStr">
        <is>
          <t>GOTLAND</t>
        </is>
      </c>
      <c r="G634" t="n">
        <v>0.8</v>
      </c>
      <c r="H634" t="n">
        <v>0</v>
      </c>
      <c r="I634" t="n">
        <v>0</v>
      </c>
      <c r="J634" t="n">
        <v>0</v>
      </c>
      <c r="K634" t="n">
        <v>0</v>
      </c>
      <c r="L634" t="n">
        <v>0</v>
      </c>
      <c r="M634" t="n">
        <v>0</v>
      </c>
      <c r="N634" t="n">
        <v>0</v>
      </c>
      <c r="O634" t="n">
        <v>0</v>
      </c>
      <c r="P634" t="n">
        <v>0</v>
      </c>
      <c r="Q634" t="n">
        <v>0</v>
      </c>
      <c r="R634" s="2" t="inlineStr"/>
    </row>
    <row r="635" ht="15" customHeight="1">
      <c r="A635" t="inlineStr">
        <is>
          <t>A 15073-2025</t>
        </is>
      </c>
      <c r="B635" s="1" t="n">
        <v>45743</v>
      </c>
      <c r="C635" s="1" t="n">
        <v>46060</v>
      </c>
      <c r="D635" t="inlineStr">
        <is>
          <t>GOTLANDS LÄN</t>
        </is>
      </c>
      <c r="E635" t="inlineStr">
        <is>
          <t>GOTLAND</t>
        </is>
      </c>
      <c r="G635" t="n">
        <v>12.1</v>
      </c>
      <c r="H635" t="n">
        <v>0</v>
      </c>
      <c r="I635" t="n">
        <v>0</v>
      </c>
      <c r="J635" t="n">
        <v>0</v>
      </c>
      <c r="K635" t="n">
        <v>0</v>
      </c>
      <c r="L635" t="n">
        <v>0</v>
      </c>
      <c r="M635" t="n">
        <v>0</v>
      </c>
      <c r="N635" t="n">
        <v>0</v>
      </c>
      <c r="O635" t="n">
        <v>0</v>
      </c>
      <c r="P635" t="n">
        <v>0</v>
      </c>
      <c r="Q635" t="n">
        <v>0</v>
      </c>
      <c r="R635" s="2" t="inlineStr"/>
    </row>
    <row r="636">
      <c r="A636" t="inlineStr">
        <is>
          <t>A 6749-2025</t>
        </is>
      </c>
      <c r="B636" s="1" t="n">
        <v>45700</v>
      </c>
      <c r="C636" s="1" t="n">
        <v>46060</v>
      </c>
      <c r="D636" t="inlineStr">
        <is>
          <t>GOTLANDS LÄN</t>
        </is>
      </c>
      <c r="E636" t="inlineStr">
        <is>
          <t>GOTLAND</t>
        </is>
      </c>
      <c r="G636" t="n">
        <v>4.5</v>
      </c>
      <c r="H636" t="n">
        <v>0</v>
      </c>
      <c r="I636" t="n">
        <v>0</v>
      </c>
      <c r="J636" t="n">
        <v>0</v>
      </c>
      <c r="K636" t="n">
        <v>0</v>
      </c>
      <c r="L636" t="n">
        <v>0</v>
      </c>
      <c r="M636" t="n">
        <v>0</v>
      </c>
      <c r="N636" t="n">
        <v>0</v>
      </c>
      <c r="O636" t="n">
        <v>0</v>
      </c>
      <c r="P636" t="n">
        <v>0</v>
      </c>
      <c r="Q636" t="n">
        <v>0</v>
      </c>
      <c r="R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2026-02-07T13:51:38Z</dcterms:created>
  <dcterms:modified xmlns:dcterms="http://purl.org/dc/terms/" xmlns:xsi="http://www.w3.org/2001/XMLSchema-instance" xsi:type="dcterms:W3CDTF">2026-02-07T13:51:39Z</dcterms:modified>
</cp:coreProperties>
</file>