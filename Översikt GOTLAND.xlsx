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45983</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45983</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45983</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45983</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45983</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27280-2023</t>
        </is>
      </c>
      <c r="B64" s="1" t="n">
        <v>45096</v>
      </c>
      <c r="C64" s="1" t="n">
        <v>45983</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45983</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45983</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45983</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45983</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45983</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45983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45983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57773-2025</t>
        </is>
      </c>
      <c r="B73" s="1" t="n">
        <v>45981.56349537037</v>
      </c>
      <c r="C73" s="1" t="n">
        <v>45983</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65819-2020</t>
        </is>
      </c>
      <c r="B75" s="1" t="n">
        <v>44174</v>
      </c>
      <c r="C75" s="1" t="n">
        <v>45983</v>
      </c>
      <c r="D75" t="inlineStr">
        <is>
          <t>GOTLANDS LÄN</t>
        </is>
      </c>
      <c r="E75" t="inlineStr">
        <is>
          <t>GOTLAND</t>
        </is>
      </c>
      <c r="G75" t="n">
        <v>4.3</v>
      </c>
      <c r="H75" t="n">
        <v>1</v>
      </c>
      <c r="I75" t="n">
        <v>3</v>
      </c>
      <c r="J75" t="n">
        <v>1</v>
      </c>
      <c r="K75" t="n">
        <v>2</v>
      </c>
      <c r="L75" t="n">
        <v>0</v>
      </c>
      <c r="M75" t="n">
        <v>0</v>
      </c>
      <c r="N75" t="n">
        <v>0</v>
      </c>
      <c r="O75" t="n">
        <v>3</v>
      </c>
      <c r="P75" t="n">
        <v>2</v>
      </c>
      <c r="Q75" t="n">
        <v>6</v>
      </c>
      <c r="R75" s="2" t="inlineStr">
        <is>
          <t>Tallvaxskivling
Vit taggsvamp
Skugglosta
Blå slemspindling
Kattfotslav
Nästrot</t>
        </is>
      </c>
      <c r="S75">
        <f>HYPERLINK("https://klasma.github.io/Logging_0980/artfynd/A 65819-2020 artfynd.xlsx", "A 65819-2020")</f>
        <v/>
      </c>
      <c r="T75">
        <f>HYPERLINK("https://klasma.github.io/Logging_0980/kartor/A 65819-2020 karta.png", "A 65819-2020")</f>
        <v/>
      </c>
      <c r="V75">
        <f>HYPERLINK("https://klasma.github.io/Logging_0980/klagomål/A 65819-2020 FSC-klagomål.docx", "A 65819-2020")</f>
        <v/>
      </c>
      <c r="W75">
        <f>HYPERLINK("https://klasma.github.io/Logging_0980/klagomålsmail/A 65819-2020 FSC-klagomål mail.docx", "A 65819-2020")</f>
        <v/>
      </c>
      <c r="X75">
        <f>HYPERLINK("https://klasma.github.io/Logging_0980/tillsyn/A 65819-2020 tillsynsbegäran.docx", "A 65819-2020")</f>
        <v/>
      </c>
      <c r="Y75">
        <f>HYPERLINK("https://klasma.github.io/Logging_0980/tillsynsmail/A 65819-2020 tillsynsbegäran mail.docx", "A 65819-2020")</f>
        <v/>
      </c>
    </row>
    <row r="76" ht="15" customHeight="1">
      <c r="A76" t="inlineStr">
        <is>
          <t>A 7038-2023</t>
        </is>
      </c>
      <c r="B76" s="1" t="n">
        <v>44968</v>
      </c>
      <c r="C76" s="1" t="n">
        <v>45983</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45983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45983</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45983</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45983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45983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44944-2022</t>
        </is>
      </c>
      <c r="B82" s="1" t="n">
        <v>44841</v>
      </c>
      <c r="C82" s="1" t="n">
        <v>45983</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39425-2023</t>
        </is>
      </c>
      <c r="B83" s="1" t="n">
        <v>45166</v>
      </c>
      <c r="C83" s="1" t="n">
        <v>45983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45983</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45983</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45983</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45983</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54523-2023</t>
        </is>
      </c>
      <c r="B88" s="1" t="n">
        <v>45233</v>
      </c>
      <c r="C88" s="1" t="n">
        <v>45983</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40099-2025</t>
        </is>
      </c>
      <c r="B89" s="1" t="n">
        <v>45894.48462962963</v>
      </c>
      <c r="C89" s="1" t="n">
        <v>45983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45983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45983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45983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64378-2020</t>
        </is>
      </c>
      <c r="B93" s="1" t="n">
        <v>44168</v>
      </c>
      <c r="C93" s="1" t="n">
        <v>45983</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45983</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52250-2025</t>
        </is>
      </c>
      <c r="B95" s="1" t="n">
        <v>45953.48998842593</v>
      </c>
      <c r="C95" s="1" t="n">
        <v>45983</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20833-2024</t>
        </is>
      </c>
      <c r="B96" s="1" t="n">
        <v>45439</v>
      </c>
      <c r="C96" s="1" t="n">
        <v>45983</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57463-2025</t>
        </is>
      </c>
      <c r="B97" s="1" t="n">
        <v>45980.54174768519</v>
      </c>
      <c r="C97" s="1" t="n">
        <v>45983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44933-2022</t>
        </is>
      </c>
      <c r="B98" s="1" t="n">
        <v>44841</v>
      </c>
      <c r="C98" s="1" t="n">
        <v>45983</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45983</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45983</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45983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45983</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65537-2020</t>
        </is>
      </c>
      <c r="B103" s="1" t="n">
        <v>44173</v>
      </c>
      <c r="C103" s="1" t="n">
        <v>45983</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45983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45983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45983</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45983</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45983</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45983</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49709-2025</t>
        </is>
      </c>
      <c r="B115" s="1" t="n">
        <v>45939.68228009259</v>
      </c>
      <c r="C115" s="1" t="n">
        <v>45983</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53552-2021</t>
        </is>
      </c>
      <c r="B116" s="1" t="n">
        <v>44468</v>
      </c>
      <c r="C116" s="1" t="n">
        <v>45983</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45983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45983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45983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45983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62326-2020</t>
        </is>
      </c>
      <c r="B121" s="1" t="n">
        <v>44160</v>
      </c>
      <c r="C121" s="1" t="n">
        <v>45983</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73144-2021</t>
        </is>
      </c>
      <c r="B122" s="1" t="n">
        <v>44550</v>
      </c>
      <c r="C122" s="1" t="n">
        <v>45983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45983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45983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52245-2025</t>
        </is>
      </c>
      <c r="B130" s="1" t="n">
        <v>45953.47115740741</v>
      </c>
      <c r="C130" s="1" t="n">
        <v>45983</v>
      </c>
      <c r="D130" t="inlineStr">
        <is>
          <t>GOTLANDS LÄN</t>
        </is>
      </c>
      <c r="E130" t="inlineStr">
        <is>
          <t>GOTLAND</t>
        </is>
      </c>
      <c r="F130" t="inlineStr">
        <is>
          <t>Övriga Aktiebolag</t>
        </is>
      </c>
      <c r="G130" t="n">
        <v>10.1</v>
      </c>
      <c r="H130" t="n">
        <v>0</v>
      </c>
      <c r="I130" t="n">
        <v>1</v>
      </c>
      <c r="J130" t="n">
        <v>0</v>
      </c>
      <c r="K130" t="n">
        <v>1</v>
      </c>
      <c r="L130" t="n">
        <v>0</v>
      </c>
      <c r="M130" t="n">
        <v>0</v>
      </c>
      <c r="N130" t="n">
        <v>0</v>
      </c>
      <c r="O130" t="n">
        <v>1</v>
      </c>
      <c r="P130" t="n">
        <v>1</v>
      </c>
      <c r="Q130" t="n">
        <v>2</v>
      </c>
      <c r="R130" s="2" t="inlineStr">
        <is>
          <t>Källnate
Underviol</t>
        </is>
      </c>
      <c r="S130">
        <f>HYPERLINK("https://klasma.github.io/Logging_0980/artfynd/A 52245-2025 artfynd.xlsx", "A 52245-2025")</f>
        <v/>
      </c>
      <c r="T130">
        <f>HYPERLINK("https://klasma.github.io/Logging_0980/kartor/A 52245-2025 karta.png", "A 52245-2025")</f>
        <v/>
      </c>
      <c r="V130">
        <f>HYPERLINK("https://klasma.github.io/Logging_0980/klagomål/A 52245-2025 FSC-klagomål.docx", "A 52245-2025")</f>
        <v/>
      </c>
      <c r="W130">
        <f>HYPERLINK("https://klasma.github.io/Logging_0980/klagomålsmail/A 52245-2025 FSC-klagomål mail.docx", "A 52245-2025")</f>
        <v/>
      </c>
      <c r="X130">
        <f>HYPERLINK("https://klasma.github.io/Logging_0980/tillsyn/A 52245-2025 tillsynsbegäran.docx", "A 52245-2025")</f>
        <v/>
      </c>
      <c r="Y130">
        <f>HYPERLINK("https://klasma.github.io/Logging_0980/tillsynsmail/A 52245-2025 tillsynsbegäran mail.docx", "A 52245-2025")</f>
        <v/>
      </c>
    </row>
    <row r="131" ht="15" customHeight="1">
      <c r="A131" t="inlineStr">
        <is>
          <t>A 20838-2024</t>
        </is>
      </c>
      <c r="B131" s="1" t="n">
        <v>45439</v>
      </c>
      <c r="C131" s="1" t="n">
        <v>45983</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45983</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45983</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45983</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45983</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45983</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45983</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45983</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45983</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45983</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45983</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45983</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45983</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10440-2024</t>
        </is>
      </c>
      <c r="B148" s="1" t="n">
        <v>45366.32818287037</v>
      </c>
      <c r="C148" s="1" t="n">
        <v>45983</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45983</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45983</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26461-2025</t>
        </is>
      </c>
      <c r="B151" s="1" t="n">
        <v>45807.43337962963</v>
      </c>
      <c r="C151" s="1" t="n">
        <v>45983</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65927-2021</t>
        </is>
      </c>
      <c r="B152" s="1" t="n">
        <v>44516</v>
      </c>
      <c r="C152" s="1" t="n">
        <v>45983</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61796-2022</t>
        </is>
      </c>
      <c r="B153" s="1" t="n">
        <v>44917</v>
      </c>
      <c r="C153" s="1" t="n">
        <v>45983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35467-2021</t>
        </is>
      </c>
      <c r="B154" s="1" t="n">
        <v>44385</v>
      </c>
      <c r="C154" s="1" t="n">
        <v>45983</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45983</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15637-2024</t>
        </is>
      </c>
      <c r="B156" s="1" t="n">
        <v>45403.6684837963</v>
      </c>
      <c r="C156" s="1" t="n">
        <v>45983</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34141-2024</t>
        </is>
      </c>
      <c r="B157" s="1" t="n">
        <v>45524.36229166666</v>
      </c>
      <c r="C157" s="1" t="n">
        <v>45983</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9862-2024</t>
        </is>
      </c>
      <c r="B158" s="1" t="n">
        <v>45363</v>
      </c>
      <c r="C158" s="1" t="n">
        <v>45983</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2476-2025</t>
        </is>
      </c>
      <c r="B159" s="1" t="n">
        <v>45673</v>
      </c>
      <c r="C159" s="1" t="n">
        <v>45983</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45983</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56687-2025</t>
        </is>
      </c>
      <c r="B161" s="1" t="n">
        <v>45975.84065972222</v>
      </c>
      <c r="C161" s="1" t="n">
        <v>45983</v>
      </c>
      <c r="D161" t="inlineStr">
        <is>
          <t>GOTLANDS LÄN</t>
        </is>
      </c>
      <c r="E161" t="inlineStr">
        <is>
          <t>GOTLAND</t>
        </is>
      </c>
      <c r="G161" t="n">
        <v>2.4</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56687-2025 artfynd.xlsx", "A 56687-2025")</f>
        <v/>
      </c>
      <c r="T161">
        <f>HYPERLINK("https://klasma.github.io/Logging_0980/kartor/A 56687-2025 karta.png", "A 56687-2025")</f>
        <v/>
      </c>
      <c r="V161">
        <f>HYPERLINK("https://klasma.github.io/Logging_0980/klagomål/A 56687-2025 FSC-klagomål.docx", "A 56687-2025")</f>
        <v/>
      </c>
      <c r="W161">
        <f>HYPERLINK("https://klasma.github.io/Logging_0980/klagomålsmail/A 56687-2025 FSC-klagomål mail.docx", "A 56687-2025")</f>
        <v/>
      </c>
      <c r="X161">
        <f>HYPERLINK("https://klasma.github.io/Logging_0980/tillsyn/A 56687-2025 tillsynsbegäran.docx", "A 56687-2025")</f>
        <v/>
      </c>
      <c r="Y161">
        <f>HYPERLINK("https://klasma.github.io/Logging_0980/tillsynsmail/A 56687-2025 tillsynsbegäran mail.docx", "A 56687-2025")</f>
        <v/>
      </c>
    </row>
    <row r="162" ht="15" customHeight="1">
      <c r="A162" t="inlineStr">
        <is>
          <t>A 12924-2025</t>
        </is>
      </c>
      <c r="B162" s="1" t="n">
        <v>45734</v>
      </c>
      <c r="C162" s="1" t="n">
        <v>45983</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45983</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45983</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45983</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45983</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45983</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45983</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45983</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45983</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45983</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45983</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45983</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45983</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45983</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45983</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45983</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45983</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45983</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45983</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45983</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45983</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45983</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45983</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45983</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45983</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45983</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45983</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45983</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45983</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45983</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45983</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45983</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45983</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45983</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45983</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45983</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45983</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45983</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45983</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45983</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45983</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45983</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45983</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45983</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45983</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45983</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45983</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45983</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45983</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45983</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45983</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45983</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45983</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45983</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45983</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45983</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45983</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45983</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45983</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45983</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45983</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45983</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45983</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45983</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45983</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45983</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45983</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45983</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45983</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45983</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45983</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45983</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45983</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45983</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45983</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45983</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45983</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45983</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45983</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45983</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45983</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45983</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45983</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45983</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45983</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45983</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45983</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45983</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45983</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45983</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45983</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45983</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45983</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45983</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45983</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45983</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45983</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45983</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45983</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45983</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45983</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45983</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45983</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45983</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45983</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45983</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45983</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45983</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45983</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45983</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45983</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45983</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45983</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45983</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45983</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45983</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45983</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45983</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45983</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45983</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45983</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45983</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45983</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45983</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45983</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45983</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45983</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45983</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45983</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45983</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45983</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45983</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45983</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45983</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45983</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45983</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45983</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45983</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45983</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45983</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45983</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45983</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45983</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45983</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45983</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45983</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45983</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45983</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45983</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45983</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45983</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45983</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45983</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45983</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45983</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45983</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45983</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45983</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45983</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45983</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45983</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45983</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45983</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45983</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45983</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45983</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45983</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45983</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45983</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45983</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45983</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45983</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45983</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45983</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45983</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45983</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45983</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45983</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45983</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45983</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45983</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45983</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45983</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45983</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45983</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45983</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45983</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45983</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45983</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45983</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45983</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45983</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45983</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45983</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45983</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45983</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45983</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45983</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45983</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45983</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45983</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45983</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45983</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45983</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45983</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45983</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45983</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45983</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45983</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45983</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45983</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45983</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45983</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45983</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45983</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45983</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45983</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45983</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45983</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45983</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45983</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45983</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45983</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45983</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45983</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45983</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45983</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45983</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45983</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45983</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45983</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45983</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45983</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45983</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45983</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45983</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45983</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45983</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45983</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45983</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45983</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45983</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45983</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45983</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45983</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45983</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45983</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45983</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45983</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45983</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45983</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45983</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45983</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45983</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45983</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45983</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45983</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45983</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45983</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45983</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45983</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45983</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45983</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45983</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45983</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45983</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45983</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45983</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45983</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45983</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45983</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45983</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45983</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45983</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45983</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45983</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45983</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45983</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45983</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45983</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45983</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45983</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45983</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45983</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45983</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45983</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45983</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45983</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45983</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45983</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45983</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45983</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45983</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45983</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45983</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45983</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45983</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45983</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45983</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45983</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45983</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45983</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45983</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45983</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45983</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45983</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45983</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45983</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45983</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45983</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45983</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45983</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45983</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45983</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45983</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45983</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45983</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45983</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45983</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45983</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45983</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45983</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45983</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45983</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45983</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45983</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45983</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45983</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45983</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45983</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45983</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45983</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45983</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45983</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45983</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45983</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45983</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45983</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45983</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45983</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45983</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45983</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45983</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45983</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45983</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45983</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45983</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45983</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45983</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45983</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45983</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45983</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45983</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45983</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45983</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45983</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45983</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45983</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45983</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45983</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45983</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45983</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45983</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45983</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45983</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45983</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45983</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45983</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45983</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45983</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45983</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45983</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45983</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45983</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45983</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45983</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45983</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45983</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45983</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45983</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45983</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45983</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45983</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45983</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45983</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45983</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45983</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45983</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45983</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45983</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45983</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45983</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45983</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2025-11-22T10:15:11Z</dcterms:created>
  <dcterms:modified xmlns:dcterms="http://purl.org/dc/terms/" xmlns:xsi="http://www.w3.org/2001/XMLSchema-instance" xsi:type="dcterms:W3CDTF">2025-11-22T10:15:11Z</dcterms:modified>
</cp:coreProperties>
</file>