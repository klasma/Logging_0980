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46166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46166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46166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46166</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46166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46166</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46166</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46166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46166</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46166</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46166</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46166</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46166</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6153-2024</t>
        </is>
      </c>
      <c r="B23" s="1" t="n">
        <v>45337</v>
      </c>
      <c r="C23" s="1" t="n">
        <v>46166</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24575-2025</t>
        </is>
      </c>
      <c r="B24" s="1" t="n">
        <v>45798</v>
      </c>
      <c r="C24" s="1" t="n">
        <v>46166</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15629-2024</t>
        </is>
      </c>
      <c r="B25" s="1" t="n">
        <v>45402.78372685185</v>
      </c>
      <c r="C25" s="1" t="n">
        <v>46166</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46166</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46166</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46166</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25779-2022</t>
        </is>
      </c>
      <c r="B29" s="1" t="n">
        <v>44733</v>
      </c>
      <c r="C29" s="1" t="n">
        <v>46166</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46166</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44204-2022</t>
        </is>
      </c>
      <c r="B31" s="1" t="n">
        <v>44839</v>
      </c>
      <c r="C31" s="1" t="n">
        <v>46166</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46166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46166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46166</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46166</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46166</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46166</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46166</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46166</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46166</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10274-2026</t>
        </is>
      </c>
      <c r="B41" s="1" t="n">
        <v>46076</v>
      </c>
      <c r="C41" s="1" t="n">
        <v>46166</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11176-2024</t>
        </is>
      </c>
      <c r="B42" s="1" t="n">
        <v>45371</v>
      </c>
      <c r="C42" s="1" t="n">
        <v>46166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46166</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52223-2025</t>
        </is>
      </c>
      <c r="B44" s="1" t="n">
        <v>45953.44509259259</v>
      </c>
      <c r="C44" s="1" t="n">
        <v>46166</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43201-2023</t>
        </is>
      </c>
      <c r="B45" s="1" t="n">
        <v>45183</v>
      </c>
      <c r="C45" s="1" t="n">
        <v>46166</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46166</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46166</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46166</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46166</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46166</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46166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46166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46166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46166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46166</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46166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46166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46166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46166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46166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46166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46166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46166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46166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46166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46166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46166</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54527-2023</t>
        </is>
      </c>
      <c r="B71" s="1" t="n">
        <v>45233</v>
      </c>
      <c r="C71" s="1" t="n">
        <v>46166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46166</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46166</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46166</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54527-2023</t>
        </is>
      </c>
      <c r="B75" s="1" t="n">
        <v>45233</v>
      </c>
      <c r="C75" s="1" t="n">
        <v>46166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46166</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46166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46166</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6839-2026</t>
        </is>
      </c>
      <c r="B79" s="1" t="n">
        <v>46057.41193287037</v>
      </c>
      <c r="C79" s="1" t="n">
        <v>46166</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46166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46166</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46166</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52245-2025</t>
        </is>
      </c>
      <c r="B83" s="1" t="n">
        <v>45953.47115740741</v>
      </c>
      <c r="C83" s="1" t="n">
        <v>46166</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46166</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46166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16375-2025</t>
        </is>
      </c>
      <c r="B86" s="1" t="n">
        <v>45751.41064814815</v>
      </c>
      <c r="C86" s="1" t="n">
        <v>46166</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29331-2021</t>
        </is>
      </c>
      <c r="B87" s="1" t="n">
        <v>44361</v>
      </c>
      <c r="C87" s="1" t="n">
        <v>46166</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56717-2024</t>
        </is>
      </c>
      <c r="B88" s="1" t="n">
        <v>45628.3166550926</v>
      </c>
      <c r="C88" s="1" t="n">
        <v>46166</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40099-2025</t>
        </is>
      </c>
      <c r="B89" s="1" t="n">
        <v>45894.48462962963</v>
      </c>
      <c r="C89" s="1" t="n">
        <v>46166</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6836-2026</t>
        </is>
      </c>
      <c r="B90" s="1" t="n">
        <v>46057</v>
      </c>
      <c r="C90" s="1" t="n">
        <v>46166</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20833-2024</t>
        </is>
      </c>
      <c r="B91" s="1" t="n">
        <v>45439</v>
      </c>
      <c r="C91" s="1" t="n">
        <v>46166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5904-2024</t>
        </is>
      </c>
      <c r="B92" s="1" t="n">
        <v>45335</v>
      </c>
      <c r="C92" s="1" t="n">
        <v>46166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46166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46166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46166</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54523-2023</t>
        </is>
      </c>
      <c r="B96" s="1" t="n">
        <v>45233</v>
      </c>
      <c r="C96" s="1" t="n">
        <v>46166</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1971-2023</t>
        </is>
      </c>
      <c r="B97" s="1" t="n">
        <v>44939</v>
      </c>
      <c r="C97" s="1" t="n">
        <v>46166</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186-2023</t>
        </is>
      </c>
      <c r="B98" s="1" t="n">
        <v>44928</v>
      </c>
      <c r="C98" s="1" t="n">
        <v>46166</v>
      </c>
      <c r="D98" t="inlineStr">
        <is>
          <t>GOTLANDS LÄN</t>
        </is>
      </c>
      <c r="E98" t="inlineStr">
        <is>
          <t>GOTLAND</t>
        </is>
      </c>
      <c r="G98" t="n">
        <v>2.2</v>
      </c>
      <c r="H98" t="n">
        <v>2</v>
      </c>
      <c r="I98" t="n">
        <v>2</v>
      </c>
      <c r="J98" t="n">
        <v>0</v>
      </c>
      <c r="K98" t="n">
        <v>2</v>
      </c>
      <c r="L98" t="n">
        <v>0</v>
      </c>
      <c r="M98" t="n">
        <v>0</v>
      </c>
      <c r="N98" t="n">
        <v>0</v>
      </c>
      <c r="O98" t="n">
        <v>2</v>
      </c>
      <c r="P98" t="n">
        <v>2</v>
      </c>
      <c r="Q98" t="n">
        <v>4</v>
      </c>
      <c r="R98" s="2" t="inlineStr">
        <is>
          <t>Svartgrön spindling
Vit taggsvamp
Nästrot
Skogsknipprot</t>
        </is>
      </c>
      <c r="S98">
        <f>HYPERLINK("https://klasma.github.io/Logging_0980/artfynd/A 186-2023 artfynd.xlsx", "A 186-2023")</f>
        <v/>
      </c>
      <c r="T98">
        <f>HYPERLINK("https://klasma.github.io/Logging_0980/kartor/A 186-2023 karta.png", "A 186-2023")</f>
        <v/>
      </c>
      <c r="V98">
        <f>HYPERLINK("https://klasma.github.io/Logging_0980/klagomål/A 186-2023 FSC-klagomål.docx", "A 186-2023")</f>
        <v/>
      </c>
      <c r="W98">
        <f>HYPERLINK("https://klasma.github.io/Logging_0980/klagomålsmail/A 186-2023 FSC-klagomål mail.docx", "A 186-2023")</f>
        <v/>
      </c>
      <c r="X98">
        <f>HYPERLINK("https://klasma.github.io/Logging_0980/tillsyn/A 186-2023 tillsynsbegäran.docx", "A 186-2023")</f>
        <v/>
      </c>
      <c r="Y98">
        <f>HYPERLINK("https://klasma.github.io/Logging_0980/tillsynsmail/A 186-2023 tillsynsbegäran mail.docx", "A 186-2023")</f>
        <v/>
      </c>
    </row>
    <row r="99" ht="15" customHeight="1">
      <c r="A99" t="inlineStr">
        <is>
          <t>A 52250-2025</t>
        </is>
      </c>
      <c r="B99" s="1" t="n">
        <v>45953.48998842593</v>
      </c>
      <c r="C99" s="1" t="n">
        <v>46166</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13203-2026</t>
        </is>
      </c>
      <c r="B100" s="1" t="n">
        <v>46093</v>
      </c>
      <c r="C100" s="1" t="n">
        <v>46166</v>
      </c>
      <c r="D100" t="inlineStr">
        <is>
          <t>GOTLANDS LÄN</t>
        </is>
      </c>
      <c r="E100" t="inlineStr">
        <is>
          <t>GOTLAND</t>
        </is>
      </c>
      <c r="G100" t="n">
        <v>4.5</v>
      </c>
      <c r="H100" t="n">
        <v>2</v>
      </c>
      <c r="I100" t="n">
        <v>1</v>
      </c>
      <c r="J100" t="n">
        <v>1</v>
      </c>
      <c r="K100" t="n">
        <v>1</v>
      </c>
      <c r="L100" t="n">
        <v>0</v>
      </c>
      <c r="M100" t="n">
        <v>0</v>
      </c>
      <c r="N100" t="n">
        <v>0</v>
      </c>
      <c r="O100" t="n">
        <v>2</v>
      </c>
      <c r="P100" t="n">
        <v>1</v>
      </c>
      <c r="Q100" t="n">
        <v>4</v>
      </c>
      <c r="R100" s="2" t="inlineStr">
        <is>
          <t>Gotlandsmåra
Svinrot
Nästrot
Grönvit nattviol</t>
        </is>
      </c>
      <c r="S100">
        <f>HYPERLINK("https://klasma.github.io/Logging_0980/artfynd/A 13203-2026 artfynd.xlsx", "A 13203-2026")</f>
        <v/>
      </c>
      <c r="T100">
        <f>HYPERLINK("https://klasma.github.io/Logging_0980/kartor/A 13203-2026 karta.png", "A 13203-2026")</f>
        <v/>
      </c>
      <c r="V100">
        <f>HYPERLINK("https://klasma.github.io/Logging_0980/klagomål/A 13203-2026 FSC-klagomål.docx", "A 13203-2026")</f>
        <v/>
      </c>
      <c r="W100">
        <f>HYPERLINK("https://klasma.github.io/Logging_0980/klagomålsmail/A 13203-2026 FSC-klagomål mail.docx", "A 13203-2026")</f>
        <v/>
      </c>
      <c r="X100">
        <f>HYPERLINK("https://klasma.github.io/Logging_0980/tillsyn/A 13203-2026 tillsynsbegäran.docx", "A 13203-2026")</f>
        <v/>
      </c>
      <c r="Y100">
        <f>HYPERLINK("https://klasma.github.io/Logging_0980/tillsynsmail/A 13203-2026 tillsynsbegäran mail.docx", "A 13203-2026")</f>
        <v/>
      </c>
    </row>
    <row r="101" ht="15" customHeight="1">
      <c r="A101" t="inlineStr">
        <is>
          <t>A 57463-2025</t>
        </is>
      </c>
      <c r="B101" s="1" t="n">
        <v>45980</v>
      </c>
      <c r="C101" s="1" t="n">
        <v>46166</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46166</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46166</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46166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46166</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73144-2021</t>
        </is>
      </c>
      <c r="B108" s="1" t="n">
        <v>44550</v>
      </c>
      <c r="C108" s="1" t="n">
        <v>46166</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46166</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46166</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48126-2022</t>
        </is>
      </c>
      <c r="B111" s="1" t="n">
        <v>44857</v>
      </c>
      <c r="C111" s="1" t="n">
        <v>46166</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46166</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20831-2024</t>
        </is>
      </c>
      <c r="B113" s="1" t="n">
        <v>45439</v>
      </c>
      <c r="C113" s="1" t="n">
        <v>46166</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46166</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46166</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17975-2024</t>
        </is>
      </c>
      <c r="B116" s="1" t="n">
        <v>45419.85546296297</v>
      </c>
      <c r="C116" s="1" t="n">
        <v>46166</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17982-2023</t>
        </is>
      </c>
      <c r="B117" s="1" t="n">
        <v>45040</v>
      </c>
      <c r="C117" s="1" t="n">
        <v>46166</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46166</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46166</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30490-2025</t>
        </is>
      </c>
      <c r="B120" s="1" t="n">
        <v>45830</v>
      </c>
      <c r="C120" s="1" t="n">
        <v>46166</v>
      </c>
      <c r="D120" t="inlineStr">
        <is>
          <t>GOTLANDS LÄN</t>
        </is>
      </c>
      <c r="E120" t="inlineStr">
        <is>
          <t>GOTLAND</t>
        </is>
      </c>
      <c r="G120" t="n">
        <v>7.9</v>
      </c>
      <c r="H120" t="n">
        <v>1</v>
      </c>
      <c r="I120" t="n">
        <v>0</v>
      </c>
      <c r="J120" t="n">
        <v>2</v>
      </c>
      <c r="K120" t="n">
        <v>0</v>
      </c>
      <c r="L120" t="n">
        <v>0</v>
      </c>
      <c r="M120" t="n">
        <v>0</v>
      </c>
      <c r="N120" t="n">
        <v>0</v>
      </c>
      <c r="O120" t="n">
        <v>2</v>
      </c>
      <c r="P120" t="n">
        <v>0</v>
      </c>
      <c r="Q120" t="n">
        <v>3</v>
      </c>
      <c r="R120" s="2" t="inlineStr">
        <is>
          <t>Klasefibbla
Majviva
Nattviol</t>
        </is>
      </c>
      <c r="S120">
        <f>HYPERLINK("https://klasma.github.io/Logging_0980/artfynd/A 30490-2025 artfynd.xlsx", "A 30490-2025")</f>
        <v/>
      </c>
      <c r="T120">
        <f>HYPERLINK("https://klasma.github.io/Logging_0980/kartor/A 30490-2025 karta.png", "A 30490-2025")</f>
        <v/>
      </c>
      <c r="V120">
        <f>HYPERLINK("https://klasma.github.io/Logging_0980/klagomål/A 30490-2025 FSC-klagomål.docx", "A 30490-2025")</f>
        <v/>
      </c>
      <c r="W120">
        <f>HYPERLINK("https://klasma.github.io/Logging_0980/klagomålsmail/A 30490-2025 FSC-klagomål mail.docx", "A 30490-2025")</f>
        <v/>
      </c>
      <c r="X120">
        <f>HYPERLINK("https://klasma.github.io/Logging_0980/tillsyn/A 30490-2025 tillsynsbegäran.docx", "A 30490-2025")</f>
        <v/>
      </c>
      <c r="Y120">
        <f>HYPERLINK("https://klasma.github.io/Logging_0980/tillsynsmail/A 30490-2025 tillsynsbegäran mail.docx", "A 30490-2025")</f>
        <v/>
      </c>
    </row>
    <row r="121" ht="15" customHeight="1">
      <c r="A121" t="inlineStr">
        <is>
          <t>A 29870-2021</t>
        </is>
      </c>
      <c r="B121" s="1" t="n">
        <v>44362</v>
      </c>
      <c r="C121" s="1" t="n">
        <v>46166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46166</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46166</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46166</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46166</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16997-2026</t>
        </is>
      </c>
      <c r="B128" s="1" t="n">
        <v>46114.42539351852</v>
      </c>
      <c r="C128" s="1" t="n">
        <v>46166</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17328-2026</t>
        </is>
      </c>
      <c r="B129" s="1" t="n">
        <v>46119.61216435185</v>
      </c>
      <c r="C129" s="1" t="n">
        <v>46166</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12914-2025</t>
        </is>
      </c>
      <c r="B130" s="1" t="n">
        <v>45733</v>
      </c>
      <c r="C130" s="1" t="n">
        <v>46166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46166</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46166</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46166</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46166</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63162-2025</t>
        </is>
      </c>
      <c r="B135" s="1" t="n">
        <v>46010.37629629629</v>
      </c>
      <c r="C135" s="1" t="n">
        <v>46166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46166</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43219-2023</t>
        </is>
      </c>
      <c r="B137" s="1" t="n">
        <v>45183</v>
      </c>
      <c r="C137" s="1" t="n">
        <v>46166</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46166</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46166</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46166</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46166</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46166</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44308-2021</t>
        </is>
      </c>
      <c r="B143" s="1" t="n">
        <v>44434</v>
      </c>
      <c r="C143" s="1" t="n">
        <v>46166</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46527-2023</t>
        </is>
      </c>
      <c r="B144" s="1" t="n">
        <v>45197</v>
      </c>
      <c r="C144" s="1" t="n">
        <v>46166</v>
      </c>
      <c r="D144" t="inlineStr">
        <is>
          <t>GOTLANDS LÄN</t>
        </is>
      </c>
      <c r="E144" t="inlineStr">
        <is>
          <t>GOTLAND</t>
        </is>
      </c>
      <c r="G144" t="n">
        <v>0.9</v>
      </c>
      <c r="H144" t="n">
        <v>0</v>
      </c>
      <c r="I144" t="n">
        <v>0</v>
      </c>
      <c r="J144" t="n">
        <v>1</v>
      </c>
      <c r="K144" t="n">
        <v>0</v>
      </c>
      <c r="L144" t="n">
        <v>0</v>
      </c>
      <c r="M144" t="n">
        <v>0</v>
      </c>
      <c r="N144" t="n">
        <v>0</v>
      </c>
      <c r="O144" t="n">
        <v>1</v>
      </c>
      <c r="P144" t="n">
        <v>0</v>
      </c>
      <c r="Q144" t="n">
        <v>1</v>
      </c>
      <c r="R144" s="2" t="inlineStr">
        <is>
          <t>Guldgräshoppa</t>
        </is>
      </c>
      <c r="S144">
        <f>HYPERLINK("https://klasma.github.io/Logging_0980/artfynd/A 46527-2023 artfynd.xlsx", "A 46527-2023")</f>
        <v/>
      </c>
      <c r="T144">
        <f>HYPERLINK("https://klasma.github.io/Logging_0980/kartor/A 46527-2023 karta.png", "A 46527-2023")</f>
        <v/>
      </c>
      <c r="V144">
        <f>HYPERLINK("https://klasma.github.io/Logging_0980/klagomål/A 46527-2023 FSC-klagomål.docx", "A 46527-2023")</f>
        <v/>
      </c>
      <c r="W144">
        <f>HYPERLINK("https://klasma.github.io/Logging_0980/klagomålsmail/A 46527-2023 FSC-klagomål mail.docx", "A 46527-2023")</f>
        <v/>
      </c>
      <c r="X144">
        <f>HYPERLINK("https://klasma.github.io/Logging_0980/tillsyn/A 46527-2023 tillsynsbegäran.docx", "A 46527-2023")</f>
        <v/>
      </c>
      <c r="Y144">
        <f>HYPERLINK("https://klasma.github.io/Logging_0980/tillsynsmail/A 46527-2023 tillsynsbegäran mail.docx", "A 46527-2023")</f>
        <v/>
      </c>
    </row>
    <row r="145" ht="15" customHeight="1">
      <c r="A145" t="inlineStr">
        <is>
          <t>A 6303-2024</t>
        </is>
      </c>
      <c r="B145" s="1" t="n">
        <v>45338.35376157407</v>
      </c>
      <c r="C145" s="1" t="n">
        <v>46166</v>
      </c>
      <c r="D145" t="inlineStr">
        <is>
          <t>GOTLANDS LÄN</t>
        </is>
      </c>
      <c r="E145" t="inlineStr">
        <is>
          <t>GOTLAND</t>
        </is>
      </c>
      <c r="G145" t="n">
        <v>0.6</v>
      </c>
      <c r="H145" t="n">
        <v>0</v>
      </c>
      <c r="I145" t="n">
        <v>1</v>
      </c>
      <c r="J145" t="n">
        <v>0</v>
      </c>
      <c r="K145" t="n">
        <v>0</v>
      </c>
      <c r="L145" t="n">
        <v>0</v>
      </c>
      <c r="M145" t="n">
        <v>0</v>
      </c>
      <c r="N145" t="n">
        <v>0</v>
      </c>
      <c r="O145" t="n">
        <v>0</v>
      </c>
      <c r="P145" t="n">
        <v>0</v>
      </c>
      <c r="Q145" t="n">
        <v>1</v>
      </c>
      <c r="R145" s="2" t="inlineStr">
        <is>
          <t>Strävlosta</t>
        </is>
      </c>
      <c r="S145">
        <f>HYPERLINK("https://klasma.github.io/Logging_0980/artfynd/A 6303-2024 artfynd.xlsx", "A 6303-2024")</f>
        <v/>
      </c>
      <c r="T145">
        <f>HYPERLINK("https://klasma.github.io/Logging_0980/kartor/A 6303-2024 karta.png", "A 6303-2024")</f>
        <v/>
      </c>
      <c r="V145">
        <f>HYPERLINK("https://klasma.github.io/Logging_0980/klagomål/A 6303-2024 FSC-klagomål.docx", "A 6303-2024")</f>
        <v/>
      </c>
      <c r="W145">
        <f>HYPERLINK("https://klasma.github.io/Logging_0980/klagomålsmail/A 6303-2024 FSC-klagomål mail.docx", "A 6303-2024")</f>
        <v/>
      </c>
      <c r="X145">
        <f>HYPERLINK("https://klasma.github.io/Logging_0980/tillsyn/A 6303-2024 tillsynsbegäran.docx", "A 6303-2024")</f>
        <v/>
      </c>
      <c r="Y145">
        <f>HYPERLINK("https://klasma.github.io/Logging_0980/tillsynsmail/A 6303-2024 tillsynsbegäran mail.docx", "A 6303-2024")</f>
        <v/>
      </c>
    </row>
    <row r="146" ht="15" customHeight="1">
      <c r="A146" t="inlineStr">
        <is>
          <t>A 62552-2022</t>
        </is>
      </c>
      <c r="B146" s="1" t="n">
        <v>44924</v>
      </c>
      <c r="C146" s="1" t="n">
        <v>46166</v>
      </c>
      <c r="D146" t="inlineStr">
        <is>
          <t>GOTLANDS LÄN</t>
        </is>
      </c>
      <c r="E146" t="inlineStr">
        <is>
          <t>GOTLAND</t>
        </is>
      </c>
      <c r="G146" t="n">
        <v>1.6</v>
      </c>
      <c r="H146" t="n">
        <v>0</v>
      </c>
      <c r="I146" t="n">
        <v>0</v>
      </c>
      <c r="J146" t="n">
        <v>1</v>
      </c>
      <c r="K146" t="n">
        <v>0</v>
      </c>
      <c r="L146" t="n">
        <v>0</v>
      </c>
      <c r="M146" t="n">
        <v>0</v>
      </c>
      <c r="N146" t="n">
        <v>0</v>
      </c>
      <c r="O146" t="n">
        <v>1</v>
      </c>
      <c r="P146" t="n">
        <v>0</v>
      </c>
      <c r="Q146" t="n">
        <v>1</v>
      </c>
      <c r="R146" s="2" t="inlineStr">
        <is>
          <t>Äggspindling</t>
        </is>
      </c>
      <c r="S146">
        <f>HYPERLINK("https://klasma.github.io/Logging_0980/artfynd/A 62552-2022 artfynd.xlsx", "A 62552-2022")</f>
        <v/>
      </c>
      <c r="T146">
        <f>HYPERLINK("https://klasma.github.io/Logging_0980/kartor/A 62552-2022 karta.png", "A 62552-2022")</f>
        <v/>
      </c>
      <c r="V146">
        <f>HYPERLINK("https://klasma.github.io/Logging_0980/klagomål/A 62552-2022 FSC-klagomål.docx", "A 62552-2022")</f>
        <v/>
      </c>
      <c r="W146">
        <f>HYPERLINK("https://klasma.github.io/Logging_0980/klagomålsmail/A 62552-2022 FSC-klagomål mail.docx", "A 62552-2022")</f>
        <v/>
      </c>
      <c r="X146">
        <f>HYPERLINK("https://klasma.github.io/Logging_0980/tillsyn/A 62552-2022 tillsynsbegäran.docx", "A 62552-2022")</f>
        <v/>
      </c>
      <c r="Y146">
        <f>HYPERLINK("https://klasma.github.io/Logging_0980/tillsynsmail/A 62552-2022 tillsynsbegäran mail.docx", "A 62552-2022")</f>
        <v/>
      </c>
    </row>
    <row r="147" ht="15" customHeight="1">
      <c r="A147" t="inlineStr">
        <is>
          <t>A 25977-2024</t>
        </is>
      </c>
      <c r="B147" s="1" t="n">
        <v>45467.69356481481</v>
      </c>
      <c r="C147" s="1" t="n">
        <v>46166</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27589-2023</t>
        </is>
      </c>
      <c r="B148" s="1" t="n">
        <v>45097</v>
      </c>
      <c r="C148" s="1" t="n">
        <v>46166</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39812-2025</t>
        </is>
      </c>
      <c r="B149" s="1" t="n">
        <v>45891</v>
      </c>
      <c r="C149" s="1" t="n">
        <v>46166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63149-2025</t>
        </is>
      </c>
      <c r="B150" s="1" t="n">
        <v>46010</v>
      </c>
      <c r="C150" s="1" t="n">
        <v>46166</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Anisspindling</t>
        </is>
      </c>
      <c r="S150">
        <f>HYPERLINK("https://klasma.github.io/Logging_0980/artfynd/A 63149-2025 artfynd.xlsx", "A 63149-2025")</f>
        <v/>
      </c>
      <c r="T150">
        <f>HYPERLINK("https://klasma.github.io/Logging_0980/kartor/A 63149-2025 karta.png", "A 63149-2025")</f>
        <v/>
      </c>
      <c r="V150">
        <f>HYPERLINK("https://klasma.github.io/Logging_0980/klagomål/A 63149-2025 FSC-klagomål.docx", "A 63149-2025")</f>
        <v/>
      </c>
      <c r="W150">
        <f>HYPERLINK("https://klasma.github.io/Logging_0980/klagomålsmail/A 63149-2025 FSC-klagomål mail.docx", "A 63149-2025")</f>
        <v/>
      </c>
      <c r="X150">
        <f>HYPERLINK("https://klasma.github.io/Logging_0980/tillsyn/A 63149-2025 tillsynsbegäran.docx", "A 63149-2025")</f>
        <v/>
      </c>
      <c r="Y150">
        <f>HYPERLINK("https://klasma.github.io/Logging_0980/tillsynsmail/A 63149-2025 tillsynsbegäran mail.docx", "A 63149-2025")</f>
        <v/>
      </c>
    </row>
    <row r="151" ht="15" customHeight="1">
      <c r="A151" t="inlineStr">
        <is>
          <t>A 22281-2026</t>
        </is>
      </c>
      <c r="B151" s="1" t="n">
        <v>46154</v>
      </c>
      <c r="C151" s="1" t="n">
        <v>46166</v>
      </c>
      <c r="D151" t="inlineStr">
        <is>
          <t>GOTLANDS LÄN</t>
        </is>
      </c>
      <c r="E151" t="inlineStr">
        <is>
          <t>GOTLAND</t>
        </is>
      </c>
      <c r="G151" t="n">
        <v>8.1</v>
      </c>
      <c r="H151" t="n">
        <v>0</v>
      </c>
      <c r="I151" t="n">
        <v>0</v>
      </c>
      <c r="J151" t="n">
        <v>1</v>
      </c>
      <c r="K151" t="n">
        <v>0</v>
      </c>
      <c r="L151" t="n">
        <v>0</v>
      </c>
      <c r="M151" t="n">
        <v>0</v>
      </c>
      <c r="N151" t="n">
        <v>0</v>
      </c>
      <c r="O151" t="n">
        <v>1</v>
      </c>
      <c r="P151" t="n">
        <v>0</v>
      </c>
      <c r="Q151" t="n">
        <v>1</v>
      </c>
      <c r="R151" s="2" t="inlineStr">
        <is>
          <t>Vasstandad trädbasbagge</t>
        </is>
      </c>
      <c r="S151">
        <f>HYPERLINK("https://klasma.github.io/Logging_0980/artfynd/A 22281-2026 artfynd.xlsx", "A 22281-2026")</f>
        <v/>
      </c>
      <c r="T151">
        <f>HYPERLINK("https://klasma.github.io/Logging_0980/kartor/A 22281-2026 karta.png", "A 22281-2026")</f>
        <v/>
      </c>
      <c r="V151">
        <f>HYPERLINK("https://klasma.github.io/Logging_0980/klagomål/A 22281-2026 FSC-klagomål.docx", "A 22281-2026")</f>
        <v/>
      </c>
      <c r="W151">
        <f>HYPERLINK("https://klasma.github.io/Logging_0980/klagomålsmail/A 22281-2026 FSC-klagomål mail.docx", "A 22281-2026")</f>
        <v/>
      </c>
      <c r="X151">
        <f>HYPERLINK("https://klasma.github.io/Logging_0980/tillsyn/A 22281-2026 tillsynsbegäran.docx", "A 22281-2026")</f>
        <v/>
      </c>
      <c r="Y151">
        <f>HYPERLINK("https://klasma.github.io/Logging_0980/tillsynsmail/A 22281-2026 tillsynsbegäran mail.docx", "A 22281-2026")</f>
        <v/>
      </c>
    </row>
    <row r="152" ht="15" customHeight="1">
      <c r="A152" t="inlineStr">
        <is>
          <t>A 17854-2026</t>
        </is>
      </c>
      <c r="B152" s="1" t="n">
        <v>46121</v>
      </c>
      <c r="C152" s="1" t="n">
        <v>46166</v>
      </c>
      <c r="D152" t="inlineStr">
        <is>
          <t>GOTLANDS LÄN</t>
        </is>
      </c>
      <c r="E152" t="inlineStr">
        <is>
          <t>GOTLAND</t>
        </is>
      </c>
      <c r="G152" t="n">
        <v>6.6</v>
      </c>
      <c r="H152" t="n">
        <v>0</v>
      </c>
      <c r="I152" t="n">
        <v>1</v>
      </c>
      <c r="J152" t="n">
        <v>0</v>
      </c>
      <c r="K152" t="n">
        <v>0</v>
      </c>
      <c r="L152" t="n">
        <v>0</v>
      </c>
      <c r="M152" t="n">
        <v>0</v>
      </c>
      <c r="N152" t="n">
        <v>0</v>
      </c>
      <c r="O152" t="n">
        <v>0</v>
      </c>
      <c r="P152" t="n">
        <v>0</v>
      </c>
      <c r="Q152" t="n">
        <v>1</v>
      </c>
      <c r="R152" s="2" t="inlineStr">
        <is>
          <t>Blå slemspindling</t>
        </is>
      </c>
      <c r="S152">
        <f>HYPERLINK("https://klasma.github.io/Logging_0980/artfynd/A 17854-2026 artfynd.xlsx", "A 17854-2026")</f>
        <v/>
      </c>
      <c r="T152">
        <f>HYPERLINK("https://klasma.github.io/Logging_0980/kartor/A 17854-2026 karta.png", "A 17854-2026")</f>
        <v/>
      </c>
      <c r="V152">
        <f>HYPERLINK("https://klasma.github.io/Logging_0980/klagomål/A 17854-2026 FSC-klagomål.docx", "A 17854-2026")</f>
        <v/>
      </c>
      <c r="W152">
        <f>HYPERLINK("https://klasma.github.io/Logging_0980/klagomålsmail/A 17854-2026 FSC-klagomål mail.docx", "A 17854-2026")</f>
        <v/>
      </c>
      <c r="X152">
        <f>HYPERLINK("https://klasma.github.io/Logging_0980/tillsyn/A 17854-2026 tillsynsbegäran.docx", "A 17854-2026")</f>
        <v/>
      </c>
      <c r="Y152">
        <f>HYPERLINK("https://klasma.github.io/Logging_0980/tillsynsmail/A 17854-2026 tillsynsbegäran mail.docx", "A 17854-2026")</f>
        <v/>
      </c>
    </row>
    <row r="153" ht="15" customHeight="1">
      <c r="A153" t="inlineStr">
        <is>
          <t>A 12924-2025</t>
        </is>
      </c>
      <c r="B153" s="1" t="n">
        <v>45734</v>
      </c>
      <c r="C153" s="1" t="n">
        <v>46166</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35467-2021</t>
        </is>
      </c>
      <c r="B154" s="1" t="n">
        <v>44385</v>
      </c>
      <c r="C154" s="1" t="n">
        <v>46166</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46166</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65927-2021</t>
        </is>
      </c>
      <c r="B156" s="1" t="n">
        <v>44516</v>
      </c>
      <c r="C156" s="1" t="n">
        <v>46166</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46166</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61561-2023</t>
        </is>
      </c>
      <c r="B158" s="1" t="n">
        <v>45265</v>
      </c>
      <c r="C158" s="1" t="n">
        <v>46166</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49726-2025</t>
        </is>
      </c>
      <c r="B159" s="1" t="n">
        <v>45939.84466435185</v>
      </c>
      <c r="C159" s="1" t="n">
        <v>46166</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12324-2025</t>
        </is>
      </c>
      <c r="B160" s="1" t="n">
        <v>45730</v>
      </c>
      <c r="C160" s="1" t="n">
        <v>46166</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46166</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46166</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46166</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46166</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46166</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46166</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46166</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1477-2024</t>
        </is>
      </c>
      <c r="B168" s="1" t="n">
        <v>45305.37987268518</v>
      </c>
      <c r="C168" s="1" t="n">
        <v>46166</v>
      </c>
      <c r="D168" t="inlineStr">
        <is>
          <t>GOTLANDS LÄN</t>
        </is>
      </c>
      <c r="E168" t="inlineStr">
        <is>
          <t>GOTLAND</t>
        </is>
      </c>
      <c r="G168" t="n">
        <v>6.9</v>
      </c>
      <c r="H168" t="n">
        <v>0</v>
      </c>
      <c r="I168" t="n">
        <v>0</v>
      </c>
      <c r="J168" t="n">
        <v>1</v>
      </c>
      <c r="K168" t="n">
        <v>0</v>
      </c>
      <c r="L168" t="n">
        <v>0</v>
      </c>
      <c r="M168" t="n">
        <v>0</v>
      </c>
      <c r="N168" t="n">
        <v>0</v>
      </c>
      <c r="O168" t="n">
        <v>1</v>
      </c>
      <c r="P168" t="n">
        <v>0</v>
      </c>
      <c r="Q168" t="n">
        <v>1</v>
      </c>
      <c r="R168" s="2" t="inlineStr">
        <is>
          <t>Igelkott</t>
        </is>
      </c>
      <c r="S168">
        <f>HYPERLINK("https://klasma.github.io/Logging_0980/artfynd/A 1477-2024 artfynd.xlsx", "A 1477-2024")</f>
        <v/>
      </c>
      <c r="T168">
        <f>HYPERLINK("https://klasma.github.io/Logging_0980/kartor/A 1477-2024 karta.png", "A 1477-2024")</f>
        <v/>
      </c>
      <c r="V168">
        <f>HYPERLINK("https://klasma.github.io/Logging_0980/klagomål/A 1477-2024 FSC-klagomål.docx", "A 1477-2024")</f>
        <v/>
      </c>
      <c r="W168">
        <f>HYPERLINK("https://klasma.github.io/Logging_0980/klagomålsmail/A 1477-2024 FSC-klagomål mail.docx", "A 1477-2024")</f>
        <v/>
      </c>
      <c r="X168">
        <f>HYPERLINK("https://klasma.github.io/Logging_0980/tillsyn/A 1477-2024 tillsynsbegäran.docx", "A 1477-2024")</f>
        <v/>
      </c>
      <c r="Y168">
        <f>HYPERLINK("https://klasma.github.io/Logging_0980/tillsynsmail/A 1477-2024 tillsynsbegäran mail.docx", "A 1477-2024")</f>
        <v/>
      </c>
    </row>
    <row r="169" ht="15" customHeight="1">
      <c r="A169" t="inlineStr">
        <is>
          <t>A 10013-2026</t>
        </is>
      </c>
      <c r="B169" s="1" t="n">
        <v>46073</v>
      </c>
      <c r="C169" s="1" t="n">
        <v>46166</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11708-2026</t>
        </is>
      </c>
      <c r="B170" s="1" t="n">
        <v>46084</v>
      </c>
      <c r="C170" s="1" t="n">
        <v>46166</v>
      </c>
      <c r="D170" t="inlineStr">
        <is>
          <t>GOTLANDS LÄN</t>
        </is>
      </c>
      <c r="E170" t="inlineStr">
        <is>
          <t>GOTLAND</t>
        </is>
      </c>
      <c r="G170" t="n">
        <v>8.4</v>
      </c>
      <c r="H170" t="n">
        <v>1</v>
      </c>
      <c r="I170" t="n">
        <v>0</v>
      </c>
      <c r="J170" t="n">
        <v>1</v>
      </c>
      <c r="K170" t="n">
        <v>0</v>
      </c>
      <c r="L170" t="n">
        <v>0</v>
      </c>
      <c r="M170" t="n">
        <v>0</v>
      </c>
      <c r="N170" t="n">
        <v>0</v>
      </c>
      <c r="O170" t="n">
        <v>1</v>
      </c>
      <c r="P170" t="n">
        <v>0</v>
      </c>
      <c r="Q170" t="n">
        <v>1</v>
      </c>
      <c r="R170" s="2" t="inlineStr">
        <is>
          <t>Bredarun</t>
        </is>
      </c>
      <c r="S170">
        <f>HYPERLINK("https://klasma.github.io/Logging_0980/artfynd/A 11708-2026 artfynd.xlsx", "A 11708-2026")</f>
        <v/>
      </c>
      <c r="T170">
        <f>HYPERLINK("https://klasma.github.io/Logging_0980/kartor/A 11708-2026 karta.png", "A 11708-2026")</f>
        <v/>
      </c>
      <c r="V170">
        <f>HYPERLINK("https://klasma.github.io/Logging_0980/klagomål/A 11708-2026 FSC-klagomål.docx", "A 11708-2026")</f>
        <v/>
      </c>
      <c r="W170">
        <f>HYPERLINK("https://klasma.github.io/Logging_0980/klagomålsmail/A 11708-2026 FSC-klagomål mail.docx", "A 11708-2026")</f>
        <v/>
      </c>
      <c r="X170">
        <f>HYPERLINK("https://klasma.github.io/Logging_0980/tillsyn/A 11708-2026 tillsynsbegäran.docx", "A 11708-2026")</f>
        <v/>
      </c>
      <c r="Y170">
        <f>HYPERLINK("https://klasma.github.io/Logging_0980/tillsynsmail/A 11708-2026 tillsynsbegäran mail.docx", "A 11708-2026")</f>
        <v/>
      </c>
    </row>
    <row r="171" ht="15" customHeight="1">
      <c r="A171" t="inlineStr">
        <is>
          <t>A 18036-2026</t>
        </is>
      </c>
      <c r="B171" s="1" t="n">
        <v>46125.39576388889</v>
      </c>
      <c r="C171" s="1" t="n">
        <v>46166</v>
      </c>
      <c r="D171" t="inlineStr">
        <is>
          <t>GOTLANDS LÄN</t>
        </is>
      </c>
      <c r="E171" t="inlineStr">
        <is>
          <t>GOTLAND</t>
        </is>
      </c>
      <c r="G171" t="n">
        <v>1.8</v>
      </c>
      <c r="H171" t="n">
        <v>0</v>
      </c>
      <c r="I171" t="n">
        <v>0</v>
      </c>
      <c r="J171" t="n">
        <v>1</v>
      </c>
      <c r="K171" t="n">
        <v>0</v>
      </c>
      <c r="L171" t="n">
        <v>0</v>
      </c>
      <c r="M171" t="n">
        <v>0</v>
      </c>
      <c r="N171" t="n">
        <v>0</v>
      </c>
      <c r="O171" t="n">
        <v>1</v>
      </c>
      <c r="P171" t="n">
        <v>0</v>
      </c>
      <c r="Q171" t="n">
        <v>1</v>
      </c>
      <c r="R171" s="2" t="inlineStr">
        <is>
          <t>Sommarfibbla</t>
        </is>
      </c>
      <c r="S171">
        <f>HYPERLINK("https://klasma.github.io/Logging_0980/artfynd/A 18036-2026 artfynd.xlsx", "A 18036-2026")</f>
        <v/>
      </c>
      <c r="T171">
        <f>HYPERLINK("https://klasma.github.io/Logging_0980/kartor/A 18036-2026 karta.png", "A 18036-2026")</f>
        <v/>
      </c>
      <c r="V171">
        <f>HYPERLINK("https://klasma.github.io/Logging_0980/klagomål/A 18036-2026 FSC-klagomål.docx", "A 18036-2026")</f>
        <v/>
      </c>
      <c r="W171">
        <f>HYPERLINK("https://klasma.github.io/Logging_0980/klagomålsmail/A 18036-2026 FSC-klagomål mail.docx", "A 18036-2026")</f>
        <v/>
      </c>
      <c r="X171">
        <f>HYPERLINK("https://klasma.github.io/Logging_0980/tillsyn/A 18036-2026 tillsynsbegäran.docx", "A 18036-2026")</f>
        <v/>
      </c>
      <c r="Y171">
        <f>HYPERLINK("https://klasma.github.io/Logging_0980/tillsynsmail/A 18036-2026 tillsynsbegäran mail.docx", "A 18036-2026")</f>
        <v/>
      </c>
    </row>
    <row r="172" ht="15" customHeight="1">
      <c r="A172" t="inlineStr">
        <is>
          <t>A 7637-2025</t>
        </is>
      </c>
      <c r="B172" s="1" t="n">
        <v>45705.77181712963</v>
      </c>
      <c r="C172" s="1" t="n">
        <v>46166</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13482-2026</t>
        </is>
      </c>
      <c r="B173" s="1" t="n">
        <v>46094</v>
      </c>
      <c r="C173" s="1" t="n">
        <v>46166</v>
      </c>
      <c r="D173" t="inlineStr">
        <is>
          <t>GOTLANDS LÄN</t>
        </is>
      </c>
      <c r="E173" t="inlineStr">
        <is>
          <t>GOTLAND</t>
        </is>
      </c>
      <c r="G173" t="n">
        <v>1.7</v>
      </c>
      <c r="H173" t="n">
        <v>1</v>
      </c>
      <c r="I173" t="n">
        <v>0</v>
      </c>
      <c r="J173" t="n">
        <v>1</v>
      </c>
      <c r="K173" t="n">
        <v>0</v>
      </c>
      <c r="L173" t="n">
        <v>0</v>
      </c>
      <c r="M173" t="n">
        <v>0</v>
      </c>
      <c r="N173" t="n">
        <v>0</v>
      </c>
      <c r="O173" t="n">
        <v>1</v>
      </c>
      <c r="P173" t="n">
        <v>0</v>
      </c>
      <c r="Q173" t="n">
        <v>1</v>
      </c>
      <c r="R173" s="2" t="inlineStr">
        <is>
          <t>Spillkråka</t>
        </is>
      </c>
      <c r="S173">
        <f>HYPERLINK("https://klasma.github.io/Logging_0980/artfynd/A 13482-2026 artfynd.xlsx", "A 13482-2026")</f>
        <v/>
      </c>
      <c r="T173">
        <f>HYPERLINK("https://klasma.github.io/Logging_0980/kartor/A 13482-2026 karta.png", "A 13482-2026")</f>
        <v/>
      </c>
      <c r="V173">
        <f>HYPERLINK("https://klasma.github.io/Logging_0980/klagomål/A 13482-2026 FSC-klagomål.docx", "A 13482-2026")</f>
        <v/>
      </c>
      <c r="W173">
        <f>HYPERLINK("https://klasma.github.io/Logging_0980/klagomålsmail/A 13482-2026 FSC-klagomål mail.docx", "A 13482-2026")</f>
        <v/>
      </c>
      <c r="X173">
        <f>HYPERLINK("https://klasma.github.io/Logging_0980/tillsyn/A 13482-2026 tillsynsbegäran.docx", "A 13482-2026")</f>
        <v/>
      </c>
      <c r="Y173">
        <f>HYPERLINK("https://klasma.github.io/Logging_0980/tillsynsmail/A 13482-2026 tillsynsbegäran mail.docx", "A 13482-2026")</f>
        <v/>
      </c>
      <c r="Z173">
        <f>HYPERLINK("https://klasma.github.io/Logging_0980/fåglar/A 13482-2026 prioriterade fågelarter.docx", "A 13482-2026")</f>
        <v/>
      </c>
    </row>
    <row r="174" ht="15" customHeight="1">
      <c r="A174" t="inlineStr">
        <is>
          <t>A 61796-2022</t>
        </is>
      </c>
      <c r="B174" s="1" t="n">
        <v>44917</v>
      </c>
      <c r="C174" s="1" t="n">
        <v>46166</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46166</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46166</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46166</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46166</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46166</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46166</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46166</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46166</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46166</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46166</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46166</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46166</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6739-2025</t>
        </is>
      </c>
      <c r="B187" s="1" t="n">
        <v>45700</v>
      </c>
      <c r="C187" s="1" t="n">
        <v>46166</v>
      </c>
      <c r="D187" t="inlineStr">
        <is>
          <t>GOTLANDS LÄN</t>
        </is>
      </c>
      <c r="E187" t="inlineStr">
        <is>
          <t>GOTLAND</t>
        </is>
      </c>
      <c r="G187" t="n">
        <v>4.5</v>
      </c>
      <c r="H187" t="n">
        <v>1</v>
      </c>
      <c r="I187" t="n">
        <v>0</v>
      </c>
      <c r="J187" t="n">
        <v>0</v>
      </c>
      <c r="K187" t="n">
        <v>0</v>
      </c>
      <c r="L187" t="n">
        <v>0</v>
      </c>
      <c r="M187" t="n">
        <v>0</v>
      </c>
      <c r="N187" t="n">
        <v>0</v>
      </c>
      <c r="O187" t="n">
        <v>0</v>
      </c>
      <c r="P187" t="n">
        <v>0</v>
      </c>
      <c r="Q187" t="n">
        <v>1</v>
      </c>
      <c r="R187" s="2" t="inlineStr">
        <is>
          <t>Röd glada</t>
        </is>
      </c>
      <c r="S187">
        <f>HYPERLINK("https://klasma.github.io/Logging_0980/artfynd/A 6739-2025 artfynd.xlsx", "A 6739-2025")</f>
        <v/>
      </c>
      <c r="T187">
        <f>HYPERLINK("https://klasma.github.io/Logging_0980/kartor/A 6739-2025 karta.png", "A 6739-2025")</f>
        <v/>
      </c>
      <c r="V187">
        <f>HYPERLINK("https://klasma.github.io/Logging_0980/klagomål/A 6739-2025 FSC-klagomål.docx", "A 6739-2025")</f>
        <v/>
      </c>
      <c r="W187">
        <f>HYPERLINK("https://klasma.github.io/Logging_0980/klagomålsmail/A 6739-2025 FSC-klagomål mail.docx", "A 6739-2025")</f>
        <v/>
      </c>
      <c r="X187">
        <f>HYPERLINK("https://klasma.github.io/Logging_0980/tillsyn/A 6739-2025 tillsynsbegäran.docx", "A 6739-2025")</f>
        <v/>
      </c>
      <c r="Y187">
        <f>HYPERLINK("https://klasma.github.io/Logging_0980/tillsynsmail/A 6739-2025 tillsynsbegäran mail.docx", "A 6739-2025")</f>
        <v/>
      </c>
      <c r="Z187">
        <f>HYPERLINK("https://klasma.github.io/Logging_0980/fåglar/A 6739-2025 prioriterade fågelarter.docx", "A 6739-2025")</f>
        <v/>
      </c>
    </row>
    <row r="188" ht="15" customHeight="1">
      <c r="A188" t="inlineStr">
        <is>
          <t>A 9862-2024</t>
        </is>
      </c>
      <c r="B188" s="1" t="n">
        <v>45363</v>
      </c>
      <c r="C188" s="1" t="n">
        <v>46166</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34141-2024</t>
        </is>
      </c>
      <c r="B189" s="1" t="n">
        <v>45524.36229166666</v>
      </c>
      <c r="C189" s="1" t="n">
        <v>46166</v>
      </c>
      <c r="D189" t="inlineStr">
        <is>
          <t>GOTLANDS LÄN</t>
        </is>
      </c>
      <c r="E189" t="inlineStr">
        <is>
          <t>GOTLAND</t>
        </is>
      </c>
      <c r="G189" t="n">
        <v>0.9</v>
      </c>
      <c r="H189" t="n">
        <v>0</v>
      </c>
      <c r="I189" t="n">
        <v>1</v>
      </c>
      <c r="J189" t="n">
        <v>0</v>
      </c>
      <c r="K189" t="n">
        <v>0</v>
      </c>
      <c r="L189" t="n">
        <v>0</v>
      </c>
      <c r="M189" t="n">
        <v>0</v>
      </c>
      <c r="N189" t="n">
        <v>0</v>
      </c>
      <c r="O189" t="n">
        <v>0</v>
      </c>
      <c r="P189" t="n">
        <v>0</v>
      </c>
      <c r="Q189" t="n">
        <v>1</v>
      </c>
      <c r="R189" s="2" t="inlineStr">
        <is>
          <t>Strävlosta</t>
        </is>
      </c>
      <c r="S189">
        <f>HYPERLINK("https://klasma.github.io/Logging_0980/artfynd/A 34141-2024 artfynd.xlsx", "A 34141-2024")</f>
        <v/>
      </c>
      <c r="T189">
        <f>HYPERLINK("https://klasma.github.io/Logging_0980/kartor/A 34141-2024 karta.png", "A 34141-2024")</f>
        <v/>
      </c>
      <c r="V189">
        <f>HYPERLINK("https://klasma.github.io/Logging_0980/klagomål/A 34141-2024 FSC-klagomål.docx", "A 34141-2024")</f>
        <v/>
      </c>
      <c r="W189">
        <f>HYPERLINK("https://klasma.github.io/Logging_0980/klagomålsmail/A 34141-2024 FSC-klagomål mail.docx", "A 34141-2024")</f>
        <v/>
      </c>
      <c r="X189">
        <f>HYPERLINK("https://klasma.github.io/Logging_0980/tillsyn/A 34141-2024 tillsynsbegäran.docx", "A 34141-2024")</f>
        <v/>
      </c>
      <c r="Y189">
        <f>HYPERLINK("https://klasma.github.io/Logging_0980/tillsynsmail/A 34141-2024 tillsynsbegäran mail.docx", "A 34141-2024")</f>
        <v/>
      </c>
    </row>
    <row r="190" ht="15" customHeight="1">
      <c r="A190" t="inlineStr">
        <is>
          <t>A 36313-2021</t>
        </is>
      </c>
      <c r="B190" s="1" t="n">
        <v>44390</v>
      </c>
      <c r="C190" s="1" t="n">
        <v>46166</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46166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46166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44108-2022</t>
        </is>
      </c>
      <c r="B193" s="1" t="n">
        <v>44839.38159722222</v>
      </c>
      <c r="C193" s="1" t="n">
        <v>46166</v>
      </c>
      <c r="D193" t="inlineStr">
        <is>
          <t>GOTLANDS LÄN</t>
        </is>
      </c>
      <c r="E193" t="inlineStr">
        <is>
          <t>GOTLAND</t>
        </is>
      </c>
      <c r="G193" t="n">
        <v>12.9</v>
      </c>
      <c r="H193" t="n">
        <v>0</v>
      </c>
      <c r="I193" t="n">
        <v>0</v>
      </c>
      <c r="J193" t="n">
        <v>0</v>
      </c>
      <c r="K193" t="n">
        <v>0</v>
      </c>
      <c r="L193" t="n">
        <v>0</v>
      </c>
      <c r="M193" t="n">
        <v>0</v>
      </c>
      <c r="N193" t="n">
        <v>0</v>
      </c>
      <c r="O193" t="n">
        <v>0</v>
      </c>
      <c r="P193" t="n">
        <v>0</v>
      </c>
      <c r="Q193" t="n">
        <v>0</v>
      </c>
      <c r="R193" s="2" t="inlineStr"/>
    </row>
    <row r="194" ht="15" customHeight="1">
      <c r="A194" t="inlineStr">
        <is>
          <t>A 16858-2022</t>
        </is>
      </c>
      <c r="B194" s="1" t="n">
        <v>44674.62</v>
      </c>
      <c r="C194" s="1" t="n">
        <v>46166</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46166</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46166</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32647-2021</t>
        </is>
      </c>
      <c r="B197" s="1" t="n">
        <v>44375</v>
      </c>
      <c r="C197" s="1" t="n">
        <v>46166</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46166</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46166</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46166</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46166</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46166</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46166</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46166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46166</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46166</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46166</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46166</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46166</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46166</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46166</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46166</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46166</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46166</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46166</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46166</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46166</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46166</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46166</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46166</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46166</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17901-2023</t>
        </is>
      </c>
      <c r="B222" s="1" t="n">
        <v>45039</v>
      </c>
      <c r="C222" s="1" t="n">
        <v>46166</v>
      </c>
      <c r="D222" t="inlineStr">
        <is>
          <t>GOTLANDS LÄN</t>
        </is>
      </c>
      <c r="E222" t="inlineStr">
        <is>
          <t>GOTLAND</t>
        </is>
      </c>
      <c r="F222" t="inlineStr">
        <is>
          <t>Kyrkan</t>
        </is>
      </c>
      <c r="G222" t="n">
        <v>0.6</v>
      </c>
      <c r="H222" t="n">
        <v>0</v>
      </c>
      <c r="I222" t="n">
        <v>0</v>
      </c>
      <c r="J222" t="n">
        <v>0</v>
      </c>
      <c r="K222" t="n">
        <v>0</v>
      </c>
      <c r="L222" t="n">
        <v>0</v>
      </c>
      <c r="M222" t="n">
        <v>0</v>
      </c>
      <c r="N222" t="n">
        <v>0</v>
      </c>
      <c r="O222" t="n">
        <v>0</v>
      </c>
      <c r="P222" t="n">
        <v>0</v>
      </c>
      <c r="Q222" t="n">
        <v>0</v>
      </c>
      <c r="R222" s="2" t="inlineStr"/>
    </row>
    <row r="223" ht="15" customHeight="1">
      <c r="A223" t="inlineStr">
        <is>
          <t>A 456-2023</t>
        </is>
      </c>
      <c r="B223" s="1" t="n">
        <v>44929.87122685185</v>
      </c>
      <c r="C223" s="1" t="n">
        <v>46166</v>
      </c>
      <c r="D223" t="inlineStr">
        <is>
          <t>GOTLANDS LÄN</t>
        </is>
      </c>
      <c r="E223" t="inlineStr">
        <is>
          <t>GOTLAND</t>
        </is>
      </c>
      <c r="G223" t="n">
        <v>3.2</v>
      </c>
      <c r="H223" t="n">
        <v>0</v>
      </c>
      <c r="I223" t="n">
        <v>0</v>
      </c>
      <c r="J223" t="n">
        <v>0</v>
      </c>
      <c r="K223" t="n">
        <v>0</v>
      </c>
      <c r="L223" t="n">
        <v>0</v>
      </c>
      <c r="M223" t="n">
        <v>0</v>
      </c>
      <c r="N223" t="n">
        <v>0</v>
      </c>
      <c r="O223" t="n">
        <v>0</v>
      </c>
      <c r="P223" t="n">
        <v>0</v>
      </c>
      <c r="Q223" t="n">
        <v>0</v>
      </c>
      <c r="R223" s="2" t="inlineStr"/>
    </row>
    <row r="224" ht="15" customHeight="1">
      <c r="A224" t="inlineStr">
        <is>
          <t>A 58476-2022</t>
        </is>
      </c>
      <c r="B224" s="1" t="n">
        <v>44902</v>
      </c>
      <c r="C224" s="1" t="n">
        <v>46166</v>
      </c>
      <c r="D224" t="inlineStr">
        <is>
          <t>GOTLANDS LÄN</t>
        </is>
      </c>
      <c r="E224" t="inlineStr">
        <is>
          <t>GOTLAND</t>
        </is>
      </c>
      <c r="G224" t="n">
        <v>0.9</v>
      </c>
      <c r="H224" t="n">
        <v>0</v>
      </c>
      <c r="I224" t="n">
        <v>0</v>
      </c>
      <c r="J224" t="n">
        <v>0</v>
      </c>
      <c r="K224" t="n">
        <v>0</v>
      </c>
      <c r="L224" t="n">
        <v>0</v>
      </c>
      <c r="M224" t="n">
        <v>0</v>
      </c>
      <c r="N224" t="n">
        <v>0</v>
      </c>
      <c r="O224" t="n">
        <v>0</v>
      </c>
      <c r="P224" t="n">
        <v>0</v>
      </c>
      <c r="Q224" t="n">
        <v>0</v>
      </c>
      <c r="R224" s="2" t="inlineStr"/>
    </row>
    <row r="225" ht="15" customHeight="1">
      <c r="A225" t="inlineStr">
        <is>
          <t>A 61596-2023</t>
        </is>
      </c>
      <c r="B225" s="1" t="n">
        <v>45265</v>
      </c>
      <c r="C225" s="1" t="n">
        <v>46166</v>
      </c>
      <c r="D225" t="inlineStr">
        <is>
          <t>GOTLANDS LÄN</t>
        </is>
      </c>
      <c r="E225" t="inlineStr">
        <is>
          <t>GOTLAND</t>
        </is>
      </c>
      <c r="G225" t="n">
        <v>1.7</v>
      </c>
      <c r="H225" t="n">
        <v>0</v>
      </c>
      <c r="I225" t="n">
        <v>0</v>
      </c>
      <c r="J225" t="n">
        <v>0</v>
      </c>
      <c r="K225" t="n">
        <v>0</v>
      </c>
      <c r="L225" t="n">
        <v>0</v>
      </c>
      <c r="M225" t="n">
        <v>0</v>
      </c>
      <c r="N225" t="n">
        <v>0</v>
      </c>
      <c r="O225" t="n">
        <v>0</v>
      </c>
      <c r="P225" t="n">
        <v>0</v>
      </c>
      <c r="Q225" t="n">
        <v>0</v>
      </c>
      <c r="R225" s="2" t="inlineStr"/>
    </row>
    <row r="226" ht="15" customHeight="1">
      <c r="A226" t="inlineStr">
        <is>
          <t>A 873-2024</t>
        </is>
      </c>
      <c r="B226" s="1" t="n">
        <v>45301</v>
      </c>
      <c r="C226" s="1" t="n">
        <v>46166</v>
      </c>
      <c r="D226" t="inlineStr">
        <is>
          <t>GOTLANDS LÄN</t>
        </is>
      </c>
      <c r="E226" t="inlineStr">
        <is>
          <t>GOTLAND</t>
        </is>
      </c>
      <c r="G226" t="n">
        <v>2.7</v>
      </c>
      <c r="H226" t="n">
        <v>0</v>
      </c>
      <c r="I226" t="n">
        <v>0</v>
      </c>
      <c r="J226" t="n">
        <v>0</v>
      </c>
      <c r="K226" t="n">
        <v>0</v>
      </c>
      <c r="L226" t="n">
        <v>0</v>
      </c>
      <c r="M226" t="n">
        <v>0</v>
      </c>
      <c r="N226" t="n">
        <v>0</v>
      </c>
      <c r="O226" t="n">
        <v>0</v>
      </c>
      <c r="P226" t="n">
        <v>0</v>
      </c>
      <c r="Q226" t="n">
        <v>0</v>
      </c>
      <c r="R226" s="2" t="inlineStr"/>
    </row>
    <row r="227" ht="15" customHeight="1">
      <c r="A227" t="inlineStr">
        <is>
          <t>A 63229-2021</t>
        </is>
      </c>
      <c r="B227" s="1" t="n">
        <v>44508.34518518519</v>
      </c>
      <c r="C227" s="1" t="n">
        <v>46166</v>
      </c>
      <c r="D227" t="inlineStr">
        <is>
          <t>GOTLANDS LÄN</t>
        </is>
      </c>
      <c r="E227" t="inlineStr">
        <is>
          <t>GOTLAND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44228-2022</t>
        </is>
      </c>
      <c r="B228" s="1" t="n">
        <v>44839.51599537037</v>
      </c>
      <c r="C228" s="1" t="n">
        <v>46166</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61386-2023</t>
        </is>
      </c>
      <c r="B229" s="1" t="n">
        <v>45264</v>
      </c>
      <c r="C229" s="1" t="n">
        <v>46166</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27593-2023</t>
        </is>
      </c>
      <c r="B230" s="1" t="n">
        <v>45097</v>
      </c>
      <c r="C230" s="1" t="n">
        <v>46166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25129-2023</t>
        </is>
      </c>
      <c r="B231" s="1" t="n">
        <v>45086.44261574074</v>
      </c>
      <c r="C231" s="1" t="n">
        <v>46166</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56009-2024</t>
        </is>
      </c>
      <c r="B232" s="1" t="n">
        <v>45623.80864583333</v>
      </c>
      <c r="C232" s="1" t="n">
        <v>46166</v>
      </c>
      <c r="D232" t="inlineStr">
        <is>
          <t>GOTLANDS LÄN</t>
        </is>
      </c>
      <c r="E232" t="inlineStr">
        <is>
          <t>GOTLAND</t>
        </is>
      </c>
      <c r="G232" t="n">
        <v>2.8</v>
      </c>
      <c r="H232" t="n">
        <v>0</v>
      </c>
      <c r="I232" t="n">
        <v>0</v>
      </c>
      <c r="J232" t="n">
        <v>0</v>
      </c>
      <c r="K232" t="n">
        <v>0</v>
      </c>
      <c r="L232" t="n">
        <v>0</v>
      </c>
      <c r="M232" t="n">
        <v>0</v>
      </c>
      <c r="N232" t="n">
        <v>0</v>
      </c>
      <c r="O232" t="n">
        <v>0</v>
      </c>
      <c r="P232" t="n">
        <v>0</v>
      </c>
      <c r="Q232" t="n">
        <v>0</v>
      </c>
      <c r="R232" s="2" t="inlineStr"/>
    </row>
    <row r="233" ht="15" customHeight="1">
      <c r="A233" t="inlineStr">
        <is>
          <t>A 54073-2022</t>
        </is>
      </c>
      <c r="B233" s="1" t="n">
        <v>44881.50380787037</v>
      </c>
      <c r="C233" s="1" t="n">
        <v>46166</v>
      </c>
      <c r="D233" t="inlineStr">
        <is>
          <t>GOTLANDS LÄN</t>
        </is>
      </c>
      <c r="E233" t="inlineStr">
        <is>
          <t>GOTLAND</t>
        </is>
      </c>
      <c r="G233" t="n">
        <v>3.8</v>
      </c>
      <c r="H233" t="n">
        <v>0</v>
      </c>
      <c r="I233" t="n">
        <v>0</v>
      </c>
      <c r="J233" t="n">
        <v>0</v>
      </c>
      <c r="K233" t="n">
        <v>0</v>
      </c>
      <c r="L233" t="n">
        <v>0</v>
      </c>
      <c r="M233" t="n">
        <v>0</v>
      </c>
      <c r="N233" t="n">
        <v>0</v>
      </c>
      <c r="O233" t="n">
        <v>0</v>
      </c>
      <c r="P233" t="n">
        <v>0</v>
      </c>
      <c r="Q233" t="n">
        <v>0</v>
      </c>
      <c r="R233" s="2" t="inlineStr"/>
    </row>
    <row r="234" ht="15" customHeight="1">
      <c r="A234" t="inlineStr">
        <is>
          <t>A 3964-2024</t>
        </is>
      </c>
      <c r="B234" s="1" t="n">
        <v>45322</v>
      </c>
      <c r="C234" s="1" t="n">
        <v>46166</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45106-2024</t>
        </is>
      </c>
      <c r="B235" s="1" t="n">
        <v>45575</v>
      </c>
      <c r="C235" s="1" t="n">
        <v>46166</v>
      </c>
      <c r="D235" t="inlineStr">
        <is>
          <t>GOTLANDS LÄN</t>
        </is>
      </c>
      <c r="E235" t="inlineStr">
        <is>
          <t>GOTLAND</t>
        </is>
      </c>
      <c r="G235" t="n">
        <v>10</v>
      </c>
      <c r="H235" t="n">
        <v>0</v>
      </c>
      <c r="I235" t="n">
        <v>0</v>
      </c>
      <c r="J235" t="n">
        <v>0</v>
      </c>
      <c r="K235" t="n">
        <v>0</v>
      </c>
      <c r="L235" t="n">
        <v>0</v>
      </c>
      <c r="M235" t="n">
        <v>0</v>
      </c>
      <c r="N235" t="n">
        <v>0</v>
      </c>
      <c r="O235" t="n">
        <v>0</v>
      </c>
      <c r="P235" t="n">
        <v>0</v>
      </c>
      <c r="Q235" t="n">
        <v>0</v>
      </c>
      <c r="R235" s="2" t="inlineStr"/>
    </row>
    <row r="236" ht="15" customHeight="1">
      <c r="A236" t="inlineStr">
        <is>
          <t>A 45112-2024</t>
        </is>
      </c>
      <c r="B236" s="1" t="n">
        <v>45575</v>
      </c>
      <c r="C236" s="1" t="n">
        <v>46166</v>
      </c>
      <c r="D236" t="inlineStr">
        <is>
          <t>GOTLANDS LÄN</t>
        </is>
      </c>
      <c r="E236" t="inlineStr">
        <is>
          <t>GOTLAND</t>
        </is>
      </c>
      <c r="G236" t="n">
        <v>5.1</v>
      </c>
      <c r="H236" t="n">
        <v>0</v>
      </c>
      <c r="I236" t="n">
        <v>0</v>
      </c>
      <c r="J236" t="n">
        <v>0</v>
      </c>
      <c r="K236" t="n">
        <v>0</v>
      </c>
      <c r="L236" t="n">
        <v>0</v>
      </c>
      <c r="M236" t="n">
        <v>0</v>
      </c>
      <c r="N236" t="n">
        <v>0</v>
      </c>
      <c r="O236" t="n">
        <v>0</v>
      </c>
      <c r="P236" t="n">
        <v>0</v>
      </c>
      <c r="Q236" t="n">
        <v>0</v>
      </c>
      <c r="R236" s="2" t="inlineStr"/>
    </row>
    <row r="237" ht="15" customHeight="1">
      <c r="A237" t="inlineStr">
        <is>
          <t>A 7026-2023</t>
        </is>
      </c>
      <c r="B237" s="1" t="n">
        <v>44968.30340277778</v>
      </c>
      <c r="C237" s="1" t="n">
        <v>46166</v>
      </c>
      <c r="D237" t="inlineStr">
        <is>
          <t>GOTLANDS LÄN</t>
        </is>
      </c>
      <c r="E237" t="inlineStr">
        <is>
          <t>GOTLAND</t>
        </is>
      </c>
      <c r="G237" t="n">
        <v>2.9</v>
      </c>
      <c r="H237" t="n">
        <v>0</v>
      </c>
      <c r="I237" t="n">
        <v>0</v>
      </c>
      <c r="J237" t="n">
        <v>0</v>
      </c>
      <c r="K237" t="n">
        <v>0</v>
      </c>
      <c r="L237" t="n">
        <v>0</v>
      </c>
      <c r="M237" t="n">
        <v>0</v>
      </c>
      <c r="N237" t="n">
        <v>0</v>
      </c>
      <c r="O237" t="n">
        <v>0</v>
      </c>
      <c r="P237" t="n">
        <v>0</v>
      </c>
      <c r="Q237" t="n">
        <v>0</v>
      </c>
      <c r="R237" s="2" t="inlineStr"/>
    </row>
    <row r="238" ht="15" customHeight="1">
      <c r="A238" t="inlineStr">
        <is>
          <t>A 52892-2021</t>
        </is>
      </c>
      <c r="B238" s="1" t="n">
        <v>44467.49048611111</v>
      </c>
      <c r="C238" s="1" t="n">
        <v>46166</v>
      </c>
      <c r="D238" t="inlineStr">
        <is>
          <t>GOTLANDS LÄN</t>
        </is>
      </c>
      <c r="E238" t="inlineStr">
        <is>
          <t>GOTLAND</t>
        </is>
      </c>
      <c r="G238" t="n">
        <v>2</v>
      </c>
      <c r="H238" t="n">
        <v>0</v>
      </c>
      <c r="I238" t="n">
        <v>0</v>
      </c>
      <c r="J238" t="n">
        <v>0</v>
      </c>
      <c r="K238" t="n">
        <v>0</v>
      </c>
      <c r="L238" t="n">
        <v>0</v>
      </c>
      <c r="M238" t="n">
        <v>0</v>
      </c>
      <c r="N238" t="n">
        <v>0</v>
      </c>
      <c r="O238" t="n">
        <v>0</v>
      </c>
      <c r="P238" t="n">
        <v>0</v>
      </c>
      <c r="Q238" t="n">
        <v>0</v>
      </c>
      <c r="R238" s="2" t="inlineStr"/>
    </row>
    <row r="239" ht="15" customHeight="1">
      <c r="A239" t="inlineStr">
        <is>
          <t>A 1351-2025</t>
        </is>
      </c>
      <c r="B239" s="1" t="n">
        <v>45667.62246527777</v>
      </c>
      <c r="C239" s="1" t="n">
        <v>46166</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49874-2024</t>
        </is>
      </c>
      <c r="B240" s="1" t="n">
        <v>45597.49274305555</v>
      </c>
      <c r="C240" s="1" t="n">
        <v>46166</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51782-2023</t>
        </is>
      </c>
      <c r="B241" s="1" t="n">
        <v>45222.80952546297</v>
      </c>
      <c r="C241" s="1" t="n">
        <v>46166</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60675-2021</t>
        </is>
      </c>
      <c r="B242" s="1" t="n">
        <v>44496.64855324074</v>
      </c>
      <c r="C242" s="1" t="n">
        <v>46166</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5217-2023</t>
        </is>
      </c>
      <c r="B243" s="1" t="n">
        <v>44959.39582175926</v>
      </c>
      <c r="C243" s="1" t="n">
        <v>46166</v>
      </c>
      <c r="D243" t="inlineStr">
        <is>
          <t>GOTLANDS LÄN</t>
        </is>
      </c>
      <c r="E243" t="inlineStr">
        <is>
          <t>GOTLAND</t>
        </is>
      </c>
      <c r="G243" t="n">
        <v>1.9</v>
      </c>
      <c r="H243" t="n">
        <v>0</v>
      </c>
      <c r="I243" t="n">
        <v>0</v>
      </c>
      <c r="J243" t="n">
        <v>0</v>
      </c>
      <c r="K243" t="n">
        <v>0</v>
      </c>
      <c r="L243" t="n">
        <v>0</v>
      </c>
      <c r="M243" t="n">
        <v>0</v>
      </c>
      <c r="N243" t="n">
        <v>0</v>
      </c>
      <c r="O243" t="n">
        <v>0</v>
      </c>
      <c r="P243" t="n">
        <v>0</v>
      </c>
      <c r="Q243" t="n">
        <v>0</v>
      </c>
      <c r="R243" s="2" t="inlineStr"/>
    </row>
    <row r="244" ht="15" customHeight="1">
      <c r="A244" t="inlineStr">
        <is>
          <t>A 31264-2021</t>
        </is>
      </c>
      <c r="B244" s="1" t="n">
        <v>44368</v>
      </c>
      <c r="C244" s="1" t="n">
        <v>46166</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46166</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14638-2025</t>
        </is>
      </c>
      <c r="B246" s="1" t="n">
        <v>45742</v>
      </c>
      <c r="C246" s="1" t="n">
        <v>46166</v>
      </c>
      <c r="D246" t="inlineStr">
        <is>
          <t>GOTLANDS LÄN</t>
        </is>
      </c>
      <c r="E246" t="inlineStr">
        <is>
          <t>GOTLAND</t>
        </is>
      </c>
      <c r="G246" t="n">
        <v>13.4</v>
      </c>
      <c r="H246" t="n">
        <v>0</v>
      </c>
      <c r="I246" t="n">
        <v>0</v>
      </c>
      <c r="J246" t="n">
        <v>0</v>
      </c>
      <c r="K246" t="n">
        <v>0</v>
      </c>
      <c r="L246" t="n">
        <v>0</v>
      </c>
      <c r="M246" t="n">
        <v>0</v>
      </c>
      <c r="N246" t="n">
        <v>0</v>
      </c>
      <c r="O246" t="n">
        <v>0</v>
      </c>
      <c r="P246" t="n">
        <v>0</v>
      </c>
      <c r="Q246" t="n">
        <v>0</v>
      </c>
      <c r="R246" s="2" t="inlineStr"/>
    </row>
    <row r="247" ht="15" customHeight="1">
      <c r="A247" t="inlineStr">
        <is>
          <t>A 33876-2024</t>
        </is>
      </c>
      <c r="B247" s="1" t="n">
        <v>45521.87988425926</v>
      </c>
      <c r="C247" s="1" t="n">
        <v>46166</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61962-2024</t>
        </is>
      </c>
      <c r="B248" s="1" t="n">
        <v>45653.54340277778</v>
      </c>
      <c r="C248" s="1" t="n">
        <v>46166</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43223-2023</t>
        </is>
      </c>
      <c r="B249" s="1" t="n">
        <v>45183.45642361111</v>
      </c>
      <c r="C249" s="1" t="n">
        <v>46166</v>
      </c>
      <c r="D249" t="inlineStr">
        <is>
          <t>GOTLANDS LÄN</t>
        </is>
      </c>
      <c r="E249" t="inlineStr">
        <is>
          <t>GOTLAND</t>
        </is>
      </c>
      <c r="G249" t="n">
        <v>1.8</v>
      </c>
      <c r="H249" t="n">
        <v>0</v>
      </c>
      <c r="I249" t="n">
        <v>0</v>
      </c>
      <c r="J249" t="n">
        <v>0</v>
      </c>
      <c r="K249" t="n">
        <v>0</v>
      </c>
      <c r="L249" t="n">
        <v>0</v>
      </c>
      <c r="M249" t="n">
        <v>0</v>
      </c>
      <c r="N249" t="n">
        <v>0</v>
      </c>
      <c r="O249" t="n">
        <v>0</v>
      </c>
      <c r="P249" t="n">
        <v>0</v>
      </c>
      <c r="Q249" t="n">
        <v>0</v>
      </c>
      <c r="R249" s="2" t="inlineStr"/>
    </row>
    <row r="250" ht="15" customHeight="1">
      <c r="A250" t="inlineStr">
        <is>
          <t>A 27930-2021</t>
        </is>
      </c>
      <c r="B250" s="1" t="n">
        <v>44354</v>
      </c>
      <c r="C250" s="1" t="n">
        <v>46166</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59469-2024</t>
        </is>
      </c>
      <c r="B251" s="1" t="n">
        <v>45638</v>
      </c>
      <c r="C251" s="1" t="n">
        <v>46166</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46166</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5751-2024</t>
        </is>
      </c>
      <c r="B253" s="1" t="n">
        <v>45335.32702546296</v>
      </c>
      <c r="C253" s="1" t="n">
        <v>46166</v>
      </c>
      <c r="D253" t="inlineStr">
        <is>
          <t>GOTLANDS LÄN</t>
        </is>
      </c>
      <c r="E253" t="inlineStr">
        <is>
          <t>GOTLAND</t>
        </is>
      </c>
      <c r="G253" t="n">
        <v>4.2</v>
      </c>
      <c r="H253" t="n">
        <v>0</v>
      </c>
      <c r="I253" t="n">
        <v>0</v>
      </c>
      <c r="J253" t="n">
        <v>0</v>
      </c>
      <c r="K253" t="n">
        <v>0</v>
      </c>
      <c r="L253" t="n">
        <v>0</v>
      </c>
      <c r="M253" t="n">
        <v>0</v>
      </c>
      <c r="N253" t="n">
        <v>0</v>
      </c>
      <c r="O253" t="n">
        <v>0</v>
      </c>
      <c r="P253" t="n">
        <v>0</v>
      </c>
      <c r="Q253" t="n">
        <v>0</v>
      </c>
      <c r="R253" s="2" t="inlineStr"/>
    </row>
    <row r="254" ht="15" customHeight="1">
      <c r="A254" t="inlineStr">
        <is>
          <t>A 6696-2023</t>
        </is>
      </c>
      <c r="B254" s="1" t="n">
        <v>44966.66425925926</v>
      </c>
      <c r="C254" s="1" t="n">
        <v>46166</v>
      </c>
      <c r="D254" t="inlineStr">
        <is>
          <t>GOTLANDS LÄN</t>
        </is>
      </c>
      <c r="E254" t="inlineStr">
        <is>
          <t>GOTLAND</t>
        </is>
      </c>
      <c r="G254" t="n">
        <v>1.5</v>
      </c>
      <c r="H254" t="n">
        <v>0</v>
      </c>
      <c r="I254" t="n">
        <v>0</v>
      </c>
      <c r="J254" t="n">
        <v>0</v>
      </c>
      <c r="K254" t="n">
        <v>0</v>
      </c>
      <c r="L254" t="n">
        <v>0</v>
      </c>
      <c r="M254" t="n">
        <v>0</v>
      </c>
      <c r="N254" t="n">
        <v>0</v>
      </c>
      <c r="O254" t="n">
        <v>0</v>
      </c>
      <c r="P254" t="n">
        <v>0</v>
      </c>
      <c r="Q254" t="n">
        <v>0</v>
      </c>
      <c r="R254" s="2" t="inlineStr"/>
    </row>
    <row r="255" ht="15" customHeight="1">
      <c r="A255" t="inlineStr">
        <is>
          <t>A 28480-2023</t>
        </is>
      </c>
      <c r="B255" s="1" t="n">
        <v>45103</v>
      </c>
      <c r="C255" s="1" t="n">
        <v>46166</v>
      </c>
      <c r="D255" t="inlineStr">
        <is>
          <t>GOTLANDS LÄN</t>
        </is>
      </c>
      <c r="E255" t="inlineStr">
        <is>
          <t>GOTLAND</t>
        </is>
      </c>
      <c r="G255" t="n">
        <v>5.7</v>
      </c>
      <c r="H255" t="n">
        <v>0</v>
      </c>
      <c r="I255" t="n">
        <v>0</v>
      </c>
      <c r="J255" t="n">
        <v>0</v>
      </c>
      <c r="K255" t="n">
        <v>0</v>
      </c>
      <c r="L255" t="n">
        <v>0</v>
      </c>
      <c r="M255" t="n">
        <v>0</v>
      </c>
      <c r="N255" t="n">
        <v>0</v>
      </c>
      <c r="O255" t="n">
        <v>0</v>
      </c>
      <c r="P255" t="n">
        <v>0</v>
      </c>
      <c r="Q255" t="n">
        <v>0</v>
      </c>
      <c r="R255" s="2" t="inlineStr"/>
    </row>
    <row r="256" ht="15" customHeight="1">
      <c r="A256" t="inlineStr">
        <is>
          <t>A 28485-2023</t>
        </is>
      </c>
      <c r="B256" s="1" t="n">
        <v>45103.43731481482</v>
      </c>
      <c r="C256" s="1" t="n">
        <v>46166</v>
      </c>
      <c r="D256" t="inlineStr">
        <is>
          <t>GOTLANDS LÄN</t>
        </is>
      </c>
      <c r="E256" t="inlineStr">
        <is>
          <t>GOTLAND</t>
        </is>
      </c>
      <c r="G256" t="n">
        <v>2.3</v>
      </c>
      <c r="H256" t="n">
        <v>0</v>
      </c>
      <c r="I256" t="n">
        <v>0</v>
      </c>
      <c r="J256" t="n">
        <v>0</v>
      </c>
      <c r="K256" t="n">
        <v>0</v>
      </c>
      <c r="L256" t="n">
        <v>0</v>
      </c>
      <c r="M256" t="n">
        <v>0</v>
      </c>
      <c r="N256" t="n">
        <v>0</v>
      </c>
      <c r="O256" t="n">
        <v>0</v>
      </c>
      <c r="P256" t="n">
        <v>0</v>
      </c>
      <c r="Q256" t="n">
        <v>0</v>
      </c>
      <c r="R256" s="2" t="inlineStr"/>
    </row>
    <row r="257" ht="15" customHeight="1">
      <c r="A257" t="inlineStr">
        <is>
          <t>A 38165-2023</t>
        </is>
      </c>
      <c r="B257" s="1" t="n">
        <v>45161</v>
      </c>
      <c r="C257" s="1" t="n">
        <v>46166</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46166</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49693-2023</t>
        </is>
      </c>
      <c r="B259" s="1" t="n">
        <v>45212.38138888889</v>
      </c>
      <c r="C259" s="1" t="n">
        <v>46166</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49697-2023</t>
        </is>
      </c>
      <c r="B260" s="1" t="n">
        <v>45212.38909722222</v>
      </c>
      <c r="C260" s="1" t="n">
        <v>46166</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48503-2023</t>
        </is>
      </c>
      <c r="B261" s="1" t="n">
        <v>45207</v>
      </c>
      <c r="C261" s="1" t="n">
        <v>46166</v>
      </c>
      <c r="D261" t="inlineStr">
        <is>
          <t>GOTLANDS LÄN</t>
        </is>
      </c>
      <c r="E261" t="inlineStr">
        <is>
          <t>GOTLAND</t>
        </is>
      </c>
      <c r="G261" t="n">
        <v>1.6</v>
      </c>
      <c r="H261" t="n">
        <v>0</v>
      </c>
      <c r="I261" t="n">
        <v>0</v>
      </c>
      <c r="J261" t="n">
        <v>0</v>
      </c>
      <c r="K261" t="n">
        <v>0</v>
      </c>
      <c r="L261" t="n">
        <v>0</v>
      </c>
      <c r="M261" t="n">
        <v>0</v>
      </c>
      <c r="N261" t="n">
        <v>0</v>
      </c>
      <c r="O261" t="n">
        <v>0</v>
      </c>
      <c r="P261" t="n">
        <v>0</v>
      </c>
      <c r="Q261" t="n">
        <v>0</v>
      </c>
      <c r="R261" s="2" t="inlineStr"/>
    </row>
    <row r="262" ht="15" customHeight="1">
      <c r="A262" t="inlineStr">
        <is>
          <t>A 34312-2024</t>
        </is>
      </c>
      <c r="B262" s="1" t="n">
        <v>45524.69703703704</v>
      </c>
      <c r="C262" s="1" t="n">
        <v>46166</v>
      </c>
      <c r="D262" t="inlineStr">
        <is>
          <t>GOTLANDS LÄN</t>
        </is>
      </c>
      <c r="E262" t="inlineStr">
        <is>
          <t>GOTLAND</t>
        </is>
      </c>
      <c r="G262" t="n">
        <v>2</v>
      </c>
      <c r="H262" t="n">
        <v>0</v>
      </c>
      <c r="I262" t="n">
        <v>0</v>
      </c>
      <c r="J262" t="n">
        <v>0</v>
      </c>
      <c r="K262" t="n">
        <v>0</v>
      </c>
      <c r="L262" t="n">
        <v>0</v>
      </c>
      <c r="M262" t="n">
        <v>0</v>
      </c>
      <c r="N262" t="n">
        <v>0</v>
      </c>
      <c r="O262" t="n">
        <v>0</v>
      </c>
      <c r="P262" t="n">
        <v>0</v>
      </c>
      <c r="Q262" t="n">
        <v>0</v>
      </c>
      <c r="R262" s="2" t="inlineStr"/>
    </row>
    <row r="263" ht="15" customHeight="1">
      <c r="A263" t="inlineStr">
        <is>
          <t>A 24825-2024</t>
        </is>
      </c>
      <c r="B263" s="1" t="n">
        <v>45461</v>
      </c>
      <c r="C263" s="1" t="n">
        <v>46166</v>
      </c>
      <c r="D263" t="inlineStr">
        <is>
          <t>GOTLANDS LÄN</t>
        </is>
      </c>
      <c r="E263" t="inlineStr">
        <is>
          <t>GOTLAND</t>
        </is>
      </c>
      <c r="G263" t="n">
        <v>1.3</v>
      </c>
      <c r="H263" t="n">
        <v>0</v>
      </c>
      <c r="I263" t="n">
        <v>0</v>
      </c>
      <c r="J263" t="n">
        <v>0</v>
      </c>
      <c r="K263" t="n">
        <v>0</v>
      </c>
      <c r="L263" t="n">
        <v>0</v>
      </c>
      <c r="M263" t="n">
        <v>0</v>
      </c>
      <c r="N263" t="n">
        <v>0</v>
      </c>
      <c r="O263" t="n">
        <v>0</v>
      </c>
      <c r="P263" t="n">
        <v>0</v>
      </c>
      <c r="Q263" t="n">
        <v>0</v>
      </c>
      <c r="R263" s="2" t="inlineStr"/>
    </row>
    <row r="264" ht="15" customHeight="1">
      <c r="A264" t="inlineStr">
        <is>
          <t>A 8260-2023</t>
        </is>
      </c>
      <c r="B264" s="1" t="n">
        <v>44974.61608796296</v>
      </c>
      <c r="C264" s="1" t="n">
        <v>46166</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27694-2024</t>
        </is>
      </c>
      <c r="B265" s="1" t="n">
        <v>45475</v>
      </c>
      <c r="C265" s="1" t="n">
        <v>46166</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39764-2022</t>
        </is>
      </c>
      <c r="B266" s="1" t="n">
        <v>44819</v>
      </c>
      <c r="C266" s="1" t="n">
        <v>46166</v>
      </c>
      <c r="D266" t="inlineStr">
        <is>
          <t>GOTLANDS LÄN</t>
        </is>
      </c>
      <c r="E266" t="inlineStr">
        <is>
          <t>GOTLAND</t>
        </is>
      </c>
      <c r="F266" t="inlineStr">
        <is>
          <t>Kyrkan</t>
        </is>
      </c>
      <c r="G266" t="n">
        <v>3.7</v>
      </c>
      <c r="H266" t="n">
        <v>0</v>
      </c>
      <c r="I266" t="n">
        <v>0</v>
      </c>
      <c r="J266" t="n">
        <v>0</v>
      </c>
      <c r="K266" t="n">
        <v>0</v>
      </c>
      <c r="L266" t="n">
        <v>0</v>
      </c>
      <c r="M266" t="n">
        <v>0</v>
      </c>
      <c r="N266" t="n">
        <v>0</v>
      </c>
      <c r="O266" t="n">
        <v>0</v>
      </c>
      <c r="P266" t="n">
        <v>0</v>
      </c>
      <c r="Q266" t="n">
        <v>0</v>
      </c>
      <c r="R266" s="2" t="inlineStr"/>
    </row>
    <row r="267" ht="15" customHeight="1">
      <c r="A267" t="inlineStr">
        <is>
          <t>A 22287-2022</t>
        </is>
      </c>
      <c r="B267" s="1" t="n">
        <v>44712</v>
      </c>
      <c r="C267" s="1" t="n">
        <v>46166</v>
      </c>
      <c r="D267" t="inlineStr">
        <is>
          <t>GOTLANDS LÄN</t>
        </is>
      </c>
      <c r="E267" t="inlineStr">
        <is>
          <t>GOTLAND</t>
        </is>
      </c>
      <c r="G267" t="n">
        <v>6.1</v>
      </c>
      <c r="H267" t="n">
        <v>0</v>
      </c>
      <c r="I267" t="n">
        <v>0</v>
      </c>
      <c r="J267" t="n">
        <v>0</v>
      </c>
      <c r="K267" t="n">
        <v>0</v>
      </c>
      <c r="L267" t="n">
        <v>0</v>
      </c>
      <c r="M267" t="n">
        <v>0</v>
      </c>
      <c r="N267" t="n">
        <v>0</v>
      </c>
      <c r="O267" t="n">
        <v>0</v>
      </c>
      <c r="P267" t="n">
        <v>0</v>
      </c>
      <c r="Q267" t="n">
        <v>0</v>
      </c>
      <c r="R267" s="2" t="inlineStr"/>
    </row>
    <row r="268" ht="15" customHeight="1">
      <c r="A268" t="inlineStr">
        <is>
          <t>A 22031-2024</t>
        </is>
      </c>
      <c r="B268" s="1" t="n">
        <v>45443.60075231481</v>
      </c>
      <c r="C268" s="1" t="n">
        <v>46166</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46166</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6099-2024</t>
        </is>
      </c>
      <c r="B270" s="1" t="n">
        <v>45337</v>
      </c>
      <c r="C270" s="1" t="n">
        <v>46166</v>
      </c>
      <c r="D270" t="inlineStr">
        <is>
          <t>GOTLANDS LÄN</t>
        </is>
      </c>
      <c r="E270" t="inlineStr">
        <is>
          <t>GOTLAND</t>
        </is>
      </c>
      <c r="G270" t="n">
        <v>12.6</v>
      </c>
      <c r="H270" t="n">
        <v>0</v>
      </c>
      <c r="I270" t="n">
        <v>0</v>
      </c>
      <c r="J270" t="n">
        <v>0</v>
      </c>
      <c r="K270" t="n">
        <v>0</v>
      </c>
      <c r="L270" t="n">
        <v>0</v>
      </c>
      <c r="M270" t="n">
        <v>0</v>
      </c>
      <c r="N270" t="n">
        <v>0</v>
      </c>
      <c r="O270" t="n">
        <v>0</v>
      </c>
      <c r="P270" t="n">
        <v>0</v>
      </c>
      <c r="Q270" t="n">
        <v>0</v>
      </c>
      <c r="R270" s="2" t="inlineStr"/>
    </row>
    <row r="271" ht="15" customHeight="1">
      <c r="A271" t="inlineStr">
        <is>
          <t>A 57534-2022</t>
        </is>
      </c>
      <c r="B271" s="1" t="n">
        <v>44896</v>
      </c>
      <c r="C271" s="1" t="n">
        <v>46166</v>
      </c>
      <c r="D271" t="inlineStr">
        <is>
          <t>GOTLANDS LÄN</t>
        </is>
      </c>
      <c r="E271" t="inlineStr">
        <is>
          <t>GOTLAND</t>
        </is>
      </c>
      <c r="G271" t="n">
        <v>0.6</v>
      </c>
      <c r="H271" t="n">
        <v>0</v>
      </c>
      <c r="I271" t="n">
        <v>0</v>
      </c>
      <c r="J271" t="n">
        <v>0</v>
      </c>
      <c r="K271" t="n">
        <v>0</v>
      </c>
      <c r="L271" t="n">
        <v>0</v>
      </c>
      <c r="M271" t="n">
        <v>0</v>
      </c>
      <c r="N271" t="n">
        <v>0</v>
      </c>
      <c r="O271" t="n">
        <v>0</v>
      </c>
      <c r="P271" t="n">
        <v>0</v>
      </c>
      <c r="Q271" t="n">
        <v>0</v>
      </c>
      <c r="R271" s="2" t="inlineStr"/>
    </row>
    <row r="272" ht="15" customHeight="1">
      <c r="A272" t="inlineStr">
        <is>
          <t>A 64660-2023</t>
        </is>
      </c>
      <c r="B272" s="1" t="n">
        <v>45281.60122685185</v>
      </c>
      <c r="C272" s="1" t="n">
        <v>46166</v>
      </c>
      <c r="D272" t="inlineStr">
        <is>
          <t>GOTLANDS LÄN</t>
        </is>
      </c>
      <c r="E272" t="inlineStr">
        <is>
          <t>GOTLAND</t>
        </is>
      </c>
      <c r="G272" t="n">
        <v>6.3</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46166</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20855-2023</t>
        </is>
      </c>
      <c r="B274" s="1" t="n">
        <v>45058.82172453704</v>
      </c>
      <c r="C274" s="1" t="n">
        <v>46166</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15413-2025</t>
        </is>
      </c>
      <c r="B275" s="1" t="n">
        <v>45747.451875</v>
      </c>
      <c r="C275" s="1" t="n">
        <v>46166</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1854-2026</t>
        </is>
      </c>
      <c r="B276" s="1" t="n">
        <v>46035.4171875</v>
      </c>
      <c r="C276" s="1" t="n">
        <v>46166</v>
      </c>
      <c r="D276" t="inlineStr">
        <is>
          <t>GOTLANDS LÄN</t>
        </is>
      </c>
      <c r="E276" t="inlineStr">
        <is>
          <t>GOTLAND</t>
        </is>
      </c>
      <c r="G276" t="n">
        <v>3</v>
      </c>
      <c r="H276" t="n">
        <v>0</v>
      </c>
      <c r="I276" t="n">
        <v>0</v>
      </c>
      <c r="J276" t="n">
        <v>0</v>
      </c>
      <c r="K276" t="n">
        <v>0</v>
      </c>
      <c r="L276" t="n">
        <v>0</v>
      </c>
      <c r="M276" t="n">
        <v>0</v>
      </c>
      <c r="N276" t="n">
        <v>0</v>
      </c>
      <c r="O276" t="n">
        <v>0</v>
      </c>
      <c r="P276" t="n">
        <v>0</v>
      </c>
      <c r="Q276" t="n">
        <v>0</v>
      </c>
      <c r="R276" s="2" t="inlineStr"/>
    </row>
    <row r="277" ht="15" customHeight="1">
      <c r="A277" t="inlineStr">
        <is>
          <t>A 35096-2025</t>
        </is>
      </c>
      <c r="B277" s="1" t="n">
        <v>45852.54356481481</v>
      </c>
      <c r="C277" s="1" t="n">
        <v>46166</v>
      </c>
      <c r="D277" t="inlineStr">
        <is>
          <t>GOTLANDS LÄN</t>
        </is>
      </c>
      <c r="E277" t="inlineStr">
        <is>
          <t>GOTLAND</t>
        </is>
      </c>
      <c r="F277" t="inlineStr">
        <is>
          <t>Kyrkan</t>
        </is>
      </c>
      <c r="G277" t="n">
        <v>1</v>
      </c>
      <c r="H277" t="n">
        <v>0</v>
      </c>
      <c r="I277" t="n">
        <v>0</v>
      </c>
      <c r="J277" t="n">
        <v>0</v>
      </c>
      <c r="K277" t="n">
        <v>0</v>
      </c>
      <c r="L277" t="n">
        <v>0</v>
      </c>
      <c r="M277" t="n">
        <v>0</v>
      </c>
      <c r="N277" t="n">
        <v>0</v>
      </c>
      <c r="O277" t="n">
        <v>0</v>
      </c>
      <c r="P277" t="n">
        <v>0</v>
      </c>
      <c r="Q277" t="n">
        <v>0</v>
      </c>
      <c r="R277" s="2" t="inlineStr"/>
    </row>
    <row r="278" ht="15" customHeight="1">
      <c r="A278" t="inlineStr">
        <is>
          <t>A 22351-2026</t>
        </is>
      </c>
      <c r="B278" s="1" t="n">
        <v>46154.58350694444</v>
      </c>
      <c r="C278" s="1" t="n">
        <v>46166</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22348-2026</t>
        </is>
      </c>
      <c r="B279" s="1" t="n">
        <v>46154.58071759259</v>
      </c>
      <c r="C279" s="1" t="n">
        <v>46166</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35123-2025</t>
        </is>
      </c>
      <c r="B280" s="1" t="n">
        <v>45852.614375</v>
      </c>
      <c r="C280" s="1" t="n">
        <v>46166</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35142-2025</t>
        </is>
      </c>
      <c r="B281" s="1" t="n">
        <v>45852.65532407408</v>
      </c>
      <c r="C281" s="1" t="n">
        <v>46166</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46166</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35141-2025</t>
        </is>
      </c>
      <c r="B283" s="1" t="n">
        <v>45852.65206018519</v>
      </c>
      <c r="C283" s="1" t="n">
        <v>46166</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35290-2025</t>
        </is>
      </c>
      <c r="B284" s="1" t="n">
        <v>45854.38502314815</v>
      </c>
      <c r="C284" s="1" t="n">
        <v>46166</v>
      </c>
      <c r="D284" t="inlineStr">
        <is>
          <t>GOTLANDS LÄN</t>
        </is>
      </c>
      <c r="E284" t="inlineStr">
        <is>
          <t>GOTLAND</t>
        </is>
      </c>
      <c r="G284" t="n">
        <v>5.4</v>
      </c>
      <c r="H284" t="n">
        <v>0</v>
      </c>
      <c r="I284" t="n">
        <v>0</v>
      </c>
      <c r="J284" t="n">
        <v>0</v>
      </c>
      <c r="K284" t="n">
        <v>0</v>
      </c>
      <c r="L284" t="n">
        <v>0</v>
      </c>
      <c r="M284" t="n">
        <v>0</v>
      </c>
      <c r="N284" t="n">
        <v>0</v>
      </c>
      <c r="O284" t="n">
        <v>0</v>
      </c>
      <c r="P284" t="n">
        <v>0</v>
      </c>
      <c r="Q284" t="n">
        <v>0</v>
      </c>
      <c r="R284" s="2" t="inlineStr"/>
    </row>
    <row r="285" ht="15" customHeight="1">
      <c r="A285" t="inlineStr">
        <is>
          <t>A 22275-2026</t>
        </is>
      </c>
      <c r="B285" s="1" t="n">
        <v>46154.41924768518</v>
      </c>
      <c r="C285" s="1" t="n">
        <v>46166</v>
      </c>
      <c r="D285" t="inlineStr">
        <is>
          <t>GOTLANDS LÄN</t>
        </is>
      </c>
      <c r="E285" t="inlineStr">
        <is>
          <t>GOTLAND</t>
        </is>
      </c>
      <c r="G285" t="n">
        <v>3.7</v>
      </c>
      <c r="H285" t="n">
        <v>0</v>
      </c>
      <c r="I285" t="n">
        <v>0</v>
      </c>
      <c r="J285" t="n">
        <v>0</v>
      </c>
      <c r="K285" t="n">
        <v>0</v>
      </c>
      <c r="L285" t="n">
        <v>0</v>
      </c>
      <c r="M285" t="n">
        <v>0</v>
      </c>
      <c r="N285" t="n">
        <v>0</v>
      </c>
      <c r="O285" t="n">
        <v>0</v>
      </c>
      <c r="P285" t="n">
        <v>0</v>
      </c>
      <c r="Q285" t="n">
        <v>0</v>
      </c>
      <c r="R285" s="2" t="inlineStr"/>
    </row>
    <row r="286" ht="15" customHeight="1">
      <c r="A286" t="inlineStr">
        <is>
          <t>A 30104-2025</t>
        </is>
      </c>
      <c r="B286" s="1" t="n">
        <v>45826.68806712963</v>
      </c>
      <c r="C286" s="1" t="n">
        <v>46166</v>
      </c>
      <c r="D286" t="inlineStr">
        <is>
          <t>GOTLANDS LÄN</t>
        </is>
      </c>
      <c r="E286" t="inlineStr">
        <is>
          <t>GOTLAND</t>
        </is>
      </c>
      <c r="G286" t="n">
        <v>15.4</v>
      </c>
      <c r="H286" t="n">
        <v>0</v>
      </c>
      <c r="I286" t="n">
        <v>0</v>
      </c>
      <c r="J286" t="n">
        <v>0</v>
      </c>
      <c r="K286" t="n">
        <v>0</v>
      </c>
      <c r="L286" t="n">
        <v>0</v>
      </c>
      <c r="M286" t="n">
        <v>0</v>
      </c>
      <c r="N286" t="n">
        <v>0</v>
      </c>
      <c r="O286" t="n">
        <v>0</v>
      </c>
      <c r="P286" t="n">
        <v>0</v>
      </c>
      <c r="Q286" t="n">
        <v>0</v>
      </c>
      <c r="R286" s="2" t="inlineStr"/>
    </row>
    <row r="287" ht="15" customHeight="1">
      <c r="A287" t="inlineStr">
        <is>
          <t>A 1000-2024</t>
        </is>
      </c>
      <c r="B287" s="1" t="n">
        <v>45301.63371527778</v>
      </c>
      <c r="C287" s="1" t="n">
        <v>46166</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1010-2024</t>
        </is>
      </c>
      <c r="B288" s="1" t="n">
        <v>45301</v>
      </c>
      <c r="C288" s="1" t="n">
        <v>46166</v>
      </c>
      <c r="D288" t="inlineStr">
        <is>
          <t>GOTLANDS LÄN</t>
        </is>
      </c>
      <c r="E288" t="inlineStr">
        <is>
          <t>GOTLAND</t>
        </is>
      </c>
      <c r="G288" t="n">
        <v>2.4</v>
      </c>
      <c r="H288" t="n">
        <v>0</v>
      </c>
      <c r="I288" t="n">
        <v>0</v>
      </c>
      <c r="J288" t="n">
        <v>0</v>
      </c>
      <c r="K288" t="n">
        <v>0</v>
      </c>
      <c r="L288" t="n">
        <v>0</v>
      </c>
      <c r="M288" t="n">
        <v>0</v>
      </c>
      <c r="N288" t="n">
        <v>0</v>
      </c>
      <c r="O288" t="n">
        <v>0</v>
      </c>
      <c r="P288" t="n">
        <v>0</v>
      </c>
      <c r="Q288" t="n">
        <v>0</v>
      </c>
      <c r="R288" s="2" t="inlineStr"/>
    </row>
    <row r="289" ht="15" customHeight="1">
      <c r="A289" t="inlineStr">
        <is>
          <t>A 65249-2023</t>
        </is>
      </c>
      <c r="B289" s="1" t="n">
        <v>45290</v>
      </c>
      <c r="C289" s="1" t="n">
        <v>46166</v>
      </c>
      <c r="D289" t="inlineStr">
        <is>
          <t>GOTLANDS LÄN</t>
        </is>
      </c>
      <c r="E289" t="inlineStr">
        <is>
          <t>GOTLAND</t>
        </is>
      </c>
      <c r="G289" t="n">
        <v>2.4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46166</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4639-2026</t>
        </is>
      </c>
      <c r="B291" s="1" t="n">
        <v>46048.39880787037</v>
      </c>
      <c r="C291" s="1" t="n">
        <v>46166</v>
      </c>
      <c r="D291" t="inlineStr">
        <is>
          <t>GOTLANDS LÄN</t>
        </is>
      </c>
      <c r="E291" t="inlineStr">
        <is>
          <t>GOTLAND</t>
        </is>
      </c>
      <c r="G291" t="n">
        <v>0.8</v>
      </c>
      <c r="H291" t="n">
        <v>0</v>
      </c>
      <c r="I291" t="n">
        <v>0</v>
      </c>
      <c r="J291" t="n">
        <v>0</v>
      </c>
      <c r="K291" t="n">
        <v>0</v>
      </c>
      <c r="L291" t="n">
        <v>0</v>
      </c>
      <c r="M291" t="n">
        <v>0</v>
      </c>
      <c r="N291" t="n">
        <v>0</v>
      </c>
      <c r="O291" t="n">
        <v>0</v>
      </c>
      <c r="P291" t="n">
        <v>0</v>
      </c>
      <c r="Q291" t="n">
        <v>0</v>
      </c>
      <c r="R291" s="2" t="inlineStr"/>
    </row>
    <row r="292" ht="15" customHeight="1">
      <c r="A292" t="inlineStr">
        <is>
          <t>A 35537-2025</t>
        </is>
      </c>
      <c r="B292" s="1" t="n">
        <v>45856</v>
      </c>
      <c r="C292" s="1" t="n">
        <v>46166</v>
      </c>
      <c r="D292" t="inlineStr">
        <is>
          <t>GOTLANDS LÄN</t>
        </is>
      </c>
      <c r="E292" t="inlineStr">
        <is>
          <t>GOTLAND</t>
        </is>
      </c>
      <c r="G292" t="n">
        <v>16.8</v>
      </c>
      <c r="H292" t="n">
        <v>0</v>
      </c>
      <c r="I292" t="n">
        <v>0</v>
      </c>
      <c r="J292" t="n">
        <v>0</v>
      </c>
      <c r="K292" t="n">
        <v>0</v>
      </c>
      <c r="L292" t="n">
        <v>0</v>
      </c>
      <c r="M292" t="n">
        <v>0</v>
      </c>
      <c r="N292" t="n">
        <v>0</v>
      </c>
      <c r="O292" t="n">
        <v>0</v>
      </c>
      <c r="P292" t="n">
        <v>0</v>
      </c>
      <c r="Q292" t="n">
        <v>0</v>
      </c>
      <c r="R292" s="2" t="inlineStr"/>
    </row>
    <row r="293" ht="15" customHeight="1">
      <c r="A293" t="inlineStr">
        <is>
          <t>A 30956-2024</t>
        </is>
      </c>
      <c r="B293" s="1" t="n">
        <v>45499.42527777778</v>
      </c>
      <c r="C293" s="1" t="n">
        <v>46166</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39849-2025</t>
        </is>
      </c>
      <c r="B294" s="1" t="n">
        <v>45891.58502314815</v>
      </c>
      <c r="C294" s="1" t="n">
        <v>46166</v>
      </c>
      <c r="D294" t="inlineStr">
        <is>
          <t>GOTLANDS LÄN</t>
        </is>
      </c>
      <c r="E294" t="inlineStr">
        <is>
          <t>GOTLAND</t>
        </is>
      </c>
      <c r="G294" t="n">
        <v>6.1</v>
      </c>
      <c r="H294" t="n">
        <v>0</v>
      </c>
      <c r="I294" t="n">
        <v>0</v>
      </c>
      <c r="J294" t="n">
        <v>0</v>
      </c>
      <c r="K294" t="n">
        <v>0</v>
      </c>
      <c r="L294" t="n">
        <v>0</v>
      </c>
      <c r="M294" t="n">
        <v>0</v>
      </c>
      <c r="N294" t="n">
        <v>0</v>
      </c>
      <c r="O294" t="n">
        <v>0</v>
      </c>
      <c r="P294" t="n">
        <v>0</v>
      </c>
      <c r="Q294" t="n">
        <v>0</v>
      </c>
      <c r="R294" s="2" t="inlineStr"/>
    </row>
    <row r="295" ht="15" customHeight="1">
      <c r="A295" t="inlineStr">
        <is>
          <t>A 17000-2026</t>
        </is>
      </c>
      <c r="B295" s="1" t="n">
        <v>46114.42690972222</v>
      </c>
      <c r="C295" s="1" t="n">
        <v>46166</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39814-2025</t>
        </is>
      </c>
      <c r="B296" s="1" t="n">
        <v>45891.52694444444</v>
      </c>
      <c r="C296" s="1" t="n">
        <v>46166</v>
      </c>
      <c r="D296" t="inlineStr">
        <is>
          <t>GOTLANDS LÄN</t>
        </is>
      </c>
      <c r="E296" t="inlineStr">
        <is>
          <t>GOTLAND</t>
        </is>
      </c>
      <c r="G296" t="n">
        <v>4.5</v>
      </c>
      <c r="H296" t="n">
        <v>0</v>
      </c>
      <c r="I296" t="n">
        <v>0</v>
      </c>
      <c r="J296" t="n">
        <v>0</v>
      </c>
      <c r="K296" t="n">
        <v>0</v>
      </c>
      <c r="L296" t="n">
        <v>0</v>
      </c>
      <c r="M296" t="n">
        <v>0</v>
      </c>
      <c r="N296" t="n">
        <v>0</v>
      </c>
      <c r="O296" t="n">
        <v>0</v>
      </c>
      <c r="P296" t="n">
        <v>0</v>
      </c>
      <c r="Q296" t="n">
        <v>0</v>
      </c>
      <c r="R296" s="2" t="inlineStr"/>
    </row>
    <row r="297" ht="15" customHeight="1">
      <c r="A297" t="inlineStr">
        <is>
          <t>A 39819-2025</t>
        </is>
      </c>
      <c r="B297" s="1" t="n">
        <v>45891.53418981482</v>
      </c>
      <c r="C297" s="1" t="n">
        <v>46166</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12596-2023</t>
        </is>
      </c>
      <c r="B298" s="1" t="n">
        <v>45000.43310185185</v>
      </c>
      <c r="C298" s="1" t="n">
        <v>46166</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16993-2026</t>
        </is>
      </c>
      <c r="B299" s="1" t="n">
        <v>46114.41918981481</v>
      </c>
      <c r="C299" s="1" t="n">
        <v>46166</v>
      </c>
      <c r="D299" t="inlineStr">
        <is>
          <t>GOTLANDS LÄN</t>
        </is>
      </c>
      <c r="E299" t="inlineStr">
        <is>
          <t>GOTLAND</t>
        </is>
      </c>
      <c r="G299" t="n">
        <v>3</v>
      </c>
      <c r="H299" t="n">
        <v>0</v>
      </c>
      <c r="I299" t="n">
        <v>0</v>
      </c>
      <c r="J299" t="n">
        <v>0</v>
      </c>
      <c r="K299" t="n">
        <v>0</v>
      </c>
      <c r="L299" t="n">
        <v>0</v>
      </c>
      <c r="M299" t="n">
        <v>0</v>
      </c>
      <c r="N299" t="n">
        <v>0</v>
      </c>
      <c r="O299" t="n">
        <v>0</v>
      </c>
      <c r="P299" t="n">
        <v>0</v>
      </c>
      <c r="Q299" t="n">
        <v>0</v>
      </c>
      <c r="R299" s="2" t="inlineStr"/>
    </row>
    <row r="300" ht="15" customHeight="1">
      <c r="A300" t="inlineStr">
        <is>
          <t>A 39752-2025</t>
        </is>
      </c>
      <c r="B300" s="1" t="n">
        <v>45891</v>
      </c>
      <c r="C300" s="1" t="n">
        <v>46166</v>
      </c>
      <c r="D300" t="inlineStr">
        <is>
          <t>GOTLANDS LÄN</t>
        </is>
      </c>
      <c r="E300" t="inlineStr">
        <is>
          <t>GOTLAND</t>
        </is>
      </c>
      <c r="G300" t="n">
        <v>5.3</v>
      </c>
      <c r="H300" t="n">
        <v>0</v>
      </c>
      <c r="I300" t="n">
        <v>0</v>
      </c>
      <c r="J300" t="n">
        <v>0</v>
      </c>
      <c r="K300" t="n">
        <v>0</v>
      </c>
      <c r="L300" t="n">
        <v>0</v>
      </c>
      <c r="M300" t="n">
        <v>0</v>
      </c>
      <c r="N300" t="n">
        <v>0</v>
      </c>
      <c r="O300" t="n">
        <v>0</v>
      </c>
      <c r="P300" t="n">
        <v>0</v>
      </c>
      <c r="Q300" t="n">
        <v>0</v>
      </c>
      <c r="R300" s="2" t="inlineStr"/>
    </row>
    <row r="301" ht="15" customHeight="1">
      <c r="A301" t="inlineStr">
        <is>
          <t>A 39816-2025</t>
        </is>
      </c>
      <c r="B301" s="1" t="n">
        <v>45891</v>
      </c>
      <c r="C301" s="1" t="n">
        <v>46166</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40372-2025</t>
        </is>
      </c>
      <c r="B302" s="1" t="n">
        <v>45895.5162037037</v>
      </c>
      <c r="C302" s="1" t="n">
        <v>46166</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46166</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15216-2025</t>
        </is>
      </c>
      <c r="B304" s="1" t="n">
        <v>45744</v>
      </c>
      <c r="C304" s="1" t="n">
        <v>46166</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40373-2025</t>
        </is>
      </c>
      <c r="B305" s="1" t="n">
        <v>45895.51821759259</v>
      </c>
      <c r="C305" s="1" t="n">
        <v>46166</v>
      </c>
      <c r="D305" t="inlineStr">
        <is>
          <t>GOTLANDS LÄN</t>
        </is>
      </c>
      <c r="E305" t="inlineStr">
        <is>
          <t>GOTLAND</t>
        </is>
      </c>
      <c r="G305" t="n">
        <v>0.6</v>
      </c>
      <c r="H305" t="n">
        <v>0</v>
      </c>
      <c r="I305" t="n">
        <v>0</v>
      </c>
      <c r="J305" t="n">
        <v>0</v>
      </c>
      <c r="K305" t="n">
        <v>0</v>
      </c>
      <c r="L305" t="n">
        <v>0</v>
      </c>
      <c r="M305" t="n">
        <v>0</v>
      </c>
      <c r="N305" t="n">
        <v>0</v>
      </c>
      <c r="O305" t="n">
        <v>0</v>
      </c>
      <c r="P305" t="n">
        <v>0</v>
      </c>
      <c r="Q305" t="n">
        <v>0</v>
      </c>
      <c r="R305" s="2" t="inlineStr"/>
    </row>
    <row r="306" ht="15" customHeight="1">
      <c r="A306" t="inlineStr">
        <is>
          <t>A 15001-2025</t>
        </is>
      </c>
      <c r="B306" s="1" t="n">
        <v>45743</v>
      </c>
      <c r="C306" s="1" t="n">
        <v>46166</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43790-2024</t>
        </is>
      </c>
      <c r="B307" s="1" t="n">
        <v>45571</v>
      </c>
      <c r="C307" s="1" t="n">
        <v>46166</v>
      </c>
      <c r="D307" t="inlineStr">
        <is>
          <t>GOTLANDS LÄN</t>
        </is>
      </c>
      <c r="E307" t="inlineStr">
        <is>
          <t>GOTLAND</t>
        </is>
      </c>
      <c r="G307" t="n">
        <v>3.5</v>
      </c>
      <c r="H307" t="n">
        <v>0</v>
      </c>
      <c r="I307" t="n">
        <v>0</v>
      </c>
      <c r="J307" t="n">
        <v>0</v>
      </c>
      <c r="K307" t="n">
        <v>0</v>
      </c>
      <c r="L307" t="n">
        <v>0</v>
      </c>
      <c r="M307" t="n">
        <v>0</v>
      </c>
      <c r="N307" t="n">
        <v>0</v>
      </c>
      <c r="O307" t="n">
        <v>0</v>
      </c>
      <c r="P307" t="n">
        <v>0</v>
      </c>
      <c r="Q307" t="n">
        <v>0</v>
      </c>
      <c r="R307" s="2" t="inlineStr"/>
    </row>
    <row r="308" ht="15" customHeight="1">
      <c r="A308" t="inlineStr">
        <is>
          <t>A 17847-2025</t>
        </is>
      </c>
      <c r="B308" s="1" t="n">
        <v>45758</v>
      </c>
      <c r="C308" s="1" t="n">
        <v>46166</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8045-2022</t>
        </is>
      </c>
      <c r="B309" s="1" t="n">
        <v>44609</v>
      </c>
      <c r="C309" s="1" t="n">
        <v>46166</v>
      </c>
      <c r="D309" t="inlineStr">
        <is>
          <t>GOTLANDS LÄN</t>
        </is>
      </c>
      <c r="E309" t="inlineStr">
        <is>
          <t>GOTLAND</t>
        </is>
      </c>
      <c r="G309" t="n">
        <v>7</v>
      </c>
      <c r="H309" t="n">
        <v>0</v>
      </c>
      <c r="I309" t="n">
        <v>0</v>
      </c>
      <c r="J309" t="n">
        <v>0</v>
      </c>
      <c r="K309" t="n">
        <v>0</v>
      </c>
      <c r="L309" t="n">
        <v>0</v>
      </c>
      <c r="M309" t="n">
        <v>0</v>
      </c>
      <c r="N309" t="n">
        <v>0</v>
      </c>
      <c r="O309" t="n">
        <v>0</v>
      </c>
      <c r="P309" t="n">
        <v>0</v>
      </c>
      <c r="Q309" t="n">
        <v>0</v>
      </c>
      <c r="R309" s="2" t="inlineStr"/>
    </row>
    <row r="310" ht="15" customHeight="1">
      <c r="A310" t="inlineStr">
        <is>
          <t>A 18742-2025</t>
        </is>
      </c>
      <c r="B310" s="1" t="n">
        <v>45763</v>
      </c>
      <c r="C310" s="1" t="n">
        <v>46166</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35129-2025</t>
        </is>
      </c>
      <c r="B311" s="1" t="n">
        <v>45852.63224537037</v>
      </c>
      <c r="C311" s="1" t="n">
        <v>46166</v>
      </c>
      <c r="D311" t="inlineStr">
        <is>
          <t>GOTLANDS LÄN</t>
        </is>
      </c>
      <c r="E311" t="inlineStr">
        <is>
          <t>GOTLAND</t>
        </is>
      </c>
      <c r="G311" t="n">
        <v>3.2</v>
      </c>
      <c r="H311" t="n">
        <v>0</v>
      </c>
      <c r="I311" t="n">
        <v>0</v>
      </c>
      <c r="J311" t="n">
        <v>0</v>
      </c>
      <c r="K311" t="n">
        <v>0</v>
      </c>
      <c r="L311" t="n">
        <v>0</v>
      </c>
      <c r="M311" t="n">
        <v>0</v>
      </c>
      <c r="N311" t="n">
        <v>0</v>
      </c>
      <c r="O311" t="n">
        <v>0</v>
      </c>
      <c r="P311" t="n">
        <v>0</v>
      </c>
      <c r="Q311" t="n">
        <v>0</v>
      </c>
      <c r="R311" s="2" t="inlineStr"/>
    </row>
    <row r="312" ht="15" customHeight="1">
      <c r="A312" t="inlineStr">
        <is>
          <t>A 62836-2025</t>
        </is>
      </c>
      <c r="B312" s="1" t="n">
        <v>46008</v>
      </c>
      <c r="C312" s="1" t="n">
        <v>46166</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40103-2025</t>
        </is>
      </c>
      <c r="B313" s="1" t="n">
        <v>45894.4880324074</v>
      </c>
      <c r="C313" s="1" t="n">
        <v>46166</v>
      </c>
      <c r="D313" t="inlineStr">
        <is>
          <t>GOTLANDS LÄN</t>
        </is>
      </c>
      <c r="E313" t="inlineStr">
        <is>
          <t>GOTLAND</t>
        </is>
      </c>
      <c r="G313" t="n">
        <v>0.9</v>
      </c>
      <c r="H313" t="n">
        <v>0</v>
      </c>
      <c r="I313" t="n">
        <v>0</v>
      </c>
      <c r="J313" t="n">
        <v>0</v>
      </c>
      <c r="K313" t="n">
        <v>0</v>
      </c>
      <c r="L313" t="n">
        <v>0</v>
      </c>
      <c r="M313" t="n">
        <v>0</v>
      </c>
      <c r="N313" t="n">
        <v>0</v>
      </c>
      <c r="O313" t="n">
        <v>0</v>
      </c>
      <c r="P313" t="n">
        <v>0</v>
      </c>
      <c r="Q313" t="n">
        <v>0</v>
      </c>
      <c r="R313" s="2" t="inlineStr"/>
    </row>
    <row r="314" ht="15" customHeight="1">
      <c r="A314" t="inlineStr">
        <is>
          <t>A 22887-2026</t>
        </is>
      </c>
      <c r="B314" s="1" t="n">
        <v>46160.47591435185</v>
      </c>
      <c r="C314" s="1" t="n">
        <v>46166</v>
      </c>
      <c r="D314" t="inlineStr">
        <is>
          <t>GOTLANDS LÄN</t>
        </is>
      </c>
      <c r="E314" t="inlineStr">
        <is>
          <t>GOTLAND</t>
        </is>
      </c>
      <c r="G314" t="n">
        <v>3.6</v>
      </c>
      <c r="H314" t="n">
        <v>0</v>
      </c>
      <c r="I314" t="n">
        <v>0</v>
      </c>
      <c r="J314" t="n">
        <v>0</v>
      </c>
      <c r="K314" t="n">
        <v>0</v>
      </c>
      <c r="L314" t="n">
        <v>0</v>
      </c>
      <c r="M314" t="n">
        <v>0</v>
      </c>
      <c r="N314" t="n">
        <v>0</v>
      </c>
      <c r="O314" t="n">
        <v>0</v>
      </c>
      <c r="P314" t="n">
        <v>0</v>
      </c>
      <c r="Q314" t="n">
        <v>0</v>
      </c>
      <c r="R314" s="2" t="inlineStr"/>
    </row>
    <row r="315" ht="15" customHeight="1">
      <c r="A315" t="inlineStr">
        <is>
          <t>A 63152-2025</t>
        </is>
      </c>
      <c r="B315" s="1" t="n">
        <v>46010</v>
      </c>
      <c r="C315" s="1" t="n">
        <v>46166</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40499-2025</t>
        </is>
      </c>
      <c r="B316" s="1" t="n">
        <v>45896.32517361111</v>
      </c>
      <c r="C316" s="1" t="n">
        <v>46166</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41551-2025</t>
        </is>
      </c>
      <c r="B317" s="1" t="n">
        <v>45901.58854166666</v>
      </c>
      <c r="C317" s="1" t="n">
        <v>46166</v>
      </c>
      <c r="D317" t="inlineStr">
        <is>
          <t>GOTLANDS LÄN</t>
        </is>
      </c>
      <c r="E317" t="inlineStr">
        <is>
          <t>GOTLAND</t>
        </is>
      </c>
      <c r="G317" t="n">
        <v>5.6</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v>
      </c>
      <c r="C318" s="1" t="n">
        <v>46166</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46166</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41435-2025</t>
        </is>
      </c>
      <c r="B320" s="1" t="n">
        <v>45901.39974537037</v>
      </c>
      <c r="C320" s="1" t="n">
        <v>46166</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23103-2026</t>
        </is>
      </c>
      <c r="B321" s="1" t="n">
        <v>46161.57108796296</v>
      </c>
      <c r="C321" s="1" t="n">
        <v>46166</v>
      </c>
      <c r="D321" t="inlineStr">
        <is>
          <t>GOTLANDS LÄN</t>
        </is>
      </c>
      <c r="E321" t="inlineStr">
        <is>
          <t>GOTLAND</t>
        </is>
      </c>
      <c r="G321" t="n">
        <v>2.3</v>
      </c>
      <c r="H321" t="n">
        <v>0</v>
      </c>
      <c r="I321" t="n">
        <v>0</v>
      </c>
      <c r="J321" t="n">
        <v>0</v>
      </c>
      <c r="K321" t="n">
        <v>0</v>
      </c>
      <c r="L321" t="n">
        <v>0</v>
      </c>
      <c r="M321" t="n">
        <v>0</v>
      </c>
      <c r="N321" t="n">
        <v>0</v>
      </c>
      <c r="O321" t="n">
        <v>0</v>
      </c>
      <c r="P321" t="n">
        <v>0</v>
      </c>
      <c r="Q321" t="n">
        <v>0</v>
      </c>
      <c r="R321" s="2" t="inlineStr"/>
    </row>
    <row r="322" ht="15" customHeight="1">
      <c r="A322" t="inlineStr">
        <is>
          <t>A 999-2024</t>
        </is>
      </c>
      <c r="B322" s="1" t="n">
        <v>45301</v>
      </c>
      <c r="C322" s="1" t="n">
        <v>46166</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65901-2021</t>
        </is>
      </c>
      <c r="B323" s="1" t="n">
        <v>44516</v>
      </c>
      <c r="C323" s="1" t="n">
        <v>46166</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47762-2023</t>
        </is>
      </c>
      <c r="B324" s="1" t="n">
        <v>45203.86256944444</v>
      </c>
      <c r="C324" s="1" t="n">
        <v>46166</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17935-2026</t>
        </is>
      </c>
      <c r="B325" s="1" t="n">
        <v>46122</v>
      </c>
      <c r="C325" s="1" t="n">
        <v>46166</v>
      </c>
      <c r="D325" t="inlineStr">
        <is>
          <t>GOTLANDS LÄN</t>
        </is>
      </c>
      <c r="E325" t="inlineStr">
        <is>
          <t>GOTLAND</t>
        </is>
      </c>
      <c r="G325" t="n">
        <v>0.9</v>
      </c>
      <c r="H325" t="n">
        <v>0</v>
      </c>
      <c r="I325" t="n">
        <v>0</v>
      </c>
      <c r="J325" t="n">
        <v>0</v>
      </c>
      <c r="K325" t="n">
        <v>0</v>
      </c>
      <c r="L325" t="n">
        <v>0</v>
      </c>
      <c r="M325" t="n">
        <v>0</v>
      </c>
      <c r="N325" t="n">
        <v>0</v>
      </c>
      <c r="O325" t="n">
        <v>0</v>
      </c>
      <c r="P325" t="n">
        <v>0</v>
      </c>
      <c r="Q325" t="n">
        <v>0</v>
      </c>
      <c r="R325" s="2" t="inlineStr"/>
    </row>
    <row r="326" ht="15" customHeight="1">
      <c r="A326" t="inlineStr">
        <is>
          <t>A 17943-2026</t>
        </is>
      </c>
      <c r="B326" s="1" t="n">
        <v>46122</v>
      </c>
      <c r="C326" s="1" t="n">
        <v>46166</v>
      </c>
      <c r="D326" t="inlineStr">
        <is>
          <t>GOTLANDS LÄN</t>
        </is>
      </c>
      <c r="E326" t="inlineStr">
        <is>
          <t>GOTLAND</t>
        </is>
      </c>
      <c r="G326" t="n">
        <v>2.8</v>
      </c>
      <c r="H326" t="n">
        <v>0</v>
      </c>
      <c r="I326" t="n">
        <v>0</v>
      </c>
      <c r="J326" t="n">
        <v>0</v>
      </c>
      <c r="K326" t="n">
        <v>0</v>
      </c>
      <c r="L326" t="n">
        <v>0</v>
      </c>
      <c r="M326" t="n">
        <v>0</v>
      </c>
      <c r="N326" t="n">
        <v>0</v>
      </c>
      <c r="O326" t="n">
        <v>0</v>
      </c>
      <c r="P326" t="n">
        <v>0</v>
      </c>
      <c r="Q326" t="n">
        <v>0</v>
      </c>
      <c r="R326" s="2" t="inlineStr"/>
    </row>
    <row r="327" ht="15" customHeight="1">
      <c r="A327" t="inlineStr">
        <is>
          <t>A 30489-2025</t>
        </is>
      </c>
      <c r="B327" s="1" t="n">
        <v>45830</v>
      </c>
      <c r="C327" s="1" t="n">
        <v>46166</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21142-2025</t>
        </is>
      </c>
      <c r="B328" s="1" t="n">
        <v>45779</v>
      </c>
      <c r="C328" s="1" t="n">
        <v>46166</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23504-2026</t>
        </is>
      </c>
      <c r="B329" s="1" t="n">
        <v>46163.45875</v>
      </c>
      <c r="C329" s="1" t="n">
        <v>46166</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6108-2025</t>
        </is>
      </c>
      <c r="B330" s="1" t="n">
        <v>45698.29880787037</v>
      </c>
      <c r="C330" s="1" t="n">
        <v>46166</v>
      </c>
      <c r="D330" t="inlineStr">
        <is>
          <t>GOTLANDS LÄN</t>
        </is>
      </c>
      <c r="E330" t="inlineStr">
        <is>
          <t>GOTLAND</t>
        </is>
      </c>
      <c r="G330" t="n">
        <v>2.8</v>
      </c>
      <c r="H330" t="n">
        <v>0</v>
      </c>
      <c r="I330" t="n">
        <v>0</v>
      </c>
      <c r="J330" t="n">
        <v>0</v>
      </c>
      <c r="K330" t="n">
        <v>0</v>
      </c>
      <c r="L330" t="n">
        <v>0</v>
      </c>
      <c r="M330" t="n">
        <v>0</v>
      </c>
      <c r="N330" t="n">
        <v>0</v>
      </c>
      <c r="O330" t="n">
        <v>0</v>
      </c>
      <c r="P330" t="n">
        <v>0</v>
      </c>
      <c r="Q330" t="n">
        <v>0</v>
      </c>
      <c r="R330" s="2" t="inlineStr"/>
    </row>
    <row r="331" ht="15" customHeight="1">
      <c r="A331" t="inlineStr">
        <is>
          <t>A 17343-2025</t>
        </is>
      </c>
      <c r="B331" s="1" t="n">
        <v>45756.6687037037</v>
      </c>
      <c r="C331" s="1" t="n">
        <v>46166</v>
      </c>
      <c r="D331" t="inlineStr">
        <is>
          <t>GOTLANDS LÄN</t>
        </is>
      </c>
      <c r="E331" t="inlineStr">
        <is>
          <t>GOTLAND</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18938-2025</t>
        </is>
      </c>
      <c r="B332" s="1" t="n">
        <v>45764.49172453704</v>
      </c>
      <c r="C332" s="1" t="n">
        <v>46166</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20307-2025</t>
        </is>
      </c>
      <c r="B333" s="1" t="n">
        <v>45774.95546296296</v>
      </c>
      <c r="C333" s="1" t="n">
        <v>46166</v>
      </c>
      <c r="D333" t="inlineStr">
        <is>
          <t>GOTLANDS LÄN</t>
        </is>
      </c>
      <c r="E333" t="inlineStr">
        <is>
          <t>GOTLAND</t>
        </is>
      </c>
      <c r="G333" t="n">
        <v>6.8</v>
      </c>
      <c r="H333" t="n">
        <v>0</v>
      </c>
      <c r="I333" t="n">
        <v>0</v>
      </c>
      <c r="J333" t="n">
        <v>0</v>
      </c>
      <c r="K333" t="n">
        <v>0</v>
      </c>
      <c r="L333" t="n">
        <v>0</v>
      </c>
      <c r="M333" t="n">
        <v>0</v>
      </c>
      <c r="N333" t="n">
        <v>0</v>
      </c>
      <c r="O333" t="n">
        <v>0</v>
      </c>
      <c r="P333" t="n">
        <v>0</v>
      </c>
      <c r="Q333" t="n">
        <v>0</v>
      </c>
      <c r="R333" s="2" t="inlineStr"/>
    </row>
    <row r="334" ht="15" customHeight="1">
      <c r="A334" t="inlineStr">
        <is>
          <t>A 42608-2025</t>
        </is>
      </c>
      <c r="B334" s="1" t="n">
        <v>45905</v>
      </c>
      <c r="C334" s="1" t="n">
        <v>46166</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40294-2022</t>
        </is>
      </c>
      <c r="B335" s="1" t="n">
        <v>44821</v>
      </c>
      <c r="C335" s="1" t="n">
        <v>46166</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27602-2023</t>
        </is>
      </c>
      <c r="B336" s="1" t="n">
        <v>45097</v>
      </c>
      <c r="C336" s="1" t="n">
        <v>46166</v>
      </c>
      <c r="D336" t="inlineStr">
        <is>
          <t>GOTLANDS LÄN</t>
        </is>
      </c>
      <c r="E336" t="inlineStr">
        <is>
          <t>GOTLAND</t>
        </is>
      </c>
      <c r="G336" t="n">
        <v>2.7</v>
      </c>
      <c r="H336" t="n">
        <v>0</v>
      </c>
      <c r="I336" t="n">
        <v>0</v>
      </c>
      <c r="J336" t="n">
        <v>0</v>
      </c>
      <c r="K336" t="n">
        <v>0</v>
      </c>
      <c r="L336" t="n">
        <v>0</v>
      </c>
      <c r="M336" t="n">
        <v>0</v>
      </c>
      <c r="N336" t="n">
        <v>0</v>
      </c>
      <c r="O336" t="n">
        <v>0</v>
      </c>
      <c r="P336" t="n">
        <v>0</v>
      </c>
      <c r="Q336" t="n">
        <v>0</v>
      </c>
      <c r="R336" s="2" t="inlineStr"/>
    </row>
    <row r="337" ht="15" customHeight="1">
      <c r="A337" t="inlineStr">
        <is>
          <t>A 62674-2025</t>
        </is>
      </c>
      <c r="B337" s="1" t="n">
        <v>46008</v>
      </c>
      <c r="C337" s="1" t="n">
        <v>46166</v>
      </c>
      <c r="D337" t="inlineStr">
        <is>
          <t>GOTLANDS LÄN</t>
        </is>
      </c>
      <c r="E337" t="inlineStr">
        <is>
          <t>GOTLAND</t>
        </is>
      </c>
      <c r="G337" t="n">
        <v>5</v>
      </c>
      <c r="H337" t="n">
        <v>0</v>
      </c>
      <c r="I337" t="n">
        <v>0</v>
      </c>
      <c r="J337" t="n">
        <v>0</v>
      </c>
      <c r="K337" t="n">
        <v>0</v>
      </c>
      <c r="L337" t="n">
        <v>0</v>
      </c>
      <c r="M337" t="n">
        <v>0</v>
      </c>
      <c r="N337" t="n">
        <v>0</v>
      </c>
      <c r="O337" t="n">
        <v>0</v>
      </c>
      <c r="P337" t="n">
        <v>0</v>
      </c>
      <c r="Q337" t="n">
        <v>0</v>
      </c>
      <c r="R337" s="2" t="inlineStr"/>
    </row>
    <row r="338" ht="15" customHeight="1">
      <c r="A338" t="inlineStr">
        <is>
          <t>A 58780-2024</t>
        </is>
      </c>
      <c r="B338" s="1" t="n">
        <v>45635.84113425926</v>
      </c>
      <c r="C338" s="1" t="n">
        <v>46166</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12322-2025</t>
        </is>
      </c>
      <c r="B339" s="1" t="n">
        <v>45730</v>
      </c>
      <c r="C339" s="1" t="n">
        <v>46166</v>
      </c>
      <c r="D339" t="inlineStr">
        <is>
          <t>GOTLANDS LÄN</t>
        </is>
      </c>
      <c r="E339" t="inlineStr">
        <is>
          <t>GOTLAND</t>
        </is>
      </c>
      <c r="G339" t="n">
        <v>1.4</v>
      </c>
      <c r="H339" t="n">
        <v>0</v>
      </c>
      <c r="I339" t="n">
        <v>0</v>
      </c>
      <c r="J339" t="n">
        <v>0</v>
      </c>
      <c r="K339" t="n">
        <v>0</v>
      </c>
      <c r="L339" t="n">
        <v>0</v>
      </c>
      <c r="M339" t="n">
        <v>0</v>
      </c>
      <c r="N339" t="n">
        <v>0</v>
      </c>
      <c r="O339" t="n">
        <v>0</v>
      </c>
      <c r="P339" t="n">
        <v>0</v>
      </c>
      <c r="Q339" t="n">
        <v>0</v>
      </c>
      <c r="R339" s="2" t="inlineStr"/>
    </row>
    <row r="340" ht="15" customHeight="1">
      <c r="A340" t="inlineStr">
        <is>
          <t>A 16373-2025</t>
        </is>
      </c>
      <c r="B340" s="1" t="n">
        <v>45751</v>
      </c>
      <c r="C340" s="1" t="n">
        <v>46166</v>
      </c>
      <c r="D340" t="inlineStr">
        <is>
          <t>GOTLANDS LÄN</t>
        </is>
      </c>
      <c r="E340" t="inlineStr">
        <is>
          <t>GOTLAND</t>
        </is>
      </c>
      <c r="G340" t="n">
        <v>1.5</v>
      </c>
      <c r="H340" t="n">
        <v>0</v>
      </c>
      <c r="I340" t="n">
        <v>0</v>
      </c>
      <c r="J340" t="n">
        <v>0</v>
      </c>
      <c r="K340" t="n">
        <v>0</v>
      </c>
      <c r="L340" t="n">
        <v>0</v>
      </c>
      <c r="M340" t="n">
        <v>0</v>
      </c>
      <c r="N340" t="n">
        <v>0</v>
      </c>
      <c r="O340" t="n">
        <v>0</v>
      </c>
      <c r="P340" t="n">
        <v>0</v>
      </c>
      <c r="Q340" t="n">
        <v>0</v>
      </c>
      <c r="R340" s="2" t="inlineStr"/>
    </row>
    <row r="341" ht="15" customHeight="1">
      <c r="A341" t="inlineStr">
        <is>
          <t>A 18993-2025</t>
        </is>
      </c>
      <c r="B341" s="1" t="n">
        <v>45764</v>
      </c>
      <c r="C341" s="1" t="n">
        <v>46166</v>
      </c>
      <c r="D341" t="inlineStr">
        <is>
          <t>GOTLANDS LÄN</t>
        </is>
      </c>
      <c r="E341" t="inlineStr">
        <is>
          <t>GOTLAND</t>
        </is>
      </c>
      <c r="G341" t="n">
        <v>3</v>
      </c>
      <c r="H341" t="n">
        <v>0</v>
      </c>
      <c r="I341" t="n">
        <v>0</v>
      </c>
      <c r="J341" t="n">
        <v>0</v>
      </c>
      <c r="K341" t="n">
        <v>0</v>
      </c>
      <c r="L341" t="n">
        <v>0</v>
      </c>
      <c r="M341" t="n">
        <v>0</v>
      </c>
      <c r="N341" t="n">
        <v>0</v>
      </c>
      <c r="O341" t="n">
        <v>0</v>
      </c>
      <c r="P341" t="n">
        <v>0</v>
      </c>
      <c r="Q341" t="n">
        <v>0</v>
      </c>
      <c r="R341" s="2" t="inlineStr"/>
    </row>
    <row r="342" ht="15" customHeight="1">
      <c r="A342" t="inlineStr">
        <is>
          <t>A 30135-2025</t>
        </is>
      </c>
      <c r="B342" s="1" t="n">
        <v>45826</v>
      </c>
      <c r="C342" s="1" t="n">
        <v>46166</v>
      </c>
      <c r="D342" t="inlineStr">
        <is>
          <t>GOTLANDS LÄN</t>
        </is>
      </c>
      <c r="E342" t="inlineStr">
        <is>
          <t>GOTLAND</t>
        </is>
      </c>
      <c r="G342" t="n">
        <v>2.7</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46166</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46166</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46166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46166</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46166</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46166</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26810-2021</t>
        </is>
      </c>
      <c r="B349" s="1" t="n">
        <v>44349.55087962963</v>
      </c>
      <c r="C349" s="1" t="n">
        <v>46166</v>
      </c>
      <c r="D349" t="inlineStr">
        <is>
          <t>GOTLANDS LÄN</t>
        </is>
      </c>
      <c r="E349" t="inlineStr">
        <is>
          <t>GOTLAND</t>
        </is>
      </c>
      <c r="G349" t="n">
        <v>3.5</v>
      </c>
      <c r="H349" t="n">
        <v>0</v>
      </c>
      <c r="I349" t="n">
        <v>0</v>
      </c>
      <c r="J349" t="n">
        <v>0</v>
      </c>
      <c r="K349" t="n">
        <v>0</v>
      </c>
      <c r="L349" t="n">
        <v>0</v>
      </c>
      <c r="M349" t="n">
        <v>0</v>
      </c>
      <c r="N349" t="n">
        <v>0</v>
      </c>
      <c r="O349" t="n">
        <v>0</v>
      </c>
      <c r="P349" t="n">
        <v>0</v>
      </c>
      <c r="Q349" t="n">
        <v>0</v>
      </c>
      <c r="R349" s="2" t="inlineStr"/>
    </row>
    <row r="350" ht="15" customHeight="1">
      <c r="A350" t="inlineStr">
        <is>
          <t>A 12599-2025</t>
        </is>
      </c>
      <c r="B350" s="1" t="n">
        <v>45733.29546296296</v>
      </c>
      <c r="C350" s="1" t="n">
        <v>46166</v>
      </c>
      <c r="D350" t="inlineStr">
        <is>
          <t>GOTLANDS LÄN</t>
        </is>
      </c>
      <c r="E350" t="inlineStr">
        <is>
          <t>GOTLAND</t>
        </is>
      </c>
      <c r="G350" t="n">
        <v>4.7</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46166</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46166</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46166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28425-2023</t>
        </is>
      </c>
      <c r="B354" s="1" t="n">
        <v>45102</v>
      </c>
      <c r="C354" s="1" t="n">
        <v>46166</v>
      </c>
      <c r="D354" t="inlineStr">
        <is>
          <t>GOTLANDS LÄN</t>
        </is>
      </c>
      <c r="E354" t="inlineStr">
        <is>
          <t>GOTLAND</t>
        </is>
      </c>
      <c r="G354" t="n">
        <v>0.5</v>
      </c>
      <c r="H354" t="n">
        <v>0</v>
      </c>
      <c r="I354" t="n">
        <v>0</v>
      </c>
      <c r="J354" t="n">
        <v>0</v>
      </c>
      <c r="K354" t="n">
        <v>0</v>
      </c>
      <c r="L354" t="n">
        <v>0</v>
      </c>
      <c r="M354" t="n">
        <v>0</v>
      </c>
      <c r="N354" t="n">
        <v>0</v>
      </c>
      <c r="O354" t="n">
        <v>0</v>
      </c>
      <c r="P354" t="n">
        <v>0</v>
      </c>
      <c r="Q354" t="n">
        <v>0</v>
      </c>
      <c r="R354" s="2" t="inlineStr"/>
    </row>
    <row r="355" ht="15" customHeight="1">
      <c r="A355" t="inlineStr">
        <is>
          <t>A 13037-2025</t>
        </is>
      </c>
      <c r="B355" s="1" t="n">
        <v>45734</v>
      </c>
      <c r="C355" s="1" t="n">
        <v>46166</v>
      </c>
      <c r="D355" t="inlineStr">
        <is>
          <t>GOTLANDS LÄN</t>
        </is>
      </c>
      <c r="E355" t="inlineStr">
        <is>
          <t>GOTLAND</t>
        </is>
      </c>
      <c r="G355" t="n">
        <v>9.5</v>
      </c>
      <c r="H355" t="n">
        <v>0</v>
      </c>
      <c r="I355" t="n">
        <v>0</v>
      </c>
      <c r="J355" t="n">
        <v>0</v>
      </c>
      <c r="K355" t="n">
        <v>0</v>
      </c>
      <c r="L355" t="n">
        <v>0</v>
      </c>
      <c r="M355" t="n">
        <v>0</v>
      </c>
      <c r="N355" t="n">
        <v>0</v>
      </c>
      <c r="O355" t="n">
        <v>0</v>
      </c>
      <c r="P355" t="n">
        <v>0</v>
      </c>
      <c r="Q355" t="n">
        <v>0</v>
      </c>
      <c r="R355" s="2" t="inlineStr"/>
    </row>
    <row r="356" ht="15" customHeight="1">
      <c r="A356" t="inlineStr">
        <is>
          <t>A 10746-2025</t>
        </is>
      </c>
      <c r="B356" s="1" t="n">
        <v>45722.42766203704</v>
      </c>
      <c r="C356" s="1" t="n">
        <v>46166</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26391-2025</t>
        </is>
      </c>
      <c r="B357" s="1" t="n">
        <v>45806</v>
      </c>
      <c r="C357" s="1" t="n">
        <v>46166</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46836-2025</t>
        </is>
      </c>
      <c r="B358" s="1" t="n">
        <v>45928.31511574074</v>
      </c>
      <c r="C358" s="1" t="n">
        <v>46166</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47637-2025</t>
        </is>
      </c>
      <c r="B359" s="1" t="n">
        <v>45931.49753472222</v>
      </c>
      <c r="C359" s="1" t="n">
        <v>46166</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46166</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41038-2023</t>
        </is>
      </c>
      <c r="B361" s="1" t="n">
        <v>45173.60959490741</v>
      </c>
      <c r="C361" s="1" t="n">
        <v>46166</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32378-2025</t>
        </is>
      </c>
      <c r="B362" s="1" t="n">
        <v>45837</v>
      </c>
      <c r="C362" s="1" t="n">
        <v>46166</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46166</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46166</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24966-2023</t>
        </is>
      </c>
      <c r="B365" s="1" t="n">
        <v>45085</v>
      </c>
      <c r="C365" s="1" t="n">
        <v>46166</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33011-2025</t>
        </is>
      </c>
      <c r="B366" s="1" t="n">
        <v>45840</v>
      </c>
      <c r="C366" s="1" t="n">
        <v>46166</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46166</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49690-2025</t>
        </is>
      </c>
      <c r="B368" s="1" t="n">
        <v>45939.66730324074</v>
      </c>
      <c r="C368" s="1" t="n">
        <v>46166</v>
      </c>
      <c r="D368" t="inlineStr">
        <is>
          <t>GOTLANDS LÄN</t>
        </is>
      </c>
      <c r="E368" t="inlineStr">
        <is>
          <t>GOTLAND</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46166</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46166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46166</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7837-2024</t>
        </is>
      </c>
      <c r="B372" s="1" t="n">
        <v>45349.83787037037</v>
      </c>
      <c r="C372" s="1" t="n">
        <v>46166</v>
      </c>
      <c r="D372" t="inlineStr">
        <is>
          <t>GOTLANDS LÄN</t>
        </is>
      </c>
      <c r="E372" t="inlineStr">
        <is>
          <t>GOTLAND</t>
        </is>
      </c>
      <c r="G372" t="n">
        <v>5</v>
      </c>
      <c r="H372" t="n">
        <v>0</v>
      </c>
      <c r="I372" t="n">
        <v>0</v>
      </c>
      <c r="J372" t="n">
        <v>0</v>
      </c>
      <c r="K372" t="n">
        <v>0</v>
      </c>
      <c r="L372" t="n">
        <v>0</v>
      </c>
      <c r="M372" t="n">
        <v>0</v>
      </c>
      <c r="N372" t="n">
        <v>0</v>
      </c>
      <c r="O372" t="n">
        <v>0</v>
      </c>
      <c r="P372" t="n">
        <v>0</v>
      </c>
      <c r="Q372" t="n">
        <v>0</v>
      </c>
      <c r="R372" s="2" t="inlineStr"/>
    </row>
    <row r="373" ht="15" customHeight="1">
      <c r="A373" t="inlineStr">
        <is>
          <t>A 49724-2025</t>
        </is>
      </c>
      <c r="B373" s="1" t="n">
        <v>45939.83730324074</v>
      </c>
      <c r="C373" s="1" t="n">
        <v>46166</v>
      </c>
      <c r="D373" t="inlineStr">
        <is>
          <t>GOTLANDS LÄN</t>
        </is>
      </c>
      <c r="E373" t="inlineStr">
        <is>
          <t>GOTLAND</t>
        </is>
      </c>
      <c r="F373" t="inlineStr">
        <is>
          <t>Kyrkan</t>
        </is>
      </c>
      <c r="G373" t="n">
        <v>3.1</v>
      </c>
      <c r="H373" t="n">
        <v>0</v>
      </c>
      <c r="I373" t="n">
        <v>0</v>
      </c>
      <c r="J373" t="n">
        <v>0</v>
      </c>
      <c r="K373" t="n">
        <v>0</v>
      </c>
      <c r="L373" t="n">
        <v>0</v>
      </c>
      <c r="M373" t="n">
        <v>0</v>
      </c>
      <c r="N373" t="n">
        <v>0</v>
      </c>
      <c r="O373" t="n">
        <v>0</v>
      </c>
      <c r="P373" t="n">
        <v>0</v>
      </c>
      <c r="Q373" t="n">
        <v>0</v>
      </c>
      <c r="R373" s="2" t="inlineStr"/>
    </row>
    <row r="374" ht="15" customHeight="1">
      <c r="A374" t="inlineStr">
        <is>
          <t>A 49730-2025</t>
        </is>
      </c>
      <c r="B374" s="1" t="n">
        <v>45939.87613425926</v>
      </c>
      <c r="C374" s="1" t="n">
        <v>46166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50421-2025</t>
        </is>
      </c>
      <c r="B375" s="1" t="n">
        <v>45944.66049768519</v>
      </c>
      <c r="C375" s="1" t="n">
        <v>46166</v>
      </c>
      <c r="D375" t="inlineStr">
        <is>
          <t>GOTLANDS LÄN</t>
        </is>
      </c>
      <c r="E375" t="inlineStr">
        <is>
          <t>GOTLAND</t>
        </is>
      </c>
      <c r="G375" t="n">
        <v>3.9</v>
      </c>
      <c r="H375" t="n">
        <v>0</v>
      </c>
      <c r="I375" t="n">
        <v>0</v>
      </c>
      <c r="J375" t="n">
        <v>0</v>
      </c>
      <c r="K375" t="n">
        <v>0</v>
      </c>
      <c r="L375" t="n">
        <v>0</v>
      </c>
      <c r="M375" t="n">
        <v>0</v>
      </c>
      <c r="N375" t="n">
        <v>0</v>
      </c>
      <c r="O375" t="n">
        <v>0</v>
      </c>
      <c r="P375" t="n">
        <v>0</v>
      </c>
      <c r="Q375" t="n">
        <v>0</v>
      </c>
      <c r="R375" s="2" t="inlineStr"/>
    </row>
    <row r="376" ht="15" customHeight="1">
      <c r="A376" t="inlineStr">
        <is>
          <t>A 1394-2023</t>
        </is>
      </c>
      <c r="B376" s="1" t="n">
        <v>44936.72997685185</v>
      </c>
      <c r="C376" s="1" t="n">
        <v>46166</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2676-2023</t>
        </is>
      </c>
      <c r="B377" s="1" t="n">
        <v>44944</v>
      </c>
      <c r="C377" s="1" t="n">
        <v>46166</v>
      </c>
      <c r="D377" t="inlineStr">
        <is>
          <t>GOTLANDS LÄN</t>
        </is>
      </c>
      <c r="E377" t="inlineStr">
        <is>
          <t>GOTLAND</t>
        </is>
      </c>
      <c r="G377" t="n">
        <v>0.7</v>
      </c>
      <c r="H377" t="n">
        <v>0</v>
      </c>
      <c r="I377" t="n">
        <v>0</v>
      </c>
      <c r="J377" t="n">
        <v>0</v>
      </c>
      <c r="K377" t="n">
        <v>0</v>
      </c>
      <c r="L377" t="n">
        <v>0</v>
      </c>
      <c r="M377" t="n">
        <v>0</v>
      </c>
      <c r="N377" t="n">
        <v>0</v>
      </c>
      <c r="O377" t="n">
        <v>0</v>
      </c>
      <c r="P377" t="n">
        <v>0</v>
      </c>
      <c r="Q377" t="n">
        <v>0</v>
      </c>
      <c r="R377" s="2" t="inlineStr"/>
    </row>
    <row r="378" ht="15" customHeight="1">
      <c r="A378" t="inlineStr">
        <is>
          <t>A 4387-2023</t>
        </is>
      </c>
      <c r="B378" s="1" t="n">
        <v>44955.73359953704</v>
      </c>
      <c r="C378" s="1" t="n">
        <v>46166</v>
      </c>
      <c r="D378" t="inlineStr">
        <is>
          <t>GOTLANDS LÄN</t>
        </is>
      </c>
      <c r="E378" t="inlineStr">
        <is>
          <t>GOTLAND</t>
        </is>
      </c>
      <c r="G378" t="n">
        <v>1.9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46166</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49411-2023</t>
        </is>
      </c>
      <c r="B380" s="1" t="n">
        <v>45205</v>
      </c>
      <c r="C380" s="1" t="n">
        <v>46166</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37728-2024</t>
        </is>
      </c>
      <c r="B381" s="1" t="n">
        <v>45541</v>
      </c>
      <c r="C381" s="1" t="n">
        <v>46166</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2241-2025</t>
        </is>
      </c>
      <c r="B382" s="1" t="n">
        <v>45673.48710648148</v>
      </c>
      <c r="C382" s="1" t="n">
        <v>46166</v>
      </c>
      <c r="D382" t="inlineStr">
        <is>
          <t>GOTLANDS LÄN</t>
        </is>
      </c>
      <c r="E382" t="inlineStr">
        <is>
          <t>GOTLAND</t>
        </is>
      </c>
      <c r="G382" t="n">
        <v>1</v>
      </c>
      <c r="H382" t="n">
        <v>0</v>
      </c>
      <c r="I382" t="n">
        <v>0</v>
      </c>
      <c r="J382" t="n">
        <v>0</v>
      </c>
      <c r="K382" t="n">
        <v>0</v>
      </c>
      <c r="L382" t="n">
        <v>0</v>
      </c>
      <c r="M382" t="n">
        <v>0</v>
      </c>
      <c r="N382" t="n">
        <v>0</v>
      </c>
      <c r="O382" t="n">
        <v>0</v>
      </c>
      <c r="P382" t="n">
        <v>0</v>
      </c>
      <c r="Q382" t="n">
        <v>0</v>
      </c>
      <c r="R382" s="2" t="inlineStr"/>
    </row>
    <row r="383" ht="15" customHeight="1">
      <c r="A383" t="inlineStr">
        <is>
          <t>A 50928-2025</t>
        </is>
      </c>
      <c r="B383" s="1" t="n">
        <v>45946.67896990741</v>
      </c>
      <c r="C383" s="1" t="n">
        <v>46166</v>
      </c>
      <c r="D383" t="inlineStr">
        <is>
          <t>GOTLANDS LÄN</t>
        </is>
      </c>
      <c r="E383" t="inlineStr">
        <is>
          <t>GOTLAND</t>
        </is>
      </c>
      <c r="G383" t="n">
        <v>1.3</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46166</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22275-2023</t>
        </is>
      </c>
      <c r="B385" s="1" t="n">
        <v>45070.39875</v>
      </c>
      <c r="C385" s="1" t="n">
        <v>46166</v>
      </c>
      <c r="D385" t="inlineStr">
        <is>
          <t>GOTLANDS LÄN</t>
        </is>
      </c>
      <c r="E385" t="inlineStr">
        <is>
          <t>GOTLAND</t>
        </is>
      </c>
      <c r="G385" t="n">
        <v>7.2</v>
      </c>
      <c r="H385" t="n">
        <v>0</v>
      </c>
      <c r="I385" t="n">
        <v>0</v>
      </c>
      <c r="J385" t="n">
        <v>0</v>
      </c>
      <c r="K385" t="n">
        <v>0</v>
      </c>
      <c r="L385" t="n">
        <v>0</v>
      </c>
      <c r="M385" t="n">
        <v>0</v>
      </c>
      <c r="N385" t="n">
        <v>0</v>
      </c>
      <c r="O385" t="n">
        <v>0</v>
      </c>
      <c r="P385" t="n">
        <v>0</v>
      </c>
      <c r="Q385" t="n">
        <v>0</v>
      </c>
      <c r="R385" s="2" t="inlineStr"/>
    </row>
    <row r="386" ht="15" customHeight="1">
      <c r="A386" t="inlineStr">
        <is>
          <t>A 14635-2023</t>
        </is>
      </c>
      <c r="B386" s="1" t="n">
        <v>45013.69365740741</v>
      </c>
      <c r="C386" s="1" t="n">
        <v>46166</v>
      </c>
      <c r="D386" t="inlineStr">
        <is>
          <t>GOTLANDS LÄN</t>
        </is>
      </c>
      <c r="E386" t="inlineStr">
        <is>
          <t>GOTLAND</t>
        </is>
      </c>
      <c r="G386" t="n">
        <v>3.1</v>
      </c>
      <c r="H386" t="n">
        <v>0</v>
      </c>
      <c r="I386" t="n">
        <v>0</v>
      </c>
      <c r="J386" t="n">
        <v>0</v>
      </c>
      <c r="K386" t="n">
        <v>0</v>
      </c>
      <c r="L386" t="n">
        <v>0</v>
      </c>
      <c r="M386" t="n">
        <v>0</v>
      </c>
      <c r="N386" t="n">
        <v>0</v>
      </c>
      <c r="O386" t="n">
        <v>0</v>
      </c>
      <c r="P386" t="n">
        <v>0</v>
      </c>
      <c r="Q386" t="n">
        <v>0</v>
      </c>
      <c r="R386" s="2" t="inlineStr"/>
    </row>
    <row r="387" ht="15" customHeight="1">
      <c r="A387" t="inlineStr">
        <is>
          <t>A 63763-2023</t>
        </is>
      </c>
      <c r="B387" s="1" t="n">
        <v>45278.33944444444</v>
      </c>
      <c r="C387" s="1" t="n">
        <v>46166</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7635-2025</t>
        </is>
      </c>
      <c r="B388" s="1" t="n">
        <v>45705</v>
      </c>
      <c r="C388" s="1" t="n">
        <v>46166</v>
      </c>
      <c r="D388" t="inlineStr">
        <is>
          <t>GOTLANDS LÄN</t>
        </is>
      </c>
      <c r="E388" t="inlineStr">
        <is>
          <t>GOTLAND</t>
        </is>
      </c>
      <c r="G388" t="n">
        <v>0.9</v>
      </c>
      <c r="H388" t="n">
        <v>0</v>
      </c>
      <c r="I388" t="n">
        <v>0</v>
      </c>
      <c r="J388" t="n">
        <v>0</v>
      </c>
      <c r="K388" t="n">
        <v>0</v>
      </c>
      <c r="L388" t="n">
        <v>0</v>
      </c>
      <c r="M388" t="n">
        <v>0</v>
      </c>
      <c r="N388" t="n">
        <v>0</v>
      </c>
      <c r="O388" t="n">
        <v>0</v>
      </c>
      <c r="P388" t="n">
        <v>0</v>
      </c>
      <c r="Q388" t="n">
        <v>0</v>
      </c>
      <c r="R388" s="2" t="inlineStr"/>
    </row>
    <row r="389" ht="15" customHeight="1">
      <c r="A389" t="inlineStr">
        <is>
          <t>A 7636-2025</t>
        </is>
      </c>
      <c r="B389" s="1" t="n">
        <v>45705.7687962963</v>
      </c>
      <c r="C389" s="1" t="n">
        <v>46166</v>
      </c>
      <c r="D389" t="inlineStr">
        <is>
          <t>GOTLANDS LÄN</t>
        </is>
      </c>
      <c r="E389" t="inlineStr">
        <is>
          <t>GOTLAND</t>
        </is>
      </c>
      <c r="G389" t="n">
        <v>0.6</v>
      </c>
      <c r="H389" t="n">
        <v>0</v>
      </c>
      <c r="I389" t="n">
        <v>0</v>
      </c>
      <c r="J389" t="n">
        <v>0</v>
      </c>
      <c r="K389" t="n">
        <v>0</v>
      </c>
      <c r="L389" t="n">
        <v>0</v>
      </c>
      <c r="M389" t="n">
        <v>0</v>
      </c>
      <c r="N389" t="n">
        <v>0</v>
      </c>
      <c r="O389" t="n">
        <v>0</v>
      </c>
      <c r="P389" t="n">
        <v>0</v>
      </c>
      <c r="Q389" t="n">
        <v>0</v>
      </c>
      <c r="R389" s="2" t="inlineStr"/>
    </row>
    <row r="390" ht="15" customHeight="1">
      <c r="A390" t="inlineStr">
        <is>
          <t>A 7639-2025</t>
        </is>
      </c>
      <c r="B390" s="1" t="n">
        <v>45705.77465277778</v>
      </c>
      <c r="C390" s="1" t="n">
        <v>46166</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61682-2024</t>
        </is>
      </c>
      <c r="B391" s="1" t="n">
        <v>45647.48824074074</v>
      </c>
      <c r="C391" s="1" t="n">
        <v>46166</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15434-2024</t>
        </is>
      </c>
      <c r="B392" s="1" t="n">
        <v>45401.38836805556</v>
      </c>
      <c r="C392" s="1" t="n">
        <v>46166</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7034-2023</t>
        </is>
      </c>
      <c r="B393" s="1" t="n">
        <v>44968.32108796296</v>
      </c>
      <c r="C393" s="1" t="n">
        <v>46166</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7042-2023</t>
        </is>
      </c>
      <c r="B394" s="1" t="n">
        <v>44968</v>
      </c>
      <c r="C394" s="1" t="n">
        <v>46166</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46166</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2180-2025</t>
        </is>
      </c>
      <c r="B396" s="1" t="n">
        <v>45673</v>
      </c>
      <c r="C396" s="1" t="n">
        <v>46166</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52637-2025</t>
        </is>
      </c>
      <c r="B397" s="1" t="n">
        <v>45954.75099537037</v>
      </c>
      <c r="C397" s="1" t="n">
        <v>46166</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54074-2022</t>
        </is>
      </c>
      <c r="B398" s="1" t="n">
        <v>44881</v>
      </c>
      <c r="C398" s="1" t="n">
        <v>46166</v>
      </c>
      <c r="D398" t="inlineStr">
        <is>
          <t>GOTLANDS LÄN</t>
        </is>
      </c>
      <c r="E398" t="inlineStr">
        <is>
          <t>GOTLAND</t>
        </is>
      </c>
      <c r="G398" t="n">
        <v>0.9</v>
      </c>
      <c r="H398" t="n">
        <v>0</v>
      </c>
      <c r="I398" t="n">
        <v>0</v>
      </c>
      <c r="J398" t="n">
        <v>0</v>
      </c>
      <c r="K398" t="n">
        <v>0</v>
      </c>
      <c r="L398" t="n">
        <v>0</v>
      </c>
      <c r="M398" t="n">
        <v>0</v>
      </c>
      <c r="N398" t="n">
        <v>0</v>
      </c>
      <c r="O398" t="n">
        <v>0</v>
      </c>
      <c r="P398" t="n">
        <v>0</v>
      </c>
      <c r="Q398" t="n">
        <v>0</v>
      </c>
      <c r="R398" s="2" t="inlineStr"/>
    </row>
    <row r="399" ht="15" customHeight="1">
      <c r="A399" t="inlineStr">
        <is>
          <t>A 61694-2023</t>
        </is>
      </c>
      <c r="B399" s="1" t="n">
        <v>45264</v>
      </c>
      <c r="C399" s="1" t="n">
        <v>46166</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64208-2021</t>
        </is>
      </c>
      <c r="B400" s="1" t="n">
        <v>44510</v>
      </c>
      <c r="C400" s="1" t="n">
        <v>46166</v>
      </c>
      <c r="D400" t="inlineStr">
        <is>
          <t>GOTLANDS LÄN</t>
        </is>
      </c>
      <c r="E400" t="inlineStr">
        <is>
          <t>GOTLAND</t>
        </is>
      </c>
      <c r="G400" t="n">
        <v>4.7</v>
      </c>
      <c r="H400" t="n">
        <v>0</v>
      </c>
      <c r="I400" t="n">
        <v>0</v>
      </c>
      <c r="J400" t="n">
        <v>0</v>
      </c>
      <c r="K400" t="n">
        <v>0</v>
      </c>
      <c r="L400" t="n">
        <v>0</v>
      </c>
      <c r="M400" t="n">
        <v>0</v>
      </c>
      <c r="N400" t="n">
        <v>0</v>
      </c>
      <c r="O400" t="n">
        <v>0</v>
      </c>
      <c r="P400" t="n">
        <v>0</v>
      </c>
      <c r="Q400" t="n">
        <v>0</v>
      </c>
      <c r="R400" s="2" t="inlineStr"/>
    </row>
    <row r="401" ht="15" customHeight="1">
      <c r="A401" t="inlineStr">
        <is>
          <t>A 54268-2022</t>
        </is>
      </c>
      <c r="B401" s="1" t="n">
        <v>44882</v>
      </c>
      <c r="C401" s="1" t="n">
        <v>46166</v>
      </c>
      <c r="D401" t="inlineStr">
        <is>
          <t>GOTLANDS LÄN</t>
        </is>
      </c>
      <c r="E401" t="inlineStr">
        <is>
          <t>GOTLAND</t>
        </is>
      </c>
      <c r="G401" t="n">
        <v>2.7</v>
      </c>
      <c r="H401" t="n">
        <v>0</v>
      </c>
      <c r="I401" t="n">
        <v>0</v>
      </c>
      <c r="J401" t="n">
        <v>0</v>
      </c>
      <c r="K401" t="n">
        <v>0</v>
      </c>
      <c r="L401" t="n">
        <v>0</v>
      </c>
      <c r="M401" t="n">
        <v>0</v>
      </c>
      <c r="N401" t="n">
        <v>0</v>
      </c>
      <c r="O401" t="n">
        <v>0</v>
      </c>
      <c r="P401" t="n">
        <v>0</v>
      </c>
      <c r="Q401" t="n">
        <v>0</v>
      </c>
      <c r="R401" s="2" t="inlineStr"/>
    </row>
    <row r="402" ht="15" customHeight="1">
      <c r="A402" t="inlineStr">
        <is>
          <t>A 1446-2025</t>
        </is>
      </c>
      <c r="B402" s="1" t="n">
        <v>45669.86035879629</v>
      </c>
      <c r="C402" s="1" t="n">
        <v>46166</v>
      </c>
      <c r="D402" t="inlineStr">
        <is>
          <t>GOTLANDS LÄN</t>
        </is>
      </c>
      <c r="E402" t="inlineStr">
        <is>
          <t>GOTLAND</t>
        </is>
      </c>
      <c r="G402" t="n">
        <v>3.1</v>
      </c>
      <c r="H402" t="n">
        <v>0</v>
      </c>
      <c r="I402" t="n">
        <v>0</v>
      </c>
      <c r="J402" t="n">
        <v>0</v>
      </c>
      <c r="K402" t="n">
        <v>0</v>
      </c>
      <c r="L402" t="n">
        <v>0</v>
      </c>
      <c r="M402" t="n">
        <v>0</v>
      </c>
      <c r="N402" t="n">
        <v>0</v>
      </c>
      <c r="O402" t="n">
        <v>0</v>
      </c>
      <c r="P402" t="n">
        <v>0</v>
      </c>
      <c r="Q402" t="n">
        <v>0</v>
      </c>
      <c r="R402" s="2" t="inlineStr"/>
    </row>
    <row r="403" ht="15" customHeight="1">
      <c r="A403" t="inlineStr">
        <is>
          <t>A 1462-2025</t>
        </is>
      </c>
      <c r="B403" s="1" t="n">
        <v>45670.36319444444</v>
      </c>
      <c r="C403" s="1" t="n">
        <v>46166</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46166</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57685-2022</t>
        </is>
      </c>
      <c r="B405" s="1" t="n">
        <v>44897.4777662037</v>
      </c>
      <c r="C405" s="1" t="n">
        <v>46166</v>
      </c>
      <c r="D405" t="inlineStr">
        <is>
          <t>GOTLANDS LÄN</t>
        </is>
      </c>
      <c r="E405" t="inlineStr">
        <is>
          <t>GOTLAND</t>
        </is>
      </c>
      <c r="G405" t="n">
        <v>3.7</v>
      </c>
      <c r="H405" t="n">
        <v>0</v>
      </c>
      <c r="I405" t="n">
        <v>0</v>
      </c>
      <c r="J405" t="n">
        <v>0</v>
      </c>
      <c r="K405" t="n">
        <v>0</v>
      </c>
      <c r="L405" t="n">
        <v>0</v>
      </c>
      <c r="M405" t="n">
        <v>0</v>
      </c>
      <c r="N405" t="n">
        <v>0</v>
      </c>
      <c r="O405" t="n">
        <v>0</v>
      </c>
      <c r="P405" t="n">
        <v>0</v>
      </c>
      <c r="Q405" t="n">
        <v>0</v>
      </c>
      <c r="R405" s="2" t="inlineStr"/>
    </row>
    <row r="406" ht="15" customHeight="1">
      <c r="A406" t="inlineStr">
        <is>
          <t>A 811-2023</t>
        </is>
      </c>
      <c r="B406" s="1" t="n">
        <v>44931</v>
      </c>
      <c r="C406" s="1" t="n">
        <v>46166</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53569-2025</t>
        </is>
      </c>
      <c r="B407" s="1" t="n">
        <v>45960.41155092593</v>
      </c>
      <c r="C407" s="1" t="n">
        <v>46166</v>
      </c>
      <c r="D407" t="inlineStr">
        <is>
          <t>GOTLANDS LÄN</t>
        </is>
      </c>
      <c r="E407" t="inlineStr">
        <is>
          <t>GOTLAND</t>
        </is>
      </c>
      <c r="F407" t="inlineStr">
        <is>
          <t>Övriga Aktiebolag</t>
        </is>
      </c>
      <c r="G407" t="n">
        <v>11.3</v>
      </c>
      <c r="H407" t="n">
        <v>0</v>
      </c>
      <c r="I407" t="n">
        <v>0</v>
      </c>
      <c r="J407" t="n">
        <v>0</v>
      </c>
      <c r="K407" t="n">
        <v>0</v>
      </c>
      <c r="L407" t="n">
        <v>0</v>
      </c>
      <c r="M407" t="n">
        <v>0</v>
      </c>
      <c r="N407" t="n">
        <v>0</v>
      </c>
      <c r="O407" t="n">
        <v>0</v>
      </c>
      <c r="P407" t="n">
        <v>0</v>
      </c>
      <c r="Q407" t="n">
        <v>0</v>
      </c>
      <c r="R407" s="2" t="inlineStr"/>
    </row>
    <row r="408" ht="15" customHeight="1">
      <c r="A408" t="inlineStr">
        <is>
          <t>A 5905-2024</t>
        </is>
      </c>
      <c r="B408" s="1" t="n">
        <v>45335.88993055555</v>
      </c>
      <c r="C408" s="1" t="n">
        <v>46166</v>
      </c>
      <c r="D408" t="inlineStr">
        <is>
          <t>GOTLANDS LÄN</t>
        </is>
      </c>
      <c r="E408" t="inlineStr">
        <is>
          <t>GOTLAND</t>
        </is>
      </c>
      <c r="G408" t="n">
        <v>3</v>
      </c>
      <c r="H408" t="n">
        <v>0</v>
      </c>
      <c r="I408" t="n">
        <v>0</v>
      </c>
      <c r="J408" t="n">
        <v>0</v>
      </c>
      <c r="K408" t="n">
        <v>0</v>
      </c>
      <c r="L408" t="n">
        <v>0</v>
      </c>
      <c r="M408" t="n">
        <v>0</v>
      </c>
      <c r="N408" t="n">
        <v>0</v>
      </c>
      <c r="O408" t="n">
        <v>0</v>
      </c>
      <c r="P408" t="n">
        <v>0</v>
      </c>
      <c r="Q408" t="n">
        <v>0</v>
      </c>
      <c r="R408" s="2" t="inlineStr"/>
    </row>
    <row r="409" ht="15" customHeight="1">
      <c r="A409" t="inlineStr">
        <is>
          <t>A 3431-2025</t>
        </is>
      </c>
      <c r="B409" s="1" t="n">
        <v>45680.42935185185</v>
      </c>
      <c r="C409" s="1" t="n">
        <v>46166</v>
      </c>
      <c r="D409" t="inlineStr">
        <is>
          <t>GOTLANDS LÄN</t>
        </is>
      </c>
      <c r="E409" t="inlineStr">
        <is>
          <t>GOTLAND</t>
        </is>
      </c>
      <c r="G409" t="n">
        <v>4.8</v>
      </c>
      <c r="H409" t="n">
        <v>0</v>
      </c>
      <c r="I409" t="n">
        <v>0</v>
      </c>
      <c r="J409" t="n">
        <v>0</v>
      </c>
      <c r="K409" t="n">
        <v>0</v>
      </c>
      <c r="L409" t="n">
        <v>0</v>
      </c>
      <c r="M409" t="n">
        <v>0</v>
      </c>
      <c r="N409" t="n">
        <v>0</v>
      </c>
      <c r="O409" t="n">
        <v>0</v>
      </c>
      <c r="P409" t="n">
        <v>0</v>
      </c>
      <c r="Q409" t="n">
        <v>0</v>
      </c>
      <c r="R409" s="2" t="inlineStr"/>
    </row>
    <row r="410" ht="15" customHeight="1">
      <c r="A410" t="inlineStr">
        <is>
          <t>A 34407-2023</t>
        </is>
      </c>
      <c r="B410" s="1" t="n">
        <v>45132</v>
      </c>
      <c r="C410" s="1" t="n">
        <v>46166</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30892-2024</t>
        </is>
      </c>
      <c r="B411" s="1" t="n">
        <v>45491</v>
      </c>
      <c r="C411" s="1" t="n">
        <v>46166</v>
      </c>
      <c r="D411" t="inlineStr">
        <is>
          <t>GOTLANDS LÄN</t>
        </is>
      </c>
      <c r="E411" t="inlineStr">
        <is>
          <t>GOTLAND</t>
        </is>
      </c>
      <c r="G411" t="n">
        <v>6.1</v>
      </c>
      <c r="H411" t="n">
        <v>0</v>
      </c>
      <c r="I411" t="n">
        <v>0</v>
      </c>
      <c r="J411" t="n">
        <v>0</v>
      </c>
      <c r="K411" t="n">
        <v>0</v>
      </c>
      <c r="L411" t="n">
        <v>0</v>
      </c>
      <c r="M411" t="n">
        <v>0</v>
      </c>
      <c r="N411" t="n">
        <v>0</v>
      </c>
      <c r="O411" t="n">
        <v>0</v>
      </c>
      <c r="P411" t="n">
        <v>0</v>
      </c>
      <c r="Q411" t="n">
        <v>0</v>
      </c>
      <c r="R411" s="2" t="inlineStr"/>
    </row>
    <row r="412" ht="15" customHeight="1">
      <c r="A412" t="inlineStr">
        <is>
          <t>A 32958-2021</t>
        </is>
      </c>
      <c r="B412" s="1" t="n">
        <v>44376</v>
      </c>
      <c r="C412" s="1" t="n">
        <v>46166</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7858-2025</t>
        </is>
      </c>
      <c r="B413" s="1" t="n">
        <v>45706.68633101852</v>
      </c>
      <c r="C413" s="1" t="n">
        <v>46166</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46166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999-2023</t>
        </is>
      </c>
      <c r="B415" s="1" t="n">
        <v>44935</v>
      </c>
      <c r="C415" s="1" t="n">
        <v>46166</v>
      </c>
      <c r="D415" t="inlineStr">
        <is>
          <t>GOTLANDS LÄN</t>
        </is>
      </c>
      <c r="E415" t="inlineStr">
        <is>
          <t>GOTLAND</t>
        </is>
      </c>
      <c r="G415" t="n">
        <v>4.7</v>
      </c>
      <c r="H415" t="n">
        <v>0</v>
      </c>
      <c r="I415" t="n">
        <v>0</v>
      </c>
      <c r="J415" t="n">
        <v>0</v>
      </c>
      <c r="K415" t="n">
        <v>0</v>
      </c>
      <c r="L415" t="n">
        <v>0</v>
      </c>
      <c r="M415" t="n">
        <v>0</v>
      </c>
      <c r="N415" t="n">
        <v>0</v>
      </c>
      <c r="O415" t="n">
        <v>0</v>
      </c>
      <c r="P415" t="n">
        <v>0</v>
      </c>
      <c r="Q415" t="n">
        <v>0</v>
      </c>
      <c r="R415" s="2" t="inlineStr"/>
    </row>
    <row r="416" ht="15" customHeight="1">
      <c r="A416" t="inlineStr">
        <is>
          <t>A 1364-2025</t>
        </is>
      </c>
      <c r="B416" s="1" t="n">
        <v>45667.63929398148</v>
      </c>
      <c r="C416" s="1" t="n">
        <v>46166</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2125-2025</t>
        </is>
      </c>
      <c r="B417" s="1" t="n">
        <v>45672.64940972222</v>
      </c>
      <c r="C417" s="1" t="n">
        <v>46166</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14141-2024</t>
        </is>
      </c>
      <c r="B418" s="1" t="n">
        <v>45392.85193287037</v>
      </c>
      <c r="C418" s="1" t="n">
        <v>46166</v>
      </c>
      <c r="D418" t="inlineStr">
        <is>
          <t>GOTLANDS LÄN</t>
        </is>
      </c>
      <c r="E418" t="inlineStr">
        <is>
          <t>GOTLAND</t>
        </is>
      </c>
      <c r="G418" t="n">
        <v>5.3</v>
      </c>
      <c r="H418" t="n">
        <v>0</v>
      </c>
      <c r="I418" t="n">
        <v>0</v>
      </c>
      <c r="J418" t="n">
        <v>0</v>
      </c>
      <c r="K418" t="n">
        <v>0</v>
      </c>
      <c r="L418" t="n">
        <v>0</v>
      </c>
      <c r="M418" t="n">
        <v>0</v>
      </c>
      <c r="N418" t="n">
        <v>0</v>
      </c>
      <c r="O418" t="n">
        <v>0</v>
      </c>
      <c r="P418" t="n">
        <v>0</v>
      </c>
      <c r="Q418" t="n">
        <v>0</v>
      </c>
      <c r="R418" s="2" t="inlineStr"/>
    </row>
    <row r="419" ht="15" customHeight="1">
      <c r="A419" t="inlineStr">
        <is>
          <t>A 12155-2023</t>
        </is>
      </c>
      <c r="B419" s="1" t="n">
        <v>44998.49106481481</v>
      </c>
      <c r="C419" s="1" t="n">
        <v>46166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2774-2024</t>
        </is>
      </c>
      <c r="B420" s="1" t="n">
        <v>45314.62375</v>
      </c>
      <c r="C420" s="1" t="n">
        <v>46166</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9947-2024</t>
        </is>
      </c>
      <c r="B421" s="1" t="n">
        <v>45363</v>
      </c>
      <c r="C421" s="1" t="n">
        <v>46166</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42007-2023</t>
        </is>
      </c>
      <c r="B422" s="1" t="n">
        <v>45177</v>
      </c>
      <c r="C422" s="1" t="n">
        <v>46166</v>
      </c>
      <c r="D422" t="inlineStr">
        <is>
          <t>GOTLANDS LÄN</t>
        </is>
      </c>
      <c r="E422" t="inlineStr">
        <is>
          <t>GOTLAND</t>
        </is>
      </c>
      <c r="G422" t="n">
        <v>0.8</v>
      </c>
      <c r="H422" t="n">
        <v>0</v>
      </c>
      <c r="I422" t="n">
        <v>0</v>
      </c>
      <c r="J422" t="n">
        <v>0</v>
      </c>
      <c r="K422" t="n">
        <v>0</v>
      </c>
      <c r="L422" t="n">
        <v>0</v>
      </c>
      <c r="M422" t="n">
        <v>0</v>
      </c>
      <c r="N422" t="n">
        <v>0</v>
      </c>
      <c r="O422" t="n">
        <v>0</v>
      </c>
      <c r="P422" t="n">
        <v>0</v>
      </c>
      <c r="Q422" t="n">
        <v>0</v>
      </c>
      <c r="R422" s="2" t="inlineStr"/>
    </row>
    <row r="423" ht="15" customHeight="1">
      <c r="A423" t="inlineStr">
        <is>
          <t>A 56688-2025</t>
        </is>
      </c>
      <c r="B423" s="1" t="n">
        <v>45975.84331018518</v>
      </c>
      <c r="C423" s="1" t="n">
        <v>46166</v>
      </c>
      <c r="D423" t="inlineStr">
        <is>
          <t>GOTLANDS LÄN</t>
        </is>
      </c>
      <c r="E423" t="inlineStr">
        <is>
          <t>GOTLAND</t>
        </is>
      </c>
      <c r="G423" t="n">
        <v>1.3</v>
      </c>
      <c r="H423" t="n">
        <v>0</v>
      </c>
      <c r="I423" t="n">
        <v>0</v>
      </c>
      <c r="J423" t="n">
        <v>0</v>
      </c>
      <c r="K423" t="n">
        <v>0</v>
      </c>
      <c r="L423" t="n">
        <v>0</v>
      </c>
      <c r="M423" t="n">
        <v>0</v>
      </c>
      <c r="N423" t="n">
        <v>0</v>
      </c>
      <c r="O423" t="n">
        <v>0</v>
      </c>
      <c r="P423" t="n">
        <v>0</v>
      </c>
      <c r="Q423" t="n">
        <v>0</v>
      </c>
      <c r="R423" s="2" t="inlineStr"/>
    </row>
    <row r="424" ht="15" customHeight="1">
      <c r="A424" t="inlineStr">
        <is>
          <t>A 56799-2025</t>
        </is>
      </c>
      <c r="B424" s="1" t="n">
        <v>45978.43392361111</v>
      </c>
      <c r="C424" s="1" t="n">
        <v>46166</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15083-2025</t>
        </is>
      </c>
      <c r="B425" s="1" t="n">
        <v>45743</v>
      </c>
      <c r="C425" s="1" t="n">
        <v>46166</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59197-2025</t>
        </is>
      </c>
      <c r="B426" s="1" t="n">
        <v>45988.59846064815</v>
      </c>
      <c r="C426" s="1" t="n">
        <v>46166</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1066-2024</t>
        </is>
      </c>
      <c r="B427" s="1" t="n">
        <v>45302.285</v>
      </c>
      <c r="C427" s="1" t="n">
        <v>46166</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36319-2025</t>
        </is>
      </c>
      <c r="B428" s="1" t="n">
        <v>45868</v>
      </c>
      <c r="C428" s="1" t="n">
        <v>46166</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37202-2024</t>
        </is>
      </c>
      <c r="B429" s="1" t="n">
        <v>45539.67310185185</v>
      </c>
      <c r="C429" s="1" t="n">
        <v>46166</v>
      </c>
      <c r="D429" t="inlineStr">
        <is>
          <t>GOTLANDS LÄN</t>
        </is>
      </c>
      <c r="E429" t="inlineStr">
        <is>
          <t>GOTLAND</t>
        </is>
      </c>
      <c r="G429" t="n">
        <v>0.3</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46166</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46400-2023</t>
        </is>
      </c>
      <c r="B431" s="1" t="n">
        <v>45197.49290509259</v>
      </c>
      <c r="C431" s="1" t="n">
        <v>46166</v>
      </c>
      <c r="D431" t="inlineStr">
        <is>
          <t>GOTLANDS LÄN</t>
        </is>
      </c>
      <c r="E431" t="inlineStr">
        <is>
          <t>GOTLAND</t>
        </is>
      </c>
      <c r="G431" t="n">
        <v>0.8</v>
      </c>
      <c r="H431" t="n">
        <v>0</v>
      </c>
      <c r="I431" t="n">
        <v>0</v>
      </c>
      <c r="J431" t="n">
        <v>0</v>
      </c>
      <c r="K431" t="n">
        <v>0</v>
      </c>
      <c r="L431" t="n">
        <v>0</v>
      </c>
      <c r="M431" t="n">
        <v>0</v>
      </c>
      <c r="N431" t="n">
        <v>0</v>
      </c>
      <c r="O431" t="n">
        <v>0</v>
      </c>
      <c r="P431" t="n">
        <v>0</v>
      </c>
      <c r="Q431" t="n">
        <v>0</v>
      </c>
      <c r="R431" s="2" t="inlineStr"/>
    </row>
    <row r="432" ht="15" customHeight="1">
      <c r="A432" t="inlineStr">
        <is>
          <t>A 10492-2023</t>
        </is>
      </c>
      <c r="B432" s="1" t="n">
        <v>44987</v>
      </c>
      <c r="C432" s="1" t="n">
        <v>46166</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44919-2022</t>
        </is>
      </c>
      <c r="B433" s="1" t="n">
        <v>44841</v>
      </c>
      <c r="C433" s="1" t="n">
        <v>46166</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16501-2023</t>
        </is>
      </c>
      <c r="B434" s="1" t="n">
        <v>45029</v>
      </c>
      <c r="C434" s="1" t="n">
        <v>46166</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27095-2022</t>
        </is>
      </c>
      <c r="B435" s="1" t="n">
        <v>44741</v>
      </c>
      <c r="C435" s="1" t="n">
        <v>46166</v>
      </c>
      <c r="D435" t="inlineStr">
        <is>
          <t>GOTLANDS LÄN</t>
        </is>
      </c>
      <c r="E435" t="inlineStr">
        <is>
          <t>GOTLAND</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458-2023</t>
        </is>
      </c>
      <c r="B436" s="1" t="n">
        <v>44929</v>
      </c>
      <c r="C436" s="1" t="n">
        <v>46166</v>
      </c>
      <c r="D436" t="inlineStr">
        <is>
          <t>GOTLANDS LÄN</t>
        </is>
      </c>
      <c r="E436" t="inlineStr">
        <is>
          <t>GOTLAND</t>
        </is>
      </c>
      <c r="G436" t="n">
        <v>3.6</v>
      </c>
      <c r="H436" t="n">
        <v>0</v>
      </c>
      <c r="I436" t="n">
        <v>0</v>
      </c>
      <c r="J436" t="n">
        <v>0</v>
      </c>
      <c r="K436" t="n">
        <v>0</v>
      </c>
      <c r="L436" t="n">
        <v>0</v>
      </c>
      <c r="M436" t="n">
        <v>0</v>
      </c>
      <c r="N436" t="n">
        <v>0</v>
      </c>
      <c r="O436" t="n">
        <v>0</v>
      </c>
      <c r="P436" t="n">
        <v>0</v>
      </c>
      <c r="Q436" t="n">
        <v>0</v>
      </c>
      <c r="R436" s="2" t="inlineStr"/>
    </row>
    <row r="437" ht="15" customHeight="1">
      <c r="A437" t="inlineStr">
        <is>
          <t>A 1291-2023</t>
        </is>
      </c>
      <c r="B437" s="1" t="n">
        <v>44936.47561342592</v>
      </c>
      <c r="C437" s="1" t="n">
        <v>46166</v>
      </c>
      <c r="D437" t="inlineStr">
        <is>
          <t>GOTLANDS LÄN</t>
        </is>
      </c>
      <c r="E437" t="inlineStr">
        <is>
          <t>GOTLAND</t>
        </is>
      </c>
      <c r="G437" t="n">
        <v>7.4</v>
      </c>
      <c r="H437" t="n">
        <v>0</v>
      </c>
      <c r="I437" t="n">
        <v>0</v>
      </c>
      <c r="J437" t="n">
        <v>0</v>
      </c>
      <c r="K437" t="n">
        <v>0</v>
      </c>
      <c r="L437" t="n">
        <v>0</v>
      </c>
      <c r="M437" t="n">
        <v>0</v>
      </c>
      <c r="N437" t="n">
        <v>0</v>
      </c>
      <c r="O437" t="n">
        <v>0</v>
      </c>
      <c r="P437" t="n">
        <v>0</v>
      </c>
      <c r="Q437" t="n">
        <v>0</v>
      </c>
      <c r="R437" s="2" t="inlineStr"/>
    </row>
    <row r="438" ht="15" customHeight="1">
      <c r="A438" t="inlineStr">
        <is>
          <t>A 32330-2024</t>
        </is>
      </c>
      <c r="B438" s="1" t="n">
        <v>45512</v>
      </c>
      <c r="C438" s="1" t="n">
        <v>46166</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46166</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62066-2025</t>
        </is>
      </c>
      <c r="B440" s="1" t="n">
        <v>46006.34738425926</v>
      </c>
      <c r="C440" s="1" t="n">
        <v>46166</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62103-2025</t>
        </is>
      </c>
      <c r="B441" s="1" t="n">
        <v>46006</v>
      </c>
      <c r="C441" s="1" t="n">
        <v>46166</v>
      </c>
      <c r="D441" t="inlineStr">
        <is>
          <t>GOTLANDS LÄN</t>
        </is>
      </c>
      <c r="E441" t="inlineStr">
        <is>
          <t>GOTLAND</t>
        </is>
      </c>
      <c r="F441" t="inlineStr">
        <is>
          <t>Övriga Aktiebolag</t>
        </is>
      </c>
      <c r="G441" t="n">
        <v>1.7</v>
      </c>
      <c r="H441" t="n">
        <v>0</v>
      </c>
      <c r="I441" t="n">
        <v>0</v>
      </c>
      <c r="J441" t="n">
        <v>0</v>
      </c>
      <c r="K441" t="n">
        <v>0</v>
      </c>
      <c r="L441" t="n">
        <v>0</v>
      </c>
      <c r="M441" t="n">
        <v>0</v>
      </c>
      <c r="N441" t="n">
        <v>0</v>
      </c>
      <c r="O441" t="n">
        <v>0</v>
      </c>
      <c r="P441" t="n">
        <v>0</v>
      </c>
      <c r="Q441" t="n">
        <v>0</v>
      </c>
      <c r="R441" s="2" t="inlineStr"/>
    </row>
    <row r="442" ht="15" customHeight="1">
      <c r="A442" t="inlineStr">
        <is>
          <t>A 2719-2023</t>
        </is>
      </c>
      <c r="B442" s="1" t="n">
        <v>44944.55361111111</v>
      </c>
      <c r="C442" s="1" t="n">
        <v>46166</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17144-2025</t>
        </is>
      </c>
      <c r="B443" s="1" t="n">
        <v>45755.9499537037</v>
      </c>
      <c r="C443" s="1" t="n">
        <v>46166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49314-2024</t>
        </is>
      </c>
      <c r="B444" s="1" t="n">
        <v>45595.55893518519</v>
      </c>
      <c r="C444" s="1" t="n">
        <v>46166</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46166</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29809-2022</t>
        </is>
      </c>
      <c r="B446" s="1" t="n">
        <v>44755.8713425926</v>
      </c>
      <c r="C446" s="1" t="n">
        <v>46166</v>
      </c>
      <c r="D446" t="inlineStr">
        <is>
          <t>GOTLANDS LÄN</t>
        </is>
      </c>
      <c r="E446" t="inlineStr">
        <is>
          <t>GOTLAND</t>
        </is>
      </c>
      <c r="G446" t="n">
        <v>11.5</v>
      </c>
      <c r="H446" t="n">
        <v>0</v>
      </c>
      <c r="I446" t="n">
        <v>0</v>
      </c>
      <c r="J446" t="n">
        <v>0</v>
      </c>
      <c r="K446" t="n">
        <v>0</v>
      </c>
      <c r="L446" t="n">
        <v>0</v>
      </c>
      <c r="M446" t="n">
        <v>0</v>
      </c>
      <c r="N446" t="n">
        <v>0</v>
      </c>
      <c r="O446" t="n">
        <v>0</v>
      </c>
      <c r="P446" t="n">
        <v>0</v>
      </c>
      <c r="Q446" t="n">
        <v>0</v>
      </c>
      <c r="R446" s="2" t="inlineStr"/>
    </row>
    <row r="447" ht="15" customHeight="1">
      <c r="A447" t="inlineStr">
        <is>
          <t>A 63002-2025</t>
        </is>
      </c>
      <c r="B447" s="1" t="n">
        <v>46009.56564814815</v>
      </c>
      <c r="C447" s="1" t="n">
        <v>46166</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16361-2024</t>
        </is>
      </c>
      <c r="B448" s="1" t="n">
        <v>45407</v>
      </c>
      <c r="C448" s="1" t="n">
        <v>46166</v>
      </c>
      <c r="D448" t="inlineStr">
        <is>
          <t>GOTLANDS LÄN</t>
        </is>
      </c>
      <c r="E448" t="inlineStr">
        <is>
          <t>GOTLAND</t>
        </is>
      </c>
      <c r="G448" t="n">
        <v>6</v>
      </c>
      <c r="H448" t="n">
        <v>0</v>
      </c>
      <c r="I448" t="n">
        <v>0</v>
      </c>
      <c r="J448" t="n">
        <v>0</v>
      </c>
      <c r="K448" t="n">
        <v>0</v>
      </c>
      <c r="L448" t="n">
        <v>0</v>
      </c>
      <c r="M448" t="n">
        <v>0</v>
      </c>
      <c r="N448" t="n">
        <v>0</v>
      </c>
      <c r="O448" t="n">
        <v>0</v>
      </c>
      <c r="P448" t="n">
        <v>0</v>
      </c>
      <c r="Q448" t="n">
        <v>0</v>
      </c>
      <c r="R448" s="2" t="inlineStr"/>
    </row>
    <row r="449" ht="15" customHeight="1">
      <c r="A449" t="inlineStr">
        <is>
          <t>A 43081-2022</t>
        </is>
      </c>
      <c r="B449" s="1" t="n">
        <v>44833</v>
      </c>
      <c r="C449" s="1" t="n">
        <v>46166</v>
      </c>
      <c r="D449" t="inlineStr">
        <is>
          <t>GOTLANDS LÄN</t>
        </is>
      </c>
      <c r="E449" t="inlineStr">
        <is>
          <t>GOTLAND</t>
        </is>
      </c>
      <c r="G449" t="n">
        <v>6.8</v>
      </c>
      <c r="H449" t="n">
        <v>0</v>
      </c>
      <c r="I449" t="n">
        <v>0</v>
      </c>
      <c r="J449" t="n">
        <v>0</v>
      </c>
      <c r="K449" t="n">
        <v>0</v>
      </c>
      <c r="L449" t="n">
        <v>0</v>
      </c>
      <c r="M449" t="n">
        <v>0</v>
      </c>
      <c r="N449" t="n">
        <v>0</v>
      </c>
      <c r="O449" t="n">
        <v>0</v>
      </c>
      <c r="P449" t="n">
        <v>0</v>
      </c>
      <c r="Q449" t="n">
        <v>0</v>
      </c>
      <c r="R449" s="2" t="inlineStr"/>
    </row>
    <row r="450" ht="15" customHeight="1">
      <c r="A450" t="inlineStr">
        <is>
          <t>A 1175-2025</t>
        </is>
      </c>
      <c r="B450" s="1" t="n">
        <v>45667.34449074074</v>
      </c>
      <c r="C450" s="1" t="n">
        <v>46166</v>
      </c>
      <c r="D450" t="inlineStr">
        <is>
          <t>GOTLANDS LÄN</t>
        </is>
      </c>
      <c r="E450" t="inlineStr">
        <is>
          <t>GOTLAND</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38649-2025</t>
        </is>
      </c>
      <c r="B451" s="1" t="n">
        <v>45884</v>
      </c>
      <c r="C451" s="1" t="n">
        <v>46166</v>
      </c>
      <c r="D451" t="inlineStr">
        <is>
          <t>GOTLANDS LÄN</t>
        </is>
      </c>
      <c r="E451" t="inlineStr">
        <is>
          <t>GOTLAND</t>
        </is>
      </c>
      <c r="G451" t="n">
        <v>1.5</v>
      </c>
      <c r="H451" t="n">
        <v>0</v>
      </c>
      <c r="I451" t="n">
        <v>0</v>
      </c>
      <c r="J451" t="n">
        <v>0</v>
      </c>
      <c r="K451" t="n">
        <v>0</v>
      </c>
      <c r="L451" t="n">
        <v>0</v>
      </c>
      <c r="M451" t="n">
        <v>0</v>
      </c>
      <c r="N451" t="n">
        <v>0</v>
      </c>
      <c r="O451" t="n">
        <v>0</v>
      </c>
      <c r="P451" t="n">
        <v>0</v>
      </c>
      <c r="Q451" t="n">
        <v>0</v>
      </c>
      <c r="R451" s="2" t="inlineStr"/>
    </row>
    <row r="452" ht="15" customHeight="1">
      <c r="A452" t="inlineStr">
        <is>
          <t>A 3150-2025</t>
        </is>
      </c>
      <c r="B452" s="1" t="n">
        <v>45679.28974537037</v>
      </c>
      <c r="C452" s="1" t="n">
        <v>46166</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61078-2025</t>
        </is>
      </c>
      <c r="B453" s="1" t="n">
        <v>46000</v>
      </c>
      <c r="C453" s="1" t="n">
        <v>46166</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36-2026</t>
        </is>
      </c>
      <c r="B454" s="1" t="n">
        <v>46024.38886574074</v>
      </c>
      <c r="C454" s="1" t="n">
        <v>46166</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42041-2024</t>
        </is>
      </c>
      <c r="B455" s="1" t="n">
        <v>45561</v>
      </c>
      <c r="C455" s="1" t="n">
        <v>46166</v>
      </c>
      <c r="D455" t="inlineStr">
        <is>
          <t>GOTLANDS LÄN</t>
        </is>
      </c>
      <c r="E455" t="inlineStr">
        <is>
          <t>GOTLAND</t>
        </is>
      </c>
      <c r="G455" t="n">
        <v>3.2</v>
      </c>
      <c r="H455" t="n">
        <v>0</v>
      </c>
      <c r="I455" t="n">
        <v>0</v>
      </c>
      <c r="J455" t="n">
        <v>0</v>
      </c>
      <c r="K455" t="n">
        <v>0</v>
      </c>
      <c r="L455" t="n">
        <v>0</v>
      </c>
      <c r="M455" t="n">
        <v>0</v>
      </c>
      <c r="N455" t="n">
        <v>0</v>
      </c>
      <c r="O455" t="n">
        <v>0</v>
      </c>
      <c r="P455" t="n">
        <v>0</v>
      </c>
      <c r="Q455" t="n">
        <v>0</v>
      </c>
      <c r="R455" s="2" t="inlineStr"/>
    </row>
    <row r="456" ht="15" customHeight="1">
      <c r="A456" t="inlineStr">
        <is>
          <t>A 1355-2026</t>
        </is>
      </c>
      <c r="B456" s="1" t="n">
        <v>46031.59909722222</v>
      </c>
      <c r="C456" s="1" t="n">
        <v>46166</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15436-2025</t>
        </is>
      </c>
      <c r="B457" s="1" t="n">
        <v>45747.47462962963</v>
      </c>
      <c r="C457" s="1" t="n">
        <v>46166</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1898-2026</t>
        </is>
      </c>
      <c r="B458" s="1" t="n">
        <v>46035.52024305556</v>
      </c>
      <c r="C458" s="1" t="n">
        <v>46166</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44705.38832175926</v>
      </c>
      <c r="C459" s="1" t="n">
        <v>46166</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2415-2026</t>
        </is>
      </c>
      <c r="B460" s="1" t="n">
        <v>46036.76203703704</v>
      </c>
      <c r="C460" s="1" t="n">
        <v>46166</v>
      </c>
      <c r="D460" t="inlineStr">
        <is>
          <t>GOTLANDS LÄN</t>
        </is>
      </c>
      <c r="E460" t="inlineStr">
        <is>
          <t>GOTLAND</t>
        </is>
      </c>
      <c r="G460" t="n">
        <v>6.9</v>
      </c>
      <c r="H460" t="n">
        <v>0</v>
      </c>
      <c r="I460" t="n">
        <v>0</v>
      </c>
      <c r="J460" t="n">
        <v>0</v>
      </c>
      <c r="K460" t="n">
        <v>0</v>
      </c>
      <c r="L460" t="n">
        <v>0</v>
      </c>
      <c r="M460" t="n">
        <v>0</v>
      </c>
      <c r="N460" t="n">
        <v>0</v>
      </c>
      <c r="O460" t="n">
        <v>0</v>
      </c>
      <c r="P460" t="n">
        <v>0</v>
      </c>
      <c r="Q460" t="n">
        <v>0</v>
      </c>
      <c r="R460" s="2" t="inlineStr"/>
    </row>
    <row r="461" ht="15" customHeight="1">
      <c r="A461" t="inlineStr">
        <is>
          <t>A 17780-2022</t>
        </is>
      </c>
      <c r="B461" s="1" t="n">
        <v>44682.82622685185</v>
      </c>
      <c r="C461" s="1" t="n">
        <v>46166</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3253-2026</t>
        </is>
      </c>
      <c r="B462" s="1" t="n">
        <v>46041.58902777778</v>
      </c>
      <c r="C462" s="1" t="n">
        <v>46166</v>
      </c>
      <c r="D462" t="inlineStr">
        <is>
          <t>GOTLANDS LÄN</t>
        </is>
      </c>
      <c r="E462" t="inlineStr">
        <is>
          <t>GOTLAND</t>
        </is>
      </c>
      <c r="G462" t="n">
        <v>0.7</v>
      </c>
      <c r="H462" t="n">
        <v>0</v>
      </c>
      <c r="I462" t="n">
        <v>0</v>
      </c>
      <c r="J462" t="n">
        <v>0</v>
      </c>
      <c r="K462" t="n">
        <v>0</v>
      </c>
      <c r="L462" t="n">
        <v>0</v>
      </c>
      <c r="M462" t="n">
        <v>0</v>
      </c>
      <c r="N462" t="n">
        <v>0</v>
      </c>
      <c r="O462" t="n">
        <v>0</v>
      </c>
      <c r="P462" t="n">
        <v>0</v>
      </c>
      <c r="Q462" t="n">
        <v>0</v>
      </c>
      <c r="R462" s="2" t="inlineStr"/>
    </row>
    <row r="463" ht="15" customHeight="1">
      <c r="A463" t="inlineStr">
        <is>
          <t>A 63516-2023</t>
        </is>
      </c>
      <c r="B463" s="1" t="n">
        <v>45274</v>
      </c>
      <c r="C463" s="1" t="n">
        <v>46166</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53935-2024</t>
        </is>
      </c>
      <c r="B464" s="1" t="n">
        <v>45615</v>
      </c>
      <c r="C464" s="1" t="n">
        <v>46166</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46166</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48734-2022</t>
        </is>
      </c>
      <c r="B466" s="1" t="n">
        <v>44855</v>
      </c>
      <c r="C466" s="1" t="n">
        <v>46166</v>
      </c>
      <c r="D466" t="inlineStr">
        <is>
          <t>GOTLANDS LÄN</t>
        </is>
      </c>
      <c r="E466" t="inlineStr">
        <is>
          <t>GOTLAND</t>
        </is>
      </c>
      <c r="G466" t="n">
        <v>1.6</v>
      </c>
      <c r="H466" t="n">
        <v>0</v>
      </c>
      <c r="I466" t="n">
        <v>0</v>
      </c>
      <c r="J466" t="n">
        <v>0</v>
      </c>
      <c r="K466" t="n">
        <v>0</v>
      </c>
      <c r="L466" t="n">
        <v>0</v>
      </c>
      <c r="M466" t="n">
        <v>0</v>
      </c>
      <c r="N466" t="n">
        <v>0</v>
      </c>
      <c r="O466" t="n">
        <v>0</v>
      </c>
      <c r="P466" t="n">
        <v>0</v>
      </c>
      <c r="Q466" t="n">
        <v>0</v>
      </c>
      <c r="R466" s="2" t="inlineStr"/>
    </row>
    <row r="467" ht="15" customHeight="1">
      <c r="A467" t="inlineStr">
        <is>
          <t>A 23516-2023</t>
        </is>
      </c>
      <c r="B467" s="1" t="n">
        <v>45076.93391203704</v>
      </c>
      <c r="C467" s="1" t="n">
        <v>46166</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43231-2023</t>
        </is>
      </c>
      <c r="B468" s="1" t="n">
        <v>45183.47025462963</v>
      </c>
      <c r="C468" s="1" t="n">
        <v>46166</v>
      </c>
      <c r="D468" t="inlineStr">
        <is>
          <t>GOTLANDS LÄN</t>
        </is>
      </c>
      <c r="E468" t="inlineStr">
        <is>
          <t>GOTLAND</t>
        </is>
      </c>
      <c r="G468" t="n">
        <v>3.6</v>
      </c>
      <c r="H468" t="n">
        <v>0</v>
      </c>
      <c r="I468" t="n">
        <v>0</v>
      </c>
      <c r="J468" t="n">
        <v>0</v>
      </c>
      <c r="K468" t="n">
        <v>0</v>
      </c>
      <c r="L468" t="n">
        <v>0</v>
      </c>
      <c r="M468" t="n">
        <v>0</v>
      </c>
      <c r="N468" t="n">
        <v>0</v>
      </c>
      <c r="O468" t="n">
        <v>0</v>
      </c>
      <c r="P468" t="n">
        <v>0</v>
      </c>
      <c r="Q468" t="n">
        <v>0</v>
      </c>
      <c r="R468" s="2" t="inlineStr"/>
    </row>
    <row r="469" ht="15" customHeight="1">
      <c r="A469" t="inlineStr">
        <is>
          <t>A 58230-2024</t>
        </is>
      </c>
      <c r="B469" s="1" t="n">
        <v>45632.51625</v>
      </c>
      <c r="C469" s="1" t="n">
        <v>46166</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64555-2023</t>
        </is>
      </c>
      <c r="B470" s="1" t="n">
        <v>45281</v>
      </c>
      <c r="C470" s="1" t="n">
        <v>46166</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1839-2026</t>
        </is>
      </c>
      <c r="B471" s="1" t="n">
        <v>46035.3942824074</v>
      </c>
      <c r="C471" s="1" t="n">
        <v>46166</v>
      </c>
      <c r="D471" t="inlineStr">
        <is>
          <t>GOTLANDS LÄN</t>
        </is>
      </c>
      <c r="E471" t="inlineStr">
        <is>
          <t>GOTLAND</t>
        </is>
      </c>
      <c r="G471" t="n">
        <v>3.5</v>
      </c>
      <c r="H471" t="n">
        <v>0</v>
      </c>
      <c r="I471" t="n">
        <v>0</v>
      </c>
      <c r="J471" t="n">
        <v>0</v>
      </c>
      <c r="K471" t="n">
        <v>0</v>
      </c>
      <c r="L471" t="n">
        <v>0</v>
      </c>
      <c r="M471" t="n">
        <v>0</v>
      </c>
      <c r="N471" t="n">
        <v>0</v>
      </c>
      <c r="O471" t="n">
        <v>0</v>
      </c>
      <c r="P471" t="n">
        <v>0</v>
      </c>
      <c r="Q471" t="n">
        <v>0</v>
      </c>
      <c r="R471" s="2" t="inlineStr"/>
    </row>
    <row r="472" ht="15" customHeight="1">
      <c r="A472" t="inlineStr">
        <is>
          <t>A 457-2023</t>
        </is>
      </c>
      <c r="B472" s="1" t="n">
        <v>44929.87238425926</v>
      </c>
      <c r="C472" s="1" t="n">
        <v>46166</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459-2023</t>
        </is>
      </c>
      <c r="B473" s="1" t="n">
        <v>44929.87423611111</v>
      </c>
      <c r="C473" s="1" t="n">
        <v>46166</v>
      </c>
      <c r="D473" t="inlineStr">
        <is>
          <t>GOTLANDS LÄN</t>
        </is>
      </c>
      <c r="E473" t="inlineStr">
        <is>
          <t>GOTLAND</t>
        </is>
      </c>
      <c r="G473" t="n">
        <v>4.2</v>
      </c>
      <c r="H473" t="n">
        <v>0</v>
      </c>
      <c r="I473" t="n">
        <v>0</v>
      </c>
      <c r="J473" t="n">
        <v>0</v>
      </c>
      <c r="K473" t="n">
        <v>0</v>
      </c>
      <c r="L473" t="n">
        <v>0</v>
      </c>
      <c r="M473" t="n">
        <v>0</v>
      </c>
      <c r="N473" t="n">
        <v>0</v>
      </c>
      <c r="O473" t="n">
        <v>0</v>
      </c>
      <c r="P473" t="n">
        <v>0</v>
      </c>
      <c r="Q473" t="n">
        <v>0</v>
      </c>
      <c r="R473" s="2" t="inlineStr"/>
    </row>
    <row r="474" ht="15" customHeight="1">
      <c r="A474" t="inlineStr">
        <is>
          <t>A 4646-2026</t>
        </is>
      </c>
      <c r="B474" s="1" t="n">
        <v>46048.40357638889</v>
      </c>
      <c r="C474" s="1" t="n">
        <v>46166</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4634-2026</t>
        </is>
      </c>
      <c r="B475" s="1" t="n">
        <v>46048.39304398148</v>
      </c>
      <c r="C475" s="1" t="n">
        <v>46166</v>
      </c>
      <c r="D475" t="inlineStr">
        <is>
          <t>GOTLANDS LÄN</t>
        </is>
      </c>
      <c r="E475" t="inlineStr">
        <is>
          <t>GOTLAND</t>
        </is>
      </c>
      <c r="G475" t="n">
        <v>7.8</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46166</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876-2024</t>
        </is>
      </c>
      <c r="B477" s="1" t="n">
        <v>45301</v>
      </c>
      <c r="C477" s="1" t="n">
        <v>46166</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26891-2024</t>
        </is>
      </c>
      <c r="B478" s="1" t="n">
        <v>45470.65540509259</v>
      </c>
      <c r="C478" s="1" t="n">
        <v>46166</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5923-2023</t>
        </is>
      </c>
      <c r="B479" s="1" t="n">
        <v>44963.69503472222</v>
      </c>
      <c r="C479" s="1" t="n">
        <v>46166</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50482-2024</t>
        </is>
      </c>
      <c r="B480" s="1" t="n">
        <v>45601.48114583334</v>
      </c>
      <c r="C480" s="1" t="n">
        <v>46166</v>
      </c>
      <c r="D480" t="inlineStr">
        <is>
          <t>GOTLANDS LÄN</t>
        </is>
      </c>
      <c r="E480" t="inlineStr">
        <is>
          <t>GOTLAND</t>
        </is>
      </c>
      <c r="G480" t="n">
        <v>2.3</v>
      </c>
      <c r="H480" t="n">
        <v>0</v>
      </c>
      <c r="I480" t="n">
        <v>0</v>
      </c>
      <c r="J480" t="n">
        <v>0</v>
      </c>
      <c r="K480" t="n">
        <v>0</v>
      </c>
      <c r="L480" t="n">
        <v>0</v>
      </c>
      <c r="M480" t="n">
        <v>0</v>
      </c>
      <c r="N480" t="n">
        <v>0</v>
      </c>
      <c r="O480" t="n">
        <v>0</v>
      </c>
      <c r="P480" t="n">
        <v>0</v>
      </c>
      <c r="Q480" t="n">
        <v>0</v>
      </c>
      <c r="R480" s="2" t="inlineStr"/>
    </row>
    <row r="481" ht="15" customHeight="1">
      <c r="A481" t="inlineStr">
        <is>
          <t>A 5943-2024</t>
        </is>
      </c>
      <c r="B481" s="1" t="n">
        <v>45336</v>
      </c>
      <c r="C481" s="1" t="n">
        <v>46166</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38234-2023</t>
        </is>
      </c>
      <c r="B482" s="1" t="n">
        <v>45161.56663194444</v>
      </c>
      <c r="C482" s="1" t="n">
        <v>46166</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1273-2023</t>
        </is>
      </c>
      <c r="B483" s="1" t="n">
        <v>44936</v>
      </c>
      <c r="C483" s="1" t="n">
        <v>46166</v>
      </c>
      <c r="D483" t="inlineStr">
        <is>
          <t>GOTLANDS LÄN</t>
        </is>
      </c>
      <c r="E483" t="inlineStr">
        <is>
          <t>GOTLAND</t>
        </is>
      </c>
      <c r="G483" t="n">
        <v>4.5</v>
      </c>
      <c r="H483" t="n">
        <v>0</v>
      </c>
      <c r="I483" t="n">
        <v>0</v>
      </c>
      <c r="J483" t="n">
        <v>0</v>
      </c>
      <c r="K483" t="n">
        <v>0</v>
      </c>
      <c r="L483" t="n">
        <v>0</v>
      </c>
      <c r="M483" t="n">
        <v>0</v>
      </c>
      <c r="N483" t="n">
        <v>0</v>
      </c>
      <c r="O483" t="n">
        <v>0</v>
      </c>
      <c r="P483" t="n">
        <v>0</v>
      </c>
      <c r="Q483" t="n">
        <v>0</v>
      </c>
      <c r="R483" s="2" t="inlineStr"/>
    </row>
    <row r="484" ht="15" customHeight="1">
      <c r="A484" t="inlineStr">
        <is>
          <t>A 6207-2026</t>
        </is>
      </c>
      <c r="B484" s="1" t="n">
        <v>46055.42083333333</v>
      </c>
      <c r="C484" s="1" t="n">
        <v>46166</v>
      </c>
      <c r="D484" t="inlineStr">
        <is>
          <t>GOTLANDS LÄN</t>
        </is>
      </c>
      <c r="E484" t="inlineStr">
        <is>
          <t>GOTLAND</t>
        </is>
      </c>
      <c r="G484" t="n">
        <v>7.6</v>
      </c>
      <c r="H484" t="n">
        <v>0</v>
      </c>
      <c r="I484" t="n">
        <v>0</v>
      </c>
      <c r="J484" t="n">
        <v>0</v>
      </c>
      <c r="K484" t="n">
        <v>0</v>
      </c>
      <c r="L484" t="n">
        <v>0</v>
      </c>
      <c r="M484" t="n">
        <v>0</v>
      </c>
      <c r="N484" t="n">
        <v>0</v>
      </c>
      <c r="O484" t="n">
        <v>0</v>
      </c>
      <c r="P484" t="n">
        <v>0</v>
      </c>
      <c r="Q484" t="n">
        <v>0</v>
      </c>
      <c r="R484" s="2" t="inlineStr"/>
    </row>
    <row r="485" ht="15" customHeight="1">
      <c r="A485" t="inlineStr">
        <is>
          <t>A 6218-2026</t>
        </is>
      </c>
      <c r="B485" s="1" t="n">
        <v>46055.42859953704</v>
      </c>
      <c r="C485" s="1" t="n">
        <v>46166</v>
      </c>
      <c r="D485" t="inlineStr">
        <is>
          <t>GOTLANDS LÄN</t>
        </is>
      </c>
      <c r="E485" t="inlineStr">
        <is>
          <t>GOTLAND</t>
        </is>
      </c>
      <c r="G485" t="n">
        <v>4.3</v>
      </c>
      <c r="H485" t="n">
        <v>0</v>
      </c>
      <c r="I485" t="n">
        <v>0</v>
      </c>
      <c r="J485" t="n">
        <v>0</v>
      </c>
      <c r="K485" t="n">
        <v>0</v>
      </c>
      <c r="L485" t="n">
        <v>0</v>
      </c>
      <c r="M485" t="n">
        <v>0</v>
      </c>
      <c r="N485" t="n">
        <v>0</v>
      </c>
      <c r="O485" t="n">
        <v>0</v>
      </c>
      <c r="P485" t="n">
        <v>0</v>
      </c>
      <c r="Q485" t="n">
        <v>0</v>
      </c>
      <c r="R485" s="2" t="inlineStr"/>
    </row>
    <row r="486" ht="15" customHeight="1">
      <c r="A486" t="inlineStr">
        <is>
          <t>A 6959-2026</t>
        </is>
      </c>
      <c r="B486" s="1" t="n">
        <v>46057.580625</v>
      </c>
      <c r="C486" s="1" t="n">
        <v>46166</v>
      </c>
      <c r="D486" t="inlineStr">
        <is>
          <t>GOTLANDS LÄN</t>
        </is>
      </c>
      <c r="E486" t="inlineStr">
        <is>
          <t>GOTLAND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17724-2024</t>
        </is>
      </c>
      <c r="B487" s="1" t="n">
        <v>45418.55096064815</v>
      </c>
      <c r="C487" s="1" t="n">
        <v>46166</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6960-2026</t>
        </is>
      </c>
      <c r="B488" s="1" t="n">
        <v>46057.58105324074</v>
      </c>
      <c r="C488" s="1" t="n">
        <v>46166</v>
      </c>
      <c r="D488" t="inlineStr">
        <is>
          <t>GOTLANDS LÄN</t>
        </is>
      </c>
      <c r="E488" t="inlineStr">
        <is>
          <t>GOTLAND</t>
        </is>
      </c>
      <c r="F488" t="inlineStr">
        <is>
          <t>Kyrkan</t>
        </is>
      </c>
      <c r="G488" t="n">
        <v>2.4</v>
      </c>
      <c r="H488" t="n">
        <v>0</v>
      </c>
      <c r="I488" t="n">
        <v>0</v>
      </c>
      <c r="J488" t="n">
        <v>0</v>
      </c>
      <c r="K488" t="n">
        <v>0</v>
      </c>
      <c r="L488" t="n">
        <v>0</v>
      </c>
      <c r="M488" t="n">
        <v>0</v>
      </c>
      <c r="N488" t="n">
        <v>0</v>
      </c>
      <c r="O488" t="n">
        <v>0</v>
      </c>
      <c r="P488" t="n">
        <v>0</v>
      </c>
      <c r="Q488" t="n">
        <v>0</v>
      </c>
      <c r="R488" s="2" t="inlineStr"/>
    </row>
    <row r="489" ht="15" customHeight="1">
      <c r="A489" t="inlineStr">
        <is>
          <t>A 23978-2023</t>
        </is>
      </c>
      <c r="B489" s="1" t="n">
        <v>45078</v>
      </c>
      <c r="C489" s="1" t="n">
        <v>46166</v>
      </c>
      <c r="D489" t="inlineStr">
        <is>
          <t>GOTLANDS LÄN</t>
        </is>
      </c>
      <c r="E489" t="inlineStr">
        <is>
          <t>GOTLAND</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49884-2023</t>
        </is>
      </c>
      <c r="B490" s="1" t="n">
        <v>45213</v>
      </c>
      <c r="C490" s="1" t="n">
        <v>46166</v>
      </c>
      <c r="D490" t="inlineStr">
        <is>
          <t>GOTLANDS LÄN</t>
        </is>
      </c>
      <c r="E490" t="inlineStr">
        <is>
          <t>GOTLAND</t>
        </is>
      </c>
      <c r="G490" t="n">
        <v>8.9</v>
      </c>
      <c r="H490" t="n">
        <v>0</v>
      </c>
      <c r="I490" t="n">
        <v>0</v>
      </c>
      <c r="J490" t="n">
        <v>0</v>
      </c>
      <c r="K490" t="n">
        <v>0</v>
      </c>
      <c r="L490" t="n">
        <v>0</v>
      </c>
      <c r="M490" t="n">
        <v>0</v>
      </c>
      <c r="N490" t="n">
        <v>0</v>
      </c>
      <c r="O490" t="n">
        <v>0</v>
      </c>
      <c r="P490" t="n">
        <v>0</v>
      </c>
      <c r="Q490" t="n">
        <v>0</v>
      </c>
      <c r="R490" s="2" t="inlineStr"/>
    </row>
    <row r="491" ht="15" customHeight="1">
      <c r="A491" t="inlineStr">
        <is>
          <t>A 12846-2025</t>
        </is>
      </c>
      <c r="B491" s="1" t="n">
        <v>45733.65049768519</v>
      </c>
      <c r="C491" s="1" t="n">
        <v>46166</v>
      </c>
      <c r="D491" t="inlineStr">
        <is>
          <t>GOTLANDS LÄN</t>
        </is>
      </c>
      <c r="E491" t="inlineStr">
        <is>
          <t>GOTLAND</t>
        </is>
      </c>
      <c r="G491" t="n">
        <v>1.7</v>
      </c>
      <c r="H491" t="n">
        <v>0</v>
      </c>
      <c r="I491" t="n">
        <v>0</v>
      </c>
      <c r="J491" t="n">
        <v>0</v>
      </c>
      <c r="K491" t="n">
        <v>0</v>
      </c>
      <c r="L491" t="n">
        <v>0</v>
      </c>
      <c r="M491" t="n">
        <v>0</v>
      </c>
      <c r="N491" t="n">
        <v>0</v>
      </c>
      <c r="O491" t="n">
        <v>0</v>
      </c>
      <c r="P491" t="n">
        <v>0</v>
      </c>
      <c r="Q491" t="n">
        <v>0</v>
      </c>
      <c r="R491" s="2" t="inlineStr"/>
    </row>
    <row r="492" ht="15" customHeight="1">
      <c r="A492" t="inlineStr">
        <is>
          <t>A 43200-2023</t>
        </is>
      </c>
      <c r="B492" s="1" t="n">
        <v>45183</v>
      </c>
      <c r="C492" s="1" t="n">
        <v>46166</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7627-2026</t>
        </is>
      </c>
      <c r="B493" s="1" t="n">
        <v>46062.35465277778</v>
      </c>
      <c r="C493" s="1" t="n">
        <v>46166</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63105-2025</t>
        </is>
      </c>
      <c r="B494" s="1" t="n">
        <v>46009</v>
      </c>
      <c r="C494" s="1" t="n">
        <v>46166</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46166</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7625-2026</t>
        </is>
      </c>
      <c r="B496" s="1" t="n">
        <v>46062.35135416667</v>
      </c>
      <c r="C496" s="1" t="n">
        <v>46166</v>
      </c>
      <c r="D496" t="inlineStr">
        <is>
          <t>GOTLANDS LÄN</t>
        </is>
      </c>
      <c r="E496" t="inlineStr">
        <is>
          <t>GOTLAND</t>
        </is>
      </c>
      <c r="G496" t="n">
        <v>2.1</v>
      </c>
      <c r="H496" t="n">
        <v>0</v>
      </c>
      <c r="I496" t="n">
        <v>0</v>
      </c>
      <c r="J496" t="n">
        <v>0</v>
      </c>
      <c r="K496" t="n">
        <v>0</v>
      </c>
      <c r="L496" t="n">
        <v>0</v>
      </c>
      <c r="M496" t="n">
        <v>0</v>
      </c>
      <c r="N496" t="n">
        <v>0</v>
      </c>
      <c r="O496" t="n">
        <v>0</v>
      </c>
      <c r="P496" t="n">
        <v>0</v>
      </c>
      <c r="Q496" t="n">
        <v>0</v>
      </c>
      <c r="R496" s="2" t="inlineStr"/>
    </row>
    <row r="497" ht="15" customHeight="1">
      <c r="A497" t="inlineStr">
        <is>
          <t>A 2135-2026</t>
        </is>
      </c>
      <c r="B497" s="1" t="n">
        <v>46036</v>
      </c>
      <c r="C497" s="1" t="n">
        <v>46166</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2134-2026</t>
        </is>
      </c>
      <c r="B498" s="1" t="n">
        <v>46036</v>
      </c>
      <c r="C498" s="1" t="n">
        <v>46166</v>
      </c>
      <c r="D498" t="inlineStr">
        <is>
          <t>GOTLANDS LÄN</t>
        </is>
      </c>
      <c r="E498" t="inlineStr">
        <is>
          <t>GOTLAND</t>
        </is>
      </c>
      <c r="G498" t="n">
        <v>1.7</v>
      </c>
      <c r="H498" t="n">
        <v>0</v>
      </c>
      <c r="I498" t="n">
        <v>0</v>
      </c>
      <c r="J498" t="n">
        <v>0</v>
      </c>
      <c r="K498" t="n">
        <v>0</v>
      </c>
      <c r="L498" t="n">
        <v>0</v>
      </c>
      <c r="M498" t="n">
        <v>0</v>
      </c>
      <c r="N498" t="n">
        <v>0</v>
      </c>
      <c r="O498" t="n">
        <v>0</v>
      </c>
      <c r="P498" t="n">
        <v>0</v>
      </c>
      <c r="Q498" t="n">
        <v>0</v>
      </c>
      <c r="R498" s="2" t="inlineStr"/>
    </row>
    <row r="499" ht="15" customHeight="1">
      <c r="A499" t="inlineStr">
        <is>
          <t>A 21792-2024</t>
        </is>
      </c>
      <c r="B499" s="1" t="n">
        <v>45442.64326388889</v>
      </c>
      <c r="C499" s="1" t="n">
        <v>46166</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48843-2024</t>
        </is>
      </c>
      <c r="B500" s="1" t="n">
        <v>45593</v>
      </c>
      <c r="C500" s="1" t="n">
        <v>46166</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53561-2025</t>
        </is>
      </c>
      <c r="B501" s="1" t="n">
        <v>45960.4059375</v>
      </c>
      <c r="C501" s="1" t="n">
        <v>46166</v>
      </c>
      <c r="D501" t="inlineStr">
        <is>
          <t>GOTLANDS LÄN</t>
        </is>
      </c>
      <c r="E501" t="inlineStr">
        <is>
          <t>GOTLAND</t>
        </is>
      </c>
      <c r="F501" t="inlineStr">
        <is>
          <t>Övriga Aktiebolag</t>
        </is>
      </c>
      <c r="G501" t="n">
        <v>2.4</v>
      </c>
      <c r="H501" t="n">
        <v>0</v>
      </c>
      <c r="I501" t="n">
        <v>0</v>
      </c>
      <c r="J501" t="n">
        <v>0</v>
      </c>
      <c r="K501" t="n">
        <v>0</v>
      </c>
      <c r="L501" t="n">
        <v>0</v>
      </c>
      <c r="M501" t="n">
        <v>0</v>
      </c>
      <c r="N501" t="n">
        <v>0</v>
      </c>
      <c r="O501" t="n">
        <v>0</v>
      </c>
      <c r="P501" t="n">
        <v>0</v>
      </c>
      <c r="Q501" t="n">
        <v>0</v>
      </c>
      <c r="R501" s="2" t="inlineStr"/>
    </row>
    <row r="502" ht="15" customHeight="1">
      <c r="A502" t="inlineStr">
        <is>
          <t>A 53587-2025</t>
        </is>
      </c>
      <c r="B502" s="1" t="n">
        <v>45960.43681712963</v>
      </c>
      <c r="C502" s="1" t="n">
        <v>46166</v>
      </c>
      <c r="D502" t="inlineStr">
        <is>
          <t>GOTLANDS LÄN</t>
        </is>
      </c>
      <c r="E502" t="inlineStr">
        <is>
          <t>GOTLAND</t>
        </is>
      </c>
      <c r="F502" t="inlineStr">
        <is>
          <t>Övriga Aktiebolag</t>
        </is>
      </c>
      <c r="G502" t="n">
        <v>1.7</v>
      </c>
      <c r="H502" t="n">
        <v>0</v>
      </c>
      <c r="I502" t="n">
        <v>0</v>
      </c>
      <c r="J502" t="n">
        <v>0</v>
      </c>
      <c r="K502" t="n">
        <v>0</v>
      </c>
      <c r="L502" t="n">
        <v>0</v>
      </c>
      <c r="M502" t="n">
        <v>0</v>
      </c>
      <c r="N502" t="n">
        <v>0</v>
      </c>
      <c r="O502" t="n">
        <v>0</v>
      </c>
      <c r="P502" t="n">
        <v>0</v>
      </c>
      <c r="Q502" t="n">
        <v>0</v>
      </c>
      <c r="R502" s="2" t="inlineStr"/>
    </row>
    <row r="503" ht="15" customHeight="1">
      <c r="A503" t="inlineStr">
        <is>
          <t>A 9540-2026</t>
        </is>
      </c>
      <c r="B503" s="1" t="n">
        <v>46071.61961805556</v>
      </c>
      <c r="C503" s="1" t="n">
        <v>46166</v>
      </c>
      <c r="D503" t="inlineStr">
        <is>
          <t>GOTLANDS LÄN</t>
        </is>
      </c>
      <c r="E503" t="inlineStr">
        <is>
          <t>GOTLAND</t>
        </is>
      </c>
      <c r="G503" t="n">
        <v>2.8</v>
      </c>
      <c r="H503" t="n">
        <v>0</v>
      </c>
      <c r="I503" t="n">
        <v>0</v>
      </c>
      <c r="J503" t="n">
        <v>0</v>
      </c>
      <c r="K503" t="n">
        <v>0</v>
      </c>
      <c r="L503" t="n">
        <v>0</v>
      </c>
      <c r="M503" t="n">
        <v>0</v>
      </c>
      <c r="N503" t="n">
        <v>0</v>
      </c>
      <c r="O503" t="n">
        <v>0</v>
      </c>
      <c r="P503" t="n">
        <v>0</v>
      </c>
      <c r="Q503" t="n">
        <v>0</v>
      </c>
      <c r="R503" s="2" t="inlineStr"/>
    </row>
    <row r="504" ht="15" customHeight="1">
      <c r="A504" t="inlineStr">
        <is>
          <t>A 10653-2023</t>
        </is>
      </c>
      <c r="B504" s="1" t="n">
        <v>44988.48859953704</v>
      </c>
      <c r="C504" s="1" t="n">
        <v>46166</v>
      </c>
      <c r="D504" t="inlineStr">
        <is>
          <t>GOTLANDS LÄN</t>
        </is>
      </c>
      <c r="E504" t="inlineStr">
        <is>
          <t>GOTLAND</t>
        </is>
      </c>
      <c r="F504" t="inlineStr">
        <is>
          <t>Kyrkan</t>
        </is>
      </c>
      <c r="G504" t="n">
        <v>3</v>
      </c>
      <c r="H504" t="n">
        <v>0</v>
      </c>
      <c r="I504" t="n">
        <v>0</v>
      </c>
      <c r="J504" t="n">
        <v>0</v>
      </c>
      <c r="K504" t="n">
        <v>0</v>
      </c>
      <c r="L504" t="n">
        <v>0</v>
      </c>
      <c r="M504" t="n">
        <v>0</v>
      </c>
      <c r="N504" t="n">
        <v>0</v>
      </c>
      <c r="O504" t="n">
        <v>0</v>
      </c>
      <c r="P504" t="n">
        <v>0</v>
      </c>
      <c r="Q504" t="n">
        <v>0</v>
      </c>
      <c r="R504" s="2" t="inlineStr"/>
    </row>
    <row r="505" ht="15" customHeight="1">
      <c r="A505" t="inlineStr">
        <is>
          <t>A 9521-2026</t>
        </is>
      </c>
      <c r="B505" s="1" t="n">
        <v>46071.59969907408</v>
      </c>
      <c r="C505" s="1" t="n">
        <v>46166</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9524-2026</t>
        </is>
      </c>
      <c r="B506" s="1" t="n">
        <v>46071.60108796296</v>
      </c>
      <c r="C506" s="1" t="n">
        <v>46166</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9543-2026</t>
        </is>
      </c>
      <c r="B507" s="1" t="n">
        <v>46071.62486111111</v>
      </c>
      <c r="C507" s="1" t="n">
        <v>46166</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9504-2026</t>
        </is>
      </c>
      <c r="B508" s="1" t="n">
        <v>46071.57730324074</v>
      </c>
      <c r="C508" s="1" t="n">
        <v>46166</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9518-2026</t>
        </is>
      </c>
      <c r="B509" s="1" t="n">
        <v>46071.59653935185</v>
      </c>
      <c r="C509" s="1" t="n">
        <v>46166</v>
      </c>
      <c r="D509" t="inlineStr">
        <is>
          <t>GOTLANDS LÄN</t>
        </is>
      </c>
      <c r="E509" t="inlineStr">
        <is>
          <t>GOTLAND</t>
        </is>
      </c>
      <c r="G509" t="n">
        <v>6.2</v>
      </c>
      <c r="H509" t="n">
        <v>0</v>
      </c>
      <c r="I509" t="n">
        <v>0</v>
      </c>
      <c r="J509" t="n">
        <v>0</v>
      </c>
      <c r="K509" t="n">
        <v>0</v>
      </c>
      <c r="L509" t="n">
        <v>0</v>
      </c>
      <c r="M509" t="n">
        <v>0</v>
      </c>
      <c r="N509" t="n">
        <v>0</v>
      </c>
      <c r="O509" t="n">
        <v>0</v>
      </c>
      <c r="P509" t="n">
        <v>0</v>
      </c>
      <c r="Q509" t="n">
        <v>0</v>
      </c>
      <c r="R509" s="2" t="inlineStr"/>
    </row>
    <row r="510" ht="15" customHeight="1">
      <c r="A510" t="inlineStr">
        <is>
          <t>A 9519-2026</t>
        </is>
      </c>
      <c r="B510" s="1" t="n">
        <v>46071.59820601852</v>
      </c>
      <c r="C510" s="1" t="n">
        <v>46166</v>
      </c>
      <c r="D510" t="inlineStr">
        <is>
          <t>GOTLANDS LÄN</t>
        </is>
      </c>
      <c r="E510" t="inlineStr">
        <is>
          <t>GOTLAND</t>
        </is>
      </c>
      <c r="G510" t="n">
        <v>4</v>
      </c>
      <c r="H510" t="n">
        <v>0</v>
      </c>
      <c r="I510" t="n">
        <v>0</v>
      </c>
      <c r="J510" t="n">
        <v>0</v>
      </c>
      <c r="K510" t="n">
        <v>0</v>
      </c>
      <c r="L510" t="n">
        <v>0</v>
      </c>
      <c r="M510" t="n">
        <v>0</v>
      </c>
      <c r="N510" t="n">
        <v>0</v>
      </c>
      <c r="O510" t="n">
        <v>0</v>
      </c>
      <c r="P510" t="n">
        <v>0</v>
      </c>
      <c r="Q510" t="n">
        <v>0</v>
      </c>
      <c r="R510" s="2" t="inlineStr"/>
    </row>
    <row r="511" ht="15" customHeight="1">
      <c r="A511" t="inlineStr">
        <is>
          <t>A 9901-2026</t>
        </is>
      </c>
      <c r="B511" s="1" t="n">
        <v>46073.40391203704</v>
      </c>
      <c r="C511" s="1" t="n">
        <v>46166</v>
      </c>
      <c r="D511" t="inlineStr">
        <is>
          <t>GOTLANDS LÄN</t>
        </is>
      </c>
      <c r="E511" t="inlineStr">
        <is>
          <t>GOTLAND</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35512-2023</t>
        </is>
      </c>
      <c r="B512" s="1" t="n">
        <v>45147.25623842593</v>
      </c>
      <c r="C512" s="1" t="n">
        <v>46166</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11874-2024</t>
        </is>
      </c>
      <c r="B513" s="1" t="n">
        <v>45376.46956018519</v>
      </c>
      <c r="C513" s="1" t="n">
        <v>46166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46166</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10486-2026</t>
        </is>
      </c>
      <c r="B515" s="1" t="n">
        <v>46077.51425925926</v>
      </c>
      <c r="C515" s="1" t="n">
        <v>46166</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46166</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20225-2025</t>
        </is>
      </c>
      <c r="B517" s="1" t="n">
        <v>45772.65802083333</v>
      </c>
      <c r="C517" s="1" t="n">
        <v>46166</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1677-2023</t>
        </is>
      </c>
      <c r="B518" s="1" t="n">
        <v>44938</v>
      </c>
      <c r="C518" s="1" t="n">
        <v>46166</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64831-2023</t>
        </is>
      </c>
      <c r="B519" s="1" t="n">
        <v>45282.44924768519</v>
      </c>
      <c r="C519" s="1" t="n">
        <v>46166</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54584-2025</t>
        </is>
      </c>
      <c r="B520" s="1" t="n">
        <v>45965.71788194445</v>
      </c>
      <c r="C520" s="1" t="n">
        <v>46166</v>
      </c>
      <c r="D520" t="inlineStr">
        <is>
          <t>GOTLANDS LÄN</t>
        </is>
      </c>
      <c r="E520" t="inlineStr">
        <is>
          <t>GOTLAND</t>
        </is>
      </c>
      <c r="G520" t="n">
        <v>3.5</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46166</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3067-2026</t>
        </is>
      </c>
      <c r="B522" s="1" t="n">
        <v>46040.59025462963</v>
      </c>
      <c r="C522" s="1" t="n">
        <v>46166</v>
      </c>
      <c r="D522" t="inlineStr">
        <is>
          <t>GOTLANDS LÄN</t>
        </is>
      </c>
      <c r="E522" t="inlineStr">
        <is>
          <t>GOTLAND</t>
        </is>
      </c>
      <c r="G522" t="n">
        <v>7.8</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46166</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46166</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46375-2024</t>
        </is>
      </c>
      <c r="B525" s="1" t="n">
        <v>45582</v>
      </c>
      <c r="C525" s="1" t="n">
        <v>46166</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12135-2026</t>
        </is>
      </c>
      <c r="B526" s="1" t="n">
        <v>46086</v>
      </c>
      <c r="C526" s="1" t="n">
        <v>46166</v>
      </c>
      <c r="D526" t="inlineStr">
        <is>
          <t>GOTLANDS LÄN</t>
        </is>
      </c>
      <c r="E526" t="inlineStr">
        <is>
          <t>GOTLAND</t>
        </is>
      </c>
      <c r="G526" t="n">
        <v>3</v>
      </c>
      <c r="H526" t="n">
        <v>0</v>
      </c>
      <c r="I526" t="n">
        <v>0</v>
      </c>
      <c r="J526" t="n">
        <v>0</v>
      </c>
      <c r="K526" t="n">
        <v>0</v>
      </c>
      <c r="L526" t="n">
        <v>0</v>
      </c>
      <c r="M526" t="n">
        <v>0</v>
      </c>
      <c r="N526" t="n">
        <v>0</v>
      </c>
      <c r="O526" t="n">
        <v>0</v>
      </c>
      <c r="P526" t="n">
        <v>0</v>
      </c>
      <c r="Q526" t="n">
        <v>0</v>
      </c>
      <c r="R526" s="2" t="inlineStr"/>
    </row>
    <row r="527" ht="15" customHeight="1">
      <c r="A527" t="inlineStr">
        <is>
          <t>A 62915-2021</t>
        </is>
      </c>
      <c r="B527" s="1" t="n">
        <v>44504</v>
      </c>
      <c r="C527" s="1" t="n">
        <v>46166</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11982-2026</t>
        </is>
      </c>
      <c r="B528" s="1" t="n">
        <v>46085.6434375</v>
      </c>
      <c r="C528" s="1" t="n">
        <v>46166</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18804-2026</t>
        </is>
      </c>
      <c r="B529" s="1" t="n">
        <v>46128.62366898148</v>
      </c>
      <c r="C529" s="1" t="n">
        <v>46166</v>
      </c>
      <c r="D529" t="inlineStr">
        <is>
          <t>GOTLANDS LÄN</t>
        </is>
      </c>
      <c r="E529" t="inlineStr">
        <is>
          <t>GOTLAND</t>
        </is>
      </c>
      <c r="F529" t="inlineStr">
        <is>
          <t>Kyrkan</t>
        </is>
      </c>
      <c r="G529" t="n">
        <v>2.6</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46166</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4377-2023</t>
        </is>
      </c>
      <c r="B531" s="1" t="n">
        <v>44955.5502662037</v>
      </c>
      <c r="C531" s="1" t="n">
        <v>46166</v>
      </c>
      <c r="D531" t="inlineStr">
        <is>
          <t>GOTLANDS LÄN</t>
        </is>
      </c>
      <c r="E531" t="inlineStr">
        <is>
          <t>GOTLAND</t>
        </is>
      </c>
      <c r="F531" t="inlineStr">
        <is>
          <t>Kyrkan</t>
        </is>
      </c>
      <c r="G531" t="n">
        <v>0.6</v>
      </c>
      <c r="H531" t="n">
        <v>0</v>
      </c>
      <c r="I531" t="n">
        <v>0</v>
      </c>
      <c r="J531" t="n">
        <v>0</v>
      </c>
      <c r="K531" t="n">
        <v>0</v>
      </c>
      <c r="L531" t="n">
        <v>0</v>
      </c>
      <c r="M531" t="n">
        <v>0</v>
      </c>
      <c r="N531" t="n">
        <v>0</v>
      </c>
      <c r="O531" t="n">
        <v>0</v>
      </c>
      <c r="P531" t="n">
        <v>0</v>
      </c>
      <c r="Q531" t="n">
        <v>0</v>
      </c>
      <c r="R531" s="2" t="inlineStr"/>
    </row>
    <row r="532" ht="15" customHeight="1">
      <c r="A532" t="inlineStr">
        <is>
          <t>A 43901-2023</t>
        </is>
      </c>
      <c r="B532" s="1" t="n">
        <v>45187</v>
      </c>
      <c r="C532" s="1" t="n">
        <v>46166</v>
      </c>
      <c r="D532" t="inlineStr">
        <is>
          <t>GOTLANDS LÄN</t>
        </is>
      </c>
      <c r="E532" t="inlineStr">
        <is>
          <t>GOTLAND</t>
        </is>
      </c>
      <c r="G532" t="n">
        <v>5.4</v>
      </c>
      <c r="H532" t="n">
        <v>0</v>
      </c>
      <c r="I532" t="n">
        <v>0</v>
      </c>
      <c r="J532" t="n">
        <v>0</v>
      </c>
      <c r="K532" t="n">
        <v>0</v>
      </c>
      <c r="L532" t="n">
        <v>0</v>
      </c>
      <c r="M532" t="n">
        <v>0</v>
      </c>
      <c r="N532" t="n">
        <v>0</v>
      </c>
      <c r="O532" t="n">
        <v>0</v>
      </c>
      <c r="P532" t="n">
        <v>0</v>
      </c>
      <c r="Q532" t="n">
        <v>0</v>
      </c>
      <c r="R532" s="2" t="inlineStr"/>
    </row>
    <row r="533" ht="15" customHeight="1">
      <c r="A533" t="inlineStr">
        <is>
          <t>A 17532-2024</t>
        </is>
      </c>
      <c r="B533" s="1" t="n">
        <v>45415</v>
      </c>
      <c r="C533" s="1" t="n">
        <v>46166</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45692-2023</t>
        </is>
      </c>
      <c r="B534" s="1" t="n">
        <v>45195</v>
      </c>
      <c r="C534" s="1" t="n">
        <v>46166</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42201-2023</t>
        </is>
      </c>
      <c r="B535" s="1" t="n">
        <v>45179</v>
      </c>
      <c r="C535" s="1" t="n">
        <v>46166</v>
      </c>
      <c r="D535" t="inlineStr">
        <is>
          <t>GOTLANDS LÄN</t>
        </is>
      </c>
      <c r="E535" t="inlineStr">
        <is>
          <t>GOTLAND</t>
        </is>
      </c>
      <c r="G535" t="n">
        <v>11.9</v>
      </c>
      <c r="H535" t="n">
        <v>0</v>
      </c>
      <c r="I535" t="n">
        <v>0</v>
      </c>
      <c r="J535" t="n">
        <v>0</v>
      </c>
      <c r="K535" t="n">
        <v>0</v>
      </c>
      <c r="L535" t="n">
        <v>0</v>
      </c>
      <c r="M535" t="n">
        <v>0</v>
      </c>
      <c r="N535" t="n">
        <v>0</v>
      </c>
      <c r="O535" t="n">
        <v>0</v>
      </c>
      <c r="P535" t="n">
        <v>0</v>
      </c>
      <c r="Q535" t="n">
        <v>0</v>
      </c>
      <c r="R535" s="2" t="inlineStr"/>
    </row>
    <row r="536" ht="15" customHeight="1">
      <c r="A536" t="inlineStr">
        <is>
          <t>A 19322-2026</t>
        </is>
      </c>
      <c r="B536" s="1" t="n">
        <v>46129</v>
      </c>
      <c r="C536" s="1" t="n">
        <v>46166</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46166</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46166</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46166</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46166</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46166</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62754-2025</t>
        </is>
      </c>
      <c r="B542" s="1" t="n">
        <v>46008</v>
      </c>
      <c r="C542" s="1" t="n">
        <v>46166</v>
      </c>
      <c r="D542" t="inlineStr">
        <is>
          <t>GOTLANDS LÄN</t>
        </is>
      </c>
      <c r="E542" t="inlineStr">
        <is>
          <t>GOTLAND</t>
        </is>
      </c>
      <c r="F542" t="inlineStr">
        <is>
          <t>Övriga Aktiebolag</t>
        </is>
      </c>
      <c r="G542" t="n">
        <v>2.9</v>
      </c>
      <c r="H542" t="n">
        <v>0</v>
      </c>
      <c r="I542" t="n">
        <v>0</v>
      </c>
      <c r="J542" t="n">
        <v>0</v>
      </c>
      <c r="K542" t="n">
        <v>0</v>
      </c>
      <c r="L542" t="n">
        <v>0</v>
      </c>
      <c r="M542" t="n">
        <v>0</v>
      </c>
      <c r="N542" t="n">
        <v>0</v>
      </c>
      <c r="O542" t="n">
        <v>0</v>
      </c>
      <c r="P542" t="n">
        <v>0</v>
      </c>
      <c r="Q542" t="n">
        <v>0</v>
      </c>
      <c r="R542" s="2" t="inlineStr"/>
    </row>
    <row r="543" ht="15" customHeight="1">
      <c r="A543" t="inlineStr">
        <is>
          <t>A 13486-2026</t>
        </is>
      </c>
      <c r="B543" s="1" t="n">
        <v>46094</v>
      </c>
      <c r="C543" s="1" t="n">
        <v>46166</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53934-2024</t>
        </is>
      </c>
      <c r="B544" s="1" t="n">
        <v>45615</v>
      </c>
      <c r="C544" s="1" t="n">
        <v>46166</v>
      </c>
      <c r="D544" t="inlineStr">
        <is>
          <t>GOTLANDS LÄN</t>
        </is>
      </c>
      <c r="E544" t="inlineStr">
        <is>
          <t>GOTLAND</t>
        </is>
      </c>
      <c r="G544" t="n">
        <v>5</v>
      </c>
      <c r="H544" t="n">
        <v>0</v>
      </c>
      <c r="I544" t="n">
        <v>0</v>
      </c>
      <c r="J544" t="n">
        <v>0</v>
      </c>
      <c r="K544" t="n">
        <v>0</v>
      </c>
      <c r="L544" t="n">
        <v>0</v>
      </c>
      <c r="M544" t="n">
        <v>0</v>
      </c>
      <c r="N544" t="n">
        <v>0</v>
      </c>
      <c r="O544" t="n">
        <v>0</v>
      </c>
      <c r="P544" t="n">
        <v>0</v>
      </c>
      <c r="Q544" t="n">
        <v>0</v>
      </c>
      <c r="R544" s="2" t="inlineStr"/>
    </row>
    <row r="545" ht="15" customHeight="1">
      <c r="A545" t="inlineStr">
        <is>
          <t>A 58132-2023</t>
        </is>
      </c>
      <c r="B545" s="1" t="n">
        <v>45250</v>
      </c>
      <c r="C545" s="1" t="n">
        <v>46166</v>
      </c>
      <c r="D545" t="inlineStr">
        <is>
          <t>GOTLANDS LÄN</t>
        </is>
      </c>
      <c r="E545" t="inlineStr">
        <is>
          <t>GOTLAND</t>
        </is>
      </c>
      <c r="G545" t="n">
        <v>3.1</v>
      </c>
      <c r="H545" t="n">
        <v>0</v>
      </c>
      <c r="I545" t="n">
        <v>0</v>
      </c>
      <c r="J545" t="n">
        <v>0</v>
      </c>
      <c r="K545" t="n">
        <v>0</v>
      </c>
      <c r="L545" t="n">
        <v>0</v>
      </c>
      <c r="M545" t="n">
        <v>0</v>
      </c>
      <c r="N545" t="n">
        <v>0</v>
      </c>
      <c r="O545" t="n">
        <v>0</v>
      </c>
      <c r="P545" t="n">
        <v>0</v>
      </c>
      <c r="Q545" t="n">
        <v>0</v>
      </c>
      <c r="R545" s="2" t="inlineStr"/>
    </row>
    <row r="546" ht="15" customHeight="1">
      <c r="A546" t="inlineStr">
        <is>
          <t>A 22899-2023</t>
        </is>
      </c>
      <c r="B546" s="1" t="n">
        <v>45072</v>
      </c>
      <c r="C546" s="1" t="n">
        <v>46166</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28285-2024</t>
        </is>
      </c>
      <c r="B547" s="1" t="n">
        <v>45477</v>
      </c>
      <c r="C547" s="1" t="n">
        <v>46166</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51963-2024</t>
        </is>
      </c>
      <c r="B548" s="1" t="n">
        <v>45607.64833333333</v>
      </c>
      <c r="C548" s="1" t="n">
        <v>46166</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1734-2025</t>
        </is>
      </c>
      <c r="B549" s="1" t="n">
        <v>45671.3840625</v>
      </c>
      <c r="C549" s="1" t="n">
        <v>46166</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30365-2024</t>
        </is>
      </c>
      <c r="B550" s="1" t="n">
        <v>45491.3716087963</v>
      </c>
      <c r="C550" s="1" t="n">
        <v>46166</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46166</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46166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581-2023</t>
        </is>
      </c>
      <c r="B553" s="1" t="n">
        <v>44930</v>
      </c>
      <c r="C553" s="1" t="n">
        <v>46166</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10655-2023</t>
        </is>
      </c>
      <c r="B554" s="1" t="n">
        <v>44988.49543981482</v>
      </c>
      <c r="C554" s="1" t="n">
        <v>46166</v>
      </c>
      <c r="D554" t="inlineStr">
        <is>
          <t>GOTLANDS LÄN</t>
        </is>
      </c>
      <c r="E554" t="inlineStr">
        <is>
          <t>GOTLAND</t>
        </is>
      </c>
      <c r="F554" t="inlineStr">
        <is>
          <t>Kyrkan</t>
        </is>
      </c>
      <c r="G554" t="n">
        <v>2</v>
      </c>
      <c r="H554" t="n">
        <v>0</v>
      </c>
      <c r="I554" t="n">
        <v>0</v>
      </c>
      <c r="J554" t="n">
        <v>0</v>
      </c>
      <c r="K554" t="n">
        <v>0</v>
      </c>
      <c r="L554" t="n">
        <v>0</v>
      </c>
      <c r="M554" t="n">
        <v>0</v>
      </c>
      <c r="N554" t="n">
        <v>0</v>
      </c>
      <c r="O554" t="n">
        <v>0</v>
      </c>
      <c r="P554" t="n">
        <v>0</v>
      </c>
      <c r="Q554" t="n">
        <v>0</v>
      </c>
      <c r="R554" s="2" t="inlineStr"/>
    </row>
    <row r="555" ht="15" customHeight="1">
      <c r="A555" t="inlineStr">
        <is>
          <t>A 44649-2021</t>
        </is>
      </c>
      <c r="B555" s="1" t="n">
        <v>44437</v>
      </c>
      <c r="C555" s="1" t="n">
        <v>46166</v>
      </c>
      <c r="D555" t="inlineStr">
        <is>
          <t>GOTLANDS LÄN</t>
        </is>
      </c>
      <c r="E555" t="inlineStr">
        <is>
          <t>GOTLAND</t>
        </is>
      </c>
      <c r="G555" t="n">
        <v>8.1</v>
      </c>
      <c r="H555" t="n">
        <v>0</v>
      </c>
      <c r="I555" t="n">
        <v>0</v>
      </c>
      <c r="J555" t="n">
        <v>0</v>
      </c>
      <c r="K555" t="n">
        <v>0</v>
      </c>
      <c r="L555" t="n">
        <v>0</v>
      </c>
      <c r="M555" t="n">
        <v>0</v>
      </c>
      <c r="N555" t="n">
        <v>0</v>
      </c>
      <c r="O555" t="n">
        <v>0</v>
      </c>
      <c r="P555" t="n">
        <v>0</v>
      </c>
      <c r="Q555" t="n">
        <v>0</v>
      </c>
      <c r="R555" s="2" t="inlineStr"/>
    </row>
    <row r="556" ht="15" customHeight="1">
      <c r="A556" t="inlineStr">
        <is>
          <t>A 8484-2025</t>
        </is>
      </c>
      <c r="B556" s="1" t="n">
        <v>45709</v>
      </c>
      <c r="C556" s="1" t="n">
        <v>46166</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14840-2026</t>
        </is>
      </c>
      <c r="B557" s="1" t="n">
        <v>46104.39498842593</v>
      </c>
      <c r="C557" s="1" t="n">
        <v>46166</v>
      </c>
      <c r="D557" t="inlineStr">
        <is>
          <t>GOTLANDS LÄN</t>
        </is>
      </c>
      <c r="E557" t="inlineStr">
        <is>
          <t>GOTLAND</t>
        </is>
      </c>
      <c r="G557" t="n">
        <v>2.5</v>
      </c>
      <c r="H557" t="n">
        <v>0</v>
      </c>
      <c r="I557" t="n">
        <v>0</v>
      </c>
      <c r="J557" t="n">
        <v>0</v>
      </c>
      <c r="K557" t="n">
        <v>0</v>
      </c>
      <c r="L557" t="n">
        <v>0</v>
      </c>
      <c r="M557" t="n">
        <v>0</v>
      </c>
      <c r="N557" t="n">
        <v>0</v>
      </c>
      <c r="O557" t="n">
        <v>0</v>
      </c>
      <c r="P557" t="n">
        <v>0</v>
      </c>
      <c r="Q557" t="n">
        <v>0</v>
      </c>
      <c r="R557" s="2" t="inlineStr"/>
    </row>
    <row r="558" ht="15" customHeight="1">
      <c r="A558" t="inlineStr">
        <is>
          <t>A 21396-2026</t>
        </is>
      </c>
      <c r="B558" s="1" t="n">
        <v>46148.30710648148</v>
      </c>
      <c r="C558" s="1" t="n">
        <v>46166</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49962-2023</t>
        </is>
      </c>
      <c r="B559" s="1" t="n">
        <v>45215.38775462963</v>
      </c>
      <c r="C559" s="1" t="n">
        <v>46166</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50744-2024</t>
        </is>
      </c>
      <c r="B560" s="1" t="n">
        <v>45602.4187037037</v>
      </c>
      <c r="C560" s="1" t="n">
        <v>46166</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45244-2024</t>
        </is>
      </c>
      <c r="B561" s="1" t="n">
        <v>45576</v>
      </c>
      <c r="C561" s="1" t="n">
        <v>46166</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4662-2026</t>
        </is>
      </c>
      <c r="B562" s="1" t="n">
        <v>46048.40949074074</v>
      </c>
      <c r="C562" s="1" t="n">
        <v>46166</v>
      </c>
      <c r="D562" t="inlineStr">
        <is>
          <t>GOTLANDS LÄN</t>
        </is>
      </c>
      <c r="E562" t="inlineStr">
        <is>
          <t>GOTLAND</t>
        </is>
      </c>
      <c r="G562" t="n">
        <v>7.6</v>
      </c>
      <c r="H562" t="n">
        <v>0</v>
      </c>
      <c r="I562" t="n">
        <v>0</v>
      </c>
      <c r="J562" t="n">
        <v>0</v>
      </c>
      <c r="K562" t="n">
        <v>0</v>
      </c>
      <c r="L562" t="n">
        <v>0</v>
      </c>
      <c r="M562" t="n">
        <v>0</v>
      </c>
      <c r="N562" t="n">
        <v>0</v>
      </c>
      <c r="O562" t="n">
        <v>0</v>
      </c>
      <c r="P562" t="n">
        <v>0</v>
      </c>
      <c r="Q562" t="n">
        <v>0</v>
      </c>
      <c r="R562" s="2" t="inlineStr"/>
    </row>
    <row r="563" ht="15" customHeight="1">
      <c r="A563" t="inlineStr">
        <is>
          <t>A 38787-2023</t>
        </is>
      </c>
      <c r="B563" s="1" t="n">
        <v>45163</v>
      </c>
      <c r="C563" s="1" t="n">
        <v>46166</v>
      </c>
      <c r="D563" t="inlineStr">
        <is>
          <t>GOTLANDS LÄN</t>
        </is>
      </c>
      <c r="E563" t="inlineStr">
        <is>
          <t>GOTLAND</t>
        </is>
      </c>
      <c r="G563" t="n">
        <v>0.4</v>
      </c>
      <c r="H563" t="n">
        <v>0</v>
      </c>
      <c r="I563" t="n">
        <v>0</v>
      </c>
      <c r="J563" t="n">
        <v>0</v>
      </c>
      <c r="K563" t="n">
        <v>0</v>
      </c>
      <c r="L563" t="n">
        <v>0</v>
      </c>
      <c r="M563" t="n">
        <v>0</v>
      </c>
      <c r="N563" t="n">
        <v>0</v>
      </c>
      <c r="O563" t="n">
        <v>0</v>
      </c>
      <c r="P563" t="n">
        <v>0</v>
      </c>
      <c r="Q563" t="n">
        <v>0</v>
      </c>
      <c r="R563" s="2" t="inlineStr"/>
    </row>
    <row r="564" ht="15" customHeight="1">
      <c r="A564" t="inlineStr">
        <is>
          <t>A 2714-2023</t>
        </is>
      </c>
      <c r="B564" s="1" t="n">
        <v>44944.54896990741</v>
      </c>
      <c r="C564" s="1" t="n">
        <v>46166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22897-2023</t>
        </is>
      </c>
      <c r="B565" s="1" t="n">
        <v>45072.55239583334</v>
      </c>
      <c r="C565" s="1" t="n">
        <v>46166</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4568-2025</t>
        </is>
      </c>
      <c r="B566" s="1" t="n">
        <v>45687</v>
      </c>
      <c r="C566" s="1" t="n">
        <v>46166</v>
      </c>
      <c r="D566" t="inlineStr">
        <is>
          <t>GOTLANDS LÄN</t>
        </is>
      </c>
      <c r="E566" t="inlineStr">
        <is>
          <t>GOTLAND</t>
        </is>
      </c>
      <c r="G566" t="n">
        <v>1.9</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44938.39715277778</v>
      </c>
      <c r="C567" s="1" t="n">
        <v>46166</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42338-2023</t>
        </is>
      </c>
      <c r="B568" s="1" t="n">
        <v>45180</v>
      </c>
      <c r="C568" s="1" t="n">
        <v>46166</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18918-2025</t>
        </is>
      </c>
      <c r="B569" s="1" t="n">
        <v>45764</v>
      </c>
      <c r="C569" s="1" t="n">
        <v>46166</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11013-2024</t>
        </is>
      </c>
      <c r="B570" s="1" t="n">
        <v>45370</v>
      </c>
      <c r="C570" s="1" t="n">
        <v>46166</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45084-2024</t>
        </is>
      </c>
      <c r="B571" s="1" t="n">
        <v>45575</v>
      </c>
      <c r="C571" s="1" t="n">
        <v>46166</v>
      </c>
      <c r="D571" t="inlineStr">
        <is>
          <t>GOTLANDS LÄN</t>
        </is>
      </c>
      <c r="E571" t="inlineStr">
        <is>
          <t>GOTLAND</t>
        </is>
      </c>
      <c r="G571" t="n">
        <v>6.8</v>
      </c>
      <c r="H571" t="n">
        <v>0</v>
      </c>
      <c r="I571" t="n">
        <v>0</v>
      </c>
      <c r="J571" t="n">
        <v>0</v>
      </c>
      <c r="K571" t="n">
        <v>0</v>
      </c>
      <c r="L571" t="n">
        <v>0</v>
      </c>
      <c r="M571" t="n">
        <v>0</v>
      </c>
      <c r="N571" t="n">
        <v>0</v>
      </c>
      <c r="O571" t="n">
        <v>0</v>
      </c>
      <c r="P571" t="n">
        <v>0</v>
      </c>
      <c r="Q571" t="n">
        <v>0</v>
      </c>
      <c r="R571" s="2" t="inlineStr"/>
    </row>
    <row r="572" ht="15" customHeight="1">
      <c r="A572" t="inlineStr">
        <is>
          <t>A 20356-2022</t>
        </is>
      </c>
      <c r="B572" s="1" t="n">
        <v>44699</v>
      </c>
      <c r="C572" s="1" t="n">
        <v>46166</v>
      </c>
      <c r="D572" t="inlineStr">
        <is>
          <t>GOTLANDS LÄN</t>
        </is>
      </c>
      <c r="E572" t="inlineStr">
        <is>
          <t>GOTLAND</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4868-2024</t>
        </is>
      </c>
      <c r="B573" s="1" t="n">
        <v>45329</v>
      </c>
      <c r="C573" s="1" t="n">
        <v>46166</v>
      </c>
      <c r="D573" t="inlineStr">
        <is>
          <t>GOTLANDS LÄN</t>
        </is>
      </c>
      <c r="E573" t="inlineStr">
        <is>
          <t>GOTLAND</t>
        </is>
      </c>
      <c r="G573" t="n">
        <v>7.1</v>
      </c>
      <c r="H573" t="n">
        <v>0</v>
      </c>
      <c r="I573" t="n">
        <v>0</v>
      </c>
      <c r="J573" t="n">
        <v>0</v>
      </c>
      <c r="K573" t="n">
        <v>0</v>
      </c>
      <c r="L573" t="n">
        <v>0</v>
      </c>
      <c r="M573" t="n">
        <v>0</v>
      </c>
      <c r="N573" t="n">
        <v>0</v>
      </c>
      <c r="O573" t="n">
        <v>0</v>
      </c>
      <c r="P573" t="n">
        <v>0</v>
      </c>
      <c r="Q573" t="n">
        <v>0</v>
      </c>
      <c r="R573" s="2" t="inlineStr"/>
    </row>
    <row r="574" ht="15" customHeight="1">
      <c r="A574" t="inlineStr">
        <is>
          <t>A 9613-2025</t>
        </is>
      </c>
      <c r="B574" s="1" t="n">
        <v>45715</v>
      </c>
      <c r="C574" s="1" t="n">
        <v>46166</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5386-2023</t>
        </is>
      </c>
      <c r="B575" s="1" t="n">
        <v>44959</v>
      </c>
      <c r="C575" s="1" t="n">
        <v>46166</v>
      </c>
      <c r="D575" t="inlineStr">
        <is>
          <t>GOTLANDS LÄN</t>
        </is>
      </c>
      <c r="E575" t="inlineStr">
        <is>
          <t>GOTLAND</t>
        </is>
      </c>
      <c r="G575" t="n">
        <v>5.4</v>
      </c>
      <c r="H575" t="n">
        <v>0</v>
      </c>
      <c r="I575" t="n">
        <v>0</v>
      </c>
      <c r="J575" t="n">
        <v>0</v>
      </c>
      <c r="K575" t="n">
        <v>0</v>
      </c>
      <c r="L575" t="n">
        <v>0</v>
      </c>
      <c r="M575" t="n">
        <v>0</v>
      </c>
      <c r="N575" t="n">
        <v>0</v>
      </c>
      <c r="O575" t="n">
        <v>0</v>
      </c>
      <c r="P575" t="n">
        <v>0</v>
      </c>
      <c r="Q575" t="n">
        <v>0</v>
      </c>
      <c r="R575" s="2" t="inlineStr"/>
    </row>
    <row r="576" ht="15" customHeight="1">
      <c r="A576" t="inlineStr">
        <is>
          <t>A 58211-2024</t>
        </is>
      </c>
      <c r="B576" s="1" t="n">
        <v>45632.49292824074</v>
      </c>
      <c r="C576" s="1" t="n">
        <v>46166</v>
      </c>
      <c r="D576" t="inlineStr">
        <is>
          <t>GOTLANDS LÄN</t>
        </is>
      </c>
      <c r="E576" t="inlineStr">
        <is>
          <t>GOTLAND</t>
        </is>
      </c>
      <c r="G576" t="n">
        <v>5.4</v>
      </c>
      <c r="H576" t="n">
        <v>0</v>
      </c>
      <c r="I576" t="n">
        <v>0</v>
      </c>
      <c r="J576" t="n">
        <v>0</v>
      </c>
      <c r="K576" t="n">
        <v>0</v>
      </c>
      <c r="L576" t="n">
        <v>0</v>
      </c>
      <c r="M576" t="n">
        <v>0</v>
      </c>
      <c r="N576" t="n">
        <v>0</v>
      </c>
      <c r="O576" t="n">
        <v>0</v>
      </c>
      <c r="P576" t="n">
        <v>0</v>
      </c>
      <c r="Q576" t="n">
        <v>0</v>
      </c>
      <c r="R576" s="2" t="inlineStr"/>
    </row>
    <row r="577" ht="15" customHeight="1">
      <c r="A577" t="inlineStr">
        <is>
          <t>A 11634-2024</t>
        </is>
      </c>
      <c r="B577" s="1" t="n">
        <v>45373</v>
      </c>
      <c r="C577" s="1" t="n">
        <v>46166</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5884-2025</t>
        </is>
      </c>
      <c r="B578" s="1" t="n">
        <v>45695.37482638889</v>
      </c>
      <c r="C578" s="1" t="n">
        <v>46166</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5897-2025</t>
        </is>
      </c>
      <c r="B579" s="1" t="n">
        <v>45695.39273148148</v>
      </c>
      <c r="C579" s="1" t="n">
        <v>46166</v>
      </c>
      <c r="D579" t="inlineStr">
        <is>
          <t>GOTLANDS LÄN</t>
        </is>
      </c>
      <c r="E579" t="inlineStr">
        <is>
          <t>GOTLAND</t>
        </is>
      </c>
      <c r="G579" t="n">
        <v>3.7</v>
      </c>
      <c r="H579" t="n">
        <v>0</v>
      </c>
      <c r="I579" t="n">
        <v>0</v>
      </c>
      <c r="J579" t="n">
        <v>0</v>
      </c>
      <c r="K579" t="n">
        <v>0</v>
      </c>
      <c r="L579" t="n">
        <v>0</v>
      </c>
      <c r="M579" t="n">
        <v>0</v>
      </c>
      <c r="N579" t="n">
        <v>0</v>
      </c>
      <c r="O579" t="n">
        <v>0</v>
      </c>
      <c r="P579" t="n">
        <v>0</v>
      </c>
      <c r="Q579" t="n">
        <v>0</v>
      </c>
      <c r="R579" s="2" t="inlineStr"/>
    </row>
    <row r="580" ht="15" customHeight="1">
      <c r="A580" t="inlineStr">
        <is>
          <t>A 5909-2025</t>
        </is>
      </c>
      <c r="B580" s="1" t="n">
        <v>45695.40634259259</v>
      </c>
      <c r="C580" s="1" t="n">
        <v>46166</v>
      </c>
      <c r="D580" t="inlineStr">
        <is>
          <t>GOTLANDS LÄN</t>
        </is>
      </c>
      <c r="E580" t="inlineStr">
        <is>
          <t>GOTLAND</t>
        </is>
      </c>
      <c r="G580" t="n">
        <v>2.9</v>
      </c>
      <c r="H580" t="n">
        <v>0</v>
      </c>
      <c r="I580" t="n">
        <v>0</v>
      </c>
      <c r="J580" t="n">
        <v>0</v>
      </c>
      <c r="K580" t="n">
        <v>0</v>
      </c>
      <c r="L580" t="n">
        <v>0</v>
      </c>
      <c r="M580" t="n">
        <v>0</v>
      </c>
      <c r="N580" t="n">
        <v>0</v>
      </c>
      <c r="O580" t="n">
        <v>0</v>
      </c>
      <c r="P580" t="n">
        <v>0</v>
      </c>
      <c r="Q580" t="n">
        <v>0</v>
      </c>
      <c r="R580" s="2" t="inlineStr"/>
    </row>
    <row r="581" ht="15" customHeight="1">
      <c r="A581" t="inlineStr">
        <is>
          <t>A 60086-2022</t>
        </is>
      </c>
      <c r="B581" s="1" t="n">
        <v>44909</v>
      </c>
      <c r="C581" s="1" t="n">
        <v>46166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22704-2023</t>
        </is>
      </c>
      <c r="B582" s="1" t="n">
        <v>45071</v>
      </c>
      <c r="C582" s="1" t="n">
        <v>46166</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25866-2022</t>
        </is>
      </c>
      <c r="B583" s="1" t="n">
        <v>44733</v>
      </c>
      <c r="C583" s="1" t="n">
        <v>46166</v>
      </c>
      <c r="D583" t="inlineStr">
        <is>
          <t>GOTLANDS LÄN</t>
        </is>
      </c>
      <c r="E583" t="inlineStr">
        <is>
          <t>GOTLAND</t>
        </is>
      </c>
      <c r="G583" t="n">
        <v>2.9</v>
      </c>
      <c r="H583" t="n">
        <v>0</v>
      </c>
      <c r="I583" t="n">
        <v>0</v>
      </c>
      <c r="J583" t="n">
        <v>0</v>
      </c>
      <c r="K583" t="n">
        <v>0</v>
      </c>
      <c r="L583" t="n">
        <v>0</v>
      </c>
      <c r="M583" t="n">
        <v>0</v>
      </c>
      <c r="N583" t="n">
        <v>0</v>
      </c>
      <c r="O583" t="n">
        <v>0</v>
      </c>
      <c r="P583" t="n">
        <v>0</v>
      </c>
      <c r="Q583" t="n">
        <v>0</v>
      </c>
      <c r="R583" s="2" t="inlineStr"/>
    </row>
    <row r="584" ht="15" customHeight="1">
      <c r="A584" t="inlineStr">
        <is>
          <t>A 9887-2025</t>
        </is>
      </c>
      <c r="B584" s="1" t="n">
        <v>45716</v>
      </c>
      <c r="C584" s="1" t="n">
        <v>46166</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12209-2024</t>
        </is>
      </c>
      <c r="B585" s="1" t="n">
        <v>45378</v>
      </c>
      <c r="C585" s="1" t="n">
        <v>46166</v>
      </c>
      <c r="D585" t="inlineStr">
        <is>
          <t>GOTLANDS LÄN</t>
        </is>
      </c>
      <c r="E585" t="inlineStr">
        <is>
          <t>GOTLAND</t>
        </is>
      </c>
      <c r="G585" t="n">
        <v>5.3</v>
      </c>
      <c r="H585" t="n">
        <v>0</v>
      </c>
      <c r="I585" t="n">
        <v>0</v>
      </c>
      <c r="J585" t="n">
        <v>0</v>
      </c>
      <c r="K585" t="n">
        <v>0</v>
      </c>
      <c r="L585" t="n">
        <v>0</v>
      </c>
      <c r="M585" t="n">
        <v>0</v>
      </c>
      <c r="N585" t="n">
        <v>0</v>
      </c>
      <c r="O585" t="n">
        <v>0</v>
      </c>
      <c r="P585" t="n">
        <v>0</v>
      </c>
      <c r="Q585" t="n">
        <v>0</v>
      </c>
      <c r="R585" s="2" t="inlineStr"/>
    </row>
    <row r="586" ht="15" customHeight="1">
      <c r="A586" t="inlineStr">
        <is>
          <t>A 12210-2024</t>
        </is>
      </c>
      <c r="B586" s="1" t="n">
        <v>45378</v>
      </c>
      <c r="C586" s="1" t="n">
        <v>46166</v>
      </c>
      <c r="D586" t="inlineStr">
        <is>
          <t>GOTLANDS LÄN</t>
        </is>
      </c>
      <c r="E586" t="inlineStr">
        <is>
          <t>GOTLAND</t>
        </is>
      </c>
      <c r="G586" t="n">
        <v>4.1</v>
      </c>
      <c r="H586" t="n">
        <v>0</v>
      </c>
      <c r="I586" t="n">
        <v>0</v>
      </c>
      <c r="J586" t="n">
        <v>0</v>
      </c>
      <c r="K586" t="n">
        <v>0</v>
      </c>
      <c r="L586" t="n">
        <v>0</v>
      </c>
      <c r="M586" t="n">
        <v>0</v>
      </c>
      <c r="N586" t="n">
        <v>0</v>
      </c>
      <c r="O586" t="n">
        <v>0</v>
      </c>
      <c r="P586" t="n">
        <v>0</v>
      </c>
      <c r="Q586" t="n">
        <v>0</v>
      </c>
      <c r="R586" s="2" t="inlineStr"/>
    </row>
    <row r="587" ht="15" customHeight="1">
      <c r="A587" t="inlineStr">
        <is>
          <t>A 59986-2022</t>
        </is>
      </c>
      <c r="B587" s="1" t="n">
        <v>44909</v>
      </c>
      <c r="C587" s="1" t="n">
        <v>46166</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31802-2024</t>
        </is>
      </c>
      <c r="B588" s="1" t="n">
        <v>45509</v>
      </c>
      <c r="C588" s="1" t="n">
        <v>46166</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20993-2023</t>
        </is>
      </c>
      <c r="B589" s="1" t="n">
        <v>45056</v>
      </c>
      <c r="C589" s="1" t="n">
        <v>46166</v>
      </c>
      <c r="D589" t="inlineStr">
        <is>
          <t>GOTLANDS LÄN</t>
        </is>
      </c>
      <c r="E589" t="inlineStr">
        <is>
          <t>GOTLAND</t>
        </is>
      </c>
      <c r="G589" t="n">
        <v>7.1</v>
      </c>
      <c r="H589" t="n">
        <v>0</v>
      </c>
      <c r="I589" t="n">
        <v>0</v>
      </c>
      <c r="J589" t="n">
        <v>0</v>
      </c>
      <c r="K589" t="n">
        <v>0</v>
      </c>
      <c r="L589" t="n">
        <v>0</v>
      </c>
      <c r="M589" t="n">
        <v>0</v>
      </c>
      <c r="N589" t="n">
        <v>0</v>
      </c>
      <c r="O589" t="n">
        <v>0</v>
      </c>
      <c r="P589" t="n">
        <v>0</v>
      </c>
      <c r="Q589" t="n">
        <v>0</v>
      </c>
      <c r="R589" s="2" t="inlineStr"/>
    </row>
    <row r="590" ht="15" customHeight="1">
      <c r="A590" t="inlineStr">
        <is>
          <t>A 15042-2025</t>
        </is>
      </c>
      <c r="B590" s="1" t="n">
        <v>45743</v>
      </c>
      <c r="C590" s="1" t="n">
        <v>46166</v>
      </c>
      <c r="D590" t="inlineStr">
        <is>
          <t>GOTLANDS LÄN</t>
        </is>
      </c>
      <c r="E590" t="inlineStr">
        <is>
          <t>GOTLAND</t>
        </is>
      </c>
      <c r="G590" t="n">
        <v>8.5</v>
      </c>
      <c r="H590" t="n">
        <v>0</v>
      </c>
      <c r="I590" t="n">
        <v>0</v>
      </c>
      <c r="J590" t="n">
        <v>0</v>
      </c>
      <c r="K590" t="n">
        <v>0</v>
      </c>
      <c r="L590" t="n">
        <v>0</v>
      </c>
      <c r="M590" t="n">
        <v>0</v>
      </c>
      <c r="N590" t="n">
        <v>0</v>
      </c>
      <c r="O590" t="n">
        <v>0</v>
      </c>
      <c r="P590" t="n">
        <v>0</v>
      </c>
      <c r="Q590" t="n">
        <v>0</v>
      </c>
      <c r="R590" s="2" t="inlineStr"/>
    </row>
    <row r="591" ht="15" customHeight="1">
      <c r="A591" t="inlineStr">
        <is>
          <t>A 12327-2025</t>
        </is>
      </c>
      <c r="B591" s="1" t="n">
        <v>45730</v>
      </c>
      <c r="C591" s="1" t="n">
        <v>46166</v>
      </c>
      <c r="D591" t="inlineStr">
        <is>
          <t>GOTLANDS LÄN</t>
        </is>
      </c>
      <c r="E591" t="inlineStr">
        <is>
          <t>GOTLAND</t>
        </is>
      </c>
      <c r="G591" t="n">
        <v>1.8</v>
      </c>
      <c r="H591" t="n">
        <v>0</v>
      </c>
      <c r="I591" t="n">
        <v>0</v>
      </c>
      <c r="J591" t="n">
        <v>0</v>
      </c>
      <c r="K591" t="n">
        <v>0</v>
      </c>
      <c r="L591" t="n">
        <v>0</v>
      </c>
      <c r="M591" t="n">
        <v>0</v>
      </c>
      <c r="N591" t="n">
        <v>0</v>
      </c>
      <c r="O591" t="n">
        <v>0</v>
      </c>
      <c r="P591" t="n">
        <v>0</v>
      </c>
      <c r="Q591" t="n">
        <v>0</v>
      </c>
      <c r="R591" s="2" t="inlineStr"/>
    </row>
    <row r="592" ht="15" customHeight="1">
      <c r="A592" t="inlineStr">
        <is>
          <t>A 4420-2025</t>
        </is>
      </c>
      <c r="B592" s="1" t="n">
        <v>45686.47157407407</v>
      </c>
      <c r="C592" s="1" t="n">
        <v>46166</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14427-2024</t>
        </is>
      </c>
      <c r="B593" s="1" t="n">
        <v>45394</v>
      </c>
      <c r="C593" s="1" t="n">
        <v>46166</v>
      </c>
      <c r="D593" t="inlineStr">
        <is>
          <t>GOTLANDS LÄN</t>
        </is>
      </c>
      <c r="E593" t="inlineStr">
        <is>
          <t>GOTLAND</t>
        </is>
      </c>
      <c r="G593" t="n">
        <v>1.3</v>
      </c>
      <c r="H593" t="n">
        <v>0</v>
      </c>
      <c r="I593" t="n">
        <v>0</v>
      </c>
      <c r="J593" t="n">
        <v>0</v>
      </c>
      <c r="K593" t="n">
        <v>0</v>
      </c>
      <c r="L593" t="n">
        <v>0</v>
      </c>
      <c r="M593" t="n">
        <v>0</v>
      </c>
      <c r="N593" t="n">
        <v>0</v>
      </c>
      <c r="O593" t="n">
        <v>0</v>
      </c>
      <c r="P593" t="n">
        <v>0</v>
      </c>
      <c r="Q593" t="n">
        <v>0</v>
      </c>
      <c r="R593" s="2" t="inlineStr"/>
    </row>
    <row r="594" ht="15" customHeight="1">
      <c r="A594" t="inlineStr">
        <is>
          <t>A 49257-2024</t>
        </is>
      </c>
      <c r="B594" s="1" t="n">
        <v>45595.47627314815</v>
      </c>
      <c r="C594" s="1" t="n">
        <v>46166</v>
      </c>
      <c r="D594" t="inlineStr">
        <is>
          <t>GOTLANDS LÄN</t>
        </is>
      </c>
      <c r="E594" t="inlineStr">
        <is>
          <t>GOTLAND</t>
        </is>
      </c>
      <c r="G594" t="n">
        <v>6.3</v>
      </c>
      <c r="H594" t="n">
        <v>0</v>
      </c>
      <c r="I594" t="n">
        <v>0</v>
      </c>
      <c r="J594" t="n">
        <v>0</v>
      </c>
      <c r="K594" t="n">
        <v>0</v>
      </c>
      <c r="L594" t="n">
        <v>0</v>
      </c>
      <c r="M594" t="n">
        <v>0</v>
      </c>
      <c r="N594" t="n">
        <v>0</v>
      </c>
      <c r="O594" t="n">
        <v>0</v>
      </c>
      <c r="P594" t="n">
        <v>0</v>
      </c>
      <c r="Q594" t="n">
        <v>0</v>
      </c>
      <c r="R594" s="2" t="inlineStr"/>
    </row>
    <row r="595" ht="15" customHeight="1">
      <c r="A595" t="inlineStr">
        <is>
          <t>A 49315-2024</t>
        </is>
      </c>
      <c r="B595" s="1" t="n">
        <v>45595</v>
      </c>
      <c r="C595" s="1" t="n">
        <v>46166</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27596-2023</t>
        </is>
      </c>
      <c r="B596" s="1" t="n">
        <v>45097</v>
      </c>
      <c r="C596" s="1" t="n">
        <v>46166</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56115-2023</t>
        </is>
      </c>
      <c r="B597" s="1" t="n">
        <v>45236</v>
      </c>
      <c r="C597" s="1" t="n">
        <v>46166</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64969-2023</t>
        </is>
      </c>
      <c r="B598" s="1" t="n">
        <v>45284.54009259259</v>
      </c>
      <c r="C598" s="1" t="n">
        <v>46166</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33853-2024</t>
        </is>
      </c>
      <c r="B599" s="1" t="n">
        <v>45520.64298611111</v>
      </c>
      <c r="C599" s="1" t="n">
        <v>46166</v>
      </c>
      <c r="D599" t="inlineStr">
        <is>
          <t>GOTLANDS LÄN</t>
        </is>
      </c>
      <c r="E599" t="inlineStr">
        <is>
          <t>GOTLAND</t>
        </is>
      </c>
      <c r="G599" t="n">
        <v>3.9</v>
      </c>
      <c r="H599" t="n">
        <v>0</v>
      </c>
      <c r="I599" t="n">
        <v>0</v>
      </c>
      <c r="J599" t="n">
        <v>0</v>
      </c>
      <c r="K599" t="n">
        <v>0</v>
      </c>
      <c r="L599" t="n">
        <v>0</v>
      </c>
      <c r="M599" t="n">
        <v>0</v>
      </c>
      <c r="N599" t="n">
        <v>0</v>
      </c>
      <c r="O599" t="n">
        <v>0</v>
      </c>
      <c r="P599" t="n">
        <v>0</v>
      </c>
      <c r="Q599" t="n">
        <v>0</v>
      </c>
      <c r="R599" s="2" t="inlineStr"/>
    </row>
    <row r="600" ht="15" customHeight="1">
      <c r="A600" t="inlineStr">
        <is>
          <t>A 18223-2025</t>
        </is>
      </c>
      <c r="B600" s="1" t="n">
        <v>45761</v>
      </c>
      <c r="C600" s="1" t="n">
        <v>46166</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46949-2024</t>
        </is>
      </c>
      <c r="B601" s="1" t="n">
        <v>45585</v>
      </c>
      <c r="C601" s="1" t="n">
        <v>46166</v>
      </c>
      <c r="D601" t="inlineStr">
        <is>
          <t>GOTLANDS LÄN</t>
        </is>
      </c>
      <c r="E601" t="inlineStr">
        <is>
          <t>GOTLAND</t>
        </is>
      </c>
      <c r="G601" t="n">
        <v>0.6</v>
      </c>
      <c r="H601" t="n">
        <v>0</v>
      </c>
      <c r="I601" t="n">
        <v>0</v>
      </c>
      <c r="J601" t="n">
        <v>0</v>
      </c>
      <c r="K601" t="n">
        <v>0</v>
      </c>
      <c r="L601" t="n">
        <v>0</v>
      </c>
      <c r="M601" t="n">
        <v>0</v>
      </c>
      <c r="N601" t="n">
        <v>0</v>
      </c>
      <c r="O601" t="n">
        <v>0</v>
      </c>
      <c r="P601" t="n">
        <v>0</v>
      </c>
      <c r="Q601" t="n">
        <v>0</v>
      </c>
      <c r="R601" s="2" t="inlineStr"/>
    </row>
    <row r="602" ht="15" customHeight="1">
      <c r="A602" t="inlineStr">
        <is>
          <t>A 39479-2022</t>
        </is>
      </c>
      <c r="B602" s="1" t="n">
        <v>44818</v>
      </c>
      <c r="C602" s="1" t="n">
        <v>46166</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39496-2022</t>
        </is>
      </c>
      <c r="B603" s="1" t="n">
        <v>44818</v>
      </c>
      <c r="C603" s="1" t="n">
        <v>46166</v>
      </c>
      <c r="D603" t="inlineStr">
        <is>
          <t>GOTLANDS LÄN</t>
        </is>
      </c>
      <c r="E603" t="inlineStr">
        <is>
          <t>GOTLAND</t>
        </is>
      </c>
      <c r="G603" t="n">
        <v>2.4</v>
      </c>
      <c r="H603" t="n">
        <v>0</v>
      </c>
      <c r="I603" t="n">
        <v>0</v>
      </c>
      <c r="J603" t="n">
        <v>0</v>
      </c>
      <c r="K603" t="n">
        <v>0</v>
      </c>
      <c r="L603" t="n">
        <v>0</v>
      </c>
      <c r="M603" t="n">
        <v>0</v>
      </c>
      <c r="N603" t="n">
        <v>0</v>
      </c>
      <c r="O603" t="n">
        <v>0</v>
      </c>
      <c r="P603" t="n">
        <v>0</v>
      </c>
      <c r="Q603" t="n">
        <v>0</v>
      </c>
      <c r="R603" s="2" t="inlineStr"/>
    </row>
    <row r="604" ht="15" customHeight="1">
      <c r="A604" t="inlineStr">
        <is>
          <t>A 46389-2021</t>
        </is>
      </c>
      <c r="B604" s="1" t="n">
        <v>44443</v>
      </c>
      <c r="C604" s="1" t="n">
        <v>46166</v>
      </c>
      <c r="D604" t="inlineStr">
        <is>
          <t>GOTLANDS LÄN</t>
        </is>
      </c>
      <c r="E604" t="inlineStr">
        <is>
          <t>GOTLAND</t>
        </is>
      </c>
      <c r="F604" t="inlineStr">
        <is>
          <t>Kyrkan</t>
        </is>
      </c>
      <c r="G604" t="n">
        <v>2.1</v>
      </c>
      <c r="H604" t="n">
        <v>0</v>
      </c>
      <c r="I604" t="n">
        <v>0</v>
      </c>
      <c r="J604" t="n">
        <v>0</v>
      </c>
      <c r="K604" t="n">
        <v>0</v>
      </c>
      <c r="L604" t="n">
        <v>0</v>
      </c>
      <c r="M604" t="n">
        <v>0</v>
      </c>
      <c r="N604" t="n">
        <v>0</v>
      </c>
      <c r="O604" t="n">
        <v>0</v>
      </c>
      <c r="P604" t="n">
        <v>0</v>
      </c>
      <c r="Q604" t="n">
        <v>0</v>
      </c>
      <c r="R604" s="2" t="inlineStr"/>
    </row>
    <row r="605" ht="15" customHeight="1">
      <c r="A605" t="inlineStr">
        <is>
          <t>A 44949-2023</t>
        </is>
      </c>
      <c r="B605" s="1" t="n">
        <v>45190.69520833333</v>
      </c>
      <c r="C605" s="1" t="n">
        <v>46166</v>
      </c>
      <c r="D605" t="inlineStr">
        <is>
          <t>GOTLANDS LÄN</t>
        </is>
      </c>
      <c r="E605" t="inlineStr">
        <is>
          <t>GOTLAND</t>
        </is>
      </c>
      <c r="G605" t="n">
        <v>1.4</v>
      </c>
      <c r="H605" t="n">
        <v>0</v>
      </c>
      <c r="I605" t="n">
        <v>0</v>
      </c>
      <c r="J605" t="n">
        <v>0</v>
      </c>
      <c r="K605" t="n">
        <v>0</v>
      </c>
      <c r="L605" t="n">
        <v>0</v>
      </c>
      <c r="M605" t="n">
        <v>0</v>
      </c>
      <c r="N605" t="n">
        <v>0</v>
      </c>
      <c r="O605" t="n">
        <v>0</v>
      </c>
      <c r="P605" t="n">
        <v>0</v>
      </c>
      <c r="Q605" t="n">
        <v>0</v>
      </c>
      <c r="R605" s="2" t="inlineStr"/>
    </row>
    <row r="606" ht="15" customHeight="1">
      <c r="A606" t="inlineStr">
        <is>
          <t>A 17682-2024</t>
        </is>
      </c>
      <c r="B606" s="1" t="n">
        <v>45418.42966435185</v>
      </c>
      <c r="C606" s="1" t="n">
        <v>46166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61897-2024</t>
        </is>
      </c>
      <c r="B607" s="1" t="n">
        <v>45652.75685185185</v>
      </c>
      <c r="C607" s="1" t="n">
        <v>46166</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12032-2025</t>
        </is>
      </c>
      <c r="B608" s="1" t="n">
        <v>45728.64472222222</v>
      </c>
      <c r="C608" s="1" t="n">
        <v>46166</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15595-2024</t>
        </is>
      </c>
      <c r="B609" s="1" t="n">
        <v>45401.81480324074</v>
      </c>
      <c r="C609" s="1" t="n">
        <v>46166</v>
      </c>
      <c r="D609" t="inlineStr">
        <is>
          <t>GOTLANDS LÄN</t>
        </is>
      </c>
      <c r="E609" t="inlineStr">
        <is>
          <t>GOTLAND</t>
        </is>
      </c>
      <c r="G609" t="n">
        <v>6.4</v>
      </c>
      <c r="H609" t="n">
        <v>0</v>
      </c>
      <c r="I609" t="n">
        <v>0</v>
      </c>
      <c r="J609" t="n">
        <v>0</v>
      </c>
      <c r="K609" t="n">
        <v>0</v>
      </c>
      <c r="L609" t="n">
        <v>0</v>
      </c>
      <c r="M609" t="n">
        <v>0</v>
      </c>
      <c r="N609" t="n">
        <v>0</v>
      </c>
      <c r="O609" t="n">
        <v>0</v>
      </c>
      <c r="P609" t="n">
        <v>0</v>
      </c>
      <c r="Q609" t="n">
        <v>0</v>
      </c>
      <c r="R609" s="2" t="inlineStr"/>
    </row>
    <row r="610" ht="15" customHeight="1">
      <c r="A610" t="inlineStr">
        <is>
          <t>A 21164-2024</t>
        </is>
      </c>
      <c r="B610" s="1" t="n">
        <v>45440</v>
      </c>
      <c r="C610" s="1" t="n">
        <v>46166</v>
      </c>
      <c r="D610" t="inlineStr">
        <is>
          <t>GOTLANDS LÄN</t>
        </is>
      </c>
      <c r="E610" t="inlineStr">
        <is>
          <t>GOTLAND</t>
        </is>
      </c>
      <c r="G610" t="n">
        <v>6.3</v>
      </c>
      <c r="H610" t="n">
        <v>0</v>
      </c>
      <c r="I610" t="n">
        <v>0</v>
      </c>
      <c r="J610" t="n">
        <v>0</v>
      </c>
      <c r="K610" t="n">
        <v>0</v>
      </c>
      <c r="L610" t="n">
        <v>0</v>
      </c>
      <c r="M610" t="n">
        <v>0</v>
      </c>
      <c r="N610" t="n">
        <v>0</v>
      </c>
      <c r="O610" t="n">
        <v>0</v>
      </c>
      <c r="P610" t="n">
        <v>0</v>
      </c>
      <c r="Q610" t="n">
        <v>0</v>
      </c>
      <c r="R610" s="2" t="inlineStr"/>
    </row>
    <row r="611" ht="15" customHeight="1">
      <c r="A611" t="inlineStr">
        <is>
          <t>A 17541-2024</t>
        </is>
      </c>
      <c r="B611" s="1" t="n">
        <v>45415</v>
      </c>
      <c r="C611" s="1" t="n">
        <v>46166</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883-2025</t>
        </is>
      </c>
      <c r="B612" s="1" t="n">
        <v>45665</v>
      </c>
      <c r="C612" s="1" t="n">
        <v>46166</v>
      </c>
      <c r="D612" t="inlineStr">
        <is>
          <t>GOTLANDS LÄN</t>
        </is>
      </c>
      <c r="E612" t="inlineStr">
        <is>
          <t>GOTLAND</t>
        </is>
      </c>
      <c r="G612" t="n">
        <v>1.3</v>
      </c>
      <c r="H612" t="n">
        <v>0</v>
      </c>
      <c r="I612" t="n">
        <v>0</v>
      </c>
      <c r="J612" t="n">
        <v>0</v>
      </c>
      <c r="K612" t="n">
        <v>0</v>
      </c>
      <c r="L612" t="n">
        <v>0</v>
      </c>
      <c r="M612" t="n">
        <v>0</v>
      </c>
      <c r="N612" t="n">
        <v>0</v>
      </c>
      <c r="O612" t="n">
        <v>0</v>
      </c>
      <c r="P612" t="n">
        <v>0</v>
      </c>
      <c r="Q612" t="n">
        <v>0</v>
      </c>
      <c r="R612" s="2" t="inlineStr"/>
    </row>
    <row r="613" ht="15" customHeight="1">
      <c r="A613" t="inlineStr">
        <is>
          <t>A 13910-2025</t>
        </is>
      </c>
      <c r="B613" s="1" t="n">
        <v>45737</v>
      </c>
      <c r="C613" s="1" t="n">
        <v>46166</v>
      </c>
      <c r="D613" t="inlineStr">
        <is>
          <t>GOTLANDS LÄN</t>
        </is>
      </c>
      <c r="E613" t="inlineStr">
        <is>
          <t>GOTLAND</t>
        </is>
      </c>
      <c r="F613" t="inlineStr">
        <is>
          <t>Kommuner</t>
        </is>
      </c>
      <c r="G613" t="n">
        <v>3.2</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46166</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46166</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46166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46166</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21420-2024</t>
        </is>
      </c>
      <c r="B618" s="1" t="n">
        <v>45441.38293981482</v>
      </c>
      <c r="C618" s="1" t="n">
        <v>46166</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46166</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57356-2023</t>
        </is>
      </c>
      <c r="B620" s="1" t="n">
        <v>45240</v>
      </c>
      <c r="C620" s="1" t="n">
        <v>46166</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46166</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46166</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23856-2025</t>
        </is>
      </c>
      <c r="B623" s="1" t="n">
        <v>45793</v>
      </c>
      <c r="C623" s="1" t="n">
        <v>46166</v>
      </c>
      <c r="D623" t="inlineStr">
        <is>
          <t>GOTLANDS LÄN</t>
        </is>
      </c>
      <c r="E623" t="inlineStr">
        <is>
          <t>GOTLAND</t>
        </is>
      </c>
      <c r="G623" t="n">
        <v>4.4</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46166</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23698-2025</t>
        </is>
      </c>
      <c r="B625" s="1" t="n">
        <v>45793</v>
      </c>
      <c r="C625" s="1" t="n">
        <v>46166</v>
      </c>
      <c r="D625" t="inlineStr">
        <is>
          <t>GOTLANDS LÄN</t>
        </is>
      </c>
      <c r="E625" t="inlineStr">
        <is>
          <t>GOTLAND</t>
        </is>
      </c>
      <c r="G625" t="n">
        <v>0.8</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46166</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46166</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46166</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46166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26465-2025</t>
        </is>
      </c>
      <c r="B630" s="1" t="n">
        <v>45807.44377314814</v>
      </c>
      <c r="C630" s="1" t="n">
        <v>46166</v>
      </c>
      <c r="D630" t="inlineStr">
        <is>
          <t>GOTLANDS LÄN</t>
        </is>
      </c>
      <c r="E630" t="inlineStr">
        <is>
          <t>GOTLAND</t>
        </is>
      </c>
      <c r="G630" t="n">
        <v>4.5</v>
      </c>
      <c r="H630" t="n">
        <v>0</v>
      </c>
      <c r="I630" t="n">
        <v>0</v>
      </c>
      <c r="J630" t="n">
        <v>0</v>
      </c>
      <c r="K630" t="n">
        <v>0</v>
      </c>
      <c r="L630" t="n">
        <v>0</v>
      </c>
      <c r="M630" t="n">
        <v>0</v>
      </c>
      <c r="N630" t="n">
        <v>0</v>
      </c>
      <c r="O630" t="n">
        <v>0</v>
      </c>
      <c r="P630" t="n">
        <v>0</v>
      </c>
      <c r="Q630" t="n">
        <v>0</v>
      </c>
      <c r="R630" s="2" t="inlineStr"/>
    </row>
    <row r="631" ht="15" customHeight="1">
      <c r="A631" t="inlineStr">
        <is>
          <t>A 26457-2025</t>
        </is>
      </c>
      <c r="B631" s="1" t="n">
        <v>45807.42773148148</v>
      </c>
      <c r="C631" s="1" t="n">
        <v>46166</v>
      </c>
      <c r="D631" t="inlineStr">
        <is>
          <t>GOTLANDS LÄN</t>
        </is>
      </c>
      <c r="E631" t="inlineStr">
        <is>
          <t>GOTLAND</t>
        </is>
      </c>
      <c r="G631" t="n">
        <v>5.7</v>
      </c>
      <c r="H631" t="n">
        <v>0</v>
      </c>
      <c r="I631" t="n">
        <v>0</v>
      </c>
      <c r="J631" t="n">
        <v>0</v>
      </c>
      <c r="K631" t="n">
        <v>0</v>
      </c>
      <c r="L631" t="n">
        <v>0</v>
      </c>
      <c r="M631" t="n">
        <v>0</v>
      </c>
      <c r="N631" t="n">
        <v>0</v>
      </c>
      <c r="O631" t="n">
        <v>0</v>
      </c>
      <c r="P631" t="n">
        <v>0</v>
      </c>
      <c r="Q631" t="n">
        <v>0</v>
      </c>
      <c r="R631" s="2" t="inlineStr"/>
    </row>
    <row r="632" ht="15" customHeight="1">
      <c r="A632" t="inlineStr">
        <is>
          <t>A 26467-2025</t>
        </is>
      </c>
      <c r="B632" s="1" t="n">
        <v>45807.44640046296</v>
      </c>
      <c r="C632" s="1" t="n">
        <v>46166</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46166</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27355-2025</t>
        </is>
      </c>
      <c r="B634" s="1" t="n">
        <v>45812</v>
      </c>
      <c r="C634" s="1" t="n">
        <v>46166</v>
      </c>
      <c r="D634" t="inlineStr">
        <is>
          <t>GOTLANDS LÄN</t>
        </is>
      </c>
      <c r="E634" t="inlineStr">
        <is>
          <t>GOTLAND</t>
        </is>
      </c>
      <c r="G634" t="n">
        <v>1.1</v>
      </c>
      <c r="H634" t="n">
        <v>0</v>
      </c>
      <c r="I634" t="n">
        <v>0</v>
      </c>
      <c r="J634" t="n">
        <v>0</v>
      </c>
      <c r="K634" t="n">
        <v>0</v>
      </c>
      <c r="L634" t="n">
        <v>0</v>
      </c>
      <c r="M634" t="n">
        <v>0</v>
      </c>
      <c r="N634" t="n">
        <v>0</v>
      </c>
      <c r="O634" t="n">
        <v>0</v>
      </c>
      <c r="P634" t="n">
        <v>0</v>
      </c>
      <c r="Q634" t="n">
        <v>0</v>
      </c>
      <c r="R634" s="2" t="inlineStr"/>
    </row>
    <row r="635" ht="15" customHeight="1">
      <c r="A635" t="inlineStr">
        <is>
          <t>A 27371-2025</t>
        </is>
      </c>
      <c r="B635" s="1" t="n">
        <v>45812</v>
      </c>
      <c r="C635" s="1" t="n">
        <v>46166</v>
      </c>
      <c r="D635" t="inlineStr">
        <is>
          <t>GOTLANDS LÄN</t>
        </is>
      </c>
      <c r="E635" t="inlineStr">
        <is>
          <t>GOTLAND</t>
        </is>
      </c>
      <c r="G635" t="n">
        <v>8</v>
      </c>
      <c r="H635" t="n">
        <v>0</v>
      </c>
      <c r="I635" t="n">
        <v>0</v>
      </c>
      <c r="J635" t="n">
        <v>0</v>
      </c>
      <c r="K635" t="n">
        <v>0</v>
      </c>
      <c r="L635" t="n">
        <v>0</v>
      </c>
      <c r="M635" t="n">
        <v>0</v>
      </c>
      <c r="N635" t="n">
        <v>0</v>
      </c>
      <c r="O635" t="n">
        <v>0</v>
      </c>
      <c r="P635" t="n">
        <v>0</v>
      </c>
      <c r="Q635" t="n">
        <v>0</v>
      </c>
      <c r="R635" s="2" t="inlineStr"/>
    </row>
    <row r="636" ht="15" customHeight="1">
      <c r="A636" t="inlineStr">
        <is>
          <t>A 7850-2025</t>
        </is>
      </c>
      <c r="B636" s="1" t="n">
        <v>45706</v>
      </c>
      <c r="C636" s="1" t="n">
        <v>46166</v>
      </c>
      <c r="D636" t="inlineStr">
        <is>
          <t>GOTLANDS LÄN</t>
        </is>
      </c>
      <c r="E636" t="inlineStr">
        <is>
          <t>GOTLAND</t>
        </is>
      </c>
      <c r="G636" t="n">
        <v>0.5</v>
      </c>
      <c r="H636" t="n">
        <v>0</v>
      </c>
      <c r="I636" t="n">
        <v>0</v>
      </c>
      <c r="J636" t="n">
        <v>0</v>
      </c>
      <c r="K636" t="n">
        <v>0</v>
      </c>
      <c r="L636" t="n">
        <v>0</v>
      </c>
      <c r="M636" t="n">
        <v>0</v>
      </c>
      <c r="N636" t="n">
        <v>0</v>
      </c>
      <c r="O636" t="n">
        <v>0</v>
      </c>
      <c r="P636" t="n">
        <v>0</v>
      </c>
      <c r="Q636" t="n">
        <v>0</v>
      </c>
      <c r="R636" s="2" t="inlineStr"/>
    </row>
    <row r="637" ht="15" customHeight="1">
      <c r="A637" t="inlineStr">
        <is>
          <t>A 8444-2025</t>
        </is>
      </c>
      <c r="B637" s="1" t="n">
        <v>45709</v>
      </c>
      <c r="C637" s="1" t="n">
        <v>46166</v>
      </c>
      <c r="D637" t="inlineStr">
        <is>
          <t>GOTLANDS LÄN</t>
        </is>
      </c>
      <c r="E637" t="inlineStr">
        <is>
          <t>GOTLAND</t>
        </is>
      </c>
      <c r="G637" t="n">
        <v>5.2</v>
      </c>
      <c r="H637" t="n">
        <v>0</v>
      </c>
      <c r="I637" t="n">
        <v>0</v>
      </c>
      <c r="J637" t="n">
        <v>0</v>
      </c>
      <c r="K637" t="n">
        <v>0</v>
      </c>
      <c r="L637" t="n">
        <v>0</v>
      </c>
      <c r="M637" t="n">
        <v>0</v>
      </c>
      <c r="N637" t="n">
        <v>0</v>
      </c>
      <c r="O637" t="n">
        <v>0</v>
      </c>
      <c r="P637" t="n">
        <v>0</v>
      </c>
      <c r="Q637" t="n">
        <v>0</v>
      </c>
      <c r="R637" s="2" t="inlineStr"/>
    </row>
    <row r="638" ht="15" customHeight="1">
      <c r="A638" t="inlineStr">
        <is>
          <t>A 19905-2025</t>
        </is>
      </c>
      <c r="B638" s="1" t="n">
        <v>45771</v>
      </c>
      <c r="C638" s="1" t="n">
        <v>46166</v>
      </c>
      <c r="D638" t="inlineStr">
        <is>
          <t>GOTLANDS LÄN</t>
        </is>
      </c>
      <c r="E638" t="inlineStr">
        <is>
          <t>GOTLAND</t>
        </is>
      </c>
      <c r="G638" t="n">
        <v>1.2</v>
      </c>
      <c r="H638" t="n">
        <v>0</v>
      </c>
      <c r="I638" t="n">
        <v>0</v>
      </c>
      <c r="J638" t="n">
        <v>0</v>
      </c>
      <c r="K638" t="n">
        <v>0</v>
      </c>
      <c r="L638" t="n">
        <v>0</v>
      </c>
      <c r="M638" t="n">
        <v>0</v>
      </c>
      <c r="N638" t="n">
        <v>0</v>
      </c>
      <c r="O638" t="n">
        <v>0</v>
      </c>
      <c r="P638" t="n">
        <v>0</v>
      </c>
      <c r="Q638" t="n">
        <v>0</v>
      </c>
      <c r="R638" s="2" t="inlineStr"/>
    </row>
    <row r="639" ht="15" customHeight="1">
      <c r="A639" t="inlineStr">
        <is>
          <t>A 29207-2025</t>
        </is>
      </c>
      <c r="B639" s="1" t="n">
        <v>45823</v>
      </c>
      <c r="C639" s="1" t="n">
        <v>46166</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29196-2025</t>
        </is>
      </c>
      <c r="B640" s="1" t="n">
        <v>45822</v>
      </c>
      <c r="C640" s="1" t="n">
        <v>46166</v>
      </c>
      <c r="D640" t="inlineStr">
        <is>
          <t>GOTLANDS LÄN</t>
        </is>
      </c>
      <c r="E640" t="inlineStr">
        <is>
          <t>GOTLAND</t>
        </is>
      </c>
      <c r="G640" t="n">
        <v>0.5</v>
      </c>
      <c r="H640" t="n">
        <v>0</v>
      </c>
      <c r="I640" t="n">
        <v>0</v>
      </c>
      <c r="J640" t="n">
        <v>0</v>
      </c>
      <c r="K640" t="n">
        <v>0</v>
      </c>
      <c r="L640" t="n">
        <v>0</v>
      </c>
      <c r="M640" t="n">
        <v>0</v>
      </c>
      <c r="N640" t="n">
        <v>0</v>
      </c>
      <c r="O640" t="n">
        <v>0</v>
      </c>
      <c r="P640" t="n">
        <v>0</v>
      </c>
      <c r="Q640" t="n">
        <v>0</v>
      </c>
      <c r="R640" s="2" t="inlineStr"/>
    </row>
    <row r="641" ht="15" customHeight="1">
      <c r="A641" t="inlineStr">
        <is>
          <t>A 30061-2025</t>
        </is>
      </c>
      <c r="B641" s="1" t="n">
        <v>45826.61488425926</v>
      </c>
      <c r="C641" s="1" t="n">
        <v>46166</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58160-2024</t>
        </is>
      </c>
      <c r="B642" s="1" t="n">
        <v>45632.44927083333</v>
      </c>
      <c r="C642" s="1" t="n">
        <v>46166</v>
      </c>
      <c r="D642" t="inlineStr">
        <is>
          <t>GOTLANDS LÄN</t>
        </is>
      </c>
      <c r="E642" t="inlineStr">
        <is>
          <t>GOTLAND</t>
        </is>
      </c>
      <c r="G642" t="n">
        <v>5.6</v>
      </c>
      <c r="H642" t="n">
        <v>0</v>
      </c>
      <c r="I642" t="n">
        <v>0</v>
      </c>
      <c r="J642" t="n">
        <v>0</v>
      </c>
      <c r="K642" t="n">
        <v>0</v>
      </c>
      <c r="L642" t="n">
        <v>0</v>
      </c>
      <c r="M642" t="n">
        <v>0</v>
      </c>
      <c r="N642" t="n">
        <v>0</v>
      </c>
      <c r="O642" t="n">
        <v>0</v>
      </c>
      <c r="P642" t="n">
        <v>0</v>
      </c>
      <c r="Q642" t="n">
        <v>0</v>
      </c>
      <c r="R642" s="2" t="inlineStr"/>
    </row>
    <row r="643" ht="15" customHeight="1">
      <c r="A643" t="inlineStr">
        <is>
          <t>A 16109-2025</t>
        </is>
      </c>
      <c r="B643" s="1" t="n">
        <v>45750</v>
      </c>
      <c r="C643" s="1" t="n">
        <v>46166</v>
      </c>
      <c r="D643" t="inlineStr">
        <is>
          <t>GOTLANDS LÄN</t>
        </is>
      </c>
      <c r="E643" t="inlineStr">
        <is>
          <t>GOTLAND</t>
        </is>
      </c>
      <c r="G643" t="n">
        <v>4.9</v>
      </c>
      <c r="H643" t="n">
        <v>0</v>
      </c>
      <c r="I643" t="n">
        <v>0</v>
      </c>
      <c r="J643" t="n">
        <v>0</v>
      </c>
      <c r="K643" t="n">
        <v>0</v>
      </c>
      <c r="L643" t="n">
        <v>0</v>
      </c>
      <c r="M643" t="n">
        <v>0</v>
      </c>
      <c r="N643" t="n">
        <v>0</v>
      </c>
      <c r="O643" t="n">
        <v>0</v>
      </c>
      <c r="P643" t="n">
        <v>0</v>
      </c>
      <c r="Q643" t="n">
        <v>0</v>
      </c>
      <c r="R643" s="2" t="inlineStr"/>
    </row>
    <row r="644" ht="15" customHeight="1">
      <c r="A644" t="inlineStr">
        <is>
          <t>A 32467-2025</t>
        </is>
      </c>
      <c r="B644" s="1" t="n">
        <v>45838.42111111111</v>
      </c>
      <c r="C644" s="1" t="n">
        <v>46166</v>
      </c>
      <c r="D644" t="inlineStr">
        <is>
          <t>GOTLANDS LÄN</t>
        </is>
      </c>
      <c r="E644" t="inlineStr">
        <is>
          <t>GOTLAND</t>
        </is>
      </c>
      <c r="G644" t="n">
        <v>4.3</v>
      </c>
      <c r="H644" t="n">
        <v>0</v>
      </c>
      <c r="I644" t="n">
        <v>0</v>
      </c>
      <c r="J644" t="n">
        <v>0</v>
      </c>
      <c r="K644" t="n">
        <v>0</v>
      </c>
      <c r="L644" t="n">
        <v>0</v>
      </c>
      <c r="M644" t="n">
        <v>0</v>
      </c>
      <c r="N644" t="n">
        <v>0</v>
      </c>
      <c r="O644" t="n">
        <v>0</v>
      </c>
      <c r="P644" t="n">
        <v>0</v>
      </c>
      <c r="Q644" t="n">
        <v>0</v>
      </c>
      <c r="R644" s="2" t="inlineStr"/>
    </row>
    <row r="645" ht="15" customHeight="1">
      <c r="A645" t="inlineStr">
        <is>
          <t>A 32379-2025</t>
        </is>
      </c>
      <c r="B645" s="1" t="n">
        <v>45837</v>
      </c>
      <c r="C645" s="1" t="n">
        <v>46166</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c r="A646" t="inlineStr">
        <is>
          <t>A 33007-2025</t>
        </is>
      </c>
      <c r="B646" s="1" t="n">
        <v>45840</v>
      </c>
      <c r="C646" s="1" t="n">
        <v>46166</v>
      </c>
      <c r="D646" t="inlineStr">
        <is>
          <t>GOTLANDS LÄN</t>
        </is>
      </c>
      <c r="E646" t="inlineStr">
        <is>
          <t>GOTLAND</t>
        </is>
      </c>
      <c r="G646" t="n">
        <v>4.9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2026-05-24T10:53:13Z</dcterms:created>
  <dcterms:modified xmlns:dcterms="http://purl.org/dc/terms/" xmlns:xsi="http://www.w3.org/2001/XMLSchema-instance" xsi:type="dcterms:W3CDTF">2026-05-24T10:53:14Z</dcterms:modified>
</cp:coreProperties>
</file>