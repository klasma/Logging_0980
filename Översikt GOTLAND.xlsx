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45911</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45911</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45911</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45911</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45911</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45911</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45911</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45911</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45911</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45911</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45911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45911</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45911</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33728-2025</t>
        </is>
      </c>
      <c r="B22" s="1" t="n">
        <v>45842.29344907407</v>
      </c>
      <c r="C22" s="1" t="n">
        <v>45911</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45911</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2222-2024</t>
        </is>
      </c>
      <c r="B24" s="1" t="n">
        <v>45309</v>
      </c>
      <c r="C24" s="1" t="n">
        <v>45911</v>
      </c>
      <c r="D24" t="inlineStr">
        <is>
          <t>GOTLANDS LÄN</t>
        </is>
      </c>
      <c r="E24" t="inlineStr">
        <is>
          <t>GOTLAND</t>
        </is>
      </c>
      <c r="F24" t="inlineStr">
        <is>
          <t>Kyrkan</t>
        </is>
      </c>
      <c r="G24" t="n">
        <v>10.6</v>
      </c>
      <c r="H24" t="n">
        <v>0</v>
      </c>
      <c r="I24" t="n">
        <v>6</v>
      </c>
      <c r="J24" t="n">
        <v>3</v>
      </c>
      <c r="K24" t="n">
        <v>5</v>
      </c>
      <c r="L24" t="n">
        <v>0</v>
      </c>
      <c r="M24" t="n">
        <v>0</v>
      </c>
      <c r="N24" t="n">
        <v>0</v>
      </c>
      <c r="O24" t="n">
        <v>8</v>
      </c>
      <c r="P24" t="n">
        <v>5</v>
      </c>
      <c r="Q24" t="n">
        <v>14</v>
      </c>
      <c r="R24" s="2" t="inlineStr">
        <is>
          <t>Granrotsspindling
Gulsträngad fagerspindling
Svartgrön spindling
Tvillingspindling
Vit taggsvamp
Denisespindling
Odörspindling
Svinrot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25779-2022</t>
        </is>
      </c>
      <c r="B25" s="1" t="n">
        <v>44733</v>
      </c>
      <c r="C25" s="1" t="n">
        <v>45911</v>
      </c>
      <c r="D25" t="inlineStr">
        <is>
          <t>GOTLANDS LÄN</t>
        </is>
      </c>
      <c r="E25" t="inlineStr">
        <is>
          <t>GOTLAND</t>
        </is>
      </c>
      <c r="G25" t="n">
        <v>12.6</v>
      </c>
      <c r="H25" t="n">
        <v>4</v>
      </c>
      <c r="I25" t="n">
        <v>8</v>
      </c>
      <c r="J25" t="n">
        <v>3</v>
      </c>
      <c r="K25" t="n">
        <v>3</v>
      </c>
      <c r="L25" t="n">
        <v>0</v>
      </c>
      <c r="M25" t="n">
        <v>0</v>
      </c>
      <c r="N25" t="n">
        <v>0</v>
      </c>
      <c r="O25" t="n">
        <v>6</v>
      </c>
      <c r="P25" t="n">
        <v>3</v>
      </c>
      <c r="Q25" t="n">
        <v>14</v>
      </c>
      <c r="R25" s="2" t="inlineStr">
        <is>
          <t>Duvspindling
Knärot
Ruttaggsvamp
Jordtistel
Odörspindling
Svart taggsvamp
Nästrot
Rödgul trumpetsvamp
Skogsknipprot
Strimspindling
Strävlosta
Svavelriska
Vit skogslilja
Zontaggsvamp</t>
        </is>
      </c>
      <c r="S25">
        <f>HYPERLINK("https://klasma.github.io/Logging_0980/artfynd/A 25779-2022 artfynd.xlsx", "A 25779-2022")</f>
        <v/>
      </c>
      <c r="T25">
        <f>HYPERLINK("https://klasma.github.io/Logging_0980/kartor/A 25779-2022 karta.png", "A 25779-2022")</f>
        <v/>
      </c>
      <c r="U25">
        <f>HYPERLINK("https://klasma.github.io/Logging_0980/knärot/A 25779-2022 karta knärot.png", "A 25779-2022")</f>
        <v/>
      </c>
      <c r="V25">
        <f>HYPERLINK("https://klasma.github.io/Logging_0980/klagomål/A 25779-2022 FSC-klagomål.docx", "A 25779-2022")</f>
        <v/>
      </c>
      <c r="W25">
        <f>HYPERLINK("https://klasma.github.io/Logging_0980/klagomålsmail/A 25779-2022 FSC-klagomål mail.docx", "A 25779-2022")</f>
        <v/>
      </c>
      <c r="X25">
        <f>HYPERLINK("https://klasma.github.io/Logging_0980/tillsyn/A 25779-2022 tillsynsbegäran.docx", "A 25779-2022")</f>
        <v/>
      </c>
      <c r="Y25">
        <f>HYPERLINK("https://klasma.github.io/Logging_0980/tillsynsmail/A 25779-2022 tillsynsbegäran mail.docx", "A 25779-2022")</f>
        <v/>
      </c>
    </row>
    <row r="26" ht="15" customHeight="1">
      <c r="A26" t="inlineStr">
        <is>
          <t>A 44928-2022</t>
        </is>
      </c>
      <c r="B26" s="1" t="n">
        <v>44841</v>
      </c>
      <c r="C26" s="1" t="n">
        <v>45911</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45911</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45911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45911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2804-2023</t>
        </is>
      </c>
      <c r="B30" s="1" t="n">
        <v>44944</v>
      </c>
      <c r="C30" s="1" t="n">
        <v>45911</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45911</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45911</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45911</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15068-2025</t>
        </is>
      </c>
      <c r="B36" s="1" t="n">
        <v>45743</v>
      </c>
      <c r="C36" s="1" t="n">
        <v>45911</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45911</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45911</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45911</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45911</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45911</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45911</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45911</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45911</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45911</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45911</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45911</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45911</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45911</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27280-2023</t>
        </is>
      </c>
      <c r="B52" s="1" t="n">
        <v>45096</v>
      </c>
      <c r="C52" s="1" t="n">
        <v>45911</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4984-2025</t>
        </is>
      </c>
      <c r="B53" s="1" t="n">
        <v>45691.29891203704</v>
      </c>
      <c r="C53" s="1" t="n">
        <v>45911</v>
      </c>
      <c r="D53" t="inlineStr">
        <is>
          <t>GOTLANDS LÄN</t>
        </is>
      </c>
      <c r="E53" t="inlineStr">
        <is>
          <t>GOTLAND</t>
        </is>
      </c>
      <c r="G53" t="n">
        <v>1.3</v>
      </c>
      <c r="H53" t="n">
        <v>4</v>
      </c>
      <c r="I53" t="n">
        <v>2</v>
      </c>
      <c r="J53" t="n">
        <v>3</v>
      </c>
      <c r="K53" t="n">
        <v>0</v>
      </c>
      <c r="L53" t="n">
        <v>0</v>
      </c>
      <c r="M53" t="n">
        <v>0</v>
      </c>
      <c r="N53" t="n">
        <v>0</v>
      </c>
      <c r="O53" t="n">
        <v>3</v>
      </c>
      <c r="P53" t="n">
        <v>0</v>
      </c>
      <c r="Q53" t="n">
        <v>7</v>
      </c>
      <c r="R53" s="2" t="inlineStr">
        <is>
          <t>Gulsparv
Jordtistel
Svinrot
Grönpyrola
Tvåblad
Kärrknipprot
Nattviol</t>
        </is>
      </c>
      <c r="S53">
        <f>HYPERLINK("https://klasma.github.io/Logging_0980/artfynd/A 4984-2025 artfynd.xlsx", "A 4984-2025")</f>
        <v/>
      </c>
      <c r="T53">
        <f>HYPERLINK("https://klasma.github.io/Logging_0980/kartor/A 4984-2025 karta.png", "A 4984-2025")</f>
        <v/>
      </c>
      <c r="V53">
        <f>HYPERLINK("https://klasma.github.io/Logging_0980/klagomål/A 4984-2025 FSC-klagomål.docx", "A 4984-2025")</f>
        <v/>
      </c>
      <c r="W53">
        <f>HYPERLINK("https://klasma.github.io/Logging_0980/klagomålsmail/A 4984-2025 FSC-klagomål mail.docx", "A 4984-2025")</f>
        <v/>
      </c>
      <c r="X53">
        <f>HYPERLINK("https://klasma.github.io/Logging_0980/tillsyn/A 4984-2025 tillsynsbegäran.docx", "A 4984-2025")</f>
        <v/>
      </c>
      <c r="Y53">
        <f>HYPERLINK("https://klasma.github.io/Logging_0980/tillsynsmail/A 4984-2025 tillsynsbegäran mail.docx", "A 4984-2025")</f>
        <v/>
      </c>
      <c r="Z53">
        <f>HYPERLINK("https://klasma.github.io/Logging_0980/fåglar/A 4984-2025 prioriterade fågelarter.docx", "A 4984-2025")</f>
        <v/>
      </c>
    </row>
    <row r="54" ht="15" customHeight="1">
      <c r="A54" t="inlineStr">
        <is>
          <t>A 18541-2024</t>
        </is>
      </c>
      <c r="B54" s="1" t="n">
        <v>45425</v>
      </c>
      <c r="C54" s="1" t="n">
        <v>45911</v>
      </c>
      <c r="D54" t="inlineStr">
        <is>
          <t>GOTLANDS LÄN</t>
        </is>
      </c>
      <c r="E54" t="inlineStr">
        <is>
          <t>GOTLAND</t>
        </is>
      </c>
      <c r="F54" t="inlineStr">
        <is>
          <t>Övriga statliga verk och myndigheter</t>
        </is>
      </c>
      <c r="G54" t="n">
        <v>2.2</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18541-2024 artfynd.xlsx", "A 18541-2024")</f>
        <v/>
      </c>
      <c r="T54">
        <f>HYPERLINK("https://klasma.github.io/Logging_0980/kartor/A 18541-2024 karta.png", "A 18541-2024")</f>
        <v/>
      </c>
      <c r="V54">
        <f>HYPERLINK("https://klasma.github.io/Logging_0980/klagomål/A 18541-2024 FSC-klagomål.docx", "A 18541-2024")</f>
        <v/>
      </c>
      <c r="W54">
        <f>HYPERLINK("https://klasma.github.io/Logging_0980/klagomålsmail/A 18541-2024 FSC-klagomål mail.docx", "A 18541-2024")</f>
        <v/>
      </c>
      <c r="X54">
        <f>HYPERLINK("https://klasma.github.io/Logging_0980/tillsyn/A 18541-2024 tillsynsbegäran.docx", "A 18541-2024")</f>
        <v/>
      </c>
      <c r="Y54">
        <f>HYPERLINK("https://klasma.github.io/Logging_0980/tillsynsmail/A 18541-2024 tillsynsbegäran mail.docx", "A 18541-2024")</f>
        <v/>
      </c>
      <c r="Z54">
        <f>HYPERLINK("https://klasma.github.io/Logging_0980/fåglar/A 18541-2024 prioriterade fågelarter.docx", "A 18541-2024")</f>
        <v/>
      </c>
    </row>
    <row r="55" ht="15" customHeight="1">
      <c r="A55" t="inlineStr">
        <is>
          <t>A 6960-2025</t>
        </is>
      </c>
      <c r="B55" s="1" t="n">
        <v>45701.49409722222</v>
      </c>
      <c r="C55" s="1" t="n">
        <v>45911</v>
      </c>
      <c r="D55" t="inlineStr">
        <is>
          <t>GOTLANDS LÄN</t>
        </is>
      </c>
      <c r="E55" t="inlineStr">
        <is>
          <t>GOTLAND</t>
        </is>
      </c>
      <c r="G55" t="n">
        <v>4</v>
      </c>
      <c r="H55" t="n">
        <v>4</v>
      </c>
      <c r="I55" t="n">
        <v>1</v>
      </c>
      <c r="J55" t="n">
        <v>4</v>
      </c>
      <c r="K55" t="n">
        <v>0</v>
      </c>
      <c r="L55" t="n">
        <v>0</v>
      </c>
      <c r="M55" t="n">
        <v>0</v>
      </c>
      <c r="N55" t="n">
        <v>0</v>
      </c>
      <c r="O55" t="n">
        <v>4</v>
      </c>
      <c r="P55" t="n">
        <v>0</v>
      </c>
      <c r="Q55" t="n">
        <v>7</v>
      </c>
      <c r="R55" s="2" t="inlineStr">
        <is>
          <t>Majviva
Spillkråka
Svinrot
Ängsstarr
Skogsknipprot
Dactylorhiza incarnata subsp. incarnata
Nattviol</t>
        </is>
      </c>
      <c r="S55">
        <f>HYPERLINK("https://klasma.github.io/Logging_0980/artfynd/A 6960-2025 artfynd.xlsx", "A 6960-2025")</f>
        <v/>
      </c>
      <c r="T55">
        <f>HYPERLINK("https://klasma.github.io/Logging_0980/kartor/A 6960-2025 karta.png", "A 6960-2025")</f>
        <v/>
      </c>
      <c r="U55">
        <f>HYPERLINK("https://klasma.github.io/Logging_0980/knärot/A 6960-2025 karta knärot.png", "A 6960-2025")</f>
        <v/>
      </c>
      <c r="V55">
        <f>HYPERLINK("https://klasma.github.io/Logging_0980/klagomål/A 6960-2025 FSC-klagomål.docx", "A 6960-2025")</f>
        <v/>
      </c>
      <c r="W55">
        <f>HYPERLINK("https://klasma.github.io/Logging_0980/klagomålsmail/A 6960-2025 FSC-klagomål mail.docx", "A 6960-2025")</f>
        <v/>
      </c>
      <c r="X55">
        <f>HYPERLINK("https://klasma.github.io/Logging_0980/tillsyn/A 6960-2025 tillsynsbegäran.docx", "A 6960-2025")</f>
        <v/>
      </c>
      <c r="Y55">
        <f>HYPERLINK("https://klasma.github.io/Logging_0980/tillsynsmail/A 6960-2025 tillsynsbegäran mail.docx", "A 6960-2025")</f>
        <v/>
      </c>
      <c r="Z55">
        <f>HYPERLINK("https://klasma.github.io/Logging_0980/fåglar/A 6960-2025 prioriterade fågelarter.docx", "A 6960-2025")</f>
        <v/>
      </c>
    </row>
    <row r="56" ht="15" customHeight="1">
      <c r="A56" t="inlineStr">
        <is>
          <t>A 10419-2025</t>
        </is>
      </c>
      <c r="B56" s="1" t="n">
        <v>45720</v>
      </c>
      <c r="C56" s="1" t="n">
        <v>45911</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25205-2021</t>
        </is>
      </c>
      <c r="B57" s="1" t="n">
        <v>44342</v>
      </c>
      <c r="C57" s="1" t="n">
        <v>45911</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45911</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45911</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45911</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45911</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16823-2024</t>
        </is>
      </c>
      <c r="B62" s="1" t="n">
        <v>45411</v>
      </c>
      <c r="C62" s="1" t="n">
        <v>45911</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54527-2023</t>
        </is>
      </c>
      <c r="B63" s="1" t="n">
        <v>45233</v>
      </c>
      <c r="C63" s="1" t="n">
        <v>45911</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446-2023</t>
        </is>
      </c>
      <c r="B64" s="1" t="n">
        <v>44929</v>
      </c>
      <c r="C64" s="1" t="n">
        <v>45911</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45911</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54055-2022</t>
        </is>
      </c>
      <c r="B66" s="1" t="n">
        <v>44881</v>
      </c>
      <c r="C66" s="1" t="n">
        <v>45911</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Diskvaxskivling
Kryddspindling
Olivspindling</t>
        </is>
      </c>
      <c r="S66">
        <f>HYPERLINK("https://klasma.github.io/Logging_0980/artfynd/A 54055-2022 artfynd.xlsx", "A 54055-2022")</f>
        <v/>
      </c>
      <c r="T66">
        <f>HYPERLINK("https://klasma.github.io/Logging_0980/kartor/A 54055-2022 karta.png", "A 54055-2022")</f>
        <v/>
      </c>
      <c r="V66">
        <f>HYPERLINK("https://klasma.github.io/Logging_0980/klagomål/A 54055-2022 FSC-klagomål.docx", "A 54055-2022")</f>
        <v/>
      </c>
      <c r="W66">
        <f>HYPERLINK("https://klasma.github.io/Logging_0980/klagomålsmail/A 54055-2022 FSC-klagomål mail.docx", "A 54055-2022")</f>
        <v/>
      </c>
      <c r="X66">
        <f>HYPERLINK("https://klasma.github.io/Logging_0980/tillsyn/A 54055-2022 tillsynsbegäran.docx", "A 54055-2022")</f>
        <v/>
      </c>
      <c r="Y66">
        <f>HYPERLINK("https://klasma.github.io/Logging_0980/tillsynsmail/A 54055-2022 tillsynsbegäran mail.docx", "A 54055-2022")</f>
        <v/>
      </c>
    </row>
    <row r="67" ht="15" customHeight="1">
      <c r="A67" t="inlineStr">
        <is>
          <t>A 16375-2025</t>
        </is>
      </c>
      <c r="B67" s="1" t="n">
        <v>45751.41064814815</v>
      </c>
      <c r="C67" s="1" t="n">
        <v>45911</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42936-2024</t>
        </is>
      </c>
      <c r="B68" s="1" t="n">
        <v>45567</v>
      </c>
      <c r="C68" s="1" t="n">
        <v>45911</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44944-2022</t>
        </is>
      </c>
      <c r="B69" s="1" t="n">
        <v>44841</v>
      </c>
      <c r="C69" s="1" t="n">
        <v>45911</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35293-2025</t>
        </is>
      </c>
      <c r="B70" s="1" t="n">
        <v>45854.39438657407</v>
      </c>
      <c r="C70" s="1" t="n">
        <v>45911</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2213-2023</t>
        </is>
      </c>
      <c r="B71" s="1" t="n">
        <v>44942</v>
      </c>
      <c r="C71" s="1" t="n">
        <v>45911</v>
      </c>
      <c r="D71" t="inlineStr">
        <is>
          <t>GOTLANDS LÄN</t>
        </is>
      </c>
      <c r="E71" t="inlineStr">
        <is>
          <t>GOTLAND</t>
        </is>
      </c>
      <c r="G71" t="n">
        <v>2.7</v>
      </c>
      <c r="H71" t="n">
        <v>1</v>
      </c>
      <c r="I71" t="n">
        <v>0</v>
      </c>
      <c r="J71" t="n">
        <v>4</v>
      </c>
      <c r="K71" t="n">
        <v>1</v>
      </c>
      <c r="L71" t="n">
        <v>0</v>
      </c>
      <c r="M71" t="n">
        <v>0</v>
      </c>
      <c r="N71" t="n">
        <v>0</v>
      </c>
      <c r="O71" t="n">
        <v>5</v>
      </c>
      <c r="P71" t="n">
        <v>1</v>
      </c>
      <c r="Q71" t="n">
        <v>5</v>
      </c>
      <c r="R71" s="2" t="inlineStr">
        <is>
          <t>Garderönn
Backtimjan
Odörspindling
Smedbock
Svinrot</t>
        </is>
      </c>
      <c r="S71">
        <f>HYPERLINK("https://klasma.github.io/Logging_0980/artfynd/A 2213-2023 artfynd.xlsx", "A 2213-2023")</f>
        <v/>
      </c>
      <c r="T71">
        <f>HYPERLINK("https://klasma.github.io/Logging_0980/kartor/A 2213-2023 karta.png", "A 2213-2023")</f>
        <v/>
      </c>
      <c r="V71">
        <f>HYPERLINK("https://klasma.github.io/Logging_0980/klagomål/A 2213-2023 FSC-klagomål.docx", "A 2213-2023")</f>
        <v/>
      </c>
      <c r="W71">
        <f>HYPERLINK("https://klasma.github.io/Logging_0980/klagomålsmail/A 2213-2023 FSC-klagomål mail.docx", "A 2213-2023")</f>
        <v/>
      </c>
      <c r="X71">
        <f>HYPERLINK("https://klasma.github.io/Logging_0980/tillsyn/A 2213-2023 tillsynsbegäran.docx", "A 2213-2023")</f>
        <v/>
      </c>
      <c r="Y71">
        <f>HYPERLINK("https://klasma.github.io/Logging_0980/tillsynsmail/A 2213-2023 tillsynsbegäran mail.docx", "A 2213-2023")</f>
        <v/>
      </c>
    </row>
    <row r="72" ht="15" customHeight="1">
      <c r="A72" t="inlineStr">
        <is>
          <t>A 39425-2023</t>
        </is>
      </c>
      <c r="B72" s="1" t="n">
        <v>45166</v>
      </c>
      <c r="C72" s="1" t="n">
        <v>45911</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32326-2024</t>
        </is>
      </c>
      <c r="B73" s="1" t="n">
        <v>45512</v>
      </c>
      <c r="C73" s="1" t="n">
        <v>45911</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45911</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45911</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45911</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45911</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45911</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45911</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45911</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45911</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45911</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45911</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45911</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45911</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45911</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45911</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45911</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45911</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45911</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45911</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45911</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45911</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45911</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45911</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17982-2023</t>
        </is>
      </c>
      <c r="B96" s="1" t="n">
        <v>45040</v>
      </c>
      <c r="C96" s="1" t="n">
        <v>45911</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45911</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45911</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45911</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45911</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45911</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62326-2020</t>
        </is>
      </c>
      <c r="B102" s="1" t="n">
        <v>44160</v>
      </c>
      <c r="C102" s="1" t="n">
        <v>45911</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43013-2022</t>
        </is>
      </c>
      <c r="B103" s="1" t="n">
        <v>44833</v>
      </c>
      <c r="C103" s="1" t="n">
        <v>45911</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5235-2025</t>
        </is>
      </c>
      <c r="B104" s="1" t="n">
        <v>45692.26797453704</v>
      </c>
      <c r="C104" s="1" t="n">
        <v>45911</v>
      </c>
      <c r="D104" t="inlineStr">
        <is>
          <t>GOTLANDS LÄN</t>
        </is>
      </c>
      <c r="E104" t="inlineStr">
        <is>
          <t>GOTLAND</t>
        </is>
      </c>
      <c r="G104" t="n">
        <v>7.6</v>
      </c>
      <c r="H104" t="n">
        <v>1</v>
      </c>
      <c r="I104" t="n">
        <v>2</v>
      </c>
      <c r="J104" t="n">
        <v>1</v>
      </c>
      <c r="K104" t="n">
        <v>0</v>
      </c>
      <c r="L104" t="n">
        <v>0</v>
      </c>
      <c r="M104" t="n">
        <v>0</v>
      </c>
      <c r="N104" t="n">
        <v>0</v>
      </c>
      <c r="O104" t="n">
        <v>1</v>
      </c>
      <c r="P104" t="n">
        <v>0</v>
      </c>
      <c r="Q104" t="n">
        <v>3</v>
      </c>
      <c r="R104" s="2" t="inlineStr">
        <is>
          <t>Svinrot
Blåmossa
Tvåblad</t>
        </is>
      </c>
      <c r="S104">
        <f>HYPERLINK("https://klasma.github.io/Logging_0980/artfynd/A 5235-2025 artfynd.xlsx", "A 5235-2025")</f>
        <v/>
      </c>
      <c r="T104">
        <f>HYPERLINK("https://klasma.github.io/Logging_0980/kartor/A 5235-2025 karta.png", "A 5235-2025")</f>
        <v/>
      </c>
      <c r="V104">
        <f>HYPERLINK("https://klasma.github.io/Logging_0980/klagomål/A 5235-2025 FSC-klagomål.docx", "A 5235-2025")</f>
        <v/>
      </c>
      <c r="W104">
        <f>HYPERLINK("https://klasma.github.io/Logging_0980/klagomålsmail/A 5235-2025 FSC-klagomål mail.docx", "A 5235-2025")</f>
        <v/>
      </c>
      <c r="X104">
        <f>HYPERLINK("https://klasma.github.io/Logging_0980/tillsyn/A 5235-2025 tillsynsbegäran.docx", "A 5235-2025")</f>
        <v/>
      </c>
      <c r="Y104">
        <f>HYPERLINK("https://klasma.github.io/Logging_0980/tillsynsmail/A 5235-2025 tillsynsbegäran mail.docx", "A 5235-2025")</f>
        <v/>
      </c>
    </row>
    <row r="105" ht="15" customHeight="1">
      <c r="A105" t="inlineStr">
        <is>
          <t>A 53552-2021</t>
        </is>
      </c>
      <c r="B105" s="1" t="n">
        <v>44468</v>
      </c>
      <c r="C105" s="1" t="n">
        <v>45911</v>
      </c>
      <c r="D105" t="inlineStr">
        <is>
          <t>GOTLANDS LÄN</t>
        </is>
      </c>
      <c r="E105" t="inlineStr">
        <is>
          <t>GOTLAND</t>
        </is>
      </c>
      <c r="G105" t="n">
        <v>6.2</v>
      </c>
      <c r="H105" t="n">
        <v>2</v>
      </c>
      <c r="I105" t="n">
        <v>0</v>
      </c>
      <c r="J105" t="n">
        <v>1</v>
      </c>
      <c r="K105" t="n">
        <v>0</v>
      </c>
      <c r="L105" t="n">
        <v>0</v>
      </c>
      <c r="M105" t="n">
        <v>0</v>
      </c>
      <c r="N105" t="n">
        <v>0</v>
      </c>
      <c r="O105" t="n">
        <v>1</v>
      </c>
      <c r="P105" t="n">
        <v>0</v>
      </c>
      <c r="Q105" t="n">
        <v>3</v>
      </c>
      <c r="R105" s="2" t="inlineStr">
        <is>
          <t>Bredbrämad bastardsvärmare
Grönvit nattviol
Gullviva</t>
        </is>
      </c>
      <c r="S105">
        <f>HYPERLINK("https://klasma.github.io/Logging_0980/artfynd/A 53552-2021 artfynd.xlsx", "A 53552-2021")</f>
        <v/>
      </c>
      <c r="T105">
        <f>HYPERLINK("https://klasma.github.io/Logging_0980/kartor/A 53552-2021 karta.png", "A 53552-2021")</f>
        <v/>
      </c>
      <c r="V105">
        <f>HYPERLINK("https://klasma.github.io/Logging_0980/klagomål/A 53552-2021 FSC-klagomål.docx", "A 53552-2021")</f>
        <v/>
      </c>
      <c r="W105">
        <f>HYPERLINK("https://klasma.github.io/Logging_0980/klagomålsmail/A 53552-2021 FSC-klagomål mail.docx", "A 53552-2021")</f>
        <v/>
      </c>
      <c r="X105">
        <f>HYPERLINK("https://klasma.github.io/Logging_0980/tillsyn/A 53552-2021 tillsynsbegäran.docx", "A 53552-2021")</f>
        <v/>
      </c>
      <c r="Y105">
        <f>HYPERLINK("https://klasma.github.io/Logging_0980/tillsynsmail/A 53552-2021 tillsynsbegäran mail.docx", "A 53552-2021")</f>
        <v/>
      </c>
    </row>
    <row r="106" ht="15" customHeight="1">
      <c r="A106" t="inlineStr">
        <is>
          <t>A 29870-2021</t>
        </is>
      </c>
      <c r="B106" s="1" t="n">
        <v>44362</v>
      </c>
      <c r="C106" s="1" t="n">
        <v>45911</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45911</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45911</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45911</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45911</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45911</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45911</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54357-2024</t>
        </is>
      </c>
      <c r="B113" s="1" t="n">
        <v>45617.40662037037</v>
      </c>
      <c r="C113" s="1" t="n">
        <v>45911</v>
      </c>
      <c r="D113" t="inlineStr">
        <is>
          <t>GOTLANDS LÄN</t>
        </is>
      </c>
      <c r="E113" t="inlineStr">
        <is>
          <t>GOTLAND</t>
        </is>
      </c>
      <c r="G113" t="n">
        <v>1.5</v>
      </c>
      <c r="H113" t="n">
        <v>1</v>
      </c>
      <c r="I113" t="n">
        <v>0</v>
      </c>
      <c r="J113" t="n">
        <v>1</v>
      </c>
      <c r="K113" t="n">
        <v>0</v>
      </c>
      <c r="L113" t="n">
        <v>0</v>
      </c>
      <c r="M113" t="n">
        <v>0</v>
      </c>
      <c r="N113" t="n">
        <v>0</v>
      </c>
      <c r="O113" t="n">
        <v>1</v>
      </c>
      <c r="P113" t="n">
        <v>0</v>
      </c>
      <c r="Q113" t="n">
        <v>2</v>
      </c>
      <c r="R113" s="2" t="inlineStr">
        <is>
          <t>Loppstarr
Fläcknycklar</t>
        </is>
      </c>
      <c r="S113">
        <f>HYPERLINK("https://klasma.github.io/Logging_0980/artfynd/A 54357-2024 artfynd.xlsx", "A 54357-2024")</f>
        <v/>
      </c>
      <c r="T113">
        <f>HYPERLINK("https://klasma.github.io/Logging_0980/kartor/A 54357-2024 karta.png", "A 54357-2024")</f>
        <v/>
      </c>
      <c r="V113">
        <f>HYPERLINK("https://klasma.github.io/Logging_0980/klagomål/A 54357-2024 FSC-klagomål.docx", "A 54357-2024")</f>
        <v/>
      </c>
      <c r="W113">
        <f>HYPERLINK("https://klasma.github.io/Logging_0980/klagomålsmail/A 54357-2024 FSC-klagomål mail.docx", "A 54357-2024")</f>
        <v/>
      </c>
      <c r="X113">
        <f>HYPERLINK("https://klasma.github.io/Logging_0980/tillsyn/A 54357-2024 tillsynsbegäran.docx", "A 54357-2024")</f>
        <v/>
      </c>
      <c r="Y113">
        <f>HYPERLINK("https://klasma.github.io/Logging_0980/tillsynsmail/A 54357-2024 tillsynsbegäran mail.docx", "A 54357-2024")</f>
        <v/>
      </c>
    </row>
    <row r="114" ht="15" customHeight="1">
      <c r="A114" t="inlineStr">
        <is>
          <t>A 26077-2024</t>
        </is>
      </c>
      <c r="B114" s="1" t="n">
        <v>45467</v>
      </c>
      <c r="C114" s="1" t="n">
        <v>45911</v>
      </c>
      <c r="D114" t="inlineStr">
        <is>
          <t>GOTLANDS LÄN</t>
        </is>
      </c>
      <c r="E114" t="inlineStr">
        <is>
          <t>GOTLAND</t>
        </is>
      </c>
      <c r="G114" t="n">
        <v>4.6</v>
      </c>
      <c r="H114" t="n">
        <v>0</v>
      </c>
      <c r="I114" t="n">
        <v>0</v>
      </c>
      <c r="J114" t="n">
        <v>1</v>
      </c>
      <c r="K114" t="n">
        <v>0</v>
      </c>
      <c r="L114" t="n">
        <v>1</v>
      </c>
      <c r="M114" t="n">
        <v>0</v>
      </c>
      <c r="N114" t="n">
        <v>0</v>
      </c>
      <c r="O114" t="n">
        <v>2</v>
      </c>
      <c r="P114" t="n">
        <v>1</v>
      </c>
      <c r="Q114" t="n">
        <v>2</v>
      </c>
      <c r="R114" s="2" t="inlineStr">
        <is>
          <t>Ask
Tallticka</t>
        </is>
      </c>
      <c r="S114">
        <f>HYPERLINK("https://klasma.github.io/Logging_0980/artfynd/A 26077-2024 artfynd.xlsx", "A 26077-2024")</f>
        <v/>
      </c>
      <c r="T114">
        <f>HYPERLINK("https://klasma.github.io/Logging_0980/kartor/A 26077-2024 karta.png", "A 26077-2024")</f>
        <v/>
      </c>
      <c r="V114">
        <f>HYPERLINK("https://klasma.github.io/Logging_0980/klagomål/A 26077-2024 FSC-klagomål.docx", "A 26077-2024")</f>
        <v/>
      </c>
      <c r="W114">
        <f>HYPERLINK("https://klasma.github.io/Logging_0980/klagomålsmail/A 26077-2024 FSC-klagomål mail.docx", "A 26077-2024")</f>
        <v/>
      </c>
      <c r="X114">
        <f>HYPERLINK("https://klasma.github.io/Logging_0980/tillsyn/A 26077-2024 tillsynsbegäran.docx", "A 26077-2024")</f>
        <v/>
      </c>
      <c r="Y114">
        <f>HYPERLINK("https://klasma.github.io/Logging_0980/tillsynsmail/A 26077-2024 tillsynsbegäran mail.docx", "A 26077-2024")</f>
        <v/>
      </c>
    </row>
    <row r="115" ht="15" customHeight="1">
      <c r="A115" t="inlineStr">
        <is>
          <t>A 58701-2020</t>
        </is>
      </c>
      <c r="B115" s="1" t="n">
        <v>44146</v>
      </c>
      <c r="C115" s="1" t="n">
        <v>45911</v>
      </c>
      <c r="D115" t="inlineStr">
        <is>
          <t>GOTLANDS LÄN</t>
        </is>
      </c>
      <c r="E115" t="inlineStr">
        <is>
          <t>GOTLAND</t>
        </is>
      </c>
      <c r="G115" t="n">
        <v>5.5</v>
      </c>
      <c r="H115" t="n">
        <v>0</v>
      </c>
      <c r="I115" t="n">
        <v>0</v>
      </c>
      <c r="J115" t="n">
        <v>1</v>
      </c>
      <c r="K115" t="n">
        <v>1</v>
      </c>
      <c r="L115" t="n">
        <v>0</v>
      </c>
      <c r="M115" t="n">
        <v>0</v>
      </c>
      <c r="N115" t="n">
        <v>0</v>
      </c>
      <c r="O115" t="n">
        <v>2</v>
      </c>
      <c r="P115" t="n">
        <v>1</v>
      </c>
      <c r="Q115" t="n">
        <v>2</v>
      </c>
      <c r="R115" s="2" t="inlineStr">
        <is>
          <t>Vit taggsvamp
Odörspindling</t>
        </is>
      </c>
      <c r="S115">
        <f>HYPERLINK("https://klasma.github.io/Logging_0980/artfynd/A 58701-2020 artfynd.xlsx", "A 58701-2020")</f>
        <v/>
      </c>
      <c r="T115">
        <f>HYPERLINK("https://klasma.github.io/Logging_0980/kartor/A 58701-2020 karta.png", "A 58701-2020")</f>
        <v/>
      </c>
      <c r="V115">
        <f>HYPERLINK("https://klasma.github.io/Logging_0980/klagomål/A 58701-2020 FSC-klagomål.docx", "A 58701-2020")</f>
        <v/>
      </c>
      <c r="W115">
        <f>HYPERLINK("https://klasma.github.io/Logging_0980/klagomålsmail/A 58701-2020 FSC-klagomål mail.docx", "A 58701-2020")</f>
        <v/>
      </c>
      <c r="X115">
        <f>HYPERLINK("https://klasma.github.io/Logging_0980/tillsyn/A 58701-2020 tillsynsbegäran.docx", "A 58701-2020")</f>
        <v/>
      </c>
      <c r="Y115">
        <f>HYPERLINK("https://klasma.github.io/Logging_0980/tillsynsmail/A 58701-2020 tillsynsbegäran mail.docx", "A 58701-2020")</f>
        <v/>
      </c>
    </row>
    <row r="116" ht="15" customHeight="1">
      <c r="A116" t="inlineStr">
        <is>
          <t>A 7070-2022</t>
        </is>
      </c>
      <c r="B116" s="1" t="n">
        <v>44603</v>
      </c>
      <c r="C116" s="1" t="n">
        <v>45911</v>
      </c>
      <c r="D116" t="inlineStr">
        <is>
          <t>GOTLANDS LÄN</t>
        </is>
      </c>
      <c r="E116" t="inlineStr">
        <is>
          <t>GOTLAND</t>
        </is>
      </c>
      <c r="G116" t="n">
        <v>2.6</v>
      </c>
      <c r="H116" t="n">
        <v>0</v>
      </c>
      <c r="I116" t="n">
        <v>2</v>
      </c>
      <c r="J116" t="n">
        <v>0</v>
      </c>
      <c r="K116" t="n">
        <v>0</v>
      </c>
      <c r="L116" t="n">
        <v>0</v>
      </c>
      <c r="M116" t="n">
        <v>0</v>
      </c>
      <c r="N116" t="n">
        <v>0</v>
      </c>
      <c r="O116" t="n">
        <v>0</v>
      </c>
      <c r="P116" t="n">
        <v>0</v>
      </c>
      <c r="Q116" t="n">
        <v>2</v>
      </c>
      <c r="R116" s="2" t="inlineStr">
        <is>
          <t>Blåmossa
Kattfotslav</t>
        </is>
      </c>
      <c r="S116">
        <f>HYPERLINK("https://klasma.github.io/Logging_0980/artfynd/A 7070-2022 artfynd.xlsx", "A 7070-2022")</f>
        <v/>
      </c>
      <c r="T116">
        <f>HYPERLINK("https://klasma.github.io/Logging_0980/kartor/A 7070-2022 karta.png", "A 7070-2022")</f>
        <v/>
      </c>
      <c r="V116">
        <f>HYPERLINK("https://klasma.github.io/Logging_0980/klagomål/A 7070-2022 FSC-klagomål.docx", "A 7070-2022")</f>
        <v/>
      </c>
      <c r="W116">
        <f>HYPERLINK("https://klasma.github.io/Logging_0980/klagomålsmail/A 7070-2022 FSC-klagomål mail.docx", "A 7070-2022")</f>
        <v/>
      </c>
      <c r="X116">
        <f>HYPERLINK("https://klasma.github.io/Logging_0980/tillsyn/A 7070-2022 tillsynsbegäran.docx", "A 7070-2022")</f>
        <v/>
      </c>
      <c r="Y116">
        <f>HYPERLINK("https://klasma.github.io/Logging_0980/tillsynsmail/A 7070-2022 tillsynsbegäran mail.docx", "A 7070-2022")</f>
        <v/>
      </c>
    </row>
    <row r="117" ht="15" customHeight="1">
      <c r="A117" t="inlineStr">
        <is>
          <t>A 43219-2023</t>
        </is>
      </c>
      <c r="B117" s="1" t="n">
        <v>45183</v>
      </c>
      <c r="C117" s="1" t="n">
        <v>45911</v>
      </c>
      <c r="D117" t="inlineStr">
        <is>
          <t>GOTLANDS LÄN</t>
        </is>
      </c>
      <c r="E117" t="inlineStr">
        <is>
          <t>GOTLAND</t>
        </is>
      </c>
      <c r="G117" t="n">
        <v>3.6</v>
      </c>
      <c r="H117" t="n">
        <v>1</v>
      </c>
      <c r="I117" t="n">
        <v>0</v>
      </c>
      <c r="J117" t="n">
        <v>1</v>
      </c>
      <c r="K117" t="n">
        <v>0</v>
      </c>
      <c r="L117" t="n">
        <v>0</v>
      </c>
      <c r="M117" t="n">
        <v>0</v>
      </c>
      <c r="N117" t="n">
        <v>0</v>
      </c>
      <c r="O117" t="n">
        <v>1</v>
      </c>
      <c r="P117" t="n">
        <v>0</v>
      </c>
      <c r="Q117" t="n">
        <v>2</v>
      </c>
      <c r="R117" s="2" t="inlineStr">
        <is>
          <t>Axveronika
Skogsduva</t>
        </is>
      </c>
      <c r="S117">
        <f>HYPERLINK("https://klasma.github.io/Logging_0980/artfynd/A 43219-2023 artfynd.xlsx", "A 43219-2023")</f>
        <v/>
      </c>
      <c r="T117">
        <f>HYPERLINK("https://klasma.github.io/Logging_0980/kartor/A 43219-2023 karta.png", "A 43219-2023")</f>
        <v/>
      </c>
      <c r="V117">
        <f>HYPERLINK("https://klasma.github.io/Logging_0980/klagomål/A 43219-2023 FSC-klagomål.docx", "A 43219-2023")</f>
        <v/>
      </c>
      <c r="W117">
        <f>HYPERLINK("https://klasma.github.io/Logging_0980/klagomålsmail/A 43219-2023 FSC-klagomål mail.docx", "A 43219-2023")</f>
        <v/>
      </c>
      <c r="X117">
        <f>HYPERLINK("https://klasma.github.io/Logging_0980/tillsyn/A 43219-2023 tillsynsbegäran.docx", "A 43219-2023")</f>
        <v/>
      </c>
      <c r="Y117">
        <f>HYPERLINK("https://klasma.github.io/Logging_0980/tillsynsmail/A 43219-2023 tillsynsbegäran mail.docx", "A 43219-2023")</f>
        <v/>
      </c>
      <c r="Z117">
        <f>HYPERLINK("https://klasma.github.io/Logging_0980/fåglar/A 43219-2023 prioriterade fågelarter.docx", "A 43219-2023")</f>
        <v/>
      </c>
    </row>
    <row r="118" ht="15" customHeight="1">
      <c r="A118" t="inlineStr">
        <is>
          <t>A 12914-2025</t>
        </is>
      </c>
      <c r="B118" s="1" t="n">
        <v>45733</v>
      </c>
      <c r="C118" s="1" t="n">
        <v>45911</v>
      </c>
      <c r="D118" t="inlineStr">
        <is>
          <t>GOTLANDS LÄN</t>
        </is>
      </c>
      <c r="E118" t="inlineStr">
        <is>
          <t>GOTLAND</t>
        </is>
      </c>
      <c r="G118" t="n">
        <v>24.8</v>
      </c>
      <c r="H118" t="n">
        <v>2</v>
      </c>
      <c r="I118" t="n">
        <v>1</v>
      </c>
      <c r="J118" t="n">
        <v>0</v>
      </c>
      <c r="K118" t="n">
        <v>0</v>
      </c>
      <c r="L118" t="n">
        <v>0</v>
      </c>
      <c r="M118" t="n">
        <v>0</v>
      </c>
      <c r="N118" t="n">
        <v>0</v>
      </c>
      <c r="O118" t="n">
        <v>0</v>
      </c>
      <c r="P118" t="n">
        <v>0</v>
      </c>
      <c r="Q118" t="n">
        <v>2</v>
      </c>
      <c r="R118" s="2" t="inlineStr">
        <is>
          <t>Purpurknipprot
Brudsporre</t>
        </is>
      </c>
      <c r="S118">
        <f>HYPERLINK("https://klasma.github.io/Logging_0980/artfynd/A 12914-2025 artfynd.xlsx", "A 12914-2025")</f>
        <v/>
      </c>
      <c r="T118">
        <f>HYPERLINK("https://klasma.github.io/Logging_0980/kartor/A 12914-2025 karta.png", "A 12914-2025")</f>
        <v/>
      </c>
      <c r="V118">
        <f>HYPERLINK("https://klasma.github.io/Logging_0980/klagomål/A 12914-2025 FSC-klagomål.docx", "A 12914-2025")</f>
        <v/>
      </c>
      <c r="W118">
        <f>HYPERLINK("https://klasma.github.io/Logging_0980/klagomålsmail/A 12914-2025 FSC-klagomål mail.docx", "A 12914-2025")</f>
        <v/>
      </c>
      <c r="X118">
        <f>HYPERLINK("https://klasma.github.io/Logging_0980/tillsyn/A 12914-2025 tillsynsbegäran.docx", "A 12914-2025")</f>
        <v/>
      </c>
      <c r="Y118">
        <f>HYPERLINK("https://klasma.github.io/Logging_0980/tillsynsmail/A 12914-2025 tillsynsbegäran mail.docx", "A 12914-2025")</f>
        <v/>
      </c>
    </row>
    <row r="119" ht="15" customHeight="1">
      <c r="A119" t="inlineStr">
        <is>
          <t>A 28261-2024</t>
        </is>
      </c>
      <c r="B119" s="1" t="n">
        <v>45477</v>
      </c>
      <c r="C119" s="1" t="n">
        <v>45911</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28261-2024 artfynd.xlsx", "A 28261-2024")</f>
        <v/>
      </c>
      <c r="T119">
        <f>HYPERLINK("https://klasma.github.io/Logging_0980/kartor/A 28261-2024 karta.png", "A 28261-2024")</f>
        <v/>
      </c>
      <c r="V119">
        <f>HYPERLINK("https://klasma.github.io/Logging_0980/klagomål/A 28261-2024 FSC-klagomål.docx", "A 28261-2024")</f>
        <v/>
      </c>
      <c r="W119">
        <f>HYPERLINK("https://klasma.github.io/Logging_0980/klagomålsmail/A 28261-2024 FSC-klagomål mail.docx", "A 28261-2024")</f>
        <v/>
      </c>
      <c r="X119">
        <f>HYPERLINK("https://klasma.github.io/Logging_0980/tillsyn/A 28261-2024 tillsynsbegäran.docx", "A 28261-2024")</f>
        <v/>
      </c>
      <c r="Y119">
        <f>HYPERLINK("https://klasma.github.io/Logging_0980/tillsynsmail/A 28261-2024 tillsynsbegäran mail.docx", "A 28261-2024")</f>
        <v/>
      </c>
    </row>
    <row r="120" ht="15" customHeight="1">
      <c r="A120" t="inlineStr">
        <is>
          <t>A 55649-2024</t>
        </is>
      </c>
      <c r="B120" s="1" t="n">
        <v>45622.63053240741</v>
      </c>
      <c r="C120" s="1" t="n">
        <v>45911</v>
      </c>
      <c r="D120" t="inlineStr">
        <is>
          <t>GOTLANDS LÄN</t>
        </is>
      </c>
      <c r="E120" t="inlineStr">
        <is>
          <t>GOTLAND</t>
        </is>
      </c>
      <c r="G120" t="n">
        <v>4.6</v>
      </c>
      <c r="H120" t="n">
        <v>2</v>
      </c>
      <c r="I120" t="n">
        <v>0</v>
      </c>
      <c r="J120" t="n">
        <v>0</v>
      </c>
      <c r="K120" t="n">
        <v>0</v>
      </c>
      <c r="L120" t="n">
        <v>0</v>
      </c>
      <c r="M120" t="n">
        <v>0</v>
      </c>
      <c r="N120" t="n">
        <v>0</v>
      </c>
      <c r="O120" t="n">
        <v>0</v>
      </c>
      <c r="P120" t="n">
        <v>0</v>
      </c>
      <c r="Q120" t="n">
        <v>2</v>
      </c>
      <c r="R120" s="2" t="inlineStr">
        <is>
          <t>Sankt pers nycklar
Blåsippa</t>
        </is>
      </c>
      <c r="S120">
        <f>HYPERLINK("https://klasma.github.io/Logging_0980/artfynd/A 55649-2024 artfynd.xlsx", "A 55649-2024")</f>
        <v/>
      </c>
      <c r="T120">
        <f>HYPERLINK("https://klasma.github.io/Logging_0980/kartor/A 55649-2024 karta.png", "A 55649-2024")</f>
        <v/>
      </c>
      <c r="V120">
        <f>HYPERLINK("https://klasma.github.io/Logging_0980/klagomål/A 55649-2024 FSC-klagomål.docx", "A 55649-2024")</f>
        <v/>
      </c>
      <c r="W120">
        <f>HYPERLINK("https://klasma.github.io/Logging_0980/klagomålsmail/A 55649-2024 FSC-klagomål mail.docx", "A 55649-2024")</f>
        <v/>
      </c>
      <c r="X120">
        <f>HYPERLINK("https://klasma.github.io/Logging_0980/tillsyn/A 55649-2024 tillsynsbegäran.docx", "A 55649-2024")</f>
        <v/>
      </c>
      <c r="Y120">
        <f>HYPERLINK("https://klasma.github.io/Logging_0980/tillsynsmail/A 55649-2024 tillsynsbegäran mail.docx", "A 55649-2024")</f>
        <v/>
      </c>
    </row>
    <row r="121" ht="15" customHeight="1">
      <c r="A121" t="inlineStr">
        <is>
          <t>A 41238-2025</t>
        </is>
      </c>
      <c r="B121" s="1" t="n">
        <v>45898</v>
      </c>
      <c r="C121" s="1" t="n">
        <v>45911</v>
      </c>
      <c r="D121" t="inlineStr">
        <is>
          <t>GOTLANDS LÄN</t>
        </is>
      </c>
      <c r="E121" t="inlineStr">
        <is>
          <t>GOTLAND</t>
        </is>
      </c>
      <c r="G121" t="n">
        <v>7.1</v>
      </c>
      <c r="H121" t="n">
        <v>1</v>
      </c>
      <c r="I121" t="n">
        <v>2</v>
      </c>
      <c r="J121" t="n">
        <v>0</v>
      </c>
      <c r="K121" t="n">
        <v>0</v>
      </c>
      <c r="L121" t="n">
        <v>0</v>
      </c>
      <c r="M121" t="n">
        <v>0</v>
      </c>
      <c r="N121" t="n">
        <v>0</v>
      </c>
      <c r="O121" t="n">
        <v>0</v>
      </c>
      <c r="P121" t="n">
        <v>0</v>
      </c>
      <c r="Q121" t="n">
        <v>2</v>
      </c>
      <c r="R121" s="2" t="inlineStr">
        <is>
          <t>Granbarkgnagare
Skogsknipprot</t>
        </is>
      </c>
      <c r="S121">
        <f>HYPERLINK("https://klasma.github.io/Logging_0980/artfynd/A 41238-2025 artfynd.xlsx", "A 41238-2025")</f>
        <v/>
      </c>
      <c r="T121">
        <f>HYPERLINK("https://klasma.github.io/Logging_0980/kartor/A 41238-2025 karta.png", "A 41238-2025")</f>
        <v/>
      </c>
      <c r="V121">
        <f>HYPERLINK("https://klasma.github.io/Logging_0980/klagomål/A 41238-2025 FSC-klagomål.docx", "A 41238-2025")</f>
        <v/>
      </c>
      <c r="W121">
        <f>HYPERLINK("https://klasma.github.io/Logging_0980/klagomålsmail/A 41238-2025 FSC-klagomål mail.docx", "A 41238-2025")</f>
        <v/>
      </c>
      <c r="X121">
        <f>HYPERLINK("https://klasma.github.io/Logging_0980/tillsyn/A 41238-2025 tillsynsbegäran.docx", "A 41238-2025")</f>
        <v/>
      </c>
      <c r="Y121">
        <f>HYPERLINK("https://klasma.github.io/Logging_0980/tillsynsmail/A 41238-2025 tillsynsbegäran mail.docx", "A 41238-2025")</f>
        <v/>
      </c>
    </row>
    <row r="122" ht="15" customHeight="1">
      <c r="A122" t="inlineStr">
        <is>
          <t>A 20838-2024</t>
        </is>
      </c>
      <c r="B122" s="1" t="n">
        <v>45439</v>
      </c>
      <c r="C122" s="1" t="n">
        <v>45911</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45911</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73144-2021</t>
        </is>
      </c>
      <c r="B124" s="1" t="n">
        <v>44550</v>
      </c>
      <c r="C124" s="1" t="n">
        <v>45911</v>
      </c>
      <c r="D124" t="inlineStr">
        <is>
          <t>GOTLANDS LÄN</t>
        </is>
      </c>
      <c r="E124" t="inlineStr">
        <is>
          <t>GOTLAND</t>
        </is>
      </c>
      <c r="G124" t="n">
        <v>1.9</v>
      </c>
      <c r="H124" t="n">
        <v>0</v>
      </c>
      <c r="I124" t="n">
        <v>1</v>
      </c>
      <c r="J124" t="n">
        <v>0</v>
      </c>
      <c r="K124" t="n">
        <v>1</v>
      </c>
      <c r="L124" t="n">
        <v>0</v>
      </c>
      <c r="M124" t="n">
        <v>0</v>
      </c>
      <c r="N124" t="n">
        <v>0</v>
      </c>
      <c r="O124" t="n">
        <v>1</v>
      </c>
      <c r="P124" t="n">
        <v>1</v>
      </c>
      <c r="Q124" t="n">
        <v>2</v>
      </c>
      <c r="R124" s="2" t="inlineStr">
        <is>
          <t>Skogskorn
Kambräken</t>
        </is>
      </c>
      <c r="S124">
        <f>HYPERLINK("https://klasma.github.io/Logging_0980/artfynd/A 73144-2021 artfynd.xlsx", "A 73144-2021")</f>
        <v/>
      </c>
      <c r="T124">
        <f>HYPERLINK("https://klasma.github.io/Logging_0980/kartor/A 73144-2021 karta.png", "A 73144-2021")</f>
        <v/>
      </c>
      <c r="V124">
        <f>HYPERLINK("https://klasma.github.io/Logging_0980/klagomål/A 73144-2021 FSC-klagomål.docx", "A 73144-2021")</f>
        <v/>
      </c>
      <c r="W124">
        <f>HYPERLINK("https://klasma.github.io/Logging_0980/klagomålsmail/A 73144-2021 FSC-klagomål mail.docx", "A 73144-2021")</f>
        <v/>
      </c>
      <c r="X124">
        <f>HYPERLINK("https://klasma.github.io/Logging_0980/tillsyn/A 73144-2021 tillsynsbegäran.docx", "A 73144-2021")</f>
        <v/>
      </c>
      <c r="Y124">
        <f>HYPERLINK("https://klasma.github.io/Logging_0980/tillsynsmail/A 73144-2021 tillsynsbegäran mail.docx", "A 73144-2021")</f>
        <v/>
      </c>
    </row>
    <row r="125" ht="15" customHeight="1">
      <c r="A125" t="inlineStr">
        <is>
          <t>A 28276-2024</t>
        </is>
      </c>
      <c r="B125" s="1" t="n">
        <v>45477</v>
      </c>
      <c r="C125" s="1" t="n">
        <v>45911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21879-2025</t>
        </is>
      </c>
      <c r="B126" s="1" t="n">
        <v>45784.40533564815</v>
      </c>
      <c r="C126" s="1" t="n">
        <v>45911</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24-2021</t>
        </is>
      </c>
      <c r="B127" s="1" t="n">
        <v>44197</v>
      </c>
      <c r="C127" s="1" t="n">
        <v>45911</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45911</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45911</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45911</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45911</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45911</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20429-2025</t>
        </is>
      </c>
      <c r="B133" s="1" t="n">
        <v>45775.47728009259</v>
      </c>
      <c r="C133" s="1" t="n">
        <v>45911</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35574-2024</t>
        </is>
      </c>
      <c r="B134" s="1" t="n">
        <v>45531</v>
      </c>
      <c r="C134" s="1" t="n">
        <v>45911</v>
      </c>
      <c r="D134" t="inlineStr">
        <is>
          <t>GOTLANDS LÄN</t>
        </is>
      </c>
      <c r="E134" t="inlineStr">
        <is>
          <t>GOTLAND</t>
        </is>
      </c>
      <c r="G134" t="n">
        <v>5.7</v>
      </c>
      <c r="H134" t="n">
        <v>0</v>
      </c>
      <c r="I134" t="n">
        <v>1</v>
      </c>
      <c r="J134" t="n">
        <v>0</v>
      </c>
      <c r="K134" t="n">
        <v>0</v>
      </c>
      <c r="L134" t="n">
        <v>0</v>
      </c>
      <c r="M134" t="n">
        <v>0</v>
      </c>
      <c r="N134" t="n">
        <v>0</v>
      </c>
      <c r="O134" t="n">
        <v>0</v>
      </c>
      <c r="P134" t="n">
        <v>0</v>
      </c>
      <c r="Q134" t="n">
        <v>1</v>
      </c>
      <c r="R134" s="2" t="inlineStr">
        <is>
          <t>Murgröna</t>
        </is>
      </c>
      <c r="S134">
        <f>HYPERLINK("https://klasma.github.io/Logging_0980/artfynd/A 35574-2024 artfynd.xlsx", "A 35574-2024")</f>
        <v/>
      </c>
      <c r="T134">
        <f>HYPERLINK("https://klasma.github.io/Logging_0980/kartor/A 35574-2024 karta.png", "A 35574-2024")</f>
        <v/>
      </c>
      <c r="V134">
        <f>HYPERLINK("https://klasma.github.io/Logging_0980/klagomål/A 35574-2024 FSC-klagomål.docx", "A 35574-2024")</f>
        <v/>
      </c>
      <c r="W134">
        <f>HYPERLINK("https://klasma.github.io/Logging_0980/klagomålsmail/A 35574-2024 FSC-klagomål mail.docx", "A 35574-2024")</f>
        <v/>
      </c>
      <c r="X134">
        <f>HYPERLINK("https://klasma.github.io/Logging_0980/tillsyn/A 35574-2024 tillsynsbegäran.docx", "A 35574-2024")</f>
        <v/>
      </c>
      <c r="Y134">
        <f>HYPERLINK("https://klasma.github.io/Logging_0980/tillsynsmail/A 35574-2024 tillsynsbegäran mail.docx", "A 35574-2024")</f>
        <v/>
      </c>
    </row>
    <row r="135" ht="15" customHeight="1">
      <c r="A135" t="inlineStr">
        <is>
          <t>A 7637-2025</t>
        </is>
      </c>
      <c r="B135" s="1" t="n">
        <v>45705.77181712963</v>
      </c>
      <c r="C135" s="1" t="n">
        <v>45911</v>
      </c>
      <c r="D135" t="inlineStr">
        <is>
          <t>GOTLANDS LÄN</t>
        </is>
      </c>
      <c r="E135" t="inlineStr">
        <is>
          <t>GOTLAND</t>
        </is>
      </c>
      <c r="G135" t="n">
        <v>3.7</v>
      </c>
      <c r="H135" t="n">
        <v>0</v>
      </c>
      <c r="I135" t="n">
        <v>0</v>
      </c>
      <c r="J135" t="n">
        <v>0</v>
      </c>
      <c r="K135" t="n">
        <v>0</v>
      </c>
      <c r="L135" t="n">
        <v>0</v>
      </c>
      <c r="M135" t="n">
        <v>1</v>
      </c>
      <c r="N135" t="n">
        <v>0</v>
      </c>
      <c r="O135" t="n">
        <v>1</v>
      </c>
      <c r="P135" t="n">
        <v>1</v>
      </c>
      <c r="Q135" t="n">
        <v>1</v>
      </c>
      <c r="R135" s="2" t="inlineStr">
        <is>
          <t>Skogsalm</t>
        </is>
      </c>
      <c r="S135">
        <f>HYPERLINK("https://klasma.github.io/Logging_0980/artfynd/A 7637-2025 artfynd.xlsx", "A 7637-2025")</f>
        <v/>
      </c>
      <c r="T135">
        <f>HYPERLINK("https://klasma.github.io/Logging_0980/kartor/A 7637-2025 karta.png", "A 7637-2025")</f>
        <v/>
      </c>
      <c r="V135">
        <f>HYPERLINK("https://klasma.github.io/Logging_0980/klagomål/A 7637-2025 FSC-klagomål.docx", "A 7637-2025")</f>
        <v/>
      </c>
      <c r="W135">
        <f>HYPERLINK("https://klasma.github.io/Logging_0980/klagomålsmail/A 7637-2025 FSC-klagomål mail.docx", "A 7637-2025")</f>
        <v/>
      </c>
      <c r="X135">
        <f>HYPERLINK("https://klasma.github.io/Logging_0980/tillsyn/A 7637-2025 tillsynsbegäran.docx", "A 7637-2025")</f>
        <v/>
      </c>
      <c r="Y135">
        <f>HYPERLINK("https://klasma.github.io/Logging_0980/tillsynsmail/A 7637-2025 tillsynsbegäran mail.docx", "A 7637-2025")</f>
        <v/>
      </c>
    </row>
    <row r="136" ht="15" customHeight="1">
      <c r="A136" t="inlineStr">
        <is>
          <t>A 12379-2024</t>
        </is>
      </c>
      <c r="B136" s="1" t="n">
        <v>45379.28155092592</v>
      </c>
      <c r="C136" s="1" t="n">
        <v>45911</v>
      </c>
      <c r="D136" t="inlineStr">
        <is>
          <t>GOTLANDS LÄN</t>
        </is>
      </c>
      <c r="E136" t="inlineStr">
        <is>
          <t>GOTLAND</t>
        </is>
      </c>
      <c r="G136" t="n">
        <v>4.4</v>
      </c>
      <c r="H136" t="n">
        <v>0</v>
      </c>
      <c r="I136" t="n">
        <v>0</v>
      </c>
      <c r="J136" t="n">
        <v>1</v>
      </c>
      <c r="K136" t="n">
        <v>0</v>
      </c>
      <c r="L136" t="n">
        <v>0</v>
      </c>
      <c r="M136" t="n">
        <v>0</v>
      </c>
      <c r="N136" t="n">
        <v>0</v>
      </c>
      <c r="O136" t="n">
        <v>1</v>
      </c>
      <c r="P136" t="n">
        <v>0</v>
      </c>
      <c r="Q136" t="n">
        <v>1</v>
      </c>
      <c r="R136" s="2" t="inlineStr">
        <is>
          <t>Svinrot</t>
        </is>
      </c>
      <c r="S136">
        <f>HYPERLINK("https://klasma.github.io/Logging_0980/artfynd/A 12379-2024 artfynd.xlsx", "A 12379-2024")</f>
        <v/>
      </c>
      <c r="T136">
        <f>HYPERLINK("https://klasma.github.io/Logging_0980/kartor/A 12379-2024 karta.png", "A 12379-2024")</f>
        <v/>
      </c>
      <c r="V136">
        <f>HYPERLINK("https://klasma.github.io/Logging_0980/klagomål/A 12379-2024 FSC-klagomål.docx", "A 12379-2024")</f>
        <v/>
      </c>
      <c r="W136">
        <f>HYPERLINK("https://klasma.github.io/Logging_0980/klagomålsmail/A 12379-2024 FSC-klagomål mail.docx", "A 12379-2024")</f>
        <v/>
      </c>
      <c r="X136">
        <f>HYPERLINK("https://klasma.github.io/Logging_0980/tillsyn/A 12379-2024 tillsynsbegäran.docx", "A 12379-2024")</f>
        <v/>
      </c>
      <c r="Y136">
        <f>HYPERLINK("https://klasma.github.io/Logging_0980/tillsynsmail/A 12379-2024 tillsynsbegäran mail.docx", "A 12379-2024")</f>
        <v/>
      </c>
    </row>
    <row r="137" ht="15" customHeight="1">
      <c r="A137" t="inlineStr">
        <is>
          <t>A 17723-2021</t>
        </is>
      </c>
      <c r="B137" s="1" t="n">
        <v>44300</v>
      </c>
      <c r="C137" s="1" t="n">
        <v>45911</v>
      </c>
      <c r="D137" t="inlineStr">
        <is>
          <t>GOTLANDS LÄN</t>
        </is>
      </c>
      <c r="E137" t="inlineStr">
        <is>
          <t>GOTLAND</t>
        </is>
      </c>
      <c r="G137" t="n">
        <v>1.5</v>
      </c>
      <c r="H137" t="n">
        <v>1</v>
      </c>
      <c r="I137" t="n">
        <v>1</v>
      </c>
      <c r="J137" t="n">
        <v>0</v>
      </c>
      <c r="K137" t="n">
        <v>0</v>
      </c>
      <c r="L137" t="n">
        <v>0</v>
      </c>
      <c r="M137" t="n">
        <v>0</v>
      </c>
      <c r="N137" t="n">
        <v>0</v>
      </c>
      <c r="O137" t="n">
        <v>0</v>
      </c>
      <c r="P137" t="n">
        <v>0</v>
      </c>
      <c r="Q137" t="n">
        <v>1</v>
      </c>
      <c r="R137" s="2" t="inlineStr">
        <is>
          <t>Vit skogslilja</t>
        </is>
      </c>
      <c r="S137">
        <f>HYPERLINK("https://klasma.github.io/Logging_0980/artfynd/A 17723-2021 artfynd.xlsx", "A 17723-2021")</f>
        <v/>
      </c>
      <c r="T137">
        <f>HYPERLINK("https://klasma.github.io/Logging_0980/kartor/A 17723-2021 karta.png", "A 17723-2021")</f>
        <v/>
      </c>
      <c r="V137">
        <f>HYPERLINK("https://klasma.github.io/Logging_0980/klagomål/A 17723-2021 FSC-klagomål.docx", "A 17723-2021")</f>
        <v/>
      </c>
      <c r="W137">
        <f>HYPERLINK("https://klasma.github.io/Logging_0980/klagomålsmail/A 17723-2021 FSC-klagomål mail.docx", "A 17723-2021")</f>
        <v/>
      </c>
      <c r="X137">
        <f>HYPERLINK("https://klasma.github.io/Logging_0980/tillsyn/A 17723-2021 tillsynsbegäran.docx", "A 17723-2021")</f>
        <v/>
      </c>
      <c r="Y137">
        <f>HYPERLINK("https://klasma.github.io/Logging_0980/tillsynsmail/A 17723-2021 tillsynsbegäran mail.docx", "A 17723-2021")</f>
        <v/>
      </c>
    </row>
    <row r="138" ht="15" customHeight="1">
      <c r="A138" t="inlineStr">
        <is>
          <t>A 10440-2024</t>
        </is>
      </c>
      <c r="B138" s="1" t="n">
        <v>45366.32818287037</v>
      </c>
      <c r="C138" s="1" t="n">
        <v>45911</v>
      </c>
      <c r="D138" t="inlineStr">
        <is>
          <t>GOTLANDS LÄN</t>
        </is>
      </c>
      <c r="E138" t="inlineStr">
        <is>
          <t>GOTLAND</t>
        </is>
      </c>
      <c r="G138" t="n">
        <v>2.5</v>
      </c>
      <c r="H138" t="n">
        <v>1</v>
      </c>
      <c r="I138" t="n">
        <v>0</v>
      </c>
      <c r="J138" t="n">
        <v>1</v>
      </c>
      <c r="K138" t="n">
        <v>0</v>
      </c>
      <c r="L138" t="n">
        <v>0</v>
      </c>
      <c r="M138" t="n">
        <v>0</v>
      </c>
      <c r="N138" t="n">
        <v>0</v>
      </c>
      <c r="O138" t="n">
        <v>1</v>
      </c>
      <c r="P138" t="n">
        <v>0</v>
      </c>
      <c r="Q138" t="n">
        <v>1</v>
      </c>
      <c r="R138" s="2" t="inlineStr">
        <is>
          <t>Mindre hackspett</t>
        </is>
      </c>
      <c r="S138">
        <f>HYPERLINK("https://klasma.github.io/Logging_0980/artfynd/A 10440-2024 artfynd.xlsx", "A 10440-2024")</f>
        <v/>
      </c>
      <c r="T138">
        <f>HYPERLINK("https://klasma.github.io/Logging_0980/kartor/A 10440-2024 karta.png", "A 10440-2024")</f>
        <v/>
      </c>
      <c r="V138">
        <f>HYPERLINK("https://klasma.github.io/Logging_0980/klagomål/A 10440-2024 FSC-klagomål.docx", "A 10440-2024")</f>
        <v/>
      </c>
      <c r="W138">
        <f>HYPERLINK("https://klasma.github.io/Logging_0980/klagomålsmail/A 10440-2024 FSC-klagomål mail.docx", "A 10440-2024")</f>
        <v/>
      </c>
      <c r="X138">
        <f>HYPERLINK("https://klasma.github.io/Logging_0980/tillsyn/A 10440-2024 tillsynsbegäran.docx", "A 10440-2024")</f>
        <v/>
      </c>
      <c r="Y138">
        <f>HYPERLINK("https://klasma.github.io/Logging_0980/tillsynsmail/A 10440-2024 tillsynsbegäran mail.docx", "A 10440-2024")</f>
        <v/>
      </c>
      <c r="Z138">
        <f>HYPERLINK("https://klasma.github.io/Logging_0980/fåglar/A 10440-2024 prioriterade fågelarter.docx", "A 10440-2024")</f>
        <v/>
      </c>
    </row>
    <row r="139" ht="15" customHeight="1">
      <c r="A139" t="inlineStr">
        <is>
          <t>A 12924-2025</t>
        </is>
      </c>
      <c r="B139" s="1" t="n">
        <v>45734</v>
      </c>
      <c r="C139" s="1" t="n">
        <v>45911</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44958-2020</t>
        </is>
      </c>
      <c r="B140" s="1" t="n">
        <v>44088</v>
      </c>
      <c r="C140" s="1" t="n">
        <v>45911</v>
      </c>
      <c r="D140" t="inlineStr">
        <is>
          <t>GOTLANDS LÄN</t>
        </is>
      </c>
      <c r="E140" t="inlineStr">
        <is>
          <t>GOTLAND</t>
        </is>
      </c>
      <c r="G140" t="n">
        <v>0.6</v>
      </c>
      <c r="H140" t="n">
        <v>1</v>
      </c>
      <c r="I140" t="n">
        <v>0</v>
      </c>
      <c r="J140" t="n">
        <v>1</v>
      </c>
      <c r="K140" t="n">
        <v>0</v>
      </c>
      <c r="L140" t="n">
        <v>0</v>
      </c>
      <c r="M140" t="n">
        <v>0</v>
      </c>
      <c r="N140" t="n">
        <v>0</v>
      </c>
      <c r="O140" t="n">
        <v>1</v>
      </c>
      <c r="P140" t="n">
        <v>0</v>
      </c>
      <c r="Q140" t="n">
        <v>1</v>
      </c>
      <c r="R140" s="2" t="inlineStr">
        <is>
          <t>Hornuggla</t>
        </is>
      </c>
      <c r="S140">
        <f>HYPERLINK("https://klasma.github.io/Logging_0980/artfynd/A 44958-2020 artfynd.xlsx", "A 44958-2020")</f>
        <v/>
      </c>
      <c r="T140">
        <f>HYPERLINK("https://klasma.github.io/Logging_0980/kartor/A 44958-2020 karta.png", "A 44958-2020")</f>
        <v/>
      </c>
      <c r="V140">
        <f>HYPERLINK("https://klasma.github.io/Logging_0980/klagomål/A 44958-2020 FSC-klagomål.docx", "A 44958-2020")</f>
        <v/>
      </c>
      <c r="W140">
        <f>HYPERLINK("https://klasma.github.io/Logging_0980/klagomålsmail/A 44958-2020 FSC-klagomål mail.docx", "A 44958-2020")</f>
        <v/>
      </c>
      <c r="X140">
        <f>HYPERLINK("https://klasma.github.io/Logging_0980/tillsyn/A 44958-2020 tillsynsbegäran.docx", "A 44958-2020")</f>
        <v/>
      </c>
      <c r="Y140">
        <f>HYPERLINK("https://klasma.github.io/Logging_0980/tillsynsmail/A 44958-2020 tillsynsbegäran mail.docx", "A 44958-2020")</f>
        <v/>
      </c>
      <c r="Z140">
        <f>HYPERLINK("https://klasma.github.io/Logging_0980/fåglar/A 44958-2020 prioriterade fågelarter.docx", "A 44958-2020")</f>
        <v/>
      </c>
    </row>
    <row r="141" ht="15" customHeight="1">
      <c r="A141" t="inlineStr">
        <is>
          <t>A 6303-2024</t>
        </is>
      </c>
      <c r="B141" s="1" t="n">
        <v>45338.35376157407</v>
      </c>
      <c r="C141" s="1" t="n">
        <v>45911</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25977-2024</t>
        </is>
      </c>
      <c r="B142" s="1" t="n">
        <v>45467.69356481481</v>
      </c>
      <c r="C142" s="1" t="n">
        <v>45911</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26461-2025</t>
        </is>
      </c>
      <c r="B143" s="1" t="n">
        <v>45807.43337962963</v>
      </c>
      <c r="C143" s="1" t="n">
        <v>45911</v>
      </c>
      <c r="D143" t="inlineStr">
        <is>
          <t>GOTLANDS LÄN</t>
        </is>
      </c>
      <c r="E143" t="inlineStr">
        <is>
          <t>GOTLAND</t>
        </is>
      </c>
      <c r="G143" t="n">
        <v>4.1</v>
      </c>
      <c r="H143" t="n">
        <v>0</v>
      </c>
      <c r="I143" t="n">
        <v>0</v>
      </c>
      <c r="J143" t="n">
        <v>0</v>
      </c>
      <c r="K143" t="n">
        <v>1</v>
      </c>
      <c r="L143" t="n">
        <v>0</v>
      </c>
      <c r="M143" t="n">
        <v>0</v>
      </c>
      <c r="N143" t="n">
        <v>0</v>
      </c>
      <c r="O143" t="n">
        <v>1</v>
      </c>
      <c r="P143" t="n">
        <v>1</v>
      </c>
      <c r="Q143" t="n">
        <v>1</v>
      </c>
      <c r="R143" s="2" t="inlineStr">
        <is>
          <t>Gotlandsmåra</t>
        </is>
      </c>
      <c r="S143">
        <f>HYPERLINK("https://klasma.github.io/Logging_0980/artfynd/A 26461-2025 artfynd.xlsx", "A 26461-2025")</f>
        <v/>
      </c>
      <c r="T143">
        <f>HYPERLINK("https://klasma.github.io/Logging_0980/kartor/A 26461-2025 karta.png", "A 26461-2025")</f>
        <v/>
      </c>
      <c r="V143">
        <f>HYPERLINK("https://klasma.github.io/Logging_0980/klagomål/A 26461-2025 FSC-klagomål.docx", "A 26461-2025")</f>
        <v/>
      </c>
      <c r="W143">
        <f>HYPERLINK("https://klasma.github.io/Logging_0980/klagomålsmail/A 26461-2025 FSC-klagomål mail.docx", "A 26461-2025")</f>
        <v/>
      </c>
      <c r="X143">
        <f>HYPERLINK("https://klasma.github.io/Logging_0980/tillsyn/A 26461-2025 tillsynsbegäran.docx", "A 26461-2025")</f>
        <v/>
      </c>
      <c r="Y143">
        <f>HYPERLINK("https://klasma.github.io/Logging_0980/tillsynsmail/A 26461-2025 tillsynsbegäran mail.docx", "A 26461-2025")</f>
        <v/>
      </c>
    </row>
    <row r="144" ht="15" customHeight="1">
      <c r="A144" t="inlineStr">
        <is>
          <t>A 65927-2021</t>
        </is>
      </c>
      <c r="B144" s="1" t="n">
        <v>44516</v>
      </c>
      <c r="C144" s="1" t="n">
        <v>45911</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45911</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34809-2024</t>
        </is>
      </c>
      <c r="B146" s="1" t="n">
        <v>45526</v>
      </c>
      <c r="C146" s="1" t="n">
        <v>45911</v>
      </c>
      <c r="D146" t="inlineStr">
        <is>
          <t>GOTLANDS LÄN</t>
        </is>
      </c>
      <c r="E146" t="inlineStr">
        <is>
          <t>GOTLAND</t>
        </is>
      </c>
      <c r="G146" t="n">
        <v>9.9</v>
      </c>
      <c r="H146" t="n">
        <v>1</v>
      </c>
      <c r="I146" t="n">
        <v>0</v>
      </c>
      <c r="J146" t="n">
        <v>1</v>
      </c>
      <c r="K146" t="n">
        <v>0</v>
      </c>
      <c r="L146" t="n">
        <v>0</v>
      </c>
      <c r="M146" t="n">
        <v>0</v>
      </c>
      <c r="N146" t="n">
        <v>0</v>
      </c>
      <c r="O146" t="n">
        <v>1</v>
      </c>
      <c r="P146" t="n">
        <v>0</v>
      </c>
      <c r="Q146" t="n">
        <v>1</v>
      </c>
      <c r="R146" s="2" t="inlineStr">
        <is>
          <t>Brun ögontröst</t>
        </is>
      </c>
      <c r="S146">
        <f>HYPERLINK("https://klasma.github.io/Logging_0980/artfynd/A 34809-2024 artfynd.xlsx", "A 34809-2024")</f>
        <v/>
      </c>
      <c r="T146">
        <f>HYPERLINK("https://klasma.github.io/Logging_0980/kartor/A 34809-2024 karta.png", "A 34809-2024")</f>
        <v/>
      </c>
      <c r="V146">
        <f>HYPERLINK("https://klasma.github.io/Logging_0980/klagomål/A 34809-2024 FSC-klagomål.docx", "A 34809-2024")</f>
        <v/>
      </c>
      <c r="W146">
        <f>HYPERLINK("https://klasma.github.io/Logging_0980/klagomålsmail/A 34809-2024 FSC-klagomål mail.docx", "A 34809-2024")</f>
        <v/>
      </c>
      <c r="X146">
        <f>HYPERLINK("https://klasma.github.io/Logging_0980/tillsyn/A 34809-2024 tillsynsbegäran.docx", "A 34809-2024")</f>
        <v/>
      </c>
      <c r="Y146">
        <f>HYPERLINK("https://klasma.github.io/Logging_0980/tillsynsmail/A 34809-2024 tillsynsbegäran mail.docx", "A 34809-2024")</f>
        <v/>
      </c>
    </row>
    <row r="147" ht="15" customHeight="1">
      <c r="A147" t="inlineStr">
        <is>
          <t>A 15637-2024</t>
        </is>
      </c>
      <c r="B147" s="1" t="n">
        <v>45403.6684837963</v>
      </c>
      <c r="C147" s="1" t="n">
        <v>45911</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61561-2023</t>
        </is>
      </c>
      <c r="B148" s="1" t="n">
        <v>45265</v>
      </c>
      <c r="C148" s="1" t="n">
        <v>45911</v>
      </c>
      <c r="D148" t="inlineStr">
        <is>
          <t>GOTLANDS LÄN</t>
        </is>
      </c>
      <c r="E148" t="inlineStr">
        <is>
          <t>GOTLAND</t>
        </is>
      </c>
      <c r="G148" t="n">
        <v>7.4</v>
      </c>
      <c r="H148" t="n">
        <v>0</v>
      </c>
      <c r="I148" t="n">
        <v>0</v>
      </c>
      <c r="J148" t="n">
        <v>1</v>
      </c>
      <c r="K148" t="n">
        <v>0</v>
      </c>
      <c r="L148" t="n">
        <v>0</v>
      </c>
      <c r="M148" t="n">
        <v>0</v>
      </c>
      <c r="N148" t="n">
        <v>0</v>
      </c>
      <c r="O148" t="n">
        <v>1</v>
      </c>
      <c r="P148" t="n">
        <v>0</v>
      </c>
      <c r="Q148" t="n">
        <v>1</v>
      </c>
      <c r="R148" s="2" t="inlineStr">
        <is>
          <t>Loppstarr</t>
        </is>
      </c>
      <c r="S148">
        <f>HYPERLINK("https://klasma.github.io/Logging_0980/artfynd/A 61561-2023 artfynd.xlsx", "A 61561-2023")</f>
        <v/>
      </c>
      <c r="T148">
        <f>HYPERLINK("https://klasma.github.io/Logging_0980/kartor/A 61561-2023 karta.png", "A 61561-2023")</f>
        <v/>
      </c>
      <c r="V148">
        <f>HYPERLINK("https://klasma.github.io/Logging_0980/klagomål/A 61561-2023 FSC-klagomål.docx", "A 61561-2023")</f>
        <v/>
      </c>
      <c r="W148">
        <f>HYPERLINK("https://klasma.github.io/Logging_0980/klagomålsmail/A 61561-2023 FSC-klagomål mail.docx", "A 61561-2023")</f>
        <v/>
      </c>
      <c r="X148">
        <f>HYPERLINK("https://klasma.github.io/Logging_0980/tillsyn/A 61561-2023 tillsynsbegäran.docx", "A 61561-2023")</f>
        <v/>
      </c>
      <c r="Y148">
        <f>HYPERLINK("https://klasma.github.io/Logging_0980/tillsynsmail/A 61561-2023 tillsynsbegäran mail.docx", "A 61561-2023")</f>
        <v/>
      </c>
    </row>
    <row r="149" ht="15" customHeight="1">
      <c r="A149" t="inlineStr">
        <is>
          <t>A 8725-2025</t>
        </is>
      </c>
      <c r="B149" s="1" t="n">
        <v>45712</v>
      </c>
      <c r="C149" s="1" t="n">
        <v>45911</v>
      </c>
      <c r="D149" t="inlineStr">
        <is>
          <t>GOTLANDS LÄN</t>
        </is>
      </c>
      <c r="E149" t="inlineStr">
        <is>
          <t>GOTLAND</t>
        </is>
      </c>
      <c r="G149" t="n">
        <v>4.4</v>
      </c>
      <c r="H149" t="n">
        <v>1</v>
      </c>
      <c r="I149" t="n">
        <v>0</v>
      </c>
      <c r="J149" t="n">
        <v>1</v>
      </c>
      <c r="K149" t="n">
        <v>0</v>
      </c>
      <c r="L149" t="n">
        <v>0</v>
      </c>
      <c r="M149" t="n">
        <v>0</v>
      </c>
      <c r="N149" t="n">
        <v>0</v>
      </c>
      <c r="O149" t="n">
        <v>1</v>
      </c>
      <c r="P149" t="n">
        <v>0</v>
      </c>
      <c r="Q149" t="n">
        <v>1</v>
      </c>
      <c r="R149" s="2" t="inlineStr">
        <is>
          <t>Spillkråka</t>
        </is>
      </c>
      <c r="S149">
        <f>HYPERLINK("https://klasma.github.io/Logging_0980/artfynd/A 8725-2025 artfynd.xlsx", "A 8725-2025")</f>
        <v/>
      </c>
      <c r="T149">
        <f>HYPERLINK("https://klasma.github.io/Logging_0980/kartor/A 8725-2025 karta.png", "A 8725-2025")</f>
        <v/>
      </c>
      <c r="V149">
        <f>HYPERLINK("https://klasma.github.io/Logging_0980/klagomål/A 8725-2025 FSC-klagomål.docx", "A 8725-2025")</f>
        <v/>
      </c>
      <c r="W149">
        <f>HYPERLINK("https://klasma.github.io/Logging_0980/klagomålsmail/A 8725-2025 FSC-klagomål mail.docx", "A 8725-2025")</f>
        <v/>
      </c>
      <c r="X149">
        <f>HYPERLINK("https://klasma.github.io/Logging_0980/tillsyn/A 8725-2025 tillsynsbegäran.docx", "A 8725-2025")</f>
        <v/>
      </c>
      <c r="Y149">
        <f>HYPERLINK("https://klasma.github.io/Logging_0980/tillsynsmail/A 8725-2025 tillsynsbegäran mail.docx", "A 8725-2025")</f>
        <v/>
      </c>
      <c r="Z149">
        <f>HYPERLINK("https://klasma.github.io/Logging_0980/fåglar/A 8725-2025 prioriterade fågelarter.docx", "A 8725-2025")</f>
        <v/>
      </c>
    </row>
    <row r="150" ht="15" customHeight="1">
      <c r="A150" t="inlineStr">
        <is>
          <t>A 2476-2025</t>
        </is>
      </c>
      <c r="B150" s="1" t="n">
        <v>45673</v>
      </c>
      <c r="C150" s="1" t="n">
        <v>45911</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34141-2024</t>
        </is>
      </c>
      <c r="B151" s="1" t="n">
        <v>45524.36229166666</v>
      </c>
      <c r="C151" s="1" t="n">
        <v>45911</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9862-2024</t>
        </is>
      </c>
      <c r="B152" s="1" t="n">
        <v>45363</v>
      </c>
      <c r="C152" s="1" t="n">
        <v>45911</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10995-2023</t>
        </is>
      </c>
      <c r="B153" s="1" t="n">
        <v>44986</v>
      </c>
      <c r="C153" s="1" t="n">
        <v>45911</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63299-2020</t>
        </is>
      </c>
      <c r="B154" s="1" t="n">
        <v>44165</v>
      </c>
      <c r="C154" s="1" t="n">
        <v>45911</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27168-2022</t>
        </is>
      </c>
      <c r="B155" s="1" t="n">
        <v>44741</v>
      </c>
      <c r="C155" s="1" t="n">
        <v>45911</v>
      </c>
      <c r="D155" t="inlineStr">
        <is>
          <t>GOTLANDS LÄN</t>
        </is>
      </c>
      <c r="E155" t="inlineStr">
        <is>
          <t>GOTLAND</t>
        </is>
      </c>
      <c r="G155" t="n">
        <v>2.2</v>
      </c>
      <c r="H155" t="n">
        <v>1</v>
      </c>
      <c r="I155" t="n">
        <v>1</v>
      </c>
      <c r="J155" t="n">
        <v>0</v>
      </c>
      <c r="K155" t="n">
        <v>0</v>
      </c>
      <c r="L155" t="n">
        <v>0</v>
      </c>
      <c r="M155" t="n">
        <v>0</v>
      </c>
      <c r="N155" t="n">
        <v>0</v>
      </c>
      <c r="O155" t="n">
        <v>0</v>
      </c>
      <c r="P155" t="n">
        <v>0</v>
      </c>
      <c r="Q155" t="n">
        <v>1</v>
      </c>
      <c r="R155" s="2" t="inlineStr">
        <is>
          <t>Purpurknipprot</t>
        </is>
      </c>
      <c r="S155">
        <f>HYPERLINK("https://klasma.github.io/Logging_0980/artfynd/A 27168-2022 artfynd.xlsx", "A 27168-2022")</f>
        <v/>
      </c>
      <c r="T155">
        <f>HYPERLINK("https://klasma.github.io/Logging_0980/kartor/A 27168-2022 karta.png", "A 27168-2022")</f>
        <v/>
      </c>
      <c r="V155">
        <f>HYPERLINK("https://klasma.github.io/Logging_0980/klagomål/A 27168-2022 FSC-klagomål.docx", "A 27168-2022")</f>
        <v/>
      </c>
      <c r="W155">
        <f>HYPERLINK("https://klasma.github.io/Logging_0980/klagomålsmail/A 27168-2022 FSC-klagomål mail.docx", "A 27168-2022")</f>
        <v/>
      </c>
      <c r="X155">
        <f>HYPERLINK("https://klasma.github.io/Logging_0980/tillsyn/A 27168-2022 tillsynsbegäran.docx", "A 27168-2022")</f>
        <v/>
      </c>
      <c r="Y155">
        <f>HYPERLINK("https://klasma.github.io/Logging_0980/tillsynsmail/A 27168-2022 tillsynsbegäran mail.docx", "A 27168-2022")</f>
        <v/>
      </c>
    </row>
    <row r="156" ht="15" customHeight="1">
      <c r="A156" t="inlineStr">
        <is>
          <t>A 62552-2022</t>
        </is>
      </c>
      <c r="B156" s="1" t="n">
        <v>44924</v>
      </c>
      <c r="C156" s="1" t="n">
        <v>45911</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22782-2023</t>
        </is>
      </c>
      <c r="B157" s="1" t="n">
        <v>45072</v>
      </c>
      <c r="C157" s="1" t="n">
        <v>45911</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39812-2025</t>
        </is>
      </c>
      <c r="B158" s="1" t="n">
        <v>45891</v>
      </c>
      <c r="C158" s="1" t="n">
        <v>45911</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44088-2022</t>
        </is>
      </c>
      <c r="B159" s="1" t="n">
        <v>44839</v>
      </c>
      <c r="C159" s="1" t="n">
        <v>45911</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45911</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45911</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947-2023</t>
        </is>
      </c>
      <c r="B162" s="1" t="n">
        <v>44934</v>
      </c>
      <c r="C162" s="1" t="n">
        <v>45911</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24245-2022</t>
        </is>
      </c>
      <c r="B163" s="1" t="n">
        <v>44725</v>
      </c>
      <c r="C163" s="1" t="n">
        <v>45911</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49304-2024</t>
        </is>
      </c>
      <c r="B164" s="1" t="n">
        <v>45595.54996527778</v>
      </c>
      <c r="C164" s="1" t="n">
        <v>45911</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45911</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45911</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49847-2023</t>
        </is>
      </c>
      <c r="B167" s="1" t="n">
        <v>45212</v>
      </c>
      <c r="C167" s="1" t="n">
        <v>45911</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45911</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13627-2023</t>
        </is>
      </c>
      <c r="B169" s="1" t="n">
        <v>45006</v>
      </c>
      <c r="C169" s="1" t="n">
        <v>45911</v>
      </c>
      <c r="D169" t="inlineStr">
        <is>
          <t>GOTLANDS LÄN</t>
        </is>
      </c>
      <c r="E169" t="inlineStr">
        <is>
          <t>GOTLAND</t>
        </is>
      </c>
      <c r="G169" t="n">
        <v>10.7</v>
      </c>
      <c r="H169" t="n">
        <v>0</v>
      </c>
      <c r="I169" t="n">
        <v>0</v>
      </c>
      <c r="J169" t="n">
        <v>0</v>
      </c>
      <c r="K169" t="n">
        <v>1</v>
      </c>
      <c r="L169" t="n">
        <v>0</v>
      </c>
      <c r="M169" t="n">
        <v>0</v>
      </c>
      <c r="N169" t="n">
        <v>0</v>
      </c>
      <c r="O169" t="n">
        <v>1</v>
      </c>
      <c r="P169" t="n">
        <v>1</v>
      </c>
      <c r="Q169" t="n">
        <v>1</v>
      </c>
      <c r="R169" s="2" t="inlineStr">
        <is>
          <t>Sammetsbockrot</t>
        </is>
      </c>
      <c r="S169">
        <f>HYPERLINK("https://klasma.github.io/Logging_0980/artfynd/A 13627-2023 artfynd.xlsx", "A 13627-2023")</f>
        <v/>
      </c>
      <c r="T169">
        <f>HYPERLINK("https://klasma.github.io/Logging_0980/kartor/A 13627-2023 karta.png", "A 13627-2023")</f>
        <v/>
      </c>
      <c r="V169">
        <f>HYPERLINK("https://klasma.github.io/Logging_0980/klagomål/A 13627-2023 FSC-klagomål.docx", "A 13627-2023")</f>
        <v/>
      </c>
      <c r="W169">
        <f>HYPERLINK("https://klasma.github.io/Logging_0980/klagomålsmail/A 13627-2023 FSC-klagomål mail.docx", "A 13627-2023")</f>
        <v/>
      </c>
      <c r="X169">
        <f>HYPERLINK("https://klasma.github.io/Logging_0980/tillsyn/A 13627-2023 tillsynsbegäran.docx", "A 13627-2023")</f>
        <v/>
      </c>
      <c r="Y169">
        <f>HYPERLINK("https://klasma.github.io/Logging_0980/tillsynsmail/A 13627-2023 tillsynsbegäran mail.docx", "A 13627-2023")</f>
        <v/>
      </c>
    </row>
    <row r="170" ht="15" customHeight="1">
      <c r="A170" t="inlineStr">
        <is>
          <t>A 27589-2023</t>
        </is>
      </c>
      <c r="B170" s="1" t="n">
        <v>45097</v>
      </c>
      <c r="C170" s="1" t="n">
        <v>45911</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12324-2025</t>
        </is>
      </c>
      <c r="B171" s="1" t="n">
        <v>45730</v>
      </c>
      <c r="C171" s="1" t="n">
        <v>45911</v>
      </c>
      <c r="D171" t="inlineStr">
        <is>
          <t>GOTLANDS LÄN</t>
        </is>
      </c>
      <c r="E171" t="inlineStr">
        <is>
          <t>GOTLAND</t>
        </is>
      </c>
      <c r="G171" t="n">
        <v>5</v>
      </c>
      <c r="H171" t="n">
        <v>0</v>
      </c>
      <c r="I171" t="n">
        <v>0</v>
      </c>
      <c r="J171" t="n">
        <v>0</v>
      </c>
      <c r="K171" t="n">
        <v>1</v>
      </c>
      <c r="L171" t="n">
        <v>0</v>
      </c>
      <c r="M171" t="n">
        <v>0</v>
      </c>
      <c r="N171" t="n">
        <v>0</v>
      </c>
      <c r="O171" t="n">
        <v>1</v>
      </c>
      <c r="P171" t="n">
        <v>1</v>
      </c>
      <c r="Q171" t="n">
        <v>1</v>
      </c>
      <c r="R171" s="2" t="inlineStr">
        <is>
          <t>Sommarklynne</t>
        </is>
      </c>
      <c r="S171">
        <f>HYPERLINK("https://klasma.github.io/Logging_0980/artfynd/A 12324-2025 artfynd.xlsx", "A 12324-2025")</f>
        <v/>
      </c>
      <c r="T171">
        <f>HYPERLINK("https://klasma.github.io/Logging_0980/kartor/A 12324-2025 karta.png", "A 12324-2025")</f>
        <v/>
      </c>
      <c r="V171">
        <f>HYPERLINK("https://klasma.github.io/Logging_0980/klagomål/A 12324-2025 FSC-klagomål.docx", "A 12324-2025")</f>
        <v/>
      </c>
      <c r="W171">
        <f>HYPERLINK("https://klasma.github.io/Logging_0980/klagomålsmail/A 12324-2025 FSC-klagomål mail.docx", "A 12324-2025")</f>
        <v/>
      </c>
      <c r="X171">
        <f>HYPERLINK("https://klasma.github.io/Logging_0980/tillsyn/A 12324-2025 tillsynsbegäran.docx", "A 12324-2025")</f>
        <v/>
      </c>
      <c r="Y171">
        <f>HYPERLINK("https://klasma.github.io/Logging_0980/tillsynsmail/A 12324-2025 tillsynsbegäran mail.docx", "A 12324-2025")</f>
        <v/>
      </c>
    </row>
    <row r="172" ht="15" customHeight="1">
      <c r="A172" t="inlineStr">
        <is>
          <t>A 37591-2023</t>
        </is>
      </c>
      <c r="B172" s="1" t="n">
        <v>45159</v>
      </c>
      <c r="C172" s="1" t="n">
        <v>45911</v>
      </c>
      <c r="D172" t="inlineStr">
        <is>
          <t>GOTLANDS LÄN</t>
        </is>
      </c>
      <c r="E172" t="inlineStr">
        <is>
          <t>GOTLAND</t>
        </is>
      </c>
      <c r="G172" t="n">
        <v>8.300000000000001</v>
      </c>
      <c r="H172" t="n">
        <v>0</v>
      </c>
      <c r="I172" t="n">
        <v>0</v>
      </c>
      <c r="J172" t="n">
        <v>1</v>
      </c>
      <c r="K172" t="n">
        <v>0</v>
      </c>
      <c r="L172" t="n">
        <v>0</v>
      </c>
      <c r="M172" t="n">
        <v>0</v>
      </c>
      <c r="N172" t="n">
        <v>0</v>
      </c>
      <c r="O172" t="n">
        <v>1</v>
      </c>
      <c r="P172" t="n">
        <v>0</v>
      </c>
      <c r="Q172" t="n">
        <v>1</v>
      </c>
      <c r="R172" s="2" t="inlineStr">
        <is>
          <t>Ängsstarr</t>
        </is>
      </c>
      <c r="S172">
        <f>HYPERLINK("https://klasma.github.io/Logging_0980/artfynd/A 37591-2023 artfynd.xlsx", "A 37591-2023")</f>
        <v/>
      </c>
      <c r="T172">
        <f>HYPERLINK("https://klasma.github.io/Logging_0980/kartor/A 37591-2023 karta.png", "A 37591-2023")</f>
        <v/>
      </c>
      <c r="V172">
        <f>HYPERLINK("https://klasma.github.io/Logging_0980/klagomål/A 37591-2023 FSC-klagomål.docx", "A 37591-2023")</f>
        <v/>
      </c>
      <c r="W172">
        <f>HYPERLINK("https://klasma.github.io/Logging_0980/klagomålsmail/A 37591-2023 FSC-klagomål mail.docx", "A 37591-2023")</f>
        <v/>
      </c>
      <c r="X172">
        <f>HYPERLINK("https://klasma.github.io/Logging_0980/tillsyn/A 37591-2023 tillsynsbegäran.docx", "A 37591-2023")</f>
        <v/>
      </c>
      <c r="Y172">
        <f>HYPERLINK("https://klasma.github.io/Logging_0980/tillsynsmail/A 37591-2023 tillsynsbegäran mail.docx", "A 37591-2023")</f>
        <v/>
      </c>
    </row>
    <row r="173" ht="15" customHeight="1">
      <c r="A173" t="inlineStr">
        <is>
          <t>A 21466-2025</t>
        </is>
      </c>
      <c r="B173" s="1" t="n">
        <v>45782</v>
      </c>
      <c r="C173" s="1" t="n">
        <v>45911</v>
      </c>
      <c r="D173" t="inlineStr">
        <is>
          <t>GOTLANDS LÄN</t>
        </is>
      </c>
      <c r="E173" t="inlineStr">
        <is>
          <t>GOTLAND</t>
        </is>
      </c>
      <c r="F173" t="inlineStr">
        <is>
          <t>Övriga statliga verk och myndigheter</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HYPERLINK("https://klasma.github.io/Logging_0980/artfynd/A 21466-2025 artfynd.xlsx", "A 21466-2025")</f>
        <v/>
      </c>
      <c r="T173">
        <f>HYPERLINK("https://klasma.github.io/Logging_0980/kartor/A 21466-2025 karta.png", "A 21466-2025")</f>
        <v/>
      </c>
      <c r="V173">
        <f>HYPERLINK("https://klasma.github.io/Logging_0980/klagomål/A 21466-2025 FSC-klagomål.docx", "A 21466-2025")</f>
        <v/>
      </c>
      <c r="W173">
        <f>HYPERLINK("https://klasma.github.io/Logging_0980/klagomålsmail/A 21466-2025 FSC-klagomål mail.docx", "A 21466-2025")</f>
        <v/>
      </c>
      <c r="X173">
        <f>HYPERLINK("https://klasma.github.io/Logging_0980/tillsyn/A 21466-2025 tillsynsbegäran.docx", "A 21466-2025")</f>
        <v/>
      </c>
      <c r="Y173">
        <f>HYPERLINK("https://klasma.github.io/Logging_0980/tillsynsmail/A 21466-2025 tillsynsbegäran mail.docx", "A 21466-2025")</f>
        <v/>
      </c>
    </row>
    <row r="174" ht="15" customHeight="1">
      <c r="A174" t="inlineStr">
        <is>
          <t>A 19901-2021</t>
        </is>
      </c>
      <c r="B174" s="1" t="n">
        <v>44312</v>
      </c>
      <c r="C174" s="1" t="n">
        <v>45911</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45911</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36313-2021</t>
        </is>
      </c>
      <c r="B176" s="1" t="n">
        <v>44390</v>
      </c>
      <c r="C176" s="1" t="n">
        <v>45911</v>
      </c>
      <c r="D176" t="inlineStr">
        <is>
          <t>GOTLANDS LÄN</t>
        </is>
      </c>
      <c r="E176" t="inlineStr">
        <is>
          <t>GOTLAND</t>
        </is>
      </c>
      <c r="G176" t="n">
        <v>2.2</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45911</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45911</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45911</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45911</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45911</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45911</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45911</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45911</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45911</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45911</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45911</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45911</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45911</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45911</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45911</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45911</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45911</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45911</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45911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45911</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15127-2021</t>
        </is>
      </c>
      <c r="B201" s="1" t="n">
        <v>44283</v>
      </c>
      <c r="C201" s="1" t="n">
        <v>45911</v>
      </c>
      <c r="D201" t="inlineStr">
        <is>
          <t>GOTLANDS LÄN</t>
        </is>
      </c>
      <c r="E201" t="inlineStr">
        <is>
          <t>GOTLAND</t>
        </is>
      </c>
      <c r="G201" t="n">
        <v>0.4</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45911</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45911</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45911</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45911</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45911</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45911</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45911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45911</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45911</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45911</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45911</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45911</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1229-2021</t>
        </is>
      </c>
      <c r="B216" s="1" t="n">
        <v>44208</v>
      </c>
      <c r="C216" s="1" t="n">
        <v>45911</v>
      </c>
      <c r="D216" t="inlineStr">
        <is>
          <t>GOTLANDS LÄN</t>
        </is>
      </c>
      <c r="E216" t="inlineStr">
        <is>
          <t>GOTLAND</t>
        </is>
      </c>
      <c r="G216" t="n">
        <v>5.3</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62120-2020</t>
        </is>
      </c>
      <c r="B218" s="1" t="n">
        <v>44158</v>
      </c>
      <c r="C218" s="1" t="n">
        <v>45911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3271-2021</t>
        </is>
      </c>
      <c r="B219" s="1" t="n">
        <v>44217</v>
      </c>
      <c r="C219" s="1" t="n">
        <v>45911</v>
      </c>
      <c r="D219" t="inlineStr">
        <is>
          <t>GOTLANDS LÄN</t>
        </is>
      </c>
      <c r="E219" t="inlineStr">
        <is>
          <t>GOTLAND</t>
        </is>
      </c>
      <c r="G219" t="n">
        <v>0.7</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45911</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45911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45911</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45911</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45911</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45911</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64380-2020</t>
        </is>
      </c>
      <c r="B226" s="1" t="n">
        <v>44168.60128472222</v>
      </c>
      <c r="C226" s="1" t="n">
        <v>45911</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45911</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45911</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45911</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45911</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45911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45911</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45911</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44942-2022</t>
        </is>
      </c>
      <c r="B234" s="1" t="n">
        <v>44841</v>
      </c>
      <c r="C234" s="1" t="n">
        <v>45911</v>
      </c>
      <c r="D234" t="inlineStr">
        <is>
          <t>GOTLANDS LÄN</t>
        </is>
      </c>
      <c r="E234" t="inlineStr">
        <is>
          <t>GOTLAND</t>
        </is>
      </c>
      <c r="G234" t="n">
        <v>2</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45911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44919-2022</t>
        </is>
      </c>
      <c r="B236" s="1" t="n">
        <v>44841</v>
      </c>
      <c r="C236" s="1" t="n">
        <v>45911</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53225-2022</t>
        </is>
      </c>
      <c r="B237" s="1" t="n">
        <v>44876</v>
      </c>
      <c r="C237" s="1" t="n">
        <v>45911</v>
      </c>
      <c r="D237" t="inlineStr">
        <is>
          <t>GOTLANDS LÄN</t>
        </is>
      </c>
      <c r="E237" t="inlineStr">
        <is>
          <t>GOTLAND</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1477-2024</t>
        </is>
      </c>
      <c r="B238" s="1" t="n">
        <v>45305.37987268518</v>
      </c>
      <c r="C238" s="1" t="n">
        <v>45911</v>
      </c>
      <c r="D238" t="inlineStr">
        <is>
          <t>GOTLANDS LÄN</t>
        </is>
      </c>
      <c r="E238" t="inlineStr">
        <is>
          <t>GOTLAND</t>
        </is>
      </c>
      <c r="G238" t="n">
        <v>6.9</v>
      </c>
      <c r="H238" t="n">
        <v>0</v>
      </c>
      <c r="I238" t="n">
        <v>0</v>
      </c>
      <c r="J238" t="n">
        <v>0</v>
      </c>
      <c r="K238" t="n">
        <v>0</v>
      </c>
      <c r="L238" t="n">
        <v>0</v>
      </c>
      <c r="M238" t="n">
        <v>0</v>
      </c>
      <c r="N238" t="n">
        <v>0</v>
      </c>
      <c r="O238" t="n">
        <v>0</v>
      </c>
      <c r="P238" t="n">
        <v>0</v>
      </c>
      <c r="Q238" t="n">
        <v>0</v>
      </c>
      <c r="R238" s="2" t="inlineStr"/>
    </row>
    <row r="239" ht="15" customHeight="1">
      <c r="A239" t="inlineStr">
        <is>
          <t>A 4868-2024</t>
        </is>
      </c>
      <c r="B239" s="1" t="n">
        <v>45329</v>
      </c>
      <c r="C239" s="1" t="n">
        <v>45911</v>
      </c>
      <c r="D239" t="inlineStr">
        <is>
          <t>GOTLANDS LÄN</t>
        </is>
      </c>
      <c r="E239" t="inlineStr">
        <is>
          <t>GOTLAND</t>
        </is>
      </c>
      <c r="G239" t="n">
        <v>7.1</v>
      </c>
      <c r="H239" t="n">
        <v>0</v>
      </c>
      <c r="I239" t="n">
        <v>0</v>
      </c>
      <c r="J239" t="n">
        <v>0</v>
      </c>
      <c r="K239" t="n">
        <v>0</v>
      </c>
      <c r="L239" t="n">
        <v>0</v>
      </c>
      <c r="M239" t="n">
        <v>0</v>
      </c>
      <c r="N239" t="n">
        <v>0</v>
      </c>
      <c r="O239" t="n">
        <v>0</v>
      </c>
      <c r="P239" t="n">
        <v>0</v>
      </c>
      <c r="Q239" t="n">
        <v>0</v>
      </c>
      <c r="R239" s="2" t="inlineStr"/>
    </row>
    <row r="240" ht="15" customHeight="1">
      <c r="A240" t="inlineStr">
        <is>
          <t>A 1677-2023</t>
        </is>
      </c>
      <c r="B240" s="1" t="n">
        <v>44938</v>
      </c>
      <c r="C240" s="1" t="n">
        <v>45911</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45911</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45244-2024</t>
        </is>
      </c>
      <c r="B242" s="1" t="n">
        <v>45576</v>
      </c>
      <c r="C242" s="1" t="n">
        <v>45911</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45911</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45911</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45911</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8260-2023</t>
        </is>
      </c>
      <c r="B246" s="1" t="n">
        <v>44974.61608796296</v>
      </c>
      <c r="C246" s="1" t="n">
        <v>45911</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45911</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64969-2023</t>
        </is>
      </c>
      <c r="B248" s="1" t="n">
        <v>45284.54009259259</v>
      </c>
      <c r="C248" s="1" t="n">
        <v>45911</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48843-2024</t>
        </is>
      </c>
      <c r="B249" s="1" t="n">
        <v>45593</v>
      </c>
      <c r="C249" s="1" t="n">
        <v>45911</v>
      </c>
      <c r="D249" t="inlineStr">
        <is>
          <t>GOTLANDS LÄN</t>
        </is>
      </c>
      <c r="E249" t="inlineStr">
        <is>
          <t>GOTLAND</t>
        </is>
      </c>
      <c r="G249" t="n">
        <v>0.5</v>
      </c>
      <c r="H249" t="n">
        <v>0</v>
      </c>
      <c r="I249" t="n">
        <v>0</v>
      </c>
      <c r="J249" t="n">
        <v>0</v>
      </c>
      <c r="K249" t="n">
        <v>0</v>
      </c>
      <c r="L249" t="n">
        <v>0</v>
      </c>
      <c r="M249" t="n">
        <v>0</v>
      </c>
      <c r="N249" t="n">
        <v>0</v>
      </c>
      <c r="O249" t="n">
        <v>0</v>
      </c>
      <c r="P249" t="n">
        <v>0</v>
      </c>
      <c r="Q249" t="n">
        <v>0</v>
      </c>
      <c r="R249" s="2" t="inlineStr"/>
    </row>
    <row r="250" ht="15" customHeight="1">
      <c r="A250" t="inlineStr">
        <is>
          <t>A 17541-2024</t>
        </is>
      </c>
      <c r="B250" s="1" t="n">
        <v>45415</v>
      </c>
      <c r="C250" s="1" t="n">
        <v>45911</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15595-2024</t>
        </is>
      </c>
      <c r="B251" s="1" t="n">
        <v>45401.81480324074</v>
      </c>
      <c r="C251" s="1" t="n">
        <v>45911</v>
      </c>
      <c r="D251" t="inlineStr">
        <is>
          <t>GOTLANDS LÄN</t>
        </is>
      </c>
      <c r="E251" t="inlineStr">
        <is>
          <t>GOTLAND</t>
        </is>
      </c>
      <c r="G251" t="n">
        <v>6.4</v>
      </c>
      <c r="H251" t="n">
        <v>0</v>
      </c>
      <c r="I251" t="n">
        <v>0</v>
      </c>
      <c r="J251" t="n">
        <v>0</v>
      </c>
      <c r="K251" t="n">
        <v>0</v>
      </c>
      <c r="L251" t="n">
        <v>0</v>
      </c>
      <c r="M251" t="n">
        <v>0</v>
      </c>
      <c r="N251" t="n">
        <v>0</v>
      </c>
      <c r="O251" t="n">
        <v>0</v>
      </c>
      <c r="P251" t="n">
        <v>0</v>
      </c>
      <c r="Q251" t="n">
        <v>0</v>
      </c>
      <c r="R251" s="2" t="inlineStr"/>
    </row>
    <row r="252" ht="15" customHeight="1">
      <c r="A252" t="inlineStr">
        <is>
          <t>A 5751-2024</t>
        </is>
      </c>
      <c r="B252" s="1" t="n">
        <v>45335.32702546296</v>
      </c>
      <c r="C252" s="1" t="n">
        <v>45911</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2241-2025</t>
        </is>
      </c>
      <c r="B253" s="1" t="n">
        <v>45673.48710648148</v>
      </c>
      <c r="C253" s="1" t="n">
        <v>45911</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44649-2021</t>
        </is>
      </c>
      <c r="B254" s="1" t="n">
        <v>44437</v>
      </c>
      <c r="C254" s="1" t="n">
        <v>45911</v>
      </c>
      <c r="D254" t="inlineStr">
        <is>
          <t>GOTLANDS LÄN</t>
        </is>
      </c>
      <c r="E254" t="inlineStr">
        <is>
          <t>GOTLAND</t>
        </is>
      </c>
      <c r="G254" t="n">
        <v>8.1</v>
      </c>
      <c r="H254" t="n">
        <v>0</v>
      </c>
      <c r="I254" t="n">
        <v>0</v>
      </c>
      <c r="J254" t="n">
        <v>0</v>
      </c>
      <c r="K254" t="n">
        <v>0</v>
      </c>
      <c r="L254" t="n">
        <v>0</v>
      </c>
      <c r="M254" t="n">
        <v>0</v>
      </c>
      <c r="N254" t="n">
        <v>0</v>
      </c>
      <c r="O254" t="n">
        <v>0</v>
      </c>
      <c r="P254" t="n">
        <v>0</v>
      </c>
      <c r="Q254" t="n">
        <v>0</v>
      </c>
      <c r="R254" s="2" t="inlineStr"/>
    </row>
    <row r="255" ht="15" customHeight="1">
      <c r="A255" t="inlineStr">
        <is>
          <t>A 9947-2024</t>
        </is>
      </c>
      <c r="B255" s="1" t="n">
        <v>45363</v>
      </c>
      <c r="C255" s="1" t="n">
        <v>45911</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45911</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44304-2021</t>
        </is>
      </c>
      <c r="B257" s="1" t="n">
        <v>44434</v>
      </c>
      <c r="C257" s="1" t="n">
        <v>45911</v>
      </c>
      <c r="D257" t="inlineStr">
        <is>
          <t>GOTLANDS LÄN</t>
        </is>
      </c>
      <c r="E257" t="inlineStr">
        <is>
          <t>GOTLAND</t>
        </is>
      </c>
      <c r="G257" t="n">
        <v>5.8</v>
      </c>
      <c r="H257" t="n">
        <v>0</v>
      </c>
      <c r="I257" t="n">
        <v>0</v>
      </c>
      <c r="J257" t="n">
        <v>0</v>
      </c>
      <c r="K257" t="n">
        <v>0</v>
      </c>
      <c r="L257" t="n">
        <v>0</v>
      </c>
      <c r="M257" t="n">
        <v>0</v>
      </c>
      <c r="N257" t="n">
        <v>0</v>
      </c>
      <c r="O257" t="n">
        <v>0</v>
      </c>
      <c r="P257" t="n">
        <v>0</v>
      </c>
      <c r="Q257" t="n">
        <v>0</v>
      </c>
      <c r="R257" s="2" t="inlineStr"/>
    </row>
    <row r="258" ht="15" customHeight="1">
      <c r="A258" t="inlineStr">
        <is>
          <t>A 10656-2024</t>
        </is>
      </c>
      <c r="B258" s="1" t="n">
        <v>45368</v>
      </c>
      <c r="C258" s="1" t="n">
        <v>45911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15434-2024</t>
        </is>
      </c>
      <c r="B259" s="1" t="n">
        <v>45401.38836805556</v>
      </c>
      <c r="C259" s="1" t="n">
        <v>45911</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17682-2024</t>
        </is>
      </c>
      <c r="B260" s="1" t="n">
        <v>45418.42966435185</v>
      </c>
      <c r="C260" s="1" t="n">
        <v>45911</v>
      </c>
      <c r="D260" t="inlineStr">
        <is>
          <t>GOTLANDS LÄN</t>
        </is>
      </c>
      <c r="E260" t="inlineStr">
        <is>
          <t>GOTLAND</t>
        </is>
      </c>
      <c r="G260" t="n">
        <v>2.9</v>
      </c>
      <c r="H260" t="n">
        <v>0</v>
      </c>
      <c r="I260" t="n">
        <v>0</v>
      </c>
      <c r="J260" t="n">
        <v>0</v>
      </c>
      <c r="K260" t="n">
        <v>0</v>
      </c>
      <c r="L260" t="n">
        <v>0</v>
      </c>
      <c r="M260" t="n">
        <v>0</v>
      </c>
      <c r="N260" t="n">
        <v>0</v>
      </c>
      <c r="O260" t="n">
        <v>0</v>
      </c>
      <c r="P260" t="n">
        <v>0</v>
      </c>
      <c r="Q260" t="n">
        <v>0</v>
      </c>
      <c r="R260" s="2" t="inlineStr"/>
    </row>
    <row r="261" ht="15" customHeight="1">
      <c r="A261" t="inlineStr">
        <is>
          <t>A 57522-2022</t>
        </is>
      </c>
      <c r="B261" s="1" t="n">
        <v>44896</v>
      </c>
      <c r="C261" s="1" t="n">
        <v>45911</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5943-2024</t>
        </is>
      </c>
      <c r="B262" s="1" t="n">
        <v>45336</v>
      </c>
      <c r="C262" s="1" t="n">
        <v>45911</v>
      </c>
      <c r="D262" t="inlineStr">
        <is>
          <t>GOTLANDS LÄN</t>
        </is>
      </c>
      <c r="E262" t="inlineStr">
        <is>
          <t>GOTLAND</t>
        </is>
      </c>
      <c r="G262" t="n">
        <v>4.3</v>
      </c>
      <c r="H262" t="n">
        <v>0</v>
      </c>
      <c r="I262" t="n">
        <v>0</v>
      </c>
      <c r="J262" t="n">
        <v>0</v>
      </c>
      <c r="K262" t="n">
        <v>0</v>
      </c>
      <c r="L262" t="n">
        <v>0</v>
      </c>
      <c r="M262" t="n">
        <v>0</v>
      </c>
      <c r="N262" t="n">
        <v>0</v>
      </c>
      <c r="O262" t="n">
        <v>0</v>
      </c>
      <c r="P262" t="n">
        <v>0</v>
      </c>
      <c r="Q262" t="n">
        <v>0</v>
      </c>
      <c r="R262" s="2" t="inlineStr"/>
    </row>
    <row r="263" ht="15" customHeight="1">
      <c r="A263" t="inlineStr">
        <is>
          <t>A 24966-2023</t>
        </is>
      </c>
      <c r="B263" s="1" t="n">
        <v>45085</v>
      </c>
      <c r="C263" s="1" t="n">
        <v>45911</v>
      </c>
      <c r="D263" t="inlineStr">
        <is>
          <t>GOTLANDS LÄN</t>
        </is>
      </c>
      <c r="E263" t="inlineStr">
        <is>
          <t>GOTLAND</t>
        </is>
      </c>
      <c r="G263" t="n">
        <v>7</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45911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54073-2022</t>
        </is>
      </c>
      <c r="B265" s="1" t="n">
        <v>44881.50380787037</v>
      </c>
      <c r="C265" s="1" t="n">
        <v>45911</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16361-2024</t>
        </is>
      </c>
      <c r="B266" s="1" t="n">
        <v>45407</v>
      </c>
      <c r="C266" s="1" t="n">
        <v>45911</v>
      </c>
      <c r="D266" t="inlineStr">
        <is>
          <t>GOTLANDS LÄN</t>
        </is>
      </c>
      <c r="E266" t="inlineStr">
        <is>
          <t>GOTLAND</t>
        </is>
      </c>
      <c r="G266" t="n">
        <v>6</v>
      </c>
      <c r="H266" t="n">
        <v>0</v>
      </c>
      <c r="I266" t="n">
        <v>0</v>
      </c>
      <c r="J266" t="n">
        <v>0</v>
      </c>
      <c r="K266" t="n">
        <v>0</v>
      </c>
      <c r="L266" t="n">
        <v>0</v>
      </c>
      <c r="M266" t="n">
        <v>0</v>
      </c>
      <c r="N266" t="n">
        <v>0</v>
      </c>
      <c r="O266" t="n">
        <v>0</v>
      </c>
      <c r="P266" t="n">
        <v>0</v>
      </c>
      <c r="Q266" t="n">
        <v>0</v>
      </c>
      <c r="R266" s="2" t="inlineStr"/>
    </row>
    <row r="267" ht="15" customHeight="1">
      <c r="A267" t="inlineStr">
        <is>
          <t>A 46189-2022</t>
        </is>
      </c>
      <c r="B267" s="1" t="n">
        <v>44847</v>
      </c>
      <c r="C267" s="1" t="n">
        <v>45911</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28506-2023</t>
        </is>
      </c>
      <c r="B268" s="1" t="n">
        <v>45103</v>
      </c>
      <c r="C268" s="1" t="n">
        <v>45911</v>
      </c>
      <c r="D268" t="inlineStr">
        <is>
          <t>GOTLANDS LÄN</t>
        </is>
      </c>
      <c r="E268" t="inlineStr">
        <is>
          <t>GOTLAND</t>
        </is>
      </c>
      <c r="G268" t="n">
        <v>3.2</v>
      </c>
      <c r="H268" t="n">
        <v>0</v>
      </c>
      <c r="I268" t="n">
        <v>0</v>
      </c>
      <c r="J268" t="n">
        <v>0</v>
      </c>
      <c r="K268" t="n">
        <v>0</v>
      </c>
      <c r="L268" t="n">
        <v>0</v>
      </c>
      <c r="M268" t="n">
        <v>0</v>
      </c>
      <c r="N268" t="n">
        <v>0</v>
      </c>
      <c r="O268" t="n">
        <v>0</v>
      </c>
      <c r="P268" t="n">
        <v>0</v>
      </c>
      <c r="Q268" t="n">
        <v>0</v>
      </c>
      <c r="R268" s="2" t="inlineStr"/>
    </row>
    <row r="269" ht="15" customHeight="1">
      <c r="A269" t="inlineStr">
        <is>
          <t>A 21420-2024</t>
        </is>
      </c>
      <c r="B269" s="1" t="n">
        <v>45441.38293981482</v>
      </c>
      <c r="C269" s="1" t="n">
        <v>45911</v>
      </c>
      <c r="D269" t="inlineStr">
        <is>
          <t>GOTLANDS LÄN</t>
        </is>
      </c>
      <c r="E269" t="inlineStr">
        <is>
          <t>GOTLAND</t>
        </is>
      </c>
      <c r="G269" t="n">
        <v>4.1</v>
      </c>
      <c r="H269" t="n">
        <v>0</v>
      </c>
      <c r="I269" t="n">
        <v>0</v>
      </c>
      <c r="J269" t="n">
        <v>0</v>
      </c>
      <c r="K269" t="n">
        <v>0</v>
      </c>
      <c r="L269" t="n">
        <v>0</v>
      </c>
      <c r="M269" t="n">
        <v>0</v>
      </c>
      <c r="N269" t="n">
        <v>0</v>
      </c>
      <c r="O269" t="n">
        <v>0</v>
      </c>
      <c r="P269" t="n">
        <v>0</v>
      </c>
      <c r="Q269" t="n">
        <v>0</v>
      </c>
      <c r="R269" s="2" t="inlineStr"/>
    </row>
    <row r="270" ht="15" customHeight="1">
      <c r="A270" t="inlineStr">
        <is>
          <t>A 41038-2023</t>
        </is>
      </c>
      <c r="B270" s="1" t="n">
        <v>45173.60959490741</v>
      </c>
      <c r="C270" s="1" t="n">
        <v>45911</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23188-2025</t>
        </is>
      </c>
      <c r="B271" s="1" t="n">
        <v>45791</v>
      </c>
      <c r="C271" s="1" t="n">
        <v>45911</v>
      </c>
      <c r="D271" t="inlineStr">
        <is>
          <t>GOTLANDS LÄN</t>
        </is>
      </c>
      <c r="E271" t="inlineStr">
        <is>
          <t>GOTLAND</t>
        </is>
      </c>
      <c r="G271" t="n">
        <v>6.2</v>
      </c>
      <c r="H271" t="n">
        <v>0</v>
      </c>
      <c r="I271" t="n">
        <v>0</v>
      </c>
      <c r="J271" t="n">
        <v>0</v>
      </c>
      <c r="K271" t="n">
        <v>0</v>
      </c>
      <c r="L271" t="n">
        <v>0</v>
      </c>
      <c r="M271" t="n">
        <v>0</v>
      </c>
      <c r="N271" t="n">
        <v>0</v>
      </c>
      <c r="O271" t="n">
        <v>0</v>
      </c>
      <c r="P271" t="n">
        <v>0</v>
      </c>
      <c r="Q271" t="n">
        <v>0</v>
      </c>
      <c r="R271" s="2" t="inlineStr"/>
    </row>
    <row r="272" ht="15" customHeight="1">
      <c r="A272" t="inlineStr">
        <is>
          <t>A 23473-2025</t>
        </is>
      </c>
      <c r="B272" s="1" t="n">
        <v>45792</v>
      </c>
      <c r="C272" s="1" t="n">
        <v>45911</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63516-2023</t>
        </is>
      </c>
      <c r="B273" s="1" t="n">
        <v>45274</v>
      </c>
      <c r="C273" s="1" t="n">
        <v>45911</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23856-2025</t>
        </is>
      </c>
      <c r="B274" s="1" t="n">
        <v>45793</v>
      </c>
      <c r="C274" s="1" t="n">
        <v>45911</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23700-2025</t>
        </is>
      </c>
      <c r="B275" s="1" t="n">
        <v>45793</v>
      </c>
      <c r="C275" s="1" t="n">
        <v>45911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15073-2025</t>
        </is>
      </c>
      <c r="B276" s="1" t="n">
        <v>45743</v>
      </c>
      <c r="C276" s="1" t="n">
        <v>45911</v>
      </c>
      <c r="D276" t="inlineStr">
        <is>
          <t>GOTLANDS LÄN</t>
        </is>
      </c>
      <c r="E276" t="inlineStr">
        <is>
          <t>GOTLAND</t>
        </is>
      </c>
      <c r="G276" t="n">
        <v>12.1</v>
      </c>
      <c r="H276" t="n">
        <v>0</v>
      </c>
      <c r="I276" t="n">
        <v>0</v>
      </c>
      <c r="J276" t="n">
        <v>0</v>
      </c>
      <c r="K276" t="n">
        <v>0</v>
      </c>
      <c r="L276" t="n">
        <v>0</v>
      </c>
      <c r="M276" t="n">
        <v>0</v>
      </c>
      <c r="N276" t="n">
        <v>0</v>
      </c>
      <c r="O276" t="n">
        <v>0</v>
      </c>
      <c r="P276" t="n">
        <v>0</v>
      </c>
      <c r="Q276" t="n">
        <v>0</v>
      </c>
      <c r="R276" s="2" t="inlineStr"/>
    </row>
    <row r="277" ht="15" customHeight="1">
      <c r="A277" t="inlineStr">
        <is>
          <t>A 22031-2024</t>
        </is>
      </c>
      <c r="B277" s="1" t="n">
        <v>45443.60075231481</v>
      </c>
      <c r="C277" s="1" t="n">
        <v>45911</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44204-2022</t>
        </is>
      </c>
      <c r="B278" s="1" t="n">
        <v>44839</v>
      </c>
      <c r="C278" s="1" t="n">
        <v>45911</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49314-2024</t>
        </is>
      </c>
      <c r="B279" s="1" t="n">
        <v>45595.55893518519</v>
      </c>
      <c r="C279" s="1" t="n">
        <v>45911</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34142-2024</t>
        </is>
      </c>
      <c r="B280" s="1" t="n">
        <v>45524.36521990741</v>
      </c>
      <c r="C280" s="1" t="n">
        <v>45911</v>
      </c>
      <c r="D280" t="inlineStr">
        <is>
          <t>GOTLANDS LÄN</t>
        </is>
      </c>
      <c r="E280" t="inlineStr">
        <is>
          <t>GOTLAND</t>
        </is>
      </c>
      <c r="G280" t="n">
        <v>6</v>
      </c>
      <c r="H280" t="n">
        <v>0</v>
      </c>
      <c r="I280" t="n">
        <v>0</v>
      </c>
      <c r="J280" t="n">
        <v>0</v>
      </c>
      <c r="K280" t="n">
        <v>0</v>
      </c>
      <c r="L280" t="n">
        <v>0</v>
      </c>
      <c r="M280" t="n">
        <v>0</v>
      </c>
      <c r="N280" t="n">
        <v>0</v>
      </c>
      <c r="O280" t="n">
        <v>0</v>
      </c>
      <c r="P280" t="n">
        <v>0</v>
      </c>
      <c r="Q280" t="n">
        <v>0</v>
      </c>
      <c r="R280" s="2" t="inlineStr"/>
    </row>
    <row r="281" ht="15" customHeight="1">
      <c r="A281" t="inlineStr">
        <is>
          <t>A 14427-2024</t>
        </is>
      </c>
      <c r="B281" s="1" t="n">
        <v>45394</v>
      </c>
      <c r="C281" s="1" t="n">
        <v>45911</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6749-2025</t>
        </is>
      </c>
      <c r="B282" s="1" t="n">
        <v>45700</v>
      </c>
      <c r="C282" s="1" t="n">
        <v>45911</v>
      </c>
      <c r="D282" t="inlineStr">
        <is>
          <t>GOTLANDS LÄN</t>
        </is>
      </c>
      <c r="E282" t="inlineStr">
        <is>
          <t>GOTLAND</t>
        </is>
      </c>
      <c r="G282" t="n">
        <v>4.5</v>
      </c>
      <c r="H282" t="n">
        <v>0</v>
      </c>
      <c r="I282" t="n">
        <v>0</v>
      </c>
      <c r="J282" t="n">
        <v>0</v>
      </c>
      <c r="K282" t="n">
        <v>0</v>
      </c>
      <c r="L282" t="n">
        <v>0</v>
      </c>
      <c r="M282" t="n">
        <v>0</v>
      </c>
      <c r="N282" t="n">
        <v>0</v>
      </c>
      <c r="O282" t="n">
        <v>0</v>
      </c>
      <c r="P282" t="n">
        <v>0</v>
      </c>
      <c r="Q282" t="n">
        <v>0</v>
      </c>
      <c r="R282" s="2" t="inlineStr"/>
    </row>
    <row r="283" ht="15" customHeight="1">
      <c r="A283" t="inlineStr">
        <is>
          <t>A 24001-2021</t>
        </is>
      </c>
      <c r="B283" s="1" t="n">
        <v>44335</v>
      </c>
      <c r="C283" s="1" t="n">
        <v>45911</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15075-2025</t>
        </is>
      </c>
      <c r="B284" s="1" t="n">
        <v>45743</v>
      </c>
      <c r="C284" s="1" t="n">
        <v>45911</v>
      </c>
      <c r="D284" t="inlineStr">
        <is>
          <t>GOTLANDS LÄN</t>
        </is>
      </c>
      <c r="E284" t="inlineStr">
        <is>
          <t>GOTLAND</t>
        </is>
      </c>
      <c r="G284" t="n">
        <v>20.9</v>
      </c>
      <c r="H284" t="n">
        <v>0</v>
      </c>
      <c r="I284" t="n">
        <v>0</v>
      </c>
      <c r="J284" t="n">
        <v>0</v>
      </c>
      <c r="K284" t="n">
        <v>0</v>
      </c>
      <c r="L284" t="n">
        <v>0</v>
      </c>
      <c r="M284" t="n">
        <v>0</v>
      </c>
      <c r="N284" t="n">
        <v>0</v>
      </c>
      <c r="O284" t="n">
        <v>0</v>
      </c>
      <c r="P284" t="n">
        <v>0</v>
      </c>
      <c r="Q284" t="n">
        <v>0</v>
      </c>
      <c r="R284" s="2" t="inlineStr"/>
    </row>
    <row r="285" ht="15" customHeight="1">
      <c r="A285" t="inlineStr">
        <is>
          <t>A 23698-2025</t>
        </is>
      </c>
      <c r="B285" s="1" t="n">
        <v>45793</v>
      </c>
      <c r="C285" s="1" t="n">
        <v>45911</v>
      </c>
      <c r="D285" t="inlineStr">
        <is>
          <t>GOTLANDS LÄN</t>
        </is>
      </c>
      <c r="E285" t="inlineStr">
        <is>
          <t>GOTLAND</t>
        </is>
      </c>
      <c r="G285" t="n">
        <v>0.8</v>
      </c>
      <c r="H285" t="n">
        <v>0</v>
      </c>
      <c r="I285" t="n">
        <v>0</v>
      </c>
      <c r="J285" t="n">
        <v>0</v>
      </c>
      <c r="K285" t="n">
        <v>0</v>
      </c>
      <c r="L285" t="n">
        <v>0</v>
      </c>
      <c r="M285" t="n">
        <v>0</v>
      </c>
      <c r="N285" t="n">
        <v>0</v>
      </c>
      <c r="O285" t="n">
        <v>0</v>
      </c>
      <c r="P285" t="n">
        <v>0</v>
      </c>
      <c r="Q285" t="n">
        <v>0</v>
      </c>
      <c r="R285" s="2" t="inlineStr"/>
    </row>
    <row r="286" ht="15" customHeight="1">
      <c r="A286" t="inlineStr">
        <is>
          <t>A 31802-2024</t>
        </is>
      </c>
      <c r="B286" s="1" t="n">
        <v>45509</v>
      </c>
      <c r="C286" s="1" t="n">
        <v>45911</v>
      </c>
      <c r="D286" t="inlineStr">
        <is>
          <t>GOTLANDS LÄN</t>
        </is>
      </c>
      <c r="E286" t="inlineStr">
        <is>
          <t>GOTLAND</t>
        </is>
      </c>
      <c r="G286" t="n">
        <v>2.8</v>
      </c>
      <c r="H286" t="n">
        <v>0</v>
      </c>
      <c r="I286" t="n">
        <v>0</v>
      </c>
      <c r="J286" t="n">
        <v>0</v>
      </c>
      <c r="K286" t="n">
        <v>0</v>
      </c>
      <c r="L286" t="n">
        <v>0</v>
      </c>
      <c r="M286" t="n">
        <v>0</v>
      </c>
      <c r="N286" t="n">
        <v>0</v>
      </c>
      <c r="O286" t="n">
        <v>0</v>
      </c>
      <c r="P286" t="n">
        <v>0</v>
      </c>
      <c r="Q286" t="n">
        <v>0</v>
      </c>
      <c r="R286" s="2" t="inlineStr"/>
    </row>
    <row r="287" ht="15" customHeight="1">
      <c r="A287" t="inlineStr">
        <is>
          <t>A 5462-2025</t>
        </is>
      </c>
      <c r="B287" s="1" t="n">
        <v>45693.29331018519</v>
      </c>
      <c r="C287" s="1" t="n">
        <v>45911</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8684-2025</t>
        </is>
      </c>
      <c r="B288" s="1" t="n">
        <v>45712.45605324074</v>
      </c>
      <c r="C288" s="1" t="n">
        <v>45911</v>
      </c>
      <c r="D288" t="inlineStr">
        <is>
          <t>GOTLANDS LÄN</t>
        </is>
      </c>
      <c r="E288" t="inlineStr">
        <is>
          <t>GOTLAND</t>
        </is>
      </c>
      <c r="G288" t="n">
        <v>3.5</v>
      </c>
      <c r="H288" t="n">
        <v>0</v>
      </c>
      <c r="I288" t="n">
        <v>0</v>
      </c>
      <c r="J288" t="n">
        <v>0</v>
      </c>
      <c r="K288" t="n">
        <v>0</v>
      </c>
      <c r="L288" t="n">
        <v>0</v>
      </c>
      <c r="M288" t="n">
        <v>0</v>
      </c>
      <c r="N288" t="n">
        <v>0</v>
      </c>
      <c r="O288" t="n">
        <v>0</v>
      </c>
      <c r="P288" t="n">
        <v>0</v>
      </c>
      <c r="Q288" t="n">
        <v>0</v>
      </c>
      <c r="R288" s="2" t="inlineStr"/>
    </row>
    <row r="289" ht="15" customHeight="1">
      <c r="A289" t="inlineStr">
        <is>
          <t>A 25796-2025</t>
        </is>
      </c>
      <c r="B289" s="1" t="n">
        <v>45804.39543981481</v>
      </c>
      <c r="C289" s="1" t="n">
        <v>45911</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30365-2024</t>
        </is>
      </c>
      <c r="B290" s="1" t="n">
        <v>45491.3716087963</v>
      </c>
      <c r="C290" s="1" t="n">
        <v>45911</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8036-2022</t>
        </is>
      </c>
      <c r="B291" s="1" t="n">
        <v>44609.44362268518</v>
      </c>
      <c r="C291" s="1" t="n">
        <v>45911</v>
      </c>
      <c r="D291" t="inlineStr">
        <is>
          <t>GOTLANDS LÄN</t>
        </is>
      </c>
      <c r="E291" t="inlineStr">
        <is>
          <t>GOTLAND</t>
        </is>
      </c>
      <c r="G291" t="n">
        <v>6.1</v>
      </c>
      <c r="H291" t="n">
        <v>0</v>
      </c>
      <c r="I291" t="n">
        <v>0</v>
      </c>
      <c r="J291" t="n">
        <v>0</v>
      </c>
      <c r="K291" t="n">
        <v>0</v>
      </c>
      <c r="L291" t="n">
        <v>0</v>
      </c>
      <c r="M291" t="n">
        <v>0</v>
      </c>
      <c r="N291" t="n">
        <v>0</v>
      </c>
      <c r="O291" t="n">
        <v>0</v>
      </c>
      <c r="P291" t="n">
        <v>0</v>
      </c>
      <c r="Q291" t="n">
        <v>0</v>
      </c>
      <c r="R291" s="2" t="inlineStr"/>
    </row>
    <row r="292" ht="15" customHeight="1">
      <c r="A292" t="inlineStr">
        <is>
          <t>A 12846-2025</t>
        </is>
      </c>
      <c r="B292" s="1" t="n">
        <v>45733.65049768519</v>
      </c>
      <c r="C292" s="1" t="n">
        <v>45911</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1681-2023</t>
        </is>
      </c>
      <c r="B293" s="1" t="n">
        <v>44938.39715277778</v>
      </c>
      <c r="C293" s="1" t="n">
        <v>45911</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6099-2024</t>
        </is>
      </c>
      <c r="B294" s="1" t="n">
        <v>45337</v>
      </c>
      <c r="C294" s="1" t="n">
        <v>45911</v>
      </c>
      <c r="D294" t="inlineStr">
        <is>
          <t>GOTLANDS LÄN</t>
        </is>
      </c>
      <c r="E294" t="inlineStr">
        <is>
          <t>GOTLAND</t>
        </is>
      </c>
      <c r="G294" t="n">
        <v>12.6</v>
      </c>
      <c r="H294" t="n">
        <v>0</v>
      </c>
      <c r="I294" t="n">
        <v>0</v>
      </c>
      <c r="J294" t="n">
        <v>0</v>
      </c>
      <c r="K294" t="n">
        <v>0</v>
      </c>
      <c r="L294" t="n">
        <v>0</v>
      </c>
      <c r="M294" t="n">
        <v>0</v>
      </c>
      <c r="N294" t="n">
        <v>0</v>
      </c>
      <c r="O294" t="n">
        <v>0</v>
      </c>
      <c r="P294" t="n">
        <v>0</v>
      </c>
      <c r="Q294" t="n">
        <v>0</v>
      </c>
      <c r="R294" s="2" t="inlineStr"/>
    </row>
    <row r="295" ht="15" customHeight="1">
      <c r="A295" t="inlineStr">
        <is>
          <t>A 46949-2024</t>
        </is>
      </c>
      <c r="B295" s="1" t="n">
        <v>45585</v>
      </c>
      <c r="C295" s="1" t="n">
        <v>45911</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1273-2023</t>
        </is>
      </c>
      <c r="B296" s="1" t="n">
        <v>44936</v>
      </c>
      <c r="C296" s="1" t="n">
        <v>45911</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10650-2022</t>
        </is>
      </c>
      <c r="B297" s="1" t="n">
        <v>44624.57945601852</v>
      </c>
      <c r="C297" s="1" t="n">
        <v>45911</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58780-2024</t>
        </is>
      </c>
      <c r="B298" s="1" t="n">
        <v>45635.84113425926</v>
      </c>
      <c r="C298" s="1" t="n">
        <v>45911</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26391-2025</t>
        </is>
      </c>
      <c r="B299" s="1" t="n">
        <v>45806</v>
      </c>
      <c r="C299" s="1" t="n">
        <v>45911</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45692-2023</t>
        </is>
      </c>
      <c r="B300" s="1" t="n">
        <v>45195</v>
      </c>
      <c r="C300" s="1" t="n">
        <v>45911</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33876-2024</t>
        </is>
      </c>
      <c r="B301" s="1" t="n">
        <v>45521.87988425926</v>
      </c>
      <c r="C301" s="1" t="n">
        <v>45911</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46778-2020</t>
        </is>
      </c>
      <c r="B302" s="1" t="n">
        <v>44096</v>
      </c>
      <c r="C302" s="1" t="n">
        <v>45911</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28285-2024</t>
        </is>
      </c>
      <c r="B303" s="1" t="n">
        <v>45477</v>
      </c>
      <c r="C303" s="1" t="n">
        <v>45911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61100-2022</t>
        </is>
      </c>
      <c r="B304" s="1" t="n">
        <v>44915</v>
      </c>
      <c r="C304" s="1" t="n">
        <v>45911</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61682-2024</t>
        </is>
      </c>
      <c r="B305" s="1" t="n">
        <v>45647.48824074074</v>
      </c>
      <c r="C305" s="1" t="n">
        <v>45911</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11634-2024</t>
        </is>
      </c>
      <c r="B306" s="1" t="n">
        <v>45373</v>
      </c>
      <c r="C306" s="1" t="n">
        <v>45911</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1351-2025</t>
        </is>
      </c>
      <c r="B307" s="1" t="n">
        <v>45667.62246527777</v>
      </c>
      <c r="C307" s="1" t="n">
        <v>45911</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39496-2022</t>
        </is>
      </c>
      <c r="B308" s="1" t="n">
        <v>44818</v>
      </c>
      <c r="C308" s="1" t="n">
        <v>45911</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26457-2025</t>
        </is>
      </c>
      <c r="B309" s="1" t="n">
        <v>45807.42773148148</v>
      </c>
      <c r="C309" s="1" t="n">
        <v>45911</v>
      </c>
      <c r="D309" t="inlineStr">
        <is>
          <t>GOTLANDS LÄN</t>
        </is>
      </c>
      <c r="E309" t="inlineStr">
        <is>
          <t>GOTLAND</t>
        </is>
      </c>
      <c r="G309" t="n">
        <v>5.7</v>
      </c>
      <c r="H309" t="n">
        <v>0</v>
      </c>
      <c r="I309" t="n">
        <v>0</v>
      </c>
      <c r="J309" t="n">
        <v>0</v>
      </c>
      <c r="K309" t="n">
        <v>0</v>
      </c>
      <c r="L309" t="n">
        <v>0</v>
      </c>
      <c r="M309" t="n">
        <v>0</v>
      </c>
      <c r="N309" t="n">
        <v>0</v>
      </c>
      <c r="O309" t="n">
        <v>0</v>
      </c>
      <c r="P309" t="n">
        <v>0</v>
      </c>
      <c r="Q309" t="n">
        <v>0</v>
      </c>
      <c r="R309" s="2" t="inlineStr"/>
    </row>
    <row r="310" ht="15" customHeight="1">
      <c r="A310" t="inlineStr">
        <is>
          <t>A 26467-2025</t>
        </is>
      </c>
      <c r="B310" s="1" t="n">
        <v>45807.44640046296</v>
      </c>
      <c r="C310" s="1" t="n">
        <v>45911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43785-2024</t>
        </is>
      </c>
      <c r="B311" s="1" t="n">
        <v>45570</v>
      </c>
      <c r="C311" s="1" t="n">
        <v>45911</v>
      </c>
      <c r="D311" t="inlineStr">
        <is>
          <t>GOTLANDS LÄN</t>
        </is>
      </c>
      <c r="E311" t="inlineStr">
        <is>
          <t>GOTLAND</t>
        </is>
      </c>
      <c r="G311" t="n">
        <v>12.6</v>
      </c>
      <c r="H311" t="n">
        <v>0</v>
      </c>
      <c r="I311" t="n">
        <v>0</v>
      </c>
      <c r="J311" t="n">
        <v>0</v>
      </c>
      <c r="K311" t="n">
        <v>0</v>
      </c>
      <c r="L311" t="n">
        <v>0</v>
      </c>
      <c r="M311" t="n">
        <v>0</v>
      </c>
      <c r="N311" t="n">
        <v>0</v>
      </c>
      <c r="O311" t="n">
        <v>0</v>
      </c>
      <c r="P311" t="n">
        <v>0</v>
      </c>
      <c r="Q311" t="n">
        <v>0</v>
      </c>
      <c r="R311" s="2" t="inlineStr"/>
    </row>
    <row r="312" ht="15" customHeight="1">
      <c r="A312" t="inlineStr">
        <is>
          <t>A 49874-2024</t>
        </is>
      </c>
      <c r="B312" s="1" t="n">
        <v>45597.49274305555</v>
      </c>
      <c r="C312" s="1" t="n">
        <v>45911</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26465-2025</t>
        </is>
      </c>
      <c r="B313" s="1" t="n">
        <v>45807.44377314814</v>
      </c>
      <c r="C313" s="1" t="n">
        <v>45911</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42201-2023</t>
        </is>
      </c>
      <c r="B314" s="1" t="n">
        <v>45179</v>
      </c>
      <c r="C314" s="1" t="n">
        <v>45911</v>
      </c>
      <c r="D314" t="inlineStr">
        <is>
          <t>GOTLANDS LÄN</t>
        </is>
      </c>
      <c r="E314" t="inlineStr">
        <is>
          <t>GOTLAND</t>
        </is>
      </c>
      <c r="G314" t="n">
        <v>11.9</v>
      </c>
      <c r="H314" t="n">
        <v>0</v>
      </c>
      <c r="I314" t="n">
        <v>0</v>
      </c>
      <c r="J314" t="n">
        <v>0</v>
      </c>
      <c r="K314" t="n">
        <v>0</v>
      </c>
      <c r="L314" t="n">
        <v>0</v>
      </c>
      <c r="M314" t="n">
        <v>0</v>
      </c>
      <c r="N314" t="n">
        <v>0</v>
      </c>
      <c r="O314" t="n">
        <v>0</v>
      </c>
      <c r="P314" t="n">
        <v>0</v>
      </c>
      <c r="Q314" t="n">
        <v>0</v>
      </c>
      <c r="R314" s="2" t="inlineStr"/>
    </row>
    <row r="315" ht="15" customHeight="1">
      <c r="A315" t="inlineStr">
        <is>
          <t>A 46400-2023</t>
        </is>
      </c>
      <c r="B315" s="1" t="n">
        <v>45197.49290509259</v>
      </c>
      <c r="C315" s="1" t="n">
        <v>45911</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26660-2025</t>
        </is>
      </c>
      <c r="B316" s="1" t="n">
        <v>45810.39737268518</v>
      </c>
      <c r="C316" s="1" t="n">
        <v>45911</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9875-2025</t>
        </is>
      </c>
      <c r="B317" s="1" t="n">
        <v>45716</v>
      </c>
      <c r="C317" s="1" t="n">
        <v>45911</v>
      </c>
      <c r="D317" t="inlineStr">
        <is>
          <t>GOTLANDS LÄN</t>
        </is>
      </c>
      <c r="E317" t="inlineStr">
        <is>
          <t>GOTLAND</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19002-2025</t>
        </is>
      </c>
      <c r="B318" s="1" t="n">
        <v>45764</v>
      </c>
      <c r="C318" s="1" t="n">
        <v>45911</v>
      </c>
      <c r="D318" t="inlineStr">
        <is>
          <t>GOTLANDS LÄN</t>
        </is>
      </c>
      <c r="E318" t="inlineStr">
        <is>
          <t>GOTLAND</t>
        </is>
      </c>
      <c r="G318" t="n">
        <v>2.1</v>
      </c>
      <c r="H318" t="n">
        <v>0</v>
      </c>
      <c r="I318" t="n">
        <v>0</v>
      </c>
      <c r="J318" t="n">
        <v>0</v>
      </c>
      <c r="K318" t="n">
        <v>0</v>
      </c>
      <c r="L318" t="n">
        <v>0</v>
      </c>
      <c r="M318" t="n">
        <v>0</v>
      </c>
      <c r="N318" t="n">
        <v>0</v>
      </c>
      <c r="O318" t="n">
        <v>0</v>
      </c>
      <c r="P318" t="n">
        <v>0</v>
      </c>
      <c r="Q318" t="n">
        <v>0</v>
      </c>
      <c r="R318" s="2" t="inlineStr"/>
    </row>
    <row r="319" ht="15" customHeight="1">
      <c r="A319" t="inlineStr">
        <is>
          <t>A 58388-2022</t>
        </is>
      </c>
      <c r="B319" s="1" t="n">
        <v>44894</v>
      </c>
      <c r="C319" s="1" t="n">
        <v>45911</v>
      </c>
      <c r="D319" t="inlineStr">
        <is>
          <t>GOTLANDS LÄN</t>
        </is>
      </c>
      <c r="E319" t="inlineStr">
        <is>
          <t>GOTLAND</t>
        </is>
      </c>
      <c r="F319" t="inlineStr">
        <is>
          <t>Övriga statliga verk och myndigheter</t>
        </is>
      </c>
      <c r="G319" t="n">
        <v>3.1</v>
      </c>
      <c r="H319" t="n">
        <v>0</v>
      </c>
      <c r="I319" t="n">
        <v>0</v>
      </c>
      <c r="J319" t="n">
        <v>0</v>
      </c>
      <c r="K319" t="n">
        <v>0</v>
      </c>
      <c r="L319" t="n">
        <v>0</v>
      </c>
      <c r="M319" t="n">
        <v>0</v>
      </c>
      <c r="N319" t="n">
        <v>0</v>
      </c>
      <c r="O319" t="n">
        <v>0</v>
      </c>
      <c r="P319" t="n">
        <v>0</v>
      </c>
      <c r="Q319" t="n">
        <v>0</v>
      </c>
      <c r="R319" s="2" t="inlineStr"/>
    </row>
    <row r="320" ht="15" customHeight="1">
      <c r="A320" t="inlineStr">
        <is>
          <t>A 21164-2024</t>
        </is>
      </c>
      <c r="B320" s="1" t="n">
        <v>45440</v>
      </c>
      <c r="C320" s="1" t="n">
        <v>45911</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27348-2025</t>
        </is>
      </c>
      <c r="B321" s="1" t="n">
        <v>45812.62451388889</v>
      </c>
      <c r="C321" s="1" t="n">
        <v>45911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8045-2022</t>
        </is>
      </c>
      <c r="B322" s="1" t="n">
        <v>44609</v>
      </c>
      <c r="C322" s="1" t="n">
        <v>45911</v>
      </c>
      <c r="D322" t="inlineStr">
        <is>
          <t>GOTLANDS LÄN</t>
        </is>
      </c>
      <c r="E322" t="inlineStr">
        <is>
          <t>GOTLAND</t>
        </is>
      </c>
      <c r="G322" t="n">
        <v>7</v>
      </c>
      <c r="H322" t="n">
        <v>0</v>
      </c>
      <c r="I322" t="n">
        <v>0</v>
      </c>
      <c r="J322" t="n">
        <v>0</v>
      </c>
      <c r="K322" t="n">
        <v>0</v>
      </c>
      <c r="L322" t="n">
        <v>0</v>
      </c>
      <c r="M322" t="n">
        <v>0</v>
      </c>
      <c r="N322" t="n">
        <v>0</v>
      </c>
      <c r="O322" t="n">
        <v>0</v>
      </c>
      <c r="P322" t="n">
        <v>0</v>
      </c>
      <c r="Q322" t="n">
        <v>0</v>
      </c>
      <c r="R322" s="2" t="inlineStr"/>
    </row>
    <row r="323" ht="15" customHeight="1">
      <c r="A323" t="inlineStr">
        <is>
          <t>A 21792-2024</t>
        </is>
      </c>
      <c r="B323" s="1" t="n">
        <v>45442.64326388889</v>
      </c>
      <c r="C323" s="1" t="n">
        <v>45911</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18993-2025</t>
        </is>
      </c>
      <c r="B324" s="1" t="n">
        <v>45764</v>
      </c>
      <c r="C324" s="1" t="n">
        <v>45911</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27371-2025</t>
        </is>
      </c>
      <c r="B325" s="1" t="n">
        <v>45812</v>
      </c>
      <c r="C325" s="1" t="n">
        <v>45911</v>
      </c>
      <c r="D325" t="inlineStr">
        <is>
          <t>GOTLANDS LÄN</t>
        </is>
      </c>
      <c r="E325" t="inlineStr">
        <is>
          <t>GOTLAND</t>
        </is>
      </c>
      <c r="G325" t="n">
        <v>8</v>
      </c>
      <c r="H325" t="n">
        <v>0</v>
      </c>
      <c r="I325" t="n">
        <v>0</v>
      </c>
      <c r="J325" t="n">
        <v>0</v>
      </c>
      <c r="K325" t="n">
        <v>0</v>
      </c>
      <c r="L325" t="n">
        <v>0</v>
      </c>
      <c r="M325" t="n">
        <v>0</v>
      </c>
      <c r="N325" t="n">
        <v>0</v>
      </c>
      <c r="O325" t="n">
        <v>0</v>
      </c>
      <c r="P325" t="n">
        <v>0</v>
      </c>
      <c r="Q325" t="n">
        <v>0</v>
      </c>
      <c r="R325" s="2" t="inlineStr"/>
    </row>
    <row r="326" ht="15" customHeight="1">
      <c r="A326" t="inlineStr">
        <is>
          <t>A 22897-2023</t>
        </is>
      </c>
      <c r="B326" s="1" t="n">
        <v>45072.55239583334</v>
      </c>
      <c r="C326" s="1" t="n">
        <v>45911</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27355-2025</t>
        </is>
      </c>
      <c r="B327" s="1" t="n">
        <v>45812</v>
      </c>
      <c r="C327" s="1" t="n">
        <v>45911</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17688-2024</t>
        </is>
      </c>
      <c r="B328" s="1" t="n">
        <v>45418.43575231481</v>
      </c>
      <c r="C328" s="1" t="n">
        <v>45911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7837-2024</t>
        </is>
      </c>
      <c r="B329" s="1" t="n">
        <v>45349.83787037037</v>
      </c>
      <c r="C329" s="1" t="n">
        <v>45911</v>
      </c>
      <c r="D329" t="inlineStr">
        <is>
          <t>GOTLANDS LÄN</t>
        </is>
      </c>
      <c r="E329" t="inlineStr">
        <is>
          <t>GOTLAND</t>
        </is>
      </c>
      <c r="G329" t="n">
        <v>5</v>
      </c>
      <c r="H329" t="n">
        <v>0</v>
      </c>
      <c r="I329" t="n">
        <v>0</v>
      </c>
      <c r="J329" t="n">
        <v>0</v>
      </c>
      <c r="K329" t="n">
        <v>0</v>
      </c>
      <c r="L329" t="n">
        <v>0</v>
      </c>
      <c r="M329" t="n">
        <v>0</v>
      </c>
      <c r="N329" t="n">
        <v>0</v>
      </c>
      <c r="O329" t="n">
        <v>0</v>
      </c>
      <c r="P329" t="n">
        <v>0</v>
      </c>
      <c r="Q329" t="n">
        <v>0</v>
      </c>
      <c r="R329" s="2" t="inlineStr"/>
    </row>
    <row r="330" ht="15" customHeight="1">
      <c r="A330" t="inlineStr">
        <is>
          <t>A 6739-2025</t>
        </is>
      </c>
      <c r="B330" s="1" t="n">
        <v>45700</v>
      </c>
      <c r="C330" s="1" t="n">
        <v>45911</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7850-2025</t>
        </is>
      </c>
      <c r="B331" s="1" t="n">
        <v>45706</v>
      </c>
      <c r="C331" s="1" t="n">
        <v>45911</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61897-2024</t>
        </is>
      </c>
      <c r="B332" s="1" t="n">
        <v>45652.75685185185</v>
      </c>
      <c r="C332" s="1" t="n">
        <v>45911</v>
      </c>
      <c r="D332" t="inlineStr">
        <is>
          <t>GOTLANDS LÄN</t>
        </is>
      </c>
      <c r="E332" t="inlineStr">
        <is>
          <t>GOTLAND</t>
        </is>
      </c>
      <c r="G332" t="n">
        <v>6.4</v>
      </c>
      <c r="H332" t="n">
        <v>0</v>
      </c>
      <c r="I332" t="n">
        <v>0</v>
      </c>
      <c r="J332" t="n">
        <v>0</v>
      </c>
      <c r="K332" t="n">
        <v>0</v>
      </c>
      <c r="L332" t="n">
        <v>0</v>
      </c>
      <c r="M332" t="n">
        <v>0</v>
      </c>
      <c r="N332" t="n">
        <v>0</v>
      </c>
      <c r="O332" t="n">
        <v>0</v>
      </c>
      <c r="P332" t="n">
        <v>0</v>
      </c>
      <c r="Q332" t="n">
        <v>0</v>
      </c>
      <c r="R332" s="2" t="inlineStr"/>
    </row>
    <row r="333" ht="15" customHeight="1">
      <c r="A333" t="inlineStr">
        <is>
          <t>A 49962-2023</t>
        </is>
      </c>
      <c r="B333" s="1" t="n">
        <v>45215.38775462963</v>
      </c>
      <c r="C333" s="1" t="n">
        <v>45911</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4568-2025</t>
        </is>
      </c>
      <c r="B334" s="1" t="n">
        <v>45687</v>
      </c>
      <c r="C334" s="1" t="n">
        <v>45911</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8444-2025</t>
        </is>
      </c>
      <c r="B335" s="1" t="n">
        <v>45709</v>
      </c>
      <c r="C335" s="1" t="n">
        <v>45911</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20165-2022</t>
        </is>
      </c>
      <c r="B336" s="1" t="n">
        <v>44698.49854166667</v>
      </c>
      <c r="C336" s="1" t="n">
        <v>45911</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45911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12032-2025</t>
        </is>
      </c>
      <c r="B338" s="1" t="n">
        <v>45728.64472222222</v>
      </c>
      <c r="C338" s="1" t="n">
        <v>45911</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35512-2023</t>
        </is>
      </c>
      <c r="B339" s="1" t="n">
        <v>45147.25623842593</v>
      </c>
      <c r="C339" s="1" t="n">
        <v>45911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38787-2023</t>
        </is>
      </c>
      <c r="B340" s="1" t="n">
        <v>45163</v>
      </c>
      <c r="C340" s="1" t="n">
        <v>45911</v>
      </c>
      <c r="D340" t="inlineStr">
        <is>
          <t>GOTLANDS LÄN</t>
        </is>
      </c>
      <c r="E340" t="inlineStr">
        <is>
          <t>GOTLAND</t>
        </is>
      </c>
      <c r="G340" t="n">
        <v>0.4</v>
      </c>
      <c r="H340" t="n">
        <v>0</v>
      </c>
      <c r="I340" t="n">
        <v>0</v>
      </c>
      <c r="J340" t="n">
        <v>0</v>
      </c>
      <c r="K340" t="n">
        <v>0</v>
      </c>
      <c r="L340" t="n">
        <v>0</v>
      </c>
      <c r="M340" t="n">
        <v>0</v>
      </c>
      <c r="N340" t="n">
        <v>0</v>
      </c>
      <c r="O340" t="n">
        <v>0</v>
      </c>
      <c r="P340" t="n">
        <v>0</v>
      </c>
      <c r="Q340" t="n">
        <v>0</v>
      </c>
      <c r="R340" s="2" t="inlineStr"/>
    </row>
    <row r="341" ht="15" customHeight="1">
      <c r="A341" t="inlineStr">
        <is>
          <t>A 5905-2024</t>
        </is>
      </c>
      <c r="B341" s="1" t="n">
        <v>45335.88993055555</v>
      </c>
      <c r="C341" s="1" t="n">
        <v>45911</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20307-2025</t>
        </is>
      </c>
      <c r="B342" s="1" t="n">
        <v>45774.95546296296</v>
      </c>
      <c r="C342" s="1" t="n">
        <v>45911</v>
      </c>
      <c r="D342" t="inlineStr">
        <is>
          <t>GOTLANDS LÄN</t>
        </is>
      </c>
      <c r="E342" t="inlineStr">
        <is>
          <t>GOTLAND</t>
        </is>
      </c>
      <c r="G342" t="n">
        <v>6.8</v>
      </c>
      <c r="H342" t="n">
        <v>0</v>
      </c>
      <c r="I342" t="n">
        <v>0</v>
      </c>
      <c r="J342" t="n">
        <v>0</v>
      </c>
      <c r="K342" t="n">
        <v>0</v>
      </c>
      <c r="L342" t="n">
        <v>0</v>
      </c>
      <c r="M342" t="n">
        <v>0</v>
      </c>
      <c r="N342" t="n">
        <v>0</v>
      </c>
      <c r="O342" t="n">
        <v>0</v>
      </c>
      <c r="P342" t="n">
        <v>0</v>
      </c>
      <c r="Q342" t="n">
        <v>0</v>
      </c>
      <c r="R342" s="2" t="inlineStr"/>
    </row>
    <row r="343" ht="15" customHeight="1">
      <c r="A343" t="inlineStr">
        <is>
          <t>A 1291-2023</t>
        </is>
      </c>
      <c r="B343" s="1" t="n">
        <v>44936.47561342592</v>
      </c>
      <c r="C343" s="1" t="n">
        <v>45911</v>
      </c>
      <c r="D343" t="inlineStr">
        <is>
          <t>GOTLANDS LÄN</t>
        </is>
      </c>
      <c r="E343" t="inlineStr">
        <is>
          <t>GOTLAND</t>
        </is>
      </c>
      <c r="G343" t="n">
        <v>7.4</v>
      </c>
      <c r="H343" t="n">
        <v>0</v>
      </c>
      <c r="I343" t="n">
        <v>0</v>
      </c>
      <c r="J343" t="n">
        <v>0</v>
      </c>
      <c r="K343" t="n">
        <v>0</v>
      </c>
      <c r="L343" t="n">
        <v>0</v>
      </c>
      <c r="M343" t="n">
        <v>0</v>
      </c>
      <c r="N343" t="n">
        <v>0</v>
      </c>
      <c r="O343" t="n">
        <v>0</v>
      </c>
      <c r="P343" t="n">
        <v>0</v>
      </c>
      <c r="Q343" t="n">
        <v>0</v>
      </c>
      <c r="R343" s="2" t="inlineStr"/>
    </row>
    <row r="344" ht="15" customHeight="1">
      <c r="A344" t="inlineStr">
        <is>
          <t>A 43231-2023</t>
        </is>
      </c>
      <c r="B344" s="1" t="n">
        <v>45183.47025462963</v>
      </c>
      <c r="C344" s="1" t="n">
        <v>45911</v>
      </c>
      <c r="D344" t="inlineStr">
        <is>
          <t>GOTLANDS LÄN</t>
        </is>
      </c>
      <c r="E344" t="inlineStr">
        <is>
          <t>GOTLAND</t>
        </is>
      </c>
      <c r="G344" t="n">
        <v>3.6</v>
      </c>
      <c r="H344" t="n">
        <v>0</v>
      </c>
      <c r="I344" t="n">
        <v>0</v>
      </c>
      <c r="J344" t="n">
        <v>0</v>
      </c>
      <c r="K344" t="n">
        <v>0</v>
      </c>
      <c r="L344" t="n">
        <v>0</v>
      </c>
      <c r="M344" t="n">
        <v>0</v>
      </c>
      <c r="N344" t="n">
        <v>0</v>
      </c>
      <c r="O344" t="n">
        <v>0</v>
      </c>
      <c r="P344" t="n">
        <v>0</v>
      </c>
      <c r="Q344" t="n">
        <v>0</v>
      </c>
      <c r="R344" s="2" t="inlineStr"/>
    </row>
    <row r="345" ht="15" customHeight="1">
      <c r="A345" t="inlineStr">
        <is>
          <t>A 57652-2023</t>
        </is>
      </c>
      <c r="B345" s="1" t="n">
        <v>45246</v>
      </c>
      <c r="C345" s="1" t="n">
        <v>45911</v>
      </c>
      <c r="D345" t="inlineStr">
        <is>
          <t>GOTLANDS LÄN</t>
        </is>
      </c>
      <c r="E345" t="inlineStr">
        <is>
          <t>GOTLAND</t>
        </is>
      </c>
      <c r="G345" t="n">
        <v>7.2</v>
      </c>
      <c r="H345" t="n">
        <v>0</v>
      </c>
      <c r="I345" t="n">
        <v>0</v>
      </c>
      <c r="J345" t="n">
        <v>0</v>
      </c>
      <c r="K345" t="n">
        <v>0</v>
      </c>
      <c r="L345" t="n">
        <v>0</v>
      </c>
      <c r="M345" t="n">
        <v>0</v>
      </c>
      <c r="N345" t="n">
        <v>0</v>
      </c>
      <c r="O345" t="n">
        <v>0</v>
      </c>
      <c r="P345" t="n">
        <v>0</v>
      </c>
      <c r="Q345" t="n">
        <v>0</v>
      </c>
      <c r="R345" s="2" t="inlineStr"/>
    </row>
    <row r="346" ht="15" customHeight="1">
      <c r="A346" t="inlineStr">
        <is>
          <t>A 19905-2025</t>
        </is>
      </c>
      <c r="B346" s="1" t="n">
        <v>45771</v>
      </c>
      <c r="C346" s="1" t="n">
        <v>45911</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17532-2024</t>
        </is>
      </c>
      <c r="B347" s="1" t="n">
        <v>45415</v>
      </c>
      <c r="C347" s="1" t="n">
        <v>45911</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29196-2025</t>
        </is>
      </c>
      <c r="B348" s="1" t="n">
        <v>45822</v>
      </c>
      <c r="C348" s="1" t="n">
        <v>45911</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3935-2025</t>
        </is>
      </c>
      <c r="B349" s="1" t="n">
        <v>45684.46070601852</v>
      </c>
      <c r="C349" s="1" t="n">
        <v>45911</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29207-2025</t>
        </is>
      </c>
      <c r="B350" s="1" t="n">
        <v>45823</v>
      </c>
      <c r="C350" s="1" t="n">
        <v>45911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49315-2024</t>
        </is>
      </c>
      <c r="B351" s="1" t="n">
        <v>45595</v>
      </c>
      <c r="C351" s="1" t="n">
        <v>45911</v>
      </c>
      <c r="D351" t="inlineStr">
        <is>
          <t>GOTLANDS LÄN</t>
        </is>
      </c>
      <c r="E351" t="inlineStr">
        <is>
          <t>GOTLAND</t>
        </is>
      </c>
      <c r="G351" t="n">
        <v>1.5</v>
      </c>
      <c r="H351" t="n">
        <v>0</v>
      </c>
      <c r="I351" t="n">
        <v>0</v>
      </c>
      <c r="J351" t="n">
        <v>0</v>
      </c>
      <c r="K351" t="n">
        <v>0</v>
      </c>
      <c r="L351" t="n">
        <v>0</v>
      </c>
      <c r="M351" t="n">
        <v>0</v>
      </c>
      <c r="N351" t="n">
        <v>0</v>
      </c>
      <c r="O351" t="n">
        <v>0</v>
      </c>
      <c r="P351" t="n">
        <v>0</v>
      </c>
      <c r="Q351" t="n">
        <v>0</v>
      </c>
      <c r="R351" s="2" t="inlineStr"/>
    </row>
    <row r="352" ht="15" customHeight="1">
      <c r="A352" t="inlineStr">
        <is>
          <t>A 45106-2024</t>
        </is>
      </c>
      <c r="B352" s="1" t="n">
        <v>45575</v>
      </c>
      <c r="C352" s="1" t="n">
        <v>45911</v>
      </c>
      <c r="D352" t="inlineStr">
        <is>
          <t>GOTLANDS LÄN</t>
        </is>
      </c>
      <c r="E352" t="inlineStr">
        <is>
          <t>GOTLAND</t>
        </is>
      </c>
      <c r="G352" t="n">
        <v>10</v>
      </c>
      <c r="H352" t="n">
        <v>0</v>
      </c>
      <c r="I352" t="n">
        <v>0</v>
      </c>
      <c r="J352" t="n">
        <v>0</v>
      </c>
      <c r="K352" t="n">
        <v>0</v>
      </c>
      <c r="L352" t="n">
        <v>0</v>
      </c>
      <c r="M352" t="n">
        <v>0</v>
      </c>
      <c r="N352" t="n">
        <v>0</v>
      </c>
      <c r="O352" t="n">
        <v>0</v>
      </c>
      <c r="P352" t="n">
        <v>0</v>
      </c>
      <c r="Q352" t="n">
        <v>0</v>
      </c>
      <c r="R352" s="2" t="inlineStr"/>
    </row>
    <row r="353" ht="15" customHeight="1">
      <c r="A353" t="inlineStr">
        <is>
          <t>A 45112-2024</t>
        </is>
      </c>
      <c r="B353" s="1" t="n">
        <v>45575</v>
      </c>
      <c r="C353" s="1" t="n">
        <v>45911</v>
      </c>
      <c r="D353" t="inlineStr">
        <is>
          <t>GOTLANDS LÄN</t>
        </is>
      </c>
      <c r="E353" t="inlineStr">
        <is>
          <t>GOTLAND</t>
        </is>
      </c>
      <c r="G353" t="n">
        <v>5.1</v>
      </c>
      <c r="H353" t="n">
        <v>0</v>
      </c>
      <c r="I353" t="n">
        <v>0</v>
      </c>
      <c r="J353" t="n">
        <v>0</v>
      </c>
      <c r="K353" t="n">
        <v>0</v>
      </c>
      <c r="L353" t="n">
        <v>0</v>
      </c>
      <c r="M353" t="n">
        <v>0</v>
      </c>
      <c r="N353" t="n">
        <v>0</v>
      </c>
      <c r="O353" t="n">
        <v>0</v>
      </c>
      <c r="P353" t="n">
        <v>0</v>
      </c>
      <c r="Q353" t="n">
        <v>0</v>
      </c>
      <c r="R353" s="2" t="inlineStr"/>
    </row>
    <row r="354" ht="15" customHeight="1">
      <c r="A354" t="inlineStr">
        <is>
          <t>A 2676-2023</t>
        </is>
      </c>
      <c r="B354" s="1" t="n">
        <v>44944</v>
      </c>
      <c r="C354" s="1" t="n">
        <v>45911</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20225-2025</t>
        </is>
      </c>
      <c r="B355" s="1" t="n">
        <v>45772.65802083333</v>
      </c>
      <c r="C355" s="1" t="n">
        <v>45911</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883-2025</t>
        </is>
      </c>
      <c r="B356" s="1" t="n">
        <v>45665</v>
      </c>
      <c r="C356" s="1" t="n">
        <v>45911</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18938-2025</t>
        </is>
      </c>
      <c r="B357" s="1" t="n">
        <v>45764.49172453704</v>
      </c>
      <c r="C357" s="1" t="n">
        <v>45911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30157-2025</t>
        </is>
      </c>
      <c r="B358" s="1" t="n">
        <v>45826</v>
      </c>
      <c r="C358" s="1" t="n">
        <v>45911</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3150-2025</t>
        </is>
      </c>
      <c r="B359" s="1" t="n">
        <v>45679.28974537037</v>
      </c>
      <c r="C359" s="1" t="n">
        <v>45911</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30061-2025</t>
        </is>
      </c>
      <c r="B360" s="1" t="n">
        <v>45826.61488425926</v>
      </c>
      <c r="C360" s="1" t="n">
        <v>45911</v>
      </c>
      <c r="D360" t="inlineStr">
        <is>
          <t>GOTLANDS LÄN</t>
        </is>
      </c>
      <c r="E360" t="inlineStr">
        <is>
          <t>GOTLAND</t>
        </is>
      </c>
      <c r="G360" t="n">
        <v>4.1</v>
      </c>
      <c r="H360" t="n">
        <v>0</v>
      </c>
      <c r="I360" t="n">
        <v>0</v>
      </c>
      <c r="J360" t="n">
        <v>0</v>
      </c>
      <c r="K360" t="n">
        <v>0</v>
      </c>
      <c r="L360" t="n">
        <v>0</v>
      </c>
      <c r="M360" t="n">
        <v>0</v>
      </c>
      <c r="N360" t="n">
        <v>0</v>
      </c>
      <c r="O360" t="n">
        <v>0</v>
      </c>
      <c r="P360" t="n">
        <v>0</v>
      </c>
      <c r="Q360" t="n">
        <v>0</v>
      </c>
      <c r="R360" s="2" t="inlineStr"/>
    </row>
    <row r="361" ht="15" customHeight="1">
      <c r="A361" t="inlineStr">
        <is>
          <t>A 8484-2025</t>
        </is>
      </c>
      <c r="B361" s="1" t="n">
        <v>45709</v>
      </c>
      <c r="C361" s="1" t="n">
        <v>45911</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7635-2025</t>
        </is>
      </c>
      <c r="B362" s="1" t="n">
        <v>45705</v>
      </c>
      <c r="C362" s="1" t="n">
        <v>45911</v>
      </c>
      <c r="D362" t="inlineStr">
        <is>
          <t>GOTLANDS LÄN</t>
        </is>
      </c>
      <c r="E362" t="inlineStr">
        <is>
          <t>GOTLAND</t>
        </is>
      </c>
      <c r="G362" t="n">
        <v>0.9</v>
      </c>
      <c r="H362" t="n">
        <v>0</v>
      </c>
      <c r="I362" t="n">
        <v>0</v>
      </c>
      <c r="J362" t="n">
        <v>0</v>
      </c>
      <c r="K362" t="n">
        <v>0</v>
      </c>
      <c r="L362" t="n">
        <v>0</v>
      </c>
      <c r="M362" t="n">
        <v>0</v>
      </c>
      <c r="N362" t="n">
        <v>0</v>
      </c>
      <c r="O362" t="n">
        <v>0</v>
      </c>
      <c r="P362" t="n">
        <v>0</v>
      </c>
      <c r="Q362" t="n">
        <v>0</v>
      </c>
      <c r="R362" s="2" t="inlineStr"/>
    </row>
    <row r="363" ht="15" customHeight="1">
      <c r="A363" t="inlineStr">
        <is>
          <t>A 7636-2025</t>
        </is>
      </c>
      <c r="B363" s="1" t="n">
        <v>45705.7687962963</v>
      </c>
      <c r="C363" s="1" t="n">
        <v>45911</v>
      </c>
      <c r="D363" t="inlineStr">
        <is>
          <t>GOTLANDS LÄN</t>
        </is>
      </c>
      <c r="E363" t="inlineStr">
        <is>
          <t>GOTLAND</t>
        </is>
      </c>
      <c r="G363" t="n">
        <v>0.6</v>
      </c>
      <c r="H363" t="n">
        <v>0</v>
      </c>
      <c r="I363" t="n">
        <v>0</v>
      </c>
      <c r="J363" t="n">
        <v>0</v>
      </c>
      <c r="K363" t="n">
        <v>0</v>
      </c>
      <c r="L363" t="n">
        <v>0</v>
      </c>
      <c r="M363" t="n">
        <v>0</v>
      </c>
      <c r="N363" t="n">
        <v>0</v>
      </c>
      <c r="O363" t="n">
        <v>0</v>
      </c>
      <c r="P363" t="n">
        <v>0</v>
      </c>
      <c r="Q363" t="n">
        <v>0</v>
      </c>
      <c r="R363" s="2" t="inlineStr"/>
    </row>
    <row r="364" ht="15" customHeight="1">
      <c r="A364" t="inlineStr">
        <is>
          <t>A 7639-2025</t>
        </is>
      </c>
      <c r="B364" s="1" t="n">
        <v>45705.77465277778</v>
      </c>
      <c r="C364" s="1" t="n">
        <v>45911</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1066-2024</t>
        </is>
      </c>
      <c r="B365" s="1" t="n">
        <v>45302.285</v>
      </c>
      <c r="C365" s="1" t="n">
        <v>45911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20356-2022</t>
        </is>
      </c>
      <c r="B366" s="1" t="n">
        <v>44699</v>
      </c>
      <c r="C366" s="1" t="n">
        <v>45911</v>
      </c>
      <c r="D366" t="inlineStr">
        <is>
          <t>GOTLANDS LÄN</t>
        </is>
      </c>
      <c r="E366" t="inlineStr">
        <is>
          <t>GOTLAND</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48734-2022</t>
        </is>
      </c>
      <c r="B367" s="1" t="n">
        <v>44855</v>
      </c>
      <c r="C367" s="1" t="n">
        <v>45911</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58160-2024</t>
        </is>
      </c>
      <c r="B368" s="1" t="n">
        <v>45632.44927083333</v>
      </c>
      <c r="C368" s="1" t="n">
        <v>45911</v>
      </c>
      <c r="D368" t="inlineStr">
        <is>
          <t>GOTLANDS LÄN</t>
        </is>
      </c>
      <c r="E368" t="inlineStr">
        <is>
          <t>GOTLAND</t>
        </is>
      </c>
      <c r="G368" t="n">
        <v>5.6</v>
      </c>
      <c r="H368" t="n">
        <v>0</v>
      </c>
      <c r="I368" t="n">
        <v>0</v>
      </c>
      <c r="J368" t="n">
        <v>0</v>
      </c>
      <c r="K368" t="n">
        <v>0</v>
      </c>
      <c r="L368" t="n">
        <v>0</v>
      </c>
      <c r="M368" t="n">
        <v>0</v>
      </c>
      <c r="N368" t="n">
        <v>0</v>
      </c>
      <c r="O368" t="n">
        <v>0</v>
      </c>
      <c r="P368" t="n">
        <v>0</v>
      </c>
      <c r="Q368" t="n">
        <v>0</v>
      </c>
      <c r="R368" s="2" t="inlineStr"/>
    </row>
    <row r="369" ht="15" customHeight="1">
      <c r="A369" t="inlineStr">
        <is>
          <t>A 17144-2025</t>
        </is>
      </c>
      <c r="B369" s="1" t="n">
        <v>45755.9499537037</v>
      </c>
      <c r="C369" s="1" t="n">
        <v>45911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14141-2024</t>
        </is>
      </c>
      <c r="B370" s="1" t="n">
        <v>45392.85193287037</v>
      </c>
      <c r="C370" s="1" t="n">
        <v>45911</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29809-2022</t>
        </is>
      </c>
      <c r="B371" s="1" t="n">
        <v>44755.8713425926</v>
      </c>
      <c r="C371" s="1" t="n">
        <v>45911</v>
      </c>
      <c r="D371" t="inlineStr">
        <is>
          <t>GOTLANDS LÄN</t>
        </is>
      </c>
      <c r="E371" t="inlineStr">
        <is>
          <t>GOTLAND</t>
        </is>
      </c>
      <c r="G371" t="n">
        <v>11.5</v>
      </c>
      <c r="H371" t="n">
        <v>0</v>
      </c>
      <c r="I371" t="n">
        <v>0</v>
      </c>
      <c r="J371" t="n">
        <v>0</v>
      </c>
      <c r="K371" t="n">
        <v>0</v>
      </c>
      <c r="L371" t="n">
        <v>0</v>
      </c>
      <c r="M371" t="n">
        <v>0</v>
      </c>
      <c r="N371" t="n">
        <v>0</v>
      </c>
      <c r="O371" t="n">
        <v>0</v>
      </c>
      <c r="P371" t="n">
        <v>0</v>
      </c>
      <c r="Q371" t="n">
        <v>0</v>
      </c>
      <c r="R371" s="2" t="inlineStr"/>
    </row>
    <row r="372" ht="15" customHeight="1">
      <c r="A372" t="inlineStr">
        <is>
          <t>A 10158-2025</t>
        </is>
      </c>
      <c r="B372" s="1" t="n">
        <v>45719</v>
      </c>
      <c r="C372" s="1" t="n">
        <v>45911</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56009-2024</t>
        </is>
      </c>
      <c r="B373" s="1" t="n">
        <v>45623.80864583333</v>
      </c>
      <c r="C373" s="1" t="n">
        <v>45911</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42338-2023</t>
        </is>
      </c>
      <c r="B374" s="1" t="n">
        <v>45180</v>
      </c>
      <c r="C374" s="1" t="n">
        <v>45911</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57685-2022</t>
        </is>
      </c>
      <c r="B375" s="1" t="n">
        <v>44897.4777662037</v>
      </c>
      <c r="C375" s="1" t="n">
        <v>45911</v>
      </c>
      <c r="D375" t="inlineStr">
        <is>
          <t>GOTLANDS LÄN</t>
        </is>
      </c>
      <c r="E375" t="inlineStr">
        <is>
          <t>GOTLAND</t>
        </is>
      </c>
      <c r="G375" t="n">
        <v>3.7</v>
      </c>
      <c r="H375" t="n">
        <v>0</v>
      </c>
      <c r="I375" t="n">
        <v>0</v>
      </c>
      <c r="J375" t="n">
        <v>0</v>
      </c>
      <c r="K375" t="n">
        <v>0</v>
      </c>
      <c r="L375" t="n">
        <v>0</v>
      </c>
      <c r="M375" t="n">
        <v>0</v>
      </c>
      <c r="N375" t="n">
        <v>0</v>
      </c>
      <c r="O375" t="n">
        <v>0</v>
      </c>
      <c r="P375" t="n">
        <v>0</v>
      </c>
      <c r="Q375" t="n">
        <v>0</v>
      </c>
      <c r="R375" s="2" t="inlineStr"/>
    </row>
    <row r="376" ht="15" customHeight="1">
      <c r="A376" t="inlineStr">
        <is>
          <t>A 12599-2025</t>
        </is>
      </c>
      <c r="B376" s="1" t="n">
        <v>45733.29546296296</v>
      </c>
      <c r="C376" s="1" t="n">
        <v>45911</v>
      </c>
      <c r="D376" t="inlineStr">
        <is>
          <t>GOTLANDS LÄN</t>
        </is>
      </c>
      <c r="E376" t="inlineStr">
        <is>
          <t>GOTLAND</t>
        </is>
      </c>
      <c r="G376" t="n">
        <v>4.7</v>
      </c>
      <c r="H376" t="n">
        <v>0</v>
      </c>
      <c r="I376" t="n">
        <v>0</v>
      </c>
      <c r="J376" t="n">
        <v>0</v>
      </c>
      <c r="K376" t="n">
        <v>0</v>
      </c>
      <c r="L376" t="n">
        <v>0</v>
      </c>
      <c r="M376" t="n">
        <v>0</v>
      </c>
      <c r="N376" t="n">
        <v>0</v>
      </c>
      <c r="O376" t="n">
        <v>0</v>
      </c>
      <c r="P376" t="n">
        <v>0</v>
      </c>
      <c r="Q376" t="n">
        <v>0</v>
      </c>
      <c r="R376" s="2" t="inlineStr"/>
    </row>
    <row r="377" ht="15" customHeight="1">
      <c r="A377" t="inlineStr">
        <is>
          <t>A 30815-2023</t>
        </is>
      </c>
      <c r="B377" s="1" t="n">
        <v>45112</v>
      </c>
      <c r="C377" s="1" t="n">
        <v>45911</v>
      </c>
      <c r="D377" t="inlineStr">
        <is>
          <t>GOTLANDS LÄN</t>
        </is>
      </c>
      <c r="E377" t="inlineStr">
        <is>
          <t>GOTLAND</t>
        </is>
      </c>
      <c r="G377" t="n">
        <v>6</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45911</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7034-2023</t>
        </is>
      </c>
      <c r="B379" s="1" t="n">
        <v>44968.32108796296</v>
      </c>
      <c r="C379" s="1" t="n">
        <v>45911</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7042-2023</t>
        </is>
      </c>
      <c r="B380" s="1" t="n">
        <v>44968</v>
      </c>
      <c r="C380" s="1" t="n">
        <v>45911</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23516-2023</t>
        </is>
      </c>
      <c r="B381" s="1" t="n">
        <v>45076.93391203704</v>
      </c>
      <c r="C381" s="1" t="n">
        <v>45911</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64660-2023</t>
        </is>
      </c>
      <c r="B382" s="1" t="n">
        <v>45281.60122685185</v>
      </c>
      <c r="C382" s="1" t="n">
        <v>45911</v>
      </c>
      <c r="D382" t="inlineStr">
        <is>
          <t>GOTLANDS LÄN</t>
        </is>
      </c>
      <c r="E382" t="inlineStr">
        <is>
          <t>GOTLAND</t>
        </is>
      </c>
      <c r="G382" t="n">
        <v>6.3</v>
      </c>
      <c r="H382" t="n">
        <v>0</v>
      </c>
      <c r="I382" t="n">
        <v>0</v>
      </c>
      <c r="J382" t="n">
        <v>0</v>
      </c>
      <c r="K382" t="n">
        <v>0</v>
      </c>
      <c r="L382" t="n">
        <v>0</v>
      </c>
      <c r="M382" t="n">
        <v>0</v>
      </c>
      <c r="N382" t="n">
        <v>0</v>
      </c>
      <c r="O382" t="n">
        <v>0</v>
      </c>
      <c r="P382" t="n">
        <v>0</v>
      </c>
      <c r="Q382" t="n">
        <v>0</v>
      </c>
      <c r="R382" s="2" t="inlineStr"/>
    </row>
    <row r="383" ht="15" customHeight="1">
      <c r="A383" t="inlineStr">
        <is>
          <t>A 63763-2023</t>
        </is>
      </c>
      <c r="B383" s="1" t="n">
        <v>45278.33944444444</v>
      </c>
      <c r="C383" s="1" t="n">
        <v>45911</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63229-2021</t>
        </is>
      </c>
      <c r="B384" s="1" t="n">
        <v>44508.34518518519</v>
      </c>
      <c r="C384" s="1" t="n">
        <v>45911</v>
      </c>
      <c r="D384" t="inlineStr">
        <is>
          <t>GOTLANDS LÄN</t>
        </is>
      </c>
      <c r="E384" t="inlineStr">
        <is>
          <t>GOTLAND</t>
        </is>
      </c>
      <c r="F384" t="inlineStr">
        <is>
          <t>Kyrkan</t>
        </is>
      </c>
      <c r="G384" t="n">
        <v>3.8</v>
      </c>
      <c r="H384" t="n">
        <v>0</v>
      </c>
      <c r="I384" t="n">
        <v>0</v>
      </c>
      <c r="J384" t="n">
        <v>0</v>
      </c>
      <c r="K384" t="n">
        <v>0</v>
      </c>
      <c r="L384" t="n">
        <v>0</v>
      </c>
      <c r="M384" t="n">
        <v>0</v>
      </c>
      <c r="N384" t="n">
        <v>0</v>
      </c>
      <c r="O384" t="n">
        <v>0</v>
      </c>
      <c r="P384" t="n">
        <v>0</v>
      </c>
      <c r="Q384" t="n">
        <v>0</v>
      </c>
      <c r="R384" s="2" t="inlineStr"/>
    </row>
    <row r="385" ht="15" customHeight="1">
      <c r="A385" t="inlineStr">
        <is>
          <t>A 46375-2024</t>
        </is>
      </c>
      <c r="B385" s="1" t="n">
        <v>45582</v>
      </c>
      <c r="C385" s="1" t="n">
        <v>45911</v>
      </c>
      <c r="D385" t="inlineStr">
        <is>
          <t>GOTLANDS LÄN</t>
        </is>
      </c>
      <c r="E385" t="inlineStr">
        <is>
          <t>GOTLAND</t>
        </is>
      </c>
      <c r="G385" t="n">
        <v>3</v>
      </c>
      <c r="H385" t="n">
        <v>0</v>
      </c>
      <c r="I385" t="n">
        <v>0</v>
      </c>
      <c r="J385" t="n">
        <v>0</v>
      </c>
      <c r="K385" t="n">
        <v>0</v>
      </c>
      <c r="L385" t="n">
        <v>0</v>
      </c>
      <c r="M385" t="n">
        <v>0</v>
      </c>
      <c r="N385" t="n">
        <v>0</v>
      </c>
      <c r="O385" t="n">
        <v>0</v>
      </c>
      <c r="P385" t="n">
        <v>0</v>
      </c>
      <c r="Q385" t="n">
        <v>0</v>
      </c>
      <c r="R385" s="2" t="inlineStr"/>
    </row>
    <row r="386" ht="15" customHeight="1">
      <c r="A386" t="inlineStr">
        <is>
          <t>A 30135-2025</t>
        </is>
      </c>
      <c r="B386" s="1" t="n">
        <v>45826</v>
      </c>
      <c r="C386" s="1" t="n">
        <v>45911</v>
      </c>
      <c r="D386" t="inlineStr">
        <is>
          <t>GOTLANDS LÄN</t>
        </is>
      </c>
      <c r="E386" t="inlineStr">
        <is>
          <t>GOTLAND</t>
        </is>
      </c>
      <c r="G386" t="n">
        <v>2.7</v>
      </c>
      <c r="H386" t="n">
        <v>0</v>
      </c>
      <c r="I386" t="n">
        <v>0</v>
      </c>
      <c r="J386" t="n">
        <v>0</v>
      </c>
      <c r="K386" t="n">
        <v>0</v>
      </c>
      <c r="L386" t="n">
        <v>0</v>
      </c>
      <c r="M386" t="n">
        <v>0</v>
      </c>
      <c r="N386" t="n">
        <v>0</v>
      </c>
      <c r="O386" t="n">
        <v>0</v>
      </c>
      <c r="P386" t="n">
        <v>0</v>
      </c>
      <c r="Q386" t="n">
        <v>0</v>
      </c>
      <c r="R386" s="2" t="inlineStr"/>
    </row>
    <row r="387" ht="15" customHeight="1">
      <c r="A387" t="inlineStr">
        <is>
          <t>A 581-2023</t>
        </is>
      </c>
      <c r="B387" s="1" t="n">
        <v>44930</v>
      </c>
      <c r="C387" s="1" t="n">
        <v>45911</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61386-2023</t>
        </is>
      </c>
      <c r="B388" s="1" t="n">
        <v>45264</v>
      </c>
      <c r="C388" s="1" t="n">
        <v>45911</v>
      </c>
      <c r="D388" t="inlineStr">
        <is>
          <t>GOTLANDS LÄN</t>
        </is>
      </c>
      <c r="E388" t="inlineStr">
        <is>
          <t>GOTLAND</t>
        </is>
      </c>
      <c r="G388" t="n">
        <v>0.7</v>
      </c>
      <c r="H388" t="n">
        <v>0</v>
      </c>
      <c r="I388" t="n">
        <v>0</v>
      </c>
      <c r="J388" t="n">
        <v>0</v>
      </c>
      <c r="K388" t="n">
        <v>0</v>
      </c>
      <c r="L388" t="n">
        <v>0</v>
      </c>
      <c r="M388" t="n">
        <v>0</v>
      </c>
      <c r="N388" t="n">
        <v>0</v>
      </c>
      <c r="O388" t="n">
        <v>0</v>
      </c>
      <c r="P388" t="n">
        <v>0</v>
      </c>
      <c r="Q388" t="n">
        <v>0</v>
      </c>
      <c r="R388" s="2" t="inlineStr"/>
    </row>
    <row r="389" ht="15" customHeight="1">
      <c r="A389" t="inlineStr">
        <is>
          <t>A 32686-2025</t>
        </is>
      </c>
      <c r="B389" s="1" t="n">
        <v>45838</v>
      </c>
      <c r="C389" s="1" t="n">
        <v>45911</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873-2024</t>
        </is>
      </c>
      <c r="B390" s="1" t="n">
        <v>45301</v>
      </c>
      <c r="C390" s="1" t="n">
        <v>45911</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49411-2023</t>
        </is>
      </c>
      <c r="B391" s="1" t="n">
        <v>45205</v>
      </c>
      <c r="C391" s="1" t="n">
        <v>45911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22275-2023</t>
        </is>
      </c>
      <c r="B392" s="1" t="n">
        <v>45070.39875</v>
      </c>
      <c r="C392" s="1" t="n">
        <v>45911</v>
      </c>
      <c r="D392" t="inlineStr">
        <is>
          <t>GOTLANDS LÄN</t>
        </is>
      </c>
      <c r="E392" t="inlineStr">
        <is>
          <t>GOTLAND</t>
        </is>
      </c>
      <c r="G392" t="n">
        <v>7.2</v>
      </c>
      <c r="H392" t="n">
        <v>0</v>
      </c>
      <c r="I392" t="n">
        <v>0</v>
      </c>
      <c r="J392" t="n">
        <v>0</v>
      </c>
      <c r="K392" t="n">
        <v>0</v>
      </c>
      <c r="L392" t="n">
        <v>0</v>
      </c>
      <c r="M392" t="n">
        <v>0</v>
      </c>
      <c r="N392" t="n">
        <v>0</v>
      </c>
      <c r="O392" t="n">
        <v>0</v>
      </c>
      <c r="P392" t="n">
        <v>0</v>
      </c>
      <c r="Q392" t="n">
        <v>0</v>
      </c>
      <c r="R392" s="2" t="inlineStr"/>
    </row>
    <row r="393" ht="15" customHeight="1">
      <c r="A393" t="inlineStr">
        <is>
          <t>A 12322-2025</t>
        </is>
      </c>
      <c r="B393" s="1" t="n">
        <v>45730</v>
      </c>
      <c r="C393" s="1" t="n">
        <v>45911</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32379-2025</t>
        </is>
      </c>
      <c r="B394" s="1" t="n">
        <v>45837</v>
      </c>
      <c r="C394" s="1" t="n">
        <v>45911</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45911</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999-2024</t>
        </is>
      </c>
      <c r="B396" s="1" t="n">
        <v>45301</v>
      </c>
      <c r="C396" s="1" t="n">
        <v>45911</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1734-2025</t>
        </is>
      </c>
      <c r="B397" s="1" t="n">
        <v>45671.3840625</v>
      </c>
      <c r="C397" s="1" t="n">
        <v>45911</v>
      </c>
      <c r="D397" t="inlineStr">
        <is>
          <t>GOTLANDS LÄN</t>
        </is>
      </c>
      <c r="E397" t="inlineStr">
        <is>
          <t>GOTLAND</t>
        </is>
      </c>
      <c r="G397" t="n">
        <v>1.9</v>
      </c>
      <c r="H397" t="n">
        <v>0</v>
      </c>
      <c r="I397" t="n">
        <v>0</v>
      </c>
      <c r="J397" t="n">
        <v>0</v>
      </c>
      <c r="K397" t="n">
        <v>0</v>
      </c>
      <c r="L397" t="n">
        <v>0</v>
      </c>
      <c r="M397" t="n">
        <v>0</v>
      </c>
      <c r="N397" t="n">
        <v>0</v>
      </c>
      <c r="O397" t="n">
        <v>0</v>
      </c>
      <c r="P397" t="n">
        <v>0</v>
      </c>
      <c r="Q397" t="n">
        <v>0</v>
      </c>
      <c r="R397" s="2" t="inlineStr"/>
    </row>
    <row r="398" ht="15" customHeight="1">
      <c r="A398" t="inlineStr">
        <is>
          <t>A 61596-2023</t>
        </is>
      </c>
      <c r="B398" s="1" t="n">
        <v>45265</v>
      </c>
      <c r="C398" s="1" t="n">
        <v>45911</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20993-2023</t>
        </is>
      </c>
      <c r="B399" s="1" t="n">
        <v>45056</v>
      </c>
      <c r="C399" s="1" t="n">
        <v>45911</v>
      </c>
      <c r="D399" t="inlineStr">
        <is>
          <t>GOTLANDS LÄN</t>
        </is>
      </c>
      <c r="E399" t="inlineStr">
        <is>
          <t>GOTLAND</t>
        </is>
      </c>
      <c r="G399" t="n">
        <v>7.1</v>
      </c>
      <c r="H399" t="n">
        <v>0</v>
      </c>
      <c r="I399" t="n">
        <v>0</v>
      </c>
      <c r="J399" t="n">
        <v>0</v>
      </c>
      <c r="K399" t="n">
        <v>0</v>
      </c>
      <c r="L399" t="n">
        <v>0</v>
      </c>
      <c r="M399" t="n">
        <v>0</v>
      </c>
      <c r="N399" t="n">
        <v>0</v>
      </c>
      <c r="O399" t="n">
        <v>0</v>
      </c>
      <c r="P399" t="n">
        <v>0</v>
      </c>
      <c r="Q399" t="n">
        <v>0</v>
      </c>
      <c r="R399" s="2" t="inlineStr"/>
    </row>
    <row r="400" ht="15" customHeight="1">
      <c r="A400" t="inlineStr">
        <is>
          <t>A 14638-2025</t>
        </is>
      </c>
      <c r="B400" s="1" t="n">
        <v>45742</v>
      </c>
      <c r="C400" s="1" t="n">
        <v>45911</v>
      </c>
      <c r="D400" t="inlineStr">
        <is>
          <t>GOTLANDS LÄN</t>
        </is>
      </c>
      <c r="E400" t="inlineStr">
        <is>
          <t>GOTLAND</t>
        </is>
      </c>
      <c r="G400" t="n">
        <v>13.4</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45911</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60675-2021</t>
        </is>
      </c>
      <c r="B402" s="1" t="n">
        <v>44496.64855324074</v>
      </c>
      <c r="C402" s="1" t="n">
        <v>45911</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37728-2024</t>
        </is>
      </c>
      <c r="B403" s="1" t="n">
        <v>45541</v>
      </c>
      <c r="C403" s="1" t="n">
        <v>45911</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32378-2025</t>
        </is>
      </c>
      <c r="B404" s="1" t="n">
        <v>45837</v>
      </c>
      <c r="C404" s="1" t="n">
        <v>45911</v>
      </c>
      <c r="D404" t="inlineStr">
        <is>
          <t>GOTLANDS LÄN</t>
        </is>
      </c>
      <c r="E404" t="inlineStr">
        <is>
          <t>GOTLAND</t>
        </is>
      </c>
      <c r="G404" t="n">
        <v>4.1</v>
      </c>
      <c r="H404" t="n">
        <v>0</v>
      </c>
      <c r="I404" t="n">
        <v>0</v>
      </c>
      <c r="J404" t="n">
        <v>0</v>
      </c>
      <c r="K404" t="n">
        <v>0</v>
      </c>
      <c r="L404" t="n">
        <v>0</v>
      </c>
      <c r="M404" t="n">
        <v>0</v>
      </c>
      <c r="N404" t="n">
        <v>0</v>
      </c>
      <c r="O404" t="n">
        <v>0</v>
      </c>
      <c r="P404" t="n">
        <v>0</v>
      </c>
      <c r="Q404" t="n">
        <v>0</v>
      </c>
      <c r="R404" s="2" t="inlineStr"/>
    </row>
    <row r="405" ht="15" customHeight="1">
      <c r="A405" t="inlineStr">
        <is>
          <t>A 16109-2025</t>
        </is>
      </c>
      <c r="B405" s="1" t="n">
        <v>45750</v>
      </c>
      <c r="C405" s="1" t="n">
        <v>45911</v>
      </c>
      <c r="D405" t="inlineStr">
        <is>
          <t>GOTLANDS LÄN</t>
        </is>
      </c>
      <c r="E405" t="inlineStr">
        <is>
          <t>GOTLAND</t>
        </is>
      </c>
      <c r="G405" t="n">
        <v>4.9</v>
      </c>
      <c r="H405" t="n">
        <v>0</v>
      </c>
      <c r="I405" t="n">
        <v>0</v>
      </c>
      <c r="J405" t="n">
        <v>0</v>
      </c>
      <c r="K405" t="n">
        <v>0</v>
      </c>
      <c r="L405" t="n">
        <v>0</v>
      </c>
      <c r="M405" t="n">
        <v>0</v>
      </c>
      <c r="N405" t="n">
        <v>0</v>
      </c>
      <c r="O405" t="n">
        <v>0</v>
      </c>
      <c r="P405" t="n">
        <v>0</v>
      </c>
      <c r="Q405" t="n">
        <v>0</v>
      </c>
      <c r="R405" s="2" t="inlineStr"/>
    </row>
    <row r="406" ht="15" customHeight="1">
      <c r="A406" t="inlineStr">
        <is>
          <t>A 33078-2025</t>
        </is>
      </c>
      <c r="B406" s="1" t="n">
        <v>45840</v>
      </c>
      <c r="C406" s="1" t="n">
        <v>45911</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22287-2022</t>
        </is>
      </c>
      <c r="B407" s="1" t="n">
        <v>44712</v>
      </c>
      <c r="C407" s="1" t="n">
        <v>45911</v>
      </c>
      <c r="D407" t="inlineStr">
        <is>
          <t>GOTLANDS LÄN</t>
        </is>
      </c>
      <c r="E407" t="inlineStr">
        <is>
          <t>GOTLAND</t>
        </is>
      </c>
      <c r="G407" t="n">
        <v>6.1</v>
      </c>
      <c r="H407" t="n">
        <v>0</v>
      </c>
      <c r="I407" t="n">
        <v>0</v>
      </c>
      <c r="J407" t="n">
        <v>0</v>
      </c>
      <c r="K407" t="n">
        <v>0</v>
      </c>
      <c r="L407" t="n">
        <v>0</v>
      </c>
      <c r="M407" t="n">
        <v>0</v>
      </c>
      <c r="N407" t="n">
        <v>0</v>
      </c>
      <c r="O407" t="n">
        <v>0</v>
      </c>
      <c r="P407" t="n">
        <v>0</v>
      </c>
      <c r="Q407" t="n">
        <v>0</v>
      </c>
      <c r="R407" s="2" t="inlineStr"/>
    </row>
    <row r="408" ht="15" customHeight="1">
      <c r="A408" t="inlineStr">
        <is>
          <t>A 54074-2022</t>
        </is>
      </c>
      <c r="B408" s="1" t="n">
        <v>44881</v>
      </c>
      <c r="C408" s="1" t="n">
        <v>45911</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12596-2023</t>
        </is>
      </c>
      <c r="B409" s="1" t="n">
        <v>45000.43310185185</v>
      </c>
      <c r="C409" s="1" t="n">
        <v>45911</v>
      </c>
      <c r="D409" t="inlineStr">
        <is>
          <t>GOTLANDS LÄN</t>
        </is>
      </c>
      <c r="E409" t="inlineStr">
        <is>
          <t>GOTLAND</t>
        </is>
      </c>
      <c r="G409" t="n">
        <v>4.1</v>
      </c>
      <c r="H409" t="n">
        <v>0</v>
      </c>
      <c r="I409" t="n">
        <v>0</v>
      </c>
      <c r="J409" t="n">
        <v>0</v>
      </c>
      <c r="K409" t="n">
        <v>0</v>
      </c>
      <c r="L409" t="n">
        <v>0</v>
      </c>
      <c r="M409" t="n">
        <v>0</v>
      </c>
      <c r="N409" t="n">
        <v>0</v>
      </c>
      <c r="O409" t="n">
        <v>0</v>
      </c>
      <c r="P409" t="n">
        <v>0</v>
      </c>
      <c r="Q409" t="n">
        <v>0</v>
      </c>
      <c r="R409" s="2" t="inlineStr"/>
    </row>
    <row r="410" ht="15" customHeight="1">
      <c r="A410" t="inlineStr">
        <is>
          <t>A 2125-2025</t>
        </is>
      </c>
      <c r="B410" s="1" t="n">
        <v>45672.64940972222</v>
      </c>
      <c r="C410" s="1" t="n">
        <v>45911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65249-2023</t>
        </is>
      </c>
      <c r="B411" s="1" t="n">
        <v>45290</v>
      </c>
      <c r="C411" s="1" t="n">
        <v>45911</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12155-2023</t>
        </is>
      </c>
      <c r="B412" s="1" t="n">
        <v>44998.49106481481</v>
      </c>
      <c r="C412" s="1" t="n">
        <v>45911</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457-2023</t>
        </is>
      </c>
      <c r="B413" s="1" t="n">
        <v>44929.87238425926</v>
      </c>
      <c r="C413" s="1" t="n">
        <v>45911</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459-2023</t>
        </is>
      </c>
      <c r="B414" s="1" t="n">
        <v>44929.87423611111</v>
      </c>
      <c r="C414" s="1" t="n">
        <v>45911</v>
      </c>
      <c r="D414" t="inlineStr">
        <is>
          <t>GOTLANDS LÄN</t>
        </is>
      </c>
      <c r="E414" t="inlineStr">
        <is>
          <t>GOTLAND</t>
        </is>
      </c>
      <c r="G414" t="n">
        <v>4.2</v>
      </c>
      <c r="H414" t="n">
        <v>0</v>
      </c>
      <c r="I414" t="n">
        <v>0</v>
      </c>
      <c r="J414" t="n">
        <v>0</v>
      </c>
      <c r="K414" t="n">
        <v>0</v>
      </c>
      <c r="L414" t="n">
        <v>0</v>
      </c>
      <c r="M414" t="n">
        <v>0</v>
      </c>
      <c r="N414" t="n">
        <v>0</v>
      </c>
      <c r="O414" t="n">
        <v>0</v>
      </c>
      <c r="P414" t="n">
        <v>0</v>
      </c>
      <c r="Q414" t="n">
        <v>0</v>
      </c>
      <c r="R414" s="2" t="inlineStr"/>
    </row>
    <row r="415" ht="15" customHeight="1">
      <c r="A415" t="inlineStr">
        <is>
          <t>A 2035-2025</t>
        </is>
      </c>
      <c r="B415" s="1" t="n">
        <v>45672</v>
      </c>
      <c r="C415" s="1" t="n">
        <v>45911</v>
      </c>
      <c r="D415" t="inlineStr">
        <is>
          <t>GOTLANDS LÄN</t>
        </is>
      </c>
      <c r="E415" t="inlineStr">
        <is>
          <t>GOTLAND</t>
        </is>
      </c>
      <c r="G415" t="n">
        <v>7.5</v>
      </c>
      <c r="H415" t="n">
        <v>0</v>
      </c>
      <c r="I415" t="n">
        <v>0</v>
      </c>
      <c r="J415" t="n">
        <v>0</v>
      </c>
      <c r="K415" t="n">
        <v>0</v>
      </c>
      <c r="L415" t="n">
        <v>0</v>
      </c>
      <c r="M415" t="n">
        <v>0</v>
      </c>
      <c r="N415" t="n">
        <v>0</v>
      </c>
      <c r="O415" t="n">
        <v>0</v>
      </c>
      <c r="P415" t="n">
        <v>0</v>
      </c>
      <c r="Q415" t="n">
        <v>0</v>
      </c>
      <c r="R415" s="2" t="inlineStr"/>
    </row>
    <row r="416" ht="15" customHeight="1">
      <c r="A416" t="inlineStr">
        <is>
          <t>A 38234-2023</t>
        </is>
      </c>
      <c r="B416" s="1" t="n">
        <v>45161.56663194444</v>
      </c>
      <c r="C416" s="1" t="n">
        <v>45911</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33007-2025</t>
        </is>
      </c>
      <c r="B417" s="1" t="n">
        <v>45840</v>
      </c>
      <c r="C417" s="1" t="n">
        <v>45911</v>
      </c>
      <c r="D417" t="inlineStr">
        <is>
          <t>GOTLANDS LÄN</t>
        </is>
      </c>
      <c r="E417" t="inlineStr">
        <is>
          <t>GOTLAND</t>
        </is>
      </c>
      <c r="G417" t="n">
        <v>4.9</v>
      </c>
      <c r="H417" t="n">
        <v>0</v>
      </c>
      <c r="I417" t="n">
        <v>0</v>
      </c>
      <c r="J417" t="n">
        <v>0</v>
      </c>
      <c r="K417" t="n">
        <v>0</v>
      </c>
      <c r="L417" t="n">
        <v>0</v>
      </c>
      <c r="M417" t="n">
        <v>0</v>
      </c>
      <c r="N417" t="n">
        <v>0</v>
      </c>
      <c r="O417" t="n">
        <v>0</v>
      </c>
      <c r="P417" t="n">
        <v>0</v>
      </c>
      <c r="Q417" t="n">
        <v>0</v>
      </c>
      <c r="R417" s="2" t="inlineStr"/>
    </row>
    <row r="418" ht="15" customHeight="1">
      <c r="A418" t="inlineStr">
        <is>
          <t>A 33011-2025</t>
        </is>
      </c>
      <c r="B418" s="1" t="n">
        <v>45840</v>
      </c>
      <c r="C418" s="1" t="n">
        <v>45911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50744-2024</t>
        </is>
      </c>
      <c r="B419" s="1" t="n">
        <v>45602.4187037037</v>
      </c>
      <c r="C419" s="1" t="n">
        <v>45911</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53934-2024</t>
        </is>
      </c>
      <c r="B420" s="1" t="n">
        <v>45615</v>
      </c>
      <c r="C420" s="1" t="n">
        <v>45911</v>
      </c>
      <c r="D420" t="inlineStr">
        <is>
          <t>GOTLANDS LÄN</t>
        </is>
      </c>
      <c r="E420" t="inlineStr">
        <is>
          <t>GOTLAND</t>
        </is>
      </c>
      <c r="G420" t="n">
        <v>5</v>
      </c>
      <c r="H420" t="n">
        <v>0</v>
      </c>
      <c r="I420" t="n">
        <v>0</v>
      </c>
      <c r="J420" t="n">
        <v>0</v>
      </c>
      <c r="K420" t="n">
        <v>0</v>
      </c>
      <c r="L420" t="n">
        <v>0</v>
      </c>
      <c r="M420" t="n">
        <v>0</v>
      </c>
      <c r="N420" t="n">
        <v>0</v>
      </c>
      <c r="O420" t="n">
        <v>0</v>
      </c>
      <c r="P420" t="n">
        <v>0</v>
      </c>
      <c r="Q420" t="n">
        <v>0</v>
      </c>
      <c r="R420" s="2" t="inlineStr"/>
    </row>
    <row r="421" ht="15" customHeight="1">
      <c r="A421" t="inlineStr">
        <is>
          <t>A 13910-2025</t>
        </is>
      </c>
      <c r="B421" s="1" t="n">
        <v>45737</v>
      </c>
      <c r="C421" s="1" t="n">
        <v>45911</v>
      </c>
      <c r="D421" t="inlineStr">
        <is>
          <t>GOTLANDS LÄN</t>
        </is>
      </c>
      <c r="E421" t="inlineStr">
        <is>
          <t>GOTLAND</t>
        </is>
      </c>
      <c r="F421" t="inlineStr">
        <is>
          <t>Kommuner</t>
        </is>
      </c>
      <c r="G421" t="n">
        <v>3.2</v>
      </c>
      <c r="H421" t="n">
        <v>0</v>
      </c>
      <c r="I421" t="n">
        <v>0</v>
      </c>
      <c r="J421" t="n">
        <v>0</v>
      </c>
      <c r="K421" t="n">
        <v>0</v>
      </c>
      <c r="L421" t="n">
        <v>0</v>
      </c>
      <c r="M421" t="n">
        <v>0</v>
      </c>
      <c r="N421" t="n">
        <v>0</v>
      </c>
      <c r="O421" t="n">
        <v>0</v>
      </c>
      <c r="P421" t="n">
        <v>0</v>
      </c>
      <c r="Q421" t="n">
        <v>0</v>
      </c>
      <c r="R421" s="2" t="inlineStr"/>
    </row>
    <row r="422" ht="15" customHeight="1">
      <c r="A422" t="inlineStr">
        <is>
          <t>A 38649-2025</t>
        </is>
      </c>
      <c r="B422" s="1" t="n">
        <v>45884</v>
      </c>
      <c r="C422" s="1" t="n">
        <v>45911</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17780-2022</t>
        </is>
      </c>
      <c r="B423" s="1" t="n">
        <v>44682.82622685185</v>
      </c>
      <c r="C423" s="1" t="n">
        <v>45911</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59986-2022</t>
        </is>
      </c>
      <c r="B424" s="1" t="n">
        <v>44909</v>
      </c>
      <c r="C424" s="1" t="n">
        <v>45911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14536-2021</t>
        </is>
      </c>
      <c r="B425" s="1" t="n">
        <v>44279.66168981481</v>
      </c>
      <c r="C425" s="1" t="n">
        <v>45911</v>
      </c>
      <c r="D425" t="inlineStr">
        <is>
          <t>GOTLANDS LÄN</t>
        </is>
      </c>
      <c r="E425" t="inlineStr">
        <is>
          <t>GOTLAND</t>
        </is>
      </c>
      <c r="G425" t="n">
        <v>8.5</v>
      </c>
      <c r="H425" t="n">
        <v>0</v>
      </c>
      <c r="I425" t="n">
        <v>0</v>
      </c>
      <c r="J425" t="n">
        <v>0</v>
      </c>
      <c r="K425" t="n">
        <v>0</v>
      </c>
      <c r="L425" t="n">
        <v>0</v>
      </c>
      <c r="M425" t="n">
        <v>0</v>
      </c>
      <c r="N425" t="n">
        <v>0</v>
      </c>
      <c r="O425" t="n">
        <v>0</v>
      </c>
      <c r="P425" t="n">
        <v>0</v>
      </c>
      <c r="Q425" t="n">
        <v>0</v>
      </c>
      <c r="R425" s="2" t="inlineStr"/>
    </row>
    <row r="426" ht="15" customHeight="1">
      <c r="A426" t="inlineStr">
        <is>
          <t>A 1446-2025</t>
        </is>
      </c>
      <c r="B426" s="1" t="n">
        <v>45669.86035879629</v>
      </c>
      <c r="C426" s="1" t="n">
        <v>45911</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10813-2025</t>
        </is>
      </c>
      <c r="B427" s="1" t="n">
        <v>45722.54163194444</v>
      </c>
      <c r="C427" s="1" t="n">
        <v>45911</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31264-2021</t>
        </is>
      </c>
      <c r="B428" s="1" t="n">
        <v>44368</v>
      </c>
      <c r="C428" s="1" t="n">
        <v>45911</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43901-2023</t>
        </is>
      </c>
      <c r="B429" s="1" t="n">
        <v>45187</v>
      </c>
      <c r="C429" s="1" t="n">
        <v>45911</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10746-2025</t>
        </is>
      </c>
      <c r="B430" s="1" t="n">
        <v>45722.42766203704</v>
      </c>
      <c r="C430" s="1" t="n">
        <v>45911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16501-2023</t>
        </is>
      </c>
      <c r="B431" s="1" t="n">
        <v>45029</v>
      </c>
      <c r="C431" s="1" t="n">
        <v>45911</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11874-2024</t>
        </is>
      </c>
      <c r="B432" s="1" t="n">
        <v>45376.46956018519</v>
      </c>
      <c r="C432" s="1" t="n">
        <v>45911</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2292-2021</t>
        </is>
      </c>
      <c r="B433" s="1" t="n">
        <v>44212</v>
      </c>
      <c r="C433" s="1" t="n">
        <v>45911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42041-2024</t>
        </is>
      </c>
      <c r="B434" s="1" t="n">
        <v>45561</v>
      </c>
      <c r="C434" s="1" t="n">
        <v>45911</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61694-2023</t>
        </is>
      </c>
      <c r="B435" s="1" t="n">
        <v>45264</v>
      </c>
      <c r="C435" s="1" t="n">
        <v>45911</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39278-2025</t>
        </is>
      </c>
      <c r="B436" s="1" t="n">
        <v>45889</v>
      </c>
      <c r="C436" s="1" t="n">
        <v>45911</v>
      </c>
      <c r="D436" t="inlineStr">
        <is>
          <t>GOTLANDS LÄN</t>
        </is>
      </c>
      <c r="E436" t="inlineStr">
        <is>
          <t>GOTLAND</t>
        </is>
      </c>
      <c r="G436" t="n">
        <v>3.7</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45911</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45911</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61962-2024</t>
        </is>
      </c>
      <c r="B439" s="1" t="n">
        <v>45653.54340277778</v>
      </c>
      <c r="C439" s="1" t="n">
        <v>45911</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35123-2025</t>
        </is>
      </c>
      <c r="B440" s="1" t="n">
        <v>45852.614375</v>
      </c>
      <c r="C440" s="1" t="n">
        <v>45911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10492-2023</t>
        </is>
      </c>
      <c r="B441" s="1" t="n">
        <v>44987</v>
      </c>
      <c r="C441" s="1" t="n">
        <v>45911</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39814-2025</t>
        </is>
      </c>
      <c r="B442" s="1" t="n">
        <v>45891.52694444444</v>
      </c>
      <c r="C442" s="1" t="n">
        <v>45911</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64555-2023</t>
        </is>
      </c>
      <c r="B443" s="1" t="n">
        <v>45281</v>
      </c>
      <c r="C443" s="1" t="n">
        <v>45911</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64831-2023</t>
        </is>
      </c>
      <c r="B444" s="1" t="n">
        <v>45282.44924768519</v>
      </c>
      <c r="C444" s="1" t="n">
        <v>45911</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35141-2025</t>
        </is>
      </c>
      <c r="B445" s="1" t="n">
        <v>45852.65206018519</v>
      </c>
      <c r="C445" s="1" t="n">
        <v>45911</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35096-2025</t>
        </is>
      </c>
      <c r="B446" s="1" t="n">
        <v>45852.54356481481</v>
      </c>
      <c r="C446" s="1" t="n">
        <v>45911</v>
      </c>
      <c r="D446" t="inlineStr">
        <is>
          <t>GOTLANDS LÄN</t>
        </is>
      </c>
      <c r="E446" t="inlineStr">
        <is>
          <t>GOTLAND</t>
        </is>
      </c>
      <c r="F446" t="inlineStr">
        <is>
          <t>Kyrkan</t>
        </is>
      </c>
      <c r="G446" t="n">
        <v>1</v>
      </c>
      <c r="H446" t="n">
        <v>0</v>
      </c>
      <c r="I446" t="n">
        <v>0</v>
      </c>
      <c r="J446" t="n">
        <v>0</v>
      </c>
      <c r="K446" t="n">
        <v>0</v>
      </c>
      <c r="L446" t="n">
        <v>0</v>
      </c>
      <c r="M446" t="n">
        <v>0</v>
      </c>
      <c r="N446" t="n">
        <v>0</v>
      </c>
      <c r="O446" t="n">
        <v>0</v>
      </c>
      <c r="P446" t="n">
        <v>0</v>
      </c>
      <c r="Q446" t="n">
        <v>0</v>
      </c>
      <c r="R446" s="2" t="inlineStr"/>
    </row>
    <row r="447" ht="15" customHeight="1">
      <c r="A447" t="inlineStr">
        <is>
          <t>A 14804-2021</t>
        </is>
      </c>
      <c r="B447" s="1" t="n">
        <v>44280</v>
      </c>
      <c r="C447" s="1" t="n">
        <v>45911</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999-2023</t>
        </is>
      </c>
      <c r="B448" s="1" t="n">
        <v>44935</v>
      </c>
      <c r="C448" s="1" t="n">
        <v>45911</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35142-2025</t>
        </is>
      </c>
      <c r="B449" s="1" t="n">
        <v>45852.65532407408</v>
      </c>
      <c r="C449" s="1" t="n">
        <v>45911</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45911</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27602-2023</t>
        </is>
      </c>
      <c r="B451" s="1" t="n">
        <v>45097</v>
      </c>
      <c r="C451" s="1" t="n">
        <v>45911</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10653-2023</t>
        </is>
      </c>
      <c r="B452" s="1" t="n">
        <v>44988.48859953704</v>
      </c>
      <c r="C452" s="1" t="n">
        <v>45911</v>
      </c>
      <c r="D452" t="inlineStr">
        <is>
          <t>GOTLANDS LÄN</t>
        </is>
      </c>
      <c r="E452" t="inlineStr">
        <is>
          <t>GOTLAND</t>
        </is>
      </c>
      <c r="F452" t="inlineStr">
        <is>
          <t>Kyrkan</t>
        </is>
      </c>
      <c r="G452" t="n">
        <v>3</v>
      </c>
      <c r="H452" t="n">
        <v>0</v>
      </c>
      <c r="I452" t="n">
        <v>0</v>
      </c>
      <c r="J452" t="n">
        <v>0</v>
      </c>
      <c r="K452" t="n">
        <v>0</v>
      </c>
      <c r="L452" t="n">
        <v>0</v>
      </c>
      <c r="M452" t="n">
        <v>0</v>
      </c>
      <c r="N452" t="n">
        <v>0</v>
      </c>
      <c r="O452" t="n">
        <v>0</v>
      </c>
      <c r="P452" t="n">
        <v>0</v>
      </c>
      <c r="Q452" t="n">
        <v>0</v>
      </c>
      <c r="R452" s="2" t="inlineStr"/>
    </row>
    <row r="453" ht="15" customHeight="1">
      <c r="A453" t="inlineStr">
        <is>
          <t>A 39849-2025</t>
        </is>
      </c>
      <c r="B453" s="1" t="n">
        <v>45891.58502314815</v>
      </c>
      <c r="C453" s="1" t="n">
        <v>45911</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40103-2025</t>
        </is>
      </c>
      <c r="B454" s="1" t="n">
        <v>45894.4880324074</v>
      </c>
      <c r="C454" s="1" t="n">
        <v>45911</v>
      </c>
      <c r="D454" t="inlineStr">
        <is>
          <t>GOTLANDS LÄN</t>
        </is>
      </c>
      <c r="E454" t="inlineStr">
        <is>
          <t>GOTLAND</t>
        </is>
      </c>
      <c r="G454" t="n">
        <v>0.9</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45911</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4990-2025</t>
        </is>
      </c>
      <c r="B456" s="1" t="n">
        <v>45691</v>
      </c>
      <c r="C456" s="1" t="n">
        <v>45911</v>
      </c>
      <c r="D456" t="inlineStr">
        <is>
          <t>GOTLANDS LÄN</t>
        </is>
      </c>
      <c r="E456" t="inlineStr">
        <is>
          <t>GOTLAND</t>
        </is>
      </c>
      <c r="G456" t="n">
        <v>7.7</v>
      </c>
      <c r="H456" t="n">
        <v>0</v>
      </c>
      <c r="I456" t="n">
        <v>0</v>
      </c>
      <c r="J456" t="n">
        <v>0</v>
      </c>
      <c r="K456" t="n">
        <v>0</v>
      </c>
      <c r="L456" t="n">
        <v>0</v>
      </c>
      <c r="M456" t="n">
        <v>0</v>
      </c>
      <c r="N456" t="n">
        <v>0</v>
      </c>
      <c r="O456" t="n">
        <v>0</v>
      </c>
      <c r="P456" t="n">
        <v>0</v>
      </c>
      <c r="Q456" t="n">
        <v>0</v>
      </c>
      <c r="R456" s="2" t="inlineStr"/>
    </row>
    <row r="457" ht="15" customHeight="1">
      <c r="A457" t="inlineStr">
        <is>
          <t>A 40372-2025</t>
        </is>
      </c>
      <c r="B457" s="1" t="n">
        <v>45895.5162037037</v>
      </c>
      <c r="C457" s="1" t="n">
        <v>45911</v>
      </c>
      <c r="D457" t="inlineStr">
        <is>
          <t>GOTLANDS LÄN</t>
        </is>
      </c>
      <c r="E457" t="inlineStr">
        <is>
          <t>GOTLAND</t>
        </is>
      </c>
      <c r="G457" t="n">
        <v>3.3</v>
      </c>
      <c r="H457" t="n">
        <v>0</v>
      </c>
      <c r="I457" t="n">
        <v>0</v>
      </c>
      <c r="J457" t="n">
        <v>0</v>
      </c>
      <c r="K457" t="n">
        <v>0</v>
      </c>
      <c r="L457" t="n">
        <v>0</v>
      </c>
      <c r="M457" t="n">
        <v>0</v>
      </c>
      <c r="N457" t="n">
        <v>0</v>
      </c>
      <c r="O457" t="n">
        <v>0</v>
      </c>
      <c r="P457" t="n">
        <v>0</v>
      </c>
      <c r="Q457" t="n">
        <v>0</v>
      </c>
      <c r="R457" s="2" t="inlineStr"/>
    </row>
    <row r="458" ht="15" customHeight="1">
      <c r="A458" t="inlineStr">
        <is>
          <t>A 40373-2025</t>
        </is>
      </c>
      <c r="B458" s="1" t="n">
        <v>45895.51821759259</v>
      </c>
      <c r="C458" s="1" t="n">
        <v>45911</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30104-2025</t>
        </is>
      </c>
      <c r="B459" s="1" t="n">
        <v>45826.68806712963</v>
      </c>
      <c r="C459" s="1" t="n">
        <v>45911</v>
      </c>
      <c r="D459" t="inlineStr">
        <is>
          <t>GOTLANDS LÄN</t>
        </is>
      </c>
      <c r="E459" t="inlineStr">
        <is>
          <t>GOTLAND</t>
        </is>
      </c>
      <c r="G459" t="n">
        <v>15.4</v>
      </c>
      <c r="H459" t="n">
        <v>0</v>
      </c>
      <c r="I459" t="n">
        <v>0</v>
      </c>
      <c r="J459" t="n">
        <v>0</v>
      </c>
      <c r="K459" t="n">
        <v>0</v>
      </c>
      <c r="L459" t="n">
        <v>0</v>
      </c>
      <c r="M459" t="n">
        <v>0</v>
      </c>
      <c r="N459" t="n">
        <v>0</v>
      </c>
      <c r="O459" t="n">
        <v>0</v>
      </c>
      <c r="P459" t="n">
        <v>0</v>
      </c>
      <c r="Q459" t="n">
        <v>0</v>
      </c>
      <c r="R459" s="2" t="inlineStr"/>
    </row>
    <row r="460" ht="15" customHeight="1">
      <c r="A460" t="inlineStr">
        <is>
          <t>A 40499-2025</t>
        </is>
      </c>
      <c r="B460" s="1" t="n">
        <v>45896.32517361111</v>
      </c>
      <c r="C460" s="1" t="n">
        <v>45911</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35290-2025</t>
        </is>
      </c>
      <c r="B461" s="1" t="n">
        <v>45854.38502314815</v>
      </c>
      <c r="C461" s="1" t="n">
        <v>45911</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39752-2025</t>
        </is>
      </c>
      <c r="B462" s="1" t="n">
        <v>45891</v>
      </c>
      <c r="C462" s="1" t="n">
        <v>45911</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39816-2025</t>
        </is>
      </c>
      <c r="B463" s="1" t="n">
        <v>45891</v>
      </c>
      <c r="C463" s="1" t="n">
        <v>45911</v>
      </c>
      <c r="D463" t="inlineStr">
        <is>
          <t>GOTLANDS LÄN</t>
        </is>
      </c>
      <c r="E463" t="inlineStr">
        <is>
          <t>GOTLAND</t>
        </is>
      </c>
      <c r="G463" t="n">
        <v>0.9</v>
      </c>
      <c r="H463" t="n">
        <v>0</v>
      </c>
      <c r="I463" t="n">
        <v>0</v>
      </c>
      <c r="J463" t="n">
        <v>0</v>
      </c>
      <c r="K463" t="n">
        <v>0</v>
      </c>
      <c r="L463" t="n">
        <v>0</v>
      </c>
      <c r="M463" t="n">
        <v>0</v>
      </c>
      <c r="N463" t="n">
        <v>0</v>
      </c>
      <c r="O463" t="n">
        <v>0</v>
      </c>
      <c r="P463" t="n">
        <v>0</v>
      </c>
      <c r="Q463" t="n">
        <v>0</v>
      </c>
      <c r="R463" s="2" t="inlineStr"/>
    </row>
    <row r="464" ht="15" customHeight="1">
      <c r="A464" t="inlineStr">
        <is>
          <t>A 32669-2024</t>
        </is>
      </c>
      <c r="B464" s="1" t="n">
        <v>45514</v>
      </c>
      <c r="C464" s="1" t="n">
        <v>45911</v>
      </c>
      <c r="D464" t="inlineStr">
        <is>
          <t>GOTLANDS LÄN</t>
        </is>
      </c>
      <c r="E464" t="inlineStr">
        <is>
          <t>GOTLAND</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4377-2023</t>
        </is>
      </c>
      <c r="B465" s="1" t="n">
        <v>44955.5502662037</v>
      </c>
      <c r="C465" s="1" t="n">
        <v>45911</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4387-2023</t>
        </is>
      </c>
      <c r="B466" s="1" t="n">
        <v>44955.73359953704</v>
      </c>
      <c r="C466" s="1" t="n">
        <v>45911</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39479-2022</t>
        </is>
      </c>
      <c r="B467" s="1" t="n">
        <v>44818</v>
      </c>
      <c r="C467" s="1" t="n">
        <v>45911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35537-2025</t>
        </is>
      </c>
      <c r="B468" s="1" t="n">
        <v>45856</v>
      </c>
      <c r="C468" s="1" t="n">
        <v>45911</v>
      </c>
      <c r="D468" t="inlineStr">
        <is>
          <t>GOTLANDS LÄN</t>
        </is>
      </c>
      <c r="E468" t="inlineStr">
        <is>
          <t>GOTLAND</t>
        </is>
      </c>
      <c r="G468" t="n">
        <v>16.8</v>
      </c>
      <c r="H468" t="n">
        <v>0</v>
      </c>
      <c r="I468" t="n">
        <v>0</v>
      </c>
      <c r="J468" t="n">
        <v>0</v>
      </c>
      <c r="K468" t="n">
        <v>0</v>
      </c>
      <c r="L468" t="n">
        <v>0</v>
      </c>
      <c r="M468" t="n">
        <v>0</v>
      </c>
      <c r="N468" t="n">
        <v>0</v>
      </c>
      <c r="O468" t="n">
        <v>0</v>
      </c>
      <c r="P468" t="n">
        <v>0</v>
      </c>
      <c r="Q468" t="n">
        <v>0</v>
      </c>
      <c r="R468" s="2" t="inlineStr"/>
    </row>
    <row r="469" ht="15" customHeight="1">
      <c r="A469" t="inlineStr">
        <is>
          <t>A 43081-2022</t>
        </is>
      </c>
      <c r="B469" s="1" t="n">
        <v>44833</v>
      </c>
      <c r="C469" s="1" t="n">
        <v>45911</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45911</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51963-2024</t>
        </is>
      </c>
      <c r="B471" s="1" t="n">
        <v>45607.64833333333</v>
      </c>
      <c r="C471" s="1" t="n">
        <v>45911</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35550-2025</t>
        </is>
      </c>
      <c r="B472" s="1" t="n">
        <v>45856.49324074074</v>
      </c>
      <c r="C472" s="1" t="n">
        <v>45911</v>
      </c>
      <c r="D472" t="inlineStr">
        <is>
          <t>GOTLANDS LÄN</t>
        </is>
      </c>
      <c r="E472" t="inlineStr">
        <is>
          <t>GOTLAND</t>
        </is>
      </c>
      <c r="G472" t="n">
        <v>3.2</v>
      </c>
      <c r="H472" t="n">
        <v>0</v>
      </c>
      <c r="I472" t="n">
        <v>0</v>
      </c>
      <c r="J472" t="n">
        <v>0</v>
      </c>
      <c r="K472" t="n">
        <v>0</v>
      </c>
      <c r="L472" t="n">
        <v>0</v>
      </c>
      <c r="M472" t="n">
        <v>0</v>
      </c>
      <c r="N472" t="n">
        <v>0</v>
      </c>
      <c r="O472" t="n">
        <v>0</v>
      </c>
      <c r="P472" t="n">
        <v>0</v>
      </c>
      <c r="Q472" t="n">
        <v>0</v>
      </c>
      <c r="R472" s="2" t="inlineStr"/>
    </row>
    <row r="473" ht="15" customHeight="1">
      <c r="A473" t="inlineStr">
        <is>
          <t>A 5884-2025</t>
        </is>
      </c>
      <c r="B473" s="1" t="n">
        <v>45695.37482638889</v>
      </c>
      <c r="C473" s="1" t="n">
        <v>45911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5897-2025</t>
        </is>
      </c>
      <c r="B474" s="1" t="n">
        <v>45695.39273148148</v>
      </c>
      <c r="C474" s="1" t="n">
        <v>45911</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22883-2024</t>
        </is>
      </c>
      <c r="B475" s="1" t="n">
        <v>45448.66368055555</v>
      </c>
      <c r="C475" s="1" t="n">
        <v>45911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811-2023</t>
        </is>
      </c>
      <c r="B476" s="1" t="n">
        <v>44931</v>
      </c>
      <c r="C476" s="1" t="n">
        <v>45911</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46389-2021</t>
        </is>
      </c>
      <c r="B477" s="1" t="n">
        <v>44443</v>
      </c>
      <c r="C477" s="1" t="n">
        <v>45911</v>
      </c>
      <c r="D477" t="inlineStr">
        <is>
          <t>GOTLANDS LÄN</t>
        </is>
      </c>
      <c r="E477" t="inlineStr">
        <is>
          <t>GOTLAND</t>
        </is>
      </c>
      <c r="F477" t="inlineStr">
        <is>
          <t>Kyrkan</t>
        </is>
      </c>
      <c r="G477" t="n">
        <v>2.1</v>
      </c>
      <c r="H477" t="n">
        <v>0</v>
      </c>
      <c r="I477" t="n">
        <v>0</v>
      </c>
      <c r="J477" t="n">
        <v>0</v>
      </c>
      <c r="K477" t="n">
        <v>0</v>
      </c>
      <c r="L477" t="n">
        <v>0</v>
      </c>
      <c r="M477" t="n">
        <v>0</v>
      </c>
      <c r="N477" t="n">
        <v>0</v>
      </c>
      <c r="O477" t="n">
        <v>0</v>
      </c>
      <c r="P477" t="n">
        <v>0</v>
      </c>
      <c r="Q477" t="n">
        <v>0</v>
      </c>
      <c r="R477" s="2" t="inlineStr"/>
    </row>
    <row r="478" ht="15" customHeight="1">
      <c r="A478" t="inlineStr">
        <is>
          <t>A 49693-2023</t>
        </is>
      </c>
      <c r="B478" s="1" t="n">
        <v>45212.38138888889</v>
      </c>
      <c r="C478" s="1" t="n">
        <v>45911</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49697-2023</t>
        </is>
      </c>
      <c r="B479" s="1" t="n">
        <v>45212.38909722222</v>
      </c>
      <c r="C479" s="1" t="n">
        <v>45911</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26810-2021</t>
        </is>
      </c>
      <c r="B480" s="1" t="n">
        <v>44349.55087962963</v>
      </c>
      <c r="C480" s="1" t="n">
        <v>45911</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17901-2023</t>
        </is>
      </c>
      <c r="B481" s="1" t="n">
        <v>45039</v>
      </c>
      <c r="C481" s="1" t="n">
        <v>45911</v>
      </c>
      <c r="D481" t="inlineStr">
        <is>
          <t>GOTLANDS LÄN</t>
        </is>
      </c>
      <c r="E481" t="inlineStr">
        <is>
          <t>GOTLAND</t>
        </is>
      </c>
      <c r="F481" t="inlineStr">
        <is>
          <t>Kyrkan</t>
        </is>
      </c>
      <c r="G481" t="n">
        <v>0.6</v>
      </c>
      <c r="H481" t="n">
        <v>0</v>
      </c>
      <c r="I481" t="n">
        <v>0</v>
      </c>
      <c r="J481" t="n">
        <v>0</v>
      </c>
      <c r="K481" t="n">
        <v>0</v>
      </c>
      <c r="L481" t="n">
        <v>0</v>
      </c>
      <c r="M481" t="n">
        <v>0</v>
      </c>
      <c r="N481" t="n">
        <v>0</v>
      </c>
      <c r="O481" t="n">
        <v>0</v>
      </c>
      <c r="P481" t="n">
        <v>0</v>
      </c>
      <c r="Q481" t="n">
        <v>0</v>
      </c>
      <c r="R481" s="2" t="inlineStr"/>
    </row>
    <row r="482" ht="15" customHeight="1">
      <c r="A482" t="inlineStr">
        <is>
          <t>A 5923-2023</t>
        </is>
      </c>
      <c r="B482" s="1" t="n">
        <v>44963.69503472222</v>
      </c>
      <c r="C482" s="1" t="n">
        <v>45911</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33853-2024</t>
        </is>
      </c>
      <c r="B483" s="1" t="n">
        <v>45520.64298611111</v>
      </c>
      <c r="C483" s="1" t="n">
        <v>45911</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18918-2025</t>
        </is>
      </c>
      <c r="B484" s="1" t="n">
        <v>45764</v>
      </c>
      <c r="C484" s="1" t="n">
        <v>45911</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2674-2023</t>
        </is>
      </c>
      <c r="B485" s="1" t="n">
        <v>44944</v>
      </c>
      <c r="C485" s="1" t="n">
        <v>45911</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41551-2025</t>
        </is>
      </c>
      <c r="B486" s="1" t="n">
        <v>45901.58854166666</v>
      </c>
      <c r="C486" s="1" t="n">
        <v>45911</v>
      </c>
      <c r="D486" t="inlineStr">
        <is>
          <t>GOTLANDS LÄN</t>
        </is>
      </c>
      <c r="E486" t="inlineStr">
        <is>
          <t>GOTLAND</t>
        </is>
      </c>
      <c r="G486" t="n">
        <v>5.6</v>
      </c>
      <c r="H486" t="n">
        <v>0</v>
      </c>
      <c r="I486" t="n">
        <v>0</v>
      </c>
      <c r="J486" t="n">
        <v>0</v>
      </c>
      <c r="K486" t="n">
        <v>0</v>
      </c>
      <c r="L486" t="n">
        <v>0</v>
      </c>
      <c r="M486" t="n">
        <v>0</v>
      </c>
      <c r="N486" t="n">
        <v>0</v>
      </c>
      <c r="O486" t="n">
        <v>0</v>
      </c>
      <c r="P486" t="n">
        <v>0</v>
      </c>
      <c r="Q486" t="n">
        <v>0</v>
      </c>
      <c r="R486" s="2" t="inlineStr"/>
    </row>
    <row r="487" ht="15" customHeight="1">
      <c r="A487" t="inlineStr">
        <is>
          <t>A 52892-2021</t>
        </is>
      </c>
      <c r="B487" s="1" t="n">
        <v>44467.49048611111</v>
      </c>
      <c r="C487" s="1" t="n">
        <v>45911</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41435-2025</t>
        </is>
      </c>
      <c r="B488" s="1" t="n">
        <v>45901.39974537037</v>
      </c>
      <c r="C488" s="1" t="n">
        <v>45911</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40235-2025</t>
        </is>
      </c>
      <c r="B489" s="1" t="n">
        <v>45894.74005787037</v>
      </c>
      <c r="C489" s="1" t="n">
        <v>45911</v>
      </c>
      <c r="D489" t="inlineStr">
        <is>
          <t>GOTLANDS LÄN</t>
        </is>
      </c>
      <c r="E489" t="inlineStr">
        <is>
          <t>GOTLAND</t>
        </is>
      </c>
      <c r="G489" t="n">
        <v>10.6</v>
      </c>
      <c r="H489" t="n">
        <v>0</v>
      </c>
      <c r="I489" t="n">
        <v>0</v>
      </c>
      <c r="J489" t="n">
        <v>0</v>
      </c>
      <c r="K489" t="n">
        <v>0</v>
      </c>
      <c r="L489" t="n">
        <v>0</v>
      </c>
      <c r="M489" t="n">
        <v>0</v>
      </c>
      <c r="N489" t="n">
        <v>0</v>
      </c>
      <c r="O489" t="n">
        <v>0</v>
      </c>
      <c r="P489" t="n">
        <v>0</v>
      </c>
      <c r="Q489" t="n">
        <v>0</v>
      </c>
      <c r="R489" s="2" t="inlineStr"/>
    </row>
    <row r="490" ht="15" customHeight="1">
      <c r="A490" t="inlineStr">
        <is>
          <t>A 1713-2025</t>
        </is>
      </c>
      <c r="B490" s="1" t="n">
        <v>45671.32342592593</v>
      </c>
      <c r="C490" s="1" t="n">
        <v>45911</v>
      </c>
      <c r="D490" t="inlineStr">
        <is>
          <t>GOTLANDS LÄN</t>
        </is>
      </c>
      <c r="E490" t="inlineStr">
        <is>
          <t>GOTLAND</t>
        </is>
      </c>
      <c r="G490" t="n">
        <v>10.1</v>
      </c>
      <c r="H490" t="n">
        <v>0</v>
      </c>
      <c r="I490" t="n">
        <v>0</v>
      </c>
      <c r="J490" t="n">
        <v>0</v>
      </c>
      <c r="K490" t="n">
        <v>0</v>
      </c>
      <c r="L490" t="n">
        <v>0</v>
      </c>
      <c r="M490" t="n">
        <v>0</v>
      </c>
      <c r="N490" t="n">
        <v>0</v>
      </c>
      <c r="O490" t="n">
        <v>0</v>
      </c>
      <c r="P490" t="n">
        <v>0</v>
      </c>
      <c r="Q490" t="n">
        <v>0</v>
      </c>
      <c r="R490" s="2" t="inlineStr"/>
    </row>
    <row r="491" ht="15" customHeight="1">
      <c r="A491" t="inlineStr">
        <is>
          <t>A 46396-2023</t>
        </is>
      </c>
      <c r="B491" s="1" t="n">
        <v>45197</v>
      </c>
      <c r="C491" s="1" t="n">
        <v>45911</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45911</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2719-2023</t>
        </is>
      </c>
      <c r="B493" s="1" t="n">
        <v>44944.55361111111</v>
      </c>
      <c r="C493" s="1" t="n">
        <v>45911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26891-2024</t>
        </is>
      </c>
      <c r="B494" s="1" t="n">
        <v>45470.65540509259</v>
      </c>
      <c r="C494" s="1" t="n">
        <v>45911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42007-2023</t>
        </is>
      </c>
      <c r="B495" s="1" t="n">
        <v>45177</v>
      </c>
      <c r="C495" s="1" t="n">
        <v>45911</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9887-2025</t>
        </is>
      </c>
      <c r="B496" s="1" t="n">
        <v>45716</v>
      </c>
      <c r="C496" s="1" t="n">
        <v>45911</v>
      </c>
      <c r="D496" t="inlineStr">
        <is>
          <t>GOTLANDS LÄN</t>
        </is>
      </c>
      <c r="E496" t="inlineStr">
        <is>
          <t>GOTLAND</t>
        </is>
      </c>
      <c r="G496" t="n">
        <v>7.5</v>
      </c>
      <c r="H496" t="n">
        <v>0</v>
      </c>
      <c r="I496" t="n">
        <v>0</v>
      </c>
      <c r="J496" t="n">
        <v>0</v>
      </c>
      <c r="K496" t="n">
        <v>0</v>
      </c>
      <c r="L496" t="n">
        <v>0</v>
      </c>
      <c r="M496" t="n">
        <v>0</v>
      </c>
      <c r="N496" t="n">
        <v>0</v>
      </c>
      <c r="O496" t="n">
        <v>0</v>
      </c>
      <c r="P496" t="n">
        <v>0</v>
      </c>
      <c r="Q496" t="n">
        <v>0</v>
      </c>
      <c r="R496" s="2" t="inlineStr"/>
    </row>
    <row r="497" ht="15" customHeight="1">
      <c r="A497" t="inlineStr">
        <is>
          <t>A 17724-2024</t>
        </is>
      </c>
      <c r="B497" s="1" t="n">
        <v>45418.55096064815</v>
      </c>
      <c r="C497" s="1" t="n">
        <v>45911</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34312-2024</t>
        </is>
      </c>
      <c r="B498" s="1" t="n">
        <v>45524.69703703704</v>
      </c>
      <c r="C498" s="1" t="n">
        <v>45911</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38165-2023</t>
        </is>
      </c>
      <c r="B499" s="1" t="n">
        <v>45161</v>
      </c>
      <c r="C499" s="1" t="n">
        <v>45911</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27596-2023</t>
        </is>
      </c>
      <c r="B500" s="1" t="n">
        <v>45097</v>
      </c>
      <c r="C500" s="1" t="n">
        <v>45911</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15216-2025</t>
        </is>
      </c>
      <c r="B501" s="1" t="n">
        <v>45744</v>
      </c>
      <c r="C501" s="1" t="n">
        <v>45911</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24825-2024</t>
        </is>
      </c>
      <c r="B502" s="1" t="n">
        <v>45461</v>
      </c>
      <c r="C502" s="1" t="n">
        <v>45911</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6696-2023</t>
        </is>
      </c>
      <c r="B503" s="1" t="n">
        <v>44966.66425925926</v>
      </c>
      <c r="C503" s="1" t="n">
        <v>45911</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6153-2024</t>
        </is>
      </c>
      <c r="B504" s="1" t="n">
        <v>45337</v>
      </c>
      <c r="C504" s="1" t="n">
        <v>45911</v>
      </c>
      <c r="D504" t="inlineStr">
        <is>
          <t>GOTLANDS LÄN</t>
        </is>
      </c>
      <c r="E504" t="inlineStr">
        <is>
          <t>GOTLAND</t>
        </is>
      </c>
      <c r="G504" t="n">
        <v>14.2</v>
      </c>
      <c r="H504" t="n">
        <v>0</v>
      </c>
      <c r="I504" t="n">
        <v>0</v>
      </c>
      <c r="J504" t="n">
        <v>0</v>
      </c>
      <c r="K504" t="n">
        <v>0</v>
      </c>
      <c r="L504" t="n">
        <v>0</v>
      </c>
      <c r="M504" t="n">
        <v>0</v>
      </c>
      <c r="N504" t="n">
        <v>0</v>
      </c>
      <c r="O504" t="n">
        <v>0</v>
      </c>
      <c r="P504" t="n">
        <v>0</v>
      </c>
      <c r="Q504" t="n">
        <v>0</v>
      </c>
      <c r="R504" s="2" t="inlineStr"/>
    </row>
    <row r="505" ht="15" customHeight="1">
      <c r="A505" t="inlineStr">
        <is>
          <t>A 43790-2024</t>
        </is>
      </c>
      <c r="B505" s="1" t="n">
        <v>45571</v>
      </c>
      <c r="C505" s="1" t="n">
        <v>45911</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69112-2021</t>
        </is>
      </c>
      <c r="B506" s="1" t="n">
        <v>44530</v>
      </c>
      <c r="C506" s="1" t="n">
        <v>45911</v>
      </c>
      <c r="D506" t="inlineStr">
        <is>
          <t>GOTLANDS LÄN</t>
        </is>
      </c>
      <c r="E506" t="inlineStr">
        <is>
          <t>GOTLAND</t>
        </is>
      </c>
      <c r="G506" t="n">
        <v>4.2</v>
      </c>
      <c r="H506" t="n">
        <v>0</v>
      </c>
      <c r="I506" t="n">
        <v>0</v>
      </c>
      <c r="J506" t="n">
        <v>0</v>
      </c>
      <c r="K506" t="n">
        <v>0</v>
      </c>
      <c r="L506" t="n">
        <v>0</v>
      </c>
      <c r="M506" t="n">
        <v>0</v>
      </c>
      <c r="N506" t="n">
        <v>0</v>
      </c>
      <c r="O506" t="n">
        <v>0</v>
      </c>
      <c r="P506" t="n">
        <v>0</v>
      </c>
      <c r="Q506" t="n">
        <v>0</v>
      </c>
      <c r="R506" s="2" t="inlineStr"/>
    </row>
    <row r="507" ht="15" customHeight="1">
      <c r="A507" t="inlineStr">
        <is>
          <t>A 15001-2025</t>
        </is>
      </c>
      <c r="B507" s="1" t="n">
        <v>45743</v>
      </c>
      <c r="C507" s="1" t="n">
        <v>45911</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7638-2025</t>
        </is>
      </c>
      <c r="B508" s="1" t="n">
        <v>45705.77306712963</v>
      </c>
      <c r="C508" s="1" t="n">
        <v>45911</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44705.38832175926</v>
      </c>
      <c r="C509" s="1" t="n">
        <v>45911</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456-2023</t>
        </is>
      </c>
      <c r="B510" s="1" t="n">
        <v>44929.87122685185</v>
      </c>
      <c r="C510" s="1" t="n">
        <v>45911</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30488-2025</t>
        </is>
      </c>
      <c r="B511" s="1" t="n">
        <v>45830</v>
      </c>
      <c r="C511" s="1" t="n">
        <v>45911</v>
      </c>
      <c r="D511" t="inlineStr">
        <is>
          <t>GOTLANDS LÄN</t>
        </is>
      </c>
      <c r="E511" t="inlineStr">
        <is>
          <t>GOTLAND</t>
        </is>
      </c>
      <c r="F511" t="inlineStr">
        <is>
          <t>Kyrkan</t>
        </is>
      </c>
      <c r="G511" t="n">
        <v>3.9</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45911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42608-2025</t>
        </is>
      </c>
      <c r="B513" s="1" t="n">
        <v>45905</v>
      </c>
      <c r="C513" s="1" t="n">
        <v>45911</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17847-2025</t>
        </is>
      </c>
      <c r="B514" s="1" t="n">
        <v>45758</v>
      </c>
      <c r="C514" s="1" t="n">
        <v>45911</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44944.54896990741</v>
      </c>
      <c r="C515" s="1" t="n">
        <v>45911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1394-2023</t>
        </is>
      </c>
      <c r="B516" s="1" t="n">
        <v>44936.72997685185</v>
      </c>
      <c r="C516" s="1" t="n">
        <v>45911</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4421-2024</t>
        </is>
      </c>
      <c r="B517" s="1" t="n">
        <v>45327.45173611111</v>
      </c>
      <c r="C517" s="1" t="n">
        <v>45911</v>
      </c>
      <c r="D517" t="inlineStr">
        <is>
          <t>GOTLANDS LÄN</t>
        </is>
      </c>
      <c r="E517" t="inlineStr">
        <is>
          <t>GOTLAND</t>
        </is>
      </c>
      <c r="G517" t="n">
        <v>5.1</v>
      </c>
      <c r="H517" t="n">
        <v>0</v>
      </c>
      <c r="I517" t="n">
        <v>0</v>
      </c>
      <c r="J517" t="n">
        <v>0</v>
      </c>
      <c r="K517" t="n">
        <v>0</v>
      </c>
      <c r="L517" t="n">
        <v>0</v>
      </c>
      <c r="M517" t="n">
        <v>0</v>
      </c>
      <c r="N517" t="n">
        <v>0</v>
      </c>
      <c r="O517" t="n">
        <v>0</v>
      </c>
      <c r="P517" t="n">
        <v>0</v>
      </c>
      <c r="Q517" t="n">
        <v>0</v>
      </c>
      <c r="R517" s="2" t="inlineStr"/>
    </row>
    <row r="518" ht="15" customHeight="1">
      <c r="A518" t="inlineStr">
        <is>
          <t>A 58230-2024</t>
        </is>
      </c>
      <c r="B518" s="1" t="n">
        <v>45632.51625</v>
      </c>
      <c r="C518" s="1" t="n">
        <v>45911</v>
      </c>
      <c r="D518" t="inlineStr">
        <is>
          <t>GOTLANDS LÄN</t>
        </is>
      </c>
      <c r="E518" t="inlineStr">
        <is>
          <t>GOTLAND</t>
        </is>
      </c>
      <c r="G518" t="n">
        <v>7.3</v>
      </c>
      <c r="H518" t="n">
        <v>0</v>
      </c>
      <c r="I518" t="n">
        <v>0</v>
      </c>
      <c r="J518" t="n">
        <v>0</v>
      </c>
      <c r="K518" t="n">
        <v>0</v>
      </c>
      <c r="L518" t="n">
        <v>0</v>
      </c>
      <c r="M518" t="n">
        <v>0</v>
      </c>
      <c r="N518" t="n">
        <v>0</v>
      </c>
      <c r="O518" t="n">
        <v>0</v>
      </c>
      <c r="P518" t="n">
        <v>0</v>
      </c>
      <c r="Q518" t="n">
        <v>0</v>
      </c>
      <c r="R518" s="2" t="inlineStr"/>
    </row>
    <row r="519" ht="15" customHeight="1">
      <c r="A519" t="inlineStr">
        <is>
          <t>A 51782-2023</t>
        </is>
      </c>
      <c r="B519" s="1" t="n">
        <v>45222.80952546297</v>
      </c>
      <c r="C519" s="1" t="n">
        <v>45911</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45911</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18742-2025</t>
        </is>
      </c>
      <c r="B521" s="1" t="n">
        <v>45763</v>
      </c>
      <c r="C521" s="1" t="n">
        <v>45911</v>
      </c>
      <c r="D521" t="inlineStr">
        <is>
          <t>GOTLANDS LÄN</t>
        </is>
      </c>
      <c r="E521" t="inlineStr">
        <is>
          <t>GOTLAND</t>
        </is>
      </c>
      <c r="G521" t="n">
        <v>3.4</v>
      </c>
      <c r="H521" t="n">
        <v>0</v>
      </c>
      <c r="I521" t="n">
        <v>0</v>
      </c>
      <c r="J521" t="n">
        <v>0</v>
      </c>
      <c r="K521" t="n">
        <v>0</v>
      </c>
      <c r="L521" t="n">
        <v>0</v>
      </c>
      <c r="M521" t="n">
        <v>0</v>
      </c>
      <c r="N521" t="n">
        <v>0</v>
      </c>
      <c r="O521" t="n">
        <v>0</v>
      </c>
      <c r="P521" t="n">
        <v>0</v>
      </c>
      <c r="Q521" t="n">
        <v>0</v>
      </c>
      <c r="R521" s="2" t="inlineStr"/>
    </row>
    <row r="522" ht="15" customHeight="1">
      <c r="A522" t="inlineStr">
        <is>
          <t>A 36319-2025</t>
        </is>
      </c>
      <c r="B522" s="1" t="n">
        <v>45868</v>
      </c>
      <c r="C522" s="1" t="n">
        <v>45911</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1462-2025</t>
        </is>
      </c>
      <c r="B523" s="1" t="n">
        <v>45670.36319444444</v>
      </c>
      <c r="C523" s="1" t="n">
        <v>45911</v>
      </c>
      <c r="D523" t="inlineStr">
        <is>
          <t>GOTLANDS LÄN</t>
        </is>
      </c>
      <c r="E523" t="inlineStr">
        <is>
          <t>GOTLAND</t>
        </is>
      </c>
      <c r="G523" t="n">
        <v>2.8</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45911</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35129-2025</t>
        </is>
      </c>
      <c r="B525" s="1" t="n">
        <v>45852.63224537037</v>
      </c>
      <c r="C525" s="1" t="n">
        <v>45911</v>
      </c>
      <c r="D525" t="inlineStr">
        <is>
          <t>GOTLANDS LÄN</t>
        </is>
      </c>
      <c r="E525" t="inlineStr">
        <is>
          <t>GOTLAND</t>
        </is>
      </c>
      <c r="G525" t="n">
        <v>3.2</v>
      </c>
      <c r="H525" t="n">
        <v>0</v>
      </c>
      <c r="I525" t="n">
        <v>0</v>
      </c>
      <c r="J525" t="n">
        <v>0</v>
      </c>
      <c r="K525" t="n">
        <v>0</v>
      </c>
      <c r="L525" t="n">
        <v>0</v>
      </c>
      <c r="M525" t="n">
        <v>0</v>
      </c>
      <c r="N525" t="n">
        <v>0</v>
      </c>
      <c r="O525" t="n">
        <v>0</v>
      </c>
      <c r="P525" t="n">
        <v>0</v>
      </c>
      <c r="Q525" t="n">
        <v>0</v>
      </c>
      <c r="R525" s="2" t="inlineStr"/>
    </row>
    <row r="526" ht="15" customHeight="1">
      <c r="A526" t="inlineStr">
        <is>
          <t>A 25866-2022</t>
        </is>
      </c>
      <c r="B526" s="1" t="n">
        <v>44733</v>
      </c>
      <c r="C526" s="1" t="n">
        <v>45911</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43229-2023</t>
        </is>
      </c>
      <c r="B527" s="1" t="n">
        <v>45183.46704861111</v>
      </c>
      <c r="C527" s="1" t="n">
        <v>45911</v>
      </c>
      <c r="D527" t="inlineStr">
        <is>
          <t>GOTLANDS LÄN</t>
        </is>
      </c>
      <c r="E527" t="inlineStr">
        <is>
          <t>GOTLAND</t>
        </is>
      </c>
      <c r="G527" t="n">
        <v>7.1</v>
      </c>
      <c r="H527" t="n">
        <v>0</v>
      </c>
      <c r="I527" t="n">
        <v>0</v>
      </c>
      <c r="J527" t="n">
        <v>0</v>
      </c>
      <c r="K527" t="n">
        <v>0</v>
      </c>
      <c r="L527" t="n">
        <v>0</v>
      </c>
      <c r="M527" t="n">
        <v>0</v>
      </c>
      <c r="N527" t="n">
        <v>0</v>
      </c>
      <c r="O527" t="n">
        <v>0</v>
      </c>
      <c r="P527" t="n">
        <v>0</v>
      </c>
      <c r="Q527" t="n">
        <v>0</v>
      </c>
      <c r="R527" s="2" t="inlineStr"/>
    </row>
    <row r="528" ht="15" customHeight="1">
      <c r="A528" t="inlineStr">
        <is>
          <t>A 1175-2025</t>
        </is>
      </c>
      <c r="B528" s="1" t="n">
        <v>45667.34449074074</v>
      </c>
      <c r="C528" s="1" t="n">
        <v>45911</v>
      </c>
      <c r="D528" t="inlineStr">
        <is>
          <t>GOTLANDS LÄN</t>
        </is>
      </c>
      <c r="E528" t="inlineStr">
        <is>
          <t>GOTLAND</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55334-2024</t>
        </is>
      </c>
      <c r="B529" s="1" t="n">
        <v>45621</v>
      </c>
      <c r="C529" s="1" t="n">
        <v>45911</v>
      </c>
      <c r="D529" t="inlineStr">
        <is>
          <t>GOTLANDS LÄN</t>
        </is>
      </c>
      <c r="E529" t="inlineStr">
        <is>
          <t>GOTLAND</t>
        </is>
      </c>
      <c r="G529" t="n">
        <v>21.7</v>
      </c>
      <c r="H529" t="n">
        <v>0</v>
      </c>
      <c r="I529" t="n">
        <v>0</v>
      </c>
      <c r="J529" t="n">
        <v>0</v>
      </c>
      <c r="K529" t="n">
        <v>0</v>
      </c>
      <c r="L529" t="n">
        <v>0</v>
      </c>
      <c r="M529" t="n">
        <v>0</v>
      </c>
      <c r="N529" t="n">
        <v>0</v>
      </c>
      <c r="O529" t="n">
        <v>0</v>
      </c>
      <c r="P529" t="n">
        <v>0</v>
      </c>
      <c r="Q529" t="n">
        <v>0</v>
      </c>
      <c r="R529" s="2" t="inlineStr"/>
    </row>
    <row r="530" ht="15" customHeight="1">
      <c r="A530" t="inlineStr">
        <is>
          <t>A 27095-2022</t>
        </is>
      </c>
      <c r="B530" s="1" t="n">
        <v>44741</v>
      </c>
      <c r="C530" s="1" t="n">
        <v>45911</v>
      </c>
      <c r="D530" t="inlineStr">
        <is>
          <t>GOTLANDS LÄN</t>
        </is>
      </c>
      <c r="E530" t="inlineStr">
        <is>
          <t>GOTLAND</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22899-2023</t>
        </is>
      </c>
      <c r="B531" s="1" t="n">
        <v>45072</v>
      </c>
      <c r="C531" s="1" t="n">
        <v>45911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42607-2025</t>
        </is>
      </c>
      <c r="B532" s="1" t="n">
        <v>45905</v>
      </c>
      <c r="C532" s="1" t="n">
        <v>45911</v>
      </c>
      <c r="D532" t="inlineStr">
        <is>
          <t>GOTLANDS LÄN</t>
        </is>
      </c>
      <c r="E532" t="inlineStr">
        <is>
          <t>GOTLAND</t>
        </is>
      </c>
      <c r="G532" t="n">
        <v>15.8</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45911</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45911</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45911</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45911</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45911</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34407-2023</t>
        </is>
      </c>
      <c r="B538" s="1" t="n">
        <v>45132</v>
      </c>
      <c r="C538" s="1" t="n">
        <v>45911</v>
      </c>
      <c r="D538" t="inlineStr">
        <is>
          <t>GOTLANDS LÄN</t>
        </is>
      </c>
      <c r="E538" t="inlineStr">
        <is>
          <t>GOTLAND</t>
        </is>
      </c>
      <c r="G538" t="n">
        <v>4.4</v>
      </c>
      <c r="H538" t="n">
        <v>0</v>
      </c>
      <c r="I538" t="n">
        <v>0</v>
      </c>
      <c r="J538" t="n">
        <v>0</v>
      </c>
      <c r="K538" t="n">
        <v>0</v>
      </c>
      <c r="L538" t="n">
        <v>0</v>
      </c>
      <c r="M538" t="n">
        <v>0</v>
      </c>
      <c r="N538" t="n">
        <v>0</v>
      </c>
      <c r="O538" t="n">
        <v>0</v>
      </c>
      <c r="P538" t="n">
        <v>0</v>
      </c>
      <c r="Q538" t="n">
        <v>0</v>
      </c>
      <c r="R538" s="2" t="inlineStr"/>
    </row>
    <row r="539" ht="15" customHeight="1">
      <c r="A539" t="inlineStr">
        <is>
          <t>A 11013-2024</t>
        </is>
      </c>
      <c r="B539" s="1" t="n">
        <v>45370</v>
      </c>
      <c r="C539" s="1" t="n">
        <v>45911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27694-2024</t>
        </is>
      </c>
      <c r="B540" s="1" t="n">
        <v>45475</v>
      </c>
      <c r="C540" s="1" t="n">
        <v>45911</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45911</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15083-2025</t>
        </is>
      </c>
      <c r="B542" s="1" t="n">
        <v>45743</v>
      </c>
      <c r="C542" s="1" t="n">
        <v>45911</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7026-2023</t>
        </is>
      </c>
      <c r="B543" s="1" t="n">
        <v>44968.30340277778</v>
      </c>
      <c r="C543" s="1" t="n">
        <v>45911</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20855-2023</t>
        </is>
      </c>
      <c r="B544" s="1" t="n">
        <v>45058.82172453704</v>
      </c>
      <c r="C544" s="1" t="n">
        <v>45911</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13037-2025</t>
        </is>
      </c>
      <c r="B545" s="1" t="n">
        <v>45734</v>
      </c>
      <c r="C545" s="1" t="n">
        <v>45911</v>
      </c>
      <c r="D545" t="inlineStr">
        <is>
          <t>GOTLANDS LÄN</t>
        </is>
      </c>
      <c r="E545" t="inlineStr">
        <is>
          <t>GOTLAND</t>
        </is>
      </c>
      <c r="G545" t="n">
        <v>9.5</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45911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45911</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1000-2024</t>
        </is>
      </c>
      <c r="B548" s="1" t="n">
        <v>45301.63371527778</v>
      </c>
      <c r="C548" s="1" t="n">
        <v>45911</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1010-2024</t>
        </is>
      </c>
      <c r="B549" s="1" t="n">
        <v>45301</v>
      </c>
      <c r="C549" s="1" t="n">
        <v>45911</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44228-2022</t>
        </is>
      </c>
      <c r="B550" s="1" t="n">
        <v>44839.51599537037</v>
      </c>
      <c r="C550" s="1" t="n">
        <v>45911</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58132-2023</t>
        </is>
      </c>
      <c r="B551" s="1" t="n">
        <v>45250</v>
      </c>
      <c r="C551" s="1" t="n">
        <v>45911</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49884-2023</t>
        </is>
      </c>
      <c r="B552" s="1" t="n">
        <v>45213</v>
      </c>
      <c r="C552" s="1" t="n">
        <v>45911</v>
      </c>
      <c r="D552" t="inlineStr">
        <is>
          <t>GOTLANDS LÄN</t>
        </is>
      </c>
      <c r="E552" t="inlineStr">
        <is>
          <t>GOTLAND</t>
        </is>
      </c>
      <c r="G552" t="n">
        <v>8.9</v>
      </c>
      <c r="H552" t="n">
        <v>0</v>
      </c>
      <c r="I552" t="n">
        <v>0</v>
      </c>
      <c r="J552" t="n">
        <v>0</v>
      </c>
      <c r="K552" t="n">
        <v>0</v>
      </c>
      <c r="L552" t="n">
        <v>0</v>
      </c>
      <c r="M552" t="n">
        <v>0</v>
      </c>
      <c r="N552" t="n">
        <v>0</v>
      </c>
      <c r="O552" t="n">
        <v>0</v>
      </c>
      <c r="P552" t="n">
        <v>0</v>
      </c>
      <c r="Q552" t="n">
        <v>0</v>
      </c>
      <c r="R552" s="2" t="inlineStr"/>
    </row>
    <row r="553" ht="15" customHeight="1">
      <c r="A553" t="inlineStr">
        <is>
          <t>A 47762-2023</t>
        </is>
      </c>
      <c r="B553" s="1" t="n">
        <v>45203.86256944444</v>
      </c>
      <c r="C553" s="1" t="n">
        <v>45911</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876-2024</t>
        </is>
      </c>
      <c r="B554" s="1" t="n">
        <v>45301</v>
      </c>
      <c r="C554" s="1" t="n">
        <v>45911</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6796-2025</t>
        </is>
      </c>
      <c r="B555" s="1" t="n">
        <v>45700.66559027778</v>
      </c>
      <c r="C555" s="1" t="n">
        <v>45911</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46545-2024</t>
        </is>
      </c>
      <c r="B556" s="1" t="n">
        <v>45582.65831018519</v>
      </c>
      <c r="C556" s="1" t="n">
        <v>45911</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22704-2023</t>
        </is>
      </c>
      <c r="B557" s="1" t="n">
        <v>45071</v>
      </c>
      <c r="C557" s="1" t="n">
        <v>45911</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45911</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28425-2023</t>
        </is>
      </c>
      <c r="B559" s="1" t="n">
        <v>45102</v>
      </c>
      <c r="C559" s="1" t="n">
        <v>45911</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45911</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28480-2023</t>
        </is>
      </c>
      <c r="B561" s="1" t="n">
        <v>45103</v>
      </c>
      <c r="C561" s="1" t="n">
        <v>45911</v>
      </c>
      <c r="D561" t="inlineStr">
        <is>
          <t>GOTLANDS LÄN</t>
        </is>
      </c>
      <c r="E561" t="inlineStr">
        <is>
          <t>GOTLAND</t>
        </is>
      </c>
      <c r="G561" t="n">
        <v>5.7</v>
      </c>
      <c r="H561" t="n">
        <v>0</v>
      </c>
      <c r="I561" t="n">
        <v>0</v>
      </c>
      <c r="J561" t="n">
        <v>0</v>
      </c>
      <c r="K561" t="n">
        <v>0</v>
      </c>
      <c r="L561" t="n">
        <v>0</v>
      </c>
      <c r="M561" t="n">
        <v>0</v>
      </c>
      <c r="N561" t="n">
        <v>0</v>
      </c>
      <c r="O561" t="n">
        <v>0</v>
      </c>
      <c r="P561" t="n">
        <v>0</v>
      </c>
      <c r="Q561" t="n">
        <v>0</v>
      </c>
      <c r="R561" s="2" t="inlineStr"/>
    </row>
    <row r="562" ht="15" customHeight="1">
      <c r="A562" t="inlineStr">
        <is>
          <t>A 28485-2023</t>
        </is>
      </c>
      <c r="B562" s="1" t="n">
        <v>45103.43731481482</v>
      </c>
      <c r="C562" s="1" t="n">
        <v>45911</v>
      </c>
      <c r="D562" t="inlineStr">
        <is>
          <t>GOTLANDS LÄN</t>
        </is>
      </c>
      <c r="E562" t="inlineStr">
        <is>
          <t>GOTLAND</t>
        </is>
      </c>
      <c r="G562" t="n">
        <v>2.3</v>
      </c>
      <c r="H562" t="n">
        <v>0</v>
      </c>
      <c r="I562" t="n">
        <v>0</v>
      </c>
      <c r="J562" t="n">
        <v>0</v>
      </c>
      <c r="K562" t="n">
        <v>0</v>
      </c>
      <c r="L562" t="n">
        <v>0</v>
      </c>
      <c r="M562" t="n">
        <v>0</v>
      </c>
      <c r="N562" t="n">
        <v>0</v>
      </c>
      <c r="O562" t="n">
        <v>0</v>
      </c>
      <c r="P562" t="n">
        <v>0</v>
      </c>
      <c r="Q562" t="n">
        <v>0</v>
      </c>
      <c r="R562" s="2" t="inlineStr"/>
    </row>
    <row r="563" ht="15" customHeight="1">
      <c r="A563" t="inlineStr">
        <is>
          <t>A 62915-2021</t>
        </is>
      </c>
      <c r="B563" s="1" t="n">
        <v>44504</v>
      </c>
      <c r="C563" s="1" t="n">
        <v>45911</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44949-2023</t>
        </is>
      </c>
      <c r="B564" s="1" t="n">
        <v>45190.69520833333</v>
      </c>
      <c r="C564" s="1" t="n">
        <v>45911</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45911</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45911</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45911</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45911</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37222-2021</t>
        </is>
      </c>
      <c r="B569" s="1" t="n">
        <v>44396</v>
      </c>
      <c r="C569" s="1" t="n">
        <v>45911</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12209-2024</t>
        </is>
      </c>
      <c r="B570" s="1" t="n">
        <v>45378</v>
      </c>
      <c r="C570" s="1" t="n">
        <v>45911</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12210-2024</t>
        </is>
      </c>
      <c r="B571" s="1" t="n">
        <v>45378</v>
      </c>
      <c r="C571" s="1" t="n">
        <v>45911</v>
      </c>
      <c r="D571" t="inlineStr">
        <is>
          <t>GOTLANDS LÄN</t>
        </is>
      </c>
      <c r="E571" t="inlineStr">
        <is>
          <t>GOTLAND</t>
        </is>
      </c>
      <c r="G571" t="n">
        <v>4.1</v>
      </c>
      <c r="H571" t="n">
        <v>0</v>
      </c>
      <c r="I571" t="n">
        <v>0</v>
      </c>
      <c r="J571" t="n">
        <v>0</v>
      </c>
      <c r="K571" t="n">
        <v>0</v>
      </c>
      <c r="L571" t="n">
        <v>0</v>
      </c>
      <c r="M571" t="n">
        <v>0</v>
      </c>
      <c r="N571" t="n">
        <v>0</v>
      </c>
      <c r="O571" t="n">
        <v>0</v>
      </c>
      <c r="P571" t="n">
        <v>0</v>
      </c>
      <c r="Q571" t="n">
        <v>0</v>
      </c>
      <c r="R571" s="2" t="inlineStr"/>
    </row>
    <row r="572" ht="15" customHeight="1">
      <c r="A572" t="inlineStr">
        <is>
          <t>A 1364-2025</t>
        </is>
      </c>
      <c r="B572" s="1" t="n">
        <v>45667.63929398148</v>
      </c>
      <c r="C572" s="1" t="n">
        <v>45911</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45911</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3964-2024</t>
        </is>
      </c>
      <c r="B574" s="1" t="n">
        <v>45322</v>
      </c>
      <c r="C574" s="1" t="n">
        <v>45911</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45911</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2180-2025</t>
        </is>
      </c>
      <c r="B576" s="1" t="n">
        <v>45673</v>
      </c>
      <c r="C576" s="1" t="n">
        <v>45911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15436-2025</t>
        </is>
      </c>
      <c r="B577" s="1" t="n">
        <v>45747.47462962963</v>
      </c>
      <c r="C577" s="1" t="n">
        <v>45911</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10652-2025</t>
        </is>
      </c>
      <c r="B578" s="1" t="n">
        <v>45721.68640046296</v>
      </c>
      <c r="C578" s="1" t="n">
        <v>45911</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49257-2024</t>
        </is>
      </c>
      <c r="B579" s="1" t="n">
        <v>45595.47627314815</v>
      </c>
      <c r="C579" s="1" t="n">
        <v>45911</v>
      </c>
      <c r="D579" t="inlineStr">
        <is>
          <t>GOTLANDS LÄN</t>
        </is>
      </c>
      <c r="E579" t="inlineStr">
        <is>
          <t>GOTLAND</t>
        </is>
      </c>
      <c r="G579" t="n">
        <v>6.3</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45911</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45911</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14915-2025</t>
        </is>
      </c>
      <c r="B582" s="1" t="n">
        <v>45743.53121527778</v>
      </c>
      <c r="C582" s="1" t="n">
        <v>45911</v>
      </c>
      <c r="D582" t="inlineStr">
        <is>
          <t>GOTLANDS LÄN</t>
        </is>
      </c>
      <c r="E582" t="inlineStr">
        <is>
          <t>GOTLAND</t>
        </is>
      </c>
      <c r="G582" t="n">
        <v>5.9</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44959.39582175926</v>
      </c>
      <c r="C583" s="1" t="n">
        <v>45911</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2774-2024</t>
        </is>
      </c>
      <c r="B584" s="1" t="n">
        <v>45314.62375</v>
      </c>
      <c r="C584" s="1" t="n">
        <v>45911</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60709-2023</t>
        </is>
      </c>
      <c r="B585" s="1" t="n">
        <v>45260</v>
      </c>
      <c r="C585" s="1" t="n">
        <v>45911</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45911</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39764-2022</t>
        </is>
      </c>
      <c r="B587" s="1" t="n">
        <v>44819</v>
      </c>
      <c r="C587" s="1" t="n">
        <v>45911</v>
      </c>
      <c r="D587" t="inlineStr">
        <is>
          <t>GOTLANDS LÄN</t>
        </is>
      </c>
      <c r="E587" t="inlineStr">
        <is>
          <t>GOTLAND</t>
        </is>
      </c>
      <c r="F587" t="inlineStr">
        <is>
          <t>Kyrkan</t>
        </is>
      </c>
      <c r="G587" t="n">
        <v>3.7</v>
      </c>
      <c r="H587" t="n">
        <v>0</v>
      </c>
      <c r="I587" t="n">
        <v>0</v>
      </c>
      <c r="J587" t="n">
        <v>0</v>
      </c>
      <c r="K587" t="n">
        <v>0</v>
      </c>
      <c r="L587" t="n">
        <v>0</v>
      </c>
      <c r="M587" t="n">
        <v>0</v>
      </c>
      <c r="N587" t="n">
        <v>0</v>
      </c>
      <c r="O587" t="n">
        <v>0</v>
      </c>
      <c r="P587" t="n">
        <v>0</v>
      </c>
      <c r="Q587" t="n">
        <v>0</v>
      </c>
      <c r="R587" s="2" t="inlineStr"/>
    </row>
    <row r="588" ht="15" customHeight="1">
      <c r="A588" t="inlineStr">
        <is>
          <t>A 58211-2024</t>
        </is>
      </c>
      <c r="B588" s="1" t="n">
        <v>45632.49292824074</v>
      </c>
      <c r="C588" s="1" t="n">
        <v>45911</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30956-2024</t>
        </is>
      </c>
      <c r="B589" s="1" t="n">
        <v>45499.42527777778</v>
      </c>
      <c r="C589" s="1" t="n">
        <v>45911</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30892-2024</t>
        </is>
      </c>
      <c r="B590" s="1" t="n">
        <v>45491</v>
      </c>
      <c r="C590" s="1" t="n">
        <v>45911</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45013.69365740741</v>
      </c>
      <c r="C591" s="1" t="n">
        <v>45911</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59469-2024</t>
        </is>
      </c>
      <c r="B592" s="1" t="n">
        <v>45638</v>
      </c>
      <c r="C592" s="1" t="n">
        <v>45911</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7858-2025</t>
        </is>
      </c>
      <c r="B593" s="1" t="n">
        <v>45706.68633101852</v>
      </c>
      <c r="C593" s="1" t="n">
        <v>45911</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53935-2024</t>
        </is>
      </c>
      <c r="B594" s="1" t="n">
        <v>45615</v>
      </c>
      <c r="C594" s="1" t="n">
        <v>45911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45911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45911</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5891-2025</t>
        </is>
      </c>
      <c r="B597" s="1" t="n">
        <v>45695.38327546296</v>
      </c>
      <c r="C597" s="1" t="n">
        <v>45911</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7835-2024</t>
        </is>
      </c>
      <c r="B598" s="1" t="n">
        <v>45349.83138888889</v>
      </c>
      <c r="C598" s="1" t="n">
        <v>45911</v>
      </c>
      <c r="D598" t="inlineStr">
        <is>
          <t>GOTLANDS LÄN</t>
        </is>
      </c>
      <c r="E598" t="inlineStr">
        <is>
          <t>GOTLAND</t>
        </is>
      </c>
      <c r="G598" t="n">
        <v>3.8</v>
      </c>
      <c r="H598" t="n">
        <v>0</v>
      </c>
      <c r="I598" t="n">
        <v>0</v>
      </c>
      <c r="J598" t="n">
        <v>0</v>
      </c>
      <c r="K598" t="n">
        <v>0</v>
      </c>
      <c r="L598" t="n">
        <v>0</v>
      </c>
      <c r="M598" t="n">
        <v>0</v>
      </c>
      <c r="N598" t="n">
        <v>0</v>
      </c>
      <c r="O598" t="n">
        <v>0</v>
      </c>
      <c r="P598" t="n">
        <v>0</v>
      </c>
      <c r="Q598" t="n">
        <v>0</v>
      </c>
      <c r="R598" s="2" t="inlineStr"/>
    </row>
    <row r="599" ht="15" customHeight="1">
      <c r="A599" t="inlineStr">
        <is>
          <t>A 20794-2025</t>
        </is>
      </c>
      <c r="B599" s="1" t="n">
        <v>45776</v>
      </c>
      <c r="C599" s="1" t="n">
        <v>45911</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20805-2025</t>
        </is>
      </c>
      <c r="B600" s="1" t="n">
        <v>45776</v>
      </c>
      <c r="C600" s="1" t="n">
        <v>45911</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21389-2025</t>
        </is>
      </c>
      <c r="B601" s="1" t="n">
        <v>45782</v>
      </c>
      <c r="C601" s="1" t="n">
        <v>45911</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45911</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c r="A603" t="inlineStr">
        <is>
          <t>A 21651-2025</t>
        </is>
      </c>
      <c r="B603" s="1" t="n">
        <v>45783</v>
      </c>
      <c r="C603" s="1" t="n">
        <v>45911</v>
      </c>
      <c r="D603" t="inlineStr">
        <is>
          <t>GOTLANDS LÄN</t>
        </is>
      </c>
      <c r="E603" t="inlineStr">
        <is>
          <t>GOTLAND</t>
        </is>
      </c>
      <c r="G603" t="n">
        <v>4.2</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2025-09-11T08:56:27Z</dcterms:created>
  <dcterms:modified xmlns:dcterms="http://purl.org/dc/terms/" xmlns:xsi="http://www.w3.org/2001/XMLSchema-instance" xsi:type="dcterms:W3CDTF">2025-09-11T08:56:27Z</dcterms:modified>
</cp:coreProperties>
</file>