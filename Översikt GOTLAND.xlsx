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46174</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46174</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46174</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46174</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46174</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46174</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46174</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46174</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46174</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46174</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46174</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46174</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46174</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46174</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46174</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46174</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46174</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15629-2024</t>
        </is>
      </c>
      <c r="B24" s="1" t="n">
        <v>45402.78372685185</v>
      </c>
      <c r="C24" s="1" t="n">
        <v>46174</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62132-2023</t>
        </is>
      </c>
      <c r="B25" s="1" t="n">
        <v>45267</v>
      </c>
      <c r="C25" s="1" t="n">
        <v>46174</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17762-2024</t>
        </is>
      </c>
      <c r="B26" s="1" t="n">
        <v>45418</v>
      </c>
      <c r="C26" s="1" t="n">
        <v>46174</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46174</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25779-2022</t>
        </is>
      </c>
      <c r="B28" s="1" t="n">
        <v>44733</v>
      </c>
      <c r="C28" s="1" t="n">
        <v>46174</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46174</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35141-2022</t>
        </is>
      </c>
      <c r="B30" s="1" t="n">
        <v>44797.53318287037</v>
      </c>
      <c r="C30" s="1" t="n">
        <v>46174</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44928-2022</t>
        </is>
      </c>
      <c r="B31" s="1" t="n">
        <v>44841</v>
      </c>
      <c r="C31" s="1" t="n">
        <v>46174</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46174</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46174</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46174</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46174</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46174</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46174</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46174</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46174</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46174</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43201-2023</t>
        </is>
      </c>
      <c r="B41" s="1" t="n">
        <v>45183</v>
      </c>
      <c r="C41" s="1" t="n">
        <v>46174</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11176-2024</t>
        </is>
      </c>
      <c r="B42" s="1" t="n">
        <v>45371</v>
      </c>
      <c r="C42" s="1" t="n">
        <v>46174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46174</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v>
      </c>
      <c r="C44" s="1" t="n">
        <v>46174</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584-2023</t>
        </is>
      </c>
      <c r="B45" s="1" t="n">
        <v>44930</v>
      </c>
      <c r="C45" s="1" t="n">
        <v>46174</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27280-2023</t>
        </is>
      </c>
      <c r="B46" s="1" t="n">
        <v>45096</v>
      </c>
      <c r="C46" s="1" t="n">
        <v>46174</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46174</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17766-2024</t>
        </is>
      </c>
      <c r="B48" s="1" t="n">
        <v>45418</v>
      </c>
      <c r="C48" s="1" t="n">
        <v>46174</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46174</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45248-2024</t>
        </is>
      </c>
      <c r="B50" s="1" t="n">
        <v>45576</v>
      </c>
      <c r="C50" s="1" t="n">
        <v>46174</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46174</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14354-2024</t>
        </is>
      </c>
      <c r="B52" s="1" t="n">
        <v>45393</v>
      </c>
      <c r="C52" s="1" t="n">
        <v>46174</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46174</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46174</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46174</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7039-2023</t>
        </is>
      </c>
      <c r="B56" s="1" t="n">
        <v>44968</v>
      </c>
      <c r="C56" s="1" t="n">
        <v>46174</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46174</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46174</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46174</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46174</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44944-2022</t>
        </is>
      </c>
      <c r="B61" s="1" t="n">
        <v>44841</v>
      </c>
      <c r="C61" s="1" t="n">
        <v>46174</v>
      </c>
      <c r="D61" t="inlineStr">
        <is>
          <t>GOTLANDS LÄN</t>
        </is>
      </c>
      <c r="E61" t="inlineStr">
        <is>
          <t>GOTLAND</t>
        </is>
      </c>
      <c r="G61" t="n">
        <v>2.8</v>
      </c>
      <c r="H61" t="n">
        <v>0</v>
      </c>
      <c r="I61" t="n">
        <v>3</v>
      </c>
      <c r="J61" t="n">
        <v>4</v>
      </c>
      <c r="K61" t="n">
        <v>0</v>
      </c>
      <c r="L61" t="n">
        <v>0</v>
      </c>
      <c r="M61" t="n">
        <v>0</v>
      </c>
      <c r="N61" t="n">
        <v>0</v>
      </c>
      <c r="O61" t="n">
        <v>4</v>
      </c>
      <c r="P61" t="n">
        <v>0</v>
      </c>
      <c r="Q61" t="n">
        <v>7</v>
      </c>
      <c r="R61" s="2" t="inlineStr">
        <is>
          <t>Axveronika
Bredbrämad bastardsvärmare
Denisespindling
Odörspindling
Anisspindling
Fjällig taggsvamp s.str.
Rödgul trumpetsvamp</t>
        </is>
      </c>
      <c r="S61">
        <f>HYPERLINK("https://klasma.github.io/Logging_0980/artfynd/A 44944-2022 artfynd.xlsx", "A 44944-2022")</f>
        <v/>
      </c>
      <c r="T61">
        <f>HYPERLINK("https://klasma.github.io/Logging_0980/kartor/A 44944-2022 karta.png", "A 44944-2022")</f>
        <v/>
      </c>
      <c r="V61">
        <f>HYPERLINK("https://klasma.github.io/Logging_0980/klagomål/A 44944-2022 FSC-klagomål.docx", "A 44944-2022")</f>
        <v/>
      </c>
      <c r="W61">
        <f>HYPERLINK("https://klasma.github.io/Logging_0980/klagomålsmail/A 44944-2022 FSC-klagomål mail.docx", "A 44944-2022")</f>
        <v/>
      </c>
      <c r="X61">
        <f>HYPERLINK("https://klasma.github.io/Logging_0980/tillsyn/A 44944-2022 tillsynsbegäran.docx", "A 44944-2022")</f>
        <v/>
      </c>
      <c r="Y61">
        <f>HYPERLINK("https://klasma.github.io/Logging_0980/tillsynsmail/A 44944-2022 tillsynsbegäran mail.docx", "A 44944-2022")</f>
        <v/>
      </c>
    </row>
    <row r="62" ht="15" customHeight="1">
      <c r="A62" t="inlineStr">
        <is>
          <t>A 34142-2024</t>
        </is>
      </c>
      <c r="B62" s="1" t="n">
        <v>45524.36521990741</v>
      </c>
      <c r="C62" s="1" t="n">
        <v>46174</v>
      </c>
      <c r="D62" t="inlineStr">
        <is>
          <t>GOTLANDS LÄN</t>
        </is>
      </c>
      <c r="E62" t="inlineStr">
        <is>
          <t>GOTLAND</t>
        </is>
      </c>
      <c r="G62" t="n">
        <v>6</v>
      </c>
      <c r="H62" t="n">
        <v>1</v>
      </c>
      <c r="I62" t="n">
        <v>4</v>
      </c>
      <c r="J62" t="n">
        <v>2</v>
      </c>
      <c r="K62" t="n">
        <v>1</v>
      </c>
      <c r="L62" t="n">
        <v>0</v>
      </c>
      <c r="M62" t="n">
        <v>0</v>
      </c>
      <c r="N62" t="n">
        <v>0</v>
      </c>
      <c r="O62" t="n">
        <v>3</v>
      </c>
      <c r="P62" t="n">
        <v>1</v>
      </c>
      <c r="Q62" t="n">
        <v>7</v>
      </c>
      <c r="R62" s="2" t="inlineStr">
        <is>
          <t>Duvspindling
Igelkott
Odörspindling
Anisspindling
Blå slemspindling
Nästrot
Rödfläckig zontaggsvamp</t>
        </is>
      </c>
      <c r="S62">
        <f>HYPERLINK("https://klasma.github.io/Logging_0980/artfynd/A 34142-2024 artfynd.xlsx", "A 34142-2024")</f>
        <v/>
      </c>
      <c r="T62">
        <f>HYPERLINK("https://klasma.github.io/Logging_0980/kartor/A 34142-2024 karta.png", "A 34142-2024")</f>
        <v/>
      </c>
      <c r="V62">
        <f>HYPERLINK("https://klasma.github.io/Logging_0980/klagomål/A 34142-2024 FSC-klagomål.docx", "A 34142-2024")</f>
        <v/>
      </c>
      <c r="W62">
        <f>HYPERLINK("https://klasma.github.io/Logging_0980/klagomålsmail/A 34142-2024 FSC-klagomål mail.docx", "A 34142-2024")</f>
        <v/>
      </c>
      <c r="X62">
        <f>HYPERLINK("https://klasma.github.io/Logging_0980/tillsyn/A 34142-2024 tillsynsbegäran.docx", "A 34142-2024")</f>
        <v/>
      </c>
      <c r="Y62">
        <f>HYPERLINK("https://klasma.github.io/Logging_0980/tillsynsmail/A 34142-2024 tillsynsbegäran mail.docx", "A 34142-2024")</f>
        <v/>
      </c>
    </row>
    <row r="63" ht="15" customHeight="1">
      <c r="A63" t="inlineStr">
        <is>
          <t>A 10419-2025</t>
        </is>
      </c>
      <c r="B63" s="1" t="n">
        <v>45720</v>
      </c>
      <c r="C63" s="1" t="n">
        <v>46174</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18541-2024</t>
        </is>
      </c>
      <c r="B64" s="1" t="n">
        <v>45425</v>
      </c>
      <c r="C64" s="1" t="n">
        <v>46174</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46174</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56687-2025</t>
        </is>
      </c>
      <c r="B66" s="1" t="n">
        <v>45975.84065972222</v>
      </c>
      <c r="C66" s="1" t="n">
        <v>46174</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2085-2023</t>
        </is>
      </c>
      <c r="B67" s="1" t="n">
        <v>44939</v>
      </c>
      <c r="C67" s="1" t="n">
        <v>46174</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46174</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46174</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7038-2023</t>
        </is>
      </c>
      <c r="B70" s="1" t="n">
        <v>44968</v>
      </c>
      <c r="C70" s="1" t="n">
        <v>46174</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46174</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46174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46174</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46174</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63149-2025</t>
        </is>
      </c>
      <c r="B75" s="1" t="n">
        <v>46010</v>
      </c>
      <c r="C75" s="1" t="n">
        <v>46174</v>
      </c>
      <c r="D75" t="inlineStr">
        <is>
          <t>GOTLANDS LÄN</t>
        </is>
      </c>
      <c r="E75" t="inlineStr">
        <is>
          <t>GOTLAND</t>
        </is>
      </c>
      <c r="G75" t="n">
        <v>4.3</v>
      </c>
      <c r="H75" t="n">
        <v>4</v>
      </c>
      <c r="I75" t="n">
        <v>2</v>
      </c>
      <c r="J75" t="n">
        <v>3</v>
      </c>
      <c r="K75" t="n">
        <v>0</v>
      </c>
      <c r="L75" t="n">
        <v>0</v>
      </c>
      <c r="M75" t="n">
        <v>0</v>
      </c>
      <c r="N75" t="n">
        <v>0</v>
      </c>
      <c r="O75" t="n">
        <v>3</v>
      </c>
      <c r="P75" t="n">
        <v>0</v>
      </c>
      <c r="Q75" t="n">
        <v>6</v>
      </c>
      <c r="R75" s="2" t="inlineStr">
        <is>
          <t>Gulsparv
Spillkråka
Svinrot
Anisspindling
Skogsknipprot
Sankt pers nycklar</t>
        </is>
      </c>
      <c r="S75">
        <f>HYPERLINK("https://klasma.github.io/Logging_0980/artfynd/A 63149-2025 artfynd.xlsx", "A 63149-2025")</f>
        <v/>
      </c>
      <c r="T75">
        <f>HYPERLINK("https://klasma.github.io/Logging_0980/kartor/A 63149-2025 karta.png", "A 63149-2025")</f>
        <v/>
      </c>
      <c r="V75">
        <f>HYPERLINK("https://klasma.github.io/Logging_0980/klagomål/A 63149-2025 FSC-klagomål.docx", "A 63149-2025")</f>
        <v/>
      </c>
      <c r="W75">
        <f>HYPERLINK("https://klasma.github.io/Logging_0980/klagomålsmail/A 63149-2025 FSC-klagomål mail.docx", "A 63149-2025")</f>
        <v/>
      </c>
      <c r="X75">
        <f>HYPERLINK("https://klasma.github.io/Logging_0980/tillsyn/A 63149-2025 tillsynsbegäran.docx", "A 63149-2025")</f>
        <v/>
      </c>
      <c r="Y75">
        <f>HYPERLINK("https://klasma.github.io/Logging_0980/tillsynsmail/A 63149-2025 tillsynsbegäran mail.docx", "A 63149-2025")</f>
        <v/>
      </c>
      <c r="Z75">
        <f>HYPERLINK("https://klasma.github.io/Logging_0980/fåglar/A 63149-2025 prioriterade fågelarter.docx", "A 63149-2025")</f>
        <v/>
      </c>
    </row>
    <row r="76" ht="15" customHeight="1">
      <c r="A76" t="inlineStr">
        <is>
          <t>A 66091-2021</t>
        </is>
      </c>
      <c r="B76" s="1" t="n">
        <v>44517</v>
      </c>
      <c r="C76" s="1" t="n">
        <v>46174</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39425-2023</t>
        </is>
      </c>
      <c r="B77" s="1" t="n">
        <v>45166</v>
      </c>
      <c r="C77" s="1" t="n">
        <v>46174</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2213-2023</t>
        </is>
      </c>
      <c r="B78" s="1" t="n">
        <v>44942</v>
      </c>
      <c r="C78" s="1" t="n">
        <v>46174</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46174</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42936-2024</t>
        </is>
      </c>
      <c r="B80" s="1" t="n">
        <v>45567</v>
      </c>
      <c r="C80" s="1" t="n">
        <v>46174</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54055-2022</t>
        </is>
      </c>
      <c r="B81" s="1" t="n">
        <v>44881</v>
      </c>
      <c r="C81" s="1" t="n">
        <v>46174</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6839-2026</t>
        </is>
      </c>
      <c r="B82" s="1" t="n">
        <v>46057.41193287037</v>
      </c>
      <c r="C82" s="1" t="n">
        <v>46174</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16375-2025</t>
        </is>
      </c>
      <c r="B83" s="1" t="n">
        <v>45751.41064814815</v>
      </c>
      <c r="C83" s="1" t="n">
        <v>46174</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52245-2025</t>
        </is>
      </c>
      <c r="B84" s="1" t="n">
        <v>45953.47115740741</v>
      </c>
      <c r="C84" s="1" t="n">
        <v>46174</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35293-2025</t>
        </is>
      </c>
      <c r="B85" s="1" t="n">
        <v>45854.39438657407</v>
      </c>
      <c r="C85" s="1" t="n">
        <v>46174</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29331-2021</t>
        </is>
      </c>
      <c r="B86" s="1" t="n">
        <v>44361</v>
      </c>
      <c r="C86" s="1" t="n">
        <v>46174</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1971-2023</t>
        </is>
      </c>
      <c r="B87" s="1" t="n">
        <v>44939</v>
      </c>
      <c r="C87" s="1" t="n">
        <v>46174</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186-2023</t>
        </is>
      </c>
      <c r="B88" s="1" t="n">
        <v>44928</v>
      </c>
      <c r="C88" s="1" t="n">
        <v>46174</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46174</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5904-2024</t>
        </is>
      </c>
      <c r="B90" s="1" t="n">
        <v>45335</v>
      </c>
      <c r="C90" s="1" t="n">
        <v>46174</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46174</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46174</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46174</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46174</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46174</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44933-2022</t>
        </is>
      </c>
      <c r="B96" s="1" t="n">
        <v>44841</v>
      </c>
      <c r="C96" s="1" t="n">
        <v>46174</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57463-2025</t>
        </is>
      </c>
      <c r="B97" s="1" t="n">
        <v>45980</v>
      </c>
      <c r="C97" s="1" t="n">
        <v>46174</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6836-2026</t>
        </is>
      </c>
      <c r="B98" s="1" t="n">
        <v>46057</v>
      </c>
      <c r="C98" s="1" t="n">
        <v>46174</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54523-2023</t>
        </is>
      </c>
      <c r="B99" s="1" t="n">
        <v>45233</v>
      </c>
      <c r="C99" s="1" t="n">
        <v>46174</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52250-2025</t>
        </is>
      </c>
      <c r="B100" s="1" t="n">
        <v>45953.48998842593</v>
      </c>
      <c r="C100" s="1" t="n">
        <v>46174</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46174</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20833-2024</t>
        </is>
      </c>
      <c r="B102" s="1" t="n">
        <v>45439</v>
      </c>
      <c r="C102" s="1" t="n">
        <v>46174</v>
      </c>
      <c r="D102" t="inlineStr">
        <is>
          <t>GOTLANDS LÄN</t>
        </is>
      </c>
      <c r="E102" t="inlineStr">
        <is>
          <t>GOTLAND</t>
        </is>
      </c>
      <c r="G102" t="n">
        <v>0.9</v>
      </c>
      <c r="H102" t="n">
        <v>3</v>
      </c>
      <c r="I102" t="n">
        <v>1</v>
      </c>
      <c r="J102" t="n">
        <v>3</v>
      </c>
      <c r="K102" t="n">
        <v>0</v>
      </c>
      <c r="L102" t="n">
        <v>0</v>
      </c>
      <c r="M102" t="n">
        <v>0</v>
      </c>
      <c r="N102" t="n">
        <v>0</v>
      </c>
      <c r="O102" t="n">
        <v>3</v>
      </c>
      <c r="P102" t="n">
        <v>0</v>
      </c>
      <c r="Q102" t="n">
        <v>4</v>
      </c>
      <c r="R102" s="2" t="inlineStr">
        <is>
          <t>Dårgräsfjäril
Spillkråka
Svinrot
Skogsknipprot</t>
        </is>
      </c>
      <c r="S102">
        <f>HYPERLINK("https://klasma.github.io/Logging_0980/artfynd/A 20833-2024 artfynd.xlsx", "A 20833-2024")</f>
        <v/>
      </c>
      <c r="T102">
        <f>HYPERLINK("https://klasma.github.io/Logging_0980/kartor/A 20833-2024 karta.png", "A 20833-2024")</f>
        <v/>
      </c>
      <c r="V102">
        <f>HYPERLINK("https://klasma.github.io/Logging_0980/klagomål/A 20833-2024 FSC-klagomål.docx", "A 20833-2024")</f>
        <v/>
      </c>
      <c r="W102">
        <f>HYPERLINK("https://klasma.github.io/Logging_0980/klagomålsmail/A 20833-2024 FSC-klagomål mail.docx", "A 20833-2024")</f>
        <v/>
      </c>
      <c r="X102">
        <f>HYPERLINK("https://klasma.github.io/Logging_0980/tillsyn/A 20833-2024 tillsynsbegäran.docx", "A 20833-2024")</f>
        <v/>
      </c>
      <c r="Y102">
        <f>HYPERLINK("https://klasma.github.io/Logging_0980/tillsynsmail/A 20833-2024 tillsynsbegäran mail.docx", "A 20833-2024")</f>
        <v/>
      </c>
      <c r="Z102">
        <f>HYPERLINK("https://klasma.github.io/Logging_0980/fåglar/A 20833-2024 prioriterade fågelarter.docx", "A 20833-2024")</f>
        <v/>
      </c>
    </row>
    <row r="103" ht="15" customHeight="1">
      <c r="A103" t="inlineStr">
        <is>
          <t>A 44323-2021</t>
        </is>
      </c>
      <c r="B103" s="1" t="n">
        <v>44434</v>
      </c>
      <c r="C103" s="1" t="n">
        <v>46174</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46174</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46174</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17982-2023</t>
        </is>
      </c>
      <c r="B106" s="1" t="n">
        <v>45040</v>
      </c>
      <c r="C106" s="1" t="n">
        <v>46174</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43013-2022</t>
        </is>
      </c>
      <c r="B107" s="1" t="n">
        <v>44833</v>
      </c>
      <c r="C107" s="1" t="n">
        <v>46174</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13499-2022</t>
        </is>
      </c>
      <c r="B108" s="1" t="n">
        <v>44647.79203703703</v>
      </c>
      <c r="C108" s="1" t="n">
        <v>46174</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46174</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73144-2021</t>
        </is>
      </c>
      <c r="B110" s="1" t="n">
        <v>44550</v>
      </c>
      <c r="C110" s="1" t="n">
        <v>46174</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48126-2022</t>
        </is>
      </c>
      <c r="B111" s="1" t="n">
        <v>44857</v>
      </c>
      <c r="C111" s="1" t="n">
        <v>46174</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53552-2021</t>
        </is>
      </c>
      <c r="B112" s="1" t="n">
        <v>44468</v>
      </c>
      <c r="C112" s="1" t="n">
        <v>46174</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12315-2024</t>
        </is>
      </c>
      <c r="B113" s="1" t="n">
        <v>45378.6434837963</v>
      </c>
      <c r="C113" s="1" t="n">
        <v>46174</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55334-2024</t>
        </is>
      </c>
      <c r="B114" s="1" t="n">
        <v>45621</v>
      </c>
      <c r="C114" s="1" t="n">
        <v>46174</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46174</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46174</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30490-2025</t>
        </is>
      </c>
      <c r="B117" s="1" t="n">
        <v>45830</v>
      </c>
      <c r="C117" s="1" t="n">
        <v>46174</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1520-2026</t>
        </is>
      </c>
      <c r="B118" s="1" t="n">
        <v>46034.35891203704</v>
      </c>
      <c r="C118" s="1" t="n">
        <v>46174</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46174</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46174</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46174</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60665-2021</t>
        </is>
      </c>
      <c r="B122" s="1" t="n">
        <v>44496</v>
      </c>
      <c r="C122" s="1" t="n">
        <v>46174</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46174</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28261-2024</t>
        </is>
      </c>
      <c r="B124" s="1" t="n">
        <v>45477</v>
      </c>
      <c r="C124" s="1" t="n">
        <v>46174</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55649-2024</t>
        </is>
      </c>
      <c r="B125" s="1" t="n">
        <v>45622.63053240741</v>
      </c>
      <c r="C125" s="1" t="n">
        <v>46174</v>
      </c>
      <c r="D125" t="inlineStr">
        <is>
          <t>GOTLANDS LÄN</t>
        </is>
      </c>
      <c r="E125" t="inlineStr">
        <is>
          <t>GOTLAND</t>
        </is>
      </c>
      <c r="G125" t="n">
        <v>4.6</v>
      </c>
      <c r="H125" t="n">
        <v>2</v>
      </c>
      <c r="I125" t="n">
        <v>0</v>
      </c>
      <c r="J125" t="n">
        <v>0</v>
      </c>
      <c r="K125" t="n">
        <v>0</v>
      </c>
      <c r="L125" t="n">
        <v>0</v>
      </c>
      <c r="M125" t="n">
        <v>0</v>
      </c>
      <c r="N125" t="n">
        <v>0</v>
      </c>
      <c r="O125" t="n">
        <v>0</v>
      </c>
      <c r="P125" t="n">
        <v>0</v>
      </c>
      <c r="Q125" t="n">
        <v>2</v>
      </c>
      <c r="R125" s="2" t="inlineStr">
        <is>
          <t>Sankt pers nycklar
Blåsippa</t>
        </is>
      </c>
      <c r="S125">
        <f>HYPERLINK("https://klasma.github.io/Logging_0980/artfynd/A 55649-2024 artfynd.xlsx", "A 55649-2024")</f>
        <v/>
      </c>
      <c r="T125">
        <f>HYPERLINK("https://klasma.github.io/Logging_0980/kartor/A 55649-2024 karta.png", "A 55649-2024")</f>
        <v/>
      </c>
      <c r="V125">
        <f>HYPERLINK("https://klasma.github.io/Logging_0980/klagomål/A 55649-2024 FSC-klagomål.docx", "A 55649-2024")</f>
        <v/>
      </c>
      <c r="W125">
        <f>HYPERLINK("https://klasma.github.io/Logging_0980/klagomålsmail/A 55649-2024 FSC-klagomål mail.docx", "A 55649-2024")</f>
        <v/>
      </c>
      <c r="X125">
        <f>HYPERLINK("https://klasma.github.io/Logging_0980/tillsyn/A 55649-2024 tillsynsbegäran.docx", "A 55649-2024")</f>
        <v/>
      </c>
      <c r="Y125">
        <f>HYPERLINK("https://klasma.github.io/Logging_0980/tillsynsmail/A 55649-2024 tillsynsbegäran mail.docx", "A 55649-2024")</f>
        <v/>
      </c>
    </row>
    <row r="126" ht="15" customHeight="1">
      <c r="A126" t="inlineStr">
        <is>
          <t>A 7070-2022</t>
        </is>
      </c>
      <c r="B126" s="1" t="n">
        <v>44603</v>
      </c>
      <c r="C126" s="1" t="n">
        <v>46174</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26077-2024</t>
        </is>
      </c>
      <c r="B127" s="1" t="n">
        <v>45467</v>
      </c>
      <c r="C127" s="1" t="n">
        <v>46174</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12914-2025</t>
        </is>
      </c>
      <c r="B128" s="1" t="n">
        <v>45733</v>
      </c>
      <c r="C128" s="1" t="n">
        <v>46174</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54357-2024</t>
        </is>
      </c>
      <c r="B129" s="1" t="n">
        <v>45617.40662037037</v>
      </c>
      <c r="C129" s="1" t="n">
        <v>46174</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20429-2025</t>
        </is>
      </c>
      <c r="B130" s="1" t="n">
        <v>45775.47728009259</v>
      </c>
      <c r="C130" s="1" t="n">
        <v>46174</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43219-2023</t>
        </is>
      </c>
      <c r="B131" s="1" t="n">
        <v>45183</v>
      </c>
      <c r="C131" s="1" t="n">
        <v>46174</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20838-2024</t>
        </is>
      </c>
      <c r="B132" s="1" t="n">
        <v>45439</v>
      </c>
      <c r="C132" s="1" t="n">
        <v>46174</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28276-2024</t>
        </is>
      </c>
      <c r="B133" s="1" t="n">
        <v>45477</v>
      </c>
      <c r="C133" s="1" t="n">
        <v>46174</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28276-2024 artfynd.xlsx", "A 28276-2024")</f>
        <v/>
      </c>
      <c r="T133">
        <f>HYPERLINK("https://klasma.github.io/Logging_0980/kartor/A 28276-2024 karta.png", "A 28276-2024")</f>
        <v/>
      </c>
      <c r="V133">
        <f>HYPERLINK("https://klasma.github.io/Logging_0980/klagomål/A 28276-2024 FSC-klagomål.docx", "A 28276-2024")</f>
        <v/>
      </c>
      <c r="W133">
        <f>HYPERLINK("https://klasma.github.io/Logging_0980/klagomålsmail/A 28276-2024 FSC-klagomål mail.docx", "A 28276-2024")</f>
        <v/>
      </c>
      <c r="X133">
        <f>HYPERLINK("https://klasma.github.io/Logging_0980/tillsyn/A 28276-2024 tillsynsbegäran.docx", "A 28276-2024")</f>
        <v/>
      </c>
      <c r="Y133">
        <f>HYPERLINK("https://klasma.github.io/Logging_0980/tillsynsmail/A 28276-2024 tillsynsbegäran mail.docx", "A 28276-2024")</f>
        <v/>
      </c>
    </row>
    <row r="134" ht="15" customHeight="1">
      <c r="A134" t="inlineStr">
        <is>
          <t>A 21879-2025</t>
        </is>
      </c>
      <c r="B134" s="1" t="n">
        <v>45784.40533564815</v>
      </c>
      <c r="C134" s="1" t="n">
        <v>46174</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63162-2025</t>
        </is>
      </c>
      <c r="B135" s="1" t="n">
        <v>46010.37629629629</v>
      </c>
      <c r="C135" s="1" t="n">
        <v>46174</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46174</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16997-2026</t>
        </is>
      </c>
      <c r="B137" s="1" t="n">
        <v>46114.42539351852</v>
      </c>
      <c r="C137" s="1" t="n">
        <v>46174</v>
      </c>
      <c r="D137" t="inlineStr">
        <is>
          <t>GOTLANDS LÄN</t>
        </is>
      </c>
      <c r="E137" t="inlineStr">
        <is>
          <t>GOTLAND</t>
        </is>
      </c>
      <c r="G137" t="n">
        <v>0.7</v>
      </c>
      <c r="H137" t="n">
        <v>0</v>
      </c>
      <c r="I137" t="n">
        <v>1</v>
      </c>
      <c r="J137" t="n">
        <v>0</v>
      </c>
      <c r="K137" t="n">
        <v>0</v>
      </c>
      <c r="L137" t="n">
        <v>1</v>
      </c>
      <c r="M137" t="n">
        <v>0</v>
      </c>
      <c r="N137" t="n">
        <v>0</v>
      </c>
      <c r="O137" t="n">
        <v>1</v>
      </c>
      <c r="P137" t="n">
        <v>1</v>
      </c>
      <c r="Q137" t="n">
        <v>2</v>
      </c>
      <c r="R137" s="2" t="inlineStr">
        <is>
          <t>Ask
Hasselticka</t>
        </is>
      </c>
      <c r="S137">
        <f>HYPERLINK("https://klasma.github.io/Logging_0980/artfynd/A 16997-2026 artfynd.xlsx", "A 16997-2026")</f>
        <v/>
      </c>
      <c r="T137">
        <f>HYPERLINK("https://klasma.github.io/Logging_0980/kartor/A 16997-2026 karta.png", "A 16997-2026")</f>
        <v/>
      </c>
      <c r="V137">
        <f>HYPERLINK("https://klasma.github.io/Logging_0980/klagomål/A 16997-2026 FSC-klagomål.docx", "A 16997-2026")</f>
        <v/>
      </c>
      <c r="W137">
        <f>HYPERLINK("https://klasma.github.io/Logging_0980/klagomålsmail/A 16997-2026 FSC-klagomål mail.docx", "A 16997-2026")</f>
        <v/>
      </c>
      <c r="X137">
        <f>HYPERLINK("https://klasma.github.io/Logging_0980/tillsyn/A 16997-2026 tillsynsbegäran.docx", "A 16997-2026")</f>
        <v/>
      </c>
      <c r="Y137">
        <f>HYPERLINK("https://klasma.github.io/Logging_0980/tillsynsmail/A 16997-2026 tillsynsbegäran mail.docx", "A 16997-2026")</f>
        <v/>
      </c>
    </row>
    <row r="138" ht="15" customHeight="1">
      <c r="A138" t="inlineStr">
        <is>
          <t>A 17328-2026</t>
        </is>
      </c>
      <c r="B138" s="1" t="n">
        <v>46119.61216435185</v>
      </c>
      <c r="C138" s="1" t="n">
        <v>46174</v>
      </c>
      <c r="D138" t="inlineStr">
        <is>
          <t>GOTLANDS LÄN</t>
        </is>
      </c>
      <c r="E138" t="inlineStr">
        <is>
          <t>GOTLAND</t>
        </is>
      </c>
      <c r="F138" t="inlineStr">
        <is>
          <t>Kyrkan</t>
        </is>
      </c>
      <c r="G138" t="n">
        <v>4</v>
      </c>
      <c r="H138" t="n">
        <v>1</v>
      </c>
      <c r="I138" t="n">
        <v>0</v>
      </c>
      <c r="J138" t="n">
        <v>2</v>
      </c>
      <c r="K138" t="n">
        <v>0</v>
      </c>
      <c r="L138" t="n">
        <v>0</v>
      </c>
      <c r="M138" t="n">
        <v>0</v>
      </c>
      <c r="N138" t="n">
        <v>0</v>
      </c>
      <c r="O138" t="n">
        <v>2</v>
      </c>
      <c r="P138" t="n">
        <v>0</v>
      </c>
      <c r="Q138" t="n">
        <v>2</v>
      </c>
      <c r="R138" s="2" t="inlineStr">
        <is>
          <t>Backtimjan
Spillkråka</t>
        </is>
      </c>
      <c r="S138">
        <f>HYPERLINK("https://klasma.github.io/Logging_0980/artfynd/A 17328-2026 artfynd.xlsx", "A 17328-2026")</f>
        <v/>
      </c>
      <c r="T138">
        <f>HYPERLINK("https://klasma.github.io/Logging_0980/kartor/A 17328-2026 karta.png", "A 17328-2026")</f>
        <v/>
      </c>
      <c r="V138">
        <f>HYPERLINK("https://klasma.github.io/Logging_0980/klagomål/A 17328-2026 FSC-klagomål.docx", "A 17328-2026")</f>
        <v/>
      </c>
      <c r="W138">
        <f>HYPERLINK("https://klasma.github.io/Logging_0980/klagomålsmail/A 17328-2026 FSC-klagomål mail.docx", "A 17328-2026")</f>
        <v/>
      </c>
      <c r="X138">
        <f>HYPERLINK("https://klasma.github.io/Logging_0980/tillsyn/A 17328-2026 tillsynsbegäran.docx", "A 17328-2026")</f>
        <v/>
      </c>
      <c r="Y138">
        <f>HYPERLINK("https://klasma.github.io/Logging_0980/tillsynsmail/A 17328-2026 tillsynsbegäran mail.docx", "A 17328-2026")</f>
        <v/>
      </c>
      <c r="Z138">
        <f>HYPERLINK("https://klasma.github.io/Logging_0980/fåglar/A 17328-2026 prioriterade fågelarter.docx", "A 17328-2026")</f>
        <v/>
      </c>
    </row>
    <row r="139" ht="15" customHeight="1">
      <c r="A139" t="inlineStr">
        <is>
          <t>A 46362-2021</t>
        </is>
      </c>
      <c r="B139" s="1" t="n">
        <v>44442</v>
      </c>
      <c r="C139" s="1" t="n">
        <v>46174</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49304-2024</t>
        </is>
      </c>
      <c r="B140" s="1" t="n">
        <v>45595.54996527778</v>
      </c>
      <c r="C140" s="1" t="n">
        <v>46174</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22782-2023</t>
        </is>
      </c>
      <c r="B141" s="1" t="n">
        <v>45072</v>
      </c>
      <c r="C141" s="1" t="n">
        <v>46174</v>
      </c>
      <c r="D141" t="inlineStr">
        <is>
          <t>GOTLANDS LÄN</t>
        </is>
      </c>
      <c r="E141" t="inlineStr">
        <is>
          <t>GOTLAND</t>
        </is>
      </c>
      <c r="F141" t="inlineStr">
        <is>
          <t>Kyrkan</t>
        </is>
      </c>
      <c r="G141" t="n">
        <v>3.1</v>
      </c>
      <c r="H141" t="n">
        <v>1</v>
      </c>
      <c r="I141" t="n">
        <v>0</v>
      </c>
      <c r="J141" t="n">
        <v>0</v>
      </c>
      <c r="K141" t="n">
        <v>0</v>
      </c>
      <c r="L141" t="n">
        <v>0</v>
      </c>
      <c r="M141" t="n">
        <v>0</v>
      </c>
      <c r="N141" t="n">
        <v>0</v>
      </c>
      <c r="O141" t="n">
        <v>0</v>
      </c>
      <c r="P141" t="n">
        <v>0</v>
      </c>
      <c r="Q141" t="n">
        <v>1</v>
      </c>
      <c r="R141" s="2" t="inlineStr">
        <is>
          <t>Ängsnycklar × skogsnycklar</t>
        </is>
      </c>
      <c r="S141">
        <f>HYPERLINK("https://klasma.github.io/Logging_0980/artfynd/A 22782-2023 artfynd.xlsx", "A 22782-2023")</f>
        <v/>
      </c>
      <c r="T141">
        <f>HYPERLINK("https://klasma.github.io/Logging_0980/kartor/A 22782-2023 karta.png", "A 22782-2023")</f>
        <v/>
      </c>
      <c r="V141">
        <f>HYPERLINK("https://klasma.github.io/Logging_0980/klagomål/A 22782-2023 FSC-klagomål.docx", "A 22782-2023")</f>
        <v/>
      </c>
      <c r="W141">
        <f>HYPERLINK("https://klasma.github.io/Logging_0980/klagomålsmail/A 22782-2023 FSC-klagomål mail.docx", "A 22782-2023")</f>
        <v/>
      </c>
      <c r="X141">
        <f>HYPERLINK("https://klasma.github.io/Logging_0980/tillsyn/A 22782-2023 tillsynsbegäran.docx", "A 22782-2023")</f>
        <v/>
      </c>
      <c r="Y141">
        <f>HYPERLINK("https://klasma.github.io/Logging_0980/tillsynsmail/A 22782-2023 tillsynsbegäran mail.docx", "A 22782-2023")</f>
        <v/>
      </c>
    </row>
    <row r="142" ht="15" customHeight="1">
      <c r="A142" t="inlineStr">
        <is>
          <t>A 44308-2021</t>
        </is>
      </c>
      <c r="B142" s="1" t="n">
        <v>44434</v>
      </c>
      <c r="C142" s="1" t="n">
        <v>46174</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24245-2022</t>
        </is>
      </c>
      <c r="B143" s="1" t="n">
        <v>44725</v>
      </c>
      <c r="C143" s="1" t="n">
        <v>46174</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46174</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44088-2022</t>
        </is>
      </c>
      <c r="B145" s="1" t="n">
        <v>44839</v>
      </c>
      <c r="C145" s="1" t="n">
        <v>46174</v>
      </c>
      <c r="D145" t="inlineStr">
        <is>
          <t>GOTLANDS LÄN</t>
        </is>
      </c>
      <c r="E145" t="inlineStr">
        <is>
          <t>GOTLAND</t>
        </is>
      </c>
      <c r="G145" t="n">
        <v>1.5</v>
      </c>
      <c r="H145" t="n">
        <v>0</v>
      </c>
      <c r="I145" t="n">
        <v>1</v>
      </c>
      <c r="J145" t="n">
        <v>0</v>
      </c>
      <c r="K145" t="n">
        <v>0</v>
      </c>
      <c r="L145" t="n">
        <v>0</v>
      </c>
      <c r="M145" t="n">
        <v>0</v>
      </c>
      <c r="N145" t="n">
        <v>0</v>
      </c>
      <c r="O145" t="n">
        <v>0</v>
      </c>
      <c r="P145" t="n">
        <v>0</v>
      </c>
      <c r="Q145" t="n">
        <v>1</v>
      </c>
      <c r="R145" s="2" t="inlineStr">
        <is>
          <t>Strävlosta</t>
        </is>
      </c>
      <c r="S145">
        <f>HYPERLINK("https://klasma.github.io/Logging_0980/artfynd/A 44088-2022 artfynd.xlsx", "A 44088-2022")</f>
        <v/>
      </c>
      <c r="T145">
        <f>HYPERLINK("https://klasma.github.io/Logging_0980/kartor/A 44088-2022 karta.png", "A 44088-2022")</f>
        <v/>
      </c>
      <c r="V145">
        <f>HYPERLINK("https://klasma.github.io/Logging_0980/klagomål/A 44088-2022 FSC-klagomål.docx", "A 44088-2022")</f>
        <v/>
      </c>
      <c r="W145">
        <f>HYPERLINK("https://klasma.github.io/Logging_0980/klagomålsmail/A 44088-2022 FSC-klagomål mail.docx", "A 44088-2022")</f>
        <v/>
      </c>
      <c r="X145">
        <f>HYPERLINK("https://klasma.github.io/Logging_0980/tillsyn/A 44088-2022 tillsynsbegäran.docx", "A 44088-2022")</f>
        <v/>
      </c>
      <c r="Y145">
        <f>HYPERLINK("https://klasma.github.io/Logging_0980/tillsynsmail/A 44088-2022 tillsynsbegäran mail.docx", "A 44088-2022")</f>
        <v/>
      </c>
    </row>
    <row r="146" ht="15" customHeight="1">
      <c r="A146" t="inlineStr">
        <is>
          <t>A 46527-2023</t>
        </is>
      </c>
      <c r="B146" s="1" t="n">
        <v>45197</v>
      </c>
      <c r="C146" s="1" t="n">
        <v>46174</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6303-2024</t>
        </is>
      </c>
      <c r="B147" s="1" t="n">
        <v>45338.35376157407</v>
      </c>
      <c r="C147" s="1" t="n">
        <v>46174</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46174</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1477-2024</t>
        </is>
      </c>
      <c r="B149" s="1" t="n">
        <v>45305.37987268518</v>
      </c>
      <c r="C149" s="1" t="n">
        <v>46174</v>
      </c>
      <c r="D149" t="inlineStr">
        <is>
          <t>GOTLANDS LÄN</t>
        </is>
      </c>
      <c r="E149" t="inlineStr">
        <is>
          <t>GOTLAND</t>
        </is>
      </c>
      <c r="G149" t="n">
        <v>6.9</v>
      </c>
      <c r="H149" t="n">
        <v>0</v>
      </c>
      <c r="I149" t="n">
        <v>0</v>
      </c>
      <c r="J149" t="n">
        <v>1</v>
      </c>
      <c r="K149" t="n">
        <v>0</v>
      </c>
      <c r="L149" t="n">
        <v>0</v>
      </c>
      <c r="M149" t="n">
        <v>0</v>
      </c>
      <c r="N149" t="n">
        <v>0</v>
      </c>
      <c r="O149" t="n">
        <v>1</v>
      </c>
      <c r="P149" t="n">
        <v>0</v>
      </c>
      <c r="Q149" t="n">
        <v>1</v>
      </c>
      <c r="R149" s="2" t="inlineStr">
        <is>
          <t>Igelkott</t>
        </is>
      </c>
      <c r="S149">
        <f>HYPERLINK("https://klasma.github.io/Logging_0980/artfynd/A 1477-2024 artfynd.xlsx", "A 1477-2024")</f>
        <v/>
      </c>
      <c r="T149">
        <f>HYPERLINK("https://klasma.github.io/Logging_0980/kartor/A 1477-2024 karta.png", "A 1477-2024")</f>
        <v/>
      </c>
      <c r="V149">
        <f>HYPERLINK("https://klasma.github.io/Logging_0980/klagomål/A 1477-2024 FSC-klagomål.docx", "A 1477-2024")</f>
        <v/>
      </c>
      <c r="W149">
        <f>HYPERLINK("https://klasma.github.io/Logging_0980/klagomålsmail/A 1477-2024 FSC-klagomål mail.docx", "A 1477-2024")</f>
        <v/>
      </c>
      <c r="X149">
        <f>HYPERLINK("https://klasma.github.io/Logging_0980/tillsyn/A 1477-2024 tillsynsbegäran.docx", "A 1477-2024")</f>
        <v/>
      </c>
      <c r="Y149">
        <f>HYPERLINK("https://klasma.github.io/Logging_0980/tillsynsmail/A 1477-2024 tillsynsbegäran mail.docx", "A 1477-2024")</f>
        <v/>
      </c>
    </row>
    <row r="150" ht="15" customHeight="1">
      <c r="A150" t="inlineStr">
        <is>
          <t>A 25977-2024</t>
        </is>
      </c>
      <c r="B150" s="1" t="n">
        <v>45467.69356481481</v>
      </c>
      <c r="C150" s="1" t="n">
        <v>46174</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27589-2023</t>
        </is>
      </c>
      <c r="B151" s="1" t="n">
        <v>45097</v>
      </c>
      <c r="C151" s="1" t="n">
        <v>46174</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39812-2025</t>
        </is>
      </c>
      <c r="B152" s="1" t="n">
        <v>45891</v>
      </c>
      <c r="C152" s="1" t="n">
        <v>46174</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10995-2023</t>
        </is>
      </c>
      <c r="B153" s="1" t="n">
        <v>44986</v>
      </c>
      <c r="C153" s="1" t="n">
        <v>46174</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63576-2021</t>
        </is>
      </c>
      <c r="B154" s="1" t="n">
        <v>44508</v>
      </c>
      <c r="C154" s="1" t="n">
        <v>46174</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7637-2025</t>
        </is>
      </c>
      <c r="B155" s="1" t="n">
        <v>45705.77181712963</v>
      </c>
      <c r="C155" s="1" t="n">
        <v>46174</v>
      </c>
      <c r="D155" t="inlineStr">
        <is>
          <t>GOTLANDS LÄN</t>
        </is>
      </c>
      <c r="E155" t="inlineStr">
        <is>
          <t>GOTLAND</t>
        </is>
      </c>
      <c r="G155" t="n">
        <v>3.7</v>
      </c>
      <c r="H155" t="n">
        <v>0</v>
      </c>
      <c r="I155" t="n">
        <v>0</v>
      </c>
      <c r="J155" t="n">
        <v>0</v>
      </c>
      <c r="K155" t="n">
        <v>0</v>
      </c>
      <c r="L155" t="n">
        <v>0</v>
      </c>
      <c r="M155" t="n">
        <v>1</v>
      </c>
      <c r="N155" t="n">
        <v>0</v>
      </c>
      <c r="O155" t="n">
        <v>1</v>
      </c>
      <c r="P155" t="n">
        <v>1</v>
      </c>
      <c r="Q155" t="n">
        <v>1</v>
      </c>
      <c r="R155" s="2" t="inlineStr">
        <is>
          <t>Skogsalm</t>
        </is>
      </c>
      <c r="S155">
        <f>HYPERLINK("https://klasma.github.io/Logging_0980/artfynd/A 7637-2025 artfynd.xlsx", "A 7637-2025")</f>
        <v/>
      </c>
      <c r="T155">
        <f>HYPERLINK("https://klasma.github.io/Logging_0980/kartor/A 7637-2025 karta.png", "A 7637-2025")</f>
        <v/>
      </c>
      <c r="V155">
        <f>HYPERLINK("https://klasma.github.io/Logging_0980/klagomål/A 7637-2025 FSC-klagomål.docx", "A 7637-2025")</f>
        <v/>
      </c>
      <c r="W155">
        <f>HYPERLINK("https://klasma.github.io/Logging_0980/klagomålsmail/A 7637-2025 FSC-klagomål mail.docx", "A 7637-2025")</f>
        <v/>
      </c>
      <c r="X155">
        <f>HYPERLINK("https://klasma.github.io/Logging_0980/tillsyn/A 7637-2025 tillsynsbegäran.docx", "A 7637-2025")</f>
        <v/>
      </c>
      <c r="Y155">
        <f>HYPERLINK("https://klasma.github.io/Logging_0980/tillsynsmail/A 7637-2025 tillsynsbegäran mail.docx", "A 7637-2025")</f>
        <v/>
      </c>
    </row>
    <row r="156" ht="15" customHeight="1">
      <c r="A156" t="inlineStr">
        <is>
          <t>A 65927-2021</t>
        </is>
      </c>
      <c r="B156" s="1" t="n">
        <v>44516</v>
      </c>
      <c r="C156" s="1" t="n">
        <v>46174</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46174</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35467-2021</t>
        </is>
      </c>
      <c r="B158" s="1" t="n">
        <v>44385</v>
      </c>
      <c r="C158" s="1" t="n">
        <v>46174</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61796-2022</t>
        </is>
      </c>
      <c r="B159" s="1" t="n">
        <v>44917</v>
      </c>
      <c r="C159" s="1" t="n">
        <v>46174</v>
      </c>
      <c r="D159" t="inlineStr">
        <is>
          <t>GOTLANDS LÄN</t>
        </is>
      </c>
      <c r="E159" t="inlineStr">
        <is>
          <t>GOTLAND</t>
        </is>
      </c>
      <c r="G159" t="n">
        <v>1.5</v>
      </c>
      <c r="H159" t="n">
        <v>1</v>
      </c>
      <c r="I159" t="n">
        <v>0</v>
      </c>
      <c r="J159" t="n">
        <v>0</v>
      </c>
      <c r="K159" t="n">
        <v>0</v>
      </c>
      <c r="L159" t="n">
        <v>0</v>
      </c>
      <c r="M159" t="n">
        <v>0</v>
      </c>
      <c r="N159" t="n">
        <v>0</v>
      </c>
      <c r="O159" t="n">
        <v>0</v>
      </c>
      <c r="P159" t="n">
        <v>0</v>
      </c>
      <c r="Q159" t="n">
        <v>1</v>
      </c>
      <c r="R159" s="2" t="inlineStr">
        <is>
          <t>Skogsduva</t>
        </is>
      </c>
      <c r="S159">
        <f>HYPERLINK("https://klasma.github.io/Logging_0980/artfynd/A 61796-2022 artfynd.xlsx", "A 61796-2022")</f>
        <v/>
      </c>
      <c r="T159">
        <f>HYPERLINK("https://klasma.github.io/Logging_0980/kartor/A 61796-2022 karta.png", "A 61796-2022")</f>
        <v/>
      </c>
      <c r="V159">
        <f>HYPERLINK("https://klasma.github.io/Logging_0980/klagomål/A 61796-2022 FSC-klagomål.docx", "A 61796-2022")</f>
        <v/>
      </c>
      <c r="W159">
        <f>HYPERLINK("https://klasma.github.io/Logging_0980/klagomålsmail/A 61796-2022 FSC-klagomål mail.docx", "A 61796-2022")</f>
        <v/>
      </c>
      <c r="X159">
        <f>HYPERLINK("https://klasma.github.io/Logging_0980/tillsyn/A 61796-2022 tillsynsbegäran.docx", "A 61796-2022")</f>
        <v/>
      </c>
      <c r="Y159">
        <f>HYPERLINK("https://klasma.github.io/Logging_0980/tillsynsmail/A 61796-2022 tillsynsbegäran mail.docx", "A 61796-2022")</f>
        <v/>
      </c>
      <c r="Z159">
        <f>HYPERLINK("https://klasma.github.io/Logging_0980/fåglar/A 61796-2022 prioriterade fågelarter.docx", "A 61796-2022")</f>
        <v/>
      </c>
    </row>
    <row r="160" ht="15" customHeight="1">
      <c r="A160" t="inlineStr">
        <is>
          <t>A 61561-2023</t>
        </is>
      </c>
      <c r="B160" s="1" t="n">
        <v>45265</v>
      </c>
      <c r="C160" s="1" t="n">
        <v>46174</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44619-2025</t>
        </is>
      </c>
      <c r="B161" s="1" t="n">
        <v>45917</v>
      </c>
      <c r="C161" s="1" t="n">
        <v>46174</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10218-2025</t>
        </is>
      </c>
      <c r="B162" s="1" t="n">
        <v>45720</v>
      </c>
      <c r="C162" s="1" t="n">
        <v>46174</v>
      </c>
      <c r="D162" t="inlineStr">
        <is>
          <t>GOTLANDS LÄN</t>
        </is>
      </c>
      <c r="E162" t="inlineStr">
        <is>
          <t>GOTLAND</t>
        </is>
      </c>
      <c r="G162" t="n">
        <v>8.1</v>
      </c>
      <c r="H162" t="n">
        <v>0</v>
      </c>
      <c r="I162" t="n">
        <v>1</v>
      </c>
      <c r="J162" t="n">
        <v>0</v>
      </c>
      <c r="K162" t="n">
        <v>0</v>
      </c>
      <c r="L162" t="n">
        <v>0</v>
      </c>
      <c r="M162" t="n">
        <v>0</v>
      </c>
      <c r="N162" t="n">
        <v>0</v>
      </c>
      <c r="O162" t="n">
        <v>0</v>
      </c>
      <c r="P162" t="n">
        <v>0</v>
      </c>
      <c r="Q162" t="n">
        <v>1</v>
      </c>
      <c r="R162" s="2" t="inlineStr">
        <is>
          <t>Kalktallört</t>
        </is>
      </c>
      <c r="S162">
        <f>HYPERLINK("https://klasma.github.io/Logging_0980/artfynd/A 10218-2025 artfynd.xlsx", "A 10218-2025")</f>
        <v/>
      </c>
      <c r="T162">
        <f>HYPERLINK("https://klasma.github.io/Logging_0980/kartor/A 10218-2025 karta.png", "A 10218-2025")</f>
        <v/>
      </c>
      <c r="V162">
        <f>HYPERLINK("https://klasma.github.io/Logging_0980/klagomål/A 10218-2025 FSC-klagomål.docx", "A 10218-2025")</f>
        <v/>
      </c>
      <c r="W162">
        <f>HYPERLINK("https://klasma.github.io/Logging_0980/klagomålsmail/A 10218-2025 FSC-klagomål mail.docx", "A 10218-2025")</f>
        <v/>
      </c>
      <c r="X162">
        <f>HYPERLINK("https://klasma.github.io/Logging_0980/tillsyn/A 10218-2025 tillsynsbegäran.docx", "A 10218-2025")</f>
        <v/>
      </c>
      <c r="Y162">
        <f>HYPERLINK("https://klasma.github.io/Logging_0980/tillsynsmail/A 10218-2025 tillsynsbegäran mail.docx", "A 10218-2025")</f>
        <v/>
      </c>
    </row>
    <row r="163" ht="15" customHeight="1">
      <c r="A163" t="inlineStr">
        <is>
          <t>A 12379-2024</t>
        </is>
      </c>
      <c r="B163" s="1" t="n">
        <v>45379.28155092592</v>
      </c>
      <c r="C163" s="1" t="n">
        <v>46174</v>
      </c>
      <c r="D163" t="inlineStr">
        <is>
          <t>GOTLANDS LÄN</t>
        </is>
      </c>
      <c r="E163" t="inlineStr">
        <is>
          <t>GOTLAND</t>
        </is>
      </c>
      <c r="G163" t="n">
        <v>4.4</v>
      </c>
      <c r="H163" t="n">
        <v>0</v>
      </c>
      <c r="I163" t="n">
        <v>0</v>
      </c>
      <c r="J163" t="n">
        <v>1</v>
      </c>
      <c r="K163" t="n">
        <v>0</v>
      </c>
      <c r="L163" t="n">
        <v>0</v>
      </c>
      <c r="M163" t="n">
        <v>0</v>
      </c>
      <c r="N163" t="n">
        <v>0</v>
      </c>
      <c r="O163" t="n">
        <v>1</v>
      </c>
      <c r="P163" t="n">
        <v>0</v>
      </c>
      <c r="Q163" t="n">
        <v>1</v>
      </c>
      <c r="R163" s="2" t="inlineStr">
        <is>
          <t>Svinrot</t>
        </is>
      </c>
      <c r="S163">
        <f>HYPERLINK("https://klasma.github.io/Logging_0980/artfynd/A 12379-2024 artfynd.xlsx", "A 12379-2024")</f>
        <v/>
      </c>
      <c r="T163">
        <f>HYPERLINK("https://klasma.github.io/Logging_0980/kartor/A 12379-2024 karta.png", "A 12379-2024")</f>
        <v/>
      </c>
      <c r="V163">
        <f>HYPERLINK("https://klasma.github.io/Logging_0980/klagomål/A 12379-2024 FSC-klagomål.docx", "A 12379-2024")</f>
        <v/>
      </c>
      <c r="W163">
        <f>HYPERLINK("https://klasma.github.io/Logging_0980/klagomålsmail/A 12379-2024 FSC-klagomål mail.docx", "A 12379-2024")</f>
        <v/>
      </c>
      <c r="X163">
        <f>HYPERLINK("https://klasma.github.io/Logging_0980/tillsyn/A 12379-2024 tillsynsbegäran.docx", "A 12379-2024")</f>
        <v/>
      </c>
      <c r="Y163">
        <f>HYPERLINK("https://klasma.github.io/Logging_0980/tillsynsmail/A 12379-2024 tillsynsbegäran mail.docx", "A 12379-2024")</f>
        <v/>
      </c>
    </row>
    <row r="164" ht="15" customHeight="1">
      <c r="A164" t="inlineStr">
        <is>
          <t>A 64700-2021</t>
        </is>
      </c>
      <c r="B164" s="1" t="n">
        <v>44511</v>
      </c>
      <c r="C164" s="1" t="n">
        <v>46174</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35574-2024</t>
        </is>
      </c>
      <c r="B165" s="1" t="n">
        <v>45531</v>
      </c>
      <c r="C165" s="1" t="n">
        <v>46174</v>
      </c>
      <c r="D165" t="inlineStr">
        <is>
          <t>GOTLANDS LÄN</t>
        </is>
      </c>
      <c r="E165" t="inlineStr">
        <is>
          <t>GOTLAND</t>
        </is>
      </c>
      <c r="G165" t="n">
        <v>5.7</v>
      </c>
      <c r="H165" t="n">
        <v>0</v>
      </c>
      <c r="I165" t="n">
        <v>1</v>
      </c>
      <c r="J165" t="n">
        <v>0</v>
      </c>
      <c r="K165" t="n">
        <v>0</v>
      </c>
      <c r="L165" t="n">
        <v>0</v>
      </c>
      <c r="M165" t="n">
        <v>0</v>
      </c>
      <c r="N165" t="n">
        <v>0</v>
      </c>
      <c r="O165" t="n">
        <v>0</v>
      </c>
      <c r="P165" t="n">
        <v>0</v>
      </c>
      <c r="Q165" t="n">
        <v>1</v>
      </c>
      <c r="R165" s="2" t="inlineStr">
        <is>
          <t>Murgröna</t>
        </is>
      </c>
      <c r="S165">
        <f>HYPERLINK("https://klasma.github.io/Logging_0980/artfynd/A 35574-2024 artfynd.xlsx", "A 35574-2024")</f>
        <v/>
      </c>
      <c r="T165">
        <f>HYPERLINK("https://klasma.github.io/Logging_0980/kartor/A 35574-2024 karta.png", "A 35574-2024")</f>
        <v/>
      </c>
      <c r="V165">
        <f>HYPERLINK("https://klasma.github.io/Logging_0980/klagomål/A 35574-2024 FSC-klagomål.docx", "A 35574-2024")</f>
        <v/>
      </c>
      <c r="W165">
        <f>HYPERLINK("https://klasma.github.io/Logging_0980/klagomålsmail/A 35574-2024 FSC-klagomål mail.docx", "A 35574-2024")</f>
        <v/>
      </c>
      <c r="X165">
        <f>HYPERLINK("https://klasma.github.io/Logging_0980/tillsyn/A 35574-2024 tillsynsbegäran.docx", "A 35574-2024")</f>
        <v/>
      </c>
      <c r="Y165">
        <f>HYPERLINK("https://klasma.github.io/Logging_0980/tillsynsmail/A 35574-2024 tillsynsbegäran mail.docx", "A 35574-2024")</f>
        <v/>
      </c>
    </row>
    <row r="166" ht="15" customHeight="1">
      <c r="A166" t="inlineStr">
        <is>
          <t>A 37591-2023</t>
        </is>
      </c>
      <c r="B166" s="1" t="n">
        <v>45159</v>
      </c>
      <c r="C166" s="1" t="n">
        <v>46174</v>
      </c>
      <c r="D166" t="inlineStr">
        <is>
          <t>GOTLANDS LÄN</t>
        </is>
      </c>
      <c r="E166" t="inlineStr">
        <is>
          <t>GOTLAND</t>
        </is>
      </c>
      <c r="G166" t="n">
        <v>8.300000000000001</v>
      </c>
      <c r="H166" t="n">
        <v>0</v>
      </c>
      <c r="I166" t="n">
        <v>0</v>
      </c>
      <c r="J166" t="n">
        <v>1</v>
      </c>
      <c r="K166" t="n">
        <v>0</v>
      </c>
      <c r="L166" t="n">
        <v>0</v>
      </c>
      <c r="M166" t="n">
        <v>0</v>
      </c>
      <c r="N166" t="n">
        <v>0</v>
      </c>
      <c r="O166" t="n">
        <v>1</v>
      </c>
      <c r="P166" t="n">
        <v>0</v>
      </c>
      <c r="Q166" t="n">
        <v>1</v>
      </c>
      <c r="R166" s="2" t="inlineStr">
        <is>
          <t>Ängsstarr</t>
        </is>
      </c>
      <c r="S166">
        <f>HYPERLINK("https://klasma.github.io/Logging_0980/artfynd/A 37591-2023 artfynd.xlsx", "A 37591-2023")</f>
        <v/>
      </c>
      <c r="T166">
        <f>HYPERLINK("https://klasma.github.io/Logging_0980/kartor/A 37591-2023 karta.png", "A 37591-2023")</f>
        <v/>
      </c>
      <c r="V166">
        <f>HYPERLINK("https://klasma.github.io/Logging_0980/klagomål/A 37591-2023 FSC-klagomål.docx", "A 37591-2023")</f>
        <v/>
      </c>
      <c r="W166">
        <f>HYPERLINK("https://klasma.github.io/Logging_0980/klagomålsmail/A 37591-2023 FSC-klagomål mail.docx", "A 37591-2023")</f>
        <v/>
      </c>
      <c r="X166">
        <f>HYPERLINK("https://klasma.github.io/Logging_0980/tillsyn/A 37591-2023 tillsynsbegäran.docx", "A 37591-2023")</f>
        <v/>
      </c>
      <c r="Y166">
        <f>HYPERLINK("https://klasma.github.io/Logging_0980/tillsynsmail/A 37591-2023 tillsynsbegäran mail.docx", "A 37591-2023")</f>
        <v/>
      </c>
    </row>
    <row r="167" ht="15" customHeight="1">
      <c r="A167" t="inlineStr">
        <is>
          <t>A 12324-2025</t>
        </is>
      </c>
      <c r="B167" s="1" t="n">
        <v>45730</v>
      </c>
      <c r="C167" s="1" t="n">
        <v>46174</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15637-2024</t>
        </is>
      </c>
      <c r="B168" s="1" t="n">
        <v>45403.6684837963</v>
      </c>
      <c r="C168" s="1" t="n">
        <v>46174</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49726-2025</t>
        </is>
      </c>
      <c r="B169" s="1" t="n">
        <v>45939.84466435185</v>
      </c>
      <c r="C169" s="1" t="n">
        <v>46174</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21466-2025</t>
        </is>
      </c>
      <c r="B170" s="1" t="n">
        <v>45782</v>
      </c>
      <c r="C170" s="1" t="n">
        <v>46174</v>
      </c>
      <c r="D170" t="inlineStr">
        <is>
          <t>GOTLANDS LÄN</t>
        </is>
      </c>
      <c r="E170" t="inlineStr">
        <is>
          <t>GOTLAND</t>
        </is>
      </c>
      <c r="F170" t="inlineStr">
        <is>
          <t>Övriga statliga verk och myndigheter</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HYPERLINK("https://klasma.github.io/Logging_0980/artfynd/A 21466-2025 artfynd.xlsx", "A 21466-2025")</f>
        <v/>
      </c>
      <c r="T170">
        <f>HYPERLINK("https://klasma.github.io/Logging_0980/kartor/A 21466-2025 karta.png", "A 21466-2025")</f>
        <v/>
      </c>
      <c r="V170">
        <f>HYPERLINK("https://klasma.github.io/Logging_0980/klagomål/A 21466-2025 FSC-klagomål.docx", "A 21466-2025")</f>
        <v/>
      </c>
      <c r="W170">
        <f>HYPERLINK("https://klasma.github.io/Logging_0980/klagomålsmail/A 21466-2025 FSC-klagomål mail.docx", "A 21466-2025")</f>
        <v/>
      </c>
      <c r="X170">
        <f>HYPERLINK("https://klasma.github.io/Logging_0980/tillsyn/A 21466-2025 tillsynsbegäran.docx", "A 21466-2025")</f>
        <v/>
      </c>
      <c r="Y170">
        <f>HYPERLINK("https://klasma.github.io/Logging_0980/tillsynsmail/A 21466-2025 tillsynsbegäran mail.docx", "A 21466-2025")</f>
        <v/>
      </c>
    </row>
    <row r="171" ht="15" customHeight="1">
      <c r="A171" t="inlineStr">
        <is>
          <t>A 2476-2025</t>
        </is>
      </c>
      <c r="B171" s="1" t="n">
        <v>45673</v>
      </c>
      <c r="C171" s="1" t="n">
        <v>46174</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44304-2021</t>
        </is>
      </c>
      <c r="B172" s="1" t="n">
        <v>44434</v>
      </c>
      <c r="C172" s="1" t="n">
        <v>46174</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Svinrot</t>
        </is>
      </c>
      <c r="S172">
        <f>HYPERLINK("https://klasma.github.io/Logging_0980/artfynd/A 44304-2021 artfynd.xlsx", "A 44304-2021")</f>
        <v/>
      </c>
      <c r="T172">
        <f>HYPERLINK("https://klasma.github.io/Logging_0980/kartor/A 44304-2021 karta.png", "A 44304-2021")</f>
        <v/>
      </c>
      <c r="V172">
        <f>HYPERLINK("https://klasma.github.io/Logging_0980/klagomål/A 44304-2021 FSC-klagomål.docx", "A 44304-2021")</f>
        <v/>
      </c>
      <c r="W172">
        <f>HYPERLINK("https://klasma.github.io/Logging_0980/klagomålsmail/A 44304-2021 FSC-klagomål mail.docx", "A 44304-2021")</f>
        <v/>
      </c>
      <c r="X172">
        <f>HYPERLINK("https://klasma.github.io/Logging_0980/tillsyn/A 44304-2021 tillsynsbegäran.docx", "A 44304-2021")</f>
        <v/>
      </c>
      <c r="Y172">
        <f>HYPERLINK("https://klasma.github.io/Logging_0980/tillsynsmail/A 44304-2021 tillsynsbegäran mail.docx", "A 44304-2021")</f>
        <v/>
      </c>
    </row>
    <row r="173" ht="15" customHeight="1">
      <c r="A173" t="inlineStr">
        <is>
          <t>A 447-2023</t>
        </is>
      </c>
      <c r="B173" s="1" t="n">
        <v>44929</v>
      </c>
      <c r="C173" s="1" t="n">
        <v>46174</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49847-2023</t>
        </is>
      </c>
      <c r="B174" s="1" t="n">
        <v>45212</v>
      </c>
      <c r="C174" s="1" t="n">
        <v>46174</v>
      </c>
      <c r="D174" t="inlineStr">
        <is>
          <t>GOTLANDS LÄN</t>
        </is>
      </c>
      <c r="E174" t="inlineStr">
        <is>
          <t>GOTLAND</t>
        </is>
      </c>
      <c r="G174" t="n">
        <v>35.2</v>
      </c>
      <c r="H174" t="n">
        <v>0</v>
      </c>
      <c r="I174" t="n">
        <v>0</v>
      </c>
      <c r="J174" t="n">
        <v>0</v>
      </c>
      <c r="K174" t="n">
        <v>1</v>
      </c>
      <c r="L174" t="n">
        <v>0</v>
      </c>
      <c r="M174" t="n">
        <v>0</v>
      </c>
      <c r="N174" t="n">
        <v>0</v>
      </c>
      <c r="O174" t="n">
        <v>1</v>
      </c>
      <c r="P174" t="n">
        <v>1</v>
      </c>
      <c r="Q174" t="n">
        <v>1</v>
      </c>
      <c r="R174" s="2" t="inlineStr">
        <is>
          <t>Strandviol</t>
        </is>
      </c>
      <c r="S174">
        <f>HYPERLINK("https://klasma.github.io/Logging_0980/artfynd/A 49847-2023 artfynd.xlsx", "A 49847-2023")</f>
        <v/>
      </c>
      <c r="T174">
        <f>HYPERLINK("https://klasma.github.io/Logging_0980/kartor/A 49847-2023 karta.png", "A 49847-2023")</f>
        <v/>
      </c>
      <c r="V174">
        <f>HYPERLINK("https://klasma.github.io/Logging_0980/klagomål/A 49847-2023 FSC-klagomål.docx", "A 49847-2023")</f>
        <v/>
      </c>
      <c r="W174">
        <f>HYPERLINK("https://klasma.github.io/Logging_0980/klagomålsmail/A 49847-2023 FSC-klagomål mail.docx", "A 49847-2023")</f>
        <v/>
      </c>
      <c r="X174">
        <f>HYPERLINK("https://klasma.github.io/Logging_0980/tillsyn/A 49847-2023 tillsynsbegäran.docx", "A 49847-2023")</f>
        <v/>
      </c>
      <c r="Y174">
        <f>HYPERLINK("https://klasma.github.io/Logging_0980/tillsynsmail/A 49847-2023 tillsynsbegäran mail.docx", "A 49847-2023")</f>
        <v/>
      </c>
    </row>
    <row r="175" ht="15" customHeight="1">
      <c r="A175" t="inlineStr">
        <is>
          <t>A 34809-2024</t>
        </is>
      </c>
      <c r="B175" s="1" t="n">
        <v>45526</v>
      </c>
      <c r="C175" s="1" t="n">
        <v>46174</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18036-2026</t>
        </is>
      </c>
      <c r="B176" s="1" t="n">
        <v>46125.39576388889</v>
      </c>
      <c r="C176" s="1" t="n">
        <v>46174</v>
      </c>
      <c r="D176" t="inlineStr">
        <is>
          <t>GOTLANDS LÄN</t>
        </is>
      </c>
      <c r="E176" t="inlineStr">
        <is>
          <t>GOTLAND</t>
        </is>
      </c>
      <c r="G176" t="n">
        <v>1.8</v>
      </c>
      <c r="H176" t="n">
        <v>0</v>
      </c>
      <c r="I176" t="n">
        <v>0</v>
      </c>
      <c r="J176" t="n">
        <v>1</v>
      </c>
      <c r="K176" t="n">
        <v>0</v>
      </c>
      <c r="L176" t="n">
        <v>0</v>
      </c>
      <c r="M176" t="n">
        <v>0</v>
      </c>
      <c r="N176" t="n">
        <v>0</v>
      </c>
      <c r="O176" t="n">
        <v>1</v>
      </c>
      <c r="P176" t="n">
        <v>0</v>
      </c>
      <c r="Q176" t="n">
        <v>1</v>
      </c>
      <c r="R176" s="2" t="inlineStr">
        <is>
          <t>Sommarfibbla</t>
        </is>
      </c>
      <c r="S176">
        <f>HYPERLINK("https://klasma.github.io/Logging_0980/artfynd/A 18036-2026 artfynd.xlsx", "A 18036-2026")</f>
        <v/>
      </c>
      <c r="T176">
        <f>HYPERLINK("https://klasma.github.io/Logging_0980/kartor/A 18036-2026 karta.png", "A 18036-2026")</f>
        <v/>
      </c>
      <c r="V176">
        <f>HYPERLINK("https://klasma.github.io/Logging_0980/klagomål/A 18036-2026 FSC-klagomål.docx", "A 18036-2026")</f>
        <v/>
      </c>
      <c r="W176">
        <f>HYPERLINK("https://klasma.github.io/Logging_0980/klagomålsmail/A 18036-2026 FSC-klagomål mail.docx", "A 18036-2026")</f>
        <v/>
      </c>
      <c r="X176">
        <f>HYPERLINK("https://klasma.github.io/Logging_0980/tillsyn/A 18036-2026 tillsynsbegäran.docx", "A 18036-2026")</f>
        <v/>
      </c>
      <c r="Y176">
        <f>HYPERLINK("https://klasma.github.io/Logging_0980/tillsynsmail/A 18036-2026 tillsynsbegäran mail.docx", "A 18036-2026")</f>
        <v/>
      </c>
    </row>
    <row r="177" ht="15" customHeight="1">
      <c r="A177" t="inlineStr">
        <is>
          <t>A 10440-2024</t>
        </is>
      </c>
      <c r="B177" s="1" t="n">
        <v>45366.32818287037</v>
      </c>
      <c r="C177" s="1" t="n">
        <v>46174</v>
      </c>
      <c r="D177" t="inlineStr">
        <is>
          <t>GOTLANDS LÄN</t>
        </is>
      </c>
      <c r="E177" t="inlineStr">
        <is>
          <t>GOTLAND</t>
        </is>
      </c>
      <c r="G177" t="n">
        <v>2.5</v>
      </c>
      <c r="H177" t="n">
        <v>1</v>
      </c>
      <c r="I177" t="n">
        <v>0</v>
      </c>
      <c r="J177" t="n">
        <v>1</v>
      </c>
      <c r="K177" t="n">
        <v>0</v>
      </c>
      <c r="L177" t="n">
        <v>0</v>
      </c>
      <c r="M177" t="n">
        <v>0</v>
      </c>
      <c r="N177" t="n">
        <v>0</v>
      </c>
      <c r="O177" t="n">
        <v>1</v>
      </c>
      <c r="P177" t="n">
        <v>0</v>
      </c>
      <c r="Q177" t="n">
        <v>1</v>
      </c>
      <c r="R177" s="2" t="inlineStr">
        <is>
          <t>Mindre hackspett</t>
        </is>
      </c>
      <c r="S177">
        <f>HYPERLINK("https://klasma.github.io/Logging_0980/artfynd/A 10440-2024 artfynd.xlsx", "A 10440-2024")</f>
        <v/>
      </c>
      <c r="T177">
        <f>HYPERLINK("https://klasma.github.io/Logging_0980/kartor/A 10440-2024 karta.png", "A 10440-2024")</f>
        <v/>
      </c>
      <c r="V177">
        <f>HYPERLINK("https://klasma.github.io/Logging_0980/klagomål/A 10440-2024 FSC-klagomål.docx", "A 10440-2024")</f>
        <v/>
      </c>
      <c r="W177">
        <f>HYPERLINK("https://klasma.github.io/Logging_0980/klagomålsmail/A 10440-2024 FSC-klagomål mail.docx", "A 10440-2024")</f>
        <v/>
      </c>
      <c r="X177">
        <f>HYPERLINK("https://klasma.github.io/Logging_0980/tillsyn/A 10440-2024 tillsynsbegäran.docx", "A 10440-2024")</f>
        <v/>
      </c>
      <c r="Y177">
        <f>HYPERLINK("https://klasma.github.io/Logging_0980/tillsynsmail/A 10440-2024 tillsynsbegäran mail.docx", "A 10440-2024")</f>
        <v/>
      </c>
      <c r="Z177">
        <f>HYPERLINK("https://klasma.github.io/Logging_0980/fåglar/A 10440-2024 prioriterade fågelarter.docx", "A 10440-2024")</f>
        <v/>
      </c>
    </row>
    <row r="178" ht="15" customHeight="1">
      <c r="A178" t="inlineStr">
        <is>
          <t>A 10013-2026</t>
        </is>
      </c>
      <c r="B178" s="1" t="n">
        <v>46073</v>
      </c>
      <c r="C178" s="1" t="n">
        <v>46174</v>
      </c>
      <c r="D178" t="inlineStr">
        <is>
          <t>GOTLANDS LÄN</t>
        </is>
      </c>
      <c r="E178" t="inlineStr">
        <is>
          <t>GOTLAND</t>
        </is>
      </c>
      <c r="G178" t="n">
        <v>10.5</v>
      </c>
      <c r="H178" t="n">
        <v>0</v>
      </c>
      <c r="I178" t="n">
        <v>0</v>
      </c>
      <c r="J178" t="n">
        <v>0</v>
      </c>
      <c r="K178" t="n">
        <v>1</v>
      </c>
      <c r="L178" t="n">
        <v>0</v>
      </c>
      <c r="M178" t="n">
        <v>0</v>
      </c>
      <c r="N178" t="n">
        <v>0</v>
      </c>
      <c r="O178" t="n">
        <v>1</v>
      </c>
      <c r="P178" t="n">
        <v>1</v>
      </c>
      <c r="Q178" t="n">
        <v>1</v>
      </c>
      <c r="R178" s="2" t="inlineStr">
        <is>
          <t>Skogskorn</t>
        </is>
      </c>
      <c r="S178">
        <f>HYPERLINK("https://klasma.github.io/Logging_0980/artfynd/A 10013-2026 artfynd.xlsx", "A 10013-2026")</f>
        <v/>
      </c>
      <c r="T178">
        <f>HYPERLINK("https://klasma.github.io/Logging_0980/kartor/A 10013-2026 karta.png", "A 10013-2026")</f>
        <v/>
      </c>
      <c r="V178">
        <f>HYPERLINK("https://klasma.github.io/Logging_0980/klagomål/A 10013-2026 FSC-klagomål.docx", "A 10013-2026")</f>
        <v/>
      </c>
      <c r="W178">
        <f>HYPERLINK("https://klasma.github.io/Logging_0980/klagomålsmail/A 10013-2026 FSC-klagomål mail.docx", "A 10013-2026")</f>
        <v/>
      </c>
      <c r="X178">
        <f>HYPERLINK("https://klasma.github.io/Logging_0980/tillsyn/A 10013-2026 tillsynsbegäran.docx", "A 10013-2026")</f>
        <v/>
      </c>
      <c r="Y178">
        <f>HYPERLINK("https://klasma.github.io/Logging_0980/tillsynsmail/A 10013-2026 tillsynsbegäran mail.docx", "A 10013-2026")</f>
        <v/>
      </c>
    </row>
    <row r="179" ht="15" customHeight="1">
      <c r="A179" t="inlineStr">
        <is>
          <t>A 26461-2025</t>
        </is>
      </c>
      <c r="B179" s="1" t="n">
        <v>45807.43337962963</v>
      </c>
      <c r="C179" s="1" t="n">
        <v>46174</v>
      </c>
      <c r="D179" t="inlineStr">
        <is>
          <t>GOTLANDS LÄN</t>
        </is>
      </c>
      <c r="E179" t="inlineStr">
        <is>
          <t>GOTLAND</t>
        </is>
      </c>
      <c r="G179" t="n">
        <v>4.1</v>
      </c>
      <c r="H179" t="n">
        <v>0</v>
      </c>
      <c r="I179" t="n">
        <v>0</v>
      </c>
      <c r="J179" t="n">
        <v>0</v>
      </c>
      <c r="K179" t="n">
        <v>1</v>
      </c>
      <c r="L179" t="n">
        <v>0</v>
      </c>
      <c r="M179" t="n">
        <v>0</v>
      </c>
      <c r="N179" t="n">
        <v>0</v>
      </c>
      <c r="O179" t="n">
        <v>1</v>
      </c>
      <c r="P179" t="n">
        <v>1</v>
      </c>
      <c r="Q179" t="n">
        <v>1</v>
      </c>
      <c r="R179" s="2" t="inlineStr">
        <is>
          <t>Gotlandsmåra</t>
        </is>
      </c>
      <c r="S179">
        <f>HYPERLINK("https://klasma.github.io/Logging_0980/artfynd/A 26461-2025 artfynd.xlsx", "A 26461-2025")</f>
        <v/>
      </c>
      <c r="T179">
        <f>HYPERLINK("https://klasma.github.io/Logging_0980/kartor/A 26461-2025 karta.png", "A 26461-2025")</f>
        <v/>
      </c>
      <c r="V179">
        <f>HYPERLINK("https://klasma.github.io/Logging_0980/klagomål/A 26461-2025 FSC-klagomål.docx", "A 26461-2025")</f>
        <v/>
      </c>
      <c r="W179">
        <f>HYPERLINK("https://klasma.github.io/Logging_0980/klagomålsmail/A 26461-2025 FSC-klagomål mail.docx", "A 26461-2025")</f>
        <v/>
      </c>
      <c r="X179">
        <f>HYPERLINK("https://klasma.github.io/Logging_0980/tillsyn/A 26461-2025 tillsynsbegäran.docx", "A 26461-2025")</f>
        <v/>
      </c>
      <c r="Y179">
        <f>HYPERLINK("https://klasma.github.io/Logging_0980/tillsynsmail/A 26461-2025 tillsynsbegäran mail.docx", "A 26461-2025")</f>
        <v/>
      </c>
    </row>
    <row r="180" ht="15" customHeight="1">
      <c r="A180" t="inlineStr">
        <is>
          <t>A 6739-2025</t>
        </is>
      </c>
      <c r="B180" s="1" t="n">
        <v>45700</v>
      </c>
      <c r="C180" s="1" t="n">
        <v>46174</v>
      </c>
      <c r="D180" t="inlineStr">
        <is>
          <t>GOTLANDS LÄN</t>
        </is>
      </c>
      <c r="E180" t="inlineStr">
        <is>
          <t>GOTLAND</t>
        </is>
      </c>
      <c r="G180" t="n">
        <v>4.5</v>
      </c>
      <c r="H180" t="n">
        <v>1</v>
      </c>
      <c r="I180" t="n">
        <v>0</v>
      </c>
      <c r="J180" t="n">
        <v>0</v>
      </c>
      <c r="K180" t="n">
        <v>0</v>
      </c>
      <c r="L180" t="n">
        <v>0</v>
      </c>
      <c r="M180" t="n">
        <v>0</v>
      </c>
      <c r="N180" t="n">
        <v>0</v>
      </c>
      <c r="O180" t="n">
        <v>0</v>
      </c>
      <c r="P180" t="n">
        <v>0</v>
      </c>
      <c r="Q180" t="n">
        <v>1</v>
      </c>
      <c r="R180" s="2" t="inlineStr">
        <is>
          <t>Röd glada</t>
        </is>
      </c>
      <c r="S180">
        <f>HYPERLINK("https://klasma.github.io/Logging_0980/artfynd/A 6739-2025 artfynd.xlsx", "A 6739-2025")</f>
        <v/>
      </c>
      <c r="T180">
        <f>HYPERLINK("https://klasma.github.io/Logging_0980/kartor/A 6739-2025 karta.png", "A 6739-2025")</f>
        <v/>
      </c>
      <c r="V180">
        <f>HYPERLINK("https://klasma.github.io/Logging_0980/klagomål/A 6739-2025 FSC-klagomål.docx", "A 6739-2025")</f>
        <v/>
      </c>
      <c r="W180">
        <f>HYPERLINK("https://klasma.github.io/Logging_0980/klagomålsmail/A 6739-2025 FSC-klagomål mail.docx", "A 6739-2025")</f>
        <v/>
      </c>
      <c r="X180">
        <f>HYPERLINK("https://klasma.github.io/Logging_0980/tillsyn/A 6739-2025 tillsynsbegäran.docx", "A 6739-2025")</f>
        <v/>
      </c>
      <c r="Y180">
        <f>HYPERLINK("https://klasma.github.io/Logging_0980/tillsynsmail/A 6739-2025 tillsynsbegäran mail.docx", "A 6739-2025")</f>
        <v/>
      </c>
      <c r="Z180">
        <f>HYPERLINK("https://klasma.github.io/Logging_0980/fåglar/A 6739-2025 prioriterade fågelarter.docx", "A 6739-2025")</f>
        <v/>
      </c>
    </row>
    <row r="181" ht="15" customHeight="1">
      <c r="A181" t="inlineStr">
        <is>
          <t>A 9862-2024</t>
        </is>
      </c>
      <c r="B181" s="1" t="n">
        <v>45363</v>
      </c>
      <c r="C181" s="1" t="n">
        <v>46174</v>
      </c>
      <c r="D181" t="inlineStr">
        <is>
          <t>GOTLANDS LÄN</t>
        </is>
      </c>
      <c r="E181" t="inlineStr">
        <is>
          <t>GOTLAND</t>
        </is>
      </c>
      <c r="G181" t="n">
        <v>3.5</v>
      </c>
      <c r="H181" t="n">
        <v>1</v>
      </c>
      <c r="I181" t="n">
        <v>0</v>
      </c>
      <c r="J181" t="n">
        <v>0</v>
      </c>
      <c r="K181" t="n">
        <v>0</v>
      </c>
      <c r="L181" t="n">
        <v>0</v>
      </c>
      <c r="M181" t="n">
        <v>0</v>
      </c>
      <c r="N181" t="n">
        <v>0</v>
      </c>
      <c r="O181" t="n">
        <v>0</v>
      </c>
      <c r="P181" t="n">
        <v>0</v>
      </c>
      <c r="Q181" t="n">
        <v>1</v>
      </c>
      <c r="R181" s="2" t="inlineStr">
        <is>
          <t>Nattviol</t>
        </is>
      </c>
      <c r="S181">
        <f>HYPERLINK("https://klasma.github.io/Logging_0980/artfynd/A 9862-2024 artfynd.xlsx", "A 9862-2024")</f>
        <v/>
      </c>
      <c r="T181">
        <f>HYPERLINK("https://klasma.github.io/Logging_0980/kartor/A 9862-2024 karta.png", "A 9862-2024")</f>
        <v/>
      </c>
      <c r="V181">
        <f>HYPERLINK("https://klasma.github.io/Logging_0980/klagomål/A 9862-2024 FSC-klagomål.docx", "A 9862-2024")</f>
        <v/>
      </c>
      <c r="W181">
        <f>HYPERLINK("https://klasma.github.io/Logging_0980/klagomålsmail/A 9862-2024 FSC-klagomål mail.docx", "A 9862-2024")</f>
        <v/>
      </c>
      <c r="X181">
        <f>HYPERLINK("https://klasma.github.io/Logging_0980/tillsyn/A 9862-2024 tillsynsbegäran.docx", "A 9862-2024")</f>
        <v/>
      </c>
      <c r="Y181">
        <f>HYPERLINK("https://klasma.github.io/Logging_0980/tillsynsmail/A 9862-2024 tillsynsbegäran mail.docx", "A 9862-2024")</f>
        <v/>
      </c>
    </row>
    <row r="182" ht="15" customHeight="1">
      <c r="A182" t="inlineStr">
        <is>
          <t>A 34141-2024</t>
        </is>
      </c>
      <c r="B182" s="1" t="n">
        <v>45524.36229166666</v>
      </c>
      <c r="C182" s="1" t="n">
        <v>46174</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11708-2026</t>
        </is>
      </c>
      <c r="B183" s="1" t="n">
        <v>46084</v>
      </c>
      <c r="C183" s="1" t="n">
        <v>46174</v>
      </c>
      <c r="D183" t="inlineStr">
        <is>
          <t>GOTLANDS LÄN</t>
        </is>
      </c>
      <c r="E183" t="inlineStr">
        <is>
          <t>GOTLAND</t>
        </is>
      </c>
      <c r="G183" t="n">
        <v>8.4</v>
      </c>
      <c r="H183" t="n">
        <v>1</v>
      </c>
      <c r="I183" t="n">
        <v>0</v>
      </c>
      <c r="J183" t="n">
        <v>1</v>
      </c>
      <c r="K183" t="n">
        <v>0</v>
      </c>
      <c r="L183" t="n">
        <v>0</v>
      </c>
      <c r="M183" t="n">
        <v>0</v>
      </c>
      <c r="N183" t="n">
        <v>0</v>
      </c>
      <c r="O183" t="n">
        <v>1</v>
      </c>
      <c r="P183" t="n">
        <v>0</v>
      </c>
      <c r="Q183" t="n">
        <v>1</v>
      </c>
      <c r="R183" s="2" t="inlineStr">
        <is>
          <t>Bredarun</t>
        </is>
      </c>
      <c r="S183">
        <f>HYPERLINK("https://klasma.github.io/Logging_0980/artfynd/A 11708-2026 artfynd.xlsx", "A 11708-2026")</f>
        <v/>
      </c>
      <c r="T183">
        <f>HYPERLINK("https://klasma.github.io/Logging_0980/kartor/A 11708-2026 karta.png", "A 11708-2026")</f>
        <v/>
      </c>
      <c r="V183">
        <f>HYPERLINK("https://klasma.github.io/Logging_0980/klagomål/A 11708-2026 FSC-klagomål.docx", "A 11708-2026")</f>
        <v/>
      </c>
      <c r="W183">
        <f>HYPERLINK("https://klasma.github.io/Logging_0980/klagomålsmail/A 11708-2026 FSC-klagomål mail.docx", "A 11708-2026")</f>
        <v/>
      </c>
      <c r="X183">
        <f>HYPERLINK("https://klasma.github.io/Logging_0980/tillsyn/A 11708-2026 tillsynsbegäran.docx", "A 11708-2026")</f>
        <v/>
      </c>
      <c r="Y183">
        <f>HYPERLINK("https://klasma.github.io/Logging_0980/tillsynsmail/A 11708-2026 tillsynsbegäran mail.docx", "A 11708-2026")</f>
        <v/>
      </c>
    </row>
    <row r="184" ht="15" customHeight="1">
      <c r="A184" t="inlineStr">
        <is>
          <t>A 12924-2025</t>
        </is>
      </c>
      <c r="B184" s="1" t="n">
        <v>45734</v>
      </c>
      <c r="C184" s="1" t="n">
        <v>46174</v>
      </c>
      <c r="D184" t="inlineStr">
        <is>
          <t>GOTLANDS LÄN</t>
        </is>
      </c>
      <c r="E184" t="inlineStr">
        <is>
          <t>GOTLAND</t>
        </is>
      </c>
      <c r="G184" t="n">
        <v>11.7</v>
      </c>
      <c r="H184" t="n">
        <v>0</v>
      </c>
      <c r="I184" t="n">
        <v>0</v>
      </c>
      <c r="J184" t="n">
        <v>0</v>
      </c>
      <c r="K184" t="n">
        <v>1</v>
      </c>
      <c r="L184" t="n">
        <v>0</v>
      </c>
      <c r="M184" t="n">
        <v>0</v>
      </c>
      <c r="N184" t="n">
        <v>0</v>
      </c>
      <c r="O184" t="n">
        <v>1</v>
      </c>
      <c r="P184" t="n">
        <v>1</v>
      </c>
      <c r="Q184" t="n">
        <v>1</v>
      </c>
      <c r="R184" s="2" t="inlineStr">
        <is>
          <t>Gotlandsmåra</t>
        </is>
      </c>
      <c r="S184">
        <f>HYPERLINK("https://klasma.github.io/Logging_0980/artfynd/A 12924-2025 artfynd.xlsx", "A 12924-2025")</f>
        <v/>
      </c>
      <c r="T184">
        <f>HYPERLINK("https://klasma.github.io/Logging_0980/kartor/A 12924-2025 karta.png", "A 12924-2025")</f>
        <v/>
      </c>
      <c r="V184">
        <f>HYPERLINK("https://klasma.github.io/Logging_0980/klagomål/A 12924-2025 FSC-klagomål.docx", "A 12924-2025")</f>
        <v/>
      </c>
      <c r="W184">
        <f>HYPERLINK("https://klasma.github.io/Logging_0980/klagomålsmail/A 12924-2025 FSC-klagomål mail.docx", "A 12924-2025")</f>
        <v/>
      </c>
      <c r="X184">
        <f>HYPERLINK("https://klasma.github.io/Logging_0980/tillsyn/A 12924-2025 tillsynsbegäran.docx", "A 12924-2025")</f>
        <v/>
      </c>
      <c r="Y184">
        <f>HYPERLINK("https://klasma.github.io/Logging_0980/tillsynsmail/A 12924-2025 tillsynsbegäran mail.docx", "A 12924-2025")</f>
        <v/>
      </c>
    </row>
    <row r="185" ht="15" customHeight="1">
      <c r="A185" t="inlineStr">
        <is>
          <t>A 13482-2026</t>
        </is>
      </c>
      <c r="B185" s="1" t="n">
        <v>46094</v>
      </c>
      <c r="C185" s="1" t="n">
        <v>46174</v>
      </c>
      <c r="D185" t="inlineStr">
        <is>
          <t>GOTLANDS LÄN</t>
        </is>
      </c>
      <c r="E185" t="inlineStr">
        <is>
          <t>GOTLAND</t>
        </is>
      </c>
      <c r="G185" t="n">
        <v>1.7</v>
      </c>
      <c r="H185" t="n">
        <v>1</v>
      </c>
      <c r="I185" t="n">
        <v>0</v>
      </c>
      <c r="J185" t="n">
        <v>1</v>
      </c>
      <c r="K185" t="n">
        <v>0</v>
      </c>
      <c r="L185" t="n">
        <v>0</v>
      </c>
      <c r="M185" t="n">
        <v>0</v>
      </c>
      <c r="N185" t="n">
        <v>0</v>
      </c>
      <c r="O185" t="n">
        <v>1</v>
      </c>
      <c r="P185" t="n">
        <v>0</v>
      </c>
      <c r="Q185" t="n">
        <v>1</v>
      </c>
      <c r="R185" s="2" t="inlineStr">
        <is>
          <t>Spillkråka</t>
        </is>
      </c>
      <c r="S185">
        <f>HYPERLINK("https://klasma.github.io/Logging_0980/artfynd/A 13482-2026 artfynd.xlsx", "A 13482-2026")</f>
        <v/>
      </c>
      <c r="T185">
        <f>HYPERLINK("https://klasma.github.io/Logging_0980/kartor/A 13482-2026 karta.png", "A 13482-2026")</f>
        <v/>
      </c>
      <c r="V185">
        <f>HYPERLINK("https://klasma.github.io/Logging_0980/klagomål/A 13482-2026 FSC-klagomål.docx", "A 13482-2026")</f>
        <v/>
      </c>
      <c r="W185">
        <f>HYPERLINK("https://klasma.github.io/Logging_0980/klagomålsmail/A 13482-2026 FSC-klagomål mail.docx", "A 13482-2026")</f>
        <v/>
      </c>
      <c r="X185">
        <f>HYPERLINK("https://klasma.github.io/Logging_0980/tillsyn/A 13482-2026 tillsynsbegäran.docx", "A 13482-2026")</f>
        <v/>
      </c>
      <c r="Y185">
        <f>HYPERLINK("https://klasma.github.io/Logging_0980/tillsynsmail/A 13482-2026 tillsynsbegäran mail.docx", "A 13482-2026")</f>
        <v/>
      </c>
      <c r="Z185">
        <f>HYPERLINK("https://klasma.github.io/Logging_0980/fåglar/A 13482-2026 prioriterade fågelarter.docx", "A 13482-2026")</f>
        <v/>
      </c>
    </row>
    <row r="186" ht="15" customHeight="1">
      <c r="A186" t="inlineStr">
        <is>
          <t>A 22281-2026</t>
        </is>
      </c>
      <c r="B186" s="1" t="n">
        <v>46154</v>
      </c>
      <c r="C186" s="1" t="n">
        <v>46174</v>
      </c>
      <c r="D186" t="inlineStr">
        <is>
          <t>GOTLANDS LÄN</t>
        </is>
      </c>
      <c r="E186" t="inlineStr">
        <is>
          <t>GOTLAND</t>
        </is>
      </c>
      <c r="G186" t="n">
        <v>8.1</v>
      </c>
      <c r="H186" t="n">
        <v>0</v>
      </c>
      <c r="I186" t="n">
        <v>0</v>
      </c>
      <c r="J186" t="n">
        <v>1</v>
      </c>
      <c r="K186" t="n">
        <v>0</v>
      </c>
      <c r="L186" t="n">
        <v>0</v>
      </c>
      <c r="M186" t="n">
        <v>0</v>
      </c>
      <c r="N186" t="n">
        <v>0</v>
      </c>
      <c r="O186" t="n">
        <v>1</v>
      </c>
      <c r="P186" t="n">
        <v>0</v>
      </c>
      <c r="Q186" t="n">
        <v>1</v>
      </c>
      <c r="R186" s="2" t="inlineStr">
        <is>
          <t>Vasstandad trädbasbagge</t>
        </is>
      </c>
      <c r="S186">
        <f>HYPERLINK("https://klasma.github.io/Logging_0980/artfynd/A 22281-2026 artfynd.xlsx", "A 22281-2026")</f>
        <v/>
      </c>
      <c r="T186">
        <f>HYPERLINK("https://klasma.github.io/Logging_0980/kartor/A 22281-2026 karta.png", "A 22281-2026")</f>
        <v/>
      </c>
      <c r="V186">
        <f>HYPERLINK("https://klasma.github.io/Logging_0980/klagomål/A 22281-2026 FSC-klagomål.docx", "A 22281-2026")</f>
        <v/>
      </c>
      <c r="W186">
        <f>HYPERLINK("https://klasma.github.io/Logging_0980/klagomålsmail/A 22281-2026 FSC-klagomål mail.docx", "A 22281-2026")</f>
        <v/>
      </c>
      <c r="X186">
        <f>HYPERLINK("https://klasma.github.io/Logging_0980/tillsyn/A 22281-2026 tillsynsbegäran.docx", "A 22281-2026")</f>
        <v/>
      </c>
      <c r="Y186">
        <f>HYPERLINK("https://klasma.github.io/Logging_0980/tillsynsmail/A 22281-2026 tillsynsbegäran mail.docx", "A 22281-2026")</f>
        <v/>
      </c>
    </row>
    <row r="187" ht="15" customHeight="1">
      <c r="A187" t="inlineStr">
        <is>
          <t>A 17854-2026</t>
        </is>
      </c>
      <c r="B187" s="1" t="n">
        <v>46121</v>
      </c>
      <c r="C187" s="1" t="n">
        <v>46174</v>
      </c>
      <c r="D187" t="inlineStr">
        <is>
          <t>GOTLANDS LÄN</t>
        </is>
      </c>
      <c r="E187" t="inlineStr">
        <is>
          <t>GOTLAND</t>
        </is>
      </c>
      <c r="G187" t="n">
        <v>6.6</v>
      </c>
      <c r="H187" t="n">
        <v>0</v>
      </c>
      <c r="I187" t="n">
        <v>1</v>
      </c>
      <c r="J187" t="n">
        <v>0</v>
      </c>
      <c r="K187" t="n">
        <v>0</v>
      </c>
      <c r="L187" t="n">
        <v>0</v>
      </c>
      <c r="M187" t="n">
        <v>0</v>
      </c>
      <c r="N187" t="n">
        <v>0</v>
      </c>
      <c r="O187" t="n">
        <v>0</v>
      </c>
      <c r="P187" t="n">
        <v>0</v>
      </c>
      <c r="Q187" t="n">
        <v>1</v>
      </c>
      <c r="R187" s="2" t="inlineStr">
        <is>
          <t>Blå slemspindling</t>
        </is>
      </c>
      <c r="S187">
        <f>HYPERLINK("https://klasma.github.io/Logging_0980/artfynd/A 17854-2026 artfynd.xlsx", "A 17854-2026")</f>
        <v/>
      </c>
      <c r="T187">
        <f>HYPERLINK("https://klasma.github.io/Logging_0980/kartor/A 17854-2026 karta.png", "A 17854-2026")</f>
        <v/>
      </c>
      <c r="V187">
        <f>HYPERLINK("https://klasma.github.io/Logging_0980/klagomål/A 17854-2026 FSC-klagomål.docx", "A 17854-2026")</f>
        <v/>
      </c>
      <c r="W187">
        <f>HYPERLINK("https://klasma.github.io/Logging_0980/klagomålsmail/A 17854-2026 FSC-klagomål mail.docx", "A 17854-2026")</f>
        <v/>
      </c>
      <c r="X187">
        <f>HYPERLINK("https://klasma.github.io/Logging_0980/tillsyn/A 17854-2026 tillsynsbegäran.docx", "A 17854-2026")</f>
        <v/>
      </c>
      <c r="Y187">
        <f>HYPERLINK("https://klasma.github.io/Logging_0980/tillsynsmail/A 17854-2026 tillsynsbegäran mail.docx", "A 17854-2026")</f>
        <v/>
      </c>
    </row>
    <row r="188" ht="15" customHeight="1">
      <c r="A188" t="inlineStr">
        <is>
          <t>A 36313-2021</t>
        </is>
      </c>
      <c r="B188" s="1" t="n">
        <v>44390</v>
      </c>
      <c r="C188" s="1" t="n">
        <v>46174</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46174</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46174</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46174</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46174</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46174</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46174</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46174</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46174</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46174</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46174</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46174</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46174</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46174</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22495-2022</t>
        </is>
      </c>
      <c r="B202" s="1" t="n">
        <v>44713.6452199074</v>
      </c>
      <c r="C202" s="1" t="n">
        <v>46174</v>
      </c>
      <c r="D202" t="inlineStr">
        <is>
          <t>GOTLANDS LÄN</t>
        </is>
      </c>
      <c r="E202" t="inlineStr">
        <is>
          <t>GOTLAND</t>
        </is>
      </c>
      <c r="G202" t="n">
        <v>0.5</v>
      </c>
      <c r="H202" t="n">
        <v>0</v>
      </c>
      <c r="I202" t="n">
        <v>0</v>
      </c>
      <c r="J202" t="n">
        <v>0</v>
      </c>
      <c r="K202" t="n">
        <v>0</v>
      </c>
      <c r="L202" t="n">
        <v>0</v>
      </c>
      <c r="M202" t="n">
        <v>0</v>
      </c>
      <c r="N202" t="n">
        <v>0</v>
      </c>
      <c r="O202" t="n">
        <v>0</v>
      </c>
      <c r="P202" t="n">
        <v>0</v>
      </c>
      <c r="Q202" t="n">
        <v>0</v>
      </c>
      <c r="R202" s="2" t="inlineStr"/>
    </row>
    <row r="203" ht="15" customHeight="1">
      <c r="A203" t="inlineStr">
        <is>
          <t>A 17354-2022</t>
        </is>
      </c>
      <c r="B203" s="1" t="n">
        <v>44678</v>
      </c>
      <c r="C203" s="1" t="n">
        <v>46174</v>
      </c>
      <c r="D203" t="inlineStr">
        <is>
          <t>GOTLANDS LÄN</t>
        </is>
      </c>
      <c r="E203" t="inlineStr">
        <is>
          <t>GOTLAND</t>
        </is>
      </c>
      <c r="G203" t="n">
        <v>7.1</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46174</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46174</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46174</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46174</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44942-2022</t>
        </is>
      </c>
      <c r="B208" s="1" t="n">
        <v>44841</v>
      </c>
      <c r="C208" s="1" t="n">
        <v>46174</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46174</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46174</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58815-2021</t>
        </is>
      </c>
      <c r="B211" s="1" t="n">
        <v>44489</v>
      </c>
      <c r="C211" s="1" t="n">
        <v>46174</v>
      </c>
      <c r="D211" t="inlineStr">
        <is>
          <t>GOTLANDS LÄN</t>
        </is>
      </c>
      <c r="E211" t="inlineStr">
        <is>
          <t>GOTLAND</t>
        </is>
      </c>
      <c r="G211" t="n">
        <v>4.1</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46174</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46174</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46174</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45106-2024</t>
        </is>
      </c>
      <c r="B215" s="1" t="n">
        <v>45575</v>
      </c>
      <c r="C215" s="1" t="n">
        <v>46174</v>
      </c>
      <c r="D215" t="inlineStr">
        <is>
          <t>GOTLANDS LÄN</t>
        </is>
      </c>
      <c r="E215" t="inlineStr">
        <is>
          <t>GOTLAND</t>
        </is>
      </c>
      <c r="G215" t="n">
        <v>10</v>
      </c>
      <c r="H215" t="n">
        <v>0</v>
      </c>
      <c r="I215" t="n">
        <v>0</v>
      </c>
      <c r="J215" t="n">
        <v>0</v>
      </c>
      <c r="K215" t="n">
        <v>0</v>
      </c>
      <c r="L215" t="n">
        <v>0</v>
      </c>
      <c r="M215" t="n">
        <v>0</v>
      </c>
      <c r="N215" t="n">
        <v>0</v>
      </c>
      <c r="O215" t="n">
        <v>0</v>
      </c>
      <c r="P215" t="n">
        <v>0</v>
      </c>
      <c r="Q215" t="n">
        <v>0</v>
      </c>
      <c r="R215" s="2" t="inlineStr"/>
    </row>
    <row r="216" ht="15" customHeight="1">
      <c r="A216" t="inlineStr">
        <is>
          <t>A 45112-2024</t>
        </is>
      </c>
      <c r="B216" s="1" t="n">
        <v>45575</v>
      </c>
      <c r="C216" s="1" t="n">
        <v>46174</v>
      </c>
      <c r="D216" t="inlineStr">
        <is>
          <t>GOTLANDS LÄN</t>
        </is>
      </c>
      <c r="E216" t="inlineStr">
        <is>
          <t>GOTLAND</t>
        </is>
      </c>
      <c r="G216" t="n">
        <v>5.1</v>
      </c>
      <c r="H216" t="n">
        <v>0</v>
      </c>
      <c r="I216" t="n">
        <v>0</v>
      </c>
      <c r="J216" t="n">
        <v>0</v>
      </c>
      <c r="K216" t="n">
        <v>0</v>
      </c>
      <c r="L216" t="n">
        <v>0</v>
      </c>
      <c r="M216" t="n">
        <v>0</v>
      </c>
      <c r="N216" t="n">
        <v>0</v>
      </c>
      <c r="O216" t="n">
        <v>0</v>
      </c>
      <c r="P216" t="n">
        <v>0</v>
      </c>
      <c r="Q216" t="n">
        <v>0</v>
      </c>
      <c r="R216" s="2" t="inlineStr"/>
    </row>
    <row r="217" ht="15" customHeight="1">
      <c r="A217" t="inlineStr">
        <is>
          <t>A 13498-2022</t>
        </is>
      </c>
      <c r="B217" s="1" t="n">
        <v>44647.78866898148</v>
      </c>
      <c r="C217" s="1" t="n">
        <v>46174</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13500-2022</t>
        </is>
      </c>
      <c r="B218" s="1" t="n">
        <v>44647.79513888889</v>
      </c>
      <c r="C218" s="1" t="n">
        <v>46174</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46174</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27095-2022</t>
        </is>
      </c>
      <c r="B220" s="1" t="n">
        <v>44741</v>
      </c>
      <c r="C220" s="1" t="n">
        <v>46174</v>
      </c>
      <c r="D220" t="inlineStr">
        <is>
          <t>GOTLANDS LÄN</t>
        </is>
      </c>
      <c r="E220" t="inlineStr">
        <is>
          <t>GOTLAND</t>
        </is>
      </c>
      <c r="F220" t="inlineStr">
        <is>
          <t>Övriga Aktiebolag</t>
        </is>
      </c>
      <c r="G220" t="n">
        <v>2.9</v>
      </c>
      <c r="H220" t="n">
        <v>0</v>
      </c>
      <c r="I220" t="n">
        <v>0</v>
      </c>
      <c r="J220" t="n">
        <v>0</v>
      </c>
      <c r="K220" t="n">
        <v>0</v>
      </c>
      <c r="L220" t="n">
        <v>0</v>
      </c>
      <c r="M220" t="n">
        <v>0</v>
      </c>
      <c r="N220" t="n">
        <v>0</v>
      </c>
      <c r="O220" t="n">
        <v>0</v>
      </c>
      <c r="P220" t="n">
        <v>0</v>
      </c>
      <c r="Q220" t="n">
        <v>0</v>
      </c>
      <c r="R220" s="2" t="inlineStr"/>
    </row>
    <row r="221" ht="15" customHeight="1">
      <c r="A221" t="inlineStr">
        <is>
          <t>A 458-2023</t>
        </is>
      </c>
      <c r="B221" s="1" t="n">
        <v>44929</v>
      </c>
      <c r="C221" s="1" t="n">
        <v>46174</v>
      </c>
      <c r="D221" t="inlineStr">
        <is>
          <t>GOTLANDS LÄN</t>
        </is>
      </c>
      <c r="E221" t="inlineStr">
        <is>
          <t>GOTLAND</t>
        </is>
      </c>
      <c r="G221" t="n">
        <v>3.6</v>
      </c>
      <c r="H221" t="n">
        <v>0</v>
      </c>
      <c r="I221" t="n">
        <v>0</v>
      </c>
      <c r="J221" t="n">
        <v>0</v>
      </c>
      <c r="K221" t="n">
        <v>0</v>
      </c>
      <c r="L221" t="n">
        <v>0</v>
      </c>
      <c r="M221" t="n">
        <v>0</v>
      </c>
      <c r="N221" t="n">
        <v>0</v>
      </c>
      <c r="O221" t="n">
        <v>0</v>
      </c>
      <c r="P221" t="n">
        <v>0</v>
      </c>
      <c r="Q221" t="n">
        <v>0</v>
      </c>
      <c r="R221" s="2" t="inlineStr"/>
    </row>
    <row r="222" ht="15" customHeight="1">
      <c r="A222" t="inlineStr">
        <is>
          <t>A 7026-2023</t>
        </is>
      </c>
      <c r="B222" s="1" t="n">
        <v>44968.30340277778</v>
      </c>
      <c r="C222" s="1" t="n">
        <v>46174</v>
      </c>
      <c r="D222" t="inlineStr">
        <is>
          <t>GOTLANDS LÄN</t>
        </is>
      </c>
      <c r="E222" t="inlineStr">
        <is>
          <t>GOTLAND</t>
        </is>
      </c>
      <c r="G222" t="n">
        <v>2.9</v>
      </c>
      <c r="H222" t="n">
        <v>0</v>
      </c>
      <c r="I222" t="n">
        <v>0</v>
      </c>
      <c r="J222" t="n">
        <v>0</v>
      </c>
      <c r="K222" t="n">
        <v>0</v>
      </c>
      <c r="L222" t="n">
        <v>0</v>
      </c>
      <c r="M222" t="n">
        <v>0</v>
      </c>
      <c r="N222" t="n">
        <v>0</v>
      </c>
      <c r="O222" t="n">
        <v>0</v>
      </c>
      <c r="P222" t="n">
        <v>0</v>
      </c>
      <c r="Q222" t="n">
        <v>0</v>
      </c>
      <c r="R222" s="2" t="inlineStr"/>
    </row>
    <row r="223" ht="15" customHeight="1">
      <c r="A223" t="inlineStr">
        <is>
          <t>A 1291-2023</t>
        </is>
      </c>
      <c r="B223" s="1" t="n">
        <v>44936.47561342592</v>
      </c>
      <c r="C223" s="1" t="n">
        <v>46174</v>
      </c>
      <c r="D223" t="inlineStr">
        <is>
          <t>GOTLANDS LÄN</t>
        </is>
      </c>
      <c r="E223" t="inlineStr">
        <is>
          <t>GOTLAND</t>
        </is>
      </c>
      <c r="G223" t="n">
        <v>7.4</v>
      </c>
      <c r="H223" t="n">
        <v>0</v>
      </c>
      <c r="I223" t="n">
        <v>0</v>
      </c>
      <c r="J223" t="n">
        <v>0</v>
      </c>
      <c r="K223" t="n">
        <v>0</v>
      </c>
      <c r="L223" t="n">
        <v>0</v>
      </c>
      <c r="M223" t="n">
        <v>0</v>
      </c>
      <c r="N223" t="n">
        <v>0</v>
      </c>
      <c r="O223" t="n">
        <v>0</v>
      </c>
      <c r="P223" t="n">
        <v>0</v>
      </c>
      <c r="Q223" t="n">
        <v>0</v>
      </c>
      <c r="R223" s="2" t="inlineStr"/>
    </row>
    <row r="224" ht="15" customHeight="1">
      <c r="A224" t="inlineStr">
        <is>
          <t>A 52892-2021</t>
        </is>
      </c>
      <c r="B224" s="1" t="n">
        <v>44467.49048611111</v>
      </c>
      <c r="C224" s="1" t="n">
        <v>46174</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1351-2025</t>
        </is>
      </c>
      <c r="B225" s="1" t="n">
        <v>45667.62246527777</v>
      </c>
      <c r="C225" s="1" t="n">
        <v>46174</v>
      </c>
      <c r="D225" t="inlineStr">
        <is>
          <t>GOTLANDS LÄN</t>
        </is>
      </c>
      <c r="E225" t="inlineStr">
        <is>
          <t>GOTLAND</t>
        </is>
      </c>
      <c r="G225" t="n">
        <v>1.3</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46174</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46174</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49874-2024</t>
        </is>
      </c>
      <c r="B228" s="1" t="n">
        <v>45597.49274305555</v>
      </c>
      <c r="C228" s="1" t="n">
        <v>46174</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5891-2025</t>
        </is>
      </c>
      <c r="B229" s="1" t="n">
        <v>45695.38327546296</v>
      </c>
      <c r="C229" s="1" t="n">
        <v>46174</v>
      </c>
      <c r="D229" t="inlineStr">
        <is>
          <t>GOTLANDS LÄN</t>
        </is>
      </c>
      <c r="E229" t="inlineStr">
        <is>
          <t>GOTLAND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2719-2023</t>
        </is>
      </c>
      <c r="B230" s="1" t="n">
        <v>44944.55361111111</v>
      </c>
      <c r="C230" s="1" t="n">
        <v>46174</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17144-2025</t>
        </is>
      </c>
      <c r="B231" s="1" t="n">
        <v>45755.9499537037</v>
      </c>
      <c r="C231" s="1" t="n">
        <v>46174</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46174</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49314-2024</t>
        </is>
      </c>
      <c r="B233" s="1" t="n">
        <v>45595.55893518519</v>
      </c>
      <c r="C233" s="1" t="n">
        <v>46174</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9875-2025</t>
        </is>
      </c>
      <c r="B234" s="1" t="n">
        <v>45716</v>
      </c>
      <c r="C234" s="1" t="n">
        <v>46174</v>
      </c>
      <c r="D234" t="inlineStr">
        <is>
          <t>GOTLANDS LÄN</t>
        </is>
      </c>
      <c r="E234" t="inlineStr">
        <is>
          <t>GOTLAND</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29809-2022</t>
        </is>
      </c>
      <c r="B235" s="1" t="n">
        <v>44755.8713425926</v>
      </c>
      <c r="C235" s="1" t="n">
        <v>46174</v>
      </c>
      <c r="D235" t="inlineStr">
        <is>
          <t>GOTLANDS LÄN</t>
        </is>
      </c>
      <c r="E235" t="inlineStr">
        <is>
          <t>GOTLAND</t>
        </is>
      </c>
      <c r="G235" t="n">
        <v>11.5</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46174</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51782-2023</t>
        </is>
      </c>
      <c r="B237" s="1" t="n">
        <v>45222.80952546297</v>
      </c>
      <c r="C237" s="1" t="n">
        <v>46174</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60675-2021</t>
        </is>
      </c>
      <c r="B238" s="1" t="n">
        <v>44496.64855324074</v>
      </c>
      <c r="C238" s="1" t="n">
        <v>46174</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5217-2023</t>
        </is>
      </c>
      <c r="B239" s="1" t="n">
        <v>44959.39582175926</v>
      </c>
      <c r="C239" s="1" t="n">
        <v>46174</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16361-2024</t>
        </is>
      </c>
      <c r="B240" s="1" t="n">
        <v>45407</v>
      </c>
      <c r="C240" s="1" t="n">
        <v>46174</v>
      </c>
      <c r="D240" t="inlineStr">
        <is>
          <t>GOTLANDS LÄN</t>
        </is>
      </c>
      <c r="E240" t="inlineStr">
        <is>
          <t>GOTLAND</t>
        </is>
      </c>
      <c r="G240" t="n">
        <v>6</v>
      </c>
      <c r="H240" t="n">
        <v>0</v>
      </c>
      <c r="I240" t="n">
        <v>0</v>
      </c>
      <c r="J240" t="n">
        <v>0</v>
      </c>
      <c r="K240" t="n">
        <v>0</v>
      </c>
      <c r="L240" t="n">
        <v>0</v>
      </c>
      <c r="M240" t="n">
        <v>0</v>
      </c>
      <c r="N240" t="n">
        <v>0</v>
      </c>
      <c r="O240" t="n">
        <v>0</v>
      </c>
      <c r="P240" t="n">
        <v>0</v>
      </c>
      <c r="Q240" t="n">
        <v>0</v>
      </c>
      <c r="R240" s="2" t="inlineStr"/>
    </row>
    <row r="241" ht="15" customHeight="1">
      <c r="A241" t="inlineStr">
        <is>
          <t>A 14638-2025</t>
        </is>
      </c>
      <c r="B241" s="1" t="n">
        <v>45742</v>
      </c>
      <c r="C241" s="1" t="n">
        <v>46174</v>
      </c>
      <c r="D241" t="inlineStr">
        <is>
          <t>GOTLANDS LÄN</t>
        </is>
      </c>
      <c r="E241" t="inlineStr">
        <is>
          <t>GOTLAND</t>
        </is>
      </c>
      <c r="G241" t="n">
        <v>13.4</v>
      </c>
      <c r="H241" t="n">
        <v>0</v>
      </c>
      <c r="I241" t="n">
        <v>0</v>
      </c>
      <c r="J241" t="n">
        <v>0</v>
      </c>
      <c r="K241" t="n">
        <v>0</v>
      </c>
      <c r="L241" t="n">
        <v>0</v>
      </c>
      <c r="M241" t="n">
        <v>0</v>
      </c>
      <c r="N241" t="n">
        <v>0</v>
      </c>
      <c r="O241" t="n">
        <v>0</v>
      </c>
      <c r="P241" t="n">
        <v>0</v>
      </c>
      <c r="Q241" t="n">
        <v>0</v>
      </c>
      <c r="R241" s="2" t="inlineStr"/>
    </row>
    <row r="242" ht="15" customHeight="1">
      <c r="A242" t="inlineStr">
        <is>
          <t>A 43081-2022</t>
        </is>
      </c>
      <c r="B242" s="1" t="n">
        <v>44833</v>
      </c>
      <c r="C242" s="1" t="n">
        <v>46174</v>
      </c>
      <c r="D242" t="inlineStr">
        <is>
          <t>GOTLANDS LÄN</t>
        </is>
      </c>
      <c r="E242" t="inlineStr">
        <is>
          <t>GOTLAND</t>
        </is>
      </c>
      <c r="G242" t="n">
        <v>6.8</v>
      </c>
      <c r="H242" t="n">
        <v>0</v>
      </c>
      <c r="I242" t="n">
        <v>0</v>
      </c>
      <c r="J242" t="n">
        <v>0</v>
      </c>
      <c r="K242" t="n">
        <v>0</v>
      </c>
      <c r="L242" t="n">
        <v>0</v>
      </c>
      <c r="M242" t="n">
        <v>0</v>
      </c>
      <c r="N242" t="n">
        <v>0</v>
      </c>
      <c r="O242" t="n">
        <v>0</v>
      </c>
      <c r="P242" t="n">
        <v>0</v>
      </c>
      <c r="Q242" t="n">
        <v>0</v>
      </c>
      <c r="R242" s="2" t="inlineStr"/>
    </row>
    <row r="243" ht="15" customHeight="1">
      <c r="A243" t="inlineStr">
        <is>
          <t>A 4421-2024</t>
        </is>
      </c>
      <c r="B243" s="1" t="n">
        <v>45327.45173611111</v>
      </c>
      <c r="C243" s="1" t="n">
        <v>46174</v>
      </c>
      <c r="D243" t="inlineStr">
        <is>
          <t>GOTLANDS LÄN</t>
        </is>
      </c>
      <c r="E243" t="inlineStr">
        <is>
          <t>GOTLAND</t>
        </is>
      </c>
      <c r="G243" t="n">
        <v>5.1</v>
      </c>
      <c r="H243" t="n">
        <v>0</v>
      </c>
      <c r="I243" t="n">
        <v>0</v>
      </c>
      <c r="J243" t="n">
        <v>0</v>
      </c>
      <c r="K243" t="n">
        <v>0</v>
      </c>
      <c r="L243" t="n">
        <v>0</v>
      </c>
      <c r="M243" t="n">
        <v>0</v>
      </c>
      <c r="N243" t="n">
        <v>0</v>
      </c>
      <c r="O243" t="n">
        <v>0</v>
      </c>
      <c r="P243" t="n">
        <v>0</v>
      </c>
      <c r="Q243" t="n">
        <v>0</v>
      </c>
      <c r="R243" s="2" t="inlineStr"/>
    </row>
    <row r="244" ht="15" customHeight="1">
      <c r="A244" t="inlineStr">
        <is>
          <t>A 1175-2025</t>
        </is>
      </c>
      <c r="B244" s="1" t="n">
        <v>45667.34449074074</v>
      </c>
      <c r="C244" s="1" t="n">
        <v>46174</v>
      </c>
      <c r="D244" t="inlineStr">
        <is>
          <t>GOTLANDS LÄN</t>
        </is>
      </c>
      <c r="E244" t="inlineStr">
        <is>
          <t>GOTLAND</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46174</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46174</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31264-2021</t>
        </is>
      </c>
      <c r="B247" s="1" t="n">
        <v>44368</v>
      </c>
      <c r="C247" s="1" t="n">
        <v>46174</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3150-2025</t>
        </is>
      </c>
      <c r="B248" s="1" t="n">
        <v>45679.28974537037</v>
      </c>
      <c r="C248" s="1" t="n">
        <v>46174</v>
      </c>
      <c r="D248" t="inlineStr">
        <is>
          <t>GOTLANDS LÄN</t>
        </is>
      </c>
      <c r="E248" t="inlineStr">
        <is>
          <t>GOTLAND</t>
        </is>
      </c>
      <c r="G248" t="n">
        <v>2.5</v>
      </c>
      <c r="H248" t="n">
        <v>0</v>
      </c>
      <c r="I248" t="n">
        <v>0</v>
      </c>
      <c r="J248" t="n">
        <v>0</v>
      </c>
      <c r="K248" t="n">
        <v>0</v>
      </c>
      <c r="L248" t="n">
        <v>0</v>
      </c>
      <c r="M248" t="n">
        <v>0</v>
      </c>
      <c r="N248" t="n">
        <v>0</v>
      </c>
      <c r="O248" t="n">
        <v>0</v>
      </c>
      <c r="P248" t="n">
        <v>0</v>
      </c>
      <c r="Q248" t="n">
        <v>0</v>
      </c>
      <c r="R248" s="2" t="inlineStr"/>
    </row>
    <row r="249" ht="15" customHeight="1">
      <c r="A249" t="inlineStr">
        <is>
          <t>A 33876-2024</t>
        </is>
      </c>
      <c r="B249" s="1" t="n">
        <v>45521.87988425926</v>
      </c>
      <c r="C249" s="1" t="n">
        <v>46174</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63229-2021</t>
        </is>
      </c>
      <c r="B250" s="1" t="n">
        <v>44508.34518518519</v>
      </c>
      <c r="C250" s="1" t="n">
        <v>46174</v>
      </c>
      <c r="D250" t="inlineStr">
        <is>
          <t>GOTLANDS LÄN</t>
        </is>
      </c>
      <c r="E250" t="inlineStr">
        <is>
          <t>GOTLAND</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46174</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43223-2023</t>
        </is>
      </c>
      <c r="B252" s="1" t="n">
        <v>45183.45642361111</v>
      </c>
      <c r="C252" s="1" t="n">
        <v>46174</v>
      </c>
      <c r="D252" t="inlineStr">
        <is>
          <t>GOTLANDS LÄN</t>
        </is>
      </c>
      <c r="E252" t="inlineStr">
        <is>
          <t>GOTLAND</t>
        </is>
      </c>
      <c r="G252" t="n">
        <v>1.8</v>
      </c>
      <c r="H252" t="n">
        <v>0</v>
      </c>
      <c r="I252" t="n">
        <v>0</v>
      </c>
      <c r="J252" t="n">
        <v>0</v>
      </c>
      <c r="K252" t="n">
        <v>0</v>
      </c>
      <c r="L252" t="n">
        <v>0</v>
      </c>
      <c r="M252" t="n">
        <v>0</v>
      </c>
      <c r="N252" t="n">
        <v>0</v>
      </c>
      <c r="O252" t="n">
        <v>0</v>
      </c>
      <c r="P252" t="n">
        <v>0</v>
      </c>
      <c r="Q252" t="n">
        <v>0</v>
      </c>
      <c r="R252" s="2" t="inlineStr"/>
    </row>
    <row r="253" ht="15" customHeight="1">
      <c r="A253" t="inlineStr">
        <is>
          <t>A 873-2024</t>
        </is>
      </c>
      <c r="B253" s="1" t="n">
        <v>45301</v>
      </c>
      <c r="C253" s="1" t="n">
        <v>46174</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42041-2024</t>
        </is>
      </c>
      <c r="B254" s="1" t="n">
        <v>45561</v>
      </c>
      <c r="C254" s="1" t="n">
        <v>46174</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61962-2024</t>
        </is>
      </c>
      <c r="B255" s="1" t="n">
        <v>45653.54340277778</v>
      </c>
      <c r="C255" s="1" t="n">
        <v>46174</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44228-2022</t>
        </is>
      </c>
      <c r="B256" s="1" t="n">
        <v>44839.51599537037</v>
      </c>
      <c r="C256" s="1" t="n">
        <v>46174</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46174</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27930-2021</t>
        </is>
      </c>
      <c r="B258" s="1" t="n">
        <v>44354</v>
      </c>
      <c r="C258" s="1" t="n">
        <v>46174</v>
      </c>
      <c r="D258" t="inlineStr">
        <is>
          <t>GOTLANDS LÄN</t>
        </is>
      </c>
      <c r="E258" t="inlineStr">
        <is>
          <t>GOTLAND</t>
        </is>
      </c>
      <c r="G258" t="n">
        <v>2.5</v>
      </c>
      <c r="H258" t="n">
        <v>0</v>
      </c>
      <c r="I258" t="n">
        <v>0</v>
      </c>
      <c r="J258" t="n">
        <v>0</v>
      </c>
      <c r="K258" t="n">
        <v>0</v>
      </c>
      <c r="L258" t="n">
        <v>0</v>
      </c>
      <c r="M258" t="n">
        <v>0</v>
      </c>
      <c r="N258" t="n">
        <v>0</v>
      </c>
      <c r="O258" t="n">
        <v>0</v>
      </c>
      <c r="P258" t="n">
        <v>0</v>
      </c>
      <c r="Q258" t="n">
        <v>0</v>
      </c>
      <c r="R258" s="2" t="inlineStr"/>
    </row>
    <row r="259" ht="15" customHeight="1">
      <c r="A259" t="inlineStr">
        <is>
          <t>A 59469-2024</t>
        </is>
      </c>
      <c r="B259" s="1" t="n">
        <v>45638</v>
      </c>
      <c r="C259" s="1" t="n">
        <v>46174</v>
      </c>
      <c r="D259" t="inlineStr">
        <is>
          <t>GOTLANDS LÄN</t>
        </is>
      </c>
      <c r="E259" t="inlineStr">
        <is>
          <t>GOTLAND</t>
        </is>
      </c>
      <c r="G259" t="n">
        <v>0.4</v>
      </c>
      <c r="H259" t="n">
        <v>0</v>
      </c>
      <c r="I259" t="n">
        <v>0</v>
      </c>
      <c r="J259" t="n">
        <v>0</v>
      </c>
      <c r="K259" t="n">
        <v>0</v>
      </c>
      <c r="L259" t="n">
        <v>0</v>
      </c>
      <c r="M259" t="n">
        <v>0</v>
      </c>
      <c r="N259" t="n">
        <v>0</v>
      </c>
      <c r="O259" t="n">
        <v>0</v>
      </c>
      <c r="P259" t="n">
        <v>0</v>
      </c>
      <c r="Q259" t="n">
        <v>0</v>
      </c>
      <c r="R259" s="2" t="inlineStr"/>
    </row>
    <row r="260" ht="15" customHeight="1">
      <c r="A260" t="inlineStr">
        <is>
          <t>A 27593-2023</t>
        </is>
      </c>
      <c r="B260" s="1" t="n">
        <v>45097</v>
      </c>
      <c r="C260" s="1" t="n">
        <v>46174</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25129-2023</t>
        </is>
      </c>
      <c r="B261" s="1" t="n">
        <v>45086.44261574074</v>
      </c>
      <c r="C261" s="1" t="n">
        <v>46174</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5751-2024</t>
        </is>
      </c>
      <c r="B262" s="1" t="n">
        <v>45335.32702546296</v>
      </c>
      <c r="C262" s="1" t="n">
        <v>46174</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6696-2023</t>
        </is>
      </c>
      <c r="B263" s="1" t="n">
        <v>44966.66425925926</v>
      </c>
      <c r="C263" s="1" t="n">
        <v>46174</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28480-2023</t>
        </is>
      </c>
      <c r="B264" s="1" t="n">
        <v>45103</v>
      </c>
      <c r="C264" s="1" t="n">
        <v>46174</v>
      </c>
      <c r="D264" t="inlineStr">
        <is>
          <t>GOTLANDS LÄN</t>
        </is>
      </c>
      <c r="E264" t="inlineStr">
        <is>
          <t>GOTLAND</t>
        </is>
      </c>
      <c r="G264" t="n">
        <v>5.7</v>
      </c>
      <c r="H264" t="n">
        <v>0</v>
      </c>
      <c r="I264" t="n">
        <v>0</v>
      </c>
      <c r="J264" t="n">
        <v>0</v>
      </c>
      <c r="K264" t="n">
        <v>0</v>
      </c>
      <c r="L264" t="n">
        <v>0</v>
      </c>
      <c r="M264" t="n">
        <v>0</v>
      </c>
      <c r="N264" t="n">
        <v>0</v>
      </c>
      <c r="O264" t="n">
        <v>0</v>
      </c>
      <c r="P264" t="n">
        <v>0</v>
      </c>
      <c r="Q264" t="n">
        <v>0</v>
      </c>
      <c r="R264" s="2" t="inlineStr"/>
    </row>
    <row r="265" ht="15" customHeight="1">
      <c r="A265" t="inlineStr">
        <is>
          <t>A 15436-2025</t>
        </is>
      </c>
      <c r="B265" s="1" t="n">
        <v>45747.47462962963</v>
      </c>
      <c r="C265" s="1" t="n">
        <v>46174</v>
      </c>
      <c r="D265" t="inlineStr">
        <is>
          <t>GOTLANDS LÄN</t>
        </is>
      </c>
      <c r="E265" t="inlineStr">
        <is>
          <t>GOTLAND</t>
        </is>
      </c>
      <c r="G265" t="n">
        <v>4.1</v>
      </c>
      <c r="H265" t="n">
        <v>0</v>
      </c>
      <c r="I265" t="n">
        <v>0</v>
      </c>
      <c r="J265" t="n">
        <v>0</v>
      </c>
      <c r="K265" t="n">
        <v>0</v>
      </c>
      <c r="L265" t="n">
        <v>0</v>
      </c>
      <c r="M265" t="n">
        <v>0</v>
      </c>
      <c r="N265" t="n">
        <v>0</v>
      </c>
      <c r="O265" t="n">
        <v>0</v>
      </c>
      <c r="P265" t="n">
        <v>0</v>
      </c>
      <c r="Q265" t="n">
        <v>0</v>
      </c>
      <c r="R265" s="2" t="inlineStr"/>
    </row>
    <row r="266" ht="15" customHeight="1">
      <c r="A266" t="inlineStr">
        <is>
          <t>A 28485-2023</t>
        </is>
      </c>
      <c r="B266" s="1" t="n">
        <v>45103.43731481482</v>
      </c>
      <c r="C266" s="1" t="n">
        <v>46174</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4990-2025</t>
        </is>
      </c>
      <c r="B267" s="1" t="n">
        <v>45691</v>
      </c>
      <c r="C267" s="1" t="n">
        <v>46174</v>
      </c>
      <c r="D267" t="inlineStr">
        <is>
          <t>GOTLANDS LÄN</t>
        </is>
      </c>
      <c r="E267" t="inlineStr">
        <is>
          <t>GOTLAND</t>
        </is>
      </c>
      <c r="G267" t="n">
        <v>7.7</v>
      </c>
      <c r="H267" t="n">
        <v>0</v>
      </c>
      <c r="I267" t="n">
        <v>0</v>
      </c>
      <c r="J267" t="n">
        <v>0</v>
      </c>
      <c r="K267" t="n">
        <v>0</v>
      </c>
      <c r="L267" t="n">
        <v>0</v>
      </c>
      <c r="M267" t="n">
        <v>0</v>
      </c>
      <c r="N267" t="n">
        <v>0</v>
      </c>
      <c r="O267" t="n">
        <v>0</v>
      </c>
      <c r="P267" t="n">
        <v>0</v>
      </c>
      <c r="Q267" t="n">
        <v>0</v>
      </c>
      <c r="R267" s="2" t="inlineStr"/>
    </row>
    <row r="268" ht="15" customHeight="1">
      <c r="A268" t="inlineStr">
        <is>
          <t>A 21247-2022</t>
        </is>
      </c>
      <c r="B268" s="1" t="n">
        <v>44705.38832175926</v>
      </c>
      <c r="C268" s="1" t="n">
        <v>46174</v>
      </c>
      <c r="D268" t="inlineStr">
        <is>
          <t>GOTLANDS LÄN</t>
        </is>
      </c>
      <c r="E268" t="inlineStr">
        <is>
          <t>GOTLAND</t>
        </is>
      </c>
      <c r="G268" t="n">
        <v>16.2</v>
      </c>
      <c r="H268" t="n">
        <v>0</v>
      </c>
      <c r="I268" t="n">
        <v>0</v>
      </c>
      <c r="J268" t="n">
        <v>0</v>
      </c>
      <c r="K268" t="n">
        <v>0</v>
      </c>
      <c r="L268" t="n">
        <v>0</v>
      </c>
      <c r="M268" t="n">
        <v>0</v>
      </c>
      <c r="N268" t="n">
        <v>0</v>
      </c>
      <c r="O268" t="n">
        <v>0</v>
      </c>
      <c r="P268" t="n">
        <v>0</v>
      </c>
      <c r="Q268" t="n">
        <v>0</v>
      </c>
      <c r="R268" s="2" t="inlineStr"/>
    </row>
    <row r="269" ht="15" customHeight="1">
      <c r="A269" t="inlineStr">
        <is>
          <t>A 38165-2023</t>
        </is>
      </c>
      <c r="B269" s="1" t="n">
        <v>45161</v>
      </c>
      <c r="C269" s="1" t="n">
        <v>46174</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17780-2022</t>
        </is>
      </c>
      <c r="B270" s="1" t="n">
        <v>44682.82622685185</v>
      </c>
      <c r="C270" s="1" t="n">
        <v>46174</v>
      </c>
      <c r="D270" t="inlineStr">
        <is>
          <t>GOTLANDS LÄN</t>
        </is>
      </c>
      <c r="E270" t="inlineStr">
        <is>
          <t>GOTLAND</t>
        </is>
      </c>
      <c r="G270" t="n">
        <v>2.2</v>
      </c>
      <c r="H270" t="n">
        <v>0</v>
      </c>
      <c r="I270" t="n">
        <v>0</v>
      </c>
      <c r="J270" t="n">
        <v>0</v>
      </c>
      <c r="K270" t="n">
        <v>0</v>
      </c>
      <c r="L270" t="n">
        <v>0</v>
      </c>
      <c r="M270" t="n">
        <v>0</v>
      </c>
      <c r="N270" t="n">
        <v>0</v>
      </c>
      <c r="O270" t="n">
        <v>0</v>
      </c>
      <c r="P270" t="n">
        <v>0</v>
      </c>
      <c r="Q270" t="n">
        <v>0</v>
      </c>
      <c r="R270" s="2" t="inlineStr"/>
    </row>
    <row r="271" ht="15" customHeight="1">
      <c r="A271" t="inlineStr">
        <is>
          <t>A 63516-2023</t>
        </is>
      </c>
      <c r="B271" s="1" t="n">
        <v>45274</v>
      </c>
      <c r="C271" s="1" t="n">
        <v>46174</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53935-2024</t>
        </is>
      </c>
      <c r="B272" s="1" t="n">
        <v>45615</v>
      </c>
      <c r="C272" s="1" t="n">
        <v>46174</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49693-2023</t>
        </is>
      </c>
      <c r="B273" s="1" t="n">
        <v>45212.38138888889</v>
      </c>
      <c r="C273" s="1" t="n">
        <v>46174</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49697-2023</t>
        </is>
      </c>
      <c r="B274" s="1" t="n">
        <v>45212.38909722222</v>
      </c>
      <c r="C274" s="1" t="n">
        <v>46174</v>
      </c>
      <c r="D274" t="inlineStr">
        <is>
          <t>GOTLANDS LÄN</t>
        </is>
      </c>
      <c r="E274" t="inlineStr">
        <is>
          <t>GOTLAND</t>
        </is>
      </c>
      <c r="G274" t="n">
        <v>4.4</v>
      </c>
      <c r="H274" t="n">
        <v>0</v>
      </c>
      <c r="I274" t="n">
        <v>0</v>
      </c>
      <c r="J274" t="n">
        <v>0</v>
      </c>
      <c r="K274" t="n">
        <v>0</v>
      </c>
      <c r="L274" t="n">
        <v>0</v>
      </c>
      <c r="M274" t="n">
        <v>0</v>
      </c>
      <c r="N274" t="n">
        <v>0</v>
      </c>
      <c r="O274" t="n">
        <v>0</v>
      </c>
      <c r="P274" t="n">
        <v>0</v>
      </c>
      <c r="Q274" t="n">
        <v>0</v>
      </c>
      <c r="R274" s="2" t="inlineStr"/>
    </row>
    <row r="275" ht="15" customHeight="1">
      <c r="A275" t="inlineStr">
        <is>
          <t>A 56009-2024</t>
        </is>
      </c>
      <c r="B275" s="1" t="n">
        <v>45623.80864583333</v>
      </c>
      <c r="C275" s="1" t="n">
        <v>46174</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54073-2022</t>
        </is>
      </c>
      <c r="B276" s="1" t="n">
        <v>44881.50380787037</v>
      </c>
      <c r="C276" s="1" t="n">
        <v>46174</v>
      </c>
      <c r="D276" t="inlineStr">
        <is>
          <t>GOTLANDS LÄN</t>
        </is>
      </c>
      <c r="E276" t="inlineStr">
        <is>
          <t>GOTLAND</t>
        </is>
      </c>
      <c r="G276" t="n">
        <v>3.8</v>
      </c>
      <c r="H276" t="n">
        <v>0</v>
      </c>
      <c r="I276" t="n">
        <v>0</v>
      </c>
      <c r="J276" t="n">
        <v>0</v>
      </c>
      <c r="K276" t="n">
        <v>0</v>
      </c>
      <c r="L276" t="n">
        <v>0</v>
      </c>
      <c r="M276" t="n">
        <v>0</v>
      </c>
      <c r="N276" t="n">
        <v>0</v>
      </c>
      <c r="O276" t="n">
        <v>0</v>
      </c>
      <c r="P276" t="n">
        <v>0</v>
      </c>
      <c r="Q276" t="n">
        <v>0</v>
      </c>
      <c r="R276" s="2" t="inlineStr"/>
    </row>
    <row r="277" ht="15" customHeight="1">
      <c r="A277" t="inlineStr">
        <is>
          <t>A 34312-2024</t>
        </is>
      </c>
      <c r="B277" s="1" t="n">
        <v>45524.69703703704</v>
      </c>
      <c r="C277" s="1" t="n">
        <v>46174</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69112-2021</t>
        </is>
      </c>
      <c r="B278" s="1" t="n">
        <v>44530</v>
      </c>
      <c r="C278" s="1" t="n">
        <v>46174</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46174</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46174</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48734-2022</t>
        </is>
      </c>
      <c r="B281" s="1" t="n">
        <v>44855</v>
      </c>
      <c r="C281" s="1" t="n">
        <v>46174</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23516-2023</t>
        </is>
      </c>
      <c r="B282" s="1" t="n">
        <v>45076.93391203704</v>
      </c>
      <c r="C282" s="1" t="n">
        <v>46174</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43231-2023</t>
        </is>
      </c>
      <c r="B283" s="1" t="n">
        <v>45183.47025462963</v>
      </c>
      <c r="C283" s="1" t="n">
        <v>46174</v>
      </c>
      <c r="D283" t="inlineStr">
        <is>
          <t>GOTLANDS LÄN</t>
        </is>
      </c>
      <c r="E283" t="inlineStr">
        <is>
          <t>GOTLAND</t>
        </is>
      </c>
      <c r="G283" t="n">
        <v>3.6</v>
      </c>
      <c r="H283" t="n">
        <v>0</v>
      </c>
      <c r="I283" t="n">
        <v>0</v>
      </c>
      <c r="J283" t="n">
        <v>0</v>
      </c>
      <c r="K283" t="n">
        <v>0</v>
      </c>
      <c r="L283" t="n">
        <v>0</v>
      </c>
      <c r="M283" t="n">
        <v>0</v>
      </c>
      <c r="N283" t="n">
        <v>0</v>
      </c>
      <c r="O283" t="n">
        <v>0</v>
      </c>
      <c r="P283" t="n">
        <v>0</v>
      </c>
      <c r="Q283" t="n">
        <v>0</v>
      </c>
      <c r="R283" s="2" t="inlineStr"/>
    </row>
    <row r="284" ht="15" customHeight="1">
      <c r="A284" t="inlineStr">
        <is>
          <t>A 3964-2024</t>
        </is>
      </c>
      <c r="B284" s="1" t="n">
        <v>45322</v>
      </c>
      <c r="C284" s="1" t="n">
        <v>46174</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58230-2024</t>
        </is>
      </c>
      <c r="B285" s="1" t="n">
        <v>45632.51625</v>
      </c>
      <c r="C285" s="1" t="n">
        <v>46174</v>
      </c>
      <c r="D285" t="inlineStr">
        <is>
          <t>GOTLANDS LÄN</t>
        </is>
      </c>
      <c r="E285" t="inlineStr">
        <is>
          <t>GOTLAND</t>
        </is>
      </c>
      <c r="G285" t="n">
        <v>7.3</v>
      </c>
      <c r="H285" t="n">
        <v>0</v>
      </c>
      <c r="I285" t="n">
        <v>0</v>
      </c>
      <c r="J285" t="n">
        <v>0</v>
      </c>
      <c r="K285" t="n">
        <v>0</v>
      </c>
      <c r="L285" t="n">
        <v>0</v>
      </c>
      <c r="M285" t="n">
        <v>0</v>
      </c>
      <c r="N285" t="n">
        <v>0</v>
      </c>
      <c r="O285" t="n">
        <v>0</v>
      </c>
      <c r="P285" t="n">
        <v>0</v>
      </c>
      <c r="Q285" t="n">
        <v>0</v>
      </c>
      <c r="R285" s="2" t="inlineStr"/>
    </row>
    <row r="286" ht="15" customHeight="1">
      <c r="A286" t="inlineStr">
        <is>
          <t>A 48503-2023</t>
        </is>
      </c>
      <c r="B286" s="1" t="n">
        <v>45207</v>
      </c>
      <c r="C286" s="1" t="n">
        <v>46174</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64555-2023</t>
        </is>
      </c>
      <c r="B287" s="1" t="n">
        <v>45281</v>
      </c>
      <c r="C287" s="1" t="n">
        <v>46174</v>
      </c>
      <c r="D287" t="inlineStr">
        <is>
          <t>GOTLANDS LÄN</t>
        </is>
      </c>
      <c r="E287" t="inlineStr">
        <is>
          <t>GOTLAND</t>
        </is>
      </c>
      <c r="G287" t="n">
        <v>3.5</v>
      </c>
      <c r="H287" t="n">
        <v>0</v>
      </c>
      <c r="I287" t="n">
        <v>0</v>
      </c>
      <c r="J287" t="n">
        <v>0</v>
      </c>
      <c r="K287" t="n">
        <v>0</v>
      </c>
      <c r="L287" t="n">
        <v>0</v>
      </c>
      <c r="M287" t="n">
        <v>0</v>
      </c>
      <c r="N287" t="n">
        <v>0</v>
      </c>
      <c r="O287" t="n">
        <v>0</v>
      </c>
      <c r="P287" t="n">
        <v>0</v>
      </c>
      <c r="Q287" t="n">
        <v>0</v>
      </c>
      <c r="R287" s="2" t="inlineStr"/>
    </row>
    <row r="288" ht="15" customHeight="1">
      <c r="A288" t="inlineStr">
        <is>
          <t>A 18993-2025</t>
        </is>
      </c>
      <c r="B288" s="1" t="n">
        <v>45764</v>
      </c>
      <c r="C288" s="1" t="n">
        <v>46174</v>
      </c>
      <c r="D288" t="inlineStr">
        <is>
          <t>GOTLANDS LÄN</t>
        </is>
      </c>
      <c r="E288" t="inlineStr">
        <is>
          <t>GOTLAND</t>
        </is>
      </c>
      <c r="G288" t="n">
        <v>3</v>
      </c>
      <c r="H288" t="n">
        <v>0</v>
      </c>
      <c r="I288" t="n">
        <v>0</v>
      </c>
      <c r="J288" t="n">
        <v>0</v>
      </c>
      <c r="K288" t="n">
        <v>0</v>
      </c>
      <c r="L288" t="n">
        <v>0</v>
      </c>
      <c r="M288" t="n">
        <v>0</v>
      </c>
      <c r="N288" t="n">
        <v>0</v>
      </c>
      <c r="O288" t="n">
        <v>0</v>
      </c>
      <c r="P288" t="n">
        <v>0</v>
      </c>
      <c r="Q288" t="n">
        <v>0</v>
      </c>
      <c r="R288" s="2" t="inlineStr"/>
    </row>
    <row r="289" ht="15" customHeight="1">
      <c r="A289" t="inlineStr">
        <is>
          <t>A 30135-2025</t>
        </is>
      </c>
      <c r="B289" s="1" t="n">
        <v>45826</v>
      </c>
      <c r="C289" s="1" t="n">
        <v>46174</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457-2023</t>
        </is>
      </c>
      <c r="B290" s="1" t="n">
        <v>44929.87238425926</v>
      </c>
      <c r="C290" s="1" t="n">
        <v>46174</v>
      </c>
      <c r="D290" t="inlineStr">
        <is>
          <t>GOTLANDS LÄN</t>
        </is>
      </c>
      <c r="E290" t="inlineStr">
        <is>
          <t>GOTLAND</t>
        </is>
      </c>
      <c r="G290" t="n">
        <v>2.4</v>
      </c>
      <c r="H290" t="n">
        <v>0</v>
      </c>
      <c r="I290" t="n">
        <v>0</v>
      </c>
      <c r="J290" t="n">
        <v>0</v>
      </c>
      <c r="K290" t="n">
        <v>0</v>
      </c>
      <c r="L290" t="n">
        <v>0</v>
      </c>
      <c r="M290" t="n">
        <v>0</v>
      </c>
      <c r="N290" t="n">
        <v>0</v>
      </c>
      <c r="O290" t="n">
        <v>0</v>
      </c>
      <c r="P290" t="n">
        <v>0</v>
      </c>
      <c r="Q290" t="n">
        <v>0</v>
      </c>
      <c r="R290" s="2" t="inlineStr"/>
    </row>
    <row r="291" ht="15" customHeight="1">
      <c r="A291" t="inlineStr">
        <is>
          <t>A 459-2023</t>
        </is>
      </c>
      <c r="B291" s="1" t="n">
        <v>44929.87423611111</v>
      </c>
      <c r="C291" s="1" t="n">
        <v>46174</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24825-2024</t>
        </is>
      </c>
      <c r="B292" s="1" t="n">
        <v>45461</v>
      </c>
      <c r="C292" s="1" t="n">
        <v>46174</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876-2024</t>
        </is>
      </c>
      <c r="B293" s="1" t="n">
        <v>45301</v>
      </c>
      <c r="C293" s="1" t="n">
        <v>46174</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26891-2024</t>
        </is>
      </c>
      <c r="B294" s="1" t="n">
        <v>45470.65540509259</v>
      </c>
      <c r="C294" s="1" t="n">
        <v>46174</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22031-2024</t>
        </is>
      </c>
      <c r="B295" s="1" t="n">
        <v>45443.60075231481</v>
      </c>
      <c r="C295" s="1" t="n">
        <v>46174</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17688-2024</t>
        </is>
      </c>
      <c r="B296" s="1" t="n">
        <v>45418.43575231481</v>
      </c>
      <c r="C296" s="1" t="n">
        <v>46174</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5923-2023</t>
        </is>
      </c>
      <c r="B297" s="1" t="n">
        <v>44963.69503472222</v>
      </c>
      <c r="C297" s="1" t="n">
        <v>46174</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50482-2024</t>
        </is>
      </c>
      <c r="B298" s="1" t="n">
        <v>45601.48114583334</v>
      </c>
      <c r="C298" s="1" t="n">
        <v>46174</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12599-2025</t>
        </is>
      </c>
      <c r="B299" s="1" t="n">
        <v>45733.29546296296</v>
      </c>
      <c r="C299" s="1" t="n">
        <v>46174</v>
      </c>
      <c r="D299" t="inlineStr">
        <is>
          <t>GOTLANDS LÄN</t>
        </is>
      </c>
      <c r="E299" t="inlineStr">
        <is>
          <t>GOTLAND</t>
        </is>
      </c>
      <c r="G299" t="n">
        <v>4.7</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46174</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46389-2021</t>
        </is>
      </c>
      <c r="B301" s="1" t="n">
        <v>44443</v>
      </c>
      <c r="C301" s="1" t="n">
        <v>46174</v>
      </c>
      <c r="D301" t="inlineStr">
        <is>
          <t>GOTLANDS LÄN</t>
        </is>
      </c>
      <c r="E301" t="inlineStr">
        <is>
          <t>GOTLAND</t>
        </is>
      </c>
      <c r="F301" t="inlineStr">
        <is>
          <t>Kyrkan</t>
        </is>
      </c>
      <c r="G301" t="n">
        <v>2.1</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46174</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46174</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1273-2023</t>
        </is>
      </c>
      <c r="B304" s="1" t="n">
        <v>44936</v>
      </c>
      <c r="C304" s="1" t="n">
        <v>46174</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39764-2022</t>
        </is>
      </c>
      <c r="B305" s="1" t="n">
        <v>44819</v>
      </c>
      <c r="C305" s="1" t="n">
        <v>46174</v>
      </c>
      <c r="D305" t="inlineStr">
        <is>
          <t>GOTLANDS LÄN</t>
        </is>
      </c>
      <c r="E305" t="inlineStr">
        <is>
          <t>GOTLAND</t>
        </is>
      </c>
      <c r="F305" t="inlineStr">
        <is>
          <t>Kyrkan</t>
        </is>
      </c>
      <c r="G305" t="n">
        <v>3.7</v>
      </c>
      <c r="H305" t="n">
        <v>0</v>
      </c>
      <c r="I305" t="n">
        <v>0</v>
      </c>
      <c r="J305" t="n">
        <v>0</v>
      </c>
      <c r="K305" t="n">
        <v>0</v>
      </c>
      <c r="L305" t="n">
        <v>0</v>
      </c>
      <c r="M305" t="n">
        <v>0</v>
      </c>
      <c r="N305" t="n">
        <v>0</v>
      </c>
      <c r="O305" t="n">
        <v>0</v>
      </c>
      <c r="P305" t="n">
        <v>0</v>
      </c>
      <c r="Q305" t="n">
        <v>0</v>
      </c>
      <c r="R305" s="2" t="inlineStr"/>
    </row>
    <row r="306" ht="15" customHeight="1">
      <c r="A306" t="inlineStr">
        <is>
          <t>A 6099-2024</t>
        </is>
      </c>
      <c r="B306" s="1" t="n">
        <v>45337</v>
      </c>
      <c r="C306" s="1" t="n">
        <v>46174</v>
      </c>
      <c r="D306" t="inlineStr">
        <is>
          <t>GOTLANDS LÄN</t>
        </is>
      </c>
      <c r="E306" t="inlineStr">
        <is>
          <t>GOTLAND</t>
        </is>
      </c>
      <c r="G306" t="n">
        <v>12.6</v>
      </c>
      <c r="H306" t="n">
        <v>0</v>
      </c>
      <c r="I306" t="n">
        <v>0</v>
      </c>
      <c r="J306" t="n">
        <v>0</v>
      </c>
      <c r="K306" t="n">
        <v>0</v>
      </c>
      <c r="L306" t="n">
        <v>0</v>
      </c>
      <c r="M306" t="n">
        <v>0</v>
      </c>
      <c r="N306" t="n">
        <v>0</v>
      </c>
      <c r="O306" t="n">
        <v>0</v>
      </c>
      <c r="P306" t="n">
        <v>0</v>
      </c>
      <c r="Q306" t="n">
        <v>0</v>
      </c>
      <c r="R306" s="2" t="inlineStr"/>
    </row>
    <row r="307" ht="15" customHeight="1">
      <c r="A307" t="inlineStr">
        <is>
          <t>A 8260-2023</t>
        </is>
      </c>
      <c r="B307" s="1" t="n">
        <v>44974.61608796296</v>
      </c>
      <c r="C307" s="1" t="n">
        <v>46174</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44949-2023</t>
        </is>
      </c>
      <c r="B308" s="1" t="n">
        <v>45190.69520833333</v>
      </c>
      <c r="C308" s="1" t="n">
        <v>46174</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22287-2022</t>
        </is>
      </c>
      <c r="B309" s="1" t="n">
        <v>44712</v>
      </c>
      <c r="C309" s="1" t="n">
        <v>46174</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57534-2022</t>
        </is>
      </c>
      <c r="B310" s="1" t="n">
        <v>44896</v>
      </c>
      <c r="C310" s="1" t="n">
        <v>46174</v>
      </c>
      <c r="D310" t="inlineStr">
        <is>
          <t>GOTLANDS LÄN</t>
        </is>
      </c>
      <c r="E310" t="inlineStr">
        <is>
          <t>GOTLAND</t>
        </is>
      </c>
      <c r="G310" t="n">
        <v>0.6</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45418.55096064815</v>
      </c>
      <c r="C311" s="1" t="n">
        <v>46174</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46174</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46174</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46174</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17682-2024</t>
        </is>
      </c>
      <c r="B315" s="1" t="n">
        <v>45418.42966435185</v>
      </c>
      <c r="C315" s="1" t="n">
        <v>46174</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12846-2025</t>
        </is>
      </c>
      <c r="B316" s="1" t="n">
        <v>45733.65049768519</v>
      </c>
      <c r="C316" s="1" t="n">
        <v>46174</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43200-2023</t>
        </is>
      </c>
      <c r="B317" s="1" t="n">
        <v>45183</v>
      </c>
      <c r="C317" s="1" t="n">
        <v>46174</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35142-2025</t>
        </is>
      </c>
      <c r="B318" s="1" t="n">
        <v>45852.65532407408</v>
      </c>
      <c r="C318" s="1" t="n">
        <v>46174</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61897-2024</t>
        </is>
      </c>
      <c r="B319" s="1" t="n">
        <v>45652.75685185185</v>
      </c>
      <c r="C319" s="1" t="n">
        <v>46174</v>
      </c>
      <c r="D319" t="inlineStr">
        <is>
          <t>GOTLANDS LÄN</t>
        </is>
      </c>
      <c r="E319" t="inlineStr">
        <is>
          <t>GOTLAND</t>
        </is>
      </c>
      <c r="G319" t="n">
        <v>6.4</v>
      </c>
      <c r="H319" t="n">
        <v>0</v>
      </c>
      <c r="I319" t="n">
        <v>0</v>
      </c>
      <c r="J319" t="n">
        <v>0</v>
      </c>
      <c r="K319" t="n">
        <v>0</v>
      </c>
      <c r="L319" t="n">
        <v>0</v>
      </c>
      <c r="M319" t="n">
        <v>0</v>
      </c>
      <c r="N319" t="n">
        <v>0</v>
      </c>
      <c r="O319" t="n">
        <v>0</v>
      </c>
      <c r="P319" t="n">
        <v>0</v>
      </c>
      <c r="Q319" t="n">
        <v>0</v>
      </c>
      <c r="R319" s="2" t="inlineStr"/>
    </row>
    <row r="320" ht="15" customHeight="1">
      <c r="A320" t="inlineStr">
        <is>
          <t>A 64660-2023</t>
        </is>
      </c>
      <c r="B320" s="1" t="n">
        <v>45281.60122685185</v>
      </c>
      <c r="C320" s="1" t="n">
        <v>46174</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12032-2025</t>
        </is>
      </c>
      <c r="B321" s="1" t="n">
        <v>45728.64472222222</v>
      </c>
      <c r="C321" s="1" t="n">
        <v>46174</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3935-2025</t>
        </is>
      </c>
      <c r="B322" s="1" t="n">
        <v>45684.46070601852</v>
      </c>
      <c r="C322" s="1" t="n">
        <v>46174</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15595-2024</t>
        </is>
      </c>
      <c r="B323" s="1" t="n">
        <v>45401.81480324074</v>
      </c>
      <c r="C323" s="1" t="n">
        <v>46174</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35141-2025</t>
        </is>
      </c>
      <c r="B324" s="1" t="n">
        <v>45852.65206018519</v>
      </c>
      <c r="C324" s="1" t="n">
        <v>46174</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21792-2024</t>
        </is>
      </c>
      <c r="B325" s="1" t="n">
        <v>45442.64326388889</v>
      </c>
      <c r="C325" s="1" t="n">
        <v>46174</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20855-2023</t>
        </is>
      </c>
      <c r="B326" s="1" t="n">
        <v>45058.82172453704</v>
      </c>
      <c r="C326" s="1" t="n">
        <v>46174</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48843-2024</t>
        </is>
      </c>
      <c r="B327" s="1" t="n">
        <v>45593</v>
      </c>
      <c r="C327" s="1" t="n">
        <v>46174</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60709-2023</t>
        </is>
      </c>
      <c r="B328" s="1" t="n">
        <v>45260</v>
      </c>
      <c r="C328" s="1" t="n">
        <v>46174</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39849-2025</t>
        </is>
      </c>
      <c r="B329" s="1" t="n">
        <v>45891.58502314815</v>
      </c>
      <c r="C329" s="1" t="n">
        <v>46174</v>
      </c>
      <c r="D329" t="inlineStr">
        <is>
          <t>GOTLANDS LÄN</t>
        </is>
      </c>
      <c r="E329" t="inlineStr">
        <is>
          <t>GOTLAND</t>
        </is>
      </c>
      <c r="G329" t="n">
        <v>6.1</v>
      </c>
      <c r="H329" t="n">
        <v>0</v>
      </c>
      <c r="I329" t="n">
        <v>0</v>
      </c>
      <c r="J329" t="n">
        <v>0</v>
      </c>
      <c r="K329" t="n">
        <v>0</v>
      </c>
      <c r="L329" t="n">
        <v>0</v>
      </c>
      <c r="M329" t="n">
        <v>0</v>
      </c>
      <c r="N329" t="n">
        <v>0</v>
      </c>
      <c r="O329" t="n">
        <v>0</v>
      </c>
      <c r="P329" t="n">
        <v>0</v>
      </c>
      <c r="Q329" t="n">
        <v>0</v>
      </c>
      <c r="R329" s="2" t="inlineStr"/>
    </row>
    <row r="330" ht="15" customHeight="1">
      <c r="A330" t="inlineStr">
        <is>
          <t>A 1000-2024</t>
        </is>
      </c>
      <c r="B330" s="1" t="n">
        <v>45301.63371527778</v>
      </c>
      <c r="C330" s="1" t="n">
        <v>46174</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1010-2024</t>
        </is>
      </c>
      <c r="B331" s="1" t="n">
        <v>45301</v>
      </c>
      <c r="C331" s="1" t="n">
        <v>46174</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65249-2023</t>
        </is>
      </c>
      <c r="B332" s="1" t="n">
        <v>45290</v>
      </c>
      <c r="C332" s="1" t="n">
        <v>46174</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10653-2023</t>
        </is>
      </c>
      <c r="B333" s="1" t="n">
        <v>44988.48859953704</v>
      </c>
      <c r="C333" s="1" t="n">
        <v>46174</v>
      </c>
      <c r="D333" t="inlineStr">
        <is>
          <t>GOTLANDS LÄN</t>
        </is>
      </c>
      <c r="E333" t="inlineStr">
        <is>
          <t>GOTLAND</t>
        </is>
      </c>
      <c r="F333" t="inlineStr">
        <is>
          <t>Kyrkan</t>
        </is>
      </c>
      <c r="G333" t="n">
        <v>3</v>
      </c>
      <c r="H333" t="n">
        <v>0</v>
      </c>
      <c r="I333" t="n">
        <v>0</v>
      </c>
      <c r="J333" t="n">
        <v>0</v>
      </c>
      <c r="K333" t="n">
        <v>0</v>
      </c>
      <c r="L333" t="n">
        <v>0</v>
      </c>
      <c r="M333" t="n">
        <v>0</v>
      </c>
      <c r="N333" t="n">
        <v>0</v>
      </c>
      <c r="O333" t="n">
        <v>0</v>
      </c>
      <c r="P333" t="n">
        <v>0</v>
      </c>
      <c r="Q333" t="n">
        <v>0</v>
      </c>
      <c r="R333" s="2" t="inlineStr"/>
    </row>
    <row r="334" ht="15" customHeight="1">
      <c r="A334" t="inlineStr">
        <is>
          <t>A 39814-2025</t>
        </is>
      </c>
      <c r="B334" s="1" t="n">
        <v>45891.52694444444</v>
      </c>
      <c r="C334" s="1" t="n">
        <v>46174</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46174</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39819-2025</t>
        </is>
      </c>
      <c r="B336" s="1" t="n">
        <v>45891.53418981482</v>
      </c>
      <c r="C336" s="1" t="n">
        <v>46174</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46174</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35512-2023</t>
        </is>
      </c>
      <c r="B338" s="1" t="n">
        <v>45147.25623842593</v>
      </c>
      <c r="C338" s="1" t="n">
        <v>46174</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8045-2022</t>
        </is>
      </c>
      <c r="B339" s="1" t="n">
        <v>44609</v>
      </c>
      <c r="C339" s="1" t="n">
        <v>46174</v>
      </c>
      <c r="D339" t="inlineStr">
        <is>
          <t>GOTLANDS LÄN</t>
        </is>
      </c>
      <c r="E339" t="inlineStr">
        <is>
          <t>GOTLAND</t>
        </is>
      </c>
      <c r="G339" t="n">
        <v>7</v>
      </c>
      <c r="H339" t="n">
        <v>0</v>
      </c>
      <c r="I339" t="n">
        <v>0</v>
      </c>
      <c r="J339" t="n">
        <v>0</v>
      </c>
      <c r="K339" t="n">
        <v>0</v>
      </c>
      <c r="L339" t="n">
        <v>0</v>
      </c>
      <c r="M339" t="n">
        <v>0</v>
      </c>
      <c r="N339" t="n">
        <v>0</v>
      </c>
      <c r="O339" t="n">
        <v>0</v>
      </c>
      <c r="P339" t="n">
        <v>0</v>
      </c>
      <c r="Q339" t="n">
        <v>0</v>
      </c>
      <c r="R339" s="2" t="inlineStr"/>
    </row>
    <row r="340" ht="15" customHeight="1">
      <c r="A340" t="inlineStr">
        <is>
          <t>A 39752-2025</t>
        </is>
      </c>
      <c r="B340" s="1" t="n">
        <v>45891</v>
      </c>
      <c r="C340" s="1" t="n">
        <v>46174</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39816-2025</t>
        </is>
      </c>
      <c r="B341" s="1" t="n">
        <v>45891</v>
      </c>
      <c r="C341" s="1" t="n">
        <v>46174</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45895.5162037037</v>
      </c>
      <c r="C342" s="1" t="n">
        <v>46174</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40373-2025</t>
        </is>
      </c>
      <c r="B343" s="1" t="n">
        <v>45895.51821759259</v>
      </c>
      <c r="C343" s="1" t="n">
        <v>46174</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11874-2024</t>
        </is>
      </c>
      <c r="B344" s="1" t="n">
        <v>45376.46956018519</v>
      </c>
      <c r="C344" s="1" t="n">
        <v>46174</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20225-2025</t>
        </is>
      </c>
      <c r="B345" s="1" t="n">
        <v>45772.65802083333</v>
      </c>
      <c r="C345" s="1" t="n">
        <v>46174</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1677-2023</t>
        </is>
      </c>
      <c r="B346" s="1" t="n">
        <v>44938</v>
      </c>
      <c r="C346" s="1" t="n">
        <v>46174</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40103-2025</t>
        </is>
      </c>
      <c r="B347" s="1" t="n">
        <v>45894.4880324074</v>
      </c>
      <c r="C347" s="1" t="n">
        <v>46174</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999-2024</t>
        </is>
      </c>
      <c r="B348" s="1" t="n">
        <v>45301</v>
      </c>
      <c r="C348" s="1" t="n">
        <v>46174</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65901-2021</t>
        </is>
      </c>
      <c r="B349" s="1" t="n">
        <v>44516</v>
      </c>
      <c r="C349" s="1" t="n">
        <v>46174</v>
      </c>
      <c r="D349" t="inlineStr">
        <is>
          <t>GOTLANDS LÄN</t>
        </is>
      </c>
      <c r="E349" t="inlineStr">
        <is>
          <t>GOTLAND</t>
        </is>
      </c>
      <c r="G349" t="n">
        <v>4.9</v>
      </c>
      <c r="H349" t="n">
        <v>0</v>
      </c>
      <c r="I349" t="n">
        <v>0</v>
      </c>
      <c r="J349" t="n">
        <v>0</v>
      </c>
      <c r="K349" t="n">
        <v>0</v>
      </c>
      <c r="L349" t="n">
        <v>0</v>
      </c>
      <c r="M349" t="n">
        <v>0</v>
      </c>
      <c r="N349" t="n">
        <v>0</v>
      </c>
      <c r="O349" t="n">
        <v>0</v>
      </c>
      <c r="P349" t="n">
        <v>0</v>
      </c>
      <c r="Q349" t="n">
        <v>0</v>
      </c>
      <c r="R349" s="2" t="inlineStr"/>
    </row>
    <row r="350" ht="15" customHeight="1">
      <c r="A350" t="inlineStr">
        <is>
          <t>A 64831-2023</t>
        </is>
      </c>
      <c r="B350" s="1" t="n">
        <v>45282.44924768519</v>
      </c>
      <c r="C350" s="1" t="n">
        <v>46174</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47762-2023</t>
        </is>
      </c>
      <c r="B351" s="1" t="n">
        <v>45203.86256944444</v>
      </c>
      <c r="C351" s="1" t="n">
        <v>46174</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40499-2025</t>
        </is>
      </c>
      <c r="B352" s="1" t="n">
        <v>45896.32517361111</v>
      </c>
      <c r="C352" s="1" t="n">
        <v>46174</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40294-2022</t>
        </is>
      </c>
      <c r="B353" s="1" t="n">
        <v>44821</v>
      </c>
      <c r="C353" s="1" t="n">
        <v>46174</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27602-2023</t>
        </is>
      </c>
      <c r="B354" s="1" t="n">
        <v>45097</v>
      </c>
      <c r="C354" s="1" t="n">
        <v>46174</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58780-2024</t>
        </is>
      </c>
      <c r="B355" s="1" t="n">
        <v>45635.84113425926</v>
      </c>
      <c r="C355" s="1" t="n">
        <v>46174</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12322-2025</t>
        </is>
      </c>
      <c r="B356" s="1" t="n">
        <v>45730</v>
      </c>
      <c r="C356" s="1" t="n">
        <v>46174</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8036-2022</t>
        </is>
      </c>
      <c r="B357" s="1" t="n">
        <v>44609.44362268518</v>
      </c>
      <c r="C357" s="1" t="n">
        <v>46174</v>
      </c>
      <c r="D357" t="inlineStr">
        <is>
          <t>GOTLANDS LÄN</t>
        </is>
      </c>
      <c r="E357" t="inlineStr">
        <is>
          <t>GOTLAND</t>
        </is>
      </c>
      <c r="G357" t="n">
        <v>6.1</v>
      </c>
      <c r="H357" t="n">
        <v>0</v>
      </c>
      <c r="I357" t="n">
        <v>0</v>
      </c>
      <c r="J357" t="n">
        <v>0</v>
      </c>
      <c r="K357" t="n">
        <v>0</v>
      </c>
      <c r="L357" t="n">
        <v>0</v>
      </c>
      <c r="M357" t="n">
        <v>0</v>
      </c>
      <c r="N357" t="n">
        <v>0</v>
      </c>
      <c r="O357" t="n">
        <v>0</v>
      </c>
      <c r="P357" t="n">
        <v>0</v>
      </c>
      <c r="Q357" t="n">
        <v>0</v>
      </c>
      <c r="R357" s="2" t="inlineStr"/>
    </row>
    <row r="358" ht="15" customHeight="1">
      <c r="A358" t="inlineStr">
        <is>
          <t>A 46375-2024</t>
        </is>
      </c>
      <c r="B358" s="1" t="n">
        <v>45582</v>
      </c>
      <c r="C358" s="1" t="n">
        <v>46174</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62915-2021</t>
        </is>
      </c>
      <c r="B359" s="1" t="n">
        <v>44504</v>
      </c>
      <c r="C359" s="1" t="n">
        <v>46174</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41551-2025</t>
        </is>
      </c>
      <c r="B360" s="1" t="n">
        <v>45901.58854166666</v>
      </c>
      <c r="C360" s="1" t="n">
        <v>46174</v>
      </c>
      <c r="D360" t="inlineStr">
        <is>
          <t>GOTLANDS LÄN</t>
        </is>
      </c>
      <c r="E360" t="inlineStr">
        <is>
          <t>GOTLAND</t>
        </is>
      </c>
      <c r="G360" t="n">
        <v>5.6</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46174</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46174</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7638-2025</t>
        </is>
      </c>
      <c r="B363" s="1" t="n">
        <v>45705.77306712963</v>
      </c>
      <c r="C363" s="1" t="n">
        <v>46174</v>
      </c>
      <c r="D363" t="inlineStr">
        <is>
          <t>GOTLANDS LÄN</t>
        </is>
      </c>
      <c r="E363" t="inlineStr">
        <is>
          <t>GOTLAND</t>
        </is>
      </c>
      <c r="G363" t="n">
        <v>2.2</v>
      </c>
      <c r="H363" t="n">
        <v>0</v>
      </c>
      <c r="I363" t="n">
        <v>0</v>
      </c>
      <c r="J363" t="n">
        <v>0</v>
      </c>
      <c r="K363" t="n">
        <v>0</v>
      </c>
      <c r="L363" t="n">
        <v>0</v>
      </c>
      <c r="M363" t="n">
        <v>0</v>
      </c>
      <c r="N363" t="n">
        <v>0</v>
      </c>
      <c r="O363" t="n">
        <v>0</v>
      </c>
      <c r="P363" t="n">
        <v>0</v>
      </c>
      <c r="Q363" t="n">
        <v>0</v>
      </c>
      <c r="R363" s="2" t="inlineStr"/>
    </row>
    <row r="364" ht="15" customHeight="1">
      <c r="A364" t="inlineStr">
        <is>
          <t>A 7835-2024</t>
        </is>
      </c>
      <c r="B364" s="1" t="n">
        <v>45349.83138888889</v>
      </c>
      <c r="C364" s="1" t="n">
        <v>46174</v>
      </c>
      <c r="D364" t="inlineStr">
        <is>
          <t>GOTLANDS LÄN</t>
        </is>
      </c>
      <c r="E364" t="inlineStr">
        <is>
          <t>GOTLAND</t>
        </is>
      </c>
      <c r="G364" t="n">
        <v>3.8</v>
      </c>
      <c r="H364" t="n">
        <v>0</v>
      </c>
      <c r="I364" t="n">
        <v>0</v>
      </c>
      <c r="J364" t="n">
        <v>0</v>
      </c>
      <c r="K364" t="n">
        <v>0</v>
      </c>
      <c r="L364" t="n">
        <v>0</v>
      </c>
      <c r="M364" t="n">
        <v>0</v>
      </c>
      <c r="N364" t="n">
        <v>0</v>
      </c>
      <c r="O364" t="n">
        <v>0</v>
      </c>
      <c r="P364" t="n">
        <v>0</v>
      </c>
      <c r="Q364" t="n">
        <v>0</v>
      </c>
      <c r="R364" s="2" t="inlineStr"/>
    </row>
    <row r="365" ht="15" customHeight="1">
      <c r="A365" t="inlineStr">
        <is>
          <t>A 39278-2025</t>
        </is>
      </c>
      <c r="B365" s="1" t="n">
        <v>45889</v>
      </c>
      <c r="C365" s="1" t="n">
        <v>46174</v>
      </c>
      <c r="D365" t="inlineStr">
        <is>
          <t>GOTLANDS LÄN</t>
        </is>
      </c>
      <c r="E365" t="inlineStr">
        <is>
          <t>GOTLAND</t>
        </is>
      </c>
      <c r="G365" t="n">
        <v>3.7</v>
      </c>
      <c r="H365" t="n">
        <v>0</v>
      </c>
      <c r="I365" t="n">
        <v>0</v>
      </c>
      <c r="J365" t="n">
        <v>0</v>
      </c>
      <c r="K365" t="n">
        <v>0</v>
      </c>
      <c r="L365" t="n">
        <v>0</v>
      </c>
      <c r="M365" t="n">
        <v>0</v>
      </c>
      <c r="N365" t="n">
        <v>0</v>
      </c>
      <c r="O365" t="n">
        <v>0</v>
      </c>
      <c r="P365" t="n">
        <v>0</v>
      </c>
      <c r="Q365" t="n">
        <v>0</v>
      </c>
      <c r="R365" s="2" t="inlineStr"/>
    </row>
    <row r="366" ht="15" customHeight="1">
      <c r="A366" t="inlineStr">
        <is>
          <t>A 10650-2022</t>
        </is>
      </c>
      <c r="B366" s="1" t="n">
        <v>44624.57945601852</v>
      </c>
      <c r="C366" s="1" t="n">
        <v>46174</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44955.5502662037</v>
      </c>
      <c r="C367" s="1" t="n">
        <v>46174</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41435-2025</t>
        </is>
      </c>
      <c r="B368" s="1" t="n">
        <v>45901.39974537037</v>
      </c>
      <c r="C368" s="1" t="n">
        <v>46174</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26810-2021</t>
        </is>
      </c>
      <c r="B369" s="1" t="n">
        <v>44349.55087962963</v>
      </c>
      <c r="C369" s="1" t="n">
        <v>46174</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21164-2024</t>
        </is>
      </c>
      <c r="B370" s="1" t="n">
        <v>45440</v>
      </c>
      <c r="C370" s="1" t="n">
        <v>46174</v>
      </c>
      <c r="D370" t="inlineStr">
        <is>
          <t>GOTLANDS LÄN</t>
        </is>
      </c>
      <c r="E370" t="inlineStr">
        <is>
          <t>GOTLAND</t>
        </is>
      </c>
      <c r="G370" t="n">
        <v>6.3</v>
      </c>
      <c r="H370" t="n">
        <v>0</v>
      </c>
      <c r="I370" t="n">
        <v>0</v>
      </c>
      <c r="J370" t="n">
        <v>0</v>
      </c>
      <c r="K370" t="n">
        <v>0</v>
      </c>
      <c r="L370" t="n">
        <v>0</v>
      </c>
      <c r="M370" t="n">
        <v>0</v>
      </c>
      <c r="N370" t="n">
        <v>0</v>
      </c>
      <c r="O370" t="n">
        <v>0</v>
      </c>
      <c r="P370" t="n">
        <v>0</v>
      </c>
      <c r="Q370" t="n">
        <v>0</v>
      </c>
      <c r="R370" s="2" t="inlineStr"/>
    </row>
    <row r="371" ht="15" customHeight="1">
      <c r="A371" t="inlineStr">
        <is>
          <t>A 17541-2024</t>
        </is>
      </c>
      <c r="B371" s="1" t="n">
        <v>45415</v>
      </c>
      <c r="C371" s="1" t="n">
        <v>46174</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883-2025</t>
        </is>
      </c>
      <c r="B372" s="1" t="n">
        <v>45665</v>
      </c>
      <c r="C372" s="1" t="n">
        <v>46174</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13910-2025</t>
        </is>
      </c>
      <c r="B373" s="1" t="n">
        <v>45737</v>
      </c>
      <c r="C373" s="1" t="n">
        <v>46174</v>
      </c>
      <c r="D373" t="inlineStr">
        <is>
          <t>GOTLANDS LÄN</t>
        </is>
      </c>
      <c r="E373" t="inlineStr">
        <is>
          <t>GOTLAND</t>
        </is>
      </c>
      <c r="F373" t="inlineStr">
        <is>
          <t>Kommuner</t>
        </is>
      </c>
      <c r="G373" t="n">
        <v>3.2</v>
      </c>
      <c r="H373" t="n">
        <v>0</v>
      </c>
      <c r="I373" t="n">
        <v>0</v>
      </c>
      <c r="J373" t="n">
        <v>0</v>
      </c>
      <c r="K373" t="n">
        <v>0</v>
      </c>
      <c r="L373" t="n">
        <v>0</v>
      </c>
      <c r="M373" t="n">
        <v>0</v>
      </c>
      <c r="N373" t="n">
        <v>0</v>
      </c>
      <c r="O373" t="n">
        <v>0</v>
      </c>
      <c r="P373" t="n">
        <v>0</v>
      </c>
      <c r="Q373" t="n">
        <v>0</v>
      </c>
      <c r="R373" s="2" t="inlineStr"/>
    </row>
    <row r="374" ht="15" customHeight="1">
      <c r="A374" t="inlineStr">
        <is>
          <t>A 28425-2023</t>
        </is>
      </c>
      <c r="B374" s="1" t="n">
        <v>45102</v>
      </c>
      <c r="C374" s="1" t="n">
        <v>46174</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43901-2023</t>
        </is>
      </c>
      <c r="B375" s="1" t="n">
        <v>45187</v>
      </c>
      <c r="C375" s="1" t="n">
        <v>46174</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17532-2024</t>
        </is>
      </c>
      <c r="B376" s="1" t="n">
        <v>45415</v>
      </c>
      <c r="C376" s="1" t="n">
        <v>46174</v>
      </c>
      <c r="D376" t="inlineStr">
        <is>
          <t>GOTLANDS LÄN</t>
        </is>
      </c>
      <c r="E376" t="inlineStr">
        <is>
          <t>GOTLAND</t>
        </is>
      </c>
      <c r="G376" t="n">
        <v>4.3</v>
      </c>
      <c r="H376" t="n">
        <v>0</v>
      </c>
      <c r="I376" t="n">
        <v>0</v>
      </c>
      <c r="J376" t="n">
        <v>0</v>
      </c>
      <c r="K376" t="n">
        <v>0</v>
      </c>
      <c r="L376" t="n">
        <v>0</v>
      </c>
      <c r="M376" t="n">
        <v>0</v>
      </c>
      <c r="N376" t="n">
        <v>0</v>
      </c>
      <c r="O376" t="n">
        <v>0</v>
      </c>
      <c r="P376" t="n">
        <v>0</v>
      </c>
      <c r="Q376" t="n">
        <v>0</v>
      </c>
      <c r="R376" s="2" t="inlineStr"/>
    </row>
    <row r="377" ht="15" customHeight="1">
      <c r="A377" t="inlineStr">
        <is>
          <t>A 45692-2023</t>
        </is>
      </c>
      <c r="B377" s="1" t="n">
        <v>45195</v>
      </c>
      <c r="C377" s="1" t="n">
        <v>46174</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13037-2025</t>
        </is>
      </c>
      <c r="B378" s="1" t="n">
        <v>45734</v>
      </c>
      <c r="C378" s="1" t="n">
        <v>46174</v>
      </c>
      <c r="D378" t="inlineStr">
        <is>
          <t>GOTLANDS LÄN</t>
        </is>
      </c>
      <c r="E378" t="inlineStr">
        <is>
          <t>GOTLAND</t>
        </is>
      </c>
      <c r="G378" t="n">
        <v>9.5</v>
      </c>
      <c r="H378" t="n">
        <v>0</v>
      </c>
      <c r="I378" t="n">
        <v>0</v>
      </c>
      <c r="J378" t="n">
        <v>0</v>
      </c>
      <c r="K378" t="n">
        <v>0</v>
      </c>
      <c r="L378" t="n">
        <v>0</v>
      </c>
      <c r="M378" t="n">
        <v>0</v>
      </c>
      <c r="N378" t="n">
        <v>0</v>
      </c>
      <c r="O378" t="n">
        <v>0</v>
      </c>
      <c r="P378" t="n">
        <v>0</v>
      </c>
      <c r="Q378" t="n">
        <v>0</v>
      </c>
      <c r="R378" s="2" t="inlineStr"/>
    </row>
    <row r="379" ht="15" customHeight="1">
      <c r="A379" t="inlineStr">
        <is>
          <t>A 37222-2021</t>
        </is>
      </c>
      <c r="B379" s="1" t="n">
        <v>44396</v>
      </c>
      <c r="C379" s="1" t="n">
        <v>46174</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42608-2025</t>
        </is>
      </c>
      <c r="B380" s="1" t="n">
        <v>45905</v>
      </c>
      <c r="C380" s="1" t="n">
        <v>46174</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46396-2023</t>
        </is>
      </c>
      <c r="B381" s="1" t="n">
        <v>45197</v>
      </c>
      <c r="C381" s="1" t="n">
        <v>46174</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58388-2022</t>
        </is>
      </c>
      <c r="B382" s="1" t="n">
        <v>44894</v>
      </c>
      <c r="C382" s="1" t="n">
        <v>46174</v>
      </c>
      <c r="D382" t="inlineStr">
        <is>
          <t>GOTLANDS LÄN</t>
        </is>
      </c>
      <c r="E382" t="inlineStr">
        <is>
          <t>GOTLAND</t>
        </is>
      </c>
      <c r="F382" t="inlineStr">
        <is>
          <t>Övriga statliga verk och myndigheter</t>
        </is>
      </c>
      <c r="G382" t="n">
        <v>3.1</v>
      </c>
      <c r="H382" t="n">
        <v>0</v>
      </c>
      <c r="I382" t="n">
        <v>0</v>
      </c>
      <c r="J382" t="n">
        <v>0</v>
      </c>
      <c r="K382" t="n">
        <v>0</v>
      </c>
      <c r="L382" t="n">
        <v>0</v>
      </c>
      <c r="M382" t="n">
        <v>0</v>
      </c>
      <c r="N382" t="n">
        <v>0</v>
      </c>
      <c r="O382" t="n">
        <v>0</v>
      </c>
      <c r="P382" t="n">
        <v>0</v>
      </c>
      <c r="Q382" t="n">
        <v>0</v>
      </c>
      <c r="R382" s="2" t="inlineStr"/>
    </row>
    <row r="383" ht="15" customHeight="1">
      <c r="A383" t="inlineStr">
        <is>
          <t>A 16373-2025</t>
        </is>
      </c>
      <c r="B383" s="1" t="n">
        <v>45751</v>
      </c>
      <c r="C383" s="1" t="n">
        <v>46174</v>
      </c>
      <c r="D383" t="inlineStr">
        <is>
          <t>GOTLANDS LÄN</t>
        </is>
      </c>
      <c r="E383" t="inlineStr">
        <is>
          <t>GOTLAND</t>
        </is>
      </c>
      <c r="G383" t="n">
        <v>1.5</v>
      </c>
      <c r="H383" t="n">
        <v>0</v>
      </c>
      <c r="I383" t="n">
        <v>0</v>
      </c>
      <c r="J383" t="n">
        <v>0</v>
      </c>
      <c r="K383" t="n">
        <v>0</v>
      </c>
      <c r="L383" t="n">
        <v>0</v>
      </c>
      <c r="M383" t="n">
        <v>0</v>
      </c>
      <c r="N383" t="n">
        <v>0</v>
      </c>
      <c r="O383" t="n">
        <v>0</v>
      </c>
      <c r="P383" t="n">
        <v>0</v>
      </c>
      <c r="Q383" t="n">
        <v>0</v>
      </c>
      <c r="R383" s="2" t="inlineStr"/>
    </row>
    <row r="384" ht="15" customHeight="1">
      <c r="A384" t="inlineStr">
        <is>
          <t>A 10746-2025</t>
        </is>
      </c>
      <c r="B384" s="1" t="n">
        <v>45722.42766203704</v>
      </c>
      <c r="C384" s="1" t="n">
        <v>46174</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46174</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53934-2024</t>
        </is>
      </c>
      <c r="B386" s="1" t="n">
        <v>45615</v>
      </c>
      <c r="C386" s="1" t="n">
        <v>46174</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43911-2025</t>
        </is>
      </c>
      <c r="B387" s="1" t="n">
        <v>45914.3881712963</v>
      </c>
      <c r="C387" s="1" t="n">
        <v>46174</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58132-2023</t>
        </is>
      </c>
      <c r="B388" s="1" t="n">
        <v>45250</v>
      </c>
      <c r="C388" s="1" t="n">
        <v>46174</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22899-2023</t>
        </is>
      </c>
      <c r="B389" s="1" t="n">
        <v>45072</v>
      </c>
      <c r="C389" s="1" t="n">
        <v>46174</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28285-2024</t>
        </is>
      </c>
      <c r="B390" s="1" t="n">
        <v>45477</v>
      </c>
      <c r="C390" s="1" t="n">
        <v>46174</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46174</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51963-2024</t>
        </is>
      </c>
      <c r="B392" s="1" t="n">
        <v>45607.64833333333</v>
      </c>
      <c r="C392" s="1" t="n">
        <v>46174</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41038-2023</t>
        </is>
      </c>
      <c r="B393" s="1" t="n">
        <v>45173.60959490741</v>
      </c>
      <c r="C393" s="1" t="n">
        <v>46174</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43951-2025</t>
        </is>
      </c>
      <c r="B394" s="1" t="n">
        <v>45915.38119212963</v>
      </c>
      <c r="C394" s="1" t="n">
        <v>46174</v>
      </c>
      <c r="D394" t="inlineStr">
        <is>
          <t>GOTLANDS LÄN</t>
        </is>
      </c>
      <c r="E394" t="inlineStr">
        <is>
          <t>GOTLAND</t>
        </is>
      </c>
      <c r="G394" t="n">
        <v>4.4</v>
      </c>
      <c r="H394" t="n">
        <v>0</v>
      </c>
      <c r="I394" t="n">
        <v>0</v>
      </c>
      <c r="J394" t="n">
        <v>0</v>
      </c>
      <c r="K394" t="n">
        <v>0</v>
      </c>
      <c r="L394" t="n">
        <v>0</v>
      </c>
      <c r="M394" t="n">
        <v>0</v>
      </c>
      <c r="N394" t="n">
        <v>0</v>
      </c>
      <c r="O394" t="n">
        <v>0</v>
      </c>
      <c r="P394" t="n">
        <v>0</v>
      </c>
      <c r="Q394" t="n">
        <v>0</v>
      </c>
      <c r="R394" s="2" t="inlineStr"/>
    </row>
    <row r="395" ht="15" customHeight="1">
      <c r="A395" t="inlineStr">
        <is>
          <t>A 44410-2025</t>
        </is>
      </c>
      <c r="B395" s="1" t="n">
        <v>45916.53699074074</v>
      </c>
      <c r="C395" s="1" t="n">
        <v>46174</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20794-2025</t>
        </is>
      </c>
      <c r="B396" s="1" t="n">
        <v>45776</v>
      </c>
      <c r="C396" s="1" t="n">
        <v>46174</v>
      </c>
      <c r="D396" t="inlineStr">
        <is>
          <t>GOTLANDS LÄN</t>
        </is>
      </c>
      <c r="E396" t="inlineStr">
        <is>
          <t>GOTLAND</t>
        </is>
      </c>
      <c r="G396" t="n">
        <v>6</v>
      </c>
      <c r="H396" t="n">
        <v>0</v>
      </c>
      <c r="I396" t="n">
        <v>0</v>
      </c>
      <c r="J396" t="n">
        <v>0</v>
      </c>
      <c r="K396" t="n">
        <v>0</v>
      </c>
      <c r="L396" t="n">
        <v>0</v>
      </c>
      <c r="M396" t="n">
        <v>0</v>
      </c>
      <c r="N396" t="n">
        <v>0</v>
      </c>
      <c r="O396" t="n">
        <v>0</v>
      </c>
      <c r="P396" t="n">
        <v>0</v>
      </c>
      <c r="Q396" t="n">
        <v>0</v>
      </c>
      <c r="R396" s="2" t="inlineStr"/>
    </row>
    <row r="397" ht="15" customHeight="1">
      <c r="A397" t="inlineStr">
        <is>
          <t>A 44405-2025</t>
        </is>
      </c>
      <c r="B397" s="1" t="n">
        <v>45916.52405092592</v>
      </c>
      <c r="C397" s="1" t="n">
        <v>46174</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1734-2025</t>
        </is>
      </c>
      <c r="B398" s="1" t="n">
        <v>45671.3840625</v>
      </c>
      <c r="C398" s="1" t="n">
        <v>46174</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30365-2024</t>
        </is>
      </c>
      <c r="B399" s="1" t="n">
        <v>45491.3716087963</v>
      </c>
      <c r="C399" s="1" t="n">
        <v>46174</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2674-2023</t>
        </is>
      </c>
      <c r="B400" s="1" t="n">
        <v>44944</v>
      </c>
      <c r="C400" s="1" t="n">
        <v>46174</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61100-2022</t>
        </is>
      </c>
      <c r="B401" s="1" t="n">
        <v>44915</v>
      </c>
      <c r="C401" s="1" t="n">
        <v>46174</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24966-2023</t>
        </is>
      </c>
      <c r="B402" s="1" t="n">
        <v>45085</v>
      </c>
      <c r="C402" s="1" t="n">
        <v>46174</v>
      </c>
      <c r="D402" t="inlineStr">
        <is>
          <t>GOTLANDS LÄN</t>
        </is>
      </c>
      <c r="E402" t="inlineStr">
        <is>
          <t>GOTLAND</t>
        </is>
      </c>
      <c r="G402" t="n">
        <v>7</v>
      </c>
      <c r="H402" t="n">
        <v>0</v>
      </c>
      <c r="I402" t="n">
        <v>0</v>
      </c>
      <c r="J402" t="n">
        <v>0</v>
      </c>
      <c r="K402" t="n">
        <v>0</v>
      </c>
      <c r="L402" t="n">
        <v>0</v>
      </c>
      <c r="M402" t="n">
        <v>0</v>
      </c>
      <c r="N402" t="n">
        <v>0</v>
      </c>
      <c r="O402" t="n">
        <v>0</v>
      </c>
      <c r="P402" t="n">
        <v>0</v>
      </c>
      <c r="Q402" t="n">
        <v>0</v>
      </c>
      <c r="R402" s="2" t="inlineStr"/>
    </row>
    <row r="403" ht="15" customHeight="1">
      <c r="A403" t="inlineStr">
        <is>
          <t>A 57652-2023</t>
        </is>
      </c>
      <c r="B403" s="1" t="n">
        <v>45246</v>
      </c>
      <c r="C403" s="1" t="n">
        <v>46174</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581-2023</t>
        </is>
      </c>
      <c r="B404" s="1" t="n">
        <v>44930</v>
      </c>
      <c r="C404" s="1" t="n">
        <v>46174</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46189-2022</t>
        </is>
      </c>
      <c r="B405" s="1" t="n">
        <v>44847</v>
      </c>
      <c r="C405" s="1" t="n">
        <v>46174</v>
      </c>
      <c r="D405" t="inlineStr">
        <is>
          <t>GOTLANDS LÄN</t>
        </is>
      </c>
      <c r="E405" t="inlineStr">
        <is>
          <t>GOTLAND</t>
        </is>
      </c>
      <c r="G405" t="n">
        <v>0.4</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46174</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10655-2023</t>
        </is>
      </c>
      <c r="B407" s="1" t="n">
        <v>44988.49543981482</v>
      </c>
      <c r="C407" s="1" t="n">
        <v>46174</v>
      </c>
      <c r="D407" t="inlineStr">
        <is>
          <t>GOTLANDS LÄN</t>
        </is>
      </c>
      <c r="E407" t="inlineStr">
        <is>
          <t>GOTLAND</t>
        </is>
      </c>
      <c r="F407" t="inlineStr">
        <is>
          <t>Kyrkan</t>
        </is>
      </c>
      <c r="G407" t="n">
        <v>2</v>
      </c>
      <c r="H407" t="n">
        <v>0</v>
      </c>
      <c r="I407" t="n">
        <v>0</v>
      </c>
      <c r="J407" t="n">
        <v>0</v>
      </c>
      <c r="K407" t="n">
        <v>0</v>
      </c>
      <c r="L407" t="n">
        <v>0</v>
      </c>
      <c r="M407" t="n">
        <v>0</v>
      </c>
      <c r="N407" t="n">
        <v>0</v>
      </c>
      <c r="O407" t="n">
        <v>0</v>
      </c>
      <c r="P407" t="n">
        <v>0</v>
      </c>
      <c r="Q407" t="n">
        <v>0</v>
      </c>
      <c r="R407" s="2" t="inlineStr"/>
    </row>
    <row r="408" ht="15" customHeight="1">
      <c r="A408" t="inlineStr">
        <is>
          <t>A 14797-2024</t>
        </is>
      </c>
      <c r="B408" s="1" t="n">
        <v>45397.87030092593</v>
      </c>
      <c r="C408" s="1" t="n">
        <v>46174</v>
      </c>
      <c r="D408" t="inlineStr">
        <is>
          <t>GOTLANDS LÄN</t>
        </is>
      </c>
      <c r="E408" t="inlineStr">
        <is>
          <t>GOTLAND</t>
        </is>
      </c>
      <c r="G408" t="n">
        <v>8.1</v>
      </c>
      <c r="H408" t="n">
        <v>0</v>
      </c>
      <c r="I408" t="n">
        <v>0</v>
      </c>
      <c r="J408" t="n">
        <v>0</v>
      </c>
      <c r="K408" t="n">
        <v>0</v>
      </c>
      <c r="L408" t="n">
        <v>0</v>
      </c>
      <c r="M408" t="n">
        <v>0</v>
      </c>
      <c r="N408" t="n">
        <v>0</v>
      </c>
      <c r="O408" t="n">
        <v>0</v>
      </c>
      <c r="P408" t="n">
        <v>0</v>
      </c>
      <c r="Q408" t="n">
        <v>0</v>
      </c>
      <c r="R408" s="2" t="inlineStr"/>
    </row>
    <row r="409" ht="15" customHeight="1">
      <c r="A409" t="inlineStr">
        <is>
          <t>A 7837-2024</t>
        </is>
      </c>
      <c r="B409" s="1" t="n">
        <v>45349.83787037037</v>
      </c>
      <c r="C409" s="1" t="n">
        <v>46174</v>
      </c>
      <c r="D409" t="inlineStr">
        <is>
          <t>GOTLANDS LÄN</t>
        </is>
      </c>
      <c r="E409" t="inlineStr">
        <is>
          <t>GOTLAND</t>
        </is>
      </c>
      <c r="G409" t="n">
        <v>5</v>
      </c>
      <c r="H409" t="n">
        <v>0</v>
      </c>
      <c r="I409" t="n">
        <v>0</v>
      </c>
      <c r="J409" t="n">
        <v>0</v>
      </c>
      <c r="K409" t="n">
        <v>0</v>
      </c>
      <c r="L409" t="n">
        <v>0</v>
      </c>
      <c r="M409" t="n">
        <v>0</v>
      </c>
      <c r="N409" t="n">
        <v>0</v>
      </c>
      <c r="O409" t="n">
        <v>0</v>
      </c>
      <c r="P409" t="n">
        <v>0</v>
      </c>
      <c r="Q409" t="n">
        <v>0</v>
      </c>
      <c r="R409" s="2" t="inlineStr"/>
    </row>
    <row r="410" ht="15" customHeight="1">
      <c r="A410" t="inlineStr">
        <is>
          <t>A 44649-2021</t>
        </is>
      </c>
      <c r="B410" s="1" t="n">
        <v>44437</v>
      </c>
      <c r="C410" s="1" t="n">
        <v>46174</v>
      </c>
      <c r="D410" t="inlineStr">
        <is>
          <t>GOTLANDS LÄN</t>
        </is>
      </c>
      <c r="E410" t="inlineStr">
        <is>
          <t>GOTLAND</t>
        </is>
      </c>
      <c r="G410" t="n">
        <v>8.1</v>
      </c>
      <c r="H410" t="n">
        <v>0</v>
      </c>
      <c r="I410" t="n">
        <v>0</v>
      </c>
      <c r="J410" t="n">
        <v>0</v>
      </c>
      <c r="K410" t="n">
        <v>0</v>
      </c>
      <c r="L410" t="n">
        <v>0</v>
      </c>
      <c r="M410" t="n">
        <v>0</v>
      </c>
      <c r="N410" t="n">
        <v>0</v>
      </c>
      <c r="O410" t="n">
        <v>0</v>
      </c>
      <c r="P410" t="n">
        <v>0</v>
      </c>
      <c r="Q410" t="n">
        <v>0</v>
      </c>
      <c r="R410" s="2" t="inlineStr"/>
    </row>
    <row r="411" ht="15" customHeight="1">
      <c r="A411" t="inlineStr">
        <is>
          <t>A 8484-2025</t>
        </is>
      </c>
      <c r="B411" s="1" t="n">
        <v>45709</v>
      </c>
      <c r="C411" s="1" t="n">
        <v>46174</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44936.72997685185</v>
      </c>
      <c r="C412" s="1" t="n">
        <v>46174</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2676-2023</t>
        </is>
      </c>
      <c r="B413" s="1" t="n">
        <v>44944</v>
      </c>
      <c r="C413" s="1" t="n">
        <v>46174</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4387-2023</t>
        </is>
      </c>
      <c r="B414" s="1" t="n">
        <v>44955.73359953704</v>
      </c>
      <c r="C414" s="1" t="n">
        <v>46174</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46174</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46174</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46174</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2241-2025</t>
        </is>
      </c>
      <c r="B418" s="1" t="n">
        <v>45673.48710648148</v>
      </c>
      <c r="C418" s="1" t="n">
        <v>46174</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20805-2025</t>
        </is>
      </c>
      <c r="B419" s="1" t="n">
        <v>45776</v>
      </c>
      <c r="C419" s="1" t="n">
        <v>46174</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46836-2025</t>
        </is>
      </c>
      <c r="B420" s="1" t="n">
        <v>45928.31511574074</v>
      </c>
      <c r="C420" s="1" t="n">
        <v>46174</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49962-2023</t>
        </is>
      </c>
      <c r="B421" s="1" t="n">
        <v>45215.38775462963</v>
      </c>
      <c r="C421" s="1" t="n">
        <v>46174</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21389-2025</t>
        </is>
      </c>
      <c r="B422" s="1" t="n">
        <v>45782</v>
      </c>
      <c r="C422" s="1" t="n">
        <v>46174</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50744-2024</t>
        </is>
      </c>
      <c r="B423" s="1" t="n">
        <v>45602.4187037037</v>
      </c>
      <c r="C423" s="1" t="n">
        <v>46174</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22275-2023</t>
        </is>
      </c>
      <c r="B424" s="1" t="n">
        <v>45070.39875</v>
      </c>
      <c r="C424" s="1" t="n">
        <v>46174</v>
      </c>
      <c r="D424" t="inlineStr">
        <is>
          <t>GOTLANDS LÄN</t>
        </is>
      </c>
      <c r="E424" t="inlineStr">
        <is>
          <t>GOTLAND</t>
        </is>
      </c>
      <c r="G424" t="n">
        <v>7.2</v>
      </c>
      <c r="H424" t="n">
        <v>0</v>
      </c>
      <c r="I424" t="n">
        <v>0</v>
      </c>
      <c r="J424" t="n">
        <v>0</v>
      </c>
      <c r="K424" t="n">
        <v>0</v>
      </c>
      <c r="L424" t="n">
        <v>0</v>
      </c>
      <c r="M424" t="n">
        <v>0</v>
      </c>
      <c r="N424" t="n">
        <v>0</v>
      </c>
      <c r="O424" t="n">
        <v>0</v>
      </c>
      <c r="P424" t="n">
        <v>0</v>
      </c>
      <c r="Q424" t="n">
        <v>0</v>
      </c>
      <c r="R424" s="2" t="inlineStr"/>
    </row>
    <row r="425" ht="15" customHeight="1">
      <c r="A425" t="inlineStr">
        <is>
          <t>A 47637-2025</t>
        </is>
      </c>
      <c r="B425" s="1" t="n">
        <v>45931.49753472222</v>
      </c>
      <c r="C425" s="1" t="n">
        <v>46174</v>
      </c>
      <c r="D425" t="inlineStr">
        <is>
          <t>GOTLANDS LÄN</t>
        </is>
      </c>
      <c r="E425" t="inlineStr">
        <is>
          <t>GOTLAND</t>
        </is>
      </c>
      <c r="G425" t="n">
        <v>1.3</v>
      </c>
      <c r="H425" t="n">
        <v>0</v>
      </c>
      <c r="I425" t="n">
        <v>0</v>
      </c>
      <c r="J425" t="n">
        <v>0</v>
      </c>
      <c r="K425" t="n">
        <v>0</v>
      </c>
      <c r="L425" t="n">
        <v>0</v>
      </c>
      <c r="M425" t="n">
        <v>0</v>
      </c>
      <c r="N425" t="n">
        <v>0</v>
      </c>
      <c r="O425" t="n">
        <v>0</v>
      </c>
      <c r="P425" t="n">
        <v>0</v>
      </c>
      <c r="Q425" t="n">
        <v>0</v>
      </c>
      <c r="R425" s="2" t="inlineStr"/>
    </row>
    <row r="426" ht="15" customHeight="1">
      <c r="A426" t="inlineStr">
        <is>
          <t>A 45244-2024</t>
        </is>
      </c>
      <c r="B426" s="1" t="n">
        <v>45576</v>
      </c>
      <c r="C426" s="1" t="n">
        <v>46174</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14635-2023</t>
        </is>
      </c>
      <c r="B427" s="1" t="n">
        <v>45013.69365740741</v>
      </c>
      <c r="C427" s="1" t="n">
        <v>46174</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63763-2023</t>
        </is>
      </c>
      <c r="B428" s="1" t="n">
        <v>45278.33944444444</v>
      </c>
      <c r="C428" s="1" t="n">
        <v>46174</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38787-2023</t>
        </is>
      </c>
      <c r="B429" s="1" t="n">
        <v>45163</v>
      </c>
      <c r="C429" s="1" t="n">
        <v>46174</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7635-2025</t>
        </is>
      </c>
      <c r="B430" s="1" t="n">
        <v>45705</v>
      </c>
      <c r="C430" s="1" t="n">
        <v>46174</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7636-2025</t>
        </is>
      </c>
      <c r="B431" s="1" t="n">
        <v>45705.7687962963</v>
      </c>
      <c r="C431" s="1" t="n">
        <v>46174</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7639-2025</t>
        </is>
      </c>
      <c r="B432" s="1" t="n">
        <v>45705.77465277778</v>
      </c>
      <c r="C432" s="1" t="n">
        <v>46174</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46174</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46174</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32378-2025</t>
        </is>
      </c>
      <c r="B435" s="1" t="n">
        <v>45837</v>
      </c>
      <c r="C435" s="1" t="n">
        <v>46174</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2714-2023</t>
        </is>
      </c>
      <c r="B436" s="1" t="n">
        <v>44944.54896990741</v>
      </c>
      <c r="C436" s="1" t="n">
        <v>46174</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46174</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46174</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22897-2023</t>
        </is>
      </c>
      <c r="B439" s="1" t="n">
        <v>45072.55239583334</v>
      </c>
      <c r="C439" s="1" t="n">
        <v>46174</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46174</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4568-2025</t>
        </is>
      </c>
      <c r="B441" s="1" t="n">
        <v>45687</v>
      </c>
      <c r="C441" s="1" t="n">
        <v>46174</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1681-2023</t>
        </is>
      </c>
      <c r="B442" s="1" t="n">
        <v>44938.39715277778</v>
      </c>
      <c r="C442" s="1" t="n">
        <v>46174</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46174</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18918-2025</t>
        </is>
      </c>
      <c r="B444" s="1" t="n">
        <v>45764</v>
      </c>
      <c r="C444" s="1" t="n">
        <v>46174</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11013-2024</t>
        </is>
      </c>
      <c r="B445" s="1" t="n">
        <v>45370</v>
      </c>
      <c r="C445" s="1" t="n">
        <v>46174</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35550-2025</t>
        </is>
      </c>
      <c r="B446" s="1" t="n">
        <v>45856.49324074074</v>
      </c>
      <c r="C446" s="1" t="n">
        <v>46174</v>
      </c>
      <c r="D446" t="inlineStr">
        <is>
          <t>GOTLANDS LÄN</t>
        </is>
      </c>
      <c r="E446" t="inlineStr">
        <is>
          <t>GOTLAND</t>
        </is>
      </c>
      <c r="G446" t="n">
        <v>3.2</v>
      </c>
      <c r="H446" t="n">
        <v>0</v>
      </c>
      <c r="I446" t="n">
        <v>0</v>
      </c>
      <c r="J446" t="n">
        <v>0</v>
      </c>
      <c r="K446" t="n">
        <v>0</v>
      </c>
      <c r="L446" t="n">
        <v>0</v>
      </c>
      <c r="M446" t="n">
        <v>0</v>
      </c>
      <c r="N446" t="n">
        <v>0</v>
      </c>
      <c r="O446" t="n">
        <v>0</v>
      </c>
      <c r="P446" t="n">
        <v>0</v>
      </c>
      <c r="Q446" t="n">
        <v>0</v>
      </c>
      <c r="R446" s="2" t="inlineStr"/>
    </row>
    <row r="447" ht="15" customHeight="1">
      <c r="A447" t="inlineStr">
        <is>
          <t>A 54074-2022</t>
        </is>
      </c>
      <c r="B447" s="1" t="n">
        <v>44881</v>
      </c>
      <c r="C447" s="1" t="n">
        <v>46174</v>
      </c>
      <c r="D447" t="inlineStr">
        <is>
          <t>GOTLANDS LÄN</t>
        </is>
      </c>
      <c r="E447" t="inlineStr">
        <is>
          <t>GOTLAND</t>
        </is>
      </c>
      <c r="G447" t="n">
        <v>0.9</v>
      </c>
      <c r="H447" t="n">
        <v>0</v>
      </c>
      <c r="I447" t="n">
        <v>0</v>
      </c>
      <c r="J447" t="n">
        <v>0</v>
      </c>
      <c r="K447" t="n">
        <v>0</v>
      </c>
      <c r="L447" t="n">
        <v>0</v>
      </c>
      <c r="M447" t="n">
        <v>0</v>
      </c>
      <c r="N447" t="n">
        <v>0</v>
      </c>
      <c r="O447" t="n">
        <v>0</v>
      </c>
      <c r="P447" t="n">
        <v>0</v>
      </c>
      <c r="Q447" t="n">
        <v>0</v>
      </c>
      <c r="R447" s="2" t="inlineStr"/>
    </row>
    <row r="448" ht="15" customHeight="1">
      <c r="A448" t="inlineStr">
        <is>
          <t>A 61694-2023</t>
        </is>
      </c>
      <c r="B448" s="1" t="n">
        <v>45264</v>
      </c>
      <c r="C448" s="1" t="n">
        <v>46174</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46174</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45084-2024</t>
        </is>
      </c>
      <c r="B450" s="1" t="n">
        <v>45575</v>
      </c>
      <c r="C450" s="1" t="n">
        <v>46174</v>
      </c>
      <c r="D450" t="inlineStr">
        <is>
          <t>GOTLANDS LÄN</t>
        </is>
      </c>
      <c r="E450" t="inlineStr">
        <is>
          <t>GOTLAND</t>
        </is>
      </c>
      <c r="G450" t="n">
        <v>6.8</v>
      </c>
      <c r="H450" t="n">
        <v>0</v>
      </c>
      <c r="I450" t="n">
        <v>0</v>
      </c>
      <c r="J450" t="n">
        <v>0</v>
      </c>
      <c r="K450" t="n">
        <v>0</v>
      </c>
      <c r="L450" t="n">
        <v>0</v>
      </c>
      <c r="M450" t="n">
        <v>0</v>
      </c>
      <c r="N450" t="n">
        <v>0</v>
      </c>
      <c r="O450" t="n">
        <v>0</v>
      </c>
      <c r="P450" t="n">
        <v>0</v>
      </c>
      <c r="Q450" t="n">
        <v>0</v>
      </c>
      <c r="R450" s="2" t="inlineStr"/>
    </row>
    <row r="451" ht="15" customHeight="1">
      <c r="A451" t="inlineStr">
        <is>
          <t>A 47578-2025</t>
        </is>
      </c>
      <c r="B451" s="1" t="n">
        <v>45931</v>
      </c>
      <c r="C451" s="1" t="n">
        <v>46174</v>
      </c>
      <c r="D451" t="inlineStr">
        <is>
          <t>GOTLANDS LÄN</t>
        </is>
      </c>
      <c r="E451" t="inlineStr">
        <is>
          <t>GOTLAND</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20356-2022</t>
        </is>
      </c>
      <c r="B452" s="1" t="n">
        <v>44699</v>
      </c>
      <c r="C452" s="1" t="n">
        <v>46174</v>
      </c>
      <c r="D452" t="inlineStr">
        <is>
          <t>GOTLANDS LÄN</t>
        </is>
      </c>
      <c r="E452" t="inlineStr">
        <is>
          <t>GOTLAND</t>
        </is>
      </c>
      <c r="F452" t="inlineStr">
        <is>
          <t>Övriga Aktiebolag</t>
        </is>
      </c>
      <c r="G452" t="n">
        <v>4.4</v>
      </c>
      <c r="H452" t="n">
        <v>0</v>
      </c>
      <c r="I452" t="n">
        <v>0</v>
      </c>
      <c r="J452" t="n">
        <v>0</v>
      </c>
      <c r="K452" t="n">
        <v>0</v>
      </c>
      <c r="L452" t="n">
        <v>0</v>
      </c>
      <c r="M452" t="n">
        <v>0</v>
      </c>
      <c r="N452" t="n">
        <v>0</v>
      </c>
      <c r="O452" t="n">
        <v>0</v>
      </c>
      <c r="P452" t="n">
        <v>0</v>
      </c>
      <c r="Q452" t="n">
        <v>0</v>
      </c>
      <c r="R452" s="2" t="inlineStr"/>
    </row>
    <row r="453" ht="15" customHeight="1">
      <c r="A453" t="inlineStr">
        <is>
          <t>A 54268-2022</t>
        </is>
      </c>
      <c r="B453" s="1" t="n">
        <v>44882</v>
      </c>
      <c r="C453" s="1" t="n">
        <v>46174</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1446-2025</t>
        </is>
      </c>
      <c r="B454" s="1" t="n">
        <v>45669.86035879629</v>
      </c>
      <c r="C454" s="1" t="n">
        <v>46174</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1462-2025</t>
        </is>
      </c>
      <c r="B455" s="1" t="n">
        <v>45670.36319444444</v>
      </c>
      <c r="C455" s="1" t="n">
        <v>46174</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33011-2025</t>
        </is>
      </c>
      <c r="B456" s="1" t="n">
        <v>45840</v>
      </c>
      <c r="C456" s="1" t="n">
        <v>46174</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4868-2024</t>
        </is>
      </c>
      <c r="B457" s="1" t="n">
        <v>45329</v>
      </c>
      <c r="C457" s="1" t="n">
        <v>46174</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49690-2025</t>
        </is>
      </c>
      <c r="B458" s="1" t="n">
        <v>45939.66730324074</v>
      </c>
      <c r="C458" s="1" t="n">
        <v>46174</v>
      </c>
      <c r="D458" t="inlineStr">
        <is>
          <t>GOTLANDS LÄN</t>
        </is>
      </c>
      <c r="E458" t="inlineStr">
        <is>
          <t>GOTLAND</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57685-2022</t>
        </is>
      </c>
      <c r="B459" s="1" t="n">
        <v>44897.4777662037</v>
      </c>
      <c r="C459" s="1" t="n">
        <v>46174</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9613-2025</t>
        </is>
      </c>
      <c r="B460" s="1" t="n">
        <v>45715</v>
      </c>
      <c r="C460" s="1" t="n">
        <v>46174</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811-2023</t>
        </is>
      </c>
      <c r="B461" s="1" t="n">
        <v>44931</v>
      </c>
      <c r="C461" s="1" t="n">
        <v>46174</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5386-2023</t>
        </is>
      </c>
      <c r="B462" s="1" t="n">
        <v>44959</v>
      </c>
      <c r="C462" s="1" t="n">
        <v>46174</v>
      </c>
      <c r="D462" t="inlineStr">
        <is>
          <t>GOTLANDS LÄN</t>
        </is>
      </c>
      <c r="E462" t="inlineStr">
        <is>
          <t>GOTLAND</t>
        </is>
      </c>
      <c r="G462" t="n">
        <v>5.4</v>
      </c>
      <c r="H462" t="n">
        <v>0</v>
      </c>
      <c r="I462" t="n">
        <v>0</v>
      </c>
      <c r="J462" t="n">
        <v>0</v>
      </c>
      <c r="K462" t="n">
        <v>0</v>
      </c>
      <c r="L462" t="n">
        <v>0</v>
      </c>
      <c r="M462" t="n">
        <v>0</v>
      </c>
      <c r="N462" t="n">
        <v>0</v>
      </c>
      <c r="O462" t="n">
        <v>0</v>
      </c>
      <c r="P462" t="n">
        <v>0</v>
      </c>
      <c r="Q462" t="n">
        <v>0</v>
      </c>
      <c r="R462" s="2" t="inlineStr"/>
    </row>
    <row r="463" ht="15" customHeight="1">
      <c r="A463" t="inlineStr">
        <is>
          <t>A 5905-2024</t>
        </is>
      </c>
      <c r="B463" s="1" t="n">
        <v>45335.88993055555</v>
      </c>
      <c r="C463" s="1" t="n">
        <v>46174</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3431-2025</t>
        </is>
      </c>
      <c r="B464" s="1" t="n">
        <v>45680.42935185185</v>
      </c>
      <c r="C464" s="1" t="n">
        <v>46174</v>
      </c>
      <c r="D464" t="inlineStr">
        <is>
          <t>GOTLANDS LÄN</t>
        </is>
      </c>
      <c r="E464" t="inlineStr">
        <is>
          <t>GOTLAND</t>
        </is>
      </c>
      <c r="G464" t="n">
        <v>4.8</v>
      </c>
      <c r="H464" t="n">
        <v>0</v>
      </c>
      <c r="I464" t="n">
        <v>0</v>
      </c>
      <c r="J464" t="n">
        <v>0</v>
      </c>
      <c r="K464" t="n">
        <v>0</v>
      </c>
      <c r="L464" t="n">
        <v>0</v>
      </c>
      <c r="M464" t="n">
        <v>0</v>
      </c>
      <c r="N464" t="n">
        <v>0</v>
      </c>
      <c r="O464" t="n">
        <v>0</v>
      </c>
      <c r="P464" t="n">
        <v>0</v>
      </c>
      <c r="Q464" t="n">
        <v>0</v>
      </c>
      <c r="R464" s="2" t="inlineStr"/>
    </row>
    <row r="465" ht="15" customHeight="1">
      <c r="A465" t="inlineStr">
        <is>
          <t>A 49724-2025</t>
        </is>
      </c>
      <c r="B465" s="1" t="n">
        <v>45939.83730324074</v>
      </c>
      <c r="C465" s="1" t="n">
        <v>46174</v>
      </c>
      <c r="D465" t="inlineStr">
        <is>
          <t>GOTLANDS LÄN</t>
        </is>
      </c>
      <c r="E465" t="inlineStr">
        <is>
          <t>GOTLAND</t>
        </is>
      </c>
      <c r="F465" t="inlineStr">
        <is>
          <t>Kyrkan</t>
        </is>
      </c>
      <c r="G465" t="n">
        <v>3.1</v>
      </c>
      <c r="H465" t="n">
        <v>0</v>
      </c>
      <c r="I465" t="n">
        <v>0</v>
      </c>
      <c r="J465" t="n">
        <v>0</v>
      </c>
      <c r="K465" t="n">
        <v>0</v>
      </c>
      <c r="L465" t="n">
        <v>0</v>
      </c>
      <c r="M465" t="n">
        <v>0</v>
      </c>
      <c r="N465" t="n">
        <v>0</v>
      </c>
      <c r="O465" t="n">
        <v>0</v>
      </c>
      <c r="P465" t="n">
        <v>0</v>
      </c>
      <c r="Q465" t="n">
        <v>0</v>
      </c>
      <c r="R465" s="2" t="inlineStr"/>
    </row>
    <row r="466" ht="15" customHeight="1">
      <c r="A466" t="inlineStr">
        <is>
          <t>A 49730-2025</t>
        </is>
      </c>
      <c r="B466" s="1" t="n">
        <v>45939.87613425926</v>
      </c>
      <c r="C466" s="1" t="n">
        <v>46174</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58211-2024</t>
        </is>
      </c>
      <c r="B467" s="1" t="n">
        <v>45632.49292824074</v>
      </c>
      <c r="C467" s="1" t="n">
        <v>46174</v>
      </c>
      <c r="D467" t="inlineStr">
        <is>
          <t>GOTLANDS LÄN</t>
        </is>
      </c>
      <c r="E467" t="inlineStr">
        <is>
          <t>GOTLAND</t>
        </is>
      </c>
      <c r="G467" t="n">
        <v>5.4</v>
      </c>
      <c r="H467" t="n">
        <v>0</v>
      </c>
      <c r="I467" t="n">
        <v>0</v>
      </c>
      <c r="J467" t="n">
        <v>0</v>
      </c>
      <c r="K467" t="n">
        <v>0</v>
      </c>
      <c r="L467" t="n">
        <v>0</v>
      </c>
      <c r="M467" t="n">
        <v>0</v>
      </c>
      <c r="N467" t="n">
        <v>0</v>
      </c>
      <c r="O467" t="n">
        <v>0</v>
      </c>
      <c r="P467" t="n">
        <v>0</v>
      </c>
      <c r="Q467" t="n">
        <v>0</v>
      </c>
      <c r="R467" s="2" t="inlineStr"/>
    </row>
    <row r="468" ht="15" customHeight="1">
      <c r="A468" t="inlineStr">
        <is>
          <t>A 34407-2023</t>
        </is>
      </c>
      <c r="B468" s="1" t="n">
        <v>45132</v>
      </c>
      <c r="C468" s="1" t="n">
        <v>46174</v>
      </c>
      <c r="D468" t="inlineStr">
        <is>
          <t>GOTLANDS LÄN</t>
        </is>
      </c>
      <c r="E468" t="inlineStr">
        <is>
          <t>GOTLAND</t>
        </is>
      </c>
      <c r="G468" t="n">
        <v>4.4</v>
      </c>
      <c r="H468" t="n">
        <v>0</v>
      </c>
      <c r="I468" t="n">
        <v>0</v>
      </c>
      <c r="J468" t="n">
        <v>0</v>
      </c>
      <c r="K468" t="n">
        <v>0</v>
      </c>
      <c r="L468" t="n">
        <v>0</v>
      </c>
      <c r="M468" t="n">
        <v>0</v>
      </c>
      <c r="N468" t="n">
        <v>0</v>
      </c>
      <c r="O468" t="n">
        <v>0</v>
      </c>
      <c r="P468" t="n">
        <v>0</v>
      </c>
      <c r="Q468" t="n">
        <v>0</v>
      </c>
      <c r="R468" s="2" t="inlineStr"/>
    </row>
    <row r="469" ht="15" customHeight="1">
      <c r="A469" t="inlineStr">
        <is>
          <t>A 30892-2024</t>
        </is>
      </c>
      <c r="B469" s="1" t="n">
        <v>45491</v>
      </c>
      <c r="C469" s="1" t="n">
        <v>46174</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32958-2021</t>
        </is>
      </c>
      <c r="B470" s="1" t="n">
        <v>44376</v>
      </c>
      <c r="C470" s="1" t="n">
        <v>46174</v>
      </c>
      <c r="D470" t="inlineStr">
        <is>
          <t>GOTLANDS LÄN</t>
        </is>
      </c>
      <c r="E470" t="inlineStr">
        <is>
          <t>GOTLAND</t>
        </is>
      </c>
      <c r="G470" t="n">
        <v>2.2</v>
      </c>
      <c r="H470" t="n">
        <v>0</v>
      </c>
      <c r="I470" t="n">
        <v>0</v>
      </c>
      <c r="J470" t="n">
        <v>0</v>
      </c>
      <c r="K470" t="n">
        <v>0</v>
      </c>
      <c r="L470" t="n">
        <v>0</v>
      </c>
      <c r="M470" t="n">
        <v>0</v>
      </c>
      <c r="N470" t="n">
        <v>0</v>
      </c>
      <c r="O470" t="n">
        <v>0</v>
      </c>
      <c r="P470" t="n">
        <v>0</v>
      </c>
      <c r="Q470" t="n">
        <v>0</v>
      </c>
      <c r="R470" s="2" t="inlineStr"/>
    </row>
    <row r="471" ht="15" customHeight="1">
      <c r="A471" t="inlineStr">
        <is>
          <t>A 50421-2025</t>
        </is>
      </c>
      <c r="B471" s="1" t="n">
        <v>45944.66049768519</v>
      </c>
      <c r="C471" s="1" t="n">
        <v>46174</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11634-2024</t>
        </is>
      </c>
      <c r="B472" s="1" t="n">
        <v>45373</v>
      </c>
      <c r="C472" s="1" t="n">
        <v>46174</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50431-2025</t>
        </is>
      </c>
      <c r="B473" s="1" t="n">
        <v>45944.68453703704</v>
      </c>
      <c r="C473" s="1" t="n">
        <v>46174</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5884-2025</t>
        </is>
      </c>
      <c r="B474" s="1" t="n">
        <v>45695.37482638889</v>
      </c>
      <c r="C474" s="1" t="n">
        <v>46174</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5897-2025</t>
        </is>
      </c>
      <c r="B475" s="1" t="n">
        <v>45695.39273148148</v>
      </c>
      <c r="C475" s="1" t="n">
        <v>46174</v>
      </c>
      <c r="D475" t="inlineStr">
        <is>
          <t>GOTLANDS LÄN</t>
        </is>
      </c>
      <c r="E475" t="inlineStr">
        <is>
          <t>GOTLAND</t>
        </is>
      </c>
      <c r="G475" t="n">
        <v>3.7</v>
      </c>
      <c r="H475" t="n">
        <v>0</v>
      </c>
      <c r="I475" t="n">
        <v>0</v>
      </c>
      <c r="J475" t="n">
        <v>0</v>
      </c>
      <c r="K475" t="n">
        <v>0</v>
      </c>
      <c r="L475" t="n">
        <v>0</v>
      </c>
      <c r="M475" t="n">
        <v>0</v>
      </c>
      <c r="N475" t="n">
        <v>0</v>
      </c>
      <c r="O475" t="n">
        <v>0</v>
      </c>
      <c r="P475" t="n">
        <v>0</v>
      </c>
      <c r="Q475" t="n">
        <v>0</v>
      </c>
      <c r="R475" s="2" t="inlineStr"/>
    </row>
    <row r="476" ht="15" customHeight="1">
      <c r="A476" t="inlineStr">
        <is>
          <t>A 5909-2025</t>
        </is>
      </c>
      <c r="B476" s="1" t="n">
        <v>45695.40634259259</v>
      </c>
      <c r="C476" s="1" t="n">
        <v>46174</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7858-2025</t>
        </is>
      </c>
      <c r="B477" s="1" t="n">
        <v>45706.68633101852</v>
      </c>
      <c r="C477" s="1" t="n">
        <v>46174</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46545-2024</t>
        </is>
      </c>
      <c r="B478" s="1" t="n">
        <v>45582.65831018519</v>
      </c>
      <c r="C478" s="1" t="n">
        <v>46174</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999-2023</t>
        </is>
      </c>
      <c r="B479" s="1" t="n">
        <v>44935</v>
      </c>
      <c r="C479" s="1" t="n">
        <v>46174</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1364-2025</t>
        </is>
      </c>
      <c r="B480" s="1" t="n">
        <v>45667.63929398148</v>
      </c>
      <c r="C480" s="1" t="n">
        <v>46174</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2125-2025</t>
        </is>
      </c>
      <c r="B481" s="1" t="n">
        <v>45672.64940972222</v>
      </c>
      <c r="C481" s="1" t="n">
        <v>46174</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60086-2022</t>
        </is>
      </c>
      <c r="B482" s="1" t="n">
        <v>44909</v>
      </c>
      <c r="C482" s="1" t="n">
        <v>46174</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22704-2023</t>
        </is>
      </c>
      <c r="B483" s="1" t="n">
        <v>45071</v>
      </c>
      <c r="C483" s="1" t="n">
        <v>46174</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50928-2025</t>
        </is>
      </c>
      <c r="B484" s="1" t="n">
        <v>45946.67896990741</v>
      </c>
      <c r="C484" s="1" t="n">
        <v>46174</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14141-2024</t>
        </is>
      </c>
      <c r="B485" s="1" t="n">
        <v>45392.85193287037</v>
      </c>
      <c r="C485" s="1" t="n">
        <v>46174</v>
      </c>
      <c r="D485" t="inlineStr">
        <is>
          <t>GOTLANDS LÄN</t>
        </is>
      </c>
      <c r="E485" t="inlineStr">
        <is>
          <t>GOTLAND</t>
        </is>
      </c>
      <c r="G485" t="n">
        <v>5.3</v>
      </c>
      <c r="H485" t="n">
        <v>0</v>
      </c>
      <c r="I485" t="n">
        <v>0</v>
      </c>
      <c r="J485" t="n">
        <v>0</v>
      </c>
      <c r="K485" t="n">
        <v>0</v>
      </c>
      <c r="L485" t="n">
        <v>0</v>
      </c>
      <c r="M485" t="n">
        <v>0</v>
      </c>
      <c r="N485" t="n">
        <v>0</v>
      </c>
      <c r="O485" t="n">
        <v>0</v>
      </c>
      <c r="P485" t="n">
        <v>0</v>
      </c>
      <c r="Q485" t="n">
        <v>0</v>
      </c>
      <c r="R485" s="2" t="inlineStr"/>
    </row>
    <row r="486" ht="15" customHeight="1">
      <c r="A486" t="inlineStr">
        <is>
          <t>A 51262-2025</t>
        </is>
      </c>
      <c r="B486" s="1" t="n">
        <v>45949.49872685185</v>
      </c>
      <c r="C486" s="1" t="n">
        <v>46174</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12155-2023</t>
        </is>
      </c>
      <c r="B487" s="1" t="n">
        <v>44998.49106481481</v>
      </c>
      <c r="C487" s="1" t="n">
        <v>46174</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46174</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2774-2024</t>
        </is>
      </c>
      <c r="B489" s="1" t="n">
        <v>45314.62375</v>
      </c>
      <c r="C489" s="1" t="n">
        <v>46174</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9947-2024</t>
        </is>
      </c>
      <c r="B490" s="1" t="n">
        <v>45363</v>
      </c>
      <c r="C490" s="1" t="n">
        <v>46174</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42007-2023</t>
        </is>
      </c>
      <c r="B491" s="1" t="n">
        <v>45177</v>
      </c>
      <c r="C491" s="1" t="n">
        <v>46174</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52249-2025</t>
        </is>
      </c>
      <c r="B492" s="1" t="n">
        <v>45953.48637731482</v>
      </c>
      <c r="C492" s="1" t="n">
        <v>46174</v>
      </c>
      <c r="D492" t="inlineStr">
        <is>
          <t>GOTLANDS LÄN</t>
        </is>
      </c>
      <c r="E492" t="inlineStr">
        <is>
          <t>GOTLAND</t>
        </is>
      </c>
      <c r="F492" t="inlineStr">
        <is>
          <t>Övriga Aktiebolag</t>
        </is>
      </c>
      <c r="G492" t="n">
        <v>1</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46174</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12209-2024</t>
        </is>
      </c>
      <c r="B494" s="1" t="n">
        <v>45378</v>
      </c>
      <c r="C494" s="1" t="n">
        <v>46174</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12210-2024</t>
        </is>
      </c>
      <c r="B495" s="1" t="n">
        <v>45378</v>
      </c>
      <c r="C495" s="1" t="n">
        <v>46174</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52637-2025</t>
        </is>
      </c>
      <c r="B496" s="1" t="n">
        <v>45954.75099537037</v>
      </c>
      <c r="C496" s="1" t="n">
        <v>46174</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59986-2022</t>
        </is>
      </c>
      <c r="B497" s="1" t="n">
        <v>44909</v>
      </c>
      <c r="C497" s="1" t="n">
        <v>46174</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21651-2025</t>
        </is>
      </c>
      <c r="B498" s="1" t="n">
        <v>45783</v>
      </c>
      <c r="C498" s="1" t="n">
        <v>46174</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15083-2025</t>
        </is>
      </c>
      <c r="B499" s="1" t="n">
        <v>45743</v>
      </c>
      <c r="C499" s="1" t="n">
        <v>46174</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31802-2024</t>
        </is>
      </c>
      <c r="B500" s="1" t="n">
        <v>45509</v>
      </c>
      <c r="C500" s="1" t="n">
        <v>46174</v>
      </c>
      <c r="D500" t="inlineStr">
        <is>
          <t>GOTLANDS LÄN</t>
        </is>
      </c>
      <c r="E500" t="inlineStr">
        <is>
          <t>GOTLAND</t>
        </is>
      </c>
      <c r="G500" t="n">
        <v>2.8</v>
      </c>
      <c r="H500" t="n">
        <v>0</v>
      </c>
      <c r="I500" t="n">
        <v>0</v>
      </c>
      <c r="J500" t="n">
        <v>0</v>
      </c>
      <c r="K500" t="n">
        <v>0</v>
      </c>
      <c r="L500" t="n">
        <v>0</v>
      </c>
      <c r="M500" t="n">
        <v>0</v>
      </c>
      <c r="N500" t="n">
        <v>0</v>
      </c>
      <c r="O500" t="n">
        <v>0</v>
      </c>
      <c r="P500" t="n">
        <v>0</v>
      </c>
      <c r="Q500" t="n">
        <v>0</v>
      </c>
      <c r="R500" s="2" t="inlineStr"/>
    </row>
    <row r="501" ht="15" customHeight="1">
      <c r="A501" t="inlineStr">
        <is>
          <t>A 53577-2025</t>
        </is>
      </c>
      <c r="B501" s="1" t="n">
        <v>45960.42224537037</v>
      </c>
      <c r="C501" s="1" t="n">
        <v>46174</v>
      </c>
      <c r="D501" t="inlineStr">
        <is>
          <t>GOTLANDS LÄN</t>
        </is>
      </c>
      <c r="E501" t="inlineStr">
        <is>
          <t>GOTLAND</t>
        </is>
      </c>
      <c r="F501" t="inlineStr">
        <is>
          <t>Övriga Aktiebolag</t>
        </is>
      </c>
      <c r="G501" t="n">
        <v>3.3</v>
      </c>
      <c r="H501" t="n">
        <v>0</v>
      </c>
      <c r="I501" t="n">
        <v>0</v>
      </c>
      <c r="J501" t="n">
        <v>0</v>
      </c>
      <c r="K501" t="n">
        <v>0</v>
      </c>
      <c r="L501" t="n">
        <v>0</v>
      </c>
      <c r="M501" t="n">
        <v>0</v>
      </c>
      <c r="N501" t="n">
        <v>0</v>
      </c>
      <c r="O501" t="n">
        <v>0</v>
      </c>
      <c r="P501" t="n">
        <v>0</v>
      </c>
      <c r="Q501" t="n">
        <v>0</v>
      </c>
      <c r="R501" s="2" t="inlineStr"/>
    </row>
    <row r="502" ht="15" customHeight="1">
      <c r="A502" t="inlineStr">
        <is>
          <t>A 20993-2023</t>
        </is>
      </c>
      <c r="B502" s="1" t="n">
        <v>45056</v>
      </c>
      <c r="C502" s="1" t="n">
        <v>46174</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53569-2025</t>
        </is>
      </c>
      <c r="B503" s="1" t="n">
        <v>45960.41155092593</v>
      </c>
      <c r="C503" s="1" t="n">
        <v>46174</v>
      </c>
      <c r="D503" t="inlineStr">
        <is>
          <t>GOTLANDS LÄN</t>
        </is>
      </c>
      <c r="E503" t="inlineStr">
        <is>
          <t>GOTLAND</t>
        </is>
      </c>
      <c r="F503" t="inlineStr">
        <is>
          <t>Övriga Aktiebolag</t>
        </is>
      </c>
      <c r="G503" t="n">
        <v>11.3</v>
      </c>
      <c r="H503" t="n">
        <v>0</v>
      </c>
      <c r="I503" t="n">
        <v>0</v>
      </c>
      <c r="J503" t="n">
        <v>0</v>
      </c>
      <c r="K503" t="n">
        <v>0</v>
      </c>
      <c r="L503" t="n">
        <v>0</v>
      </c>
      <c r="M503" t="n">
        <v>0</v>
      </c>
      <c r="N503" t="n">
        <v>0</v>
      </c>
      <c r="O503" t="n">
        <v>0</v>
      </c>
      <c r="P503" t="n">
        <v>0</v>
      </c>
      <c r="Q503" t="n">
        <v>0</v>
      </c>
      <c r="R503" s="2" t="inlineStr"/>
    </row>
    <row r="504" ht="15" customHeight="1">
      <c r="A504" t="inlineStr">
        <is>
          <t>A 15042-2025</t>
        </is>
      </c>
      <c r="B504" s="1" t="n">
        <v>45743</v>
      </c>
      <c r="C504" s="1" t="n">
        <v>46174</v>
      </c>
      <c r="D504" t="inlineStr">
        <is>
          <t>GOTLANDS LÄN</t>
        </is>
      </c>
      <c r="E504" t="inlineStr">
        <is>
          <t>GOTLAND</t>
        </is>
      </c>
      <c r="G504" t="n">
        <v>8.5</v>
      </c>
      <c r="H504" t="n">
        <v>0</v>
      </c>
      <c r="I504" t="n">
        <v>0</v>
      </c>
      <c r="J504" t="n">
        <v>0</v>
      </c>
      <c r="K504" t="n">
        <v>0</v>
      </c>
      <c r="L504" t="n">
        <v>0</v>
      </c>
      <c r="M504" t="n">
        <v>0</v>
      </c>
      <c r="N504" t="n">
        <v>0</v>
      </c>
      <c r="O504" t="n">
        <v>0</v>
      </c>
      <c r="P504" t="n">
        <v>0</v>
      </c>
      <c r="Q504" t="n">
        <v>0</v>
      </c>
      <c r="R504" s="2" t="inlineStr"/>
    </row>
    <row r="505" ht="15" customHeight="1">
      <c r="A505" t="inlineStr">
        <is>
          <t>A 12327-2025</t>
        </is>
      </c>
      <c r="B505" s="1" t="n">
        <v>45730</v>
      </c>
      <c r="C505" s="1" t="n">
        <v>46174</v>
      </c>
      <c r="D505" t="inlineStr">
        <is>
          <t>GOTLANDS LÄN</t>
        </is>
      </c>
      <c r="E505" t="inlineStr">
        <is>
          <t>GOTLAND</t>
        </is>
      </c>
      <c r="G505" t="n">
        <v>1.8</v>
      </c>
      <c r="H505" t="n">
        <v>0</v>
      </c>
      <c r="I505" t="n">
        <v>0</v>
      </c>
      <c r="J505" t="n">
        <v>0</v>
      </c>
      <c r="K505" t="n">
        <v>0</v>
      </c>
      <c r="L505" t="n">
        <v>0</v>
      </c>
      <c r="M505" t="n">
        <v>0</v>
      </c>
      <c r="N505" t="n">
        <v>0</v>
      </c>
      <c r="O505" t="n">
        <v>0</v>
      </c>
      <c r="P505" t="n">
        <v>0</v>
      </c>
      <c r="Q505" t="n">
        <v>0</v>
      </c>
      <c r="R505" s="2" t="inlineStr"/>
    </row>
    <row r="506" ht="15" customHeight="1">
      <c r="A506" t="inlineStr">
        <is>
          <t>A 4420-2025</t>
        </is>
      </c>
      <c r="B506" s="1" t="n">
        <v>45686.47157407407</v>
      </c>
      <c r="C506" s="1" t="n">
        <v>46174</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1066-2024</t>
        </is>
      </c>
      <c r="B507" s="1" t="n">
        <v>45302.285</v>
      </c>
      <c r="C507" s="1" t="n">
        <v>46174</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14427-2024</t>
        </is>
      </c>
      <c r="B508" s="1" t="n">
        <v>45394</v>
      </c>
      <c r="C508" s="1" t="n">
        <v>46174</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37202-2024</t>
        </is>
      </c>
      <c r="B509" s="1" t="n">
        <v>45539.67310185185</v>
      </c>
      <c r="C509" s="1" t="n">
        <v>46174</v>
      </c>
      <c r="D509" t="inlineStr">
        <is>
          <t>GOTLANDS LÄN</t>
        </is>
      </c>
      <c r="E509" t="inlineStr">
        <is>
          <t>GOTLAND</t>
        </is>
      </c>
      <c r="G509" t="n">
        <v>0.3</v>
      </c>
      <c r="H509" t="n">
        <v>0</v>
      </c>
      <c r="I509" t="n">
        <v>0</v>
      </c>
      <c r="J509" t="n">
        <v>0</v>
      </c>
      <c r="K509" t="n">
        <v>0</v>
      </c>
      <c r="L509" t="n">
        <v>0</v>
      </c>
      <c r="M509" t="n">
        <v>0</v>
      </c>
      <c r="N509" t="n">
        <v>0</v>
      </c>
      <c r="O509" t="n">
        <v>0</v>
      </c>
      <c r="P509" t="n">
        <v>0</v>
      </c>
      <c r="Q509" t="n">
        <v>0</v>
      </c>
      <c r="R509" s="2" t="inlineStr"/>
    </row>
    <row r="510" ht="15" customHeight="1">
      <c r="A510" t="inlineStr">
        <is>
          <t>A 30815-2023</t>
        </is>
      </c>
      <c r="B510" s="1" t="n">
        <v>45112</v>
      </c>
      <c r="C510" s="1" t="n">
        <v>46174</v>
      </c>
      <c r="D510" t="inlineStr">
        <is>
          <t>GOTLANDS LÄN</t>
        </is>
      </c>
      <c r="E510" t="inlineStr">
        <is>
          <t>GOTLAND</t>
        </is>
      </c>
      <c r="G510" t="n">
        <v>6</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46174</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49257-2024</t>
        </is>
      </c>
      <c r="B512" s="1" t="n">
        <v>45595.47627314815</v>
      </c>
      <c r="C512" s="1" t="n">
        <v>46174</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10492-2023</t>
        </is>
      </c>
      <c r="B513" s="1" t="n">
        <v>44987</v>
      </c>
      <c r="C513" s="1" t="n">
        <v>46174</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49315-2024</t>
        </is>
      </c>
      <c r="B514" s="1" t="n">
        <v>45595</v>
      </c>
      <c r="C514" s="1" t="n">
        <v>46174</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46174</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16501-2023</t>
        </is>
      </c>
      <c r="B516" s="1" t="n">
        <v>45029</v>
      </c>
      <c r="C516" s="1" t="n">
        <v>46174</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27596-2023</t>
        </is>
      </c>
      <c r="B517" s="1" t="n">
        <v>45097</v>
      </c>
      <c r="C517" s="1" t="n">
        <v>46174</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56115-2023</t>
        </is>
      </c>
      <c r="B518" s="1" t="n">
        <v>45236</v>
      </c>
      <c r="C518" s="1" t="n">
        <v>46174</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46174</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56688-2025</t>
        </is>
      </c>
      <c r="B520" s="1" t="n">
        <v>45975.84331018518</v>
      </c>
      <c r="C520" s="1" t="n">
        <v>46174</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33853-2024</t>
        </is>
      </c>
      <c r="B521" s="1" t="n">
        <v>45520.64298611111</v>
      </c>
      <c r="C521" s="1" t="n">
        <v>46174</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56799-2025</t>
        </is>
      </c>
      <c r="B522" s="1" t="n">
        <v>45978.43392361111</v>
      </c>
      <c r="C522" s="1" t="n">
        <v>46174</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18223-2025</t>
        </is>
      </c>
      <c r="B523" s="1" t="n">
        <v>45761</v>
      </c>
      <c r="C523" s="1" t="n">
        <v>46174</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21420-2024</t>
        </is>
      </c>
      <c r="B524" s="1" t="n">
        <v>45441.38293981482</v>
      </c>
      <c r="C524" s="1" t="n">
        <v>46174</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46949-2024</t>
        </is>
      </c>
      <c r="B525" s="1" t="n">
        <v>45585</v>
      </c>
      <c r="C525" s="1" t="n">
        <v>46174</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10656-2024</t>
        </is>
      </c>
      <c r="B526" s="1" t="n">
        <v>45368</v>
      </c>
      <c r="C526" s="1" t="n">
        <v>46174</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57356-2023</t>
        </is>
      </c>
      <c r="B527" s="1" t="n">
        <v>45240</v>
      </c>
      <c r="C527" s="1" t="n">
        <v>46174</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18804-2026</t>
        </is>
      </c>
      <c r="B528" s="1" t="n">
        <v>46128.62366898148</v>
      </c>
      <c r="C528" s="1" t="n">
        <v>46174</v>
      </c>
      <c r="D528" t="inlineStr">
        <is>
          <t>GOTLANDS LÄN</t>
        </is>
      </c>
      <c r="E528" t="inlineStr">
        <is>
          <t>GOTLAND</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28506-2023</t>
        </is>
      </c>
      <c r="B529" s="1" t="n">
        <v>45103</v>
      </c>
      <c r="C529" s="1" t="n">
        <v>46174</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4639-2026</t>
        </is>
      </c>
      <c r="B530" s="1" t="n">
        <v>46048.39880787037</v>
      </c>
      <c r="C530" s="1" t="n">
        <v>46174</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7625-2026</t>
        </is>
      </c>
      <c r="B531" s="1" t="n">
        <v>46062.35135416667</v>
      </c>
      <c r="C531" s="1" t="n">
        <v>46174</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24448-2026</t>
        </is>
      </c>
      <c r="B532" s="1" t="n">
        <v>46170.35354166666</v>
      </c>
      <c r="C532" s="1" t="n">
        <v>46174</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46174</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23188-2025</t>
        </is>
      </c>
      <c r="B534" s="1" t="n">
        <v>45791</v>
      </c>
      <c r="C534" s="1" t="n">
        <v>46174</v>
      </c>
      <c r="D534" t="inlineStr">
        <is>
          <t>GOTLANDS LÄN</t>
        </is>
      </c>
      <c r="E534" t="inlineStr">
        <is>
          <t>GOTLAND</t>
        </is>
      </c>
      <c r="G534" t="n">
        <v>6.2</v>
      </c>
      <c r="H534" t="n">
        <v>0</v>
      </c>
      <c r="I534" t="n">
        <v>0</v>
      </c>
      <c r="J534" t="n">
        <v>0</v>
      </c>
      <c r="K534" t="n">
        <v>0</v>
      </c>
      <c r="L534" t="n">
        <v>0</v>
      </c>
      <c r="M534" t="n">
        <v>0</v>
      </c>
      <c r="N534" t="n">
        <v>0</v>
      </c>
      <c r="O534" t="n">
        <v>0</v>
      </c>
      <c r="P534" t="n">
        <v>0</v>
      </c>
      <c r="Q534" t="n">
        <v>0</v>
      </c>
      <c r="R534" s="2" t="inlineStr"/>
    </row>
    <row r="535" ht="15" customHeight="1">
      <c r="A535" t="inlineStr">
        <is>
          <t>A 19322-2026</t>
        </is>
      </c>
      <c r="B535" s="1" t="n">
        <v>46129</v>
      </c>
      <c r="C535" s="1" t="n">
        <v>46174</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23856-2025</t>
        </is>
      </c>
      <c r="B536" s="1" t="n">
        <v>45793</v>
      </c>
      <c r="C536" s="1" t="n">
        <v>46174</v>
      </c>
      <c r="D536" t="inlineStr">
        <is>
          <t>GOTLANDS LÄN</t>
        </is>
      </c>
      <c r="E536" t="inlineStr">
        <is>
          <t>GOTLAND</t>
        </is>
      </c>
      <c r="G536" t="n">
        <v>4.4</v>
      </c>
      <c r="H536" t="n">
        <v>0</v>
      </c>
      <c r="I536" t="n">
        <v>0</v>
      </c>
      <c r="J536" t="n">
        <v>0</v>
      </c>
      <c r="K536" t="n">
        <v>0</v>
      </c>
      <c r="L536" t="n">
        <v>0</v>
      </c>
      <c r="M536" t="n">
        <v>0</v>
      </c>
      <c r="N536" t="n">
        <v>0</v>
      </c>
      <c r="O536" t="n">
        <v>0</v>
      </c>
      <c r="P536" t="n">
        <v>0</v>
      </c>
      <c r="Q536" t="n">
        <v>0</v>
      </c>
      <c r="R536" s="2" t="inlineStr"/>
    </row>
    <row r="537" ht="15" customHeight="1">
      <c r="A537" t="inlineStr">
        <is>
          <t>A 23473-2025</t>
        </is>
      </c>
      <c r="B537" s="1" t="n">
        <v>45792</v>
      </c>
      <c r="C537" s="1" t="n">
        <v>46174</v>
      </c>
      <c r="D537" t="inlineStr">
        <is>
          <t>GOTLANDS LÄN</t>
        </is>
      </c>
      <c r="E537" t="inlineStr">
        <is>
          <t>GOTLAND</t>
        </is>
      </c>
      <c r="G537" t="n">
        <v>3.6</v>
      </c>
      <c r="H537" t="n">
        <v>0</v>
      </c>
      <c r="I537" t="n">
        <v>0</v>
      </c>
      <c r="J537" t="n">
        <v>0</v>
      </c>
      <c r="K537" t="n">
        <v>0</v>
      </c>
      <c r="L537" t="n">
        <v>0</v>
      </c>
      <c r="M537" t="n">
        <v>0</v>
      </c>
      <c r="N537" t="n">
        <v>0</v>
      </c>
      <c r="O537" t="n">
        <v>0</v>
      </c>
      <c r="P537" t="n">
        <v>0</v>
      </c>
      <c r="Q537" t="n">
        <v>0</v>
      </c>
      <c r="R537" s="2" t="inlineStr"/>
    </row>
    <row r="538" ht="15" customHeight="1">
      <c r="A538" t="inlineStr">
        <is>
          <t>A 23698-2025</t>
        </is>
      </c>
      <c r="B538" s="1" t="n">
        <v>45793</v>
      </c>
      <c r="C538" s="1" t="n">
        <v>46174</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15073-2025</t>
        </is>
      </c>
      <c r="B539" s="1" t="n">
        <v>45743</v>
      </c>
      <c r="C539" s="1" t="n">
        <v>46174</v>
      </c>
      <c r="D539" t="inlineStr">
        <is>
          <t>GOTLANDS LÄN</t>
        </is>
      </c>
      <c r="E539" t="inlineStr">
        <is>
          <t>GOTLAND</t>
        </is>
      </c>
      <c r="G539" t="n">
        <v>12.1</v>
      </c>
      <c r="H539" t="n">
        <v>0</v>
      </c>
      <c r="I539" t="n">
        <v>0</v>
      </c>
      <c r="J539" t="n">
        <v>0</v>
      </c>
      <c r="K539" t="n">
        <v>0</v>
      </c>
      <c r="L539" t="n">
        <v>0</v>
      </c>
      <c r="M539" t="n">
        <v>0</v>
      </c>
      <c r="N539" t="n">
        <v>0</v>
      </c>
      <c r="O539" t="n">
        <v>0</v>
      </c>
      <c r="P539" t="n">
        <v>0</v>
      </c>
      <c r="Q539" t="n">
        <v>0</v>
      </c>
      <c r="R539" s="2" t="inlineStr"/>
    </row>
    <row r="540" ht="15" customHeight="1">
      <c r="A540" t="inlineStr">
        <is>
          <t>A 59197-2025</t>
        </is>
      </c>
      <c r="B540" s="1" t="n">
        <v>45988.59846064815</v>
      </c>
      <c r="C540" s="1" t="n">
        <v>46174</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36319-2025</t>
        </is>
      </c>
      <c r="B541" s="1" t="n">
        <v>45868</v>
      </c>
      <c r="C541" s="1" t="n">
        <v>46174</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6749-2025</t>
        </is>
      </c>
      <c r="B542" s="1" t="n">
        <v>45700</v>
      </c>
      <c r="C542" s="1" t="n">
        <v>46174</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46174</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25796-2025</t>
        </is>
      </c>
      <c r="B544" s="1" t="n">
        <v>45804.39543981481</v>
      </c>
      <c r="C544" s="1" t="n">
        <v>46174</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62066-2025</t>
        </is>
      </c>
      <c r="B545" s="1" t="n">
        <v>46006.34738425926</v>
      </c>
      <c r="C545" s="1" t="n">
        <v>46174</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62103-2025</t>
        </is>
      </c>
      <c r="B546" s="1" t="n">
        <v>46006</v>
      </c>
      <c r="C546" s="1" t="n">
        <v>46174</v>
      </c>
      <c r="D546" t="inlineStr">
        <is>
          <t>GOTLANDS LÄN</t>
        </is>
      </c>
      <c r="E546" t="inlineStr">
        <is>
          <t>GOTLAND</t>
        </is>
      </c>
      <c r="F546" t="inlineStr">
        <is>
          <t>Övriga Aktiebolag</t>
        </is>
      </c>
      <c r="G546" t="n">
        <v>1.7</v>
      </c>
      <c r="H546" t="n">
        <v>0</v>
      </c>
      <c r="I546" t="n">
        <v>0</v>
      </c>
      <c r="J546" t="n">
        <v>0</v>
      </c>
      <c r="K546" t="n">
        <v>0</v>
      </c>
      <c r="L546" t="n">
        <v>0</v>
      </c>
      <c r="M546" t="n">
        <v>0</v>
      </c>
      <c r="N546" t="n">
        <v>0</v>
      </c>
      <c r="O546" t="n">
        <v>0</v>
      </c>
      <c r="P546" t="n">
        <v>0</v>
      </c>
      <c r="Q546" t="n">
        <v>0</v>
      </c>
      <c r="R546" s="2" t="inlineStr"/>
    </row>
    <row r="547" ht="15" customHeight="1">
      <c r="A547" t="inlineStr">
        <is>
          <t>A 63002-2025</t>
        </is>
      </c>
      <c r="B547" s="1" t="n">
        <v>46009.56564814815</v>
      </c>
      <c r="C547" s="1" t="n">
        <v>46174</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26465-2025</t>
        </is>
      </c>
      <c r="B548" s="1" t="n">
        <v>45807.44377314814</v>
      </c>
      <c r="C548" s="1" t="n">
        <v>46174</v>
      </c>
      <c r="D548" t="inlineStr">
        <is>
          <t>GOTLANDS LÄN</t>
        </is>
      </c>
      <c r="E548" t="inlineStr">
        <is>
          <t>GOTLAND</t>
        </is>
      </c>
      <c r="G548" t="n">
        <v>4.5</v>
      </c>
      <c r="H548" t="n">
        <v>0</v>
      </c>
      <c r="I548" t="n">
        <v>0</v>
      </c>
      <c r="J548" t="n">
        <v>0</v>
      </c>
      <c r="K548" t="n">
        <v>0</v>
      </c>
      <c r="L548" t="n">
        <v>0</v>
      </c>
      <c r="M548" t="n">
        <v>0</v>
      </c>
      <c r="N548" t="n">
        <v>0</v>
      </c>
      <c r="O548" t="n">
        <v>0</v>
      </c>
      <c r="P548" t="n">
        <v>0</v>
      </c>
      <c r="Q548" t="n">
        <v>0</v>
      </c>
      <c r="R548" s="2" t="inlineStr"/>
    </row>
    <row r="549" ht="15" customHeight="1">
      <c r="A549" t="inlineStr">
        <is>
          <t>A 26457-2025</t>
        </is>
      </c>
      <c r="B549" s="1" t="n">
        <v>45807.42773148148</v>
      </c>
      <c r="C549" s="1" t="n">
        <v>46174</v>
      </c>
      <c r="D549" t="inlineStr">
        <is>
          <t>GOTLANDS LÄN</t>
        </is>
      </c>
      <c r="E549" t="inlineStr">
        <is>
          <t>GOTLAND</t>
        </is>
      </c>
      <c r="G549" t="n">
        <v>5.7</v>
      </c>
      <c r="H549" t="n">
        <v>0</v>
      </c>
      <c r="I549" t="n">
        <v>0</v>
      </c>
      <c r="J549" t="n">
        <v>0</v>
      </c>
      <c r="K549" t="n">
        <v>0</v>
      </c>
      <c r="L549" t="n">
        <v>0</v>
      </c>
      <c r="M549" t="n">
        <v>0</v>
      </c>
      <c r="N549" t="n">
        <v>0</v>
      </c>
      <c r="O549" t="n">
        <v>0</v>
      </c>
      <c r="P549" t="n">
        <v>0</v>
      </c>
      <c r="Q549" t="n">
        <v>0</v>
      </c>
      <c r="R549" s="2" t="inlineStr"/>
    </row>
    <row r="550" ht="15" customHeight="1">
      <c r="A550" t="inlineStr">
        <is>
          <t>A 26467-2025</t>
        </is>
      </c>
      <c r="B550" s="1" t="n">
        <v>45807.44640046296</v>
      </c>
      <c r="C550" s="1" t="n">
        <v>46174</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26660-2025</t>
        </is>
      </c>
      <c r="B551" s="1" t="n">
        <v>45810.39737268518</v>
      </c>
      <c r="C551" s="1" t="n">
        <v>46174</v>
      </c>
      <c r="D551" t="inlineStr">
        <is>
          <t>GOTLANDS LÄN</t>
        </is>
      </c>
      <c r="E551" t="inlineStr">
        <is>
          <t>GOTLAND</t>
        </is>
      </c>
      <c r="G551" t="n">
        <v>1.8</v>
      </c>
      <c r="H551" t="n">
        <v>0</v>
      </c>
      <c r="I551" t="n">
        <v>0</v>
      </c>
      <c r="J551" t="n">
        <v>0</v>
      </c>
      <c r="K551" t="n">
        <v>0</v>
      </c>
      <c r="L551" t="n">
        <v>0</v>
      </c>
      <c r="M551" t="n">
        <v>0</v>
      </c>
      <c r="N551" t="n">
        <v>0</v>
      </c>
      <c r="O551" t="n">
        <v>0</v>
      </c>
      <c r="P551" t="n">
        <v>0</v>
      </c>
      <c r="Q551" t="n">
        <v>0</v>
      </c>
      <c r="R551" s="2" t="inlineStr"/>
    </row>
    <row r="552" ht="15" customHeight="1">
      <c r="A552" t="inlineStr">
        <is>
          <t>A 38649-2025</t>
        </is>
      </c>
      <c r="B552" s="1" t="n">
        <v>45884</v>
      </c>
      <c r="C552" s="1" t="n">
        <v>46174</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27355-2025</t>
        </is>
      </c>
      <c r="B553" s="1" t="n">
        <v>45812</v>
      </c>
      <c r="C553" s="1" t="n">
        <v>46174</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27371-2025</t>
        </is>
      </c>
      <c r="B554" s="1" t="n">
        <v>45812</v>
      </c>
      <c r="C554" s="1" t="n">
        <v>46174</v>
      </c>
      <c r="D554" t="inlineStr">
        <is>
          <t>GOTLANDS LÄN</t>
        </is>
      </c>
      <c r="E554" t="inlineStr">
        <is>
          <t>GOTLAND</t>
        </is>
      </c>
      <c r="G554" t="n">
        <v>8</v>
      </c>
      <c r="H554" t="n">
        <v>0</v>
      </c>
      <c r="I554" t="n">
        <v>0</v>
      </c>
      <c r="J554" t="n">
        <v>0</v>
      </c>
      <c r="K554" t="n">
        <v>0</v>
      </c>
      <c r="L554" t="n">
        <v>0</v>
      </c>
      <c r="M554" t="n">
        <v>0</v>
      </c>
      <c r="N554" t="n">
        <v>0</v>
      </c>
      <c r="O554" t="n">
        <v>0</v>
      </c>
      <c r="P554" t="n">
        <v>0</v>
      </c>
      <c r="Q554" t="n">
        <v>0</v>
      </c>
      <c r="R554" s="2" t="inlineStr"/>
    </row>
    <row r="555" ht="15" customHeight="1">
      <c r="A555" t="inlineStr">
        <is>
          <t>A 61078-2025</t>
        </is>
      </c>
      <c r="B555" s="1" t="n">
        <v>46000</v>
      </c>
      <c r="C555" s="1" t="n">
        <v>46174</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36-2026</t>
        </is>
      </c>
      <c r="B556" s="1" t="n">
        <v>46024.38886574074</v>
      </c>
      <c r="C556" s="1" t="n">
        <v>46174</v>
      </c>
      <c r="D556" t="inlineStr">
        <is>
          <t>GOTLANDS LÄN</t>
        </is>
      </c>
      <c r="E556" t="inlineStr">
        <is>
          <t>GOTLAND</t>
        </is>
      </c>
      <c r="G556" t="n">
        <v>1</v>
      </c>
      <c r="H556" t="n">
        <v>0</v>
      </c>
      <c r="I556" t="n">
        <v>0</v>
      </c>
      <c r="J556" t="n">
        <v>0</v>
      </c>
      <c r="K556" t="n">
        <v>0</v>
      </c>
      <c r="L556" t="n">
        <v>0</v>
      </c>
      <c r="M556" t="n">
        <v>0</v>
      </c>
      <c r="N556" t="n">
        <v>0</v>
      </c>
      <c r="O556" t="n">
        <v>0</v>
      </c>
      <c r="P556" t="n">
        <v>0</v>
      </c>
      <c r="Q556" t="n">
        <v>0</v>
      </c>
      <c r="R556" s="2" t="inlineStr"/>
    </row>
    <row r="557" ht="15" customHeight="1">
      <c r="A557" t="inlineStr">
        <is>
          <t>A 7850-2025</t>
        </is>
      </c>
      <c r="B557" s="1" t="n">
        <v>45706</v>
      </c>
      <c r="C557" s="1" t="n">
        <v>46174</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1355-2026</t>
        </is>
      </c>
      <c r="B558" s="1" t="n">
        <v>46031.59909722222</v>
      </c>
      <c r="C558" s="1" t="n">
        <v>46174</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8444-2025</t>
        </is>
      </c>
      <c r="B559" s="1" t="n">
        <v>45709</v>
      </c>
      <c r="C559" s="1" t="n">
        <v>46174</v>
      </c>
      <c r="D559" t="inlineStr">
        <is>
          <t>GOTLANDS LÄN</t>
        </is>
      </c>
      <c r="E559" t="inlineStr">
        <is>
          <t>GOTLAND</t>
        </is>
      </c>
      <c r="G559" t="n">
        <v>5.2</v>
      </c>
      <c r="H559" t="n">
        <v>0</v>
      </c>
      <c r="I559" t="n">
        <v>0</v>
      </c>
      <c r="J559" t="n">
        <v>0</v>
      </c>
      <c r="K559" t="n">
        <v>0</v>
      </c>
      <c r="L559" t="n">
        <v>0</v>
      </c>
      <c r="M559" t="n">
        <v>0</v>
      </c>
      <c r="N559" t="n">
        <v>0</v>
      </c>
      <c r="O559" t="n">
        <v>0</v>
      </c>
      <c r="P559" t="n">
        <v>0</v>
      </c>
      <c r="Q559" t="n">
        <v>0</v>
      </c>
      <c r="R559" s="2" t="inlineStr"/>
    </row>
    <row r="560" ht="15" customHeight="1">
      <c r="A560" t="inlineStr">
        <is>
          <t>A 19905-2025</t>
        </is>
      </c>
      <c r="B560" s="1" t="n">
        <v>45771</v>
      </c>
      <c r="C560" s="1" t="n">
        <v>46174</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1898-2026</t>
        </is>
      </c>
      <c r="B561" s="1" t="n">
        <v>46035.52024305556</v>
      </c>
      <c r="C561" s="1" t="n">
        <v>46174</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29207-2025</t>
        </is>
      </c>
      <c r="B562" s="1" t="n">
        <v>45823</v>
      </c>
      <c r="C562" s="1" t="n">
        <v>46174</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2415-2026</t>
        </is>
      </c>
      <c r="B563" s="1" t="n">
        <v>46036.76203703704</v>
      </c>
      <c r="C563" s="1" t="n">
        <v>46174</v>
      </c>
      <c r="D563" t="inlineStr">
        <is>
          <t>GOTLANDS LÄN</t>
        </is>
      </c>
      <c r="E563" t="inlineStr">
        <is>
          <t>GOTLAND</t>
        </is>
      </c>
      <c r="G563" t="n">
        <v>6.9</v>
      </c>
      <c r="H563" t="n">
        <v>0</v>
      </c>
      <c r="I563" t="n">
        <v>0</v>
      </c>
      <c r="J563" t="n">
        <v>0</v>
      </c>
      <c r="K563" t="n">
        <v>0</v>
      </c>
      <c r="L563" t="n">
        <v>0</v>
      </c>
      <c r="M563" t="n">
        <v>0</v>
      </c>
      <c r="N563" t="n">
        <v>0</v>
      </c>
      <c r="O563" t="n">
        <v>0</v>
      </c>
      <c r="P563" t="n">
        <v>0</v>
      </c>
      <c r="Q563" t="n">
        <v>0</v>
      </c>
      <c r="R563" s="2" t="inlineStr"/>
    </row>
    <row r="564" ht="15" customHeight="1">
      <c r="A564" t="inlineStr">
        <is>
          <t>A 29196-2025</t>
        </is>
      </c>
      <c r="B564" s="1" t="n">
        <v>45822</v>
      </c>
      <c r="C564" s="1" t="n">
        <v>46174</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3253-2026</t>
        </is>
      </c>
      <c r="B565" s="1" t="n">
        <v>46041.58902777778</v>
      </c>
      <c r="C565" s="1" t="n">
        <v>46174</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30061-2025</t>
        </is>
      </c>
      <c r="B566" s="1" t="n">
        <v>45826.61488425926</v>
      </c>
      <c r="C566" s="1" t="n">
        <v>46174</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58160-2024</t>
        </is>
      </c>
      <c r="B567" s="1" t="n">
        <v>45632.44927083333</v>
      </c>
      <c r="C567" s="1" t="n">
        <v>46174</v>
      </c>
      <c r="D567" t="inlineStr">
        <is>
          <t>GOTLANDS LÄN</t>
        </is>
      </c>
      <c r="E567" t="inlineStr">
        <is>
          <t>GOTLAND</t>
        </is>
      </c>
      <c r="G567" t="n">
        <v>5.6</v>
      </c>
      <c r="H567" t="n">
        <v>0</v>
      </c>
      <c r="I567" t="n">
        <v>0</v>
      </c>
      <c r="J567" t="n">
        <v>0</v>
      </c>
      <c r="K567" t="n">
        <v>0</v>
      </c>
      <c r="L567" t="n">
        <v>0</v>
      </c>
      <c r="M567" t="n">
        <v>0</v>
      </c>
      <c r="N567" t="n">
        <v>0</v>
      </c>
      <c r="O567" t="n">
        <v>0</v>
      </c>
      <c r="P567" t="n">
        <v>0</v>
      </c>
      <c r="Q567" t="n">
        <v>0</v>
      </c>
      <c r="R567" s="2" t="inlineStr"/>
    </row>
    <row r="568" ht="15" customHeight="1">
      <c r="A568" t="inlineStr">
        <is>
          <t>A 1839-2026</t>
        </is>
      </c>
      <c r="B568" s="1" t="n">
        <v>46035.3942824074</v>
      </c>
      <c r="C568" s="1" t="n">
        <v>46174</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4646-2026</t>
        </is>
      </c>
      <c r="B569" s="1" t="n">
        <v>46048.40357638889</v>
      </c>
      <c r="C569" s="1" t="n">
        <v>46174</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4634-2026</t>
        </is>
      </c>
      <c r="B570" s="1" t="n">
        <v>46048.39304398148</v>
      </c>
      <c r="C570" s="1" t="n">
        <v>46174</v>
      </c>
      <c r="D570" t="inlineStr">
        <is>
          <t>GOTLANDS LÄN</t>
        </is>
      </c>
      <c r="E570" t="inlineStr">
        <is>
          <t>GOTLAND</t>
        </is>
      </c>
      <c r="G570" t="n">
        <v>7.8</v>
      </c>
      <c r="H570" t="n">
        <v>0</v>
      </c>
      <c r="I570" t="n">
        <v>0</v>
      </c>
      <c r="J570" t="n">
        <v>0</v>
      </c>
      <c r="K570" t="n">
        <v>0</v>
      </c>
      <c r="L570" t="n">
        <v>0</v>
      </c>
      <c r="M570" t="n">
        <v>0</v>
      </c>
      <c r="N570" t="n">
        <v>0</v>
      </c>
      <c r="O570" t="n">
        <v>0</v>
      </c>
      <c r="P570" t="n">
        <v>0</v>
      </c>
      <c r="Q570" t="n">
        <v>0</v>
      </c>
      <c r="R570" s="2" t="inlineStr"/>
    </row>
    <row r="571" ht="15" customHeight="1">
      <c r="A571" t="inlineStr">
        <is>
          <t>A 4670-2026</t>
        </is>
      </c>
      <c r="B571" s="1" t="n">
        <v>46048.41733796296</v>
      </c>
      <c r="C571" s="1" t="n">
        <v>46174</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16109-2025</t>
        </is>
      </c>
      <c r="B572" s="1" t="n">
        <v>45750</v>
      </c>
      <c r="C572" s="1" t="n">
        <v>46174</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32467-2025</t>
        </is>
      </c>
      <c r="B573" s="1" t="n">
        <v>45838.42111111111</v>
      </c>
      <c r="C573" s="1" t="n">
        <v>46174</v>
      </c>
      <c r="D573" t="inlineStr">
        <is>
          <t>GOTLANDS LÄN</t>
        </is>
      </c>
      <c r="E573" t="inlineStr">
        <is>
          <t>GOTLAND</t>
        </is>
      </c>
      <c r="G573" t="n">
        <v>4.3</v>
      </c>
      <c r="H573" t="n">
        <v>0</v>
      </c>
      <c r="I573" t="n">
        <v>0</v>
      </c>
      <c r="J573" t="n">
        <v>0</v>
      </c>
      <c r="K573" t="n">
        <v>0</v>
      </c>
      <c r="L573" t="n">
        <v>0</v>
      </c>
      <c r="M573" t="n">
        <v>0</v>
      </c>
      <c r="N573" t="n">
        <v>0</v>
      </c>
      <c r="O573" t="n">
        <v>0</v>
      </c>
      <c r="P573" t="n">
        <v>0</v>
      </c>
      <c r="Q573" t="n">
        <v>0</v>
      </c>
      <c r="R573" s="2" t="inlineStr"/>
    </row>
    <row r="574" ht="15" customHeight="1">
      <c r="A574" t="inlineStr">
        <is>
          <t>A 6207-2026</t>
        </is>
      </c>
      <c r="B574" s="1" t="n">
        <v>46055.42083333333</v>
      </c>
      <c r="C574" s="1" t="n">
        <v>46174</v>
      </c>
      <c r="D574" t="inlineStr">
        <is>
          <t>GOTLANDS LÄN</t>
        </is>
      </c>
      <c r="E574" t="inlineStr">
        <is>
          <t>GOTLAND</t>
        </is>
      </c>
      <c r="G574" t="n">
        <v>7.6</v>
      </c>
      <c r="H574" t="n">
        <v>0</v>
      </c>
      <c r="I574" t="n">
        <v>0</v>
      </c>
      <c r="J574" t="n">
        <v>0</v>
      </c>
      <c r="K574" t="n">
        <v>0</v>
      </c>
      <c r="L574" t="n">
        <v>0</v>
      </c>
      <c r="M574" t="n">
        <v>0</v>
      </c>
      <c r="N574" t="n">
        <v>0</v>
      </c>
      <c r="O574" t="n">
        <v>0</v>
      </c>
      <c r="P574" t="n">
        <v>0</v>
      </c>
      <c r="Q574" t="n">
        <v>0</v>
      </c>
      <c r="R574" s="2" t="inlineStr"/>
    </row>
    <row r="575" ht="15" customHeight="1">
      <c r="A575" t="inlineStr">
        <is>
          <t>A 6218-2026</t>
        </is>
      </c>
      <c r="B575" s="1" t="n">
        <v>46055.42859953704</v>
      </c>
      <c r="C575" s="1" t="n">
        <v>46174</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6959-2026</t>
        </is>
      </c>
      <c r="B576" s="1" t="n">
        <v>46057.580625</v>
      </c>
      <c r="C576" s="1" t="n">
        <v>46174</v>
      </c>
      <c r="D576" t="inlineStr">
        <is>
          <t>GOTLANDS LÄN</t>
        </is>
      </c>
      <c r="E576" t="inlineStr">
        <is>
          <t>GOTLAND</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32379-2025</t>
        </is>
      </c>
      <c r="B577" s="1" t="n">
        <v>45837</v>
      </c>
      <c r="C577" s="1" t="n">
        <v>46174</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6960-2026</t>
        </is>
      </c>
      <c r="B578" s="1" t="n">
        <v>46057.58105324074</v>
      </c>
      <c r="C578" s="1" t="n">
        <v>46174</v>
      </c>
      <c r="D578" t="inlineStr">
        <is>
          <t>GOTLANDS LÄN</t>
        </is>
      </c>
      <c r="E578" t="inlineStr">
        <is>
          <t>GOTLAND</t>
        </is>
      </c>
      <c r="F578" t="inlineStr">
        <is>
          <t>Kyrkan</t>
        </is>
      </c>
      <c r="G578" t="n">
        <v>2.4</v>
      </c>
      <c r="H578" t="n">
        <v>0</v>
      </c>
      <c r="I578" t="n">
        <v>0</v>
      </c>
      <c r="J578" t="n">
        <v>0</v>
      </c>
      <c r="K578" t="n">
        <v>0</v>
      </c>
      <c r="L578" t="n">
        <v>0</v>
      </c>
      <c r="M578" t="n">
        <v>0</v>
      </c>
      <c r="N578" t="n">
        <v>0</v>
      </c>
      <c r="O578" t="n">
        <v>0</v>
      </c>
      <c r="P578" t="n">
        <v>0</v>
      </c>
      <c r="Q578" t="n">
        <v>0</v>
      </c>
      <c r="R578" s="2" t="inlineStr"/>
    </row>
    <row r="579" ht="15" customHeight="1">
      <c r="A579" t="inlineStr">
        <is>
          <t>A 33007-2025</t>
        </is>
      </c>
      <c r="B579" s="1" t="n">
        <v>45840</v>
      </c>
      <c r="C579" s="1" t="n">
        <v>46174</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7627-2026</t>
        </is>
      </c>
      <c r="B580" s="1" t="n">
        <v>46062.35465277778</v>
      </c>
      <c r="C580" s="1" t="n">
        <v>46174</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63105-2025</t>
        </is>
      </c>
      <c r="B581" s="1" t="n">
        <v>46009</v>
      </c>
      <c r="C581" s="1" t="n">
        <v>46174</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2135-2026</t>
        </is>
      </c>
      <c r="B582" s="1" t="n">
        <v>46036</v>
      </c>
      <c r="C582" s="1" t="n">
        <v>46174</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2134-2026</t>
        </is>
      </c>
      <c r="B583" s="1" t="n">
        <v>46036</v>
      </c>
      <c r="C583" s="1" t="n">
        <v>46174</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15413-2025</t>
        </is>
      </c>
      <c r="B584" s="1" t="n">
        <v>45747.451875</v>
      </c>
      <c r="C584" s="1" t="n">
        <v>46174</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53561-2025</t>
        </is>
      </c>
      <c r="B585" s="1" t="n">
        <v>45960.4059375</v>
      </c>
      <c r="C585" s="1" t="n">
        <v>46174</v>
      </c>
      <c r="D585" t="inlineStr">
        <is>
          <t>GOTLANDS LÄN</t>
        </is>
      </c>
      <c r="E585" t="inlineStr">
        <is>
          <t>GOTLAND</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53587-2025</t>
        </is>
      </c>
      <c r="B586" s="1" t="n">
        <v>45960.43681712963</v>
      </c>
      <c r="C586" s="1" t="n">
        <v>46174</v>
      </c>
      <c r="D586" t="inlineStr">
        <is>
          <t>GOTLANDS LÄN</t>
        </is>
      </c>
      <c r="E586" t="inlineStr">
        <is>
          <t>GOTLAND</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35096-2025</t>
        </is>
      </c>
      <c r="B587" s="1" t="n">
        <v>45852.54356481481</v>
      </c>
      <c r="C587" s="1" t="n">
        <v>46174</v>
      </c>
      <c r="D587" t="inlineStr">
        <is>
          <t>GOTLANDS LÄN</t>
        </is>
      </c>
      <c r="E587" t="inlineStr">
        <is>
          <t>GOTLAND</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9540-2026</t>
        </is>
      </c>
      <c r="B588" s="1" t="n">
        <v>46071.61961805556</v>
      </c>
      <c r="C588" s="1" t="n">
        <v>46174</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35123-2025</t>
        </is>
      </c>
      <c r="B589" s="1" t="n">
        <v>45852.614375</v>
      </c>
      <c r="C589" s="1" t="n">
        <v>46174</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9521-2026</t>
        </is>
      </c>
      <c r="B590" s="1" t="n">
        <v>46071.59969907408</v>
      </c>
      <c r="C590" s="1" t="n">
        <v>46174</v>
      </c>
      <c r="D590" t="inlineStr">
        <is>
          <t>GOTLANDS LÄN</t>
        </is>
      </c>
      <c r="E590" t="inlineStr">
        <is>
          <t>GOTLAND</t>
        </is>
      </c>
      <c r="G590" t="n">
        <v>3.9</v>
      </c>
      <c r="H590" t="n">
        <v>0</v>
      </c>
      <c r="I590" t="n">
        <v>0</v>
      </c>
      <c r="J590" t="n">
        <v>0</v>
      </c>
      <c r="K590" t="n">
        <v>0</v>
      </c>
      <c r="L590" t="n">
        <v>0</v>
      </c>
      <c r="M590" t="n">
        <v>0</v>
      </c>
      <c r="N590" t="n">
        <v>0</v>
      </c>
      <c r="O590" t="n">
        <v>0</v>
      </c>
      <c r="P590" t="n">
        <v>0</v>
      </c>
      <c r="Q590" t="n">
        <v>0</v>
      </c>
      <c r="R590" s="2" t="inlineStr"/>
    </row>
    <row r="591" ht="15" customHeight="1">
      <c r="A591" t="inlineStr">
        <is>
          <t>A 9524-2026</t>
        </is>
      </c>
      <c r="B591" s="1" t="n">
        <v>46071.60108796296</v>
      </c>
      <c r="C591" s="1" t="n">
        <v>46174</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9543-2026</t>
        </is>
      </c>
      <c r="B592" s="1" t="n">
        <v>46071.62486111111</v>
      </c>
      <c r="C592" s="1" t="n">
        <v>46174</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9504-2026</t>
        </is>
      </c>
      <c r="B593" s="1" t="n">
        <v>46071.57730324074</v>
      </c>
      <c r="C593" s="1" t="n">
        <v>46174</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9518-2026</t>
        </is>
      </c>
      <c r="B594" s="1" t="n">
        <v>46071.59653935185</v>
      </c>
      <c r="C594" s="1" t="n">
        <v>46174</v>
      </c>
      <c r="D594" t="inlineStr">
        <is>
          <t>GOTLANDS LÄN</t>
        </is>
      </c>
      <c r="E594" t="inlineStr">
        <is>
          <t>GOTLAND</t>
        </is>
      </c>
      <c r="G594" t="n">
        <v>6.2</v>
      </c>
      <c r="H594" t="n">
        <v>0</v>
      </c>
      <c r="I594" t="n">
        <v>0</v>
      </c>
      <c r="J594" t="n">
        <v>0</v>
      </c>
      <c r="K594" t="n">
        <v>0</v>
      </c>
      <c r="L594" t="n">
        <v>0</v>
      </c>
      <c r="M594" t="n">
        <v>0</v>
      </c>
      <c r="N594" t="n">
        <v>0</v>
      </c>
      <c r="O594" t="n">
        <v>0</v>
      </c>
      <c r="P594" t="n">
        <v>0</v>
      </c>
      <c r="Q594" t="n">
        <v>0</v>
      </c>
      <c r="R594" s="2" t="inlineStr"/>
    </row>
    <row r="595" ht="15" customHeight="1">
      <c r="A595" t="inlineStr">
        <is>
          <t>A 9519-2026</t>
        </is>
      </c>
      <c r="B595" s="1" t="n">
        <v>46071.59820601852</v>
      </c>
      <c r="C595" s="1" t="n">
        <v>46174</v>
      </c>
      <c r="D595" t="inlineStr">
        <is>
          <t>GOTLANDS LÄN</t>
        </is>
      </c>
      <c r="E595" t="inlineStr">
        <is>
          <t>GOTLAND</t>
        </is>
      </c>
      <c r="G595" t="n">
        <v>4</v>
      </c>
      <c r="H595" t="n">
        <v>0</v>
      </c>
      <c r="I595" t="n">
        <v>0</v>
      </c>
      <c r="J595" t="n">
        <v>0</v>
      </c>
      <c r="K595" t="n">
        <v>0</v>
      </c>
      <c r="L595" t="n">
        <v>0</v>
      </c>
      <c r="M595" t="n">
        <v>0</v>
      </c>
      <c r="N595" t="n">
        <v>0</v>
      </c>
      <c r="O595" t="n">
        <v>0</v>
      </c>
      <c r="P595" t="n">
        <v>0</v>
      </c>
      <c r="Q595" t="n">
        <v>0</v>
      </c>
      <c r="R595" s="2" t="inlineStr"/>
    </row>
    <row r="596" ht="15" customHeight="1">
      <c r="A596" t="inlineStr">
        <is>
          <t>A 35290-2025</t>
        </is>
      </c>
      <c r="B596" s="1" t="n">
        <v>45854.38502314815</v>
      </c>
      <c r="C596" s="1" t="n">
        <v>46174</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9901-2026</t>
        </is>
      </c>
      <c r="B597" s="1" t="n">
        <v>46073.40391203704</v>
      </c>
      <c r="C597" s="1" t="n">
        <v>46174</v>
      </c>
      <c r="D597" t="inlineStr">
        <is>
          <t>GOTLANDS LÄN</t>
        </is>
      </c>
      <c r="E597" t="inlineStr">
        <is>
          <t>GOTLAND</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30104-2025</t>
        </is>
      </c>
      <c r="B598" s="1" t="n">
        <v>45826.68806712963</v>
      </c>
      <c r="C598" s="1" t="n">
        <v>46174</v>
      </c>
      <c r="D598" t="inlineStr">
        <is>
          <t>GOTLANDS LÄN</t>
        </is>
      </c>
      <c r="E598" t="inlineStr">
        <is>
          <t>GOTLAND</t>
        </is>
      </c>
      <c r="G598" t="n">
        <v>15.4</v>
      </c>
      <c r="H598" t="n">
        <v>0</v>
      </c>
      <c r="I598" t="n">
        <v>0</v>
      </c>
      <c r="J598" t="n">
        <v>0</v>
      </c>
      <c r="K598" t="n">
        <v>0</v>
      </c>
      <c r="L598" t="n">
        <v>0</v>
      </c>
      <c r="M598" t="n">
        <v>0</v>
      </c>
      <c r="N598" t="n">
        <v>0</v>
      </c>
      <c r="O598" t="n">
        <v>0</v>
      </c>
      <c r="P598" t="n">
        <v>0</v>
      </c>
      <c r="Q598" t="n">
        <v>0</v>
      </c>
      <c r="R598" s="2" t="inlineStr"/>
    </row>
    <row r="599" ht="15" customHeight="1">
      <c r="A599" t="inlineStr">
        <is>
          <t>A 32669-2024</t>
        </is>
      </c>
      <c r="B599" s="1" t="n">
        <v>45514</v>
      </c>
      <c r="C599" s="1" t="n">
        <v>46174</v>
      </c>
      <c r="D599" t="inlineStr">
        <is>
          <t>GOTLANDS LÄN</t>
        </is>
      </c>
      <c r="E599" t="inlineStr">
        <is>
          <t>GOTLAND</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10284-2026</t>
        </is>
      </c>
      <c r="B600" s="1" t="n">
        <v>46076</v>
      </c>
      <c r="C600" s="1" t="n">
        <v>46174</v>
      </c>
      <c r="D600" t="inlineStr">
        <is>
          <t>GOTLANDS LÄN</t>
        </is>
      </c>
      <c r="E600" t="inlineStr">
        <is>
          <t>GOTLAND</t>
        </is>
      </c>
      <c r="G600" t="n">
        <v>5.2</v>
      </c>
      <c r="H600" t="n">
        <v>0</v>
      </c>
      <c r="I600" t="n">
        <v>0</v>
      </c>
      <c r="J600" t="n">
        <v>0</v>
      </c>
      <c r="K600" t="n">
        <v>0</v>
      </c>
      <c r="L600" t="n">
        <v>0</v>
      </c>
      <c r="M600" t="n">
        <v>0</v>
      </c>
      <c r="N600" t="n">
        <v>0</v>
      </c>
      <c r="O600" t="n">
        <v>0</v>
      </c>
      <c r="P600" t="n">
        <v>0</v>
      </c>
      <c r="Q600" t="n">
        <v>0</v>
      </c>
      <c r="R600" s="2" t="inlineStr"/>
    </row>
    <row r="601" ht="15" customHeight="1">
      <c r="A601" t="inlineStr">
        <is>
          <t>A 35537-2025</t>
        </is>
      </c>
      <c r="B601" s="1" t="n">
        <v>45856</v>
      </c>
      <c r="C601" s="1" t="n">
        <v>46174</v>
      </c>
      <c r="D601" t="inlineStr">
        <is>
          <t>GOTLANDS LÄN</t>
        </is>
      </c>
      <c r="E601" t="inlineStr">
        <is>
          <t>GOTLAND</t>
        </is>
      </c>
      <c r="G601" t="n">
        <v>16.8</v>
      </c>
      <c r="H601" t="n">
        <v>0</v>
      </c>
      <c r="I601" t="n">
        <v>0</v>
      </c>
      <c r="J601" t="n">
        <v>0</v>
      </c>
      <c r="K601" t="n">
        <v>0</v>
      </c>
      <c r="L601" t="n">
        <v>0</v>
      </c>
      <c r="M601" t="n">
        <v>0</v>
      </c>
      <c r="N601" t="n">
        <v>0</v>
      </c>
      <c r="O601" t="n">
        <v>0</v>
      </c>
      <c r="P601" t="n">
        <v>0</v>
      </c>
      <c r="Q601" t="n">
        <v>0</v>
      </c>
      <c r="R601" s="2" t="inlineStr"/>
    </row>
    <row r="602" ht="15" customHeight="1">
      <c r="A602" t="inlineStr">
        <is>
          <t>A 10486-2026</t>
        </is>
      </c>
      <c r="B602" s="1" t="n">
        <v>46077.51425925926</v>
      </c>
      <c r="C602" s="1" t="n">
        <v>46174</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60384-2025</t>
        </is>
      </c>
      <c r="B603" s="1" t="n">
        <v>45995</v>
      </c>
      <c r="C603" s="1" t="n">
        <v>46174</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54584-2025</t>
        </is>
      </c>
      <c r="B604" s="1" t="n">
        <v>45965.71788194445</v>
      </c>
      <c r="C604" s="1" t="n">
        <v>46174</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30488-2025</t>
        </is>
      </c>
      <c r="B605" s="1" t="n">
        <v>45830</v>
      </c>
      <c r="C605" s="1" t="n">
        <v>46174</v>
      </c>
      <c r="D605" t="inlineStr">
        <is>
          <t>GOTLANDS LÄN</t>
        </is>
      </c>
      <c r="E605" t="inlineStr">
        <is>
          <t>GOTLAND</t>
        </is>
      </c>
      <c r="F605" t="inlineStr">
        <is>
          <t>Kyrkan</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15216-2025</t>
        </is>
      </c>
      <c r="B606" s="1" t="n">
        <v>45744</v>
      </c>
      <c r="C606" s="1" t="n">
        <v>46174</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15001-2025</t>
        </is>
      </c>
      <c r="B607" s="1" t="n">
        <v>45743</v>
      </c>
      <c r="C607" s="1" t="n">
        <v>46174</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43790-2024</t>
        </is>
      </c>
      <c r="B608" s="1" t="n">
        <v>45571</v>
      </c>
      <c r="C608" s="1" t="n">
        <v>46174</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17847-2025</t>
        </is>
      </c>
      <c r="B609" s="1" t="n">
        <v>45758</v>
      </c>
      <c r="C609" s="1" t="n">
        <v>46174</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11424-2026</t>
        </is>
      </c>
      <c r="B610" s="1" t="n">
        <v>46083.48068287037</v>
      </c>
      <c r="C610" s="1" t="n">
        <v>46174</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3067-2026</t>
        </is>
      </c>
      <c r="B611" s="1" t="n">
        <v>46040.59025462963</v>
      </c>
      <c r="C611" s="1" t="n">
        <v>46174</v>
      </c>
      <c r="D611" t="inlineStr">
        <is>
          <t>GOTLANDS LÄN</t>
        </is>
      </c>
      <c r="E611" t="inlineStr">
        <is>
          <t>GOTLAND</t>
        </is>
      </c>
      <c r="G611" t="n">
        <v>7.8</v>
      </c>
      <c r="H611" t="n">
        <v>0</v>
      </c>
      <c r="I611" t="n">
        <v>0</v>
      </c>
      <c r="J611" t="n">
        <v>0</v>
      </c>
      <c r="K611" t="n">
        <v>0</v>
      </c>
      <c r="L611" t="n">
        <v>0</v>
      </c>
      <c r="M611" t="n">
        <v>0</v>
      </c>
      <c r="N611" t="n">
        <v>0</v>
      </c>
      <c r="O611" t="n">
        <v>0</v>
      </c>
      <c r="P611" t="n">
        <v>0</v>
      </c>
      <c r="Q611" t="n">
        <v>0</v>
      </c>
      <c r="R611" s="2" t="inlineStr"/>
    </row>
    <row r="612" ht="15" customHeight="1">
      <c r="A612" t="inlineStr">
        <is>
          <t>A 18742-2025</t>
        </is>
      </c>
      <c r="B612" s="1" t="n">
        <v>45763</v>
      </c>
      <c r="C612" s="1" t="n">
        <v>46174</v>
      </c>
      <c r="D612" t="inlineStr">
        <is>
          <t>GOTLANDS LÄN</t>
        </is>
      </c>
      <c r="E612" t="inlineStr">
        <is>
          <t>GOTLAND</t>
        </is>
      </c>
      <c r="G612" t="n">
        <v>3.4</v>
      </c>
      <c r="H612" t="n">
        <v>0</v>
      </c>
      <c r="I612" t="n">
        <v>0</v>
      </c>
      <c r="J612" t="n">
        <v>0</v>
      </c>
      <c r="K612" t="n">
        <v>0</v>
      </c>
      <c r="L612" t="n">
        <v>0</v>
      </c>
      <c r="M612" t="n">
        <v>0</v>
      </c>
      <c r="N612" t="n">
        <v>0</v>
      </c>
      <c r="O612" t="n">
        <v>0</v>
      </c>
      <c r="P612" t="n">
        <v>0</v>
      </c>
      <c r="Q612" t="n">
        <v>0</v>
      </c>
      <c r="R612" s="2" t="inlineStr"/>
    </row>
    <row r="613" ht="15" customHeight="1">
      <c r="A613" t="inlineStr">
        <is>
          <t>A 35129-2025</t>
        </is>
      </c>
      <c r="B613" s="1" t="n">
        <v>45852.63224537037</v>
      </c>
      <c r="C613" s="1" t="n">
        <v>46174</v>
      </c>
      <c r="D613" t="inlineStr">
        <is>
          <t>GOTLANDS LÄN</t>
        </is>
      </c>
      <c r="E613" t="inlineStr">
        <is>
          <t>GOTLAND</t>
        </is>
      </c>
      <c r="G613" t="n">
        <v>3.2</v>
      </c>
      <c r="H613" t="n">
        <v>0</v>
      </c>
      <c r="I613" t="n">
        <v>0</v>
      </c>
      <c r="J613" t="n">
        <v>0</v>
      </c>
      <c r="K613" t="n">
        <v>0</v>
      </c>
      <c r="L613" t="n">
        <v>0</v>
      </c>
      <c r="M613" t="n">
        <v>0</v>
      </c>
      <c r="N613" t="n">
        <v>0</v>
      </c>
      <c r="O613" t="n">
        <v>0</v>
      </c>
      <c r="P613" t="n">
        <v>0</v>
      </c>
      <c r="Q613" t="n">
        <v>0</v>
      </c>
      <c r="R613" s="2" t="inlineStr"/>
    </row>
    <row r="614" ht="15" customHeight="1">
      <c r="A614" t="inlineStr">
        <is>
          <t>A 11414-2026</t>
        </is>
      </c>
      <c r="B614" s="1" t="n">
        <v>46083.46336805556</v>
      </c>
      <c r="C614" s="1" t="n">
        <v>46174</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12135-2026</t>
        </is>
      </c>
      <c r="B615" s="1" t="n">
        <v>46086</v>
      </c>
      <c r="C615" s="1" t="n">
        <v>46174</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11982-2026</t>
        </is>
      </c>
      <c r="B616" s="1" t="n">
        <v>46085.6434375</v>
      </c>
      <c r="C616" s="1" t="n">
        <v>46174</v>
      </c>
      <c r="D616" t="inlineStr">
        <is>
          <t>GOTLANDS LÄN</t>
        </is>
      </c>
      <c r="E616" t="inlineStr">
        <is>
          <t>GOTLAND</t>
        </is>
      </c>
      <c r="G616" t="n">
        <v>2.2</v>
      </c>
      <c r="H616" t="n">
        <v>0</v>
      </c>
      <c r="I616" t="n">
        <v>0</v>
      </c>
      <c r="J616" t="n">
        <v>0</v>
      </c>
      <c r="K616" t="n">
        <v>0</v>
      </c>
      <c r="L616" t="n">
        <v>0</v>
      </c>
      <c r="M616" t="n">
        <v>0</v>
      </c>
      <c r="N616" t="n">
        <v>0</v>
      </c>
      <c r="O616" t="n">
        <v>0</v>
      </c>
      <c r="P616" t="n">
        <v>0</v>
      </c>
      <c r="Q616" t="n">
        <v>0</v>
      </c>
      <c r="R616" s="2" t="inlineStr"/>
    </row>
    <row r="617" ht="15" customHeight="1">
      <c r="A617" t="inlineStr">
        <is>
          <t>A 42201-2023</t>
        </is>
      </c>
      <c r="B617" s="1" t="n">
        <v>45179</v>
      </c>
      <c r="C617" s="1" t="n">
        <v>46174</v>
      </c>
      <c r="D617" t="inlineStr">
        <is>
          <t>GOTLANDS LÄN</t>
        </is>
      </c>
      <c r="E617" t="inlineStr">
        <is>
          <t>GOTLAND</t>
        </is>
      </c>
      <c r="G617" t="n">
        <v>11.9</v>
      </c>
      <c r="H617" t="n">
        <v>0</v>
      </c>
      <c r="I617" t="n">
        <v>0</v>
      </c>
      <c r="J617" t="n">
        <v>0</v>
      </c>
      <c r="K617" t="n">
        <v>0</v>
      </c>
      <c r="L617" t="n">
        <v>0</v>
      </c>
      <c r="M617" t="n">
        <v>0</v>
      </c>
      <c r="N617" t="n">
        <v>0</v>
      </c>
      <c r="O617" t="n">
        <v>0</v>
      </c>
      <c r="P617" t="n">
        <v>0</v>
      </c>
      <c r="Q617" t="n">
        <v>0</v>
      </c>
      <c r="R617" s="2" t="inlineStr"/>
    </row>
    <row r="618" ht="15" customHeight="1">
      <c r="A618" t="inlineStr">
        <is>
          <t>A 30489-2025</t>
        </is>
      </c>
      <c r="B618" s="1" t="n">
        <v>45830</v>
      </c>
      <c r="C618" s="1" t="n">
        <v>46174</v>
      </c>
      <c r="D618" t="inlineStr">
        <is>
          <t>GOTLANDS LÄN</t>
        </is>
      </c>
      <c r="E618" t="inlineStr">
        <is>
          <t>GOTLAND</t>
        </is>
      </c>
      <c r="G618" t="n">
        <v>4.6</v>
      </c>
      <c r="H618" t="n">
        <v>0</v>
      </c>
      <c r="I618" t="n">
        <v>0</v>
      </c>
      <c r="J618" t="n">
        <v>0</v>
      </c>
      <c r="K618" t="n">
        <v>0</v>
      </c>
      <c r="L618" t="n">
        <v>0</v>
      </c>
      <c r="M618" t="n">
        <v>0</v>
      </c>
      <c r="N618" t="n">
        <v>0</v>
      </c>
      <c r="O618" t="n">
        <v>0</v>
      </c>
      <c r="P618" t="n">
        <v>0</v>
      </c>
      <c r="Q618" t="n">
        <v>0</v>
      </c>
      <c r="R618" s="2" t="inlineStr"/>
    </row>
    <row r="619" ht="15" customHeight="1">
      <c r="A619" t="inlineStr">
        <is>
          <t>A 21142-2025</t>
        </is>
      </c>
      <c r="B619" s="1" t="n">
        <v>45779</v>
      </c>
      <c r="C619" s="1" t="n">
        <v>46174</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6108-2025</t>
        </is>
      </c>
      <c r="B620" s="1" t="n">
        <v>45698.29880787037</v>
      </c>
      <c r="C620" s="1" t="n">
        <v>46174</v>
      </c>
      <c r="D620" t="inlineStr">
        <is>
          <t>GOTLANDS LÄN</t>
        </is>
      </c>
      <c r="E620" t="inlineStr">
        <is>
          <t>GOTLAND</t>
        </is>
      </c>
      <c r="G620" t="n">
        <v>2.8</v>
      </c>
      <c r="H620" t="n">
        <v>0</v>
      </c>
      <c r="I620" t="n">
        <v>0</v>
      </c>
      <c r="J620" t="n">
        <v>0</v>
      </c>
      <c r="K620" t="n">
        <v>0</v>
      </c>
      <c r="L620" t="n">
        <v>0</v>
      </c>
      <c r="M620" t="n">
        <v>0</v>
      </c>
      <c r="N620" t="n">
        <v>0</v>
      </c>
      <c r="O620" t="n">
        <v>0</v>
      </c>
      <c r="P620" t="n">
        <v>0</v>
      </c>
      <c r="Q620" t="n">
        <v>0</v>
      </c>
      <c r="R620" s="2" t="inlineStr"/>
    </row>
    <row r="621" ht="15" customHeight="1">
      <c r="A621" t="inlineStr">
        <is>
          <t>A 17343-2025</t>
        </is>
      </c>
      <c r="B621" s="1" t="n">
        <v>45756.6687037037</v>
      </c>
      <c r="C621" s="1" t="n">
        <v>46174</v>
      </c>
      <c r="D621" t="inlineStr">
        <is>
          <t>GOTLANDS LÄN</t>
        </is>
      </c>
      <c r="E621" t="inlineStr">
        <is>
          <t>GOTLAND</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18938-2025</t>
        </is>
      </c>
      <c r="B622" s="1" t="n">
        <v>45764.49172453704</v>
      </c>
      <c r="C622" s="1" t="n">
        <v>46174</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20307-2025</t>
        </is>
      </c>
      <c r="B623" s="1" t="n">
        <v>45774.95546296296</v>
      </c>
      <c r="C623" s="1" t="n">
        <v>46174</v>
      </c>
      <c r="D623" t="inlineStr">
        <is>
          <t>GOTLANDS LÄN</t>
        </is>
      </c>
      <c r="E623" t="inlineStr">
        <is>
          <t>GOTLAND</t>
        </is>
      </c>
      <c r="G623" t="n">
        <v>6.8</v>
      </c>
      <c r="H623" t="n">
        <v>0</v>
      </c>
      <c r="I623" t="n">
        <v>0</v>
      </c>
      <c r="J623" t="n">
        <v>0</v>
      </c>
      <c r="K623" t="n">
        <v>0</v>
      </c>
      <c r="L623" t="n">
        <v>0</v>
      </c>
      <c r="M623" t="n">
        <v>0</v>
      </c>
      <c r="N623" t="n">
        <v>0</v>
      </c>
      <c r="O623" t="n">
        <v>0</v>
      </c>
      <c r="P623" t="n">
        <v>0</v>
      </c>
      <c r="Q623" t="n">
        <v>0</v>
      </c>
      <c r="R623" s="2" t="inlineStr"/>
    </row>
    <row r="624" ht="15" customHeight="1">
      <c r="A624" t="inlineStr">
        <is>
          <t>A 63000-2025</t>
        </is>
      </c>
      <c r="B624" s="1" t="n">
        <v>46009</v>
      </c>
      <c r="C624" s="1" t="n">
        <v>46174</v>
      </c>
      <c r="D624" t="inlineStr">
        <is>
          <t>GOTLANDS LÄN</t>
        </is>
      </c>
      <c r="E624" t="inlineStr">
        <is>
          <t>GOTLAND</t>
        </is>
      </c>
      <c r="F624" t="inlineStr">
        <is>
          <t>Övriga Aktiebolag</t>
        </is>
      </c>
      <c r="G624" t="n">
        <v>1.7</v>
      </c>
      <c r="H624" t="n">
        <v>0</v>
      </c>
      <c r="I624" t="n">
        <v>0</v>
      </c>
      <c r="J624" t="n">
        <v>0</v>
      </c>
      <c r="K624" t="n">
        <v>0</v>
      </c>
      <c r="L624" t="n">
        <v>0</v>
      </c>
      <c r="M624" t="n">
        <v>0</v>
      </c>
      <c r="N624" t="n">
        <v>0</v>
      </c>
      <c r="O624" t="n">
        <v>0</v>
      </c>
      <c r="P624" t="n">
        <v>0</v>
      </c>
      <c r="Q624" t="n">
        <v>0</v>
      </c>
      <c r="R624" s="2" t="inlineStr"/>
    </row>
    <row r="625" ht="15" customHeight="1">
      <c r="A625" t="inlineStr">
        <is>
          <t>A 62751-2025</t>
        </is>
      </c>
      <c r="B625" s="1" t="n">
        <v>46008</v>
      </c>
      <c r="C625" s="1" t="n">
        <v>46174</v>
      </c>
      <c r="D625" t="inlineStr">
        <is>
          <t>GOTLANDS LÄN</t>
        </is>
      </c>
      <c r="E625" t="inlineStr">
        <is>
          <t>GOTLAND</t>
        </is>
      </c>
      <c r="F625" t="inlineStr">
        <is>
          <t>Övriga Aktiebolag</t>
        </is>
      </c>
      <c r="G625" t="n">
        <v>7.8</v>
      </c>
      <c r="H625" t="n">
        <v>0</v>
      </c>
      <c r="I625" t="n">
        <v>0</v>
      </c>
      <c r="J625" t="n">
        <v>0</v>
      </c>
      <c r="K625" t="n">
        <v>0</v>
      </c>
      <c r="L625" t="n">
        <v>0</v>
      </c>
      <c r="M625" t="n">
        <v>0</v>
      </c>
      <c r="N625" t="n">
        <v>0</v>
      </c>
      <c r="O625" t="n">
        <v>0</v>
      </c>
      <c r="P625" t="n">
        <v>0</v>
      </c>
      <c r="Q625" t="n">
        <v>0</v>
      </c>
      <c r="R625" s="2" t="inlineStr"/>
    </row>
    <row r="626" ht="15" customHeight="1">
      <c r="A626" t="inlineStr">
        <is>
          <t>A 62754-2025</t>
        </is>
      </c>
      <c r="B626" s="1" t="n">
        <v>46008</v>
      </c>
      <c r="C626" s="1" t="n">
        <v>46174</v>
      </c>
      <c r="D626" t="inlineStr">
        <is>
          <t>GOTLANDS LÄN</t>
        </is>
      </c>
      <c r="E626" t="inlineStr">
        <is>
          <t>GOTLAND</t>
        </is>
      </c>
      <c r="F626" t="inlineStr">
        <is>
          <t>Övriga Aktiebolag</t>
        </is>
      </c>
      <c r="G626" t="n">
        <v>2.9</v>
      </c>
      <c r="H626" t="n">
        <v>0</v>
      </c>
      <c r="I626" t="n">
        <v>0</v>
      </c>
      <c r="J626" t="n">
        <v>0</v>
      </c>
      <c r="K626" t="n">
        <v>0</v>
      </c>
      <c r="L626" t="n">
        <v>0</v>
      </c>
      <c r="M626" t="n">
        <v>0</v>
      </c>
      <c r="N626" t="n">
        <v>0</v>
      </c>
      <c r="O626" t="n">
        <v>0</v>
      </c>
      <c r="P626" t="n">
        <v>0</v>
      </c>
      <c r="Q626" t="n">
        <v>0</v>
      </c>
      <c r="R626" s="2" t="inlineStr"/>
    </row>
    <row r="627" ht="15" customHeight="1">
      <c r="A627" t="inlineStr">
        <is>
          <t>A 13486-2026</t>
        </is>
      </c>
      <c r="B627" s="1" t="n">
        <v>46094</v>
      </c>
      <c r="C627" s="1" t="n">
        <v>46174</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14840-2026</t>
        </is>
      </c>
      <c r="B628" s="1" t="n">
        <v>46104.39498842593</v>
      </c>
      <c r="C628" s="1" t="n">
        <v>46174</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21396-2026</t>
        </is>
      </c>
      <c r="B629" s="1" t="n">
        <v>46148.30710648148</v>
      </c>
      <c r="C629" s="1" t="n">
        <v>46174</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4662-2026</t>
        </is>
      </c>
      <c r="B630" s="1" t="n">
        <v>46048.40949074074</v>
      </c>
      <c r="C630" s="1" t="n">
        <v>46174</v>
      </c>
      <c r="D630" t="inlineStr">
        <is>
          <t>GOTLANDS LÄN</t>
        </is>
      </c>
      <c r="E630" t="inlineStr">
        <is>
          <t>GOTLAND</t>
        </is>
      </c>
      <c r="G630" t="n">
        <v>7.6</v>
      </c>
      <c r="H630" t="n">
        <v>0</v>
      </c>
      <c r="I630" t="n">
        <v>0</v>
      </c>
      <c r="J630" t="n">
        <v>0</v>
      </c>
      <c r="K630" t="n">
        <v>0</v>
      </c>
      <c r="L630" t="n">
        <v>0</v>
      </c>
      <c r="M630" t="n">
        <v>0</v>
      </c>
      <c r="N630" t="n">
        <v>0</v>
      </c>
      <c r="O630" t="n">
        <v>0</v>
      </c>
      <c r="P630" t="n">
        <v>0</v>
      </c>
      <c r="Q630" t="n">
        <v>0</v>
      </c>
      <c r="R630" s="2" t="inlineStr"/>
    </row>
    <row r="631" ht="15" customHeight="1">
      <c r="A631" t="inlineStr">
        <is>
          <t>A 1854-2026</t>
        </is>
      </c>
      <c r="B631" s="1" t="n">
        <v>46035.4171875</v>
      </c>
      <c r="C631" s="1" t="n">
        <v>46174</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22351-2026</t>
        </is>
      </c>
      <c r="B632" s="1" t="n">
        <v>46154.58350694444</v>
      </c>
      <c r="C632" s="1" t="n">
        <v>46174</v>
      </c>
      <c r="D632" t="inlineStr">
        <is>
          <t>GOTLANDS LÄN</t>
        </is>
      </c>
      <c r="E632" t="inlineStr">
        <is>
          <t>GOTLAND</t>
        </is>
      </c>
      <c r="G632" t="n">
        <v>1.3</v>
      </c>
      <c r="H632" t="n">
        <v>0</v>
      </c>
      <c r="I632" t="n">
        <v>0</v>
      </c>
      <c r="J632" t="n">
        <v>0</v>
      </c>
      <c r="K632" t="n">
        <v>0</v>
      </c>
      <c r="L632" t="n">
        <v>0</v>
      </c>
      <c r="M632" t="n">
        <v>0</v>
      </c>
      <c r="N632" t="n">
        <v>0</v>
      </c>
      <c r="O632" t="n">
        <v>0</v>
      </c>
      <c r="P632" t="n">
        <v>0</v>
      </c>
      <c r="Q632" t="n">
        <v>0</v>
      </c>
      <c r="R632" s="2" t="inlineStr"/>
    </row>
    <row r="633" ht="15" customHeight="1">
      <c r="A633" t="inlineStr">
        <is>
          <t>A 22348-2026</t>
        </is>
      </c>
      <c r="B633" s="1" t="n">
        <v>46154.58071759259</v>
      </c>
      <c r="C633" s="1" t="n">
        <v>46174</v>
      </c>
      <c r="D633" t="inlineStr">
        <is>
          <t>GOTLANDS LÄN</t>
        </is>
      </c>
      <c r="E633" t="inlineStr">
        <is>
          <t>GOTLAND</t>
        </is>
      </c>
      <c r="G633" t="n">
        <v>3.3</v>
      </c>
      <c r="H633" t="n">
        <v>0</v>
      </c>
      <c r="I633" t="n">
        <v>0</v>
      </c>
      <c r="J633" t="n">
        <v>0</v>
      </c>
      <c r="K633" t="n">
        <v>0</v>
      </c>
      <c r="L633" t="n">
        <v>0</v>
      </c>
      <c r="M633" t="n">
        <v>0</v>
      </c>
      <c r="N633" t="n">
        <v>0</v>
      </c>
      <c r="O633" t="n">
        <v>0</v>
      </c>
      <c r="P633" t="n">
        <v>0</v>
      </c>
      <c r="Q633" t="n">
        <v>0</v>
      </c>
      <c r="R633" s="2" t="inlineStr"/>
    </row>
    <row r="634" ht="15" customHeight="1">
      <c r="A634" t="inlineStr">
        <is>
          <t>A 22275-2026</t>
        </is>
      </c>
      <c r="B634" s="1" t="n">
        <v>46154.41924768518</v>
      </c>
      <c r="C634" s="1" t="n">
        <v>46174</v>
      </c>
      <c r="D634" t="inlineStr">
        <is>
          <t>GOTLANDS LÄN</t>
        </is>
      </c>
      <c r="E634" t="inlineStr">
        <is>
          <t>GOTLAND</t>
        </is>
      </c>
      <c r="G634" t="n">
        <v>3.7</v>
      </c>
      <c r="H634" t="n">
        <v>0</v>
      </c>
      <c r="I634" t="n">
        <v>0</v>
      </c>
      <c r="J634" t="n">
        <v>0</v>
      </c>
      <c r="K634" t="n">
        <v>0</v>
      </c>
      <c r="L634" t="n">
        <v>0</v>
      </c>
      <c r="M634" t="n">
        <v>0</v>
      </c>
      <c r="N634" t="n">
        <v>0</v>
      </c>
      <c r="O634" t="n">
        <v>0</v>
      </c>
      <c r="P634" t="n">
        <v>0</v>
      </c>
      <c r="Q634" t="n">
        <v>0</v>
      </c>
      <c r="R634" s="2" t="inlineStr"/>
    </row>
    <row r="635" ht="15" customHeight="1">
      <c r="A635" t="inlineStr">
        <is>
          <t>A 17000-2026</t>
        </is>
      </c>
      <c r="B635" s="1" t="n">
        <v>46114.42690972222</v>
      </c>
      <c r="C635" s="1" t="n">
        <v>46174</v>
      </c>
      <c r="D635" t="inlineStr">
        <is>
          <t>GOTLANDS LÄN</t>
        </is>
      </c>
      <c r="E635" t="inlineStr">
        <is>
          <t>GOTLAND</t>
        </is>
      </c>
      <c r="G635" t="n">
        <v>1.9</v>
      </c>
      <c r="H635" t="n">
        <v>0</v>
      </c>
      <c r="I635" t="n">
        <v>0</v>
      </c>
      <c r="J635" t="n">
        <v>0</v>
      </c>
      <c r="K635" t="n">
        <v>0</v>
      </c>
      <c r="L635" t="n">
        <v>0</v>
      </c>
      <c r="M635" t="n">
        <v>0</v>
      </c>
      <c r="N635" t="n">
        <v>0</v>
      </c>
      <c r="O635" t="n">
        <v>0</v>
      </c>
      <c r="P635" t="n">
        <v>0</v>
      </c>
      <c r="Q635" t="n">
        <v>0</v>
      </c>
      <c r="R635" s="2" t="inlineStr"/>
    </row>
    <row r="636" ht="15" customHeight="1">
      <c r="A636" t="inlineStr">
        <is>
          <t>A 16993-2026</t>
        </is>
      </c>
      <c r="B636" s="1" t="n">
        <v>46114.41918981481</v>
      </c>
      <c r="C636" s="1" t="n">
        <v>46174</v>
      </c>
      <c r="D636" t="inlineStr">
        <is>
          <t>GOTLANDS LÄN</t>
        </is>
      </c>
      <c r="E636" t="inlineStr">
        <is>
          <t>GOTLAND</t>
        </is>
      </c>
      <c r="G636" t="n">
        <v>3</v>
      </c>
      <c r="H636" t="n">
        <v>0</v>
      </c>
      <c r="I636" t="n">
        <v>0</v>
      </c>
      <c r="J636" t="n">
        <v>0</v>
      </c>
      <c r="K636" t="n">
        <v>0</v>
      </c>
      <c r="L636" t="n">
        <v>0</v>
      </c>
      <c r="M636" t="n">
        <v>0</v>
      </c>
      <c r="N636" t="n">
        <v>0</v>
      </c>
      <c r="O636" t="n">
        <v>0</v>
      </c>
      <c r="P636" t="n">
        <v>0</v>
      </c>
      <c r="Q636" t="n">
        <v>0</v>
      </c>
      <c r="R636" s="2" t="inlineStr"/>
    </row>
    <row r="637" ht="15" customHeight="1">
      <c r="A637" t="inlineStr">
        <is>
          <t>A 22887-2026</t>
        </is>
      </c>
      <c r="B637" s="1" t="n">
        <v>46160.47591435185</v>
      </c>
      <c r="C637" s="1" t="n">
        <v>46174</v>
      </c>
      <c r="D637" t="inlineStr">
        <is>
          <t>GOTLANDS LÄN</t>
        </is>
      </c>
      <c r="E637" t="inlineStr">
        <is>
          <t>GOTLAND</t>
        </is>
      </c>
      <c r="G637" t="n">
        <v>3.6</v>
      </c>
      <c r="H637" t="n">
        <v>0</v>
      </c>
      <c r="I637" t="n">
        <v>0</v>
      </c>
      <c r="J637" t="n">
        <v>0</v>
      </c>
      <c r="K637" t="n">
        <v>0</v>
      </c>
      <c r="L637" t="n">
        <v>0</v>
      </c>
      <c r="M637" t="n">
        <v>0</v>
      </c>
      <c r="N637" t="n">
        <v>0</v>
      </c>
      <c r="O637" t="n">
        <v>0</v>
      </c>
      <c r="P637" t="n">
        <v>0</v>
      </c>
      <c r="Q637" t="n">
        <v>0</v>
      </c>
      <c r="R637" s="2" t="inlineStr"/>
    </row>
    <row r="638" ht="15" customHeight="1">
      <c r="A638" t="inlineStr">
        <is>
          <t>A 63152-2025</t>
        </is>
      </c>
      <c r="B638" s="1" t="n">
        <v>46010</v>
      </c>
      <c r="C638" s="1" t="n">
        <v>46174</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5863-2026</t>
        </is>
      </c>
      <c r="B639" s="1" t="n">
        <v>46052</v>
      </c>
      <c r="C639" s="1" t="n">
        <v>46174</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23103-2026</t>
        </is>
      </c>
      <c r="B640" s="1" t="n">
        <v>46161.57108796296</v>
      </c>
      <c r="C640" s="1" t="n">
        <v>46174</v>
      </c>
      <c r="D640" t="inlineStr">
        <is>
          <t>GOTLANDS LÄN</t>
        </is>
      </c>
      <c r="E640" t="inlineStr">
        <is>
          <t>GOTLAND</t>
        </is>
      </c>
      <c r="G640" t="n">
        <v>2.3</v>
      </c>
      <c r="H640" t="n">
        <v>0</v>
      </c>
      <c r="I640" t="n">
        <v>0</v>
      </c>
      <c r="J640" t="n">
        <v>0</v>
      </c>
      <c r="K640" t="n">
        <v>0</v>
      </c>
      <c r="L640" t="n">
        <v>0</v>
      </c>
      <c r="M640" t="n">
        <v>0</v>
      </c>
      <c r="N640" t="n">
        <v>0</v>
      </c>
      <c r="O640" t="n">
        <v>0</v>
      </c>
      <c r="P640" t="n">
        <v>0</v>
      </c>
      <c r="Q640" t="n">
        <v>0</v>
      </c>
      <c r="R640" s="2" t="inlineStr"/>
    </row>
    <row r="641" ht="15" customHeight="1">
      <c r="A641" t="inlineStr">
        <is>
          <t>A 17935-2026</t>
        </is>
      </c>
      <c r="B641" s="1" t="n">
        <v>46122</v>
      </c>
      <c r="C641" s="1" t="n">
        <v>46174</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17943-2026</t>
        </is>
      </c>
      <c r="B642" s="1" t="n">
        <v>46122</v>
      </c>
      <c r="C642" s="1" t="n">
        <v>46174</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23504-2026</t>
        </is>
      </c>
      <c r="B643" s="1" t="n">
        <v>46163.45875</v>
      </c>
      <c r="C643" s="1" t="n">
        <v>46174</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c r="A644" t="inlineStr">
        <is>
          <t>A 62674-2025</t>
        </is>
      </c>
      <c r="B644" s="1" t="n">
        <v>46008</v>
      </c>
      <c r="C644" s="1" t="n">
        <v>46174</v>
      </c>
      <c r="D644" t="inlineStr">
        <is>
          <t>GOTLANDS LÄN</t>
        </is>
      </c>
      <c r="E644" t="inlineStr">
        <is>
          <t>GOTLAND</t>
        </is>
      </c>
      <c r="G644" t="n">
        <v>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2026-06-01T10:54:52Z</dcterms:created>
  <dcterms:modified xmlns:dcterms="http://purl.org/dc/terms/" xmlns:xsi="http://www.w3.org/2001/XMLSchema-instance" xsi:type="dcterms:W3CDTF">2026-06-01T10:54:53Z</dcterms:modified>
</cp:coreProperties>
</file>