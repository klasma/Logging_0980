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45991</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45991</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45991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45991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45991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45991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45991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45991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45991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45991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45991</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45991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45991</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45991</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45991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45991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45991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45991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45991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45991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45991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45991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45991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45991</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45991</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45991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45991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45991</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45991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45991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45991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45991</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53584-2025</t>
        </is>
      </c>
      <c r="B72" s="1" t="n">
        <v>45960.43130787037</v>
      </c>
      <c r="C72" s="1" t="n">
        <v>45991</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65819-2020</t>
        </is>
      </c>
      <c r="B73" s="1" t="n">
        <v>44174</v>
      </c>
      <c r="C73" s="1" t="n">
        <v>45991</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45991</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45991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45991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27168-2022</t>
        </is>
      </c>
      <c r="B81" s="1" t="n">
        <v>44741</v>
      </c>
      <c r="C81" s="1" t="n">
        <v>45991</v>
      </c>
      <c r="D81" t="inlineStr">
        <is>
          <t>GOTLANDS LÄN</t>
        </is>
      </c>
      <c r="E81" t="inlineStr">
        <is>
          <t>GOTLAND</t>
        </is>
      </c>
      <c r="G81" t="n">
        <v>2.2</v>
      </c>
      <c r="H81" t="n">
        <v>4</v>
      </c>
      <c r="I81" t="n">
        <v>2</v>
      </c>
      <c r="J81" t="n">
        <v>0</v>
      </c>
      <c r="K81" t="n">
        <v>1</v>
      </c>
      <c r="L81" t="n">
        <v>0</v>
      </c>
      <c r="M81" t="n">
        <v>0</v>
      </c>
      <c r="N81" t="n">
        <v>0</v>
      </c>
      <c r="O81" t="n">
        <v>1</v>
      </c>
      <c r="P81" t="n">
        <v>1</v>
      </c>
      <c r="Q81" t="n">
        <v>5</v>
      </c>
      <c r="R81" s="2" t="inlineStr">
        <is>
          <t>Gotlandsmåra
Purpurknipprot
Vit skogslilja
Brudsporre
Kärrknipprot</t>
        </is>
      </c>
      <c r="S81">
        <f>HYPERLINK("https://klasma.github.io/Logging_0980/artfynd/A 27168-2022 artfynd.xlsx", "A 27168-2022")</f>
        <v/>
      </c>
      <c r="T81">
        <f>HYPERLINK("https://klasma.github.io/Logging_0980/kartor/A 27168-2022 karta.png", "A 27168-2022")</f>
        <v/>
      </c>
      <c r="V81">
        <f>HYPERLINK("https://klasma.github.io/Logging_0980/klagomål/A 27168-2022 FSC-klagomål.docx", "A 27168-2022")</f>
        <v/>
      </c>
      <c r="W81">
        <f>HYPERLINK("https://klasma.github.io/Logging_0980/klagomålsmail/A 27168-2022 FSC-klagomål mail.docx", "A 27168-2022")</f>
        <v/>
      </c>
      <c r="X81">
        <f>HYPERLINK("https://klasma.github.io/Logging_0980/tillsyn/A 27168-2022 tillsynsbegäran.docx", "A 27168-2022")</f>
        <v/>
      </c>
      <c r="Y81">
        <f>HYPERLINK("https://klasma.github.io/Logging_0980/tillsynsmail/A 27168-2022 tillsynsbegäran mail.docx", "A 27168-2022")</f>
        <v/>
      </c>
    </row>
    <row r="82" ht="15" customHeight="1">
      <c r="A82" t="inlineStr">
        <is>
          <t>A 32326-2024</t>
        </is>
      </c>
      <c r="B82" s="1" t="n">
        <v>45512</v>
      </c>
      <c r="C82" s="1" t="n">
        <v>45991</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45991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45991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45991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45991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45991</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45991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45991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45991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45991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52309-2025</t>
        </is>
      </c>
      <c r="B92" s="1" t="n">
        <v>45953.64381944444</v>
      </c>
      <c r="C92" s="1" t="n">
        <v>45991</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45991</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45991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45991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45991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45991</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5904-2024</t>
        </is>
      </c>
      <c r="B98" s="1" t="n">
        <v>45335</v>
      </c>
      <c r="C98" s="1" t="n">
        <v>45991</v>
      </c>
      <c r="D98" t="inlineStr">
        <is>
          <t>GOTLANDS LÄN</t>
        </is>
      </c>
      <c r="E98" t="inlineStr">
        <is>
          <t>GOTLAND</t>
        </is>
      </c>
      <c r="G98" t="n">
        <v>6.4</v>
      </c>
      <c r="H98" t="n">
        <v>1</v>
      </c>
      <c r="I98" t="n">
        <v>2</v>
      </c>
      <c r="J98" t="n">
        <v>1</v>
      </c>
      <c r="K98" t="n">
        <v>0</v>
      </c>
      <c r="L98" t="n">
        <v>0</v>
      </c>
      <c r="M98" t="n">
        <v>0</v>
      </c>
      <c r="N98" t="n">
        <v>0</v>
      </c>
      <c r="O98" t="n">
        <v>1</v>
      </c>
      <c r="P98" t="n">
        <v>0</v>
      </c>
      <c r="Q98" t="n">
        <v>4</v>
      </c>
      <c r="R98" s="2" t="inlineStr">
        <is>
          <t>Backstarr
Blåmossa
Kattfotslav
Sankt pers nycklar</t>
        </is>
      </c>
      <c r="S98">
        <f>HYPERLINK("https://klasma.github.io/Logging_0980/artfynd/A 5904-2024 artfynd.xlsx", "A 5904-2024")</f>
        <v/>
      </c>
      <c r="T98">
        <f>HYPERLINK("https://klasma.github.io/Logging_0980/kartor/A 5904-2024 karta.png", "A 5904-2024")</f>
        <v/>
      </c>
      <c r="V98">
        <f>HYPERLINK("https://klasma.github.io/Logging_0980/klagomål/A 5904-2024 FSC-klagomål.docx", "A 5904-2024")</f>
        <v/>
      </c>
      <c r="W98">
        <f>HYPERLINK("https://klasma.github.io/Logging_0980/klagomålsmail/A 5904-2024 FSC-klagomål mail.docx", "A 5904-2024")</f>
        <v/>
      </c>
      <c r="X98">
        <f>HYPERLINK("https://klasma.github.io/Logging_0980/tillsyn/A 5904-2024 tillsynsbegäran.docx", "A 5904-2024")</f>
        <v/>
      </c>
      <c r="Y98">
        <f>HYPERLINK("https://klasma.github.io/Logging_0980/tillsynsmail/A 5904-2024 tillsynsbegäran mail.docx", "A 5904-2024")</f>
        <v/>
      </c>
    </row>
    <row r="99" ht="15" customHeight="1">
      <c r="A99" t="inlineStr">
        <is>
          <t>A 43197-2023</t>
        </is>
      </c>
      <c r="B99" s="1" t="n">
        <v>45183</v>
      </c>
      <c r="C99" s="1" t="n">
        <v>45991</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45991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1971-2023</t>
        </is>
      </c>
      <c r="B101" s="1" t="n">
        <v>44939</v>
      </c>
      <c r="C101" s="1" t="n">
        <v>45991</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45991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45991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45991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64378-2020</t>
        </is>
      </c>
      <c r="B105" s="1" t="n">
        <v>44168</v>
      </c>
      <c r="C105" s="1" t="n">
        <v>45991</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65537-2020</t>
        </is>
      </c>
      <c r="B106" s="1" t="n">
        <v>44173</v>
      </c>
      <c r="C106" s="1" t="n">
        <v>45991</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45991</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45991</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45991</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45991</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45991</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45991</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45991</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13499-2022</t>
        </is>
      </c>
      <c r="B114" s="1" t="n">
        <v>44647.79203703703</v>
      </c>
      <c r="C114" s="1" t="n">
        <v>45991</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45991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48126-2022</t>
        </is>
      </c>
      <c r="B116" s="1" t="n">
        <v>44857</v>
      </c>
      <c r="C116" s="1" t="n">
        <v>45991</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45991</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45991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45991</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17975-2024</t>
        </is>
      </c>
      <c r="B120" s="1" t="n">
        <v>45419.85546296297</v>
      </c>
      <c r="C120" s="1" t="n">
        <v>45991</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49709-2025</t>
        </is>
      </c>
      <c r="B121" s="1" t="n">
        <v>45939.68228009259</v>
      </c>
      <c r="C121" s="1" t="n">
        <v>45991</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17982-2023</t>
        </is>
      </c>
      <c r="B122" s="1" t="n">
        <v>45040</v>
      </c>
      <c r="C122" s="1" t="n">
        <v>45991</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45991</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45991</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45991</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45991</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45991</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45991</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45991</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45991</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45991</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45991</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45991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64263-2020</t>
        </is>
      </c>
      <c r="B134" s="1" t="n">
        <v>44168</v>
      </c>
      <c r="C134" s="1" t="n">
        <v>45991</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12914-2025</t>
        </is>
      </c>
      <c r="B135" s="1" t="n">
        <v>45733</v>
      </c>
      <c r="C135" s="1" t="n">
        <v>45991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45991</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45991</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45991</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45991</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45991</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45991</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45991</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45991</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45991</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45991</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45991</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45991</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44308-2021</t>
        </is>
      </c>
      <c r="B148" s="1" t="n">
        <v>44434</v>
      </c>
      <c r="C148" s="1" t="n">
        <v>45991</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45991</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45991</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45991</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45991</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45991</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45991</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45991</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45991</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35467-2021</t>
        </is>
      </c>
      <c r="B157" s="1" t="n">
        <v>44385</v>
      </c>
      <c r="C157" s="1" t="n">
        <v>45991</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9862-2024</t>
        </is>
      </c>
      <c r="B158" s="1" t="n">
        <v>45363</v>
      </c>
      <c r="C158" s="1" t="n">
        <v>45991</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45991</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44619-2025</t>
        </is>
      </c>
      <c r="B160" s="1" t="n">
        <v>45917</v>
      </c>
      <c r="C160" s="1" t="n">
        <v>45991</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65927-2021</t>
        </is>
      </c>
      <c r="B161" s="1" t="n">
        <v>44516</v>
      </c>
      <c r="C161" s="1" t="n">
        <v>45991</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45991</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45991</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45991</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45991</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45991</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20429-2025</t>
        </is>
      </c>
      <c r="B167" s="1" t="n">
        <v>45775.47728009259</v>
      </c>
      <c r="C167" s="1" t="n">
        <v>45991</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2476-2025</t>
        </is>
      </c>
      <c r="B168" s="1" t="n">
        <v>45673</v>
      </c>
      <c r="C168" s="1" t="n">
        <v>45991</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49726-2025</t>
        </is>
      </c>
      <c r="B169" s="1" t="n">
        <v>45939.84466435185</v>
      </c>
      <c r="C169" s="1" t="n">
        <v>45991</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447-2023</t>
        </is>
      </c>
      <c r="B170" s="1" t="n">
        <v>44929</v>
      </c>
      <c r="C170" s="1" t="n">
        <v>45991</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45991</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45991</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45991</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45991</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45991</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45991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45991</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45991</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45991</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45991</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45991</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45991</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45991</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63299-2020</t>
        </is>
      </c>
      <c r="B184" s="1" t="n">
        <v>44165</v>
      </c>
      <c r="C184" s="1" t="n">
        <v>45991</v>
      </c>
      <c r="D184" t="inlineStr">
        <is>
          <t>GOTLANDS LÄN</t>
        </is>
      </c>
      <c r="E184" t="inlineStr">
        <is>
          <t>GOTLAND</t>
        </is>
      </c>
      <c r="G184" t="n">
        <v>12.9</v>
      </c>
      <c r="H184" t="n">
        <v>1</v>
      </c>
      <c r="I184" t="n">
        <v>0</v>
      </c>
      <c r="J184" t="n">
        <v>1</v>
      </c>
      <c r="K184" t="n">
        <v>0</v>
      </c>
      <c r="L184" t="n">
        <v>0</v>
      </c>
      <c r="M184" t="n">
        <v>0</v>
      </c>
      <c r="N184" t="n">
        <v>0</v>
      </c>
      <c r="O184" t="n">
        <v>1</v>
      </c>
      <c r="P184" t="n">
        <v>0</v>
      </c>
      <c r="Q184" t="n">
        <v>1</v>
      </c>
      <c r="R184" s="2" t="inlineStr">
        <is>
          <t>Svartfläckig blåvinge</t>
        </is>
      </c>
      <c r="S184">
        <f>HYPERLINK("https://klasma.github.io/Logging_0980/artfynd/A 63299-2020 artfynd.xlsx", "A 63299-2020")</f>
        <v/>
      </c>
      <c r="T184">
        <f>HYPERLINK("https://klasma.github.io/Logging_0980/kartor/A 63299-2020 karta.png", "A 63299-2020")</f>
        <v/>
      </c>
      <c r="V184">
        <f>HYPERLINK("https://klasma.github.io/Logging_0980/klagomål/A 63299-2020 FSC-klagomål.docx", "A 63299-2020")</f>
        <v/>
      </c>
      <c r="W184">
        <f>HYPERLINK("https://klasma.github.io/Logging_0980/klagomålsmail/A 63299-2020 FSC-klagomål mail.docx", "A 63299-2020")</f>
        <v/>
      </c>
      <c r="X184">
        <f>HYPERLINK("https://klasma.github.io/Logging_0980/tillsyn/A 63299-2020 tillsynsbegäran.docx", "A 63299-2020")</f>
        <v/>
      </c>
      <c r="Y184">
        <f>HYPERLINK("https://klasma.github.io/Logging_0980/tillsynsmail/A 63299-2020 tillsynsbegäran mail.docx", "A 63299-2020")</f>
        <v/>
      </c>
    </row>
    <row r="185" ht="15" customHeight="1">
      <c r="A185" t="inlineStr">
        <is>
          <t>A 49847-2023</t>
        </is>
      </c>
      <c r="B185" s="1" t="n">
        <v>45212</v>
      </c>
      <c r="C185" s="1" t="n">
        <v>45991</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45991</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45991</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45991</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45991</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45991</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45991</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45991</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45991</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45991</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45991</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45991</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45991</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45991</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45991</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45991</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45991</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45991</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45991</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45991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11402-2021</t>
        </is>
      </c>
      <c r="B207" s="1" t="n">
        <v>44263</v>
      </c>
      <c r="C207" s="1" t="n">
        <v>45991</v>
      </c>
      <c r="D207" t="inlineStr">
        <is>
          <t>GOTLANDS LÄN</t>
        </is>
      </c>
      <c r="E207" t="inlineStr">
        <is>
          <t>GOTLAND</t>
        </is>
      </c>
      <c r="G207" t="n">
        <v>2.9</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45991</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45991</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45991</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45991</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45991</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45991</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45991</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45991</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45991</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45991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45991</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45991</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45991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45991</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45991</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45991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45991</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45991</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45991</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45991</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45991</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45991</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45991</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45991</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45991</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45991</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45991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45991</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45991</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45991</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45991</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45991</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45991</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45991</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45991</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45991</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45991</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45991</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45991</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45991</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45991</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45991</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45991</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45991</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45991</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45991</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45991</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45991</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45991</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45991</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49874-2024</t>
        </is>
      </c>
      <c r="B259" s="1" t="n">
        <v>45597.49274305555</v>
      </c>
      <c r="C259" s="1" t="n">
        <v>45991</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45991</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60675-2021</t>
        </is>
      </c>
      <c r="B261" s="1" t="n">
        <v>44496.64855324074</v>
      </c>
      <c r="C261" s="1" t="n">
        <v>45991</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4421-2024</t>
        </is>
      </c>
      <c r="B262" s="1" t="n">
        <v>45327.45173611111</v>
      </c>
      <c r="C262" s="1" t="n">
        <v>45991</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45991</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20165-2022</t>
        </is>
      </c>
      <c r="B264" s="1" t="n">
        <v>44698.49854166667</v>
      </c>
      <c r="C264" s="1" t="n">
        <v>45991</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45991</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14638-2025</t>
        </is>
      </c>
      <c r="B266" s="1" t="n">
        <v>45742</v>
      </c>
      <c r="C266" s="1" t="n">
        <v>45991</v>
      </c>
      <c r="D266" t="inlineStr">
        <is>
          <t>GOTLANDS LÄN</t>
        </is>
      </c>
      <c r="E266" t="inlineStr">
        <is>
          <t>GOTLAND</t>
        </is>
      </c>
      <c r="G266" t="n">
        <v>13.4</v>
      </c>
      <c r="H266" t="n">
        <v>0</v>
      </c>
      <c r="I266" t="n">
        <v>0</v>
      </c>
      <c r="J266" t="n">
        <v>0</v>
      </c>
      <c r="K266" t="n">
        <v>0</v>
      </c>
      <c r="L266" t="n">
        <v>0</v>
      </c>
      <c r="M266" t="n">
        <v>0</v>
      </c>
      <c r="N266" t="n">
        <v>0</v>
      </c>
      <c r="O266" t="n">
        <v>0</v>
      </c>
      <c r="P266" t="n">
        <v>0</v>
      </c>
      <c r="Q266" t="n">
        <v>0</v>
      </c>
      <c r="R266" s="2" t="inlineStr"/>
    </row>
    <row r="267" ht="15" customHeight="1">
      <c r="A267" t="inlineStr">
        <is>
          <t>A 31264-2021</t>
        </is>
      </c>
      <c r="B267" s="1" t="n">
        <v>44368</v>
      </c>
      <c r="C267" s="1" t="n">
        <v>45991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45991</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45991</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61962-2024</t>
        </is>
      </c>
      <c r="B270" s="1" t="n">
        <v>45653.54340277778</v>
      </c>
      <c r="C270" s="1" t="n">
        <v>45991</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27930-2021</t>
        </is>
      </c>
      <c r="B271" s="1" t="n">
        <v>44354</v>
      </c>
      <c r="C271" s="1" t="n">
        <v>45991</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59469-2024</t>
        </is>
      </c>
      <c r="B272" s="1" t="n">
        <v>45638</v>
      </c>
      <c r="C272" s="1" t="n">
        <v>45991</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45991</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45991</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45991</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5751-2024</t>
        </is>
      </c>
      <c r="B276" s="1" t="n">
        <v>45335.32702546296</v>
      </c>
      <c r="C276" s="1" t="n">
        <v>45991</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6696-2023</t>
        </is>
      </c>
      <c r="B277" s="1" t="n">
        <v>44966.66425925926</v>
      </c>
      <c r="C277" s="1" t="n">
        <v>45991</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28480-2023</t>
        </is>
      </c>
      <c r="B278" s="1" t="n">
        <v>45103</v>
      </c>
      <c r="C278" s="1" t="n">
        <v>45991</v>
      </c>
      <c r="D278" t="inlineStr">
        <is>
          <t>GOTLANDS LÄN</t>
        </is>
      </c>
      <c r="E278" t="inlineStr">
        <is>
          <t>GOTLAND</t>
        </is>
      </c>
      <c r="G278" t="n">
        <v>5.7</v>
      </c>
      <c r="H278" t="n">
        <v>0</v>
      </c>
      <c r="I278" t="n">
        <v>0</v>
      </c>
      <c r="J278" t="n">
        <v>0</v>
      </c>
      <c r="K278" t="n">
        <v>0</v>
      </c>
      <c r="L278" t="n">
        <v>0</v>
      </c>
      <c r="M278" t="n">
        <v>0</v>
      </c>
      <c r="N278" t="n">
        <v>0</v>
      </c>
      <c r="O278" t="n">
        <v>0</v>
      </c>
      <c r="P278" t="n">
        <v>0</v>
      </c>
      <c r="Q278" t="n">
        <v>0</v>
      </c>
      <c r="R278" s="2" t="inlineStr"/>
    </row>
    <row r="279" ht="15" customHeight="1">
      <c r="A279" t="inlineStr">
        <is>
          <t>A 28485-2023</t>
        </is>
      </c>
      <c r="B279" s="1" t="n">
        <v>45103.43731481482</v>
      </c>
      <c r="C279" s="1" t="n">
        <v>45991</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4990-2025</t>
        </is>
      </c>
      <c r="B280" s="1" t="n">
        <v>45691</v>
      </c>
      <c r="C280" s="1" t="n">
        <v>45991</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2292-2021</t>
        </is>
      </c>
      <c r="B281" s="1" t="n">
        <v>44212</v>
      </c>
      <c r="C281" s="1" t="n">
        <v>45991</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45991</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38165-2023</t>
        </is>
      </c>
      <c r="B283" s="1" t="n">
        <v>45161</v>
      </c>
      <c r="C283" s="1" t="n">
        <v>45991</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45991</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45991</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45991</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39849-2025</t>
        </is>
      </c>
      <c r="B287" s="1" t="n">
        <v>45891.58502314815</v>
      </c>
      <c r="C287" s="1" t="n">
        <v>45991</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45991</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45991</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45991</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45991</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34312-2024</t>
        </is>
      </c>
      <c r="B292" s="1" t="n">
        <v>45524.69703703704</v>
      </c>
      <c r="C292" s="1" t="n">
        <v>45991</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45991</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45991</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45991</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45991</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45991</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45991</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45991</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45991</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45991</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45991</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38649-2025</t>
        </is>
      </c>
      <c r="B303" s="1" t="n">
        <v>45884</v>
      </c>
      <c r="C303" s="1" t="n">
        <v>45991</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27355-2025</t>
        </is>
      </c>
      <c r="B304" s="1" t="n">
        <v>45812</v>
      </c>
      <c r="C304" s="1" t="n">
        <v>45991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45991</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45991</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45991</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40499-2025</t>
        </is>
      </c>
      <c r="B308" s="1" t="n">
        <v>45896.32517361111</v>
      </c>
      <c r="C308" s="1" t="n">
        <v>45991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45991</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45991</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27694-2024</t>
        </is>
      </c>
      <c r="B311" s="1" t="n">
        <v>45475</v>
      </c>
      <c r="C311" s="1" t="n">
        <v>45991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6739-2025</t>
        </is>
      </c>
      <c r="B312" s="1" t="n">
        <v>45700</v>
      </c>
      <c r="C312" s="1" t="n">
        <v>45991</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39764-2022</t>
        </is>
      </c>
      <c r="B313" s="1" t="n">
        <v>44819</v>
      </c>
      <c r="C313" s="1" t="n">
        <v>45991</v>
      </c>
      <c r="D313" t="inlineStr">
        <is>
          <t>GOTLANDS LÄN</t>
        </is>
      </c>
      <c r="E313" t="inlineStr">
        <is>
          <t>GOTLAND</t>
        </is>
      </c>
      <c r="F313" t="inlineStr">
        <is>
          <t>Kyrkan</t>
        </is>
      </c>
      <c r="G313" t="n">
        <v>3.7</v>
      </c>
      <c r="H313" t="n">
        <v>0</v>
      </c>
      <c r="I313" t="n">
        <v>0</v>
      </c>
      <c r="J313" t="n">
        <v>0</v>
      </c>
      <c r="K313" t="n">
        <v>0</v>
      </c>
      <c r="L313" t="n">
        <v>0</v>
      </c>
      <c r="M313" t="n">
        <v>0</v>
      </c>
      <c r="N313" t="n">
        <v>0</v>
      </c>
      <c r="O313" t="n">
        <v>0</v>
      </c>
      <c r="P313" t="n">
        <v>0</v>
      </c>
      <c r="Q313" t="n">
        <v>0</v>
      </c>
      <c r="R313" s="2" t="inlineStr"/>
    </row>
    <row r="314" ht="15" customHeight="1">
      <c r="A314" t="inlineStr">
        <is>
          <t>A 6099-2024</t>
        </is>
      </c>
      <c r="B314" s="1" t="n">
        <v>45337</v>
      </c>
      <c r="C314" s="1" t="n">
        <v>45991</v>
      </c>
      <c r="D314" t="inlineStr">
        <is>
          <t>GOTLANDS LÄN</t>
        </is>
      </c>
      <c r="E314" t="inlineStr">
        <is>
          <t>GOTLAND</t>
        </is>
      </c>
      <c r="G314" t="n">
        <v>12.6</v>
      </c>
      <c r="H314" t="n">
        <v>0</v>
      </c>
      <c r="I314" t="n">
        <v>0</v>
      </c>
      <c r="J314" t="n">
        <v>0</v>
      </c>
      <c r="K314" t="n">
        <v>0</v>
      </c>
      <c r="L314" t="n">
        <v>0</v>
      </c>
      <c r="M314" t="n">
        <v>0</v>
      </c>
      <c r="N314" t="n">
        <v>0</v>
      </c>
      <c r="O314" t="n">
        <v>0</v>
      </c>
      <c r="P314" t="n">
        <v>0</v>
      </c>
      <c r="Q314" t="n">
        <v>0</v>
      </c>
      <c r="R314" s="2" t="inlineStr"/>
    </row>
    <row r="315" ht="15" customHeight="1">
      <c r="A315" t="inlineStr">
        <is>
          <t>A 8260-2023</t>
        </is>
      </c>
      <c r="B315" s="1" t="n">
        <v>44974.61608796296</v>
      </c>
      <c r="C315" s="1" t="n">
        <v>45991</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45991</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45991</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45991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45991</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45991</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45991</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29207-2025</t>
        </is>
      </c>
      <c r="B322" s="1" t="n">
        <v>45823</v>
      </c>
      <c r="C322" s="1" t="n">
        <v>45991</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29196-2025</t>
        </is>
      </c>
      <c r="B323" s="1" t="n">
        <v>45822</v>
      </c>
      <c r="C323" s="1" t="n">
        <v>45991</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42608-2025</t>
        </is>
      </c>
      <c r="B324" s="1" t="n">
        <v>45905</v>
      </c>
      <c r="C324" s="1" t="n">
        <v>45991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45991</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45991</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51262-2025</t>
        </is>
      </c>
      <c r="B327" s="1" t="n">
        <v>45949.49872685185</v>
      </c>
      <c r="C327" s="1" t="n">
        <v>45991</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45991</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45991</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45991</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45991</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45991</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45991</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45991</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45991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45991</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45991</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45991</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45991</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45991</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45991</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32379-2025</t>
        </is>
      </c>
      <c r="B342" s="1" t="n">
        <v>45837</v>
      </c>
      <c r="C342" s="1" t="n">
        <v>45991</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45991</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45991</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45991</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47762-2023</t>
        </is>
      </c>
      <c r="B346" s="1" t="n">
        <v>45203.86256944444</v>
      </c>
      <c r="C346" s="1" t="n">
        <v>45991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45991</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40294-2022</t>
        </is>
      </c>
      <c r="B348" s="1" t="n">
        <v>44821</v>
      </c>
      <c r="C348" s="1" t="n">
        <v>45991</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27602-2023</t>
        </is>
      </c>
      <c r="B349" s="1" t="n">
        <v>45097</v>
      </c>
      <c r="C349" s="1" t="n">
        <v>45991</v>
      </c>
      <c r="D349" t="inlineStr">
        <is>
          <t>GOTLANDS LÄN</t>
        </is>
      </c>
      <c r="E349" t="inlineStr">
        <is>
          <t>GOTLAND</t>
        </is>
      </c>
      <c r="G349" t="n">
        <v>2.7</v>
      </c>
      <c r="H349" t="n">
        <v>0</v>
      </c>
      <c r="I349" t="n">
        <v>0</v>
      </c>
      <c r="J349" t="n">
        <v>0</v>
      </c>
      <c r="K349" t="n">
        <v>0</v>
      </c>
      <c r="L349" t="n">
        <v>0</v>
      </c>
      <c r="M349" t="n">
        <v>0</v>
      </c>
      <c r="N349" t="n">
        <v>0</v>
      </c>
      <c r="O349" t="n">
        <v>0</v>
      </c>
      <c r="P349" t="n">
        <v>0</v>
      </c>
      <c r="Q349" t="n">
        <v>0</v>
      </c>
      <c r="R349" s="2" t="inlineStr"/>
    </row>
    <row r="350" ht="15" customHeight="1">
      <c r="A350" t="inlineStr">
        <is>
          <t>A 58780-2024</t>
        </is>
      </c>
      <c r="B350" s="1" t="n">
        <v>45635.84113425926</v>
      </c>
      <c r="C350" s="1" t="n">
        <v>45991</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45991</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45991</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45991</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45991</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52637-2025</t>
        </is>
      </c>
      <c r="B355" s="1" t="n">
        <v>45954.75099537037</v>
      </c>
      <c r="C355" s="1" t="n">
        <v>45991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45991</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45991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44410-2025</t>
        </is>
      </c>
      <c r="B358" s="1" t="n">
        <v>45916.53699074074</v>
      </c>
      <c r="C358" s="1" t="n">
        <v>45991</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45991</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44405-2025</t>
        </is>
      </c>
      <c r="B360" s="1" t="n">
        <v>45916.52405092592</v>
      </c>
      <c r="C360" s="1" t="n">
        <v>45991</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45991</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45991</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45991</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45991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53587-2025</t>
        </is>
      </c>
      <c r="B365" s="1" t="n">
        <v>45960.43681712963</v>
      </c>
      <c r="C365" s="1" t="n">
        <v>45991</v>
      </c>
      <c r="D365" t="inlineStr">
        <is>
          <t>GOTLANDS LÄN</t>
        </is>
      </c>
      <c r="E365" t="inlineStr">
        <is>
          <t>GOTLAND</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13037-2025</t>
        </is>
      </c>
      <c r="B366" s="1" t="n">
        <v>45734</v>
      </c>
      <c r="C366" s="1" t="n">
        <v>45991</v>
      </c>
      <c r="D366" t="inlineStr">
        <is>
          <t>GOTLANDS LÄN</t>
        </is>
      </c>
      <c r="E366" t="inlineStr">
        <is>
          <t>GOTLAND</t>
        </is>
      </c>
      <c r="G366" t="n">
        <v>9.5</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45991</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45991</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45991</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45991</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53569-2025</t>
        </is>
      </c>
      <c r="B371" s="1" t="n">
        <v>45960.41155092593</v>
      </c>
      <c r="C371" s="1" t="n">
        <v>45991</v>
      </c>
      <c r="D371" t="inlineStr">
        <is>
          <t>GOTLANDS LÄN</t>
        </is>
      </c>
      <c r="E371" t="inlineStr">
        <is>
          <t>GOTLAND</t>
        </is>
      </c>
      <c r="F371" t="inlineStr">
        <is>
          <t>Övriga Aktiebolag</t>
        </is>
      </c>
      <c r="G371" t="n">
        <v>11.3</v>
      </c>
      <c r="H371" t="n">
        <v>0</v>
      </c>
      <c r="I371" t="n">
        <v>0</v>
      </c>
      <c r="J371" t="n">
        <v>0</v>
      </c>
      <c r="K371" t="n">
        <v>0</v>
      </c>
      <c r="L371" t="n">
        <v>0</v>
      </c>
      <c r="M371" t="n">
        <v>0</v>
      </c>
      <c r="N371" t="n">
        <v>0</v>
      </c>
      <c r="O371" t="n">
        <v>0</v>
      </c>
      <c r="P371" t="n">
        <v>0</v>
      </c>
      <c r="Q371" t="n">
        <v>0</v>
      </c>
      <c r="R371" s="2" t="inlineStr"/>
    </row>
    <row r="372" ht="15" customHeight="1">
      <c r="A372" t="inlineStr">
        <is>
          <t>A 53577-2025</t>
        </is>
      </c>
      <c r="B372" s="1" t="n">
        <v>45960.42224537037</v>
      </c>
      <c r="C372" s="1" t="n">
        <v>45991</v>
      </c>
      <c r="D372" t="inlineStr">
        <is>
          <t>GOTLANDS LÄN</t>
        </is>
      </c>
      <c r="E372" t="inlineStr">
        <is>
          <t>GOTLAND</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35537-2025</t>
        </is>
      </c>
      <c r="B373" s="1" t="n">
        <v>45856</v>
      </c>
      <c r="C373" s="1" t="n">
        <v>45991</v>
      </c>
      <c r="D373" t="inlineStr">
        <is>
          <t>GOTLANDS LÄN</t>
        </is>
      </c>
      <c r="E373" t="inlineStr">
        <is>
          <t>GOTLAND</t>
        </is>
      </c>
      <c r="G373" t="n">
        <v>16.8</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45991</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45991</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15216-2025</t>
        </is>
      </c>
      <c r="B376" s="1" t="n">
        <v>45744</v>
      </c>
      <c r="C376" s="1" t="n">
        <v>45991</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54584-2025</t>
        </is>
      </c>
      <c r="B377" s="1" t="n">
        <v>45965.71788194445</v>
      </c>
      <c r="C377" s="1" t="n">
        <v>45991</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45991</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45991</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45991</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45991</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45991</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45991</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45991</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45991</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45991</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45991</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57652-2023</t>
        </is>
      </c>
      <c r="B388" s="1" t="n">
        <v>45246</v>
      </c>
      <c r="C388" s="1" t="n">
        <v>45991</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45991</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45991</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45991</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26391-2025</t>
        </is>
      </c>
      <c r="B392" s="1" t="n">
        <v>45806</v>
      </c>
      <c r="C392" s="1" t="n">
        <v>45991</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45991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45991</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45991</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45991</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45991</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45991</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1394-2023</t>
        </is>
      </c>
      <c r="B399" s="1" t="n">
        <v>44936.72997685185</v>
      </c>
      <c r="C399" s="1" t="n">
        <v>45991</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2676-2023</t>
        </is>
      </c>
      <c r="B400" s="1" t="n">
        <v>44944</v>
      </c>
      <c r="C400" s="1" t="n">
        <v>45991</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4387-2023</t>
        </is>
      </c>
      <c r="B401" s="1" t="n">
        <v>44955.73359953704</v>
      </c>
      <c r="C401" s="1" t="n">
        <v>45991</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18993-2025</t>
        </is>
      </c>
      <c r="B402" s="1" t="n">
        <v>45764</v>
      </c>
      <c r="C402" s="1" t="n">
        <v>45991</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45991</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49411-2023</t>
        </is>
      </c>
      <c r="B404" s="1" t="n">
        <v>45205</v>
      </c>
      <c r="C404" s="1" t="n">
        <v>45991</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46836-2025</t>
        </is>
      </c>
      <c r="B405" s="1" t="n">
        <v>45928.31511574074</v>
      </c>
      <c r="C405" s="1" t="n">
        <v>45991</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37728-2024</t>
        </is>
      </c>
      <c r="B406" s="1" t="n">
        <v>45541</v>
      </c>
      <c r="C406" s="1" t="n">
        <v>45991</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2241-2025</t>
        </is>
      </c>
      <c r="B407" s="1" t="n">
        <v>45673.48710648148</v>
      </c>
      <c r="C407" s="1" t="n">
        <v>45991</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47637-2025</t>
        </is>
      </c>
      <c r="B408" s="1" t="n">
        <v>45931.49753472222</v>
      </c>
      <c r="C408" s="1" t="n">
        <v>45991</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45991</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22275-2023</t>
        </is>
      </c>
      <c r="B410" s="1" t="n">
        <v>45070.39875</v>
      </c>
      <c r="C410" s="1" t="n">
        <v>45991</v>
      </c>
      <c r="D410" t="inlineStr">
        <is>
          <t>GOTLANDS LÄN</t>
        </is>
      </c>
      <c r="E410" t="inlineStr">
        <is>
          <t>GOTLAND</t>
        </is>
      </c>
      <c r="G410" t="n">
        <v>7.2</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45991</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63763-2023</t>
        </is>
      </c>
      <c r="B412" s="1" t="n">
        <v>45278.33944444444</v>
      </c>
      <c r="C412" s="1" t="n">
        <v>45991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7635-2025</t>
        </is>
      </c>
      <c r="B413" s="1" t="n">
        <v>45705</v>
      </c>
      <c r="C413" s="1" t="n">
        <v>45991</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7636-2025</t>
        </is>
      </c>
      <c r="B414" s="1" t="n">
        <v>45705.7687962963</v>
      </c>
      <c r="C414" s="1" t="n">
        <v>45991</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7639-2025</t>
        </is>
      </c>
      <c r="B415" s="1" t="n">
        <v>45705.77465277778</v>
      </c>
      <c r="C415" s="1" t="n">
        <v>45991</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45991</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15434-2024</t>
        </is>
      </c>
      <c r="B417" s="1" t="n">
        <v>45401.38836805556</v>
      </c>
      <c r="C417" s="1" t="n">
        <v>45991</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7034-2023</t>
        </is>
      </c>
      <c r="B418" s="1" t="n">
        <v>44968.32108796296</v>
      </c>
      <c r="C418" s="1" t="n">
        <v>45991</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7042-2023</t>
        </is>
      </c>
      <c r="B419" s="1" t="n">
        <v>44968</v>
      </c>
      <c r="C419" s="1" t="n">
        <v>45991</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2180-2025</t>
        </is>
      </c>
      <c r="B420" s="1" t="n">
        <v>45673</v>
      </c>
      <c r="C420" s="1" t="n">
        <v>45991</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32378-2025</t>
        </is>
      </c>
      <c r="B421" s="1" t="n">
        <v>45837</v>
      </c>
      <c r="C421" s="1" t="n">
        <v>45991</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54074-2022</t>
        </is>
      </c>
      <c r="B422" s="1" t="n">
        <v>44881</v>
      </c>
      <c r="C422" s="1" t="n">
        <v>45991</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45991</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61694-2023</t>
        </is>
      </c>
      <c r="B424" s="1" t="n">
        <v>45264</v>
      </c>
      <c r="C424" s="1" t="n">
        <v>45991</v>
      </c>
      <c r="D424" t="inlineStr">
        <is>
          <t>GOTLANDS LÄN</t>
        </is>
      </c>
      <c r="E424" t="inlineStr">
        <is>
          <t>GOTLAND</t>
        </is>
      </c>
      <c r="G424" t="n">
        <v>4.6</v>
      </c>
      <c r="H424" t="n">
        <v>0</v>
      </c>
      <c r="I424" t="n">
        <v>0</v>
      </c>
      <c r="J424" t="n">
        <v>0</v>
      </c>
      <c r="K424" t="n">
        <v>0</v>
      </c>
      <c r="L424" t="n">
        <v>0</v>
      </c>
      <c r="M424" t="n">
        <v>0</v>
      </c>
      <c r="N424" t="n">
        <v>0</v>
      </c>
      <c r="O424" t="n">
        <v>0</v>
      </c>
      <c r="P424" t="n">
        <v>0</v>
      </c>
      <c r="Q424" t="n">
        <v>0</v>
      </c>
      <c r="R424" s="2" t="inlineStr"/>
    </row>
    <row r="425" ht="15" customHeight="1">
      <c r="A425" t="inlineStr">
        <is>
          <t>A 64208-2021</t>
        </is>
      </c>
      <c r="B425" s="1" t="n">
        <v>44510</v>
      </c>
      <c r="C425" s="1" t="n">
        <v>45991</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45991</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45991</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1446-2025</t>
        </is>
      </c>
      <c r="B428" s="1" t="n">
        <v>45669.86035879629</v>
      </c>
      <c r="C428" s="1" t="n">
        <v>45991</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45991</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47147-2025</t>
        </is>
      </c>
      <c r="B430" s="1" t="n">
        <v>45929</v>
      </c>
      <c r="C430" s="1" t="n">
        <v>45991</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57685-2022</t>
        </is>
      </c>
      <c r="B431" s="1" t="n">
        <v>44897.4777662037</v>
      </c>
      <c r="C431" s="1" t="n">
        <v>45991</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811-2023</t>
        </is>
      </c>
      <c r="B432" s="1" t="n">
        <v>44931</v>
      </c>
      <c r="C432" s="1" t="n">
        <v>45991</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45856.49324074074</v>
      </c>
      <c r="C433" s="1" t="n">
        <v>45991</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45991</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45991</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45991</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45991</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30892-2024</t>
        </is>
      </c>
      <c r="B438" s="1" t="n">
        <v>45491</v>
      </c>
      <c r="C438" s="1" t="n">
        <v>45991</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45991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45991</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49690-2025</t>
        </is>
      </c>
      <c r="B441" s="1" t="n">
        <v>45939.66730324074</v>
      </c>
      <c r="C441" s="1" t="n">
        <v>45991</v>
      </c>
      <c r="D441" t="inlineStr">
        <is>
          <t>GOTLANDS LÄN</t>
        </is>
      </c>
      <c r="E441" t="inlineStr">
        <is>
          <t>GOTLAND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45991</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45991</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45991</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45991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45991</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45991</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45991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45991</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45991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45991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45991</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45991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45991</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15083-2025</t>
        </is>
      </c>
      <c r="B455" s="1" t="n">
        <v>45743</v>
      </c>
      <c r="C455" s="1" t="n">
        <v>45991</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50421-2025</t>
        </is>
      </c>
      <c r="B456" s="1" t="n">
        <v>45944.66049768519</v>
      </c>
      <c r="C456" s="1" t="n">
        <v>45991</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50431-2025</t>
        </is>
      </c>
      <c r="B457" s="1" t="n">
        <v>45944.68453703704</v>
      </c>
      <c r="C457" s="1" t="n">
        <v>45991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1066-2024</t>
        </is>
      </c>
      <c r="B458" s="1" t="n">
        <v>45302.285</v>
      </c>
      <c r="C458" s="1" t="n">
        <v>45991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37202-2024</t>
        </is>
      </c>
      <c r="B459" s="1" t="n">
        <v>45539.67310185185</v>
      </c>
      <c r="C459" s="1" t="n">
        <v>45991</v>
      </c>
      <c r="D459" t="inlineStr">
        <is>
          <t>GOTLANDS LÄN</t>
        </is>
      </c>
      <c r="E459" t="inlineStr">
        <is>
          <t>GOTLAND</t>
        </is>
      </c>
      <c r="G459" t="n">
        <v>0.3</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45991</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59197-2025</t>
        </is>
      </c>
      <c r="B461" s="1" t="n">
        <v>45988.59846064815</v>
      </c>
      <c r="C461" s="1" t="n">
        <v>45991</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46400-2023</t>
        </is>
      </c>
      <c r="B462" s="1" t="n">
        <v>45197.49290509259</v>
      </c>
      <c r="C462" s="1" t="n">
        <v>45991</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10492-2023</t>
        </is>
      </c>
      <c r="B463" s="1" t="n">
        <v>44987</v>
      </c>
      <c r="C463" s="1" t="n">
        <v>45991</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50928-2025</t>
        </is>
      </c>
      <c r="B464" s="1" t="n">
        <v>45946.67896990741</v>
      </c>
      <c r="C464" s="1" t="n">
        <v>45991</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45991</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16501-2023</t>
        </is>
      </c>
      <c r="B466" s="1" t="n">
        <v>45029</v>
      </c>
      <c r="C466" s="1" t="n">
        <v>45991</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45991</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45991</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45991</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45991</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45991</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14804-2021</t>
        </is>
      </c>
      <c r="B472" s="1" t="n">
        <v>44280</v>
      </c>
      <c r="C472" s="1" t="n">
        <v>45991</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45991</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45991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45991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45991</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45991</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45991</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45991</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45991</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42201-2023</t>
        </is>
      </c>
      <c r="B481" s="1" t="n">
        <v>45179</v>
      </c>
      <c r="C481" s="1" t="n">
        <v>45991</v>
      </c>
      <c r="D481" t="inlineStr">
        <is>
          <t>GOTLANDS LÄN</t>
        </is>
      </c>
      <c r="E481" t="inlineStr">
        <is>
          <t>GOTLAND</t>
        </is>
      </c>
      <c r="G481" t="n">
        <v>11.9</v>
      </c>
      <c r="H481" t="n">
        <v>0</v>
      </c>
      <c r="I481" t="n">
        <v>0</v>
      </c>
      <c r="J481" t="n">
        <v>0</v>
      </c>
      <c r="K481" t="n">
        <v>0</v>
      </c>
      <c r="L481" t="n">
        <v>0</v>
      </c>
      <c r="M481" t="n">
        <v>0</v>
      </c>
      <c r="N481" t="n">
        <v>0</v>
      </c>
      <c r="O481" t="n">
        <v>0</v>
      </c>
      <c r="P481" t="n">
        <v>0</v>
      </c>
      <c r="Q481" t="n">
        <v>0</v>
      </c>
      <c r="R481" s="2" t="inlineStr"/>
    </row>
    <row r="482" ht="15" customHeight="1">
      <c r="A482" t="inlineStr">
        <is>
          <t>A 3150-2025</t>
        </is>
      </c>
      <c r="B482" s="1" t="n">
        <v>45679.28974537037</v>
      </c>
      <c r="C482" s="1" t="n">
        <v>45991</v>
      </c>
      <c r="D482" t="inlineStr">
        <is>
          <t>GOTLANDS LÄN</t>
        </is>
      </c>
      <c r="E482" t="inlineStr">
        <is>
          <t>GOTLAND</t>
        </is>
      </c>
      <c r="G482" t="n">
        <v>2.5</v>
      </c>
      <c r="H482" t="n">
        <v>0</v>
      </c>
      <c r="I482" t="n">
        <v>0</v>
      </c>
      <c r="J482" t="n">
        <v>0</v>
      </c>
      <c r="K482" t="n">
        <v>0</v>
      </c>
      <c r="L482" t="n">
        <v>0</v>
      </c>
      <c r="M482" t="n">
        <v>0</v>
      </c>
      <c r="N482" t="n">
        <v>0</v>
      </c>
      <c r="O482" t="n">
        <v>0</v>
      </c>
      <c r="P482" t="n">
        <v>0</v>
      </c>
      <c r="Q482" t="n">
        <v>0</v>
      </c>
      <c r="R482" s="2" t="inlineStr"/>
    </row>
    <row r="483" ht="15" customHeight="1">
      <c r="A483" t="inlineStr">
        <is>
          <t>A 42041-2024</t>
        </is>
      </c>
      <c r="B483" s="1" t="n">
        <v>45561</v>
      </c>
      <c r="C483" s="1" t="n">
        <v>45991</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45991</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45991</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44682.82622685185</v>
      </c>
      <c r="C486" s="1" t="n">
        <v>45991</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63516-2023</t>
        </is>
      </c>
      <c r="B487" s="1" t="n">
        <v>45274</v>
      </c>
      <c r="C487" s="1" t="n">
        <v>45991</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53935-2024</t>
        </is>
      </c>
      <c r="B488" s="1" t="n">
        <v>45615</v>
      </c>
      <c r="C488" s="1" t="n">
        <v>45991</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45991</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48734-2022</t>
        </is>
      </c>
      <c r="B490" s="1" t="n">
        <v>44855</v>
      </c>
      <c r="C490" s="1" t="n">
        <v>45991</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23516-2023</t>
        </is>
      </c>
      <c r="B491" s="1" t="n">
        <v>45076.93391203704</v>
      </c>
      <c r="C491" s="1" t="n">
        <v>45991</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45991</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45991</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64555-2023</t>
        </is>
      </c>
      <c r="B494" s="1" t="n">
        <v>45281</v>
      </c>
      <c r="C494" s="1" t="n">
        <v>45991</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457-2023</t>
        </is>
      </c>
      <c r="B495" s="1" t="n">
        <v>44929.87238425926</v>
      </c>
      <c r="C495" s="1" t="n">
        <v>45991</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459-2023</t>
        </is>
      </c>
      <c r="B496" s="1" t="n">
        <v>44929.87423611111</v>
      </c>
      <c r="C496" s="1" t="n">
        <v>45991</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45991</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26891-2024</t>
        </is>
      </c>
      <c r="B498" s="1" t="n">
        <v>45470.65540509259</v>
      </c>
      <c r="C498" s="1" t="n">
        <v>45991</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45991</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45991</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45991</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5943-2024</t>
        </is>
      </c>
      <c r="B502" s="1" t="n">
        <v>45336</v>
      </c>
      <c r="C502" s="1" t="n">
        <v>45991</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38234-2023</t>
        </is>
      </c>
      <c r="B503" s="1" t="n">
        <v>45161.56663194444</v>
      </c>
      <c r="C503" s="1" t="n">
        <v>45991</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1273-2023</t>
        </is>
      </c>
      <c r="B504" s="1" t="n">
        <v>44936</v>
      </c>
      <c r="C504" s="1" t="n">
        <v>45991</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45991</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45991</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45991</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45991</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45991</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45991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45991</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45991</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10653-2023</t>
        </is>
      </c>
      <c r="B513" s="1" t="n">
        <v>44988.48859953704</v>
      </c>
      <c r="C513" s="1" t="n">
        <v>45991</v>
      </c>
      <c r="D513" t="inlineStr">
        <is>
          <t>GOTLANDS LÄN</t>
        </is>
      </c>
      <c r="E513" t="inlineStr">
        <is>
          <t>GOTLAND</t>
        </is>
      </c>
      <c r="F513" t="inlineStr">
        <is>
          <t>Kyrkan</t>
        </is>
      </c>
      <c r="G513" t="n">
        <v>3</v>
      </c>
      <c r="H513" t="n">
        <v>0</v>
      </c>
      <c r="I513" t="n">
        <v>0</v>
      </c>
      <c r="J513" t="n">
        <v>0</v>
      </c>
      <c r="K513" t="n">
        <v>0</v>
      </c>
      <c r="L513" t="n">
        <v>0</v>
      </c>
      <c r="M513" t="n">
        <v>0</v>
      </c>
      <c r="N513" t="n">
        <v>0</v>
      </c>
      <c r="O513" t="n">
        <v>0</v>
      </c>
      <c r="P513" t="n">
        <v>0</v>
      </c>
      <c r="Q513" t="n">
        <v>0</v>
      </c>
      <c r="R513" s="2" t="inlineStr"/>
    </row>
    <row r="514" ht="15" customHeight="1">
      <c r="A514" t="inlineStr">
        <is>
          <t>A 35512-2023</t>
        </is>
      </c>
      <c r="B514" s="1" t="n">
        <v>45147.25623842593</v>
      </c>
      <c r="C514" s="1" t="n">
        <v>45991</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45991</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20225-2025</t>
        </is>
      </c>
      <c r="B516" s="1" t="n">
        <v>45772.65802083333</v>
      </c>
      <c r="C516" s="1" t="n">
        <v>45991</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1677-2023</t>
        </is>
      </c>
      <c r="B517" s="1" t="n">
        <v>44938</v>
      </c>
      <c r="C517" s="1" t="n">
        <v>45991</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45991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45991</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46375-2024</t>
        </is>
      </c>
      <c r="B520" s="1" t="n">
        <v>45582</v>
      </c>
      <c r="C520" s="1" t="n">
        <v>45991</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62915-2021</t>
        </is>
      </c>
      <c r="B521" s="1" t="n">
        <v>44504</v>
      </c>
      <c r="C521" s="1" t="n">
        <v>45991</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45991</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45991</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43901-2023</t>
        </is>
      </c>
      <c r="B524" s="1" t="n">
        <v>45187</v>
      </c>
      <c r="C524" s="1" t="n">
        <v>45991</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45991</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45692-2023</t>
        </is>
      </c>
      <c r="B526" s="1" t="n">
        <v>45195</v>
      </c>
      <c r="C526" s="1" t="n">
        <v>45991</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37222-2021</t>
        </is>
      </c>
      <c r="B527" s="1" t="n">
        <v>44396</v>
      </c>
      <c r="C527" s="1" t="n">
        <v>45991</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46396-2023</t>
        </is>
      </c>
      <c r="B528" s="1" t="n">
        <v>45197</v>
      </c>
      <c r="C528" s="1" t="n">
        <v>45991</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58388-2022</t>
        </is>
      </c>
      <c r="B529" s="1" t="n">
        <v>44894</v>
      </c>
      <c r="C529" s="1" t="n">
        <v>45991</v>
      </c>
      <c r="D529" t="inlineStr">
        <is>
          <t>GOTLANDS LÄN</t>
        </is>
      </c>
      <c r="E529" t="inlineStr">
        <is>
          <t>GOTLAND</t>
        </is>
      </c>
      <c r="F529" t="inlineStr">
        <is>
          <t>Övriga statliga verk och myndigheter</t>
        </is>
      </c>
      <c r="G529" t="n">
        <v>3.1</v>
      </c>
      <c r="H529" t="n">
        <v>0</v>
      </c>
      <c r="I529" t="n">
        <v>0</v>
      </c>
      <c r="J529" t="n">
        <v>0</v>
      </c>
      <c r="K529" t="n">
        <v>0</v>
      </c>
      <c r="L529" t="n">
        <v>0</v>
      </c>
      <c r="M529" t="n">
        <v>0</v>
      </c>
      <c r="N529" t="n">
        <v>0</v>
      </c>
      <c r="O529" t="n">
        <v>0</v>
      </c>
      <c r="P529" t="n">
        <v>0</v>
      </c>
      <c r="Q529" t="n">
        <v>0</v>
      </c>
      <c r="R529" s="2" t="inlineStr"/>
    </row>
    <row r="530" ht="15" customHeight="1">
      <c r="A530" t="inlineStr">
        <is>
          <t>A 53934-2024</t>
        </is>
      </c>
      <c r="B530" s="1" t="n">
        <v>45615</v>
      </c>
      <c r="C530" s="1" t="n">
        <v>45991</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58132-2023</t>
        </is>
      </c>
      <c r="B531" s="1" t="n">
        <v>45250</v>
      </c>
      <c r="C531" s="1" t="n">
        <v>45991</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22899-2023</t>
        </is>
      </c>
      <c r="B532" s="1" t="n">
        <v>45072</v>
      </c>
      <c r="C532" s="1" t="n">
        <v>45991</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28285-2024</t>
        </is>
      </c>
      <c r="B533" s="1" t="n">
        <v>45477</v>
      </c>
      <c r="C533" s="1" t="n">
        <v>45991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45991</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45991</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45991</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2674-2023</t>
        </is>
      </c>
      <c r="B537" s="1" t="n">
        <v>44944</v>
      </c>
      <c r="C537" s="1" t="n">
        <v>45991</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61100-2022</t>
        </is>
      </c>
      <c r="B538" s="1" t="n">
        <v>44915</v>
      </c>
      <c r="C538" s="1" t="n">
        <v>45991</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45991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45991</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45991</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45991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49962-2023</t>
        </is>
      </c>
      <c r="B543" s="1" t="n">
        <v>45215.38775462963</v>
      </c>
      <c r="C543" s="1" t="n">
        <v>45991</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50744-2024</t>
        </is>
      </c>
      <c r="B544" s="1" t="n">
        <v>45602.4187037037</v>
      </c>
      <c r="C544" s="1" t="n">
        <v>45991</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45244-2024</t>
        </is>
      </c>
      <c r="B545" s="1" t="n">
        <v>45576</v>
      </c>
      <c r="C545" s="1" t="n">
        <v>45991</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38787-2023</t>
        </is>
      </c>
      <c r="B546" s="1" t="n">
        <v>45163</v>
      </c>
      <c r="C546" s="1" t="n">
        <v>45991</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45991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22897-2023</t>
        </is>
      </c>
      <c r="B548" s="1" t="n">
        <v>45072.55239583334</v>
      </c>
      <c r="C548" s="1" t="n">
        <v>45991</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45991</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45991</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45991</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45991</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45991</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45991</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45991</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45991</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45991</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45991</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45991</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45991</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5884-2025</t>
        </is>
      </c>
      <c r="B561" s="1" t="n">
        <v>45695.37482638889</v>
      </c>
      <c r="C561" s="1" t="n">
        <v>45991</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5897-2025</t>
        </is>
      </c>
      <c r="B562" s="1" t="n">
        <v>45695.39273148148</v>
      </c>
      <c r="C562" s="1" t="n">
        <v>45991</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45991</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45991</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45991</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45991</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45991</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12209-2024</t>
        </is>
      </c>
      <c r="B568" s="1" t="n">
        <v>45378</v>
      </c>
      <c r="C568" s="1" t="n">
        <v>45991</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12210-2024</t>
        </is>
      </c>
      <c r="B569" s="1" t="n">
        <v>45378</v>
      </c>
      <c r="C569" s="1" t="n">
        <v>45991</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45991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31802-2024</t>
        </is>
      </c>
      <c r="B571" s="1" t="n">
        <v>45509</v>
      </c>
      <c r="C571" s="1" t="n">
        <v>45991</v>
      </c>
      <c r="D571" t="inlineStr">
        <is>
          <t>GOTLANDS LÄN</t>
        </is>
      </c>
      <c r="E571" t="inlineStr">
        <is>
          <t>GOTLAND</t>
        </is>
      </c>
      <c r="G571" t="n">
        <v>2.8</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45991</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45991</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12327-2025</t>
        </is>
      </c>
      <c r="B574" s="1" t="n">
        <v>45730</v>
      </c>
      <c r="C574" s="1" t="n">
        <v>45991</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4420-2025</t>
        </is>
      </c>
      <c r="B575" s="1" t="n">
        <v>45686.47157407407</v>
      </c>
      <c r="C575" s="1" t="n">
        <v>45991</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14427-2024</t>
        </is>
      </c>
      <c r="B576" s="1" t="n">
        <v>45394</v>
      </c>
      <c r="C576" s="1" t="n">
        <v>45991</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45991</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45991</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45991</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45991</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64969-2023</t>
        </is>
      </c>
      <c r="B581" s="1" t="n">
        <v>45284.54009259259</v>
      </c>
      <c r="C581" s="1" t="n">
        <v>45991</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45991</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45991</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46949-2024</t>
        </is>
      </c>
      <c r="B584" s="1" t="n">
        <v>45585</v>
      </c>
      <c r="C584" s="1" t="n">
        <v>45991</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24001-2021</t>
        </is>
      </c>
      <c r="B585" s="1" t="n">
        <v>44335</v>
      </c>
      <c r="C585" s="1" t="n">
        <v>45991</v>
      </c>
      <c r="D585" t="inlineStr">
        <is>
          <t>GOTLANDS LÄN</t>
        </is>
      </c>
      <c r="E585" t="inlineStr">
        <is>
          <t>GOTLAND</t>
        </is>
      </c>
      <c r="G585" t="n">
        <v>3.4</v>
      </c>
      <c r="H585" t="n">
        <v>0</v>
      </c>
      <c r="I585" t="n">
        <v>0</v>
      </c>
      <c r="J585" t="n">
        <v>0</v>
      </c>
      <c r="K585" t="n">
        <v>0</v>
      </c>
      <c r="L585" t="n">
        <v>0</v>
      </c>
      <c r="M585" t="n">
        <v>0</v>
      </c>
      <c r="N585" t="n">
        <v>0</v>
      </c>
      <c r="O585" t="n">
        <v>0</v>
      </c>
      <c r="P585" t="n">
        <v>0</v>
      </c>
      <c r="Q585" t="n">
        <v>0</v>
      </c>
      <c r="R585" s="2" t="inlineStr"/>
    </row>
    <row r="586" ht="15" customHeight="1">
      <c r="A586" t="inlineStr">
        <is>
          <t>A 39479-2022</t>
        </is>
      </c>
      <c r="B586" s="1" t="n">
        <v>44818</v>
      </c>
      <c r="C586" s="1" t="n">
        <v>45991</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39496-2022</t>
        </is>
      </c>
      <c r="B587" s="1" t="n">
        <v>44818</v>
      </c>
      <c r="C587" s="1" t="n">
        <v>45991</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45991</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45991</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17682-2024</t>
        </is>
      </c>
      <c r="B590" s="1" t="n">
        <v>45418.42966435185</v>
      </c>
      <c r="C590" s="1" t="n">
        <v>45991</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61897-2024</t>
        </is>
      </c>
      <c r="B591" s="1" t="n">
        <v>45652.75685185185</v>
      </c>
      <c r="C591" s="1" t="n">
        <v>45991</v>
      </c>
      <c r="D591" t="inlineStr">
        <is>
          <t>GOTLANDS LÄN</t>
        </is>
      </c>
      <c r="E591" t="inlineStr">
        <is>
          <t>GOTLAND</t>
        </is>
      </c>
      <c r="G591" t="n">
        <v>6.4</v>
      </c>
      <c r="H591" t="n">
        <v>0</v>
      </c>
      <c r="I591" t="n">
        <v>0</v>
      </c>
      <c r="J591" t="n">
        <v>0</v>
      </c>
      <c r="K591" t="n">
        <v>0</v>
      </c>
      <c r="L591" t="n">
        <v>0</v>
      </c>
      <c r="M591" t="n">
        <v>0</v>
      </c>
      <c r="N591" t="n">
        <v>0</v>
      </c>
      <c r="O591" t="n">
        <v>0</v>
      </c>
      <c r="P591" t="n">
        <v>0</v>
      </c>
      <c r="Q591" t="n">
        <v>0</v>
      </c>
      <c r="R591" s="2" t="inlineStr"/>
    </row>
    <row r="592" ht="15" customHeight="1">
      <c r="A592" t="inlineStr">
        <is>
          <t>A 12032-2025</t>
        </is>
      </c>
      <c r="B592" s="1" t="n">
        <v>45728.64472222222</v>
      </c>
      <c r="C592" s="1" t="n">
        <v>45991</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15595-2024</t>
        </is>
      </c>
      <c r="B593" s="1" t="n">
        <v>45401.81480324074</v>
      </c>
      <c r="C593" s="1" t="n">
        <v>45991</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21164-2024</t>
        </is>
      </c>
      <c r="B594" s="1" t="n">
        <v>45440</v>
      </c>
      <c r="C594" s="1" t="n">
        <v>45991</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17541-2024</t>
        </is>
      </c>
      <c r="B595" s="1" t="n">
        <v>45415</v>
      </c>
      <c r="C595" s="1" t="n">
        <v>45991</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883-2025</t>
        </is>
      </c>
      <c r="B596" s="1" t="n">
        <v>45665</v>
      </c>
      <c r="C596" s="1" t="n">
        <v>45991</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45991</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20794-2025</t>
        </is>
      </c>
      <c r="B598" s="1" t="n">
        <v>45776</v>
      </c>
      <c r="C598" s="1" t="n">
        <v>45991</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20805-2025</t>
        </is>
      </c>
      <c r="B599" s="1" t="n">
        <v>45776</v>
      </c>
      <c r="C599" s="1" t="n">
        <v>45991</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21389-2025</t>
        </is>
      </c>
      <c r="B600" s="1" t="n">
        <v>45782</v>
      </c>
      <c r="C600" s="1" t="n">
        <v>45991</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21651-2025</t>
        </is>
      </c>
      <c r="B601" s="1" t="n">
        <v>45783</v>
      </c>
      <c r="C601" s="1" t="n">
        <v>45991</v>
      </c>
      <c r="D601" t="inlineStr">
        <is>
          <t>GOTLANDS LÄN</t>
        </is>
      </c>
      <c r="E601" t="inlineStr">
        <is>
          <t>GOTLAND</t>
        </is>
      </c>
      <c r="G601" t="n">
        <v>4.2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45991</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10656-2024</t>
        </is>
      </c>
      <c r="B603" s="1" t="n">
        <v>45368</v>
      </c>
      <c r="C603" s="1" t="n">
        <v>45991</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57356-2023</t>
        </is>
      </c>
      <c r="B604" s="1" t="n">
        <v>45240</v>
      </c>
      <c r="C604" s="1" t="n">
        <v>45991</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45991</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23188-2025</t>
        </is>
      </c>
      <c r="B606" s="1" t="n">
        <v>45791</v>
      </c>
      <c r="C606" s="1" t="n">
        <v>45991</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45991</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45991</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45991</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c r="A610" t="inlineStr">
        <is>
          <t>A 15073-2025</t>
        </is>
      </c>
      <c r="B610" s="1" t="n">
        <v>45743</v>
      </c>
      <c r="C610" s="1" t="n">
        <v>45991</v>
      </c>
      <c r="D610" t="inlineStr">
        <is>
          <t>GOTLANDS LÄN</t>
        </is>
      </c>
      <c r="E610" t="inlineStr">
        <is>
          <t>GOTLAND</t>
        </is>
      </c>
      <c r="G610" t="n">
        <v>12.1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2025-11-30T10:26:30Z</dcterms:created>
  <dcterms:modified xmlns:dcterms="http://purl.org/dc/terms/" xmlns:xsi="http://www.w3.org/2001/XMLSchema-instance" xsi:type="dcterms:W3CDTF">2025-11-30T10:26:30Z</dcterms:modified>
</cp:coreProperties>
</file>