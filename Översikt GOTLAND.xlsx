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45901</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45901</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4572-2025</t>
        </is>
      </c>
      <c r="B9" s="1" t="n">
        <v>45687</v>
      </c>
      <c r="C9" s="1" t="n">
        <v>45901</v>
      </c>
      <c r="D9" t="inlineStr">
        <is>
          <t>GOTLANDS LÄN</t>
        </is>
      </c>
      <c r="E9" t="inlineStr">
        <is>
          <t>GOTLAND</t>
        </is>
      </c>
      <c r="G9" t="n">
        <v>6.2</v>
      </c>
      <c r="H9" t="n">
        <v>13</v>
      </c>
      <c r="I9" t="n">
        <v>2</v>
      </c>
      <c r="J9" t="n">
        <v>10</v>
      </c>
      <c r="K9" t="n">
        <v>0</v>
      </c>
      <c r="L9" t="n">
        <v>1</v>
      </c>
      <c r="M9" t="n">
        <v>0</v>
      </c>
      <c r="N9" t="n">
        <v>0</v>
      </c>
      <c r="O9" t="n">
        <v>11</v>
      </c>
      <c r="P9" t="n">
        <v>1</v>
      </c>
      <c r="Q9" t="n">
        <v>18</v>
      </c>
      <c r="R9" s="2" t="inlineStr">
        <is>
          <t>Brun glada
Apollofjäril
Axveronika
Backtimjan
Havsörn
Jordtistel
Mindre hackspett
Reliktbock
Solvända
Spillkråka
Svartfläckig blåvinge
Purpurknipprot
Skogsknipprot
Brudsporre
Grönvit nattviol
Nattviol
Sankt pers nycklar
Blåsippa</t>
        </is>
      </c>
      <c r="S9">
        <f>HYPERLINK("https://klasma.github.io/Logging_0980/artfynd/A 4572-2025 artfynd.xlsx", "A 4572-2025")</f>
        <v/>
      </c>
      <c r="T9">
        <f>HYPERLINK("https://klasma.github.io/Logging_0980/kartor/A 4572-2025 karta.png", "A 4572-2025")</f>
        <v/>
      </c>
      <c r="V9">
        <f>HYPERLINK("https://klasma.github.io/Logging_0980/klagomål/A 4572-2025 FSC-klagomål.docx", "A 4572-2025")</f>
        <v/>
      </c>
      <c r="W9">
        <f>HYPERLINK("https://klasma.github.io/Logging_0980/klagomålsmail/A 4572-2025 FSC-klagomål mail.docx", "A 4572-2025")</f>
        <v/>
      </c>
      <c r="X9">
        <f>HYPERLINK("https://klasma.github.io/Logging_0980/tillsyn/A 4572-2025 tillsynsbegäran.docx", "A 4572-2025")</f>
        <v/>
      </c>
      <c r="Y9">
        <f>HYPERLINK("https://klasma.github.io/Logging_0980/tillsynsmail/A 4572-2025 tillsynsbegäran mail.docx", "A 4572-2025")</f>
        <v/>
      </c>
      <c r="Z9">
        <f>HYPERLINK("https://klasma.github.io/Logging_0980/fåglar/A 4572-2025 prioriterade fågelarter.docx", "A 4572-2025")</f>
        <v/>
      </c>
    </row>
    <row r="10" ht="15" customHeight="1">
      <c r="A10" t="inlineStr">
        <is>
          <t>A 530-2024</t>
        </is>
      </c>
      <c r="B10" s="1" t="n">
        <v>45299</v>
      </c>
      <c r="C10" s="1" t="n">
        <v>45901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8645-2025</t>
        </is>
      </c>
      <c r="B11" s="1" t="n">
        <v>45712</v>
      </c>
      <c r="C11" s="1" t="n">
        <v>45901</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45901</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45901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45901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45901</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45901</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45901</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45901</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45901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45901</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45901</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45901</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45901</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45901</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2804-2023</t>
        </is>
      </c>
      <c r="B25" s="1" t="n">
        <v>44944</v>
      </c>
      <c r="C25" s="1" t="n">
        <v>45901</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45901</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45901</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45901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45901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45901</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45901</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45901</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45901</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45901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45901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45901</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45901</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45901</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45901</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45901</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45901</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45901</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45901</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45901</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45901</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45901</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45901</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45901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45901</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45901</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45901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45901</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45901</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45901</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45901</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45901</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45901</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45901</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45901</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45901</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45901</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16823-2024</t>
        </is>
      </c>
      <c r="B62" s="1" t="n">
        <v>45411</v>
      </c>
      <c r="C62" s="1" t="n">
        <v>45901</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7038-2023</t>
        </is>
      </c>
      <c r="B63" s="1" t="n">
        <v>44968</v>
      </c>
      <c r="C63" s="1" t="n">
        <v>45901</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45901</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45901</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45901</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45901</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45901</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45901</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45901</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45901</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45901</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45901</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45901</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45901</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45901</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45901</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45901</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45901</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45901</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45901</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45901</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45901</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45901</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45901</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45901</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45901</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45901</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45901</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45901</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45901</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45901</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45901</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45901</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45901</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30490-2025</t>
        </is>
      </c>
      <c r="B96" s="1" t="n">
        <v>45830</v>
      </c>
      <c r="C96" s="1" t="n">
        <v>45901</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45901</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12315-2024</t>
        </is>
      </c>
      <c r="B98" s="1" t="n">
        <v>45378.6434837963</v>
      </c>
      <c r="C98" s="1" t="n">
        <v>45901</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45901</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45901</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62326-2020</t>
        </is>
      </c>
      <c r="B101" s="1" t="n">
        <v>44160</v>
      </c>
      <c r="C101" s="1" t="n">
        <v>45901</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53552-2021</t>
        </is>
      </c>
      <c r="B102" s="1" t="n">
        <v>44468</v>
      </c>
      <c r="C102" s="1" t="n">
        <v>45901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45901</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45901</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45901</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45901</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45901</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45901</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45901</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45901</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26077-2024</t>
        </is>
      </c>
      <c r="B111" s="1" t="n">
        <v>45467</v>
      </c>
      <c r="C111" s="1" t="n">
        <v>45901</v>
      </c>
      <c r="D111" t="inlineStr">
        <is>
          <t>GOTLANDS LÄN</t>
        </is>
      </c>
      <c r="E111" t="inlineStr">
        <is>
          <t>GOTLAND</t>
        </is>
      </c>
      <c r="G111" t="n">
        <v>4.6</v>
      </c>
      <c r="H111" t="n">
        <v>0</v>
      </c>
      <c r="I111" t="n">
        <v>0</v>
      </c>
      <c r="J111" t="n">
        <v>1</v>
      </c>
      <c r="K111" t="n">
        <v>0</v>
      </c>
      <c r="L111" t="n">
        <v>1</v>
      </c>
      <c r="M111" t="n">
        <v>0</v>
      </c>
      <c r="N111" t="n">
        <v>0</v>
      </c>
      <c r="O111" t="n">
        <v>2</v>
      </c>
      <c r="P111" t="n">
        <v>1</v>
      </c>
      <c r="Q111" t="n">
        <v>2</v>
      </c>
      <c r="R111" s="2" t="inlineStr">
        <is>
          <t>Ask
Tallticka</t>
        </is>
      </c>
      <c r="S111">
        <f>HYPERLINK("https://klasma.github.io/Logging_0980/artfynd/A 26077-2024 artfynd.xlsx", "A 26077-2024")</f>
        <v/>
      </c>
      <c r="T111">
        <f>HYPERLINK("https://klasma.github.io/Logging_0980/kartor/A 26077-2024 karta.png", "A 26077-2024")</f>
        <v/>
      </c>
      <c r="V111">
        <f>HYPERLINK("https://klasma.github.io/Logging_0980/klagomål/A 26077-2024 FSC-klagomål.docx", "A 26077-2024")</f>
        <v/>
      </c>
      <c r="W111">
        <f>HYPERLINK("https://klasma.github.io/Logging_0980/klagomålsmail/A 26077-2024 FSC-klagomål mail.docx", "A 26077-2024")</f>
        <v/>
      </c>
      <c r="X111">
        <f>HYPERLINK("https://klasma.github.io/Logging_0980/tillsyn/A 26077-2024 tillsynsbegäran.docx", "A 26077-2024")</f>
        <v/>
      </c>
      <c r="Y111">
        <f>HYPERLINK("https://klasma.github.io/Logging_0980/tillsynsmail/A 26077-2024 tillsynsbegäran mail.docx", "A 26077-2024")</f>
        <v/>
      </c>
    </row>
    <row r="112" ht="15" customHeight="1">
      <c r="A112" t="inlineStr">
        <is>
          <t>A 54357-2024</t>
        </is>
      </c>
      <c r="B112" s="1" t="n">
        <v>45617.40662037037</v>
      </c>
      <c r="C112" s="1" t="n">
        <v>45901</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58701-2020</t>
        </is>
      </c>
      <c r="B113" s="1" t="n">
        <v>44146</v>
      </c>
      <c r="C113" s="1" t="n">
        <v>45901</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45901</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45901</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45901</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45901</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41238-2025</t>
        </is>
      </c>
      <c r="B118" s="1" t="n">
        <v>45898</v>
      </c>
      <c r="C118" s="1" t="n">
        <v>45901</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55649-2024</t>
        </is>
      </c>
      <c r="B119" s="1" t="n">
        <v>45622.63053240741</v>
      </c>
      <c r="C119" s="1" t="n">
        <v>45901</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20838-2024</t>
        </is>
      </c>
      <c r="B120" s="1" t="n">
        <v>45439</v>
      </c>
      <c r="C120" s="1" t="n">
        <v>45901</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45901</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45901</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45901</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45901</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45901</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45901</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45901</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45901</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45901</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45901</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10218-2025</t>
        </is>
      </c>
      <c r="B131" s="1" t="n">
        <v>45720</v>
      </c>
      <c r="C131" s="1" t="n">
        <v>45901</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12379-2024</t>
        </is>
      </c>
      <c r="B132" s="1" t="n">
        <v>45379.28155092592</v>
      </c>
      <c r="C132" s="1" t="n">
        <v>45901</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20429-2025</t>
        </is>
      </c>
      <c r="B133" s="1" t="n">
        <v>45775.47728009259</v>
      </c>
      <c r="C133" s="1" t="n">
        <v>45901</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45901</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45901</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21466-2025</t>
        </is>
      </c>
      <c r="B136" s="1" t="n">
        <v>45782</v>
      </c>
      <c r="C136" s="1" t="n">
        <v>45901</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27589-2023</t>
        </is>
      </c>
      <c r="B137" s="1" t="n">
        <v>45097</v>
      </c>
      <c r="C137" s="1" t="n">
        <v>45901</v>
      </c>
      <c r="D137" t="inlineStr">
        <is>
          <t>GOTLANDS LÄN</t>
        </is>
      </c>
      <c r="E137" t="inlineStr">
        <is>
          <t>GOTLAND</t>
        </is>
      </c>
      <c r="G137" t="n">
        <v>5.4</v>
      </c>
      <c r="H137" t="n">
        <v>0</v>
      </c>
      <c r="I137" t="n">
        <v>0</v>
      </c>
      <c r="J137" t="n">
        <v>0</v>
      </c>
      <c r="K137" t="n">
        <v>0</v>
      </c>
      <c r="L137" t="n">
        <v>0</v>
      </c>
      <c r="M137" t="n">
        <v>1</v>
      </c>
      <c r="N137" t="n">
        <v>0</v>
      </c>
      <c r="O137" t="n">
        <v>1</v>
      </c>
      <c r="P137" t="n">
        <v>1</v>
      </c>
      <c r="Q137" t="n">
        <v>1</v>
      </c>
      <c r="R137" s="2" t="inlineStr">
        <is>
          <t>Skogsalm</t>
        </is>
      </c>
      <c r="S137">
        <f>HYPERLINK("https://klasma.github.io/Logging_0980/artfynd/A 27589-2023 artfynd.xlsx", "A 27589-2023")</f>
        <v/>
      </c>
      <c r="T137">
        <f>HYPERLINK("https://klasma.github.io/Logging_0980/kartor/A 27589-2023 karta.png", "A 27589-2023")</f>
        <v/>
      </c>
      <c r="V137">
        <f>HYPERLINK("https://klasma.github.io/Logging_0980/klagomål/A 27589-2023 FSC-klagomål.docx", "A 27589-2023")</f>
        <v/>
      </c>
      <c r="W137">
        <f>HYPERLINK("https://klasma.github.io/Logging_0980/klagomålsmail/A 27589-2023 FSC-klagomål mail.docx", "A 27589-2023")</f>
        <v/>
      </c>
      <c r="X137">
        <f>HYPERLINK("https://klasma.github.io/Logging_0980/tillsyn/A 27589-2023 tillsynsbegäran.docx", "A 27589-2023")</f>
        <v/>
      </c>
      <c r="Y137">
        <f>HYPERLINK("https://klasma.github.io/Logging_0980/tillsynsmail/A 27589-2023 tillsynsbegäran mail.docx", "A 27589-2023")</f>
        <v/>
      </c>
    </row>
    <row r="138" ht="15" customHeight="1">
      <c r="A138" t="inlineStr">
        <is>
          <t>A 35574-2024</t>
        </is>
      </c>
      <c r="B138" s="1" t="n">
        <v>45531</v>
      </c>
      <c r="C138" s="1" t="n">
        <v>45901</v>
      </c>
      <c r="D138" t="inlineStr">
        <is>
          <t>GOTLANDS LÄN</t>
        </is>
      </c>
      <c r="E138" t="inlineStr">
        <is>
          <t>GOTLAND</t>
        </is>
      </c>
      <c r="G138" t="n">
        <v>5.7</v>
      </c>
      <c r="H138" t="n">
        <v>0</v>
      </c>
      <c r="I138" t="n">
        <v>1</v>
      </c>
      <c r="J138" t="n">
        <v>0</v>
      </c>
      <c r="K138" t="n">
        <v>0</v>
      </c>
      <c r="L138" t="n">
        <v>0</v>
      </c>
      <c r="M138" t="n">
        <v>0</v>
      </c>
      <c r="N138" t="n">
        <v>0</v>
      </c>
      <c r="O138" t="n">
        <v>0</v>
      </c>
      <c r="P138" t="n">
        <v>0</v>
      </c>
      <c r="Q138" t="n">
        <v>1</v>
      </c>
      <c r="R138" s="2" t="inlineStr">
        <is>
          <t>Murgröna</t>
        </is>
      </c>
      <c r="S138">
        <f>HYPERLINK("https://klasma.github.io/Logging_0980/artfynd/A 35574-2024 artfynd.xlsx", "A 35574-2024")</f>
        <v/>
      </c>
      <c r="T138">
        <f>HYPERLINK("https://klasma.github.io/Logging_0980/kartor/A 35574-2024 karta.png", "A 35574-2024")</f>
        <v/>
      </c>
      <c r="V138">
        <f>HYPERLINK("https://klasma.github.io/Logging_0980/klagomål/A 35574-2024 FSC-klagomål.docx", "A 35574-2024")</f>
        <v/>
      </c>
      <c r="W138">
        <f>HYPERLINK("https://klasma.github.io/Logging_0980/klagomålsmail/A 35574-2024 FSC-klagomål mail.docx", "A 35574-2024")</f>
        <v/>
      </c>
      <c r="X138">
        <f>HYPERLINK("https://klasma.github.io/Logging_0980/tillsyn/A 35574-2024 tillsynsbegäran.docx", "A 35574-2024")</f>
        <v/>
      </c>
      <c r="Y138">
        <f>HYPERLINK("https://klasma.github.io/Logging_0980/tillsynsmail/A 35574-2024 tillsynsbegäran mail.docx", "A 35574-2024")</f>
        <v/>
      </c>
    </row>
    <row r="139" ht="15" customHeight="1">
      <c r="A139" t="inlineStr">
        <is>
          <t>A 10440-2024</t>
        </is>
      </c>
      <c r="B139" s="1" t="n">
        <v>45366.32818287037</v>
      </c>
      <c r="C139" s="1" t="n">
        <v>45901</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7637-2025</t>
        </is>
      </c>
      <c r="B140" s="1" t="n">
        <v>45705.77181712963</v>
      </c>
      <c r="C140" s="1" t="n">
        <v>45901</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44958-2020</t>
        </is>
      </c>
      <c r="B141" s="1" t="n">
        <v>44088</v>
      </c>
      <c r="C141" s="1" t="n">
        <v>45901</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25977-2024</t>
        </is>
      </c>
      <c r="B142" s="1" t="n">
        <v>45467.69356481481</v>
      </c>
      <c r="C142" s="1" t="n">
        <v>45901</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12924-2025</t>
        </is>
      </c>
      <c r="B143" s="1" t="n">
        <v>45734</v>
      </c>
      <c r="C143" s="1" t="n">
        <v>45901</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6303-2024</t>
        </is>
      </c>
      <c r="B144" s="1" t="n">
        <v>45338.35376157407</v>
      </c>
      <c r="C144" s="1" t="n">
        <v>45901</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45901</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45901</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44468-2024</t>
        </is>
      </c>
      <c r="B147" s="1" t="n">
        <v>45574.36651620371</v>
      </c>
      <c r="C147" s="1" t="n">
        <v>45901</v>
      </c>
      <c r="D147" t="inlineStr">
        <is>
          <t>GOTLANDS LÄN</t>
        </is>
      </c>
      <c r="E147" t="inlineStr">
        <is>
          <t>GOTLAND</t>
        </is>
      </c>
      <c r="G147" t="n">
        <v>7</v>
      </c>
      <c r="H147" t="n">
        <v>0</v>
      </c>
      <c r="I147" t="n">
        <v>0</v>
      </c>
      <c r="J147" t="n">
        <v>0</v>
      </c>
      <c r="K147" t="n">
        <v>0</v>
      </c>
      <c r="L147" t="n">
        <v>0</v>
      </c>
      <c r="M147" t="n">
        <v>1</v>
      </c>
      <c r="N147" t="n">
        <v>0</v>
      </c>
      <c r="O147" t="n">
        <v>1</v>
      </c>
      <c r="P147" t="n">
        <v>1</v>
      </c>
      <c r="Q147" t="n">
        <v>1</v>
      </c>
      <c r="R147" s="2" t="inlineStr">
        <is>
          <t>Skogsalm</t>
        </is>
      </c>
      <c r="S147">
        <f>HYPERLINK("https://klasma.github.io/Logging_0980/artfynd/A 44468-2024 artfynd.xlsx", "A 44468-2024")</f>
        <v/>
      </c>
      <c r="T147">
        <f>HYPERLINK("https://klasma.github.io/Logging_0980/kartor/A 44468-2024 karta.png", "A 44468-2024")</f>
        <v/>
      </c>
      <c r="V147">
        <f>HYPERLINK("https://klasma.github.io/Logging_0980/klagomål/A 44468-2024 FSC-klagomål.docx", "A 44468-2024")</f>
        <v/>
      </c>
      <c r="W147">
        <f>HYPERLINK("https://klasma.github.io/Logging_0980/klagomålsmail/A 44468-2024 FSC-klagomål mail.docx", "A 44468-2024")</f>
        <v/>
      </c>
      <c r="X147">
        <f>HYPERLINK("https://klasma.github.io/Logging_0980/tillsyn/A 44468-2024 tillsynsbegäran.docx", "A 44468-2024")</f>
        <v/>
      </c>
      <c r="Y147">
        <f>HYPERLINK("https://klasma.github.io/Logging_0980/tillsynsmail/A 44468-2024 tillsynsbegäran mail.docx", "A 44468-2024")</f>
        <v/>
      </c>
    </row>
    <row r="148" ht="15" customHeight="1">
      <c r="A148" t="inlineStr">
        <is>
          <t>A 61796-2022</t>
        </is>
      </c>
      <c r="B148" s="1" t="n">
        <v>44917</v>
      </c>
      <c r="C148" s="1" t="n">
        <v>45901</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34809-2024</t>
        </is>
      </c>
      <c r="B149" s="1" t="n">
        <v>45526</v>
      </c>
      <c r="C149" s="1" t="n">
        <v>45901</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43219-2023</t>
        </is>
      </c>
      <c r="B150" s="1" t="n">
        <v>45183</v>
      </c>
      <c r="C150" s="1" t="n">
        <v>45901</v>
      </c>
      <c r="D150" t="inlineStr">
        <is>
          <t>GOTLANDS LÄN</t>
        </is>
      </c>
      <c r="E150" t="inlineStr">
        <is>
          <t>GOTLAND</t>
        </is>
      </c>
      <c r="G150" t="n">
        <v>3.6</v>
      </c>
      <c r="H150" t="n">
        <v>1</v>
      </c>
      <c r="I150" t="n">
        <v>0</v>
      </c>
      <c r="J150" t="n">
        <v>0</v>
      </c>
      <c r="K150" t="n">
        <v>0</v>
      </c>
      <c r="L150" t="n">
        <v>0</v>
      </c>
      <c r="M150" t="n">
        <v>0</v>
      </c>
      <c r="N150" t="n">
        <v>0</v>
      </c>
      <c r="O150" t="n">
        <v>0</v>
      </c>
      <c r="P150" t="n">
        <v>0</v>
      </c>
      <c r="Q150" t="n">
        <v>1</v>
      </c>
      <c r="R150" s="2" t="inlineStr">
        <is>
          <t>Skogsduva</t>
        </is>
      </c>
      <c r="S150">
        <f>HYPERLINK("https://klasma.github.io/Logging_0980/artfynd/A 43219-2023 artfynd.xlsx", "A 43219-2023")</f>
        <v/>
      </c>
      <c r="T150">
        <f>HYPERLINK("https://klasma.github.io/Logging_0980/kartor/A 43219-2023 karta.png", "A 43219-2023")</f>
        <v/>
      </c>
      <c r="V150">
        <f>HYPERLINK("https://klasma.github.io/Logging_0980/klagomål/A 43219-2023 FSC-klagomål.docx", "A 43219-2023")</f>
        <v/>
      </c>
      <c r="W150">
        <f>HYPERLINK("https://klasma.github.io/Logging_0980/klagomålsmail/A 43219-2023 FSC-klagomål mail.docx", "A 43219-2023")</f>
        <v/>
      </c>
      <c r="X150">
        <f>HYPERLINK("https://klasma.github.io/Logging_0980/tillsyn/A 43219-2023 tillsynsbegäran.docx", "A 43219-2023")</f>
        <v/>
      </c>
      <c r="Y150">
        <f>HYPERLINK("https://klasma.github.io/Logging_0980/tillsynsmail/A 43219-2023 tillsynsbegäran mail.docx", "A 43219-2023")</f>
        <v/>
      </c>
      <c r="Z150">
        <f>HYPERLINK("https://klasma.github.io/Logging_0980/fåglar/A 43219-2023 prioriterade fågelarter.docx", "A 43219-2023")</f>
        <v/>
      </c>
    </row>
    <row r="151" ht="15" customHeight="1">
      <c r="A151" t="inlineStr">
        <is>
          <t>A 15637-2024</t>
        </is>
      </c>
      <c r="B151" s="1" t="n">
        <v>45403.6684837963</v>
      </c>
      <c r="C151" s="1" t="n">
        <v>45901</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45901</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2476-2025</t>
        </is>
      </c>
      <c r="B153" s="1" t="n">
        <v>45673</v>
      </c>
      <c r="C153" s="1" t="n">
        <v>45901</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9862-2024</t>
        </is>
      </c>
      <c r="B154" s="1" t="n">
        <v>45363</v>
      </c>
      <c r="C154" s="1" t="n">
        <v>45901</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61561-2023</t>
        </is>
      </c>
      <c r="B155" s="1" t="n">
        <v>45265</v>
      </c>
      <c r="C155" s="1" t="n">
        <v>45901</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8725-2025</t>
        </is>
      </c>
      <c r="B156" s="1" t="n">
        <v>45712</v>
      </c>
      <c r="C156" s="1" t="n">
        <v>45901</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45901</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39812-2025</t>
        </is>
      </c>
      <c r="B158" s="1" t="n">
        <v>45891</v>
      </c>
      <c r="C158" s="1" t="n">
        <v>45901</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62552-2022</t>
        </is>
      </c>
      <c r="B159" s="1" t="n">
        <v>44924</v>
      </c>
      <c r="C159" s="1" t="n">
        <v>45901</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44088-2022</t>
        </is>
      </c>
      <c r="B160" s="1" t="n">
        <v>44839</v>
      </c>
      <c r="C160" s="1" t="n">
        <v>45901</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63299-2020</t>
        </is>
      </c>
      <c r="B161" s="1" t="n">
        <v>44165</v>
      </c>
      <c r="C161" s="1" t="n">
        <v>45901</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45901</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45901</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45901</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45901</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45901</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45901</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45901</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45901</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45901</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45901</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45901</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45901</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45901</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45901</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45901</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45901</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45901</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45901</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45901</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45901</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45901</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45901</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45901</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45901</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45901</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45901</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45901</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45901</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45901</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45901</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45901</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45901</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45901</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45901</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45901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45901</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45901</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45901</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45901</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45901</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45901</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45901</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45901</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45901</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45901</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45901</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45901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45901</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45901</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45901</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45901</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45901</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45901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45901</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45901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45901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45901</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45901</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45901</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45901</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45901</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45901</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45901</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37037-2021</t>
        </is>
      </c>
      <c r="B234" s="1" t="n">
        <v>44393.84688657407</v>
      </c>
      <c r="C234" s="1" t="n">
        <v>45901</v>
      </c>
      <c r="D234" t="inlineStr">
        <is>
          <t>GOTLANDS LÄN</t>
        </is>
      </c>
      <c r="E234" t="inlineStr">
        <is>
          <t>GOTLAND</t>
        </is>
      </c>
      <c r="G234" t="n">
        <v>10.2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45901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45901</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45901</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45901</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45901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45901</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60086-2022</t>
        </is>
      </c>
      <c r="B241" s="1" t="n">
        <v>44909</v>
      </c>
      <c r="C241" s="1" t="n">
        <v>45901</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45901</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28480-2023</t>
        </is>
      </c>
      <c r="B243" s="1" t="n">
        <v>45103</v>
      </c>
      <c r="C243" s="1" t="n">
        <v>45901</v>
      </c>
      <c r="D243" t="inlineStr">
        <is>
          <t>GOTLANDS LÄN</t>
        </is>
      </c>
      <c r="E243" t="inlineStr">
        <is>
          <t>GOTLAND</t>
        </is>
      </c>
      <c r="G243" t="n">
        <v>5.7</v>
      </c>
      <c r="H243" t="n">
        <v>0</v>
      </c>
      <c r="I243" t="n">
        <v>0</v>
      </c>
      <c r="J243" t="n">
        <v>0</v>
      </c>
      <c r="K243" t="n">
        <v>0</v>
      </c>
      <c r="L243" t="n">
        <v>0</v>
      </c>
      <c r="M243" t="n">
        <v>0</v>
      </c>
      <c r="N243" t="n">
        <v>0</v>
      </c>
      <c r="O243" t="n">
        <v>0</v>
      </c>
      <c r="P243" t="n">
        <v>0</v>
      </c>
      <c r="Q243" t="n">
        <v>0</v>
      </c>
      <c r="R243" s="2" t="inlineStr"/>
    </row>
    <row r="244" ht="15" customHeight="1">
      <c r="A244" t="inlineStr">
        <is>
          <t>A 28485-2023</t>
        </is>
      </c>
      <c r="B244" s="1" t="n">
        <v>45103.43731481482</v>
      </c>
      <c r="C244" s="1" t="n">
        <v>45901</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45901</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37591-2023</t>
        </is>
      </c>
      <c r="B246" s="1" t="n">
        <v>45159</v>
      </c>
      <c r="C246" s="1" t="n">
        <v>45901</v>
      </c>
      <c r="D246" t="inlineStr">
        <is>
          <t>GOTLANDS LÄN</t>
        </is>
      </c>
      <c r="E246" t="inlineStr">
        <is>
          <t>GOTLAND</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30282-2022</t>
        </is>
      </c>
      <c r="B247" s="1" t="n">
        <v>44760</v>
      </c>
      <c r="C247" s="1" t="n">
        <v>45901</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45901</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18223-2025</t>
        </is>
      </c>
      <c r="B249" s="1" t="n">
        <v>45761</v>
      </c>
      <c r="C249" s="1" t="n">
        <v>45901</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4420-2025</t>
        </is>
      </c>
      <c r="B250" s="1" t="n">
        <v>45686.47157407407</v>
      </c>
      <c r="C250" s="1" t="n">
        <v>45901</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4868-2024</t>
        </is>
      </c>
      <c r="B251" s="1" t="n">
        <v>45329</v>
      </c>
      <c r="C251" s="1" t="n">
        <v>45901</v>
      </c>
      <c r="D251" t="inlineStr">
        <is>
          <t>GOTLANDS LÄN</t>
        </is>
      </c>
      <c r="E251" t="inlineStr">
        <is>
          <t>GOTLAND</t>
        </is>
      </c>
      <c r="G251" t="n">
        <v>7.1</v>
      </c>
      <c r="H251" t="n">
        <v>0</v>
      </c>
      <c r="I251" t="n">
        <v>0</v>
      </c>
      <c r="J251" t="n">
        <v>0</v>
      </c>
      <c r="K251" t="n">
        <v>0</v>
      </c>
      <c r="L251" t="n">
        <v>0</v>
      </c>
      <c r="M251" t="n">
        <v>0</v>
      </c>
      <c r="N251" t="n">
        <v>0</v>
      </c>
      <c r="O251" t="n">
        <v>0</v>
      </c>
      <c r="P251" t="n">
        <v>0</v>
      </c>
      <c r="Q251" t="n">
        <v>0</v>
      </c>
      <c r="R251" s="2" t="inlineStr"/>
    </row>
    <row r="252" ht="15" customHeight="1">
      <c r="A252" t="inlineStr">
        <is>
          <t>A 6108-2025</t>
        </is>
      </c>
      <c r="B252" s="1" t="n">
        <v>45698.29880787037</v>
      </c>
      <c r="C252" s="1" t="n">
        <v>45901</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8701-2025</t>
        </is>
      </c>
      <c r="B253" s="1" t="n">
        <v>45712</v>
      </c>
      <c r="C253" s="1" t="n">
        <v>45901</v>
      </c>
      <c r="D253" t="inlineStr">
        <is>
          <t>GOTLANDS LÄN</t>
        </is>
      </c>
      <c r="E253" t="inlineStr">
        <is>
          <t>GOTLAND</t>
        </is>
      </c>
      <c r="G253" t="n">
        <v>7</v>
      </c>
      <c r="H253" t="n">
        <v>0</v>
      </c>
      <c r="I253" t="n">
        <v>0</v>
      </c>
      <c r="J253" t="n">
        <v>0</v>
      </c>
      <c r="K253" t="n">
        <v>0</v>
      </c>
      <c r="L253" t="n">
        <v>0</v>
      </c>
      <c r="M253" t="n">
        <v>0</v>
      </c>
      <c r="N253" t="n">
        <v>0</v>
      </c>
      <c r="O253" t="n">
        <v>0</v>
      </c>
      <c r="P253" t="n">
        <v>0</v>
      </c>
      <c r="Q253" t="n">
        <v>0</v>
      </c>
      <c r="R253" s="2" t="inlineStr"/>
    </row>
    <row r="254" ht="15" customHeight="1">
      <c r="A254" t="inlineStr">
        <is>
          <t>A 44949-2023</t>
        </is>
      </c>
      <c r="B254" s="1" t="n">
        <v>45190.69520833333</v>
      </c>
      <c r="C254" s="1" t="n">
        <v>45901</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5891-2025</t>
        </is>
      </c>
      <c r="B255" s="1" t="n">
        <v>45695.38327546296</v>
      </c>
      <c r="C255" s="1" t="n">
        <v>45901</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24966-2023</t>
        </is>
      </c>
      <c r="B256" s="1" t="n">
        <v>45085</v>
      </c>
      <c r="C256" s="1" t="n">
        <v>45901</v>
      </c>
      <c r="D256" t="inlineStr">
        <is>
          <t>GOTLANDS LÄN</t>
        </is>
      </c>
      <c r="E256" t="inlineStr">
        <is>
          <t>GOTLAND</t>
        </is>
      </c>
      <c r="G256" t="n">
        <v>7</v>
      </c>
      <c r="H256" t="n">
        <v>0</v>
      </c>
      <c r="I256" t="n">
        <v>0</v>
      </c>
      <c r="J256" t="n">
        <v>0</v>
      </c>
      <c r="K256" t="n">
        <v>0</v>
      </c>
      <c r="L256" t="n">
        <v>0</v>
      </c>
      <c r="M256" t="n">
        <v>0</v>
      </c>
      <c r="N256" t="n">
        <v>0</v>
      </c>
      <c r="O256" t="n">
        <v>0</v>
      </c>
      <c r="P256" t="n">
        <v>0</v>
      </c>
      <c r="Q256" t="n">
        <v>0</v>
      </c>
      <c r="R256" s="2" t="inlineStr"/>
    </row>
    <row r="257" ht="15" customHeight="1">
      <c r="A257" t="inlineStr">
        <is>
          <t>A 46189-2022</t>
        </is>
      </c>
      <c r="B257" s="1" t="n">
        <v>44847</v>
      </c>
      <c r="C257" s="1" t="n">
        <v>45901</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37222-2021</t>
        </is>
      </c>
      <c r="B258" s="1" t="n">
        <v>44396</v>
      </c>
      <c r="C258" s="1" t="n">
        <v>45901</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7835-2024</t>
        </is>
      </c>
      <c r="B259" s="1" t="n">
        <v>45349.83138888889</v>
      </c>
      <c r="C259" s="1" t="n">
        <v>45901</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45901</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20812-2025</t>
        </is>
      </c>
      <c r="B261" s="1" t="n">
        <v>45776</v>
      </c>
      <c r="C261" s="1" t="n">
        <v>45901</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45901</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45901</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45901</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45901</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45901</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45084-2024</t>
        </is>
      </c>
      <c r="B267" s="1" t="n">
        <v>45575</v>
      </c>
      <c r="C267" s="1" t="n">
        <v>45901</v>
      </c>
      <c r="D267" t="inlineStr">
        <is>
          <t>GOTLANDS LÄN</t>
        </is>
      </c>
      <c r="E267" t="inlineStr">
        <is>
          <t>GOTLAND</t>
        </is>
      </c>
      <c r="G267" t="n">
        <v>6.8</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45901</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45901</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21142-2025</t>
        </is>
      </c>
      <c r="B270" s="1" t="n">
        <v>45779</v>
      </c>
      <c r="C270" s="1" t="n">
        <v>45901</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45901</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13627-2023</t>
        </is>
      </c>
      <c r="B272" s="1" t="n">
        <v>45006</v>
      </c>
      <c r="C272" s="1" t="n">
        <v>45901</v>
      </c>
      <c r="D272" t="inlineStr">
        <is>
          <t>GOTLANDS LÄN</t>
        </is>
      </c>
      <c r="E272" t="inlineStr">
        <is>
          <t>GOTLAND</t>
        </is>
      </c>
      <c r="G272" t="n">
        <v>10.7</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45901</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65901-2021</t>
        </is>
      </c>
      <c r="B274" s="1" t="n">
        <v>44516</v>
      </c>
      <c r="C274" s="1" t="n">
        <v>45901</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14915-2025</t>
        </is>
      </c>
      <c r="B275" s="1" t="n">
        <v>45743.53121527778</v>
      </c>
      <c r="C275" s="1" t="n">
        <v>45901</v>
      </c>
      <c r="D275" t="inlineStr">
        <is>
          <t>GOTLANDS LÄN</t>
        </is>
      </c>
      <c r="E275" t="inlineStr">
        <is>
          <t>GOTLAND</t>
        </is>
      </c>
      <c r="G275" t="n">
        <v>5.9</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45901</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44649-2021</t>
        </is>
      </c>
      <c r="B277" s="1" t="n">
        <v>44437</v>
      </c>
      <c r="C277" s="1" t="n">
        <v>45901</v>
      </c>
      <c r="D277" t="inlineStr">
        <is>
          <t>GOTLANDS LÄN</t>
        </is>
      </c>
      <c r="E277" t="inlineStr">
        <is>
          <t>GOTLAND</t>
        </is>
      </c>
      <c r="G277" t="n">
        <v>8.1</v>
      </c>
      <c r="H277" t="n">
        <v>0</v>
      </c>
      <c r="I277" t="n">
        <v>0</v>
      </c>
      <c r="J277" t="n">
        <v>0</v>
      </c>
      <c r="K277" t="n">
        <v>0</v>
      </c>
      <c r="L277" t="n">
        <v>0</v>
      </c>
      <c r="M277" t="n">
        <v>0</v>
      </c>
      <c r="N277" t="n">
        <v>0</v>
      </c>
      <c r="O277" t="n">
        <v>0</v>
      </c>
      <c r="P277" t="n">
        <v>0</v>
      </c>
      <c r="Q277" t="n">
        <v>0</v>
      </c>
      <c r="R277" s="2" t="inlineStr"/>
    </row>
    <row r="278" ht="15" customHeight="1">
      <c r="A278" t="inlineStr">
        <is>
          <t>A 43790-2024</t>
        </is>
      </c>
      <c r="B278" s="1" t="n">
        <v>45571</v>
      </c>
      <c r="C278" s="1" t="n">
        <v>45901</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45901</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1477-2024</t>
        </is>
      </c>
      <c r="B280" s="1" t="n">
        <v>45305.37987268518</v>
      </c>
      <c r="C280" s="1" t="n">
        <v>45901</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44304-2021</t>
        </is>
      </c>
      <c r="B281" s="1" t="n">
        <v>44434</v>
      </c>
      <c r="C281" s="1" t="n">
        <v>45901</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1677-2023</t>
        </is>
      </c>
      <c r="B282" s="1" t="n">
        <v>44938</v>
      </c>
      <c r="C282" s="1" t="n">
        <v>45901</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45901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45901</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45901</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45901</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57356-2023</t>
        </is>
      </c>
      <c r="B287" s="1" t="n">
        <v>45240</v>
      </c>
      <c r="C287" s="1" t="n">
        <v>45901</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45901</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8260-2023</t>
        </is>
      </c>
      <c r="B289" s="1" t="n">
        <v>44974.61608796296</v>
      </c>
      <c r="C289" s="1" t="n">
        <v>45901</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64969-2023</t>
        </is>
      </c>
      <c r="B290" s="1" t="n">
        <v>45284.54009259259</v>
      </c>
      <c r="C290" s="1" t="n">
        <v>45901</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48843-2024</t>
        </is>
      </c>
      <c r="B291" s="1" t="n">
        <v>45593</v>
      </c>
      <c r="C291" s="1" t="n">
        <v>45901</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17541-2024</t>
        </is>
      </c>
      <c r="B292" s="1" t="n">
        <v>45415</v>
      </c>
      <c r="C292" s="1" t="n">
        <v>45901</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45901</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45901</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45901</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45901</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2241-2025</t>
        </is>
      </c>
      <c r="B297" s="1" t="n">
        <v>45673.48710648148</v>
      </c>
      <c r="C297" s="1" t="n">
        <v>45901</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45901</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45901</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45901</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54073-2022</t>
        </is>
      </c>
      <c r="B301" s="1" t="n">
        <v>44881.50380787037</v>
      </c>
      <c r="C301" s="1" t="n">
        <v>45901</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16361-2024</t>
        </is>
      </c>
      <c r="B302" s="1" t="n">
        <v>45407</v>
      </c>
      <c r="C302" s="1" t="n">
        <v>45901</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41038-2023</t>
        </is>
      </c>
      <c r="B303" s="1" t="n">
        <v>45173.60959490741</v>
      </c>
      <c r="C303" s="1" t="n">
        <v>45901</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23856-2025</t>
        </is>
      </c>
      <c r="B304" s="1" t="n">
        <v>45793</v>
      </c>
      <c r="C304" s="1" t="n">
        <v>45901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23700-2025</t>
        </is>
      </c>
      <c r="B305" s="1" t="n">
        <v>45793</v>
      </c>
      <c r="C305" s="1" t="n">
        <v>45901</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24001-2021</t>
        </is>
      </c>
      <c r="B306" s="1" t="n">
        <v>44335</v>
      </c>
      <c r="C306" s="1" t="n">
        <v>45901</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15073-2025</t>
        </is>
      </c>
      <c r="B307" s="1" t="n">
        <v>45743</v>
      </c>
      <c r="C307" s="1" t="n">
        <v>45901</v>
      </c>
      <c r="D307" t="inlineStr">
        <is>
          <t>GOTLANDS LÄN</t>
        </is>
      </c>
      <c r="E307" t="inlineStr">
        <is>
          <t>GOTLAND</t>
        </is>
      </c>
      <c r="G307" t="n">
        <v>12.1</v>
      </c>
      <c r="H307" t="n">
        <v>0</v>
      </c>
      <c r="I307" t="n">
        <v>0</v>
      </c>
      <c r="J307" t="n">
        <v>0</v>
      </c>
      <c r="K307" t="n">
        <v>0</v>
      </c>
      <c r="L307" t="n">
        <v>0</v>
      </c>
      <c r="M307" t="n">
        <v>0</v>
      </c>
      <c r="N307" t="n">
        <v>0</v>
      </c>
      <c r="O307" t="n">
        <v>0</v>
      </c>
      <c r="P307" t="n">
        <v>0</v>
      </c>
      <c r="Q307" t="n">
        <v>0</v>
      </c>
      <c r="R307" s="2" t="inlineStr"/>
    </row>
    <row r="308" ht="15" customHeight="1">
      <c r="A308" t="inlineStr">
        <is>
          <t>A 6749-2025</t>
        </is>
      </c>
      <c r="B308" s="1" t="n">
        <v>45700</v>
      </c>
      <c r="C308" s="1" t="n">
        <v>45901</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30365-2024</t>
        </is>
      </c>
      <c r="B309" s="1" t="n">
        <v>45491.3716087963</v>
      </c>
      <c r="C309" s="1" t="n">
        <v>45901</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34142-2024</t>
        </is>
      </c>
      <c r="B310" s="1" t="n">
        <v>45524.36521990741</v>
      </c>
      <c r="C310" s="1" t="n">
        <v>45901</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14427-2024</t>
        </is>
      </c>
      <c r="B311" s="1" t="n">
        <v>45394</v>
      </c>
      <c r="C311" s="1" t="n">
        <v>45901</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15075-2025</t>
        </is>
      </c>
      <c r="B312" s="1" t="n">
        <v>45743</v>
      </c>
      <c r="C312" s="1" t="n">
        <v>45901</v>
      </c>
      <c r="D312" t="inlineStr">
        <is>
          <t>GOTLANDS LÄN</t>
        </is>
      </c>
      <c r="E312" t="inlineStr">
        <is>
          <t>GOTLAND</t>
        </is>
      </c>
      <c r="G312" t="n">
        <v>20.9</v>
      </c>
      <c r="H312" t="n">
        <v>0</v>
      </c>
      <c r="I312" t="n">
        <v>0</v>
      </c>
      <c r="J312" t="n">
        <v>0</v>
      </c>
      <c r="K312" t="n">
        <v>0</v>
      </c>
      <c r="L312" t="n">
        <v>0</v>
      </c>
      <c r="M312" t="n">
        <v>0</v>
      </c>
      <c r="N312" t="n">
        <v>0</v>
      </c>
      <c r="O312" t="n">
        <v>0</v>
      </c>
      <c r="P312" t="n">
        <v>0</v>
      </c>
      <c r="Q312" t="n">
        <v>0</v>
      </c>
      <c r="R312" s="2" t="inlineStr"/>
    </row>
    <row r="313" ht="15" customHeight="1">
      <c r="A313" t="inlineStr">
        <is>
          <t>A 1681-2023</t>
        </is>
      </c>
      <c r="B313" s="1" t="n">
        <v>44938.39715277778</v>
      </c>
      <c r="C313" s="1" t="n">
        <v>45901</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23698-2025</t>
        </is>
      </c>
      <c r="B314" s="1" t="n">
        <v>45793</v>
      </c>
      <c r="C314" s="1" t="n">
        <v>45901</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31802-2024</t>
        </is>
      </c>
      <c r="B315" s="1" t="n">
        <v>45509</v>
      </c>
      <c r="C315" s="1" t="n">
        <v>45901</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45901</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1273-2023</t>
        </is>
      </c>
      <c r="B317" s="1" t="n">
        <v>44936</v>
      </c>
      <c r="C317" s="1" t="n">
        <v>45901</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8684-2025</t>
        </is>
      </c>
      <c r="B318" s="1" t="n">
        <v>45712.45605324074</v>
      </c>
      <c r="C318" s="1" t="n">
        <v>45901</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8036-2022</t>
        </is>
      </c>
      <c r="B319" s="1" t="n">
        <v>44609.44362268518</v>
      </c>
      <c r="C319" s="1" t="n">
        <v>45901</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58780-2024</t>
        </is>
      </c>
      <c r="B320" s="1" t="n">
        <v>45635.84113425926</v>
      </c>
      <c r="C320" s="1" t="n">
        <v>45901</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12846-2025</t>
        </is>
      </c>
      <c r="B321" s="1" t="n">
        <v>45733.65049768519</v>
      </c>
      <c r="C321" s="1" t="n">
        <v>45901</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45692-2023</t>
        </is>
      </c>
      <c r="B322" s="1" t="n">
        <v>45195</v>
      </c>
      <c r="C322" s="1" t="n">
        <v>45901</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5462-2025</t>
        </is>
      </c>
      <c r="B323" s="1" t="n">
        <v>45693.29331018519</v>
      </c>
      <c r="C323" s="1" t="n">
        <v>45901</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45901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46778-2020</t>
        </is>
      </c>
      <c r="B325" s="1" t="n">
        <v>44096</v>
      </c>
      <c r="C325" s="1" t="n">
        <v>45901</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28285-2024</t>
        </is>
      </c>
      <c r="B326" s="1" t="n">
        <v>45477</v>
      </c>
      <c r="C326" s="1" t="n">
        <v>45901</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61100-2022</t>
        </is>
      </c>
      <c r="B327" s="1" t="n">
        <v>44915</v>
      </c>
      <c r="C327" s="1" t="n">
        <v>45901</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25796-2025</t>
        </is>
      </c>
      <c r="B328" s="1" t="n">
        <v>45804.39543981481</v>
      </c>
      <c r="C328" s="1" t="n">
        <v>45901</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61682-2024</t>
        </is>
      </c>
      <c r="B329" s="1" t="n">
        <v>45647.48824074074</v>
      </c>
      <c r="C329" s="1" t="n">
        <v>45901</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45901</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25678-2025</t>
        </is>
      </c>
      <c r="B331" s="1" t="n">
        <v>45803.64118055555</v>
      </c>
      <c r="C331" s="1" t="n">
        <v>45901</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43785-2024</t>
        </is>
      </c>
      <c r="B332" s="1" t="n">
        <v>45570</v>
      </c>
      <c r="C332" s="1" t="n">
        <v>45901</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10650-2022</t>
        </is>
      </c>
      <c r="B333" s="1" t="n">
        <v>44624.57945601852</v>
      </c>
      <c r="C333" s="1" t="n">
        <v>45901</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45901</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45901</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21792-2024</t>
        </is>
      </c>
      <c r="B336" s="1" t="n">
        <v>45442.64326388889</v>
      </c>
      <c r="C336" s="1" t="n">
        <v>45901</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26457-2025</t>
        </is>
      </c>
      <c r="B337" s="1" t="n">
        <v>45807.42773148148</v>
      </c>
      <c r="C337" s="1" t="n">
        <v>45901</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26467-2025</t>
        </is>
      </c>
      <c r="B338" s="1" t="n">
        <v>45807.44640046296</v>
      </c>
      <c r="C338" s="1" t="n">
        <v>45901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11634-2024</t>
        </is>
      </c>
      <c r="B339" s="1" t="n">
        <v>45373</v>
      </c>
      <c r="C339" s="1" t="n">
        <v>45901</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1351-2025</t>
        </is>
      </c>
      <c r="B340" s="1" t="n">
        <v>45667.62246527777</v>
      </c>
      <c r="C340" s="1" t="n">
        <v>45901</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26465-2025</t>
        </is>
      </c>
      <c r="B341" s="1" t="n">
        <v>45807.44377314814</v>
      </c>
      <c r="C341" s="1" t="n">
        <v>45901</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39496-2022</t>
        </is>
      </c>
      <c r="B342" s="1" t="n">
        <v>44818</v>
      </c>
      <c r="C342" s="1" t="n">
        <v>45901</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45901</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49874-2024</t>
        </is>
      </c>
      <c r="B344" s="1" t="n">
        <v>45597.49274305555</v>
      </c>
      <c r="C344" s="1" t="n">
        <v>45901</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3930-2025</t>
        </is>
      </c>
      <c r="B345" s="1" t="n">
        <v>45684.45427083333</v>
      </c>
      <c r="C345" s="1" t="n">
        <v>45901</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42201-2023</t>
        </is>
      </c>
      <c r="B346" s="1" t="n">
        <v>45179</v>
      </c>
      <c r="C346" s="1" t="n">
        <v>45901</v>
      </c>
      <c r="D346" t="inlineStr">
        <is>
          <t>GOTLANDS LÄN</t>
        </is>
      </c>
      <c r="E346" t="inlineStr">
        <is>
          <t>GOTLAND</t>
        </is>
      </c>
      <c r="G346" t="n">
        <v>11.9</v>
      </c>
      <c r="H346" t="n">
        <v>0</v>
      </c>
      <c r="I346" t="n">
        <v>0</v>
      </c>
      <c r="J346" t="n">
        <v>0</v>
      </c>
      <c r="K346" t="n">
        <v>0</v>
      </c>
      <c r="L346" t="n">
        <v>0</v>
      </c>
      <c r="M346" t="n">
        <v>0</v>
      </c>
      <c r="N346" t="n">
        <v>0</v>
      </c>
      <c r="O346" t="n">
        <v>0</v>
      </c>
      <c r="P346" t="n">
        <v>0</v>
      </c>
      <c r="Q346" t="n">
        <v>0</v>
      </c>
      <c r="R346" s="2" t="inlineStr"/>
    </row>
    <row r="347" ht="15" customHeight="1">
      <c r="A347" t="inlineStr">
        <is>
          <t>A 27348-2025</t>
        </is>
      </c>
      <c r="B347" s="1" t="n">
        <v>45812.62451388889</v>
      </c>
      <c r="C347" s="1" t="n">
        <v>45901</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45901</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46400-2023</t>
        </is>
      </c>
      <c r="B349" s="1" t="n">
        <v>45197.49290509259</v>
      </c>
      <c r="C349" s="1" t="n">
        <v>45901</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45901</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9875-2025</t>
        </is>
      </c>
      <c r="B351" s="1" t="n">
        <v>45716</v>
      </c>
      <c r="C351" s="1" t="n">
        <v>45901</v>
      </c>
      <c r="D351" t="inlineStr">
        <is>
          <t>GOTLANDS LÄN</t>
        </is>
      </c>
      <c r="E351" t="inlineStr">
        <is>
          <t>GOTLAND</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19002-2025</t>
        </is>
      </c>
      <c r="B352" s="1" t="n">
        <v>45764</v>
      </c>
      <c r="C352" s="1" t="n">
        <v>45901</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45901</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27355-2025</t>
        </is>
      </c>
      <c r="B354" s="1" t="n">
        <v>45812</v>
      </c>
      <c r="C354" s="1" t="n">
        <v>45901</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45901</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45901</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45901</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45901</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45901</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8444-2025</t>
        </is>
      </c>
      <c r="B360" s="1" t="n">
        <v>45709</v>
      </c>
      <c r="C360" s="1" t="n">
        <v>45901</v>
      </c>
      <c r="D360" t="inlineStr">
        <is>
          <t>GOTLANDS LÄN</t>
        </is>
      </c>
      <c r="E360" t="inlineStr">
        <is>
          <t>GOTLAND</t>
        </is>
      </c>
      <c r="G360" t="n">
        <v>5.2</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45901</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22897-2023</t>
        </is>
      </c>
      <c r="B362" s="1" t="n">
        <v>45072.55239583334</v>
      </c>
      <c r="C362" s="1" t="n">
        <v>45901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61897-2024</t>
        </is>
      </c>
      <c r="B363" s="1" t="n">
        <v>45652.75685185185</v>
      </c>
      <c r="C363" s="1" t="n">
        <v>45901</v>
      </c>
      <c r="D363" t="inlineStr">
        <is>
          <t>GOTLANDS LÄN</t>
        </is>
      </c>
      <c r="E363" t="inlineStr">
        <is>
          <t>GOTLAND</t>
        </is>
      </c>
      <c r="G363" t="n">
        <v>6.4</v>
      </c>
      <c r="H363" t="n">
        <v>0</v>
      </c>
      <c r="I363" t="n">
        <v>0</v>
      </c>
      <c r="J363" t="n">
        <v>0</v>
      </c>
      <c r="K363" t="n">
        <v>0</v>
      </c>
      <c r="L363" t="n">
        <v>0</v>
      </c>
      <c r="M363" t="n">
        <v>0</v>
      </c>
      <c r="N363" t="n">
        <v>0</v>
      </c>
      <c r="O363" t="n">
        <v>0</v>
      </c>
      <c r="P363" t="n">
        <v>0</v>
      </c>
      <c r="Q363" t="n">
        <v>0</v>
      </c>
      <c r="R363" s="2" t="inlineStr"/>
    </row>
    <row r="364" ht="15" customHeight="1">
      <c r="A364" t="inlineStr">
        <is>
          <t>A 35512-2023</t>
        </is>
      </c>
      <c r="B364" s="1" t="n">
        <v>45147.25623842593</v>
      </c>
      <c r="C364" s="1" t="n">
        <v>45901</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5905-2024</t>
        </is>
      </c>
      <c r="B365" s="1" t="n">
        <v>45335.88993055555</v>
      </c>
      <c r="C365" s="1" t="n">
        <v>45901</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45901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49962-2023</t>
        </is>
      </c>
      <c r="B367" s="1" t="n">
        <v>45215.38775462963</v>
      </c>
      <c r="C367" s="1" t="n">
        <v>45901</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45901</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1291-2023</t>
        </is>
      </c>
      <c r="B369" s="1" t="n">
        <v>44936.47561342592</v>
      </c>
      <c r="C369" s="1" t="n">
        <v>45901</v>
      </c>
      <c r="D369" t="inlineStr">
        <is>
          <t>GOTLANDS LÄN</t>
        </is>
      </c>
      <c r="E369" t="inlineStr">
        <is>
          <t>GOTLAND</t>
        </is>
      </c>
      <c r="G369" t="n">
        <v>7.4</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45901</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45901</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20165-2022</t>
        </is>
      </c>
      <c r="B372" s="1" t="n">
        <v>44698.49854166667</v>
      </c>
      <c r="C372" s="1" t="n">
        <v>45901</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49315-2024</t>
        </is>
      </c>
      <c r="B373" s="1" t="n">
        <v>45595</v>
      </c>
      <c r="C373" s="1" t="n">
        <v>45901</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45901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30157-2025</t>
        </is>
      </c>
      <c r="B375" s="1" t="n">
        <v>45826</v>
      </c>
      <c r="C375" s="1" t="n">
        <v>45901</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45901</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45901</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12032-2025</t>
        </is>
      </c>
      <c r="B378" s="1" t="n">
        <v>45728.64472222222</v>
      </c>
      <c r="C378" s="1" t="n">
        <v>45901</v>
      </c>
      <c r="D378" t="inlineStr">
        <is>
          <t>GOTLANDS LÄN</t>
        </is>
      </c>
      <c r="E378" t="inlineStr">
        <is>
          <t>GOTLAND</t>
        </is>
      </c>
      <c r="G378" t="n">
        <v>1.4</v>
      </c>
      <c r="H378" t="n">
        <v>0</v>
      </c>
      <c r="I378" t="n">
        <v>0</v>
      </c>
      <c r="J378" t="n">
        <v>0</v>
      </c>
      <c r="K378" t="n">
        <v>0</v>
      </c>
      <c r="L378" t="n">
        <v>0</v>
      </c>
      <c r="M378" t="n">
        <v>0</v>
      </c>
      <c r="N378" t="n">
        <v>0</v>
      </c>
      <c r="O378" t="n">
        <v>0</v>
      </c>
      <c r="P378" t="n">
        <v>0</v>
      </c>
      <c r="Q378" t="n">
        <v>0</v>
      </c>
      <c r="R378" s="2" t="inlineStr"/>
    </row>
    <row r="379" ht="15" customHeight="1">
      <c r="A379" t="inlineStr">
        <is>
          <t>A 30061-2025</t>
        </is>
      </c>
      <c r="B379" s="1" t="n">
        <v>45826.61488425926</v>
      </c>
      <c r="C379" s="1" t="n">
        <v>45901</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38787-2023</t>
        </is>
      </c>
      <c r="B380" s="1" t="n">
        <v>45163</v>
      </c>
      <c r="C380" s="1" t="n">
        <v>45901</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45901</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58160-2024</t>
        </is>
      </c>
      <c r="B382" s="1" t="n">
        <v>45632.44927083333</v>
      </c>
      <c r="C382" s="1" t="n">
        <v>45901</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45901</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45901</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8484-2025</t>
        </is>
      </c>
      <c r="B385" s="1" t="n">
        <v>45709</v>
      </c>
      <c r="C385" s="1" t="n">
        <v>45901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45901</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45901</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45901</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43231-2023</t>
        </is>
      </c>
      <c r="B389" s="1" t="n">
        <v>45183.47025462963</v>
      </c>
      <c r="C389" s="1" t="n">
        <v>45901</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45901</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45901</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45901</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45901</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29809-2022</t>
        </is>
      </c>
      <c r="B394" s="1" t="n">
        <v>44755.8713425926</v>
      </c>
      <c r="C394" s="1" t="n">
        <v>45901</v>
      </c>
      <c r="D394" t="inlineStr">
        <is>
          <t>GOTLANDS LÄN</t>
        </is>
      </c>
      <c r="E394" t="inlineStr">
        <is>
          <t>GOTLAND</t>
        </is>
      </c>
      <c r="G394" t="n">
        <v>11.5</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45901</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3935-2025</t>
        </is>
      </c>
      <c r="B396" s="1" t="n">
        <v>45684.46070601852</v>
      </c>
      <c r="C396" s="1" t="n">
        <v>45901</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45901</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45901</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45901</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30815-2023</t>
        </is>
      </c>
      <c r="B400" s="1" t="n">
        <v>45112</v>
      </c>
      <c r="C400" s="1" t="n">
        <v>45901</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20225-2025</t>
        </is>
      </c>
      <c r="B401" s="1" t="n">
        <v>45772.65802083333</v>
      </c>
      <c r="C401" s="1" t="n">
        <v>45901</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883-2025</t>
        </is>
      </c>
      <c r="B402" s="1" t="n">
        <v>45665</v>
      </c>
      <c r="C402" s="1" t="n">
        <v>45901</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45901</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7034-2023</t>
        </is>
      </c>
      <c r="B404" s="1" t="n">
        <v>44968.32108796296</v>
      </c>
      <c r="C404" s="1" t="n">
        <v>45901</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7042-2023</t>
        </is>
      </c>
      <c r="B405" s="1" t="n">
        <v>44968</v>
      </c>
      <c r="C405" s="1" t="n">
        <v>45901</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45076.93391203704</v>
      </c>
      <c r="C406" s="1" t="n">
        <v>45901</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64660-2023</t>
        </is>
      </c>
      <c r="B407" s="1" t="n">
        <v>45281.60122685185</v>
      </c>
      <c r="C407" s="1" t="n">
        <v>45901</v>
      </c>
      <c r="D407" t="inlineStr">
        <is>
          <t>GOTLANDS LÄN</t>
        </is>
      </c>
      <c r="E407" t="inlineStr">
        <is>
          <t>GOTLAND</t>
        </is>
      </c>
      <c r="G407" t="n">
        <v>6.3</v>
      </c>
      <c r="H407" t="n">
        <v>0</v>
      </c>
      <c r="I407" t="n">
        <v>0</v>
      </c>
      <c r="J407" t="n">
        <v>0</v>
      </c>
      <c r="K407" t="n">
        <v>0</v>
      </c>
      <c r="L407" t="n">
        <v>0</v>
      </c>
      <c r="M407" t="n">
        <v>0</v>
      </c>
      <c r="N407" t="n">
        <v>0</v>
      </c>
      <c r="O407" t="n">
        <v>0</v>
      </c>
      <c r="P407" t="n">
        <v>0</v>
      </c>
      <c r="Q407" t="n">
        <v>0</v>
      </c>
      <c r="R407" s="2" t="inlineStr"/>
    </row>
    <row r="408" ht="15" customHeight="1">
      <c r="A408" t="inlineStr">
        <is>
          <t>A 10497-2025</t>
        </is>
      </c>
      <c r="B408" s="1" t="n">
        <v>45721</v>
      </c>
      <c r="C408" s="1" t="n">
        <v>45901</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45901</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45901</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32686-2025</t>
        </is>
      </c>
      <c r="B411" s="1" t="n">
        <v>45838</v>
      </c>
      <c r="C411" s="1" t="n">
        <v>45901</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1066-2024</t>
        </is>
      </c>
      <c r="B412" s="1" t="n">
        <v>45302.285</v>
      </c>
      <c r="C412" s="1" t="n">
        <v>45901</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17144-2025</t>
        </is>
      </c>
      <c r="B413" s="1" t="n">
        <v>45755.9499537037</v>
      </c>
      <c r="C413" s="1" t="n">
        <v>45901</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63229-2021</t>
        </is>
      </c>
      <c r="B415" s="1" t="n">
        <v>44508.34518518519</v>
      </c>
      <c r="C415" s="1" t="n">
        <v>45901</v>
      </c>
      <c r="D415" t="inlineStr">
        <is>
          <t>GOTLANDS LÄN</t>
        </is>
      </c>
      <c r="E415" t="inlineStr">
        <is>
          <t>GOTLAND</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46375-2024</t>
        </is>
      </c>
      <c r="B416" s="1" t="n">
        <v>45582</v>
      </c>
      <c r="C416" s="1" t="n">
        <v>45901</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10158-2025</t>
        </is>
      </c>
      <c r="B417" s="1" t="n">
        <v>45719</v>
      </c>
      <c r="C417" s="1" t="n">
        <v>45901</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45901</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45901</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16109-2025</t>
        </is>
      </c>
      <c r="B420" s="1" t="n">
        <v>45750</v>
      </c>
      <c r="C420" s="1" t="n">
        <v>45901</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33078-2025</t>
        </is>
      </c>
      <c r="B421" s="1" t="n">
        <v>45840</v>
      </c>
      <c r="C421" s="1" t="n">
        <v>45901</v>
      </c>
      <c r="D421" t="inlineStr">
        <is>
          <t>GOTLANDS LÄN</t>
        </is>
      </c>
      <c r="E421" t="inlineStr">
        <is>
          <t>GOTLAND</t>
        </is>
      </c>
      <c r="G421" t="n">
        <v>0.8</v>
      </c>
      <c r="H421" t="n">
        <v>0</v>
      </c>
      <c r="I421" t="n">
        <v>0</v>
      </c>
      <c r="J421" t="n">
        <v>0</v>
      </c>
      <c r="K421" t="n">
        <v>0</v>
      </c>
      <c r="L421" t="n">
        <v>0</v>
      </c>
      <c r="M421" t="n">
        <v>0</v>
      </c>
      <c r="N421" t="n">
        <v>0</v>
      </c>
      <c r="O421" t="n">
        <v>0</v>
      </c>
      <c r="P421" t="n">
        <v>0</v>
      </c>
      <c r="Q421" t="n">
        <v>0</v>
      </c>
      <c r="R421" s="2" t="inlineStr"/>
    </row>
    <row r="422" ht="15" customHeight="1">
      <c r="A422" t="inlineStr">
        <is>
          <t>A 56009-2024</t>
        </is>
      </c>
      <c r="B422" s="1" t="n">
        <v>45623.80864583333</v>
      </c>
      <c r="C422" s="1" t="n">
        <v>45901</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20660-2025</t>
        </is>
      </c>
      <c r="B423" s="1" t="n">
        <v>45776</v>
      </c>
      <c r="C423" s="1" t="n">
        <v>45901</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42338-2023</t>
        </is>
      </c>
      <c r="B424" s="1" t="n">
        <v>45180</v>
      </c>
      <c r="C424" s="1" t="n">
        <v>45901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45901</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45901</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1734-2025</t>
        </is>
      </c>
      <c r="B427" s="1" t="n">
        <v>45671.3840625</v>
      </c>
      <c r="C427" s="1" t="n">
        <v>45901</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45901</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20993-2023</t>
        </is>
      </c>
      <c r="B429" s="1" t="n">
        <v>45056</v>
      </c>
      <c r="C429" s="1" t="n">
        <v>45901</v>
      </c>
      <c r="D429" t="inlineStr">
        <is>
          <t>GOTLANDS LÄN</t>
        </is>
      </c>
      <c r="E429" t="inlineStr">
        <is>
          <t>GOTLAND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581-2023</t>
        </is>
      </c>
      <c r="B430" s="1" t="n">
        <v>44930</v>
      </c>
      <c r="C430" s="1" t="n">
        <v>45901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45901</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2125-2025</t>
        </is>
      </c>
      <c r="B432" s="1" t="n">
        <v>45672.64940972222</v>
      </c>
      <c r="C432" s="1" t="n">
        <v>45901</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61386-2023</t>
        </is>
      </c>
      <c r="B433" s="1" t="n">
        <v>45264</v>
      </c>
      <c r="C433" s="1" t="n">
        <v>45901</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45901</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457-2023</t>
        </is>
      </c>
      <c r="B435" s="1" t="n">
        <v>44929.87238425926</v>
      </c>
      <c r="C435" s="1" t="n">
        <v>45901</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459-2023</t>
        </is>
      </c>
      <c r="B436" s="1" t="n">
        <v>44929.87423611111</v>
      </c>
      <c r="C436" s="1" t="n">
        <v>45901</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873-2024</t>
        </is>
      </c>
      <c r="B437" s="1" t="n">
        <v>45301</v>
      </c>
      <c r="C437" s="1" t="n">
        <v>45901</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38234-2023</t>
        </is>
      </c>
      <c r="B438" s="1" t="n">
        <v>45161.56663194444</v>
      </c>
      <c r="C438" s="1" t="n">
        <v>45901</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49411-2023</t>
        </is>
      </c>
      <c r="B439" s="1" t="n">
        <v>45205</v>
      </c>
      <c r="C439" s="1" t="n">
        <v>45901</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45602.4187037037</v>
      </c>
      <c r="C440" s="1" t="n">
        <v>45901</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45901</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45901</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45901</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14797-2024</t>
        </is>
      </c>
      <c r="B444" s="1" t="n">
        <v>45397.87030092593</v>
      </c>
      <c r="C444" s="1" t="n">
        <v>45901</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45901</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45901</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45901</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45901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45901</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40235-2025</t>
        </is>
      </c>
      <c r="B450" s="1" t="n">
        <v>45894.74005787037</v>
      </c>
      <c r="C450" s="1" t="n">
        <v>45901</v>
      </c>
      <c r="D450" t="inlineStr">
        <is>
          <t>GOTLANDS LÄN</t>
        </is>
      </c>
      <c r="E450" t="inlineStr">
        <is>
          <t>GOTLAND</t>
        </is>
      </c>
      <c r="G450" t="n">
        <v>10.6</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45901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35133-2025</t>
        </is>
      </c>
      <c r="B452" s="1" t="n">
        <v>45852.6363425926</v>
      </c>
      <c r="C452" s="1" t="n">
        <v>45901</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60675-2021</t>
        </is>
      </c>
      <c r="B453" s="1" t="n">
        <v>44496.64855324074</v>
      </c>
      <c r="C453" s="1" t="n">
        <v>45901</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36319-2025</t>
        </is>
      </c>
      <c r="B454" s="1" t="n">
        <v>45868.38543981482</v>
      </c>
      <c r="C454" s="1" t="n">
        <v>45901</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37728-2024</t>
        </is>
      </c>
      <c r="B455" s="1" t="n">
        <v>45541</v>
      </c>
      <c r="C455" s="1" t="n">
        <v>45901</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39814-2025</t>
        </is>
      </c>
      <c r="B456" s="1" t="n">
        <v>45891.52694444444</v>
      </c>
      <c r="C456" s="1" t="n">
        <v>45901</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45901</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35096-2025</t>
        </is>
      </c>
      <c r="B458" s="1" t="n">
        <v>45852.54356481481</v>
      </c>
      <c r="C458" s="1" t="n">
        <v>45901</v>
      </c>
      <c r="D458" t="inlineStr">
        <is>
          <t>GOTLANDS LÄN</t>
        </is>
      </c>
      <c r="E458" t="inlineStr">
        <is>
          <t>GOTLAND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45901</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39849-2025</t>
        </is>
      </c>
      <c r="B460" s="1" t="n">
        <v>45891.58502314815</v>
      </c>
      <c r="C460" s="1" t="n">
        <v>45901</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40103-2025</t>
        </is>
      </c>
      <c r="B461" s="1" t="n">
        <v>45894.4880324074</v>
      </c>
      <c r="C461" s="1" t="n">
        <v>45901</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35129-2025</t>
        </is>
      </c>
      <c r="B462" s="1" t="n">
        <v>45852.63224537037</v>
      </c>
      <c r="C462" s="1" t="n">
        <v>45901</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22287-2022</t>
        </is>
      </c>
      <c r="B463" s="1" t="n">
        <v>44712</v>
      </c>
      <c r="C463" s="1" t="n">
        <v>45901</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39819-2025</t>
        </is>
      </c>
      <c r="B464" s="1" t="n">
        <v>45891.53418981482</v>
      </c>
      <c r="C464" s="1" t="n">
        <v>45901</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1446-2025</t>
        </is>
      </c>
      <c r="B465" s="1" t="n">
        <v>45669.86035879629</v>
      </c>
      <c r="C465" s="1" t="n">
        <v>45901</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10813-2025</t>
        </is>
      </c>
      <c r="B466" s="1" t="n">
        <v>45722.54163194444</v>
      </c>
      <c r="C466" s="1" t="n">
        <v>45901</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40372-2025</t>
        </is>
      </c>
      <c r="B467" s="1" t="n">
        <v>45895.5162037037</v>
      </c>
      <c r="C467" s="1" t="n">
        <v>45901</v>
      </c>
      <c r="D467" t="inlineStr">
        <is>
          <t>GOTLANDS LÄN</t>
        </is>
      </c>
      <c r="E467" t="inlineStr">
        <is>
          <t>GOTLAND</t>
        </is>
      </c>
      <c r="G467" t="n">
        <v>3.3</v>
      </c>
      <c r="H467" t="n">
        <v>0</v>
      </c>
      <c r="I467" t="n">
        <v>0</v>
      </c>
      <c r="J467" t="n">
        <v>0</v>
      </c>
      <c r="K467" t="n">
        <v>0</v>
      </c>
      <c r="L467" t="n">
        <v>0</v>
      </c>
      <c r="M467" t="n">
        <v>0</v>
      </c>
      <c r="N467" t="n">
        <v>0</v>
      </c>
      <c r="O467" t="n">
        <v>0</v>
      </c>
      <c r="P467" t="n">
        <v>0</v>
      </c>
      <c r="Q467" t="n">
        <v>0</v>
      </c>
      <c r="R467" s="2" t="inlineStr"/>
    </row>
    <row r="468" ht="15" customHeight="1">
      <c r="A468" t="inlineStr">
        <is>
          <t>A 40373-2025</t>
        </is>
      </c>
      <c r="B468" s="1" t="n">
        <v>45895.51821759259</v>
      </c>
      <c r="C468" s="1" t="n">
        <v>45901</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45901</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40499-2025</t>
        </is>
      </c>
      <c r="B470" s="1" t="n">
        <v>45896.32517361111</v>
      </c>
      <c r="C470" s="1" t="n">
        <v>45901</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54074-2022</t>
        </is>
      </c>
      <c r="B471" s="1" t="n">
        <v>44881</v>
      </c>
      <c r="C471" s="1" t="n">
        <v>45901</v>
      </c>
      <c r="D471" t="inlineStr">
        <is>
          <t>GOTLANDS LÄN</t>
        </is>
      </c>
      <c r="E471" t="inlineStr">
        <is>
          <t>GOTLAND</t>
        </is>
      </c>
      <c r="G471" t="n">
        <v>0.9</v>
      </c>
      <c r="H471" t="n">
        <v>0</v>
      </c>
      <c r="I471" t="n">
        <v>0</v>
      </c>
      <c r="J471" t="n">
        <v>0</v>
      </c>
      <c r="K471" t="n">
        <v>0</v>
      </c>
      <c r="L471" t="n">
        <v>0</v>
      </c>
      <c r="M471" t="n">
        <v>0</v>
      </c>
      <c r="N471" t="n">
        <v>0</v>
      </c>
      <c r="O471" t="n">
        <v>0</v>
      </c>
      <c r="P471" t="n">
        <v>0</v>
      </c>
      <c r="Q471" t="n">
        <v>0</v>
      </c>
      <c r="R471" s="2" t="inlineStr"/>
    </row>
    <row r="472" ht="15" customHeight="1">
      <c r="A472" t="inlineStr">
        <is>
          <t>A 35290-2025</t>
        </is>
      </c>
      <c r="B472" s="1" t="n">
        <v>45854.38502314815</v>
      </c>
      <c r="C472" s="1" t="n">
        <v>45901</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39752-2025</t>
        </is>
      </c>
      <c r="B473" s="1" t="n">
        <v>45891</v>
      </c>
      <c r="C473" s="1" t="n">
        <v>45901</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45901</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32669-2024</t>
        </is>
      </c>
      <c r="B475" s="1" t="n">
        <v>45514</v>
      </c>
      <c r="C475" s="1" t="n">
        <v>45901</v>
      </c>
      <c r="D475" t="inlineStr">
        <is>
          <t>GOTLANDS LÄN</t>
        </is>
      </c>
      <c r="E475" t="inlineStr">
        <is>
          <t>GOTLAND</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31264-2021</t>
        </is>
      </c>
      <c r="B476" s="1" t="n">
        <v>44368</v>
      </c>
      <c r="C476" s="1" t="n">
        <v>45901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65249-2023</t>
        </is>
      </c>
      <c r="B477" s="1" t="n">
        <v>45290</v>
      </c>
      <c r="C477" s="1" t="n">
        <v>45901</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43901-2023</t>
        </is>
      </c>
      <c r="B478" s="1" t="n">
        <v>45187</v>
      </c>
      <c r="C478" s="1" t="n">
        <v>45901</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2035-2025</t>
        </is>
      </c>
      <c r="B479" s="1" t="n">
        <v>45672</v>
      </c>
      <c r="C479" s="1" t="n">
        <v>45901</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35537-2025</t>
        </is>
      </c>
      <c r="B480" s="1" t="n">
        <v>45856</v>
      </c>
      <c r="C480" s="1" t="n">
        <v>45901</v>
      </c>
      <c r="D480" t="inlineStr">
        <is>
          <t>GOTLANDS LÄN</t>
        </is>
      </c>
      <c r="E480" t="inlineStr">
        <is>
          <t>GOTLAND</t>
        </is>
      </c>
      <c r="G480" t="n">
        <v>16.8</v>
      </c>
      <c r="H480" t="n">
        <v>0</v>
      </c>
      <c r="I480" t="n">
        <v>0</v>
      </c>
      <c r="J480" t="n">
        <v>0</v>
      </c>
      <c r="K480" t="n">
        <v>0</v>
      </c>
      <c r="L480" t="n">
        <v>0</v>
      </c>
      <c r="M480" t="n">
        <v>0</v>
      </c>
      <c r="N480" t="n">
        <v>0</v>
      </c>
      <c r="O480" t="n">
        <v>0</v>
      </c>
      <c r="P480" t="n">
        <v>0</v>
      </c>
      <c r="Q480" t="n">
        <v>0</v>
      </c>
      <c r="R480" s="2" t="inlineStr"/>
    </row>
    <row r="481" ht="15" customHeight="1">
      <c r="A481" t="inlineStr">
        <is>
          <t>A 10746-2025</t>
        </is>
      </c>
      <c r="B481" s="1" t="n">
        <v>45722.42766203704</v>
      </c>
      <c r="C481" s="1" t="n">
        <v>45901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45901</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16501-2023</t>
        </is>
      </c>
      <c r="B483" s="1" t="n">
        <v>45029</v>
      </c>
      <c r="C483" s="1" t="n">
        <v>45901</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55334-2024</t>
        </is>
      </c>
      <c r="B484" s="1" t="n">
        <v>45621</v>
      </c>
      <c r="C484" s="1" t="n">
        <v>45901</v>
      </c>
      <c r="D484" t="inlineStr">
        <is>
          <t>GOTLANDS LÄN</t>
        </is>
      </c>
      <c r="E484" t="inlineStr">
        <is>
          <t>GOTLAND</t>
        </is>
      </c>
      <c r="G484" t="n">
        <v>21.7</v>
      </c>
      <c r="H484" t="n">
        <v>0</v>
      </c>
      <c r="I484" t="n">
        <v>0</v>
      </c>
      <c r="J484" t="n">
        <v>0</v>
      </c>
      <c r="K484" t="n">
        <v>0</v>
      </c>
      <c r="L484" t="n">
        <v>0</v>
      </c>
      <c r="M484" t="n">
        <v>0</v>
      </c>
      <c r="N484" t="n">
        <v>0</v>
      </c>
      <c r="O484" t="n">
        <v>0</v>
      </c>
      <c r="P484" t="n">
        <v>0</v>
      </c>
      <c r="Q484" t="n">
        <v>0</v>
      </c>
      <c r="R484" s="2" t="inlineStr"/>
    </row>
    <row r="485" ht="15" customHeight="1">
      <c r="A485" t="inlineStr">
        <is>
          <t>A 27930-2021</t>
        </is>
      </c>
      <c r="B485" s="1" t="n">
        <v>44354</v>
      </c>
      <c r="C485" s="1" t="n">
        <v>45901</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45653.54340277778</v>
      </c>
      <c r="C486" s="1" t="n">
        <v>45901</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13910-2025</t>
        </is>
      </c>
      <c r="B487" s="1" t="n">
        <v>45737</v>
      </c>
      <c r="C487" s="1" t="n">
        <v>45901</v>
      </c>
      <c r="D487" t="inlineStr">
        <is>
          <t>GOTLANDS LÄN</t>
        </is>
      </c>
      <c r="E487" t="inlineStr">
        <is>
          <t>GOTLAND</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45901</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1728-2025</t>
        </is>
      </c>
      <c r="B489" s="1" t="n">
        <v>45671.3565162037</v>
      </c>
      <c r="C489" s="1" t="n">
        <v>45901</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44682.82622685185</v>
      </c>
      <c r="C490" s="1" t="n">
        <v>45901</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5909-2025</t>
        </is>
      </c>
      <c r="B491" s="1" t="n">
        <v>45695.40634259259</v>
      </c>
      <c r="C491" s="1" t="n">
        <v>45901</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10653-2023</t>
        </is>
      </c>
      <c r="B492" s="1" t="n">
        <v>44988.48859953704</v>
      </c>
      <c r="C492" s="1" t="n">
        <v>45901</v>
      </c>
      <c r="D492" t="inlineStr">
        <is>
          <t>GOTLANDS LÄN</t>
        </is>
      </c>
      <c r="E492" t="inlineStr">
        <is>
          <t>GOTLAND</t>
        </is>
      </c>
      <c r="F492" t="inlineStr">
        <is>
          <t>Kyrkan</t>
        </is>
      </c>
      <c r="G492" t="n">
        <v>3</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45901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4990-2025</t>
        </is>
      </c>
      <c r="B494" s="1" t="n">
        <v>45691</v>
      </c>
      <c r="C494" s="1" t="n">
        <v>45901</v>
      </c>
      <c r="D494" t="inlineStr">
        <is>
          <t>GOTLANDS LÄN</t>
        </is>
      </c>
      <c r="E494" t="inlineStr">
        <is>
          <t>GOTLAND</t>
        </is>
      </c>
      <c r="G494" t="n">
        <v>7.7</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45901</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14536-2021</t>
        </is>
      </c>
      <c r="B496" s="1" t="n">
        <v>44279.66168981481</v>
      </c>
      <c r="C496" s="1" t="n">
        <v>45901</v>
      </c>
      <c r="D496" t="inlineStr">
        <is>
          <t>GOTLANDS LÄN</t>
        </is>
      </c>
      <c r="E496" t="inlineStr">
        <is>
          <t>GOTLAND</t>
        </is>
      </c>
      <c r="G496" t="n">
        <v>8.5</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45901</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32958-2021</t>
        </is>
      </c>
      <c r="B498" s="1" t="n">
        <v>44376</v>
      </c>
      <c r="C498" s="1" t="n">
        <v>45901</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5884-2025</t>
        </is>
      </c>
      <c r="B499" s="1" t="n">
        <v>45695.37482638889</v>
      </c>
      <c r="C499" s="1" t="n">
        <v>45901</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5897-2025</t>
        </is>
      </c>
      <c r="B500" s="1" t="n">
        <v>45695.39273148148</v>
      </c>
      <c r="C500" s="1" t="n">
        <v>45901</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49693-2023</t>
        </is>
      </c>
      <c r="B501" s="1" t="n">
        <v>45212.38138888889</v>
      </c>
      <c r="C501" s="1" t="n">
        <v>45901</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49697-2023</t>
        </is>
      </c>
      <c r="B502" s="1" t="n">
        <v>45212.38909722222</v>
      </c>
      <c r="C502" s="1" t="n">
        <v>45901</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17901-2023</t>
        </is>
      </c>
      <c r="B503" s="1" t="n">
        <v>45039</v>
      </c>
      <c r="C503" s="1" t="n">
        <v>45901</v>
      </c>
      <c r="D503" t="inlineStr">
        <is>
          <t>GOTLANDS LÄN</t>
        </is>
      </c>
      <c r="E503" t="inlineStr">
        <is>
          <t>GOTLAND</t>
        </is>
      </c>
      <c r="F503" t="inlineStr">
        <is>
          <t>Kyrkan</t>
        </is>
      </c>
      <c r="G503" t="n">
        <v>0.6</v>
      </c>
      <c r="H503" t="n">
        <v>0</v>
      </c>
      <c r="I503" t="n">
        <v>0</v>
      </c>
      <c r="J503" t="n">
        <v>0</v>
      </c>
      <c r="K503" t="n">
        <v>0</v>
      </c>
      <c r="L503" t="n">
        <v>0</v>
      </c>
      <c r="M503" t="n">
        <v>0</v>
      </c>
      <c r="N503" t="n">
        <v>0</v>
      </c>
      <c r="O503" t="n">
        <v>0</v>
      </c>
      <c r="P503" t="n">
        <v>0</v>
      </c>
      <c r="Q503" t="n">
        <v>0</v>
      </c>
      <c r="R503" s="2" t="inlineStr"/>
    </row>
    <row r="504" ht="15" customHeight="1">
      <c r="A504" t="inlineStr">
        <is>
          <t>A 11874-2024</t>
        </is>
      </c>
      <c r="B504" s="1" t="n">
        <v>45376.46956018519</v>
      </c>
      <c r="C504" s="1" t="n">
        <v>45901</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2292-2021</t>
        </is>
      </c>
      <c r="B505" s="1" t="n">
        <v>44212</v>
      </c>
      <c r="C505" s="1" t="n">
        <v>45901</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45901</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45901</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52892-2021</t>
        </is>
      </c>
      <c r="B508" s="1" t="n">
        <v>44467.49048611111</v>
      </c>
      <c r="C508" s="1" t="n">
        <v>45901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45901</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45901</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64555-2023</t>
        </is>
      </c>
      <c r="B511" s="1" t="n">
        <v>45281</v>
      </c>
      <c r="C511" s="1" t="n">
        <v>45901</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64831-2023</t>
        </is>
      </c>
      <c r="B512" s="1" t="n">
        <v>45282.44924768519</v>
      </c>
      <c r="C512" s="1" t="n">
        <v>45901</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14804-2021</t>
        </is>
      </c>
      <c r="B513" s="1" t="n">
        <v>44280</v>
      </c>
      <c r="C513" s="1" t="n">
        <v>45901</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45901</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45901</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34312-2024</t>
        </is>
      </c>
      <c r="B516" s="1" t="n">
        <v>45524.69703703704</v>
      </c>
      <c r="C516" s="1" t="n">
        <v>45901</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27602-2023</t>
        </is>
      </c>
      <c r="B517" s="1" t="n">
        <v>45097</v>
      </c>
      <c r="C517" s="1" t="n">
        <v>45901</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45901</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45901</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69112-2021</t>
        </is>
      </c>
      <c r="B520" s="1" t="n">
        <v>44530</v>
      </c>
      <c r="C520" s="1" t="n">
        <v>45901</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4377-2023</t>
        </is>
      </c>
      <c r="B521" s="1" t="n">
        <v>44955.5502662037</v>
      </c>
      <c r="C521" s="1" t="n">
        <v>45901</v>
      </c>
      <c r="D521" t="inlineStr">
        <is>
          <t>GOTLANDS LÄN</t>
        </is>
      </c>
      <c r="E521" t="inlineStr">
        <is>
          <t>GOTLAND</t>
        </is>
      </c>
      <c r="F521" t="inlineStr">
        <is>
          <t>Kyrkan</t>
        </is>
      </c>
      <c r="G521" t="n">
        <v>0.6</v>
      </c>
      <c r="H521" t="n">
        <v>0</v>
      </c>
      <c r="I521" t="n">
        <v>0</v>
      </c>
      <c r="J521" t="n">
        <v>0</v>
      </c>
      <c r="K521" t="n">
        <v>0</v>
      </c>
      <c r="L521" t="n">
        <v>0</v>
      </c>
      <c r="M521" t="n">
        <v>0</v>
      </c>
      <c r="N521" t="n">
        <v>0</v>
      </c>
      <c r="O521" t="n">
        <v>0</v>
      </c>
      <c r="P521" t="n">
        <v>0</v>
      </c>
      <c r="Q521" t="n">
        <v>0</v>
      </c>
      <c r="R521" s="2" t="inlineStr"/>
    </row>
    <row r="522" ht="15" customHeight="1">
      <c r="A522" t="inlineStr">
        <is>
          <t>A 4387-2023</t>
        </is>
      </c>
      <c r="B522" s="1" t="n">
        <v>44955.73359953704</v>
      </c>
      <c r="C522" s="1" t="n">
        <v>45901</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45901</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45901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45901</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1394-2023</t>
        </is>
      </c>
      <c r="B526" s="1" t="n">
        <v>44936.72997685185</v>
      </c>
      <c r="C526" s="1" t="n">
        <v>45901</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45901</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45901</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45901</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22883-2024</t>
        </is>
      </c>
      <c r="B530" s="1" t="n">
        <v>45448.66368055555</v>
      </c>
      <c r="C530" s="1" t="n">
        <v>45901</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811-2023</t>
        </is>
      </c>
      <c r="B531" s="1" t="n">
        <v>44931</v>
      </c>
      <c r="C531" s="1" t="n">
        <v>45901</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46389-2021</t>
        </is>
      </c>
      <c r="B532" s="1" t="n">
        <v>44443</v>
      </c>
      <c r="C532" s="1" t="n">
        <v>45901</v>
      </c>
      <c r="D532" t="inlineStr">
        <is>
          <t>GOTLANDS LÄN</t>
        </is>
      </c>
      <c r="E532" t="inlineStr">
        <is>
          <t>GOTLAND</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45901</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45901</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45901</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45901</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26810-2021</t>
        </is>
      </c>
      <c r="B537" s="1" t="n">
        <v>44349.55087962963</v>
      </c>
      <c r="C537" s="1" t="n">
        <v>45901</v>
      </c>
      <c r="D537" t="inlineStr">
        <is>
          <t>GOTLANDS LÄN</t>
        </is>
      </c>
      <c r="E537" t="inlineStr">
        <is>
          <t>GOTLAND</t>
        </is>
      </c>
      <c r="G537" t="n">
        <v>3.5</v>
      </c>
      <c r="H537" t="n">
        <v>0</v>
      </c>
      <c r="I537" t="n">
        <v>0</v>
      </c>
      <c r="J537" t="n">
        <v>0</v>
      </c>
      <c r="K537" t="n">
        <v>0</v>
      </c>
      <c r="L537" t="n">
        <v>0</v>
      </c>
      <c r="M537" t="n">
        <v>0</v>
      </c>
      <c r="N537" t="n">
        <v>0</v>
      </c>
      <c r="O537" t="n">
        <v>0</v>
      </c>
      <c r="P537" t="n">
        <v>0</v>
      </c>
      <c r="Q537" t="n">
        <v>0</v>
      </c>
      <c r="R537" s="2" t="inlineStr"/>
    </row>
    <row r="538" ht="15" customHeight="1">
      <c r="A538" t="inlineStr">
        <is>
          <t>A 18742-2025</t>
        </is>
      </c>
      <c r="B538" s="1" t="n">
        <v>45763</v>
      </c>
      <c r="C538" s="1" t="n">
        <v>45901</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5386-2023</t>
        </is>
      </c>
      <c r="B539" s="1" t="n">
        <v>44959</v>
      </c>
      <c r="C539" s="1" t="n">
        <v>45901</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7026-2023</t>
        </is>
      </c>
      <c r="B540" s="1" t="n">
        <v>44968.30340277778</v>
      </c>
      <c r="C540" s="1" t="n">
        <v>45901</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20855-2023</t>
        </is>
      </c>
      <c r="B541" s="1" t="n">
        <v>45058.82172453704</v>
      </c>
      <c r="C541" s="1" t="n">
        <v>45901</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45901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33853-2024</t>
        </is>
      </c>
      <c r="B543" s="1" t="n">
        <v>45520.64298611111</v>
      </c>
      <c r="C543" s="1" t="n">
        <v>45901</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18918-2025</t>
        </is>
      </c>
      <c r="B544" s="1" t="n">
        <v>45764</v>
      </c>
      <c r="C544" s="1" t="n">
        <v>45901</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45901</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45901</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1000-2024</t>
        </is>
      </c>
      <c r="B547" s="1" t="n">
        <v>45301.63371527778</v>
      </c>
      <c r="C547" s="1" t="n">
        <v>45901</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1010-2024</t>
        </is>
      </c>
      <c r="B548" s="1" t="n">
        <v>45301</v>
      </c>
      <c r="C548" s="1" t="n">
        <v>45901</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45901</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44944.55361111111</v>
      </c>
      <c r="C550" s="1" t="n">
        <v>45901</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26891-2024</t>
        </is>
      </c>
      <c r="B551" s="1" t="n">
        <v>45470.65540509259</v>
      </c>
      <c r="C551" s="1" t="n">
        <v>45901</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47762-2023</t>
        </is>
      </c>
      <c r="B552" s="1" t="n">
        <v>45203.86256944444</v>
      </c>
      <c r="C552" s="1" t="n">
        <v>45901</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45901</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45901</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38165-2023</t>
        </is>
      </c>
      <c r="B555" s="1" t="n">
        <v>45161</v>
      </c>
      <c r="C555" s="1" t="n">
        <v>45901</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27596-2023</t>
        </is>
      </c>
      <c r="B556" s="1" t="n">
        <v>45097</v>
      </c>
      <c r="C556" s="1" t="n">
        <v>45901</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24825-2024</t>
        </is>
      </c>
      <c r="B557" s="1" t="n">
        <v>45461</v>
      </c>
      <c r="C557" s="1" t="n">
        <v>45901</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6696-2023</t>
        </is>
      </c>
      <c r="B558" s="1" t="n">
        <v>44966.66425925926</v>
      </c>
      <c r="C558" s="1" t="n">
        <v>45901</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21247-2022</t>
        </is>
      </c>
      <c r="B559" s="1" t="n">
        <v>44705.38832175926</v>
      </c>
      <c r="C559" s="1" t="n">
        <v>45901</v>
      </c>
      <c r="D559" t="inlineStr">
        <is>
          <t>GOTLANDS LÄN</t>
        </is>
      </c>
      <c r="E559" t="inlineStr">
        <is>
          <t>GOTLAND</t>
        </is>
      </c>
      <c r="G559" t="n">
        <v>16.2</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44929.87122685185</v>
      </c>
      <c r="C560" s="1" t="n">
        <v>45901</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44944.54896990741</v>
      </c>
      <c r="C561" s="1" t="n">
        <v>45901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4421-2024</t>
        </is>
      </c>
      <c r="B562" s="1" t="n">
        <v>45327.45173611111</v>
      </c>
      <c r="C562" s="1" t="n">
        <v>45901</v>
      </c>
      <c r="D562" t="inlineStr">
        <is>
          <t>GOTLANDS LÄN</t>
        </is>
      </c>
      <c r="E562" t="inlineStr">
        <is>
          <t>GOTLAND</t>
        </is>
      </c>
      <c r="G562" t="n">
        <v>5.1</v>
      </c>
      <c r="H562" t="n">
        <v>0</v>
      </c>
      <c r="I562" t="n">
        <v>0</v>
      </c>
      <c r="J562" t="n">
        <v>0</v>
      </c>
      <c r="K562" t="n">
        <v>0</v>
      </c>
      <c r="L562" t="n">
        <v>0</v>
      </c>
      <c r="M562" t="n">
        <v>0</v>
      </c>
      <c r="N562" t="n">
        <v>0</v>
      </c>
      <c r="O562" t="n">
        <v>0</v>
      </c>
      <c r="P562" t="n">
        <v>0</v>
      </c>
      <c r="Q562" t="n">
        <v>0</v>
      </c>
      <c r="R562" s="2" t="inlineStr"/>
    </row>
    <row r="563" ht="15" customHeight="1">
      <c r="A563" t="inlineStr">
        <is>
          <t>A 51782-2023</t>
        </is>
      </c>
      <c r="B563" s="1" t="n">
        <v>45222.80952546297</v>
      </c>
      <c r="C563" s="1" t="n">
        <v>45901</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54268-2022</t>
        </is>
      </c>
      <c r="B564" s="1" t="n">
        <v>44882</v>
      </c>
      <c r="C564" s="1" t="n">
        <v>45901</v>
      </c>
      <c r="D564" t="inlineStr">
        <is>
          <t>GOTLANDS LÄN</t>
        </is>
      </c>
      <c r="E564" t="inlineStr">
        <is>
          <t>GOTLAND</t>
        </is>
      </c>
      <c r="G564" t="n">
        <v>2.7</v>
      </c>
      <c r="H564" t="n">
        <v>0</v>
      </c>
      <c r="I564" t="n">
        <v>0</v>
      </c>
      <c r="J564" t="n">
        <v>0</v>
      </c>
      <c r="K564" t="n">
        <v>0</v>
      </c>
      <c r="L564" t="n">
        <v>0</v>
      </c>
      <c r="M564" t="n">
        <v>0</v>
      </c>
      <c r="N564" t="n">
        <v>0</v>
      </c>
      <c r="O564" t="n">
        <v>0</v>
      </c>
      <c r="P564" t="n">
        <v>0</v>
      </c>
      <c r="Q564" t="n">
        <v>0</v>
      </c>
      <c r="R564" s="2" t="inlineStr"/>
    </row>
    <row r="565" ht="15" customHeight="1">
      <c r="A565" t="inlineStr">
        <is>
          <t>A 57534-2022</t>
        </is>
      </c>
      <c r="B565" s="1" t="n">
        <v>44896</v>
      </c>
      <c r="C565" s="1" t="n">
        <v>45901</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45901</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43229-2023</t>
        </is>
      </c>
      <c r="B567" s="1" t="n">
        <v>45183.46704861111</v>
      </c>
      <c r="C567" s="1" t="n">
        <v>45901</v>
      </c>
      <c r="D567" t="inlineStr">
        <is>
          <t>GOTLANDS LÄN</t>
        </is>
      </c>
      <c r="E567" t="inlineStr">
        <is>
          <t>GOTLAND</t>
        </is>
      </c>
      <c r="G567" t="n">
        <v>7.1</v>
      </c>
      <c r="H567" t="n">
        <v>0</v>
      </c>
      <c r="I567" t="n">
        <v>0</v>
      </c>
      <c r="J567" t="n">
        <v>0</v>
      </c>
      <c r="K567" t="n">
        <v>0</v>
      </c>
      <c r="L567" t="n">
        <v>0</v>
      </c>
      <c r="M567" t="n">
        <v>0</v>
      </c>
      <c r="N567" t="n">
        <v>0</v>
      </c>
      <c r="O567" t="n">
        <v>0</v>
      </c>
      <c r="P567" t="n">
        <v>0</v>
      </c>
      <c r="Q567" t="n">
        <v>0</v>
      </c>
      <c r="R567" s="2" t="inlineStr"/>
    </row>
    <row r="568" ht="15" customHeight="1">
      <c r="A568" t="inlineStr">
        <is>
          <t>A 1175-2025</t>
        </is>
      </c>
      <c r="B568" s="1" t="n">
        <v>45667.34449074074</v>
      </c>
      <c r="C568" s="1" t="n">
        <v>45901</v>
      </c>
      <c r="D568" t="inlineStr">
        <is>
          <t>GOTLANDS LÄN</t>
        </is>
      </c>
      <c r="E568" t="inlineStr">
        <is>
          <t>GOTLAND</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27095-2022</t>
        </is>
      </c>
      <c r="B569" s="1" t="n">
        <v>44741</v>
      </c>
      <c r="C569" s="1" t="n">
        <v>45901</v>
      </c>
      <c r="D569" t="inlineStr">
        <is>
          <t>GOTLANDS LÄN</t>
        </is>
      </c>
      <c r="E569" t="inlineStr">
        <is>
          <t>GOTLAND</t>
        </is>
      </c>
      <c r="F569" t="inlineStr">
        <is>
          <t>Övriga Aktiebolag</t>
        </is>
      </c>
      <c r="G569" t="n">
        <v>2.9</v>
      </c>
      <c r="H569" t="n">
        <v>0</v>
      </c>
      <c r="I569" t="n">
        <v>0</v>
      </c>
      <c r="J569" t="n">
        <v>0</v>
      </c>
      <c r="K569" t="n">
        <v>0</v>
      </c>
      <c r="L569" t="n">
        <v>0</v>
      </c>
      <c r="M569" t="n">
        <v>0</v>
      </c>
      <c r="N569" t="n">
        <v>0</v>
      </c>
      <c r="O569" t="n">
        <v>0</v>
      </c>
      <c r="P569" t="n">
        <v>0</v>
      </c>
      <c r="Q569" t="n">
        <v>0</v>
      </c>
      <c r="R569" s="2" t="inlineStr"/>
    </row>
    <row r="570" ht="15" customHeight="1">
      <c r="A570" t="inlineStr">
        <is>
          <t>A 22899-2023</t>
        </is>
      </c>
      <c r="B570" s="1" t="n">
        <v>45072</v>
      </c>
      <c r="C570" s="1" t="n">
        <v>45901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23978-2023</t>
        </is>
      </c>
      <c r="B571" s="1" t="n">
        <v>45078</v>
      </c>
      <c r="C571" s="1" t="n">
        <v>45901</v>
      </c>
      <c r="D571" t="inlineStr">
        <is>
          <t>GOTLANDS LÄN</t>
        </is>
      </c>
      <c r="E571" t="inlineStr">
        <is>
          <t>GOTLAND</t>
        </is>
      </c>
      <c r="F571" t="inlineStr">
        <is>
          <t>Naturvårdsverket</t>
        </is>
      </c>
      <c r="G571" t="n">
        <v>1.7</v>
      </c>
      <c r="H571" t="n">
        <v>0</v>
      </c>
      <c r="I571" t="n">
        <v>0</v>
      </c>
      <c r="J571" t="n">
        <v>0</v>
      </c>
      <c r="K571" t="n">
        <v>0</v>
      </c>
      <c r="L571" t="n">
        <v>0</v>
      </c>
      <c r="M571" t="n">
        <v>0</v>
      </c>
      <c r="N571" t="n">
        <v>0</v>
      </c>
      <c r="O571" t="n">
        <v>0</v>
      </c>
      <c r="P571" t="n">
        <v>0</v>
      </c>
      <c r="Q571" t="n">
        <v>0</v>
      </c>
      <c r="R571" s="2" t="inlineStr"/>
    </row>
    <row r="572" ht="15" customHeight="1">
      <c r="A572" t="inlineStr">
        <is>
          <t>A 34407-2023</t>
        </is>
      </c>
      <c r="B572" s="1" t="n">
        <v>45132</v>
      </c>
      <c r="C572" s="1" t="n">
        <v>45901</v>
      </c>
      <c r="D572" t="inlineStr">
        <is>
          <t>GOTLANDS LÄN</t>
        </is>
      </c>
      <c r="E572" t="inlineStr">
        <is>
          <t>GOTLAND</t>
        </is>
      </c>
      <c r="G572" t="n">
        <v>4.4</v>
      </c>
      <c r="H572" t="n">
        <v>0</v>
      </c>
      <c r="I572" t="n">
        <v>0</v>
      </c>
      <c r="J572" t="n">
        <v>0</v>
      </c>
      <c r="K572" t="n">
        <v>0</v>
      </c>
      <c r="L572" t="n">
        <v>0</v>
      </c>
      <c r="M572" t="n">
        <v>0</v>
      </c>
      <c r="N572" t="n">
        <v>0</v>
      </c>
      <c r="O572" t="n">
        <v>0</v>
      </c>
      <c r="P572" t="n">
        <v>0</v>
      </c>
      <c r="Q572" t="n">
        <v>0</v>
      </c>
      <c r="R572" s="2" t="inlineStr"/>
    </row>
    <row r="573" ht="15" customHeight="1">
      <c r="A573" t="inlineStr">
        <is>
          <t>A 11013-2024</t>
        </is>
      </c>
      <c r="B573" s="1" t="n">
        <v>45370</v>
      </c>
      <c r="C573" s="1" t="n">
        <v>45901</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27694-2024</t>
        </is>
      </c>
      <c r="B574" s="1" t="n">
        <v>45475</v>
      </c>
      <c r="C574" s="1" t="n">
        <v>45901</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15083-2025</t>
        </is>
      </c>
      <c r="B575" s="1" t="n">
        <v>45743</v>
      </c>
      <c r="C575" s="1" t="n">
        <v>45901</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13037-2025</t>
        </is>
      </c>
      <c r="B576" s="1" t="n">
        <v>45734</v>
      </c>
      <c r="C576" s="1" t="n">
        <v>45901</v>
      </c>
      <c r="D576" t="inlineStr">
        <is>
          <t>GOTLANDS LÄN</t>
        </is>
      </c>
      <c r="E576" t="inlineStr">
        <is>
          <t>GOTLAND</t>
        </is>
      </c>
      <c r="G576" t="n">
        <v>9.5</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45901</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44228-2022</t>
        </is>
      </c>
      <c r="B578" s="1" t="n">
        <v>44839.51599537037</v>
      </c>
      <c r="C578" s="1" t="n">
        <v>45901</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58132-2023</t>
        </is>
      </c>
      <c r="B579" s="1" t="n">
        <v>45250</v>
      </c>
      <c r="C579" s="1" t="n">
        <v>45901</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49884-2023</t>
        </is>
      </c>
      <c r="B580" s="1" t="n">
        <v>45213</v>
      </c>
      <c r="C580" s="1" t="n">
        <v>45901</v>
      </c>
      <c r="D580" t="inlineStr">
        <is>
          <t>GOTLANDS LÄN</t>
        </is>
      </c>
      <c r="E580" t="inlineStr">
        <is>
          <t>GOTLAND</t>
        </is>
      </c>
      <c r="G580" t="n">
        <v>8.9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45901</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45901</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6796-2025</t>
        </is>
      </c>
      <c r="B583" s="1" t="n">
        <v>45700.66559027778</v>
      </c>
      <c r="C583" s="1" t="n">
        <v>45901</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45901</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45901</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45901</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45901</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45901</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45901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45901</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45901</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45901</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45901</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45901</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45901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45901</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10652-2025</t>
        </is>
      </c>
      <c r="B597" s="1" t="n">
        <v>45721.68640046296</v>
      </c>
      <c r="C597" s="1" t="n">
        <v>45901</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45901</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45901</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56115-2023</t>
        </is>
      </c>
      <c r="B600" s="1" t="n">
        <v>45236</v>
      </c>
      <c r="C600" s="1" t="n">
        <v>45901</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2774-2024</t>
        </is>
      </c>
      <c r="B601" s="1" t="n">
        <v>45314.62375</v>
      </c>
      <c r="C601" s="1" t="n">
        <v>45901</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60709-2023</t>
        </is>
      </c>
      <c r="B602" s="1" t="n">
        <v>45260</v>
      </c>
      <c r="C602" s="1" t="n">
        <v>45901</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64208-2021</t>
        </is>
      </c>
      <c r="B603" s="1" t="n">
        <v>44510</v>
      </c>
      <c r="C603" s="1" t="n">
        <v>45901</v>
      </c>
      <c r="D603" t="inlineStr">
        <is>
          <t>GOTLANDS LÄN</t>
        </is>
      </c>
      <c r="E603" t="inlineStr">
        <is>
          <t>GOTLAND</t>
        </is>
      </c>
      <c r="G603" t="n">
        <v>4.7</v>
      </c>
      <c r="H603" t="n">
        <v>0</v>
      </c>
      <c r="I603" t="n">
        <v>0</v>
      </c>
      <c r="J603" t="n">
        <v>0</v>
      </c>
      <c r="K603" t="n">
        <v>0</v>
      </c>
      <c r="L603" t="n">
        <v>0</v>
      </c>
      <c r="M603" t="n">
        <v>0</v>
      </c>
      <c r="N603" t="n">
        <v>0</v>
      </c>
      <c r="O603" t="n">
        <v>0</v>
      </c>
      <c r="P603" t="n">
        <v>0</v>
      </c>
      <c r="Q603" t="n">
        <v>0</v>
      </c>
      <c r="R603" s="2" t="inlineStr"/>
    </row>
    <row r="604" ht="15" customHeight="1">
      <c r="A604" t="inlineStr">
        <is>
          <t>A 39764-2022</t>
        </is>
      </c>
      <c r="B604" s="1" t="n">
        <v>44819</v>
      </c>
      <c r="C604" s="1" t="n">
        <v>45901</v>
      </c>
      <c r="D604" t="inlineStr">
        <is>
          <t>GOTLANDS LÄN</t>
        </is>
      </c>
      <c r="E604" t="inlineStr">
        <is>
          <t>GOTLAND</t>
        </is>
      </c>
      <c r="F604" t="inlineStr">
        <is>
          <t>Kyrkan</t>
        </is>
      </c>
      <c r="G604" t="n">
        <v>3.7</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45901</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30956-2024</t>
        </is>
      </c>
      <c r="B606" s="1" t="n">
        <v>45499.42527777778</v>
      </c>
      <c r="C606" s="1" t="n">
        <v>45901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30892-2024</t>
        </is>
      </c>
      <c r="B607" s="1" t="n">
        <v>45491</v>
      </c>
      <c r="C607" s="1" t="n">
        <v>45901</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45013.69365740741</v>
      </c>
      <c r="C608" s="1" t="n">
        <v>45901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59469-2024</t>
        </is>
      </c>
      <c r="B609" s="1" t="n">
        <v>45638</v>
      </c>
      <c r="C609" s="1" t="n">
        <v>45901</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c r="A610" t="inlineStr">
        <is>
          <t>A 7858-2025</t>
        </is>
      </c>
      <c r="B610" s="1" t="n">
        <v>45706.68633101852</v>
      </c>
      <c r="C610" s="1" t="n">
        <v>45901</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2025-09-01T08:29:41Z</dcterms:created>
  <dcterms:modified xmlns:dcterms="http://purl.org/dc/terms/" xmlns:xsi="http://www.w3.org/2001/XMLSchema-instance" xsi:type="dcterms:W3CDTF">2025-09-01T08:29:42Z</dcterms:modified>
</cp:coreProperties>
</file>