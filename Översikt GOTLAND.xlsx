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46286</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46286</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46286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46286</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46286</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46286</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46286</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46286</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46286</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46286</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46286</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46286</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46286</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46286</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46286</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46286</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46286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46286</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46286</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46286</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46286</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46286</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46286</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46286</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46286</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46286</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46286</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46286</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46286</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46286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46286</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20838-2024</t>
        </is>
      </c>
      <c r="B92" t="inlineStr">
        <is>
          <t>avverkningsanmälan</t>
        </is>
      </c>
      <c r="C92" t="inlineStr">
        <is>
          <t>Föryngringsavverkning</t>
        </is>
      </c>
      <c r="D92" s="1" t="n">
        <v>45439</v>
      </c>
      <c r="E92" s="1" t="n">
        <v>46286</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16823-2024</t>
        </is>
      </c>
      <c r="B93" t="inlineStr">
        <is>
          <t>avverkningsanmälan</t>
        </is>
      </c>
      <c r="C93" t="inlineStr">
        <is>
          <t>Avverkning för annat ändamål</t>
        </is>
      </c>
      <c r="D93" s="1" t="n">
        <v>45411</v>
      </c>
      <c r="E93" s="1" t="n">
        <v>46286</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46286</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46286</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46286</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46286</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46286</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46286</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46286</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46286</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46286</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46286</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46286</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46286</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46286</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46286</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46286</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46286</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16997-2026</t>
        </is>
      </c>
      <c r="B111" t="inlineStr">
        <is>
          <t>avverkningsanmälan</t>
        </is>
      </c>
      <c r="C111" t="inlineStr">
        <is>
          <t>Föryngringsavverkning</t>
        </is>
      </c>
      <c r="D111" s="1" t="n">
        <v>46114</v>
      </c>
      <c r="E111" s="1" t="n">
        <v>46286</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46286</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37591-2023</t>
        </is>
      </c>
      <c r="B113" t="inlineStr">
        <is>
          <t>avverkningsanmälan</t>
        </is>
      </c>
      <c r="C113" t="inlineStr">
        <is>
          <t>Föryngringsavverkning</t>
        </is>
      </c>
      <c r="D113" s="1" t="n">
        <v>45159</v>
      </c>
      <c r="E113" s="1" t="n">
        <v>46286</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46286</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46286</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46286</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46286</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46286</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46286</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46286</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46286</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46286</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46286</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46286</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46286</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53552-2021</t>
        </is>
      </c>
      <c r="B126" t="inlineStr">
        <is>
          <t>avverkningsanmälan</t>
        </is>
      </c>
      <c r="C126" t="inlineStr">
        <is>
          <t>Föryngringsavverkning</t>
        </is>
      </c>
      <c r="D126" s="1" t="n">
        <v>44468</v>
      </c>
      <c r="E126" s="1" t="n">
        <v>46286</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46286</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46286</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35574-2024</t>
        </is>
      </c>
      <c r="B129" t="inlineStr">
        <is>
          <t>avverkningsanmälan</t>
        </is>
      </c>
      <c r="C129" t="inlineStr">
        <is>
          <t>Föryngringsavverkning</t>
        </is>
      </c>
      <c r="D129" s="1" t="n">
        <v>45531</v>
      </c>
      <c r="E129" s="1" t="n">
        <v>46286</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19322-2026</t>
        </is>
      </c>
      <c r="B130" t="inlineStr">
        <is>
          <t>avverkningsanmälan</t>
        </is>
      </c>
      <c r="C130" t="inlineStr">
        <is>
          <t>Avverkning för annat ändamål</t>
        </is>
      </c>
      <c r="D130" s="1" t="n">
        <v>46129</v>
      </c>
      <c r="E130" s="1" t="n">
        <v>46286</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43219-2023</t>
        </is>
      </c>
      <c r="B131" t="inlineStr">
        <is>
          <t>avverkningsanmälan</t>
        </is>
      </c>
      <c r="C131" t="inlineStr">
        <is>
          <t>Föryngringsavverkning</t>
        </is>
      </c>
      <c r="D131" s="1" t="n">
        <v>45183</v>
      </c>
      <c r="E131" s="1" t="n">
        <v>46286</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46286</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17975-2024</t>
        </is>
      </c>
      <c r="B133" t="inlineStr">
        <is>
          <t>avverkningsanmälan</t>
        </is>
      </c>
      <c r="C133" t="inlineStr">
        <is>
          <t>Föryngringsavverkning</t>
        </is>
      </c>
      <c r="D133" s="1" t="n">
        <v>45419</v>
      </c>
      <c r="E133" s="1" t="n">
        <v>46286</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10440-2024</t>
        </is>
      </c>
      <c r="B134" t="inlineStr">
        <is>
          <t>avverkningsanmälan</t>
        </is>
      </c>
      <c r="C134" t="inlineStr">
        <is>
          <t>Föryngringsavverkning</t>
        </is>
      </c>
      <c r="D134" s="1" t="n">
        <v>45366</v>
      </c>
      <c r="E134" s="1" t="n">
        <v>46286</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46286</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46286</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46286</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46286</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46286</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46286</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46286</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46286</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46286</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46286</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46286</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62760-2025</t>
        </is>
      </c>
      <c r="B147" t="inlineStr">
        <is>
          <t>avverkningsanmälan</t>
        </is>
      </c>
      <c r="C147" t="inlineStr">
        <is>
          <t>Föryngringsavverkning</t>
        </is>
      </c>
      <c r="D147" s="1" t="n">
        <v>46008</v>
      </c>
      <c r="E147" s="1" t="n">
        <v>46286</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8036-2022</t>
        </is>
      </c>
      <c r="B148" t="inlineStr">
        <is>
          <t>avverkningsanmälan</t>
        </is>
      </c>
      <c r="C148" t="inlineStr">
        <is>
          <t>Föryngringsavverkning</t>
        </is>
      </c>
      <c r="D148" s="1" t="n">
        <v>44609</v>
      </c>
      <c r="E148" s="1" t="n">
        <v>46286</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11708-2026</t>
        </is>
      </c>
      <c r="B149" t="inlineStr">
        <is>
          <t>avverkningsanmälan</t>
        </is>
      </c>
      <c r="C149" t="inlineStr">
        <is>
          <t>Avverkning för annat ändamål</t>
        </is>
      </c>
      <c r="D149" s="1" t="n">
        <v>46084</v>
      </c>
      <c r="E149" s="1" t="n">
        <v>46286</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27621-2026</t>
        </is>
      </c>
      <c r="B150" t="inlineStr">
        <is>
          <t>avverkningsanmälan</t>
        </is>
      </c>
      <c r="C150" t="inlineStr">
        <is>
          <t>Föryngringsavverkning</t>
        </is>
      </c>
      <c r="D150" s="1" t="n">
        <v>46190</v>
      </c>
      <c r="E150" s="1" t="n">
        <v>46286</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46286</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46286</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46286</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46286</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46286</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46286</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46286</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22883-2024</t>
        </is>
      </c>
      <c r="B158" t="inlineStr">
        <is>
          <t>avverkningsanmälan</t>
        </is>
      </c>
      <c r="C158" t="inlineStr">
        <is>
          <t>Föryngringsavverkning</t>
        </is>
      </c>
      <c r="D158" s="1" t="n">
        <v>45448</v>
      </c>
      <c r="E158" s="1" t="n">
        <v>46286</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24245-2022</t>
        </is>
      </c>
      <c r="B159" t="inlineStr">
        <is>
          <t>avverkningsanmälan</t>
        </is>
      </c>
      <c r="C159" t="inlineStr">
        <is>
          <t>Föryngringsavverkning</t>
        </is>
      </c>
      <c r="D159" s="1" t="n">
        <v>44725</v>
      </c>
      <c r="E159" s="1" t="n">
        <v>46286</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46286</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46286</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57534-2022</t>
        </is>
      </c>
      <c r="B162" t="inlineStr">
        <is>
          <t>avverkningsanmälan</t>
        </is>
      </c>
      <c r="C162" t="inlineStr">
        <is>
          <t>Föryngringsavverkning</t>
        </is>
      </c>
      <c r="D162" s="1" t="n">
        <v>44896</v>
      </c>
      <c r="E162" s="1" t="n">
        <v>46286</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46286</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46286</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49693-2023</t>
        </is>
      </c>
      <c r="B165" t="inlineStr">
        <is>
          <t>avverkningsanmälan</t>
        </is>
      </c>
      <c r="C165" t="inlineStr">
        <is>
          <t>Föryngringsavverkning</t>
        </is>
      </c>
      <c r="D165" s="1" t="n">
        <v>45212</v>
      </c>
      <c r="E165" s="1" t="n">
        <v>46286</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25977-2024</t>
        </is>
      </c>
      <c r="B166" t="inlineStr">
        <is>
          <t>avverkningsanmälan</t>
        </is>
      </c>
      <c r="C166" t="inlineStr">
        <is>
          <t>Föryngringsavverkning</t>
        </is>
      </c>
      <c r="D166" s="1" t="n">
        <v>45467</v>
      </c>
      <c r="E166" s="1" t="n">
        <v>46286</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46286</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46286</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947-2023</t>
        </is>
      </c>
      <c r="B169" t="inlineStr">
        <is>
          <t>avverkningsanmälan</t>
        </is>
      </c>
      <c r="C169" t="inlineStr">
        <is>
          <t>Föryngringsavverkning</t>
        </is>
      </c>
      <c r="D169" s="1" t="n">
        <v>44934</v>
      </c>
      <c r="E169" s="1" t="n">
        <v>46286</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46286</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46286</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46286</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46286</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46286</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46286</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46286</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46286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46286</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46286</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46286</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46286</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46286</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46286</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62915-2021</t>
        </is>
      </c>
      <c r="B184" t="inlineStr">
        <is>
          <t>avverkningsanmälan</t>
        </is>
      </c>
      <c r="C184" t="inlineStr">
        <is>
          <t>Föryngringsavverkning</t>
        </is>
      </c>
      <c r="D184" s="1" t="n">
        <v>44504</v>
      </c>
      <c r="E184" s="1" t="n">
        <v>46286</v>
      </c>
      <c r="F184" t="inlineStr">
        <is>
          <t>GOTLANDS LÄN</t>
        </is>
      </c>
      <c r="G184" t="inlineStr">
        <is>
          <t>GOTLAND</t>
        </is>
      </c>
      <c r="I184" t="n">
        <v>1.1</v>
      </c>
      <c r="J184" t="n">
        <v>1</v>
      </c>
      <c r="K184" t="n">
        <v>0</v>
      </c>
      <c r="L184" t="n">
        <v>0</v>
      </c>
      <c r="M184" t="n">
        <v>0</v>
      </c>
      <c r="N184" t="n">
        <v>0</v>
      </c>
      <c r="O184" t="n">
        <v>0</v>
      </c>
      <c r="P184" t="n">
        <v>0</v>
      </c>
      <c r="Q184" t="n">
        <v>0</v>
      </c>
      <c r="R184" t="n">
        <v>0</v>
      </c>
      <c r="S184" t="n">
        <v>1</v>
      </c>
      <c r="T184" t="n">
        <v>1</v>
      </c>
      <c r="U184" t="n">
        <v>1</v>
      </c>
      <c r="V184" s="2" t="inlineStr">
        <is>
          <t>Bredarun</t>
        </is>
      </c>
      <c r="W184">
        <f>HYPERLINK("https://klasma.github.io/Logging_0980/artfynd/A 62915-2021 artfynd.xlsx", "A 62915-2021")</f>
        <v/>
      </c>
      <c r="X184">
        <f>HYPERLINK("https://klasma.github.io/Logging_0980/kartor/A 62915-2021 karta.png", "A 62915-2021")</f>
        <v/>
      </c>
      <c r="Y184">
        <f>HYPERLINK("https://klasma.github.io/Logging_0980/kartor_geotiff/A 62915-2021 georefererad karta.tif", "A 62915-2021")</f>
        <v/>
      </c>
      <c r="AA184">
        <f>HYPERLINK("https://klasma.github.io/Logging_0980/klagomål/A 62915-2021 FSC-klagomål.docx", "A 62915-2021")</f>
        <v/>
      </c>
      <c r="AB184">
        <f>HYPERLINK("https://klasma.github.io/Logging_0980/klagomålsmail/A 62915-2021 FSC-klagomål mail.docx", "A 62915-2021")</f>
        <v/>
      </c>
      <c r="AC184">
        <f>HYPERLINK("https://klasma.github.io/Logging_0980/tillsyn/A 62915-2021 tillsynsbegäran.docx", "A 62915-2021")</f>
        <v/>
      </c>
      <c r="AD184">
        <f>HYPERLINK("https://klasma.github.io/Logging_0980/tillsynsmail/A 62915-2021 tillsynsbegäran mail.docx", "A 62915-2021")</f>
        <v/>
      </c>
    </row>
    <row r="185" ht="15" customHeight="1">
      <c r="A185" t="inlineStr">
        <is>
          <t>A 7637-2025</t>
        </is>
      </c>
      <c r="B185" t="inlineStr">
        <is>
          <t>avverkningsanmälan</t>
        </is>
      </c>
      <c r="C185" t="inlineStr">
        <is>
          <t>Föryngringsavverkning</t>
        </is>
      </c>
      <c r="D185" s="1" t="n">
        <v>45705</v>
      </c>
      <c r="E185" s="1" t="n">
        <v>46286</v>
      </c>
      <c r="F185" t="inlineStr">
        <is>
          <t>GOTLANDS LÄN</t>
        </is>
      </c>
      <c r="G185" t="inlineStr">
        <is>
          <t>GOTLAND</t>
        </is>
      </c>
      <c r="I185" t="n">
        <v>3.7</v>
      </c>
      <c r="J185" t="n">
        <v>0</v>
      </c>
      <c r="K185" t="n">
        <v>0</v>
      </c>
      <c r="L185" t="n">
        <v>0</v>
      </c>
      <c r="M185" t="n">
        <v>0</v>
      </c>
      <c r="N185" t="n">
        <v>1</v>
      </c>
      <c r="O185" t="n">
        <v>0</v>
      </c>
      <c r="P185" t="n">
        <v>0</v>
      </c>
      <c r="Q185" t="n">
        <v>1</v>
      </c>
      <c r="R185" t="n">
        <v>1</v>
      </c>
      <c r="S185" t="n">
        <v>1</v>
      </c>
      <c r="T185" t="n">
        <v>1</v>
      </c>
      <c r="U185" t="n">
        <v>1</v>
      </c>
      <c r="V185" s="2" t="inlineStr">
        <is>
          <t>Skogsalm</t>
        </is>
      </c>
      <c r="W185">
        <f>HYPERLINK("https://klasma.github.io/Logging_0980/artfynd/A 7637-2025 artfynd.xlsx", "A 7637-2025")</f>
        <v/>
      </c>
      <c r="X185">
        <f>HYPERLINK("https://klasma.github.io/Logging_0980/kartor/A 7637-2025 karta.png", "A 7637-2025")</f>
        <v/>
      </c>
      <c r="Y185">
        <f>HYPERLINK("https://klasma.github.io/Logging_0980/kartor_geotiff/A 7637-2025 georefererad karta.tif", "A 7637-2025")</f>
        <v/>
      </c>
      <c r="AA185">
        <f>HYPERLINK("https://klasma.github.io/Logging_0980/klagomål/A 7637-2025 FSC-klagomål.docx", "A 7637-2025")</f>
        <v/>
      </c>
      <c r="AB185">
        <f>HYPERLINK("https://klasma.github.io/Logging_0980/klagomålsmail/A 7637-2025 FSC-klagomål mail.docx", "A 7637-2025")</f>
        <v/>
      </c>
      <c r="AC185">
        <f>HYPERLINK("https://klasma.github.io/Logging_0980/tillsyn/A 7637-2025 tillsynsbegäran.docx", "A 7637-2025")</f>
        <v/>
      </c>
      <c r="AD185">
        <f>HYPERLINK("https://klasma.github.io/Logging_0980/tillsynsmail/A 7637-2025 tillsynsbegäran mail.docx", "A 7637-2025")</f>
        <v/>
      </c>
    </row>
    <row r="186" ht="15" customHeight="1">
      <c r="A186" t="inlineStr">
        <is>
          <t>A 27343-2026</t>
        </is>
      </c>
      <c r="B186" t="inlineStr">
        <is>
          <t>avverkningsanmälan</t>
        </is>
      </c>
      <c r="C186" t="inlineStr">
        <is>
          <t>Föryngringsavverkning</t>
        </is>
      </c>
      <c r="D186" s="1" t="n">
        <v>46188</v>
      </c>
      <c r="E186" s="1" t="n">
        <v>46286</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13482-2026</t>
        </is>
      </c>
      <c r="B187" t="inlineStr">
        <is>
          <t>avverkningsanmälan</t>
        </is>
      </c>
      <c r="C187" t="inlineStr">
        <is>
          <t>Föryngringsavverkning</t>
        </is>
      </c>
      <c r="D187" s="1" t="n">
        <v>46094</v>
      </c>
      <c r="E187" s="1" t="n">
        <v>46286</v>
      </c>
      <c r="F187" t="inlineStr">
        <is>
          <t>GOTLANDS LÄN</t>
        </is>
      </c>
      <c r="G187" t="inlineStr">
        <is>
          <t>GOTLAND</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HYPERLINK("https://klasma.github.io/Logging_0980/artfynd/A 13482-2026 artfynd.xlsx", "A 13482-2026")</f>
        <v/>
      </c>
      <c r="X187">
        <f>HYPERLINK("https://klasma.github.io/Logging_0980/kartor/A 13482-2026 karta.png", "A 13482-2026")</f>
        <v/>
      </c>
      <c r="Y187">
        <f>HYPERLINK("https://klasma.github.io/Logging_0980/kartor_geotiff/A 13482-2026 georefererad karta.tif", "A 13482-2026")</f>
        <v/>
      </c>
      <c r="AA187">
        <f>HYPERLINK("https://klasma.github.io/Logging_0980/klagomål/A 13482-2026 FSC-klagomål.docx", "A 13482-2026")</f>
        <v/>
      </c>
      <c r="AB187">
        <f>HYPERLINK("https://klasma.github.io/Logging_0980/klagomålsmail/A 13482-2026 FSC-klagomål mail.docx", "A 13482-2026")</f>
        <v/>
      </c>
      <c r="AC187">
        <f>HYPERLINK("https://klasma.github.io/Logging_0980/tillsyn/A 13482-2026 tillsynsbegäran.docx", "A 13482-2026")</f>
        <v/>
      </c>
      <c r="AD187">
        <f>HYPERLINK("https://klasma.github.io/Logging_0980/tillsynsmail/A 13482-2026 tillsynsbegäran mail.docx", "A 13482-2026")</f>
        <v/>
      </c>
      <c r="AE187">
        <f>HYPERLINK("https://klasma.github.io/Logging_0980/fåglar/A 13482-2026 prioriterade fågelarter.docx", "A 13482-2026")</f>
        <v/>
      </c>
    </row>
    <row r="188" ht="15" customHeight="1">
      <c r="A188" t="inlineStr">
        <is>
          <t>A 61796-2022</t>
        </is>
      </c>
      <c r="B188" t="inlineStr">
        <is>
          <t>avverkningsanmälan</t>
        </is>
      </c>
      <c r="C188" t="inlineStr">
        <is>
          <t>Föryngringsavverkning</t>
        </is>
      </c>
      <c r="D188" s="1" t="n">
        <v>44917</v>
      </c>
      <c r="E188" s="1" t="n">
        <v>46286</v>
      </c>
      <c r="F188" t="inlineStr">
        <is>
          <t>GOTLANDS LÄN</t>
        </is>
      </c>
      <c r="G188" t="inlineStr">
        <is>
          <t>GOTLAND</t>
        </is>
      </c>
      <c r="I188" t="n">
        <v>1.5</v>
      </c>
      <c r="J188" t="n">
        <v>1</v>
      </c>
      <c r="K188" t="n">
        <v>0</v>
      </c>
      <c r="L188" t="n">
        <v>0</v>
      </c>
      <c r="M188" t="n">
        <v>0</v>
      </c>
      <c r="N188" t="n">
        <v>0</v>
      </c>
      <c r="O188" t="n">
        <v>0</v>
      </c>
      <c r="P188" t="n">
        <v>0</v>
      </c>
      <c r="Q188" t="n">
        <v>0</v>
      </c>
      <c r="R188" t="n">
        <v>0</v>
      </c>
      <c r="S188" t="n">
        <v>1</v>
      </c>
      <c r="T188" t="n">
        <v>1</v>
      </c>
      <c r="U188" t="n">
        <v>1</v>
      </c>
      <c r="V188" s="2" t="inlineStr">
        <is>
          <t>Skogsduva</t>
        </is>
      </c>
      <c r="W188">
        <f>HYPERLINK("https://klasma.github.io/Logging_0980/artfynd/A 61796-2022 artfynd.xlsx", "A 61796-2022")</f>
        <v/>
      </c>
      <c r="X188">
        <f>HYPERLINK("https://klasma.github.io/Logging_0980/kartor/A 61796-2022 karta.png", "A 61796-2022")</f>
        <v/>
      </c>
      <c r="Y188">
        <f>HYPERLINK("https://klasma.github.io/Logging_0980/kartor_geotiff/A 61796-2022 georefererad karta.tif", "A 61796-2022")</f>
        <v/>
      </c>
      <c r="AA188">
        <f>HYPERLINK("https://klasma.github.io/Logging_0980/klagomål/A 61796-2022 FSC-klagomål.docx", "A 61796-2022")</f>
        <v/>
      </c>
      <c r="AB188">
        <f>HYPERLINK("https://klasma.github.io/Logging_0980/klagomålsmail/A 61796-2022 FSC-klagomål mail.docx", "A 61796-2022")</f>
        <v/>
      </c>
      <c r="AC188">
        <f>HYPERLINK("https://klasma.github.io/Logging_0980/tillsyn/A 61796-2022 tillsynsbegäran.docx", "A 61796-2022")</f>
        <v/>
      </c>
      <c r="AD188">
        <f>HYPERLINK("https://klasma.github.io/Logging_0980/tillsynsmail/A 61796-2022 tillsynsbegäran mail.docx", "A 61796-2022")</f>
        <v/>
      </c>
    </row>
    <row r="189" ht="15" customHeight="1">
      <c r="A189" t="inlineStr">
        <is>
          <t>A 4662-2026</t>
        </is>
      </c>
      <c r="B189" t="inlineStr">
        <is>
          <t>avverkningsanmälan</t>
        </is>
      </c>
      <c r="C189" t="inlineStr">
        <is>
          <t>Föryngringsavverkning</t>
        </is>
      </c>
      <c r="D189" s="1" t="n">
        <v>46048</v>
      </c>
      <c r="E189" s="1" t="n">
        <v>46286</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10218-2025</t>
        </is>
      </c>
      <c r="B190" t="inlineStr">
        <is>
          <t>avverkningsanmälan</t>
        </is>
      </c>
      <c r="C190" t="inlineStr">
        <is>
          <t>Föryngringsavverkning</t>
        </is>
      </c>
      <c r="D190" s="1" t="n">
        <v>45720</v>
      </c>
      <c r="E190" s="1" t="n">
        <v>46286</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30176-2026</t>
        </is>
      </c>
      <c r="B191" t="inlineStr">
        <is>
          <t>avverkningsanmälan</t>
        </is>
      </c>
      <c r="C191" t="inlineStr">
        <is>
          <t>Avverkning för annat ändamål</t>
        </is>
      </c>
      <c r="D191" s="1" t="n">
        <v>46203</v>
      </c>
      <c r="E191" s="1" t="n">
        <v>46286</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12379-2024</t>
        </is>
      </c>
      <c r="B192" t="inlineStr">
        <is>
          <t>avverkningsanmälan</t>
        </is>
      </c>
      <c r="C192" t="inlineStr">
        <is>
          <t>Föryngringsavverkning</t>
        </is>
      </c>
      <c r="D192" s="1" t="n">
        <v>45379</v>
      </c>
      <c r="E192" s="1" t="n">
        <v>46286</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17854-2026</t>
        </is>
      </c>
      <c r="B193" t="inlineStr">
        <is>
          <t>avverkningsanmälan</t>
        </is>
      </c>
      <c r="C193" t="inlineStr">
        <is>
          <t>Föryngringsavverkning</t>
        </is>
      </c>
      <c r="D193" s="1" t="n">
        <v>46121</v>
      </c>
      <c r="E193" s="1" t="n">
        <v>46286</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t="n">
        <v>0</v>
      </c>
      <c r="V193" s="2" t="inlineStr">
        <is>
          <t>Blå slemspindling</t>
        </is>
      </c>
      <c r="W193">
        <f>HYPERLINK("https://klasma.github.io/Logging_0980/artfynd/A 17854-2026 artfynd.xlsx", "A 17854-2026")</f>
        <v/>
      </c>
      <c r="X193">
        <f>HYPERLINK("https://klasma.github.io/Logging_0980/kartor/A 17854-2026 karta.png", "A 17854-2026")</f>
        <v/>
      </c>
      <c r="Y193">
        <f>HYPERLINK("https://klasma.github.io/Logging_0980/kartor_geotiff/A 17854-2026 georefererad karta.tif", "A 17854-2026")</f>
        <v/>
      </c>
      <c r="AA193">
        <f>HYPERLINK("https://klasma.github.io/Logging_0980/klagomål/A 17854-2026 FSC-klagomål.docx", "A 17854-2026")</f>
        <v/>
      </c>
      <c r="AB193">
        <f>HYPERLINK("https://klasma.github.io/Logging_0980/klagomålsmail/A 17854-2026 FSC-klagomål mail.docx", "A 17854-2026")</f>
        <v/>
      </c>
      <c r="AC193">
        <f>HYPERLINK("https://klasma.github.io/Logging_0980/tillsyn/A 17854-2026 tillsynsbegäran.docx", "A 17854-2026")</f>
        <v/>
      </c>
      <c r="AD193">
        <f>HYPERLINK("https://klasma.github.io/Logging_0980/tillsynsmail/A 17854-2026 tillsynsbegäran mail.docx", "A 17854-2026")</f>
        <v/>
      </c>
    </row>
    <row r="194" ht="15" customHeight="1">
      <c r="A194" t="inlineStr">
        <is>
          <t>A 15637-2024</t>
        </is>
      </c>
      <c r="B194" t="inlineStr">
        <is>
          <t>avverkningsanmälan</t>
        </is>
      </c>
      <c r="C194" t="inlineStr">
        <is>
          <t>Föryngringsavverkning</t>
        </is>
      </c>
      <c r="D194" s="1" t="n">
        <v>45403</v>
      </c>
      <c r="E194" s="1" t="n">
        <v>46286</v>
      </c>
      <c r="F194" t="inlineStr">
        <is>
          <t>GOTLANDS LÄN</t>
        </is>
      </c>
      <c r="G194" t="inlineStr">
        <is>
          <t>GOTLAND</t>
        </is>
      </c>
      <c r="I194" t="n">
        <v>4.1</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HYPERLINK("https://klasma.github.io/Logging_0980/artfynd/A 15637-2024 artfynd.xlsx", "A 15637-2024")</f>
        <v/>
      </c>
      <c r="X194">
        <f>HYPERLINK("https://klasma.github.io/Logging_0980/kartor/A 15637-2024 karta.png", "A 15637-2024")</f>
        <v/>
      </c>
      <c r="Y194">
        <f>HYPERLINK("https://klasma.github.io/Logging_0980/kartor_geotiff/A 15637-2024 georefererad karta.tif", "A 15637-2024")</f>
        <v/>
      </c>
      <c r="AA194">
        <f>HYPERLINK("https://klasma.github.io/Logging_0980/klagomål/A 15637-2024 FSC-klagomål.docx", "A 15637-2024")</f>
        <v/>
      </c>
      <c r="AB194">
        <f>HYPERLINK("https://klasma.github.io/Logging_0980/klagomålsmail/A 15637-2024 FSC-klagomål mail.docx", "A 15637-2024")</f>
        <v/>
      </c>
      <c r="AC194">
        <f>HYPERLINK("https://klasma.github.io/Logging_0980/tillsyn/A 15637-2024 tillsynsbegäran.docx", "A 15637-2024")</f>
        <v/>
      </c>
      <c r="AD194">
        <f>HYPERLINK("https://klasma.github.io/Logging_0980/tillsynsmail/A 15637-2024 tillsynsbegäran mail.docx", "A 15637-2024")</f>
        <v/>
      </c>
    </row>
    <row r="195" ht="15" customHeight="1">
      <c r="A195" t="inlineStr">
        <is>
          <t>A 4568-2025</t>
        </is>
      </c>
      <c r="B195" t="inlineStr">
        <is>
          <t>avverkningsanmälan</t>
        </is>
      </c>
      <c r="C195" t="inlineStr">
        <is>
          <t>Föryngringsavverkning</t>
        </is>
      </c>
      <c r="D195" s="1" t="n">
        <v>45687</v>
      </c>
      <c r="E195" s="1" t="n">
        <v>46286</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49847-2023</t>
        </is>
      </c>
      <c r="B196" t="inlineStr">
        <is>
          <t>avverkningsanmälan</t>
        </is>
      </c>
      <c r="C196" t="inlineStr">
        <is>
          <t>Föryngringsavverkning</t>
        </is>
      </c>
      <c r="D196" s="1" t="n">
        <v>45212</v>
      </c>
      <c r="E196" s="1" t="n">
        <v>46286</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5863-2026</t>
        </is>
      </c>
      <c r="B197" t="inlineStr">
        <is>
          <t>avverkningsanmälan</t>
        </is>
      </c>
      <c r="C197" t="inlineStr">
        <is>
          <t>Föryngringsavverkning</t>
        </is>
      </c>
      <c r="D197" s="1" t="n">
        <v>46052</v>
      </c>
      <c r="E197" s="1" t="n">
        <v>46286</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56115-2023</t>
        </is>
      </c>
      <c r="B198" t="inlineStr">
        <is>
          <t>avverkningsanmälan</t>
        </is>
      </c>
      <c r="C198" t="inlineStr">
        <is>
          <t>Avverkning för annat ändamål</t>
        </is>
      </c>
      <c r="D198" s="1" t="n">
        <v>45236</v>
      </c>
      <c r="E198" s="1" t="n">
        <v>46286</v>
      </c>
      <c r="F198" t="inlineStr">
        <is>
          <t>GOTLANDS LÄN</t>
        </is>
      </c>
      <c r="G198" t="inlineStr">
        <is>
          <t>GOTLAND</t>
        </is>
      </c>
      <c r="I198" t="n">
        <v>2</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HYPERLINK("https://klasma.github.io/Logging_0980/artfynd/A 56115-2023 artfynd.xlsx", "A 56115-2023")</f>
        <v/>
      </c>
      <c r="X198">
        <f>HYPERLINK("https://klasma.github.io/Logging_0980/kartor/A 56115-2023 karta.png", "A 56115-2023")</f>
        <v/>
      </c>
      <c r="Y198">
        <f>HYPERLINK("https://klasma.github.io/Logging_0980/kartor_geotiff/A 56115-2023 georefererad karta.tif", "A 56115-2023")</f>
        <v/>
      </c>
      <c r="AA198">
        <f>HYPERLINK("https://klasma.github.io/Logging_0980/klagomål/A 56115-2023 FSC-klagomål.docx", "A 56115-2023")</f>
        <v/>
      </c>
      <c r="AB198">
        <f>HYPERLINK("https://klasma.github.io/Logging_0980/klagomålsmail/A 56115-2023 FSC-klagomål mail.docx", "A 56115-2023")</f>
        <v/>
      </c>
      <c r="AC198">
        <f>HYPERLINK("https://klasma.github.io/Logging_0980/tillsyn/A 56115-2023 tillsynsbegäran.docx", "A 56115-2023")</f>
        <v/>
      </c>
      <c r="AD198">
        <f>HYPERLINK("https://klasma.github.io/Logging_0980/tillsynsmail/A 56115-2023 tillsynsbegäran mail.docx", "A 56115-2023")</f>
        <v/>
      </c>
    </row>
    <row r="199" ht="15" customHeight="1">
      <c r="A199" t="inlineStr">
        <is>
          <t>A 10995-2023</t>
        </is>
      </c>
      <c r="B199" t="inlineStr">
        <is>
          <t>avverkningsanmälan</t>
        </is>
      </c>
      <c r="C199" t="inlineStr">
        <is>
          <t>Föryngringsavverkning</t>
        </is>
      </c>
      <c r="D199" s="1" t="n">
        <v>44986</v>
      </c>
      <c r="E199" s="1" t="n">
        <v>46286</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18036-2026</t>
        </is>
      </c>
      <c r="B200" t="inlineStr">
        <is>
          <t>avverkningsanmälan</t>
        </is>
      </c>
      <c r="C200" t="inlineStr">
        <is>
          <t>Föryngringsavverkning</t>
        </is>
      </c>
      <c r="D200" s="1" t="n">
        <v>46125</v>
      </c>
      <c r="E200" s="1" t="n">
        <v>46286</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21396-2026</t>
        </is>
      </c>
      <c r="B201" t="inlineStr">
        <is>
          <t>avverkningsanmälan</t>
        </is>
      </c>
      <c r="C201" t="inlineStr">
        <is>
          <t>Föryngringsavverkning</t>
        </is>
      </c>
      <c r="D201" s="1" t="n">
        <v>46148</v>
      </c>
      <c r="E201" s="1" t="n">
        <v>46286</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64700-2021</t>
        </is>
      </c>
      <c r="B202" t="inlineStr">
        <is>
          <t>avverkningsanmälan</t>
        </is>
      </c>
      <c r="C202" t="inlineStr">
        <is>
          <t>Avverkning för att bevara och utveckla /försöksver</t>
        </is>
      </c>
      <c r="D202" s="1" t="n">
        <v>44511</v>
      </c>
      <c r="E202" s="1" t="n">
        <v>46286</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46286</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6739-2025</t>
        </is>
      </c>
      <c r="B204" t="inlineStr">
        <is>
          <t>avverkningsanmälan</t>
        </is>
      </c>
      <c r="C204" t="inlineStr">
        <is>
          <t>Föryngringsavverkning</t>
        </is>
      </c>
      <c r="D204" s="1" t="n">
        <v>45700</v>
      </c>
      <c r="E204" s="1" t="n">
        <v>46286</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46286</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46286</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46286</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A 30489-2025</t>
        </is>
      </c>
      <c r="B208" t="inlineStr">
        <is>
          <t>avverkningsanmälan</t>
        </is>
      </c>
      <c r="C208" t="inlineStr">
        <is>
          <t>Föryngringsavverkning</t>
        </is>
      </c>
      <c r="D208" s="1" t="n">
        <v>45830</v>
      </c>
      <c r="E208" s="1" t="n">
        <v>46286</v>
      </c>
      <c r="F208" t="inlineStr">
        <is>
          <t>GOTLANDS LÄN</t>
        </is>
      </c>
      <c r="G208" t="inlineStr">
        <is>
          <t>GOTLAND</t>
        </is>
      </c>
      <c r="I208" t="n">
        <v>4.6</v>
      </c>
      <c r="J208" t="n">
        <v>0</v>
      </c>
      <c r="K208" t="n">
        <v>0</v>
      </c>
      <c r="L208" t="n">
        <v>1</v>
      </c>
      <c r="M208" t="n">
        <v>0</v>
      </c>
      <c r="N208" t="n">
        <v>0</v>
      </c>
      <c r="O208" t="n">
        <v>0</v>
      </c>
      <c r="P208" t="n">
        <v>0</v>
      </c>
      <c r="Q208" t="n">
        <v>1</v>
      </c>
      <c r="R208" t="n">
        <v>0</v>
      </c>
      <c r="S208" t="n">
        <v>1</v>
      </c>
      <c r="T208" t="n">
        <v>1</v>
      </c>
      <c r="U208" t="n">
        <v>0</v>
      </c>
      <c r="V208" s="2" t="inlineStr">
        <is>
          <t>Skarp dropptaggsvamp</t>
        </is>
      </c>
      <c r="W208">
        <f>HYPERLINK("https://klasma.github.io/Logging_0980/artfynd/A 30489-2025 artfynd.xlsx", "A 30489-2025")</f>
        <v/>
      </c>
      <c r="X208">
        <f>HYPERLINK("https://klasma.github.io/Logging_0980/kartor/A 30489-2025 karta.png", "A 30489-2025")</f>
        <v/>
      </c>
      <c r="Y208">
        <f>HYPERLINK("https://klasma.github.io/Logging_0980/kartor_geotiff/A 30489-2025 georefererad karta.tif", "A 30489-2025")</f>
        <v/>
      </c>
      <c r="AA208">
        <f>HYPERLINK("https://klasma.github.io/Logging_0980/klagomål/A 30489-2025 FSC-klagomål.docx", "A 30489-2025")</f>
        <v/>
      </c>
      <c r="AB208">
        <f>HYPERLINK("https://klasma.github.io/Logging_0980/klagomålsmail/A 30489-2025 FSC-klagomål mail.docx", "A 30489-2025")</f>
        <v/>
      </c>
      <c r="AC208">
        <f>HYPERLINK("https://klasma.github.io/Logging_0980/tillsyn/A 30489-2025 tillsynsbegäran.docx", "A 30489-2025")</f>
        <v/>
      </c>
      <c r="AD208">
        <f>HYPERLINK("https://klasma.github.io/Logging_0980/tillsynsmail/A 30489-2025 tillsynsbegäran mail.docx", "A 30489-2025")</f>
        <v/>
      </c>
    </row>
    <row r="209" ht="15" customHeight="1">
      <c r="A209" t="inlineStr">
        <is>
          <t>S 2744-2023</t>
        </is>
      </c>
      <c r="B209" t="inlineStr">
        <is>
          <t>samrådsanmälan</t>
        </is>
      </c>
      <c r="C209" t="inlineStr">
        <is>
          <t>Annan skogsbruksåtgärd</t>
        </is>
      </c>
      <c r="D209" s="1" t="n">
        <v>45159</v>
      </c>
      <c r="E209" s="1" t="n">
        <v>46286</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46286</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46286</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46286</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46286</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46286</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46286</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46286</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46286</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46286</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46286</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46286</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46286</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46286</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46286</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46286</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46286</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46286</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46286</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46286</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46286</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46286</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46286</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46286</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46286</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46286</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46286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46286</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7026-2023</t>
        </is>
      </c>
      <c r="B239" t="inlineStr">
        <is>
          <t>avverkningsanmälan</t>
        </is>
      </c>
      <c r="C239" t="inlineStr">
        <is>
          <t>Föryngringsavverkning</t>
        </is>
      </c>
      <c r="D239" s="1" t="n">
        <v>44968</v>
      </c>
      <c r="E239" s="1" t="n">
        <v>46286</v>
      </c>
      <c r="F239" t="inlineStr">
        <is>
          <t>GOTLANDS LÄN</t>
        </is>
      </c>
      <c r="G239" t="inlineStr">
        <is>
          <t>GOTLAND</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46286</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46286</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52892-2021</t>
        </is>
      </c>
      <c r="B242" t="inlineStr">
        <is>
          <t>avverkningsanmälan</t>
        </is>
      </c>
      <c r="C242" t="inlineStr">
        <is>
          <t>Föryngringsavverkning</t>
        </is>
      </c>
      <c r="D242" s="1" t="n">
        <v>44467</v>
      </c>
      <c r="E242" s="1" t="n">
        <v>46286</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46286</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46286</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46286</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46286</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46286</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46286</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46286</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46286</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46286</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46286</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4990-2025</t>
        </is>
      </c>
      <c r="B253" t="inlineStr">
        <is>
          <t>avverkningsanmälan</t>
        </is>
      </c>
      <c r="C253" t="inlineStr">
        <is>
          <t>Föryngringsavverkning</t>
        </is>
      </c>
      <c r="D253" s="1" t="n">
        <v>45691</v>
      </c>
      <c r="E253" s="1" t="n">
        <v>46286</v>
      </c>
      <c r="F253" t="inlineStr">
        <is>
          <t>GOTLANDS LÄN</t>
        </is>
      </c>
      <c r="G253" t="inlineStr">
        <is>
          <t>GOTLAND</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46527-2023</t>
        </is>
      </c>
      <c r="B254" t="inlineStr">
        <is>
          <t>avverkningsanmälan</t>
        </is>
      </c>
      <c r="C254" t="inlineStr">
        <is>
          <t>Avverkning för annat ändamål</t>
        </is>
      </c>
      <c r="D254" s="1" t="n">
        <v>45197</v>
      </c>
      <c r="E254" s="1" t="n">
        <v>46286</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46286</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46286</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46286</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46286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46286</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46286</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46286</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46286</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46286</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22287-2022</t>
        </is>
      </c>
      <c r="B264" t="inlineStr">
        <is>
          <t>avverkningsanmälan</t>
        </is>
      </c>
      <c r="C264" t="inlineStr">
        <is>
          <t>Avverkning för annat ändamål</t>
        </is>
      </c>
      <c r="D264" s="1" t="n">
        <v>44712</v>
      </c>
      <c r="E264" s="1" t="n">
        <v>46286</v>
      </c>
      <c r="F264" t="inlineStr">
        <is>
          <t>GOTLANDS LÄN</t>
        </is>
      </c>
      <c r="G264" t="inlineStr">
        <is>
          <t>GOTLAND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46286</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46286</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64660-2023</t>
        </is>
      </c>
      <c r="B267" t="inlineStr">
        <is>
          <t>avverkningsanmälan</t>
        </is>
      </c>
      <c r="C267" t="inlineStr">
        <is>
          <t>Föryngringsavverkning</t>
        </is>
      </c>
      <c r="D267" s="1" t="n">
        <v>45281</v>
      </c>
      <c r="E267" s="1" t="n">
        <v>46286</v>
      </c>
      <c r="F267" t="inlineStr">
        <is>
          <t>GOTLANDS LÄN</t>
        </is>
      </c>
      <c r="G267" t="inlineStr">
        <is>
          <t>GOTLAND</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60709-2023</t>
        </is>
      </c>
      <c r="B268" t="inlineStr">
        <is>
          <t>avverkningsanmälan</t>
        </is>
      </c>
      <c r="C268" t="inlineStr">
        <is>
          <t>Föryngringsavverkning</t>
        </is>
      </c>
      <c r="D268" s="1" t="n">
        <v>45260</v>
      </c>
      <c r="E268" s="1" t="n">
        <v>46286</v>
      </c>
      <c r="F268" t="inlineStr">
        <is>
          <t>GOTLANDS LÄN</t>
        </is>
      </c>
      <c r="G268" t="inlineStr">
        <is>
          <t>GOTLAND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46286</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46286</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1000-2024</t>
        </is>
      </c>
      <c r="B271" t="inlineStr">
        <is>
          <t>avverkningsanmälan</t>
        </is>
      </c>
      <c r="C271" t="inlineStr">
        <is>
          <t>Föryngringsavverkning</t>
        </is>
      </c>
      <c r="D271" s="1" t="n">
        <v>45301</v>
      </c>
      <c r="E271" s="1" t="n">
        <v>46286</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30956-2024</t>
        </is>
      </c>
      <c r="B272" t="inlineStr">
        <is>
          <t>avverkningsanmälan</t>
        </is>
      </c>
      <c r="C272" t="inlineStr">
        <is>
          <t>Föryngringsavverkning</t>
        </is>
      </c>
      <c r="D272" s="1" t="n">
        <v>45499</v>
      </c>
      <c r="E272" s="1" t="n">
        <v>46286</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65249-2023</t>
        </is>
      </c>
      <c r="B273" t="inlineStr">
        <is>
          <t>avverkningsanmälan</t>
        </is>
      </c>
      <c r="C273" t="inlineStr">
        <is>
          <t>Föryngringsavverkning</t>
        </is>
      </c>
      <c r="D273" s="1" t="n">
        <v>45290</v>
      </c>
      <c r="E273" s="1" t="n">
        <v>46286</v>
      </c>
      <c r="F273" t="inlineStr">
        <is>
          <t>GOTLANDS LÄN</t>
        </is>
      </c>
      <c r="G273" t="inlineStr">
        <is>
          <t>GOTLAND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12596-2023</t>
        </is>
      </c>
      <c r="B274" t="inlineStr">
        <is>
          <t>avverkningsanmälan</t>
        </is>
      </c>
      <c r="C274" t="inlineStr">
        <is>
          <t>Föryngringsavverkning</t>
        </is>
      </c>
      <c r="D274" s="1" t="n">
        <v>45000</v>
      </c>
      <c r="E274" s="1" t="n">
        <v>46286</v>
      </c>
      <c r="F274" t="inlineStr">
        <is>
          <t>GOTLANDS LÄN</t>
        </is>
      </c>
      <c r="G274" t="inlineStr">
        <is>
          <t>GOTLAND</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999-2024</t>
        </is>
      </c>
      <c r="B275" t="inlineStr">
        <is>
          <t>avverkningsanmälan</t>
        </is>
      </c>
      <c r="C275" t="inlineStr">
        <is>
          <t>Föryngringsavverkning</t>
        </is>
      </c>
      <c r="D275" s="1" t="n">
        <v>45301</v>
      </c>
      <c r="E275" s="1" t="n">
        <v>46286</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65901-2021</t>
        </is>
      </c>
      <c r="B276" t="inlineStr">
        <is>
          <t>avverkningsanmälan</t>
        </is>
      </c>
      <c r="C276" t="inlineStr">
        <is>
          <t>Föryngringsavverkning</t>
        </is>
      </c>
      <c r="D276" s="1" t="n">
        <v>44516</v>
      </c>
      <c r="E276" s="1" t="n">
        <v>46286</v>
      </c>
      <c r="F276" t="inlineStr">
        <is>
          <t>GOTLANDS LÄN</t>
        </is>
      </c>
      <c r="G276" t="inlineStr">
        <is>
          <t>GOTLAND</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47762-2023</t>
        </is>
      </c>
      <c r="B277" t="inlineStr">
        <is>
          <t>avverkningsanmälan</t>
        </is>
      </c>
      <c r="C277" t="inlineStr">
        <is>
          <t>Föryngringsavverkning</t>
        </is>
      </c>
      <c r="D277" s="1" t="n">
        <v>45203</v>
      </c>
      <c r="E277" s="1" t="n">
        <v>46286</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58780-2024</t>
        </is>
      </c>
      <c r="B278" t="inlineStr">
        <is>
          <t>avverkningsanmälan</t>
        </is>
      </c>
      <c r="C278" t="inlineStr">
        <is>
          <t>Föryngringsavverkning</t>
        </is>
      </c>
      <c r="D278" s="1" t="n">
        <v>45635</v>
      </c>
      <c r="E278" s="1" t="n">
        <v>46286</v>
      </c>
      <c r="F278" t="inlineStr">
        <is>
          <t>GOTLANDS LÄN</t>
        </is>
      </c>
      <c r="G278" t="inlineStr">
        <is>
          <t>GOTLAND</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12322-2025</t>
        </is>
      </c>
      <c r="B279" t="inlineStr">
        <is>
          <t>avverkningsanmälan</t>
        </is>
      </c>
      <c r="C279" t="inlineStr">
        <is>
          <t>Föryngringsavverkning</t>
        </is>
      </c>
      <c r="D279" s="1" t="n">
        <v>45730</v>
      </c>
      <c r="E279" s="1" t="n">
        <v>46286</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24192-2023</t>
        </is>
      </c>
      <c r="B280" t="inlineStr">
        <is>
          <t>avverkningsanmälan</t>
        </is>
      </c>
      <c r="C280" t="inlineStr">
        <is>
          <t>Föryngringsavverkning</t>
        </is>
      </c>
      <c r="D280" s="1" t="n">
        <v>45079</v>
      </c>
      <c r="E280" s="1" t="n">
        <v>46286</v>
      </c>
      <c r="F280" t="inlineStr">
        <is>
          <t>GOTLANDS LÄN</t>
        </is>
      </c>
      <c r="G280" t="inlineStr">
        <is>
          <t>GOTLAND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30282-2022</t>
        </is>
      </c>
      <c r="B281" t="inlineStr">
        <is>
          <t>avverkningsanmälan</t>
        </is>
      </c>
      <c r="C281" t="inlineStr">
        <is>
          <t>Föryngringsavverkning</t>
        </is>
      </c>
      <c r="D281" s="1" t="n">
        <v>44760</v>
      </c>
      <c r="E281" s="1" t="n">
        <v>46286</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10650-2022</t>
        </is>
      </c>
      <c r="B282" t="inlineStr">
        <is>
          <t>avverkningsanmälan</t>
        </is>
      </c>
      <c r="C282" t="inlineStr">
        <is>
          <t>Föryngringsavverkning</t>
        </is>
      </c>
      <c r="D282" s="1" t="n">
        <v>44624</v>
      </c>
      <c r="E282" s="1" t="n">
        <v>46286</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7835-2024</t>
        </is>
      </c>
      <c r="B283" t="inlineStr">
        <is>
          <t>avverkningsanmälan</t>
        </is>
      </c>
      <c r="C283" t="inlineStr">
        <is>
          <t>Föryngringsavverkning</t>
        </is>
      </c>
      <c r="D283" s="1" t="n">
        <v>45349</v>
      </c>
      <c r="E283" s="1" t="n">
        <v>46286</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13037-2025</t>
        </is>
      </c>
      <c r="B284" t="inlineStr">
        <is>
          <t>avverkningsanmälan</t>
        </is>
      </c>
      <c r="C284" t="inlineStr">
        <is>
          <t>Avverkning för att bevara och utveckla /försöksver</t>
        </is>
      </c>
      <c r="D284" s="1" t="n">
        <v>45734</v>
      </c>
      <c r="E284" s="1" t="n">
        <v>46286</v>
      </c>
      <c r="F284" t="inlineStr">
        <is>
          <t>GOTLANDS LÄN</t>
        </is>
      </c>
      <c r="G284" t="inlineStr">
        <is>
          <t>GOTLAND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28425-2023</t>
        </is>
      </c>
      <c r="B285" t="inlineStr">
        <is>
          <t>avverkningsanmälan</t>
        </is>
      </c>
      <c r="C285" t="inlineStr">
        <is>
          <t>Föryngringsavverkning</t>
        </is>
      </c>
      <c r="D285" s="1" t="n">
        <v>45102</v>
      </c>
      <c r="E285" s="1" t="n">
        <v>46286</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10746-2025</t>
        </is>
      </c>
      <c r="B286" t="inlineStr">
        <is>
          <t>avverkningsanmälan</t>
        </is>
      </c>
      <c r="C286" t="inlineStr">
        <is>
          <t>Föryngringsavverkning</t>
        </is>
      </c>
      <c r="D286" s="1" t="n">
        <v>45722</v>
      </c>
      <c r="E286" s="1" t="n">
        <v>46286</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13910-2025</t>
        </is>
      </c>
      <c r="B287" t="inlineStr">
        <is>
          <t>avverkningsanmälan</t>
        </is>
      </c>
      <c r="C287" t="inlineStr">
        <is>
          <t>Föryngringsavverkning</t>
        </is>
      </c>
      <c r="D287" s="1" t="n">
        <v>45737</v>
      </c>
      <c r="E287" s="1" t="n">
        <v>46286</v>
      </c>
      <c r="F287" t="inlineStr">
        <is>
          <t>GOTLANDS LÄN</t>
        </is>
      </c>
      <c r="G287" t="inlineStr">
        <is>
          <t>GOTLAND</t>
        </is>
      </c>
      <c r="H287" t="inlineStr">
        <is>
          <t>Kommuner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35142-2025</t>
        </is>
      </c>
      <c r="B288" t="inlineStr">
        <is>
          <t>avverkningsanmälan</t>
        </is>
      </c>
      <c r="C288" t="inlineStr">
        <is>
          <t>Föryngringsavverkning</t>
        </is>
      </c>
      <c r="D288" s="1" t="n">
        <v>45852</v>
      </c>
      <c r="E288" s="1" t="n">
        <v>46286</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35141-2025</t>
        </is>
      </c>
      <c r="B289" t="inlineStr">
        <is>
          <t>avverkningsanmälan</t>
        </is>
      </c>
      <c r="C289" t="inlineStr">
        <is>
          <t>Föryngringsavverkning</t>
        </is>
      </c>
      <c r="D289" s="1" t="n">
        <v>45852</v>
      </c>
      <c r="E289" s="1" t="n">
        <v>46286</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43229-2023</t>
        </is>
      </c>
      <c r="B290" t="inlineStr">
        <is>
          <t>avverkningsanmälan</t>
        </is>
      </c>
      <c r="C290" t="inlineStr">
        <is>
          <t>Föryngringsavverkning</t>
        </is>
      </c>
      <c r="D290" s="1" t="n">
        <v>45183</v>
      </c>
      <c r="E290" s="1" t="n">
        <v>46286</v>
      </c>
      <c r="F290" t="inlineStr">
        <is>
          <t>GOTLANDS LÄN</t>
        </is>
      </c>
      <c r="G290" t="inlineStr">
        <is>
          <t>GOTLAND</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45112-2024</t>
        </is>
      </c>
      <c r="B291" t="inlineStr">
        <is>
          <t>avverkningsanmälan</t>
        </is>
      </c>
      <c r="C291" t="inlineStr">
        <is>
          <t>Föryngringsavverkning</t>
        </is>
      </c>
      <c r="D291" s="1" t="n">
        <v>45575</v>
      </c>
      <c r="E291" s="1" t="n">
        <v>46286</v>
      </c>
      <c r="F291" t="inlineStr">
        <is>
          <t>GOTLANDS LÄN</t>
        </is>
      </c>
      <c r="G291" t="inlineStr">
        <is>
          <t>GOTLAND</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41038-2023</t>
        </is>
      </c>
      <c r="B292" t="inlineStr">
        <is>
          <t>avverkningsanmälan</t>
        </is>
      </c>
      <c r="C292" t="inlineStr">
        <is>
          <t>Föryngringsavverkning</t>
        </is>
      </c>
      <c r="D292" s="1" t="n">
        <v>45173</v>
      </c>
      <c r="E292" s="1" t="n">
        <v>46286</v>
      </c>
      <c r="F292" t="inlineStr">
        <is>
          <t>GOTLANDS LÄN</t>
        </is>
      </c>
      <c r="G292" t="inlineStr">
        <is>
          <t>GOTLAND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12599-2025</t>
        </is>
      </c>
      <c r="B293" t="inlineStr">
        <is>
          <t>avverkningsanmälan</t>
        </is>
      </c>
      <c r="C293" t="inlineStr">
        <is>
          <t>Föryngringsavverkning</t>
        </is>
      </c>
      <c r="D293" s="1" t="n">
        <v>45733</v>
      </c>
      <c r="E293" s="1" t="n">
        <v>46286</v>
      </c>
      <c r="F293" t="inlineStr">
        <is>
          <t>GOTLANDS LÄN</t>
        </is>
      </c>
      <c r="G293" t="inlineStr">
        <is>
          <t>GOTLAND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46286</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46286</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57652-2023</t>
        </is>
      </c>
      <c r="B296" t="inlineStr">
        <is>
          <t>avverkningsanmälan</t>
        </is>
      </c>
      <c r="C296" t="inlineStr">
        <is>
          <t>Avverkning för annat ändamål</t>
        </is>
      </c>
      <c r="D296" s="1" t="n">
        <v>45246</v>
      </c>
      <c r="E296" s="1" t="n">
        <v>46286</v>
      </c>
      <c r="F296" t="inlineStr">
        <is>
          <t>GOTLANDS LÄN</t>
        </is>
      </c>
      <c r="G296" t="inlineStr">
        <is>
          <t>GOTLAND</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35537-2025</t>
        </is>
      </c>
      <c r="B297" t="inlineStr">
        <is>
          <t>avverkningsanmälan</t>
        </is>
      </c>
      <c r="C297" t="inlineStr">
        <is>
          <t>Föryngringsavverkning</t>
        </is>
      </c>
      <c r="D297" s="1" t="n">
        <v>45856</v>
      </c>
      <c r="E297" s="1" t="n">
        <v>46286</v>
      </c>
      <c r="F297" t="inlineStr">
        <is>
          <t>GOTLANDS LÄN</t>
        </is>
      </c>
      <c r="G297" t="inlineStr">
        <is>
          <t>GOTLAND</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46286</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57522-2022</t>
        </is>
      </c>
      <c r="B299" t="inlineStr">
        <is>
          <t>avverkningsanmälan</t>
        </is>
      </c>
      <c r="C299" t="inlineStr">
        <is>
          <t>Föryngringsavverkning</t>
        </is>
      </c>
      <c r="D299" s="1" t="n">
        <v>44896</v>
      </c>
      <c r="E299" s="1" t="n">
        <v>46286</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14797-2024</t>
        </is>
      </c>
      <c r="B300" t="inlineStr">
        <is>
          <t>avverkningsanmälan</t>
        </is>
      </c>
      <c r="C300" t="inlineStr">
        <is>
          <t>Föryngringsavverkning</t>
        </is>
      </c>
      <c r="D300" s="1" t="n">
        <v>45397</v>
      </c>
      <c r="E300" s="1" t="n">
        <v>46286</v>
      </c>
      <c r="F300" t="inlineStr">
        <is>
          <t>GOTLANDS LÄN</t>
        </is>
      </c>
      <c r="G300" t="inlineStr">
        <is>
          <t>GOTLAND</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20225-2025</t>
        </is>
      </c>
      <c r="B301" t="inlineStr">
        <is>
          <t>avverkningsanmälan</t>
        </is>
      </c>
      <c r="C301" t="inlineStr">
        <is>
          <t>Föryngringsavverkning</t>
        </is>
      </c>
      <c r="D301" s="1" t="n">
        <v>45772</v>
      </c>
      <c r="E301" s="1" t="n">
        <v>46286</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6959-2026</t>
        </is>
      </c>
      <c r="B302" t="inlineStr">
        <is>
          <t>avverkningsanmälan</t>
        </is>
      </c>
      <c r="C302" t="inlineStr">
        <is>
          <t>Föryngringsavverkning</t>
        </is>
      </c>
      <c r="D302" s="1" t="n">
        <v>46057</v>
      </c>
      <c r="E302" s="1" t="n">
        <v>46286</v>
      </c>
      <c r="F302" t="inlineStr">
        <is>
          <t>GOTLANDS LÄN</t>
        </is>
      </c>
      <c r="G302" t="inlineStr">
        <is>
          <t>GOTLAND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46286</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29207-2025</t>
        </is>
      </c>
      <c r="B304" t="inlineStr">
        <is>
          <t>avverkningsanmälan</t>
        </is>
      </c>
      <c r="C304" t="inlineStr">
        <is>
          <t>Föryngringsavverkning</t>
        </is>
      </c>
      <c r="D304" s="1" t="n">
        <v>45823</v>
      </c>
      <c r="E304" s="1" t="n">
        <v>46286</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1394-2023</t>
        </is>
      </c>
      <c r="B305" t="inlineStr">
        <is>
          <t>avverkningsanmälan</t>
        </is>
      </c>
      <c r="C305" t="inlineStr">
        <is>
          <t>Föryngringsavverkning</t>
        </is>
      </c>
      <c r="D305" s="1" t="n">
        <v>44936</v>
      </c>
      <c r="E305" s="1" t="n">
        <v>46286</v>
      </c>
      <c r="F305" t="inlineStr">
        <is>
          <t>GOTLANDS LÄN</t>
        </is>
      </c>
      <c r="G305" t="inlineStr">
        <is>
          <t>GOTLAND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46286</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46286</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46286</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46286</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32379-2025</t>
        </is>
      </c>
      <c r="B310" t="inlineStr">
        <is>
          <t>avverkningsanmälan</t>
        </is>
      </c>
      <c r="C310" t="inlineStr">
        <is>
          <t>Föryngringsavverkning</t>
        </is>
      </c>
      <c r="D310" s="1" t="n">
        <v>45837</v>
      </c>
      <c r="E310" s="1" t="n">
        <v>46286</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22275-2023</t>
        </is>
      </c>
      <c r="B311" t="inlineStr">
        <is>
          <t>avverkningsanmälan</t>
        </is>
      </c>
      <c r="C311" t="inlineStr">
        <is>
          <t>Föryngringsavverkning</t>
        </is>
      </c>
      <c r="D311" s="1" t="n">
        <v>45070</v>
      </c>
      <c r="E311" s="1" t="n">
        <v>46286</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38165-2023</t>
        </is>
      </c>
      <c r="B312" t="inlineStr">
        <is>
          <t>avverkningsanmälan</t>
        </is>
      </c>
      <c r="C312" t="inlineStr">
        <is>
          <t>Föryngringsavverkning</t>
        </is>
      </c>
      <c r="D312" s="1" t="n">
        <v>45161</v>
      </c>
      <c r="E312" s="1" t="n">
        <v>46286</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14635-2023</t>
        </is>
      </c>
      <c r="B313" t="inlineStr">
        <is>
          <t>avverkningsanmälan</t>
        </is>
      </c>
      <c r="C313" t="inlineStr">
        <is>
          <t>Föryngringsavverkning</t>
        </is>
      </c>
      <c r="D313" s="1" t="n">
        <v>45013</v>
      </c>
      <c r="E313" s="1" t="n">
        <v>46286</v>
      </c>
      <c r="F313" t="inlineStr">
        <is>
          <t>GOTLANDS LÄN</t>
        </is>
      </c>
      <c r="G313" t="inlineStr">
        <is>
          <t>GOTLAND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63763-2023</t>
        </is>
      </c>
      <c r="B314" t="inlineStr">
        <is>
          <t>avverkningsanmälan</t>
        </is>
      </c>
      <c r="C314" t="inlineStr">
        <is>
          <t>Föryngringsavverkning</t>
        </is>
      </c>
      <c r="D314" s="1" t="n">
        <v>45278</v>
      </c>
      <c r="E314" s="1" t="n">
        <v>46286</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7636-2025</t>
        </is>
      </c>
      <c r="B315" t="inlineStr">
        <is>
          <t>avverkningsanmälan</t>
        </is>
      </c>
      <c r="C315" t="inlineStr">
        <is>
          <t>Föryngringsavverkning</t>
        </is>
      </c>
      <c r="D315" s="1" t="n">
        <v>45705</v>
      </c>
      <c r="E315" s="1" t="n">
        <v>46286</v>
      </c>
      <c r="F315" t="inlineStr">
        <is>
          <t>GOTLANDS LÄN</t>
        </is>
      </c>
      <c r="G315" t="inlineStr">
        <is>
          <t>GOTLAND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7639-2025</t>
        </is>
      </c>
      <c r="B316" t="inlineStr">
        <is>
          <t>avverkningsanmälan</t>
        </is>
      </c>
      <c r="C316" t="inlineStr">
        <is>
          <t>Föryngringsavverkning</t>
        </is>
      </c>
      <c r="D316" s="1" t="n">
        <v>45705</v>
      </c>
      <c r="E316" s="1" t="n">
        <v>46286</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46286</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61682-2024</t>
        </is>
      </c>
      <c r="B318" t="inlineStr">
        <is>
          <t>avverkningsanmälan</t>
        </is>
      </c>
      <c r="C318" t="inlineStr">
        <is>
          <t>Föryngringsavverkning</t>
        </is>
      </c>
      <c r="D318" s="1" t="n">
        <v>45647</v>
      </c>
      <c r="E318" s="1" t="n">
        <v>46286</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15434-2024</t>
        </is>
      </c>
      <c r="B319" t="inlineStr">
        <is>
          <t>avverkningsanmälan</t>
        </is>
      </c>
      <c r="C319" t="inlineStr">
        <is>
          <t>Föryngringsavverkning</t>
        </is>
      </c>
      <c r="D319" s="1" t="n">
        <v>45401</v>
      </c>
      <c r="E319" s="1" t="n">
        <v>46286</v>
      </c>
      <c r="F319" t="inlineStr">
        <is>
          <t>GOTLANDS LÄN</t>
        </is>
      </c>
      <c r="G319" t="inlineStr">
        <is>
          <t>GOTLAND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7034-2023</t>
        </is>
      </c>
      <c r="B320" t="inlineStr">
        <is>
          <t>avverkningsanmälan</t>
        </is>
      </c>
      <c r="C320" t="inlineStr">
        <is>
          <t>Föryngringsavverkning</t>
        </is>
      </c>
      <c r="D320" s="1" t="n">
        <v>44968</v>
      </c>
      <c r="E320" s="1" t="n">
        <v>46286</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54074-2022</t>
        </is>
      </c>
      <c r="B321" t="inlineStr">
        <is>
          <t>avverkningsanmälan</t>
        </is>
      </c>
      <c r="C321" t="inlineStr">
        <is>
          <t>Föryngringsavverkning</t>
        </is>
      </c>
      <c r="D321" s="1" t="n">
        <v>44881</v>
      </c>
      <c r="E321" s="1" t="n">
        <v>46286</v>
      </c>
      <c r="F321" t="inlineStr">
        <is>
          <t>GOTLANDS LÄN</t>
        </is>
      </c>
      <c r="G321" t="inlineStr">
        <is>
          <t>GOTLAND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46286</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54268-2022</t>
        </is>
      </c>
      <c r="B323" t="inlineStr">
        <is>
          <t>avverkningsanmälan</t>
        </is>
      </c>
      <c r="C323" t="inlineStr">
        <is>
          <t>Föryngringsavverkning</t>
        </is>
      </c>
      <c r="D323" s="1" t="n">
        <v>44882</v>
      </c>
      <c r="E323" s="1" t="n">
        <v>46286</v>
      </c>
      <c r="F323" t="inlineStr">
        <is>
          <t>GOTLANDS LÄN</t>
        </is>
      </c>
      <c r="G323" t="inlineStr">
        <is>
          <t>GOTLAND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26391-2025</t>
        </is>
      </c>
      <c r="B324" t="inlineStr">
        <is>
          <t>avverkningsanmälan</t>
        </is>
      </c>
      <c r="C324" t="inlineStr">
        <is>
          <t>Avverkning för annat ändamål</t>
        </is>
      </c>
      <c r="D324" s="1" t="n">
        <v>45806</v>
      </c>
      <c r="E324" s="1" t="n">
        <v>46286</v>
      </c>
      <c r="F324" t="inlineStr">
        <is>
          <t>GOTLANDS LÄN</t>
        </is>
      </c>
      <c r="G324" t="inlineStr">
        <is>
          <t>GOTLAND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1446-2025</t>
        </is>
      </c>
      <c r="B325" t="inlineStr">
        <is>
          <t>avverkningsanmälan</t>
        </is>
      </c>
      <c r="C325" t="inlineStr">
        <is>
          <t>Föryngringsavverkning</t>
        </is>
      </c>
      <c r="D325" s="1" t="n">
        <v>45669</v>
      </c>
      <c r="E325" s="1" t="n">
        <v>46286</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46286</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57685-2022</t>
        </is>
      </c>
      <c r="B327" t="inlineStr">
        <is>
          <t>avverkningsanmälan</t>
        </is>
      </c>
      <c r="C327" t="inlineStr">
        <is>
          <t>Föryngringsavverkning</t>
        </is>
      </c>
      <c r="D327" s="1" t="n">
        <v>44897</v>
      </c>
      <c r="E327" s="1" t="n">
        <v>46286</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811-2023</t>
        </is>
      </c>
      <c r="B328" t="inlineStr">
        <is>
          <t>avverkningsanmälan</t>
        </is>
      </c>
      <c r="C328" t="inlineStr">
        <is>
          <t>Föryngringsavverkning</t>
        </is>
      </c>
      <c r="D328" s="1" t="n">
        <v>44931</v>
      </c>
      <c r="E328" s="1" t="n">
        <v>46286</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46836-2025</t>
        </is>
      </c>
      <c r="B329" t="inlineStr">
        <is>
          <t>avverkningsanmälan</t>
        </is>
      </c>
      <c r="C329" t="inlineStr">
        <is>
          <t>Föryngringsavverkning</t>
        </is>
      </c>
      <c r="D329" s="1" t="n">
        <v>45928</v>
      </c>
      <c r="E329" s="1" t="n">
        <v>46286</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47637-2025</t>
        </is>
      </c>
      <c r="B330" t="inlineStr">
        <is>
          <t>avverkningsanmälan</t>
        </is>
      </c>
      <c r="C330" t="inlineStr">
        <is>
          <t>Föryngringsavverkning</t>
        </is>
      </c>
      <c r="D330" s="1" t="n">
        <v>45931</v>
      </c>
      <c r="E330" s="1" t="n">
        <v>46286</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46286</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46286</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46286</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30892-2024</t>
        </is>
      </c>
      <c r="B334" t="inlineStr">
        <is>
          <t>avverkningsanmälan</t>
        </is>
      </c>
      <c r="C334" t="inlineStr">
        <is>
          <t>Föryngringsavverkning</t>
        </is>
      </c>
      <c r="D334" s="1" t="n">
        <v>45491</v>
      </c>
      <c r="E334" s="1" t="n">
        <v>46286</v>
      </c>
      <c r="F334" t="inlineStr">
        <is>
          <t>GOTLANDS LÄN</t>
        </is>
      </c>
      <c r="G334" t="inlineStr">
        <is>
          <t>GOTLAND</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35550-2025</t>
        </is>
      </c>
      <c r="B335" t="inlineStr">
        <is>
          <t>avverkningsanmälan</t>
        </is>
      </c>
      <c r="C335" t="inlineStr">
        <is>
          <t>Föryngringsavverkning</t>
        </is>
      </c>
      <c r="D335" s="1" t="n">
        <v>45856</v>
      </c>
      <c r="E335" s="1" t="n">
        <v>46286</v>
      </c>
      <c r="F335" t="inlineStr">
        <is>
          <t>GOTLANDS LÄN</t>
        </is>
      </c>
      <c r="G335" t="inlineStr">
        <is>
          <t>GOTLAND</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7858-2025</t>
        </is>
      </c>
      <c r="B336" t="inlineStr">
        <is>
          <t>avverkningsanmälan</t>
        </is>
      </c>
      <c r="C336" t="inlineStr">
        <is>
          <t>Föryngringsavverkning</t>
        </is>
      </c>
      <c r="D336" s="1" t="n">
        <v>45706</v>
      </c>
      <c r="E336" s="1" t="n">
        <v>46286</v>
      </c>
      <c r="F336" t="inlineStr">
        <is>
          <t>GOTLANDS LÄN</t>
        </is>
      </c>
      <c r="G336" t="inlineStr">
        <is>
          <t>GOTLAND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46286</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46286</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49690-2025</t>
        </is>
      </c>
      <c r="B339" t="inlineStr">
        <is>
          <t>avverkningsanmälan</t>
        </is>
      </c>
      <c r="C339" t="inlineStr">
        <is>
          <t>Föryngringsavverkning</t>
        </is>
      </c>
      <c r="D339" s="1" t="n">
        <v>45939</v>
      </c>
      <c r="E339" s="1" t="n">
        <v>46286</v>
      </c>
      <c r="F339" t="inlineStr">
        <is>
          <t>GOTLANDS LÄN</t>
        </is>
      </c>
      <c r="G339" t="inlineStr">
        <is>
          <t>GOTLAND</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49730-2025</t>
        </is>
      </c>
      <c r="B340" t="inlineStr">
        <is>
          <t>avverkningsanmälan</t>
        </is>
      </c>
      <c r="C340" t="inlineStr">
        <is>
          <t>Föryngringsavverkning</t>
        </is>
      </c>
      <c r="D340" s="1" t="n">
        <v>45939</v>
      </c>
      <c r="E340" s="1" t="n">
        <v>46286</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12155-2023</t>
        </is>
      </c>
      <c r="B341" t="inlineStr">
        <is>
          <t>avverkningsanmälan</t>
        </is>
      </c>
      <c r="C341" t="inlineStr">
        <is>
          <t>Föryngringsavverkning</t>
        </is>
      </c>
      <c r="D341" s="1" t="n">
        <v>44998</v>
      </c>
      <c r="E341" s="1" t="n">
        <v>46286</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2774-2024</t>
        </is>
      </c>
      <c r="B342" t="inlineStr">
        <is>
          <t>avverkningsanmälan</t>
        </is>
      </c>
      <c r="C342" t="inlineStr">
        <is>
          <t>Föryngringsavverkning</t>
        </is>
      </c>
      <c r="D342" s="1" t="n">
        <v>45314</v>
      </c>
      <c r="E342" s="1" t="n">
        <v>46286</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9947-2024</t>
        </is>
      </c>
      <c r="B343" t="inlineStr">
        <is>
          <t>avverkningsanmälan</t>
        </is>
      </c>
      <c r="C343" t="inlineStr">
        <is>
          <t>Föryngringsavverkning</t>
        </is>
      </c>
      <c r="D343" s="1" t="n">
        <v>45363</v>
      </c>
      <c r="E343" s="1" t="n">
        <v>46286</v>
      </c>
      <c r="F343" t="inlineStr">
        <is>
          <t>GOTLANDS LÄN</t>
        </is>
      </c>
      <c r="G343" t="inlineStr">
        <is>
          <t>GOTLAND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42007-2023</t>
        </is>
      </c>
      <c r="B344" t="inlineStr">
        <is>
          <t>avverkningsanmälan</t>
        </is>
      </c>
      <c r="C344" t="inlineStr">
        <is>
          <t>Avverkning för annat ändamål</t>
        </is>
      </c>
      <c r="D344" s="1" t="n">
        <v>45177</v>
      </c>
      <c r="E344" s="1" t="n">
        <v>46286</v>
      </c>
      <c r="F344" t="inlineStr">
        <is>
          <t>GOTLANDS LÄN</t>
        </is>
      </c>
      <c r="G344" t="inlineStr">
        <is>
          <t>GOTLAND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46286</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46286</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46286</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46286</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46286</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46286</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46286</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44919-2022</t>
        </is>
      </c>
      <c r="B352" t="inlineStr">
        <is>
          <t>avverkningsanmälan</t>
        </is>
      </c>
      <c r="C352" t="inlineStr">
        <is>
          <t>Föryngringsavverkning</t>
        </is>
      </c>
      <c r="D352" s="1" t="n">
        <v>44841</v>
      </c>
      <c r="E352" s="1" t="n">
        <v>46286</v>
      </c>
      <c r="F352" t="inlineStr">
        <is>
          <t>GOTLANDS LÄN</t>
        </is>
      </c>
      <c r="G352" t="inlineStr">
        <is>
          <t>GOTLAND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22281-2026</t>
        </is>
      </c>
      <c r="B353" t="inlineStr">
        <is>
          <t>avverkningsanmälan</t>
        </is>
      </c>
      <c r="C353" t="inlineStr">
        <is>
          <t>Avverkning för annat ändamål</t>
        </is>
      </c>
      <c r="D353" s="1" t="n">
        <v>46154</v>
      </c>
      <c r="E353" s="1" t="n">
        <v>46286</v>
      </c>
      <c r="F353" t="inlineStr">
        <is>
          <t>GOTLANDS LÄN</t>
        </is>
      </c>
      <c r="G353" t="inlineStr">
        <is>
          <t>GOTLAND</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16501-2023</t>
        </is>
      </c>
      <c r="B354" t="inlineStr">
        <is>
          <t>avverkningsanmälan</t>
        </is>
      </c>
      <c r="C354" t="inlineStr">
        <is>
          <t>Avverkning för att bevara och utveckla /försöksver</t>
        </is>
      </c>
      <c r="D354" s="1" t="n">
        <v>45029</v>
      </c>
      <c r="E354" s="1" t="n">
        <v>46286</v>
      </c>
      <c r="F354" t="inlineStr">
        <is>
          <t>GOTLANDS LÄN</t>
        </is>
      </c>
      <c r="G354" t="inlineStr">
        <is>
          <t>GOTLAND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56799-2025</t>
        </is>
      </c>
      <c r="B355" t="inlineStr">
        <is>
          <t>avverkningsanmälan</t>
        </is>
      </c>
      <c r="C355" t="inlineStr">
        <is>
          <t>Föryngringsavverkning</t>
        </is>
      </c>
      <c r="D355" s="1" t="n">
        <v>45978</v>
      </c>
      <c r="E355" s="1" t="n">
        <v>46286</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27095-2022</t>
        </is>
      </c>
      <c r="B356" t="inlineStr">
        <is>
          <t>avverkningsanmälan</t>
        </is>
      </c>
      <c r="C356" t="inlineStr">
        <is>
          <t>Avverkning för annat ändamål</t>
        </is>
      </c>
      <c r="D356" s="1" t="n">
        <v>44741</v>
      </c>
      <c r="E356" s="1" t="n">
        <v>46286</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1291-2023</t>
        </is>
      </c>
      <c r="B357" t="inlineStr">
        <is>
          <t>avverkningsanmälan</t>
        </is>
      </c>
      <c r="C357" t="inlineStr">
        <is>
          <t>Föryngringsavverkning</t>
        </is>
      </c>
      <c r="D357" s="1" t="n">
        <v>44936</v>
      </c>
      <c r="E357" s="1" t="n">
        <v>46286</v>
      </c>
      <c r="F357" t="inlineStr">
        <is>
          <t>GOTLANDS LÄN</t>
        </is>
      </c>
      <c r="G357" t="inlineStr">
        <is>
          <t>GOTLAND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5891-2025</t>
        </is>
      </c>
      <c r="B358" t="inlineStr">
        <is>
          <t>avverkningsanmälan</t>
        </is>
      </c>
      <c r="C358" t="inlineStr">
        <is>
          <t>Föryngringsavverkning</t>
        </is>
      </c>
      <c r="D358" s="1" t="n">
        <v>45695</v>
      </c>
      <c r="E358" s="1" t="n">
        <v>46286</v>
      </c>
      <c r="F358" t="inlineStr">
        <is>
          <t>GOTLANDS LÄN</t>
        </is>
      </c>
      <c r="G358" t="inlineStr">
        <is>
          <t>GOTLAND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2719-2023</t>
        </is>
      </c>
      <c r="B359" t="inlineStr">
        <is>
          <t>avverkningsanmälan</t>
        </is>
      </c>
      <c r="C359" t="inlineStr">
        <is>
          <t>Föryngringsavverkning</t>
        </is>
      </c>
      <c r="D359" s="1" t="n">
        <v>44944</v>
      </c>
      <c r="E359" s="1" t="n">
        <v>46286</v>
      </c>
      <c r="F359" t="inlineStr">
        <is>
          <t>GOTLANDS LÄN</t>
        </is>
      </c>
      <c r="G359" t="inlineStr">
        <is>
          <t>GOTLAND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46286</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23103-2026</t>
        </is>
      </c>
      <c r="B361" t="inlineStr">
        <is>
          <t>avverkningsanmälan</t>
        </is>
      </c>
      <c r="C361" t="inlineStr">
        <is>
          <t>Föryngringsavverkning</t>
        </is>
      </c>
      <c r="D361" s="1" t="n">
        <v>46161</v>
      </c>
      <c r="E361" s="1" t="n">
        <v>46286</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36319-2025</t>
        </is>
      </c>
      <c r="B362" t="inlineStr">
        <is>
          <t>avverkningsanmälan</t>
        </is>
      </c>
      <c r="C362" t="inlineStr">
        <is>
          <t>Föryngringsavverkning</t>
        </is>
      </c>
      <c r="D362" s="1" t="n">
        <v>45868</v>
      </c>
      <c r="E362" s="1" t="n">
        <v>46286</v>
      </c>
      <c r="F362" t="inlineStr">
        <is>
          <t>GOTLANDS LÄN</t>
        </is>
      </c>
      <c r="G362" t="inlineStr">
        <is>
          <t>GOTLAND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16361-2024</t>
        </is>
      </c>
      <c r="B363" t="inlineStr">
        <is>
          <t>avverkningsanmälan</t>
        </is>
      </c>
      <c r="C363" t="inlineStr">
        <is>
          <t>Föryngringsavverkning</t>
        </is>
      </c>
      <c r="D363" s="1" t="n">
        <v>45407</v>
      </c>
      <c r="E363" s="1" t="n">
        <v>46286</v>
      </c>
      <c r="F363" t="inlineStr">
        <is>
          <t>GOTLANDS LÄN</t>
        </is>
      </c>
      <c r="G363" t="inlineStr">
        <is>
          <t>GOTLAND</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43081-2022</t>
        </is>
      </c>
      <c r="B364" t="inlineStr">
        <is>
          <t>avverkningsanmälan</t>
        </is>
      </c>
      <c r="C364" t="inlineStr">
        <is>
          <t>Föryngringsavverkning</t>
        </is>
      </c>
      <c r="D364" s="1" t="n">
        <v>44833</v>
      </c>
      <c r="E364" s="1" t="n">
        <v>46286</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35096-2025</t>
        </is>
      </c>
      <c r="B365" t="inlineStr">
        <is>
          <t>avverkningsanmälan</t>
        </is>
      </c>
      <c r="C365" t="inlineStr">
        <is>
          <t>Föryngringsavverkning</t>
        </is>
      </c>
      <c r="D365" s="1" t="n">
        <v>45852</v>
      </c>
      <c r="E365" s="1" t="n">
        <v>46286</v>
      </c>
      <c r="F365" t="inlineStr">
        <is>
          <t>GOTLANDS LÄN</t>
        </is>
      </c>
      <c r="G365" t="inlineStr">
        <is>
          <t>GOTLAND</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42041-2024</t>
        </is>
      </c>
      <c r="B366" t="inlineStr">
        <is>
          <t>avverkningsanmälan</t>
        </is>
      </c>
      <c r="C366" t="inlineStr">
        <is>
          <t>Föryngringsavverkning</t>
        </is>
      </c>
      <c r="D366" s="1" t="n">
        <v>45561</v>
      </c>
      <c r="E366" s="1" t="n">
        <v>46286</v>
      </c>
      <c r="F366" t="inlineStr">
        <is>
          <t>GOTLANDS LÄN</t>
        </is>
      </c>
      <c r="G366" t="inlineStr">
        <is>
          <t>GOTLAND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21247-2022</t>
        </is>
      </c>
      <c r="B367" t="inlineStr">
        <is>
          <t>avverkningsanmälan</t>
        </is>
      </c>
      <c r="C367" t="inlineStr">
        <is>
          <t>Föryngringsavverkning</t>
        </is>
      </c>
      <c r="D367" s="1" t="n">
        <v>44705</v>
      </c>
      <c r="E367" s="1" t="n">
        <v>46286</v>
      </c>
      <c r="F367" t="inlineStr">
        <is>
          <t>GOTLANDS LÄN</t>
        </is>
      </c>
      <c r="G367" t="inlineStr">
        <is>
          <t>GOTLAND</t>
        </is>
      </c>
      <c r="I367" t="n">
        <v>16.2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17780-2022</t>
        </is>
      </c>
      <c r="B368" t="inlineStr">
        <is>
          <t>avverkningsanmälan</t>
        </is>
      </c>
      <c r="C368" t="inlineStr">
        <is>
          <t>Föryngringsavverkning</t>
        </is>
      </c>
      <c r="D368" s="1" t="n">
        <v>44682</v>
      </c>
      <c r="E368" s="1" t="n">
        <v>46286</v>
      </c>
      <c r="F368" t="inlineStr">
        <is>
          <t>GOTLANDS LÄN</t>
        </is>
      </c>
      <c r="G368" t="inlineStr">
        <is>
          <t>GOTLAND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46286</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46286</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63002-2025</t>
        </is>
      </c>
      <c r="B371" t="inlineStr">
        <is>
          <t>avverkningsanmälan</t>
        </is>
      </c>
      <c r="C371" t="inlineStr">
        <is>
          <t>Föryngringsavverkning</t>
        </is>
      </c>
      <c r="D371" s="1" t="n">
        <v>46009</v>
      </c>
      <c r="E371" s="1" t="n">
        <v>46286</v>
      </c>
      <c r="F371" t="inlineStr">
        <is>
          <t>GOTLANDS LÄN</t>
        </is>
      </c>
      <c r="G371" t="inlineStr">
        <is>
          <t>GOTLAND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48734-2022</t>
        </is>
      </c>
      <c r="B372" t="inlineStr">
        <is>
          <t>avverkningsanmälan</t>
        </is>
      </c>
      <c r="C372" t="inlineStr">
        <is>
          <t>Föryngringsavverkning</t>
        </is>
      </c>
      <c r="D372" s="1" t="n">
        <v>44855</v>
      </c>
      <c r="E372" s="1" t="n">
        <v>46286</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23516-2023</t>
        </is>
      </c>
      <c r="B373" t="inlineStr">
        <is>
          <t>avverkningsanmälan</t>
        </is>
      </c>
      <c r="C373" t="inlineStr">
        <is>
          <t>Föryngringsavverkning</t>
        </is>
      </c>
      <c r="D373" s="1" t="n">
        <v>45076</v>
      </c>
      <c r="E373" s="1" t="n">
        <v>46286</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46286</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46286</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457-2023</t>
        </is>
      </c>
      <c r="B376" t="inlineStr">
        <is>
          <t>avverkningsanmälan</t>
        </is>
      </c>
      <c r="C376" t="inlineStr">
        <is>
          <t>Föryngringsavverkning</t>
        </is>
      </c>
      <c r="D376" s="1" t="n">
        <v>44929</v>
      </c>
      <c r="E376" s="1" t="n">
        <v>46286</v>
      </c>
      <c r="F376" t="inlineStr">
        <is>
          <t>GOTLANDS LÄN</t>
        </is>
      </c>
      <c r="G376" t="inlineStr">
        <is>
          <t>GOTLAND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459-2023</t>
        </is>
      </c>
      <c r="B377" t="inlineStr">
        <is>
          <t>avverkningsanmälan</t>
        </is>
      </c>
      <c r="C377" t="inlineStr">
        <is>
          <t>Föryngringsavverkning</t>
        </is>
      </c>
      <c r="D377" s="1" t="n">
        <v>44929</v>
      </c>
      <c r="E377" s="1" t="n">
        <v>46286</v>
      </c>
      <c r="F377" t="inlineStr">
        <is>
          <t>GOTLANDS LÄN</t>
        </is>
      </c>
      <c r="G377" t="inlineStr">
        <is>
          <t>GOTLAND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876-2024</t>
        </is>
      </c>
      <c r="B378" t="inlineStr">
        <is>
          <t>avverkningsanmälan</t>
        </is>
      </c>
      <c r="C378" t="inlineStr">
        <is>
          <t>Avverkning för annat ändamål</t>
        </is>
      </c>
      <c r="D378" s="1" t="n">
        <v>45301</v>
      </c>
      <c r="E378" s="1" t="n">
        <v>46286</v>
      </c>
      <c r="F378" t="inlineStr">
        <is>
          <t>GOTLANDS LÄN</t>
        </is>
      </c>
      <c r="G378" t="inlineStr">
        <is>
          <t>GOTLAND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61078-2025</t>
        </is>
      </c>
      <c r="B379" t="inlineStr">
        <is>
          <t>avverkningsanmälan</t>
        </is>
      </c>
      <c r="C379" t="inlineStr">
        <is>
          <t>Föryngringsavverkning</t>
        </is>
      </c>
      <c r="D379" s="1" t="n">
        <v>46000</v>
      </c>
      <c r="E379" s="1" t="n">
        <v>46286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5923-2023</t>
        </is>
      </c>
      <c r="B380" t="inlineStr">
        <is>
          <t>avverkningsanmälan</t>
        </is>
      </c>
      <c r="C380" t="inlineStr">
        <is>
          <t>Föryngringsavverkning</t>
        </is>
      </c>
      <c r="D380" s="1" t="n">
        <v>44963</v>
      </c>
      <c r="E380" s="1" t="n">
        <v>46286</v>
      </c>
      <c r="F380" t="inlineStr">
        <is>
          <t>GOTLANDS LÄN</t>
        </is>
      </c>
      <c r="G380" t="inlineStr">
        <is>
          <t>GOTLAND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36-2026</t>
        </is>
      </c>
      <c r="B381" t="inlineStr">
        <is>
          <t>avverkningsanmälan</t>
        </is>
      </c>
      <c r="C381" t="inlineStr">
        <is>
          <t>Föryngringsavverkning</t>
        </is>
      </c>
      <c r="D381" s="1" t="n">
        <v>46024</v>
      </c>
      <c r="E381" s="1" t="n">
        <v>46286</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50482-2024</t>
        </is>
      </c>
      <c r="B382" t="inlineStr">
        <is>
          <t>avverkningsanmälan</t>
        </is>
      </c>
      <c r="C382" t="inlineStr">
        <is>
          <t>Föryngringsavverkning</t>
        </is>
      </c>
      <c r="D382" s="1" t="n">
        <v>45601</v>
      </c>
      <c r="E382" s="1" t="n">
        <v>46286</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5943-2024</t>
        </is>
      </c>
      <c r="B383" t="inlineStr">
        <is>
          <t>avverkningsanmälan</t>
        </is>
      </c>
      <c r="C383" t="inlineStr">
        <is>
          <t>Avverkning för annat ändamål</t>
        </is>
      </c>
      <c r="D383" s="1" t="n">
        <v>45336</v>
      </c>
      <c r="E383" s="1" t="n">
        <v>46286</v>
      </c>
      <c r="F383" t="inlineStr">
        <is>
          <t>GOTLANDS LÄN</t>
        </is>
      </c>
      <c r="G383" t="inlineStr">
        <is>
          <t>GOTLAND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46286</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24448-2026</t>
        </is>
      </c>
      <c r="B385" t="inlineStr">
        <is>
          <t>avverkningsanmälan</t>
        </is>
      </c>
      <c r="C385" t="inlineStr">
        <is>
          <t>Föryngringsavverkning</t>
        </is>
      </c>
      <c r="D385" s="1" t="n">
        <v>46170</v>
      </c>
      <c r="E385" s="1" t="n">
        <v>46286</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17724-2024</t>
        </is>
      </c>
      <c r="B386" t="inlineStr">
        <is>
          <t>avverkningsanmälan</t>
        </is>
      </c>
      <c r="C386" t="inlineStr">
        <is>
          <t>Föryngringsavverkning</t>
        </is>
      </c>
      <c r="D386" s="1" t="n">
        <v>45418</v>
      </c>
      <c r="E386" s="1" t="n">
        <v>46286</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46286</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23978-2023</t>
        </is>
      </c>
      <c r="B388" t="inlineStr">
        <is>
          <t>avverkningsanmälan</t>
        </is>
      </c>
      <c r="C388" t="inlineStr">
        <is>
          <t>Föryngringsavverkning</t>
        </is>
      </c>
      <c r="D388" s="1" t="n">
        <v>45078</v>
      </c>
      <c r="E388" s="1" t="n">
        <v>46286</v>
      </c>
      <c r="F388" t="inlineStr">
        <is>
          <t>GOTLANDS LÄN</t>
        </is>
      </c>
      <c r="G388" t="inlineStr">
        <is>
          <t>GOTLAND</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49884-2023</t>
        </is>
      </c>
      <c r="B389" t="inlineStr">
        <is>
          <t>avverkningsanmälan</t>
        </is>
      </c>
      <c r="C389" t="inlineStr">
        <is>
          <t>Föryngringsavverkning</t>
        </is>
      </c>
      <c r="D389" s="1" t="n">
        <v>45213</v>
      </c>
      <c r="E389" s="1" t="n">
        <v>46286</v>
      </c>
      <c r="F389" t="inlineStr">
        <is>
          <t>GOTLANDS LÄN</t>
        </is>
      </c>
      <c r="G389" t="inlineStr">
        <is>
          <t>GOTLAND</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12846-2025</t>
        </is>
      </c>
      <c r="B390" t="inlineStr">
        <is>
          <t>avverkningsanmälan</t>
        </is>
      </c>
      <c r="C390" t="inlineStr">
        <is>
          <t>Föryngringsavverkning</t>
        </is>
      </c>
      <c r="D390" s="1" t="n">
        <v>45733</v>
      </c>
      <c r="E390" s="1" t="n">
        <v>46286</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4646-2026</t>
        </is>
      </c>
      <c r="B391" t="inlineStr">
        <is>
          <t>avverkningsanmälan</t>
        </is>
      </c>
      <c r="C391" t="inlineStr">
        <is>
          <t>Föryngringsavverkning</t>
        </is>
      </c>
      <c r="D391" s="1" t="n">
        <v>46048</v>
      </c>
      <c r="E391" s="1" t="n">
        <v>46286</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4634-2026</t>
        </is>
      </c>
      <c r="B392" t="inlineStr">
        <is>
          <t>avverkningsanmälan</t>
        </is>
      </c>
      <c r="C392" t="inlineStr">
        <is>
          <t>Föryngringsavverkning</t>
        </is>
      </c>
      <c r="D392" s="1" t="n">
        <v>46048</v>
      </c>
      <c r="E392" s="1" t="n">
        <v>46286</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4670-2026</t>
        </is>
      </c>
      <c r="B393" t="inlineStr">
        <is>
          <t>avverkningsanmälan</t>
        </is>
      </c>
      <c r="C393" t="inlineStr">
        <is>
          <t>Föryngringsavverkning</t>
        </is>
      </c>
      <c r="D393" s="1" t="n">
        <v>46048</v>
      </c>
      <c r="E393" s="1" t="n">
        <v>46286</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46286</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10653-2023</t>
        </is>
      </c>
      <c r="B395" t="inlineStr">
        <is>
          <t>avverkningsanmälan</t>
        </is>
      </c>
      <c r="C395" t="inlineStr">
        <is>
          <t>Föryngringsavverkning</t>
        </is>
      </c>
      <c r="D395" s="1" t="n">
        <v>44988</v>
      </c>
      <c r="E395" s="1" t="n">
        <v>46286</v>
      </c>
      <c r="F395" t="inlineStr">
        <is>
          <t>GOTLANDS LÄN</t>
        </is>
      </c>
      <c r="G395" t="inlineStr">
        <is>
          <t>GOTLAND</t>
        </is>
      </c>
      <c r="H395" t="inlineStr">
        <is>
          <t>Kyrkan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35512-2023</t>
        </is>
      </c>
      <c r="B396" t="inlineStr">
        <is>
          <t>avverkningsanmälan</t>
        </is>
      </c>
      <c r="C396" t="inlineStr">
        <is>
          <t>Föryngringsavverkning</t>
        </is>
      </c>
      <c r="D396" s="1" t="n">
        <v>45147</v>
      </c>
      <c r="E396" s="1" t="n">
        <v>46286</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11874-2024</t>
        </is>
      </c>
      <c r="B397" t="inlineStr">
        <is>
          <t>avverkningsanmälan</t>
        </is>
      </c>
      <c r="C397" t="inlineStr">
        <is>
          <t>Föryngringsavverkning</t>
        </is>
      </c>
      <c r="D397" s="1" t="n">
        <v>45376</v>
      </c>
      <c r="E397" s="1" t="n">
        <v>46286</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7627-2026</t>
        </is>
      </c>
      <c r="B398" t="inlineStr">
        <is>
          <t>avverkningsanmälan</t>
        </is>
      </c>
      <c r="C398" t="inlineStr">
        <is>
          <t>Föryngringsavverkning</t>
        </is>
      </c>
      <c r="D398" s="1" t="n">
        <v>46062</v>
      </c>
      <c r="E398" s="1" t="n">
        <v>46286</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2135-2026</t>
        </is>
      </c>
      <c r="B399" t="inlineStr">
        <is>
          <t>avverkningsanmälan</t>
        </is>
      </c>
      <c r="C399" t="inlineStr">
        <is>
          <t>Avverkning för annat ändamål</t>
        </is>
      </c>
      <c r="D399" s="1" t="n">
        <v>46036</v>
      </c>
      <c r="E399" s="1" t="n">
        <v>46286</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64831-2023</t>
        </is>
      </c>
      <c r="B400" t="inlineStr">
        <is>
          <t>avverkningsanmälan</t>
        </is>
      </c>
      <c r="C400" t="inlineStr">
        <is>
          <t>Föryngringsavverkning</t>
        </is>
      </c>
      <c r="D400" s="1" t="n">
        <v>45282</v>
      </c>
      <c r="E400" s="1" t="n">
        <v>46286</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9521-2026</t>
        </is>
      </c>
      <c r="B401" t="inlineStr">
        <is>
          <t>avverkningsanmälan</t>
        </is>
      </c>
      <c r="C401" t="inlineStr">
        <is>
          <t>Föryngringsavverkning</t>
        </is>
      </c>
      <c r="D401" s="1" t="n">
        <v>46071</v>
      </c>
      <c r="E401" s="1" t="n">
        <v>46286</v>
      </c>
      <c r="F401" t="inlineStr">
        <is>
          <t>GOTLANDS LÄN</t>
        </is>
      </c>
      <c r="G401" t="inlineStr">
        <is>
          <t>GOTLAND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9524-2026</t>
        </is>
      </c>
      <c r="B402" t="inlineStr">
        <is>
          <t>avverkningsanmälan</t>
        </is>
      </c>
      <c r="C402" t="inlineStr">
        <is>
          <t>Föryngringsavverkning</t>
        </is>
      </c>
      <c r="D402" s="1" t="n">
        <v>46071</v>
      </c>
      <c r="E402" s="1" t="n">
        <v>46286</v>
      </c>
      <c r="F402" t="inlineStr">
        <is>
          <t>GOTLANDS LÄN</t>
        </is>
      </c>
      <c r="G402" t="inlineStr">
        <is>
          <t>GOTLAND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9519-2026</t>
        </is>
      </c>
      <c r="B403" t="inlineStr">
        <is>
          <t>avverkningsanmälan</t>
        </is>
      </c>
      <c r="C403" t="inlineStr">
        <is>
          <t>Föryngringsavverkning</t>
        </is>
      </c>
      <c r="D403" s="1" t="n">
        <v>46071</v>
      </c>
      <c r="E403" s="1" t="n">
        <v>46286</v>
      </c>
      <c r="F403" t="inlineStr">
        <is>
          <t>GOTLANDS LÄN</t>
        </is>
      </c>
      <c r="G403" t="inlineStr">
        <is>
          <t>GOTLAND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7638-2025</t>
        </is>
      </c>
      <c r="B404" t="inlineStr">
        <is>
          <t>avverkningsanmälan</t>
        </is>
      </c>
      <c r="C404" t="inlineStr">
        <is>
          <t>Föryngringsavverkning</t>
        </is>
      </c>
      <c r="D404" s="1" t="n">
        <v>45705</v>
      </c>
      <c r="E404" s="1" t="n">
        <v>46286</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27354-2026</t>
        </is>
      </c>
      <c r="B405" t="inlineStr">
        <is>
          <t>avverkningsanmälan</t>
        </is>
      </c>
      <c r="C405" t="inlineStr">
        <is>
          <t>Föryngringsavverkning</t>
        </is>
      </c>
      <c r="D405" s="1" t="n">
        <v>46184</v>
      </c>
      <c r="E405" s="1" t="n">
        <v>46286</v>
      </c>
      <c r="F405" t="inlineStr">
        <is>
          <t>GOTLANDS LÄN</t>
        </is>
      </c>
      <c r="G405" t="inlineStr">
        <is>
          <t>GOTLAND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4377-2023</t>
        </is>
      </c>
      <c r="B406" t="inlineStr">
        <is>
          <t>avverkningsanmälan</t>
        </is>
      </c>
      <c r="C406" t="inlineStr">
        <is>
          <t>Föryngringsavverkning</t>
        </is>
      </c>
      <c r="D406" s="1" t="n">
        <v>44955</v>
      </c>
      <c r="E406" s="1" t="n">
        <v>46286</v>
      </c>
      <c r="F406" t="inlineStr">
        <is>
          <t>GOTLANDS LÄN</t>
        </is>
      </c>
      <c r="G406" t="inlineStr">
        <is>
          <t>GOTLAND</t>
        </is>
      </c>
      <c r="H406" t="inlineStr">
        <is>
          <t>Kyrkan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11424-2026</t>
        </is>
      </c>
      <c r="B407" t="inlineStr">
        <is>
          <t>avverkningsanmälan</t>
        </is>
      </c>
      <c r="C407" t="inlineStr">
        <is>
          <t>Föryngringsavverkning</t>
        </is>
      </c>
      <c r="D407" s="1" t="n">
        <v>46083</v>
      </c>
      <c r="E407" s="1" t="n">
        <v>46286</v>
      </c>
      <c r="F407" t="inlineStr">
        <is>
          <t>GOTLANDS LÄN</t>
        </is>
      </c>
      <c r="G407" t="inlineStr">
        <is>
          <t>GOTLAND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43901-2023</t>
        </is>
      </c>
      <c r="B408" t="inlineStr">
        <is>
          <t>avverkningsanmälan</t>
        </is>
      </c>
      <c r="C408" t="inlineStr">
        <is>
          <t>Föryngringsavverkning</t>
        </is>
      </c>
      <c r="D408" s="1" t="n">
        <v>45187</v>
      </c>
      <c r="E408" s="1" t="n">
        <v>46286</v>
      </c>
      <c r="F408" t="inlineStr">
        <is>
          <t>GOTLANDS LÄN</t>
        </is>
      </c>
      <c r="G408" t="inlineStr">
        <is>
          <t>GOTLAND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17532-2024</t>
        </is>
      </c>
      <c r="B409" t="inlineStr">
        <is>
          <t>avverkningsanmälan</t>
        </is>
      </c>
      <c r="C409" t="inlineStr">
        <is>
          <t>Föryngringsavverkning</t>
        </is>
      </c>
      <c r="D409" s="1" t="n">
        <v>45415</v>
      </c>
      <c r="E409" s="1" t="n">
        <v>46286</v>
      </c>
      <c r="F409" t="inlineStr">
        <is>
          <t>GOTLANDS LÄN</t>
        </is>
      </c>
      <c r="G409" t="inlineStr">
        <is>
          <t>GOTLAND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3067-2026</t>
        </is>
      </c>
      <c r="B410" t="inlineStr">
        <is>
          <t>avverkningsanmälan</t>
        </is>
      </c>
      <c r="C410" t="inlineStr">
        <is>
          <t>Föryngringsavverkning</t>
        </is>
      </c>
      <c r="D410" s="1" t="n">
        <v>46040</v>
      </c>
      <c r="E410" s="1" t="n">
        <v>46286</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27341-2026</t>
        </is>
      </c>
      <c r="B411" t="inlineStr">
        <is>
          <t>avverkningsanmälan</t>
        </is>
      </c>
      <c r="C411" t="inlineStr">
        <is>
          <t>Föryngringsavverkning</t>
        </is>
      </c>
      <c r="D411" s="1" t="n">
        <v>46188</v>
      </c>
      <c r="E411" s="1" t="n">
        <v>46286</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46396-2023</t>
        </is>
      </c>
      <c r="B412" t="inlineStr">
        <is>
          <t>avverkningsanmälan</t>
        </is>
      </c>
      <c r="C412" t="inlineStr">
        <is>
          <t>Föryngringsavverkning</t>
        </is>
      </c>
      <c r="D412" s="1" t="n">
        <v>45197</v>
      </c>
      <c r="E412" s="1" t="n">
        <v>46286</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27346-2026</t>
        </is>
      </c>
      <c r="B413" t="inlineStr">
        <is>
          <t>avverkningsanmälan</t>
        </is>
      </c>
      <c r="C413" t="inlineStr">
        <is>
          <t>Föryngringsavverkning</t>
        </is>
      </c>
      <c r="D413" s="1" t="n">
        <v>46188</v>
      </c>
      <c r="E413" s="1" t="n">
        <v>46286</v>
      </c>
      <c r="F413" t="inlineStr">
        <is>
          <t>GOTLANDS LÄN</t>
        </is>
      </c>
      <c r="G413" t="inlineStr">
        <is>
          <t>GOTLAND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42201-2023</t>
        </is>
      </c>
      <c r="B414" t="inlineStr">
        <is>
          <t>avverkningsanmälan</t>
        </is>
      </c>
      <c r="C414" t="inlineStr">
        <is>
          <t>Föryngringsavverkning</t>
        </is>
      </c>
      <c r="D414" s="1" t="n">
        <v>45179</v>
      </c>
      <c r="E414" s="1" t="n">
        <v>46286</v>
      </c>
      <c r="F414" t="inlineStr">
        <is>
          <t>GOTLANDS LÄN</t>
        </is>
      </c>
      <c r="G414" t="inlineStr">
        <is>
          <t>GOTLAND</t>
        </is>
      </c>
      <c r="I414" t="n">
        <v>11.9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46286</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62751-2025</t>
        </is>
      </c>
      <c r="B416" t="inlineStr">
        <is>
          <t>avverkningsanmälan</t>
        </is>
      </c>
      <c r="C416" t="inlineStr">
        <is>
          <t>Föryngringsavverkning</t>
        </is>
      </c>
      <c r="D416" s="1" t="n">
        <v>46008</v>
      </c>
      <c r="E416" s="1" t="n">
        <v>46286</v>
      </c>
      <c r="F416" t="inlineStr">
        <is>
          <t>GOTLANDS LÄN</t>
        </is>
      </c>
      <c r="G416" t="inlineStr">
        <is>
          <t>GOTLAND</t>
        </is>
      </c>
      <c r="H416" t="inlineStr">
        <is>
          <t>Övriga Aktiebolag</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13486-2026</t>
        </is>
      </c>
      <c r="B417" t="inlineStr">
        <is>
          <t>avverkningsanmälan</t>
        </is>
      </c>
      <c r="C417" t="inlineStr">
        <is>
          <t>Föryngringsavverkning</t>
        </is>
      </c>
      <c r="D417" s="1" t="n">
        <v>46094</v>
      </c>
      <c r="E417" s="1" t="n">
        <v>46286</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58132-2023</t>
        </is>
      </c>
      <c r="B418" t="inlineStr">
        <is>
          <t>avverkningsanmälan</t>
        </is>
      </c>
      <c r="C418" t="inlineStr">
        <is>
          <t>Föryngringsavverkning</t>
        </is>
      </c>
      <c r="D418" s="1" t="n">
        <v>45250</v>
      </c>
      <c r="E418" s="1" t="n">
        <v>46286</v>
      </c>
      <c r="F418" t="inlineStr">
        <is>
          <t>GOTLANDS LÄN</t>
        </is>
      </c>
      <c r="G418" t="inlineStr">
        <is>
          <t>GOTLAND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22899-2023</t>
        </is>
      </c>
      <c r="B419" t="inlineStr">
        <is>
          <t>avverkningsanmälan</t>
        </is>
      </c>
      <c r="C419" t="inlineStr">
        <is>
          <t>Föryngringsavverkning</t>
        </is>
      </c>
      <c r="D419" s="1" t="n">
        <v>45072</v>
      </c>
      <c r="E419" s="1" t="n">
        <v>46286</v>
      </c>
      <c r="F419" t="inlineStr">
        <is>
          <t>GOTLANDS LÄN</t>
        </is>
      </c>
      <c r="G419" t="inlineStr">
        <is>
          <t>GOTLAND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46286</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46286</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28012-2026</t>
        </is>
      </c>
      <c r="B422" t="inlineStr">
        <is>
          <t>avverkningsanmälan</t>
        </is>
      </c>
      <c r="C422" t="inlineStr">
        <is>
          <t>Föryngringsavverkning</t>
        </is>
      </c>
      <c r="D422" s="1" t="n">
        <v>46195</v>
      </c>
      <c r="E422" s="1" t="n">
        <v>46286</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28839-2026</t>
        </is>
      </c>
      <c r="B423" t="inlineStr">
        <is>
          <t>avverkningsanmälan</t>
        </is>
      </c>
      <c r="C423" t="inlineStr">
        <is>
          <t>Föryngringsavverkning</t>
        </is>
      </c>
      <c r="D423" s="1" t="n">
        <v>46198</v>
      </c>
      <c r="E423" s="1" t="n">
        <v>46286</v>
      </c>
      <c r="F423" t="inlineStr">
        <is>
          <t>GOTLANDS LÄN</t>
        </is>
      </c>
      <c r="G423" t="inlineStr">
        <is>
          <t>GOTLAND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28843-2026</t>
        </is>
      </c>
      <c r="B424" t="inlineStr">
        <is>
          <t>avverkningsanmälan</t>
        </is>
      </c>
      <c r="C424" t="inlineStr">
        <is>
          <t>Föryngringsavverkning</t>
        </is>
      </c>
      <c r="D424" s="1" t="n">
        <v>46198</v>
      </c>
      <c r="E424" s="1" t="n">
        <v>46286</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1734-2025</t>
        </is>
      </c>
      <c r="B425" t="inlineStr">
        <is>
          <t>avverkningsanmälan</t>
        </is>
      </c>
      <c r="C425" t="inlineStr">
        <is>
          <t>Föryngringsavverkning</t>
        </is>
      </c>
      <c r="D425" s="1" t="n">
        <v>45671</v>
      </c>
      <c r="E425" s="1" t="n">
        <v>46286</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30365-2024</t>
        </is>
      </c>
      <c r="B426" t="inlineStr">
        <is>
          <t>avverkningsanmälan</t>
        </is>
      </c>
      <c r="C426" t="inlineStr">
        <is>
          <t>Föryngringsavverkning</t>
        </is>
      </c>
      <c r="D426" s="1" t="n">
        <v>45491</v>
      </c>
      <c r="E426" s="1" t="n">
        <v>46286</v>
      </c>
      <c r="F426" t="inlineStr">
        <is>
          <t>GOTLANDS LÄN</t>
        </is>
      </c>
      <c r="G426" t="inlineStr">
        <is>
          <t>GOTLAND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2674-2023</t>
        </is>
      </c>
      <c r="B427" t="inlineStr">
        <is>
          <t>avverkningsanmälan</t>
        </is>
      </c>
      <c r="C427" t="inlineStr">
        <is>
          <t>Avverkning för annat ändamål</t>
        </is>
      </c>
      <c r="D427" s="1" t="n">
        <v>44944</v>
      </c>
      <c r="E427" s="1" t="n">
        <v>46286</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10655-2023</t>
        </is>
      </c>
      <c r="B428" t="inlineStr">
        <is>
          <t>avverkningsanmälan</t>
        </is>
      </c>
      <c r="C428" t="inlineStr">
        <is>
          <t>Föryngringsavverkning</t>
        </is>
      </c>
      <c r="D428" s="1" t="n">
        <v>44988</v>
      </c>
      <c r="E428" s="1" t="n">
        <v>46286</v>
      </c>
      <c r="F428" t="inlineStr">
        <is>
          <t>GOTLANDS LÄN</t>
        </is>
      </c>
      <c r="G428" t="inlineStr">
        <is>
          <t>GOTLAND</t>
        </is>
      </c>
      <c r="H428" t="inlineStr">
        <is>
          <t>Kyrkan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16993-2026</t>
        </is>
      </c>
      <c r="B429" t="inlineStr">
        <is>
          <t>avverkningsanmälan</t>
        </is>
      </c>
      <c r="C429" t="inlineStr">
        <is>
          <t>Föryngringsavverkning</t>
        </is>
      </c>
      <c r="D429" s="1" t="n">
        <v>46114</v>
      </c>
      <c r="E429" s="1" t="n">
        <v>46286</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8484-2025</t>
        </is>
      </c>
      <c r="B430" t="inlineStr">
        <is>
          <t>avverkningsanmälan</t>
        </is>
      </c>
      <c r="C430" t="inlineStr">
        <is>
          <t>Avverkning för annat ändamål</t>
        </is>
      </c>
      <c r="D430" s="1" t="n">
        <v>45709</v>
      </c>
      <c r="E430" s="1" t="n">
        <v>46286</v>
      </c>
      <c r="F430" t="inlineStr">
        <is>
          <t>GOTLANDS LÄN</t>
        </is>
      </c>
      <c r="G430" t="inlineStr">
        <is>
          <t>GOTLAND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18804-2026</t>
        </is>
      </c>
      <c r="B431" t="inlineStr">
        <is>
          <t>avverkningsanmälan</t>
        </is>
      </c>
      <c r="C431" t="inlineStr">
        <is>
          <t>Föryngringsavverkning</t>
        </is>
      </c>
      <c r="D431" s="1" t="n">
        <v>46128</v>
      </c>
      <c r="E431" s="1" t="n">
        <v>46286</v>
      </c>
      <c r="F431" t="inlineStr">
        <is>
          <t>GOTLANDS LÄN</t>
        </is>
      </c>
      <c r="G431" t="inlineStr">
        <is>
          <t>GOTLAND</t>
        </is>
      </c>
      <c r="H431" t="inlineStr">
        <is>
          <t>Kyrkan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50744-2024</t>
        </is>
      </c>
      <c r="B432" t="inlineStr">
        <is>
          <t>avverkningsanmälan</t>
        </is>
      </c>
      <c r="C432" t="inlineStr">
        <is>
          <t>Föryngringsavverkning</t>
        </is>
      </c>
      <c r="D432" s="1" t="n">
        <v>45602</v>
      </c>
      <c r="E432" s="1" t="n">
        <v>46286</v>
      </c>
      <c r="F432" t="inlineStr">
        <is>
          <t>GOTLANDS LÄN</t>
        </is>
      </c>
      <c r="G432" t="inlineStr">
        <is>
          <t>GOTLAND</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45244-2024</t>
        </is>
      </c>
      <c r="B433" t="inlineStr">
        <is>
          <t>avverkningsanmälan</t>
        </is>
      </c>
      <c r="C433" t="inlineStr">
        <is>
          <t>Avverkning för annat ändamål</t>
        </is>
      </c>
      <c r="D433" s="1" t="n">
        <v>45576</v>
      </c>
      <c r="E433" s="1" t="n">
        <v>46286</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38787-2023</t>
        </is>
      </c>
      <c r="B434" t="inlineStr">
        <is>
          <t>avverkningsanmälan</t>
        </is>
      </c>
      <c r="C434" t="inlineStr">
        <is>
          <t>Föryngringsavverkning</t>
        </is>
      </c>
      <c r="D434" s="1" t="n">
        <v>45163</v>
      </c>
      <c r="E434" s="1" t="n">
        <v>46286</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2714-2023</t>
        </is>
      </c>
      <c r="B435" t="inlineStr">
        <is>
          <t>avverkningsanmälan</t>
        </is>
      </c>
      <c r="C435" t="inlineStr">
        <is>
          <t>Föryngringsavverkning</t>
        </is>
      </c>
      <c r="D435" s="1" t="n">
        <v>44944</v>
      </c>
      <c r="E435" s="1" t="n">
        <v>46286</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46286</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62754-2025</t>
        </is>
      </c>
      <c r="B437" t="inlineStr">
        <is>
          <t>avverkningsanmälan</t>
        </is>
      </c>
      <c r="C437" t="inlineStr">
        <is>
          <t>Föryngringsavverkning</t>
        </is>
      </c>
      <c r="D437" s="1" t="n">
        <v>46008</v>
      </c>
      <c r="E437" s="1" t="n">
        <v>46286</v>
      </c>
      <c r="F437" t="inlineStr">
        <is>
          <t>GOTLANDS LÄN</t>
        </is>
      </c>
      <c r="G437" t="inlineStr">
        <is>
          <t>GOTLAND</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26467-2025</t>
        </is>
      </c>
      <c r="B438" t="inlineStr">
        <is>
          <t>avverkningsanmälan</t>
        </is>
      </c>
      <c r="C438" t="inlineStr">
        <is>
          <t>Föryngringsavverkning</t>
        </is>
      </c>
      <c r="D438" s="1" t="n">
        <v>45807</v>
      </c>
      <c r="E438" s="1" t="n">
        <v>46286</v>
      </c>
      <c r="F438" t="inlineStr">
        <is>
          <t>GOTLANDS LÄN</t>
        </is>
      </c>
      <c r="G438" t="inlineStr">
        <is>
          <t>GOTLAND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1681-2023</t>
        </is>
      </c>
      <c r="B439" t="inlineStr">
        <is>
          <t>avverkningsanmälan</t>
        </is>
      </c>
      <c r="C439" t="inlineStr">
        <is>
          <t>Föryngringsavverkning</t>
        </is>
      </c>
      <c r="D439" s="1" t="n">
        <v>44938</v>
      </c>
      <c r="E439" s="1" t="n">
        <v>46286</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42338-2023</t>
        </is>
      </c>
      <c r="B440" t="inlineStr">
        <is>
          <t>avverkningsanmälan</t>
        </is>
      </c>
      <c r="C440" t="inlineStr">
        <is>
          <t>Föryngringsavverkning</t>
        </is>
      </c>
      <c r="D440" s="1" t="n">
        <v>45180</v>
      </c>
      <c r="E440" s="1" t="n">
        <v>46286</v>
      </c>
      <c r="F440" t="inlineStr">
        <is>
          <t>GOTLANDS LÄN</t>
        </is>
      </c>
      <c r="G440" t="inlineStr">
        <is>
          <t>GOTLAND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29370-2026</t>
        </is>
      </c>
      <c r="B441" t="inlineStr">
        <is>
          <t>avverkningsanmälan</t>
        </is>
      </c>
      <c r="C441" t="inlineStr">
        <is>
          <t>Föryngringsavverkning</t>
        </is>
      </c>
      <c r="D441" s="1" t="n">
        <v>46203</v>
      </c>
      <c r="E441" s="1" t="n">
        <v>46286</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18918-2025</t>
        </is>
      </c>
      <c r="B442" t="inlineStr">
        <is>
          <t>avverkningsanmälan</t>
        </is>
      </c>
      <c r="C442" t="inlineStr">
        <is>
          <t>Avverkning för annat ändamål</t>
        </is>
      </c>
      <c r="D442" s="1" t="n">
        <v>45764</v>
      </c>
      <c r="E442" s="1" t="n">
        <v>46286</v>
      </c>
      <c r="F442" t="inlineStr">
        <is>
          <t>GOTLANDS LÄN</t>
        </is>
      </c>
      <c r="G442" t="inlineStr">
        <is>
          <t>GOTLAND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11013-2024</t>
        </is>
      </c>
      <c r="B443" t="inlineStr">
        <is>
          <t>avverkningsanmälan</t>
        </is>
      </c>
      <c r="C443" t="inlineStr">
        <is>
          <t>Föryngringsavverkning</t>
        </is>
      </c>
      <c r="D443" s="1" t="n">
        <v>45370</v>
      </c>
      <c r="E443" s="1" t="n">
        <v>46286</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25796-2025</t>
        </is>
      </c>
      <c r="B444" t="inlineStr">
        <is>
          <t>avverkningsanmälan</t>
        </is>
      </c>
      <c r="C444" t="inlineStr">
        <is>
          <t>Föryngringsavverkning</t>
        </is>
      </c>
      <c r="D444" s="1" t="n">
        <v>45804</v>
      </c>
      <c r="E444" s="1" t="n">
        <v>46286</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1854-2026</t>
        </is>
      </c>
      <c r="B445" t="inlineStr">
        <is>
          <t>avverkningsanmälan</t>
        </is>
      </c>
      <c r="C445" t="inlineStr">
        <is>
          <t>Föryngringsavverkning</t>
        </is>
      </c>
      <c r="D445" s="1" t="n">
        <v>46035</v>
      </c>
      <c r="E445" s="1" t="n">
        <v>46286</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45084-2024</t>
        </is>
      </c>
      <c r="B446" t="inlineStr">
        <is>
          <t>avverkningsanmälan</t>
        </is>
      </c>
      <c r="C446" t="inlineStr">
        <is>
          <t>Föryngringsavverkning</t>
        </is>
      </c>
      <c r="D446" s="1" t="n">
        <v>45575</v>
      </c>
      <c r="E446" s="1" t="n">
        <v>46286</v>
      </c>
      <c r="F446" t="inlineStr">
        <is>
          <t>GOTLANDS LÄN</t>
        </is>
      </c>
      <c r="G446" t="inlineStr">
        <is>
          <t>GOTLAND</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20356-2022</t>
        </is>
      </c>
      <c r="B447" t="inlineStr">
        <is>
          <t>avverkningsanmälan</t>
        </is>
      </c>
      <c r="C447" t="inlineStr">
        <is>
          <t>Avverkning för annat ändamål</t>
        </is>
      </c>
      <c r="D447" s="1" t="n">
        <v>44699</v>
      </c>
      <c r="E447" s="1" t="n">
        <v>46286</v>
      </c>
      <c r="F447" t="inlineStr">
        <is>
          <t>GOTLANDS LÄN</t>
        </is>
      </c>
      <c r="G447" t="inlineStr">
        <is>
          <t>GOTLAND</t>
        </is>
      </c>
      <c r="H447" t="inlineStr">
        <is>
          <t>Övriga Aktiebolag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5386-2023</t>
        </is>
      </c>
      <c r="B448" t="inlineStr">
        <is>
          <t>avverkningsanmälan</t>
        </is>
      </c>
      <c r="C448" t="inlineStr">
        <is>
          <t>Föryngringsavverkning</t>
        </is>
      </c>
      <c r="D448" s="1" t="n">
        <v>44959</v>
      </c>
      <c r="E448" s="1" t="n">
        <v>46286</v>
      </c>
      <c r="F448" t="inlineStr">
        <is>
          <t>GOTLANDS LÄN</t>
        </is>
      </c>
      <c r="G448" t="inlineStr">
        <is>
          <t>GOTLAND</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2180-2025</t>
        </is>
      </c>
      <c r="B449" t="inlineStr">
        <is>
          <t>avverkningsanmälan</t>
        </is>
      </c>
      <c r="C449" t="inlineStr">
        <is>
          <t>Föryngringsavverkning</t>
        </is>
      </c>
      <c r="D449" s="1" t="n">
        <v>45673</v>
      </c>
      <c r="E449" s="1" t="n">
        <v>46286</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5884-2025</t>
        </is>
      </c>
      <c r="B450" t="inlineStr">
        <is>
          <t>avverkningsanmälan</t>
        </is>
      </c>
      <c r="C450" t="inlineStr">
        <is>
          <t>Föryngringsavverkning</t>
        </is>
      </c>
      <c r="D450" s="1" t="n">
        <v>45695</v>
      </c>
      <c r="E450" s="1" t="n">
        <v>46286</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5897-2025</t>
        </is>
      </c>
      <c r="B451" t="inlineStr">
        <is>
          <t>avverkningsanmälan</t>
        </is>
      </c>
      <c r="C451" t="inlineStr">
        <is>
          <t>Föryngringsavverkning</t>
        </is>
      </c>
      <c r="D451" s="1" t="n">
        <v>45695</v>
      </c>
      <c r="E451" s="1" t="n">
        <v>46286</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60086-2022</t>
        </is>
      </c>
      <c r="B452" t="inlineStr">
        <is>
          <t>avverkningsanmälan</t>
        </is>
      </c>
      <c r="C452" t="inlineStr">
        <is>
          <t>Föryngringsavverkning</t>
        </is>
      </c>
      <c r="D452" s="1" t="n">
        <v>44909</v>
      </c>
      <c r="E452" s="1" t="n">
        <v>46286</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22704-2023</t>
        </is>
      </c>
      <c r="B453" t="inlineStr">
        <is>
          <t>avverkningsanmälan</t>
        </is>
      </c>
      <c r="C453" t="inlineStr">
        <is>
          <t>Föryngringsavverkning</t>
        </is>
      </c>
      <c r="D453" s="1" t="n">
        <v>45071</v>
      </c>
      <c r="E453" s="1" t="n">
        <v>46286</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25866-2022</t>
        </is>
      </c>
      <c r="B454" t="inlineStr">
        <is>
          <t>avverkningsanmälan</t>
        </is>
      </c>
      <c r="C454" t="inlineStr">
        <is>
          <t>Föryngringsavverkning</t>
        </is>
      </c>
      <c r="D454" s="1" t="n">
        <v>44733</v>
      </c>
      <c r="E454" s="1" t="n">
        <v>46286</v>
      </c>
      <c r="F454" t="inlineStr">
        <is>
          <t>GOTLANDS LÄN</t>
        </is>
      </c>
      <c r="G454" t="inlineStr">
        <is>
          <t>GOTLAND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46286</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59986-2022</t>
        </is>
      </c>
      <c r="B456" t="inlineStr">
        <is>
          <t>avverkningsanmälan</t>
        </is>
      </c>
      <c r="C456" t="inlineStr">
        <is>
          <t>Avverkning för annat ändamål</t>
        </is>
      </c>
      <c r="D456" s="1" t="n">
        <v>44909</v>
      </c>
      <c r="E456" s="1" t="n">
        <v>46286</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31802-2024</t>
        </is>
      </c>
      <c r="B457" t="inlineStr">
        <is>
          <t>avverkningsanmälan</t>
        </is>
      </c>
      <c r="C457" t="inlineStr">
        <is>
          <t>Avverkning för annat ändamål</t>
        </is>
      </c>
      <c r="D457" s="1" t="n">
        <v>45509</v>
      </c>
      <c r="E457" s="1" t="n">
        <v>46286</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20993-2023</t>
        </is>
      </c>
      <c r="B458" t="inlineStr">
        <is>
          <t>avverkningsanmälan</t>
        </is>
      </c>
      <c r="C458" t="inlineStr">
        <is>
          <t>Föryngringsavverkning</t>
        </is>
      </c>
      <c r="D458" s="1" t="n">
        <v>45056</v>
      </c>
      <c r="E458" s="1" t="n">
        <v>46286</v>
      </c>
      <c r="F458" t="inlineStr">
        <is>
          <t>GOTLANDS LÄN</t>
        </is>
      </c>
      <c r="G458" t="inlineStr">
        <is>
          <t>GOTLAND</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4420-2025</t>
        </is>
      </c>
      <c r="B459" t="inlineStr">
        <is>
          <t>avverkningsanmälan</t>
        </is>
      </c>
      <c r="C459" t="inlineStr">
        <is>
          <t>Föryngringsavverkning</t>
        </is>
      </c>
      <c r="D459" s="1" t="n">
        <v>45686</v>
      </c>
      <c r="E459" s="1" t="n">
        <v>46286</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14427-2024</t>
        </is>
      </c>
      <c r="B460" t="inlineStr">
        <is>
          <t>avverkningsanmälan</t>
        </is>
      </c>
      <c r="C460" t="inlineStr">
        <is>
          <t>Avverkning för att bevara och utveckla /försöksver</t>
        </is>
      </c>
      <c r="D460" s="1" t="n">
        <v>45394</v>
      </c>
      <c r="E460" s="1" t="n">
        <v>46286</v>
      </c>
      <c r="F460" t="inlineStr">
        <is>
          <t>GOTLANDS LÄN</t>
        </is>
      </c>
      <c r="G460" t="inlineStr">
        <is>
          <t>GOTLAND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49315-2024</t>
        </is>
      </c>
      <c r="B461" t="inlineStr">
        <is>
          <t>avverkningsanmälan</t>
        </is>
      </c>
      <c r="C461" t="inlineStr">
        <is>
          <t>Avverkning för annat ändamål</t>
        </is>
      </c>
      <c r="D461" s="1" t="n">
        <v>45595</v>
      </c>
      <c r="E461" s="1" t="n">
        <v>46286</v>
      </c>
      <c r="F461" t="inlineStr">
        <is>
          <t>GOTLANDS LÄN</t>
        </is>
      </c>
      <c r="G461" t="inlineStr">
        <is>
          <t>GOTLAND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30926-2026</t>
        </is>
      </c>
      <c r="B462" t="inlineStr">
        <is>
          <t>avverkningsanmälan</t>
        </is>
      </c>
      <c r="C462" t="inlineStr">
        <is>
          <t>Föryngringsavverkning</t>
        </is>
      </c>
      <c r="D462" s="1" t="n">
        <v>46213</v>
      </c>
      <c r="E462" s="1" t="n">
        <v>46286</v>
      </c>
      <c r="F462" t="inlineStr">
        <is>
          <t>GOTLANDS LÄN</t>
        </is>
      </c>
      <c r="G462" t="inlineStr">
        <is>
          <t>GOTLAND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46286</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27596-2023</t>
        </is>
      </c>
      <c r="B464" t="inlineStr">
        <is>
          <t>avverkningsanmälan</t>
        </is>
      </c>
      <c r="C464" t="inlineStr">
        <is>
          <t>Avverkning för annat ändamål</t>
        </is>
      </c>
      <c r="D464" s="1" t="n">
        <v>45097</v>
      </c>
      <c r="E464" s="1" t="n">
        <v>46286</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64969-2023</t>
        </is>
      </c>
      <c r="B465" t="inlineStr">
        <is>
          <t>avverkningsanmälan</t>
        </is>
      </c>
      <c r="C465" t="inlineStr">
        <is>
          <t>Föryngringsavverkning</t>
        </is>
      </c>
      <c r="D465" s="1" t="n">
        <v>45284</v>
      </c>
      <c r="E465" s="1" t="n">
        <v>46286</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31287-2026</t>
        </is>
      </c>
      <c r="B466" t="inlineStr">
        <is>
          <t>avverkningsanmälan</t>
        </is>
      </c>
      <c r="C466" t="inlineStr">
        <is>
          <t>Föryngringsavverkning</t>
        </is>
      </c>
      <c r="D466" s="1" t="n">
        <v>46218</v>
      </c>
      <c r="E466" s="1" t="n">
        <v>46286</v>
      </c>
      <c r="F466" t="inlineStr">
        <is>
          <t>GOTLANDS LÄN</t>
        </is>
      </c>
      <c r="G466" t="inlineStr">
        <is>
          <t>GOTLAND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46949-2024</t>
        </is>
      </c>
      <c r="B467" t="inlineStr">
        <is>
          <t>avverkningsanmälan</t>
        </is>
      </c>
      <c r="C467" t="inlineStr">
        <is>
          <t>Föryngringsavverkning</t>
        </is>
      </c>
      <c r="D467" s="1" t="n">
        <v>45585</v>
      </c>
      <c r="E467" s="1" t="n">
        <v>46286</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35127-2026</t>
        </is>
      </c>
      <c r="B468" t="inlineStr">
        <is>
          <t>avverkningsanmälan</t>
        </is>
      </c>
      <c r="C468" t="inlineStr">
        <is>
          <t>Föryngringsavverkning</t>
        </is>
      </c>
      <c r="D468" s="1" t="n">
        <v>46260</v>
      </c>
      <c r="E468" s="1" t="n">
        <v>46286</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39479-2022</t>
        </is>
      </c>
      <c r="B469" t="inlineStr">
        <is>
          <t>avverkningsanmälan</t>
        </is>
      </c>
      <c r="C469" t="inlineStr">
        <is>
          <t>Föryngringsavverkning</t>
        </is>
      </c>
      <c r="D469" s="1" t="n">
        <v>44818</v>
      </c>
      <c r="E469" s="1" t="n">
        <v>46286</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39496-2022</t>
        </is>
      </c>
      <c r="B470" t="inlineStr">
        <is>
          <t>avverkningsanmälan</t>
        </is>
      </c>
      <c r="C470" t="inlineStr">
        <is>
          <t>Föryngringsavverkning</t>
        </is>
      </c>
      <c r="D470" s="1" t="n">
        <v>44818</v>
      </c>
      <c r="E470" s="1" t="n">
        <v>46286</v>
      </c>
      <c r="F470" t="inlineStr">
        <is>
          <t>GOTLANDS LÄN</t>
        </is>
      </c>
      <c r="G470" t="inlineStr">
        <is>
          <t>GOTLAND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44949-2023</t>
        </is>
      </c>
      <c r="B471" t="inlineStr">
        <is>
          <t>avverkningsanmälan</t>
        </is>
      </c>
      <c r="C471" t="inlineStr">
        <is>
          <t>Föryngringsavverkning</t>
        </is>
      </c>
      <c r="D471" s="1" t="n">
        <v>45190</v>
      </c>
      <c r="E471" s="1" t="n">
        <v>46286</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17682-2024</t>
        </is>
      </c>
      <c r="B472" t="inlineStr">
        <is>
          <t>avverkningsanmälan</t>
        </is>
      </c>
      <c r="C472" t="inlineStr">
        <is>
          <t>Föryngringsavverkning</t>
        </is>
      </c>
      <c r="D472" s="1" t="n">
        <v>45418</v>
      </c>
      <c r="E472" s="1" t="n">
        <v>46286</v>
      </c>
      <c r="F472" t="inlineStr">
        <is>
          <t>GOTLANDS LÄN</t>
        </is>
      </c>
      <c r="G472" t="inlineStr">
        <is>
          <t>GOTLAND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61897-2024</t>
        </is>
      </c>
      <c r="B473" t="inlineStr">
        <is>
          <t>avverkningsanmälan</t>
        </is>
      </c>
      <c r="C473" t="inlineStr">
        <is>
          <t>Föryngringsavverkning</t>
        </is>
      </c>
      <c r="D473" s="1" t="n">
        <v>45652</v>
      </c>
      <c r="E473" s="1" t="n">
        <v>46286</v>
      </c>
      <c r="F473" t="inlineStr">
        <is>
          <t>GOTLANDS LÄN</t>
        </is>
      </c>
      <c r="G473" t="inlineStr">
        <is>
          <t>GOTLAND</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12032-2025</t>
        </is>
      </c>
      <c r="B474" t="inlineStr">
        <is>
          <t>avverkningsanmälan</t>
        </is>
      </c>
      <c r="C474" t="inlineStr">
        <is>
          <t>Föryngringsavverkning</t>
        </is>
      </c>
      <c r="D474" s="1" t="n">
        <v>45728</v>
      </c>
      <c r="E474" s="1" t="n">
        <v>46286</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46286</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46286</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46286</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21164-2024</t>
        </is>
      </c>
      <c r="B478" t="inlineStr">
        <is>
          <t>avverkningsanmälan</t>
        </is>
      </c>
      <c r="C478" t="inlineStr">
        <is>
          <t>Föryngringsavverkning</t>
        </is>
      </c>
      <c r="D478" s="1" t="n">
        <v>45440</v>
      </c>
      <c r="E478" s="1" t="n">
        <v>46286</v>
      </c>
      <c r="F478" t="inlineStr">
        <is>
          <t>GOTLANDS LÄN</t>
        </is>
      </c>
      <c r="G478" t="inlineStr">
        <is>
          <t>GOTLAND</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17541-2024</t>
        </is>
      </c>
      <c r="B479" t="inlineStr">
        <is>
          <t>avverkningsanmälan</t>
        </is>
      </c>
      <c r="C479" t="inlineStr">
        <is>
          <t>Föryngringsavverkning</t>
        </is>
      </c>
      <c r="D479" s="1" t="n">
        <v>45415</v>
      </c>
      <c r="E479" s="1" t="n">
        <v>46286</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46286</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46286</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21389-2025</t>
        </is>
      </c>
      <c r="B482" t="inlineStr">
        <is>
          <t>avverkningsanmälan</t>
        </is>
      </c>
      <c r="C482" t="inlineStr">
        <is>
          <t>Föryngringsavverkning</t>
        </is>
      </c>
      <c r="D482" s="1" t="n">
        <v>45782</v>
      </c>
      <c r="E482" s="1" t="n">
        <v>46286</v>
      </c>
      <c r="F482" t="inlineStr">
        <is>
          <t>GOTLANDS LÄN</t>
        </is>
      </c>
      <c r="G482" t="inlineStr">
        <is>
          <t>GOTLAND</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9543-2026</t>
        </is>
      </c>
      <c r="B483" t="inlineStr">
        <is>
          <t>avverkningsanmälan</t>
        </is>
      </c>
      <c r="C483" t="inlineStr">
        <is>
          <t>Föryngringsavverkning</t>
        </is>
      </c>
      <c r="D483" s="1" t="n">
        <v>46071</v>
      </c>
      <c r="E483" s="1" t="n">
        <v>46286</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23504-2026</t>
        </is>
      </c>
      <c r="B484" t="inlineStr">
        <is>
          <t>avverkningsanmälan</t>
        </is>
      </c>
      <c r="C484" t="inlineStr">
        <is>
          <t>Föryngringsavverkning</t>
        </is>
      </c>
      <c r="D484" s="1" t="n">
        <v>46163</v>
      </c>
      <c r="E484" s="1" t="n">
        <v>46286</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22275-2026</t>
        </is>
      </c>
      <c r="B485" t="inlineStr">
        <is>
          <t>avverkningsanmälan</t>
        </is>
      </c>
      <c r="C485" t="inlineStr">
        <is>
          <t>Föryngringsavverkning</t>
        </is>
      </c>
      <c r="D485" s="1" t="n">
        <v>46154</v>
      </c>
      <c r="E485" s="1" t="n">
        <v>46286</v>
      </c>
      <c r="F485" t="inlineStr">
        <is>
          <t>GOTLANDS LÄN</t>
        </is>
      </c>
      <c r="G485" t="inlineStr">
        <is>
          <t>GOTLAND</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27164-2026</t>
        </is>
      </c>
      <c r="B486" t="inlineStr">
        <is>
          <t>avverkningsanmälan</t>
        </is>
      </c>
      <c r="C486" t="inlineStr">
        <is>
          <t>Föryngringsavverkning</t>
        </is>
      </c>
      <c r="D486" s="1" t="n">
        <v>46188</v>
      </c>
      <c r="E486" s="1" t="n">
        <v>46286</v>
      </c>
      <c r="F486" t="inlineStr">
        <is>
          <t>GOTLANDS LÄN</t>
        </is>
      </c>
      <c r="G486" t="inlineStr">
        <is>
          <t>GOTLAND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21420-2024</t>
        </is>
      </c>
      <c r="B487" t="inlineStr">
        <is>
          <t>avverkningsanmälan</t>
        </is>
      </c>
      <c r="C487" t="inlineStr">
        <is>
          <t>Föryngringsavverkning</t>
        </is>
      </c>
      <c r="D487" s="1" t="n">
        <v>45441</v>
      </c>
      <c r="E487" s="1" t="n">
        <v>46286</v>
      </c>
      <c r="F487" t="inlineStr">
        <is>
          <t>GOTLANDS LÄN</t>
        </is>
      </c>
      <c r="G487" t="inlineStr">
        <is>
          <t>GOTLAND</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10656-2024</t>
        </is>
      </c>
      <c r="B488" t="inlineStr">
        <is>
          <t>avverkningsanmälan</t>
        </is>
      </c>
      <c r="C488" t="inlineStr">
        <is>
          <t>Föryngringsavverkning</t>
        </is>
      </c>
      <c r="D488" s="1" t="n">
        <v>45368</v>
      </c>
      <c r="E488" s="1" t="n">
        <v>46286</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57356-2023</t>
        </is>
      </c>
      <c r="B489" t="inlineStr">
        <is>
          <t>avverkningsanmälan</t>
        </is>
      </c>
      <c r="C489" t="inlineStr">
        <is>
          <t>Föryngringsavverkning</t>
        </is>
      </c>
      <c r="D489" s="1" t="n">
        <v>45240</v>
      </c>
      <c r="E489" s="1" t="n">
        <v>46286</v>
      </c>
      <c r="F489" t="inlineStr">
        <is>
          <t>GOTLANDS LÄN</t>
        </is>
      </c>
      <c r="G489" t="inlineStr">
        <is>
          <t>GOTLAND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28506-2023</t>
        </is>
      </c>
      <c r="B490" t="inlineStr">
        <is>
          <t>avverkningsanmälan</t>
        </is>
      </c>
      <c r="C490" t="inlineStr">
        <is>
          <t>Avverkning för annat ändamål</t>
        </is>
      </c>
      <c r="D490" s="1" t="n">
        <v>45103</v>
      </c>
      <c r="E490" s="1" t="n">
        <v>46286</v>
      </c>
      <c r="F490" t="inlineStr">
        <is>
          <t>GOTLANDS LÄN</t>
        </is>
      </c>
      <c r="G490" t="inlineStr">
        <is>
          <t>GOTLAND</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23188-2025</t>
        </is>
      </c>
      <c r="B491" t="inlineStr">
        <is>
          <t>avverkningsanmälan</t>
        </is>
      </c>
      <c r="C491" t="inlineStr">
        <is>
          <t>Avverkning för annat ändamål</t>
        </is>
      </c>
      <c r="D491" s="1" t="n">
        <v>45791</v>
      </c>
      <c r="E491" s="1" t="n">
        <v>46286</v>
      </c>
      <c r="F491" t="inlineStr">
        <is>
          <t>GOTLANDS LÄN</t>
        </is>
      </c>
      <c r="G491" t="inlineStr">
        <is>
          <t>GOTLAND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23698-2025</t>
        </is>
      </c>
      <c r="B492" t="inlineStr">
        <is>
          <t>avverkningsanmälan</t>
        </is>
      </c>
      <c r="C492" t="inlineStr">
        <is>
          <t>Föryngringsavverkning</t>
        </is>
      </c>
      <c r="D492" s="1" t="n">
        <v>45793</v>
      </c>
      <c r="E492" s="1" t="n">
        <v>46286</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32239-2026</t>
        </is>
      </c>
      <c r="B493" t="inlineStr">
        <is>
          <t>avverkningsanmälan</t>
        </is>
      </c>
      <c r="C493" t="inlineStr">
        <is>
          <t>Föryngringsavverkning</t>
        </is>
      </c>
      <c r="D493" s="1" t="n">
        <v>46237</v>
      </c>
      <c r="E493" s="1" t="n">
        <v>46286</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15073-2025</t>
        </is>
      </c>
      <c r="B494" t="inlineStr">
        <is>
          <t>avverkningsanmälan</t>
        </is>
      </c>
      <c r="C494" t="inlineStr">
        <is>
          <t>Avverkning för annat ändamål</t>
        </is>
      </c>
      <c r="D494" s="1" t="n">
        <v>45743</v>
      </c>
      <c r="E494" s="1" t="n">
        <v>46286</v>
      </c>
      <c r="F494" t="inlineStr">
        <is>
          <t>GOTLANDS LÄN</t>
        </is>
      </c>
      <c r="G494" t="inlineStr">
        <is>
          <t>GOTLAND</t>
        </is>
      </c>
      <c r="I494" t="n">
        <v>12.1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9540-2026</t>
        </is>
      </c>
      <c r="B495" t="inlineStr">
        <is>
          <t>avverkningsanmälan</t>
        </is>
      </c>
      <c r="C495" t="inlineStr">
        <is>
          <t>Föryngringsavverkning</t>
        </is>
      </c>
      <c r="D495" s="1" t="n">
        <v>46071</v>
      </c>
      <c r="E495" s="1" t="n">
        <v>46286</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32626-2026</t>
        </is>
      </c>
      <c r="B496" t="inlineStr">
        <is>
          <t>avverkningsanmälan</t>
        </is>
      </c>
      <c r="C496" t="inlineStr">
        <is>
          <t>Föryngringsavverkning</t>
        </is>
      </c>
      <c r="D496" s="1" t="n">
        <v>46240</v>
      </c>
      <c r="E496" s="1" t="n">
        <v>46286</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32553-2026</t>
        </is>
      </c>
      <c r="B497" t="inlineStr">
        <is>
          <t>avverkningsanmälan</t>
        </is>
      </c>
      <c r="C497" t="inlineStr">
        <is>
          <t>Föryngringsavverkning</t>
        </is>
      </c>
      <c r="D497" s="1" t="n">
        <v>46239</v>
      </c>
      <c r="E497" s="1" t="n">
        <v>46286</v>
      </c>
      <c r="F497" t="inlineStr">
        <is>
          <t>GOTLANDS LÄN</t>
        </is>
      </c>
      <c r="G497" t="inlineStr">
        <is>
          <t>GOTLAND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46286</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46286</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5462-2025</t>
        </is>
      </c>
      <c r="B500" t="inlineStr">
        <is>
          <t>avverkningsanmälan</t>
        </is>
      </c>
      <c r="C500" t="inlineStr">
        <is>
          <t>Föryngringsavverkning</t>
        </is>
      </c>
      <c r="D500" s="1" t="n">
        <v>45693</v>
      </c>
      <c r="E500" s="1" t="n">
        <v>46286</v>
      </c>
      <c r="F500" t="inlineStr">
        <is>
          <t>GOTLANDS LÄN</t>
        </is>
      </c>
      <c r="G500" t="inlineStr">
        <is>
          <t>GOTLAND</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46286</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62836-2025</t>
        </is>
      </c>
      <c r="B502" t="inlineStr">
        <is>
          <t>avverkningsanmälan</t>
        </is>
      </c>
      <c r="C502" t="inlineStr">
        <is>
          <t>Föryngringsavverkning</t>
        </is>
      </c>
      <c r="D502" s="1" t="n">
        <v>46008</v>
      </c>
      <c r="E502" s="1" t="n">
        <v>46286</v>
      </c>
      <c r="F502" t="inlineStr">
        <is>
          <t>GOTLANDS LÄN</t>
        </is>
      </c>
      <c r="G502" t="inlineStr">
        <is>
          <t>GOTLAND</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9518-2026</t>
        </is>
      </c>
      <c r="B503" t="inlineStr">
        <is>
          <t>avverkningsanmälan</t>
        </is>
      </c>
      <c r="C503" t="inlineStr">
        <is>
          <t>Föryngringsavverkning</t>
        </is>
      </c>
      <c r="D503" s="1" t="n">
        <v>46071</v>
      </c>
      <c r="E503" s="1" t="n">
        <v>46286</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7850-2025</t>
        </is>
      </c>
      <c r="B504" t="inlineStr">
        <is>
          <t>avverkningsanmälan</t>
        </is>
      </c>
      <c r="C504" t="inlineStr">
        <is>
          <t>Föryngringsavverkning</t>
        </is>
      </c>
      <c r="D504" s="1" t="n">
        <v>45706</v>
      </c>
      <c r="E504" s="1" t="n">
        <v>46286</v>
      </c>
      <c r="F504" t="inlineStr">
        <is>
          <t>GOTLANDS LÄN</t>
        </is>
      </c>
      <c r="G504" t="inlineStr">
        <is>
          <t>GOTLAND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8444-2025</t>
        </is>
      </c>
      <c r="B505" t="inlineStr">
        <is>
          <t>avverkningsanmälan</t>
        </is>
      </c>
      <c r="C505" t="inlineStr">
        <is>
          <t>Föryngringsavverkning</t>
        </is>
      </c>
      <c r="D505" s="1" t="n">
        <v>45709</v>
      </c>
      <c r="E505" s="1" t="n">
        <v>46286</v>
      </c>
      <c r="F505" t="inlineStr">
        <is>
          <t>GOTLANDS LÄN</t>
        </is>
      </c>
      <c r="G505" t="inlineStr">
        <is>
          <t>GOTLAND</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29196-2025</t>
        </is>
      </c>
      <c r="B506" t="inlineStr">
        <is>
          <t>avverkningsanmälan</t>
        </is>
      </c>
      <c r="C506" t="inlineStr">
        <is>
          <t>Föryngringsavverkning</t>
        </is>
      </c>
      <c r="D506" s="1" t="n">
        <v>45822</v>
      </c>
      <c r="E506" s="1" t="n">
        <v>46286</v>
      </c>
      <c r="F506" t="inlineStr">
        <is>
          <t>GOTLANDS LÄN</t>
        </is>
      </c>
      <c r="G506" t="inlineStr">
        <is>
          <t>GOTLAND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30061-2025</t>
        </is>
      </c>
      <c r="B507" t="inlineStr">
        <is>
          <t>avverkningsanmälan</t>
        </is>
      </c>
      <c r="C507" t="inlineStr">
        <is>
          <t>Föryngringsavverkning</t>
        </is>
      </c>
      <c r="D507" s="1" t="n">
        <v>45826</v>
      </c>
      <c r="E507" s="1" t="n">
        <v>46286</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58160-2024</t>
        </is>
      </c>
      <c r="B508" t="inlineStr">
        <is>
          <t>avverkningsanmälan</t>
        </is>
      </c>
      <c r="C508" t="inlineStr">
        <is>
          <t>Föryngringsavverkning</t>
        </is>
      </c>
      <c r="D508" s="1" t="n">
        <v>45632</v>
      </c>
      <c r="E508" s="1" t="n">
        <v>46286</v>
      </c>
      <c r="F508" t="inlineStr">
        <is>
          <t>GOTLANDS LÄN</t>
        </is>
      </c>
      <c r="G508" t="inlineStr">
        <is>
          <t>GOTLAND</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16109-2025</t>
        </is>
      </c>
      <c r="B509" t="inlineStr">
        <is>
          <t>avverkningsanmälan</t>
        </is>
      </c>
      <c r="C509" t="inlineStr">
        <is>
          <t>Avverkning för annat ändamål</t>
        </is>
      </c>
      <c r="D509" s="1" t="n">
        <v>45750</v>
      </c>
      <c r="E509" s="1" t="n">
        <v>46286</v>
      </c>
      <c r="F509" t="inlineStr">
        <is>
          <t>GOTLANDS LÄN</t>
        </is>
      </c>
      <c r="G509" t="inlineStr">
        <is>
          <t>GOTLAND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35123-2025</t>
        </is>
      </c>
      <c r="B510" t="inlineStr">
        <is>
          <t>avverkningsanmälan</t>
        </is>
      </c>
      <c r="C510" t="inlineStr">
        <is>
          <t>Föryngringsavverkning</t>
        </is>
      </c>
      <c r="D510" s="1" t="n">
        <v>45852</v>
      </c>
      <c r="E510" s="1" t="n">
        <v>46286</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32669-2024</t>
        </is>
      </c>
      <c r="B511" t="inlineStr">
        <is>
          <t>avverkningsanmälan</t>
        </is>
      </c>
      <c r="C511" t="inlineStr">
        <is>
          <t>Föryngringsavverkning</t>
        </is>
      </c>
      <c r="D511" s="1" t="n">
        <v>45514</v>
      </c>
      <c r="E511" s="1" t="n">
        <v>46286</v>
      </c>
      <c r="F511" t="inlineStr">
        <is>
          <t>GOTLANDS LÄN</t>
        </is>
      </c>
      <c r="G511" t="inlineStr">
        <is>
          <t>GOTLAND</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30488-2025</t>
        </is>
      </c>
      <c r="B512" t="inlineStr">
        <is>
          <t>avverkningsanmälan</t>
        </is>
      </c>
      <c r="C512" t="inlineStr">
        <is>
          <t>Föryngringsavverkning</t>
        </is>
      </c>
      <c r="D512" s="1" t="n">
        <v>45830</v>
      </c>
      <c r="E512" s="1" t="n">
        <v>46286</v>
      </c>
      <c r="F512" t="inlineStr">
        <is>
          <t>GOTLANDS LÄN</t>
        </is>
      </c>
      <c r="G512" t="inlineStr">
        <is>
          <t>GOTLAND</t>
        </is>
      </c>
      <c r="H512" t="inlineStr">
        <is>
          <t>Kyrkan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15216-2025</t>
        </is>
      </c>
      <c r="B513" t="inlineStr">
        <is>
          <t>avverkningsanmälan</t>
        </is>
      </c>
      <c r="C513" t="inlineStr">
        <is>
          <t>Föryngringsavverkning</t>
        </is>
      </c>
      <c r="D513" s="1" t="n">
        <v>45744</v>
      </c>
      <c r="E513" s="1" t="n">
        <v>46286</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15001-2025</t>
        </is>
      </c>
      <c r="B514" t="inlineStr">
        <is>
          <t>avverkningsanmälan</t>
        </is>
      </c>
      <c r="C514" t="inlineStr">
        <is>
          <t>Föryngringsavverkning</t>
        </is>
      </c>
      <c r="D514" s="1" t="n">
        <v>45743</v>
      </c>
      <c r="E514" s="1" t="n">
        <v>46286</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43790-2024</t>
        </is>
      </c>
      <c r="B515" t="inlineStr">
        <is>
          <t>avverkningsanmälan</t>
        </is>
      </c>
      <c r="C515" t="inlineStr">
        <is>
          <t>Föryngringsavverkning</t>
        </is>
      </c>
      <c r="D515" s="1" t="n">
        <v>45571</v>
      </c>
      <c r="E515" s="1" t="n">
        <v>46286</v>
      </c>
      <c r="F515" t="inlineStr">
        <is>
          <t>GOTLANDS LÄN</t>
        </is>
      </c>
      <c r="G515" t="inlineStr">
        <is>
          <t>GOTLAND</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17847-2025</t>
        </is>
      </c>
      <c r="B516" t="inlineStr">
        <is>
          <t>avverkningsanmälan</t>
        </is>
      </c>
      <c r="C516" t="inlineStr">
        <is>
          <t>Föryngringsavverkning</t>
        </is>
      </c>
      <c r="D516" s="1" t="n">
        <v>45758</v>
      </c>
      <c r="E516" s="1" t="n">
        <v>46286</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18742-2025</t>
        </is>
      </c>
      <c r="B517" t="inlineStr">
        <is>
          <t>avverkningsanmälan</t>
        </is>
      </c>
      <c r="C517" t="inlineStr">
        <is>
          <t>Avverkning för annat ändamål</t>
        </is>
      </c>
      <c r="D517" s="1" t="n">
        <v>45763</v>
      </c>
      <c r="E517" s="1" t="n">
        <v>46286</v>
      </c>
      <c r="F517" t="inlineStr">
        <is>
          <t>GOTLANDS LÄN</t>
        </is>
      </c>
      <c r="G517" t="inlineStr">
        <is>
          <t>GOTLAND</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35129-2025</t>
        </is>
      </c>
      <c r="B518" t="inlineStr">
        <is>
          <t>avverkningsanmälan</t>
        </is>
      </c>
      <c r="C518" t="inlineStr">
        <is>
          <t>Föryngringsavverkning</t>
        </is>
      </c>
      <c r="D518" s="1" t="n">
        <v>45852</v>
      </c>
      <c r="E518" s="1" t="n">
        <v>46286</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21142-2025</t>
        </is>
      </c>
      <c r="B519" t="inlineStr">
        <is>
          <t>avverkningsanmälan</t>
        </is>
      </c>
      <c r="C519" t="inlineStr">
        <is>
          <t>Föryngringsavverkning</t>
        </is>
      </c>
      <c r="D519" s="1" t="n">
        <v>45779</v>
      </c>
      <c r="E519" s="1" t="n">
        <v>46286</v>
      </c>
      <c r="F519" t="inlineStr">
        <is>
          <t>GOTLANDS LÄN</t>
        </is>
      </c>
      <c r="G519" t="inlineStr">
        <is>
          <t>GOTLAND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6108-2025</t>
        </is>
      </c>
      <c r="B520" t="inlineStr">
        <is>
          <t>avverkningsanmälan</t>
        </is>
      </c>
      <c r="C520" t="inlineStr">
        <is>
          <t>Föryngringsavverkning</t>
        </is>
      </c>
      <c r="D520" s="1" t="n">
        <v>45698</v>
      </c>
      <c r="E520" s="1" t="n">
        <v>46286</v>
      </c>
      <c r="F520" t="inlineStr">
        <is>
          <t>GOTLANDS LÄN</t>
        </is>
      </c>
      <c r="G520" t="inlineStr">
        <is>
          <t>GOTLAND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17343-2025</t>
        </is>
      </c>
      <c r="B521" t="inlineStr">
        <is>
          <t>avverkningsanmälan</t>
        </is>
      </c>
      <c r="C521" t="inlineStr">
        <is>
          <t>Föryngringsavverkning</t>
        </is>
      </c>
      <c r="D521" s="1" t="n">
        <v>45756</v>
      </c>
      <c r="E521" s="1" t="n">
        <v>46286</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18938-2025</t>
        </is>
      </c>
      <c r="B522" t="inlineStr">
        <is>
          <t>avverkningsanmälan</t>
        </is>
      </c>
      <c r="C522" t="inlineStr">
        <is>
          <t>Föryngringsavverkning</t>
        </is>
      </c>
      <c r="D522" s="1" t="n">
        <v>45764</v>
      </c>
      <c r="E522" s="1" t="n">
        <v>46286</v>
      </c>
      <c r="F522" t="inlineStr">
        <is>
          <t>GOTLANDS LÄN</t>
        </is>
      </c>
      <c r="G522" t="inlineStr">
        <is>
          <t>GOTLAND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20307-2025</t>
        </is>
      </c>
      <c r="B523" t="inlineStr">
        <is>
          <t>avverkningsanmälan</t>
        </is>
      </c>
      <c r="C523" t="inlineStr">
        <is>
          <t>Föryngringsavverkning</t>
        </is>
      </c>
      <c r="D523" s="1" t="n">
        <v>45774</v>
      </c>
      <c r="E523" s="1" t="n">
        <v>46286</v>
      </c>
      <c r="F523" t="inlineStr">
        <is>
          <t>GOTLANDS LÄN</t>
        </is>
      </c>
      <c r="G523" t="inlineStr">
        <is>
          <t>GOTLAND</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46286</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46286</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46286</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46286</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46286</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46286</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46286</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46286</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46286</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46286</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46286</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46286</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2026-09-21T02:05:45Z</dcterms:created>
  <dcterms:modified xmlns:dcterms="http://purl.org/dc/terms/" xmlns:xsi="http://www.w3.org/2001/XMLSchema-instance" xsi:type="dcterms:W3CDTF">2026-09-21T02:05:46Z</dcterms:modified>
</cp:coreProperties>
</file>