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46037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46037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46037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46037</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46037</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46037</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46037</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46037</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46037</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46037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46037</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46037</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46037</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46037</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46037</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46037</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46037</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44204-2022</t>
        </is>
      </c>
      <c r="B36" s="1" t="n">
        <v>44839</v>
      </c>
      <c r="C36" s="1" t="n">
        <v>46037</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46037</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46037</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46037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46037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46037</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46037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46037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46037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46037</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46037</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46037</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46037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46037</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46037</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46037</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46037</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46037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46037</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46037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46037</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46037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46037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46037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46037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46037</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46037</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46037</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27280-2023</t>
        </is>
      </c>
      <c r="B66" s="1" t="n">
        <v>45096</v>
      </c>
      <c r="C66" s="1" t="n">
        <v>46037</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46037</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46037</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46037</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46037</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46037</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446-2023</t>
        </is>
      </c>
      <c r="B74" s="1" t="n">
        <v>44929</v>
      </c>
      <c r="C74" s="1" t="n">
        <v>46037</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46037</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54527-2023</t>
        </is>
      </c>
      <c r="B76" s="1" t="n">
        <v>45233</v>
      </c>
      <c r="C76" s="1" t="n">
        <v>46037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46037</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46037</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46037</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46037</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54055-2022</t>
        </is>
      </c>
      <c r="B81" s="1" t="n">
        <v>44881</v>
      </c>
      <c r="C81" s="1" t="n">
        <v>46037</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42936-2024</t>
        </is>
      </c>
      <c r="B82" s="1" t="n">
        <v>45567</v>
      </c>
      <c r="C82" s="1" t="n">
        <v>46037</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46037</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46037</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46037</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46037</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46037</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46037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46037</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54523-2023</t>
        </is>
      </c>
      <c r="B90" s="1" t="n">
        <v>45233</v>
      </c>
      <c r="C90" s="1" t="n">
        <v>46037</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46037</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46037</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43197-2023</t>
        </is>
      </c>
      <c r="B93" s="1" t="n">
        <v>45183</v>
      </c>
      <c r="C93" s="1" t="n">
        <v>46037</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46037</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46037</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52250-2025</t>
        </is>
      </c>
      <c r="B96" s="1" t="n">
        <v>45953.48998842593</v>
      </c>
      <c r="C96" s="1" t="n">
        <v>46037</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52309-2025</t>
        </is>
      </c>
      <c r="B97" s="1" t="n">
        <v>45953.64381944444</v>
      </c>
      <c r="C97" s="1" t="n">
        <v>46037</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57463-2025</t>
        </is>
      </c>
      <c r="B98" s="1" t="n">
        <v>45980.54174768519</v>
      </c>
      <c r="C98" s="1" t="n">
        <v>46037</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44933-2022</t>
        </is>
      </c>
      <c r="B99" s="1" t="n">
        <v>44841</v>
      </c>
      <c r="C99" s="1" t="n">
        <v>46037</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46037</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46037</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46037</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46037</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46037</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46037</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46037</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46037</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46037</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46037</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46037</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46037</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46037</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20831-2024</t>
        </is>
      </c>
      <c r="B113" s="1" t="n">
        <v>45439</v>
      </c>
      <c r="C113" s="1" t="n">
        <v>46037</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43013-2022</t>
        </is>
      </c>
      <c r="B114" s="1" t="n">
        <v>44833</v>
      </c>
      <c r="C114" s="1" t="n">
        <v>46037</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46037</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46037</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1520-2026</t>
        </is>
      </c>
      <c r="B117" s="1" t="n">
        <v>46034.35891203704</v>
      </c>
      <c r="C117" s="1" t="n">
        <v>46037</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17982-2023</t>
        </is>
      </c>
      <c r="B118" s="1" t="n">
        <v>45040</v>
      </c>
      <c r="C118" s="1" t="n">
        <v>46037</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46037</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46037</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46037</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46037</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46037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46037</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46037</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46037</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63162-2025</t>
        </is>
      </c>
      <c r="B130" s="1" t="n">
        <v>46010.37629629629</v>
      </c>
      <c r="C130" s="1" t="n">
        <v>46037</v>
      </c>
      <c r="D130" t="inlineStr">
        <is>
          <t>GOTLANDS LÄN</t>
        </is>
      </c>
      <c r="E130" t="inlineStr">
        <is>
          <t>GOTLAND</t>
        </is>
      </c>
      <c r="G130" t="n">
        <v>3.5</v>
      </c>
      <c r="H130" t="n">
        <v>0</v>
      </c>
      <c r="I130" t="n">
        <v>1</v>
      </c>
      <c r="J130" t="n">
        <v>0</v>
      </c>
      <c r="K130" t="n">
        <v>1</v>
      </c>
      <c r="L130" t="n">
        <v>0</v>
      </c>
      <c r="M130" t="n">
        <v>0</v>
      </c>
      <c r="N130" t="n">
        <v>0</v>
      </c>
      <c r="O130" t="n">
        <v>1</v>
      </c>
      <c r="P130" t="n">
        <v>1</v>
      </c>
      <c r="Q130" t="n">
        <v>2</v>
      </c>
      <c r="R130" s="2" t="inlineStr">
        <is>
          <t>Gotlandsmåra
Myskmadra</t>
        </is>
      </c>
      <c r="S130">
        <f>HYPERLINK("https://klasma.github.io/Logging_0980/artfynd/A 63162-2025 artfynd.xlsx", "A 63162-2025")</f>
        <v/>
      </c>
      <c r="T130">
        <f>HYPERLINK("https://klasma.github.io/Logging_0980/kartor/A 63162-2025 karta.png", "A 63162-2025")</f>
        <v/>
      </c>
      <c r="V130">
        <f>HYPERLINK("https://klasma.github.io/Logging_0980/klagomål/A 63162-2025 FSC-klagomål.docx", "A 63162-2025")</f>
        <v/>
      </c>
      <c r="W130">
        <f>HYPERLINK("https://klasma.github.io/Logging_0980/klagomålsmail/A 63162-2025 FSC-klagomål mail.docx", "A 63162-2025")</f>
        <v/>
      </c>
      <c r="X130">
        <f>HYPERLINK("https://klasma.github.io/Logging_0980/tillsyn/A 63162-2025 tillsynsbegäran.docx", "A 63162-2025")</f>
        <v/>
      </c>
      <c r="Y130">
        <f>HYPERLINK("https://klasma.github.io/Logging_0980/tillsynsmail/A 63162-2025 tillsynsbegäran mail.docx", "A 63162-2025")</f>
        <v/>
      </c>
    </row>
    <row r="131" ht="15" customHeight="1">
      <c r="A131" t="inlineStr">
        <is>
          <t>A 62760-2025</t>
        </is>
      </c>
      <c r="B131" s="1" t="n">
        <v>46008.59275462963</v>
      </c>
      <c r="C131" s="1" t="n">
        <v>46037</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20838-2024</t>
        </is>
      </c>
      <c r="B132" s="1" t="n">
        <v>45439</v>
      </c>
      <c r="C132" s="1" t="n">
        <v>46037</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54357-2024</t>
        </is>
      </c>
      <c r="B133" s="1" t="n">
        <v>45617.40662037037</v>
      </c>
      <c r="C133" s="1" t="n">
        <v>46037</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46037</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46037</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46037</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46037</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46037</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46037</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46037</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46037</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46037</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46037</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46037</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46037</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46037</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46037</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39812-2025</t>
        </is>
      </c>
      <c r="B148" s="1" t="n">
        <v>45891</v>
      </c>
      <c r="C148" s="1" t="n">
        <v>46037</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26461-2025</t>
        </is>
      </c>
      <c r="B149" s="1" t="n">
        <v>45807.43337962963</v>
      </c>
      <c r="C149" s="1" t="n">
        <v>46037</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25977-2024</t>
        </is>
      </c>
      <c r="B150" s="1" t="n">
        <v>45467.69356481481</v>
      </c>
      <c r="C150" s="1" t="n">
        <v>46037</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65927-2021</t>
        </is>
      </c>
      <c r="B151" s="1" t="n">
        <v>44516</v>
      </c>
      <c r="C151" s="1" t="n">
        <v>46037</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35467-2021</t>
        </is>
      </c>
      <c r="B152" s="1" t="n">
        <v>44385</v>
      </c>
      <c r="C152" s="1" t="n">
        <v>46037</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46037</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61796-2022</t>
        </is>
      </c>
      <c r="B154" s="1" t="n">
        <v>44917</v>
      </c>
      <c r="C154" s="1" t="n">
        <v>46037</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34141-2024</t>
        </is>
      </c>
      <c r="B155" s="1" t="n">
        <v>45524.36229166666</v>
      </c>
      <c r="C155" s="1" t="n">
        <v>46037</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46037</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15637-2024</t>
        </is>
      </c>
      <c r="B157" s="1" t="n">
        <v>45403.6684837963</v>
      </c>
      <c r="C157" s="1" t="n">
        <v>46037</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49726-2025</t>
        </is>
      </c>
      <c r="B158" s="1" t="n">
        <v>45939.84466435185</v>
      </c>
      <c r="C158" s="1" t="n">
        <v>46037</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20429-2025</t>
        </is>
      </c>
      <c r="B159" s="1" t="n">
        <v>45775.47728009259</v>
      </c>
      <c r="C159" s="1" t="n">
        <v>46037</v>
      </c>
      <c r="D159" t="inlineStr">
        <is>
          <t>GOTLANDS LÄN</t>
        </is>
      </c>
      <c r="E159" t="inlineStr">
        <is>
          <t>GOTLAND</t>
        </is>
      </c>
      <c r="G159" t="n">
        <v>1.4</v>
      </c>
      <c r="H159" t="n">
        <v>1</v>
      </c>
      <c r="I159" t="n">
        <v>0</v>
      </c>
      <c r="J159" t="n">
        <v>0</v>
      </c>
      <c r="K159" t="n">
        <v>0</v>
      </c>
      <c r="L159" t="n">
        <v>0</v>
      </c>
      <c r="M159" t="n">
        <v>0</v>
      </c>
      <c r="N159" t="n">
        <v>0</v>
      </c>
      <c r="O159" t="n">
        <v>0</v>
      </c>
      <c r="P159" t="n">
        <v>0</v>
      </c>
      <c r="Q159" t="n">
        <v>1</v>
      </c>
      <c r="R159" s="2" t="inlineStr">
        <is>
          <t>Äkta lopplummer</t>
        </is>
      </c>
      <c r="S159">
        <f>HYPERLINK("https://klasma.github.io/Logging_0980/artfynd/A 20429-2025 artfynd.xlsx", "A 20429-2025")</f>
        <v/>
      </c>
      <c r="T159">
        <f>HYPERLINK("https://klasma.github.io/Logging_0980/kartor/A 20429-2025 karta.png", "A 20429-2025")</f>
        <v/>
      </c>
      <c r="V159">
        <f>HYPERLINK("https://klasma.github.io/Logging_0980/klagomål/A 20429-2025 FSC-klagomål.docx", "A 20429-2025")</f>
        <v/>
      </c>
      <c r="W159">
        <f>HYPERLINK("https://klasma.github.io/Logging_0980/klagomålsmail/A 20429-2025 FSC-klagomål mail.docx", "A 20429-2025")</f>
        <v/>
      </c>
      <c r="X159">
        <f>HYPERLINK("https://klasma.github.io/Logging_0980/tillsyn/A 20429-2025 tillsynsbegäran.docx", "A 20429-2025")</f>
        <v/>
      </c>
      <c r="Y159">
        <f>HYPERLINK("https://klasma.github.io/Logging_0980/tillsynsmail/A 20429-2025 tillsynsbegäran mail.docx", "A 20429-2025")</f>
        <v/>
      </c>
    </row>
    <row r="160" ht="15" customHeight="1">
      <c r="A160" t="inlineStr">
        <is>
          <t>A 2476-2025</t>
        </is>
      </c>
      <c r="B160" s="1" t="n">
        <v>45673</v>
      </c>
      <c r="C160" s="1" t="n">
        <v>46037</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12924-2025</t>
        </is>
      </c>
      <c r="B161" s="1" t="n">
        <v>45734</v>
      </c>
      <c r="C161" s="1" t="n">
        <v>46037</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10995-2023</t>
        </is>
      </c>
      <c r="B162" s="1" t="n">
        <v>44986</v>
      </c>
      <c r="C162" s="1" t="n">
        <v>46037</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13939-2021</t>
        </is>
      </c>
      <c r="B163" s="1" t="n">
        <v>44277</v>
      </c>
      <c r="C163" s="1" t="n">
        <v>46037</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46037</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46037</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44308-2021</t>
        </is>
      </c>
      <c r="B166" s="1" t="n">
        <v>44434</v>
      </c>
      <c r="C166" s="1" t="n">
        <v>46037</v>
      </c>
      <c r="D166" t="inlineStr">
        <is>
          <t>GOTLANDS LÄN</t>
        </is>
      </c>
      <c r="E166" t="inlineStr">
        <is>
          <t>GOTLAND</t>
        </is>
      </c>
      <c r="G166" t="n">
        <v>5.9</v>
      </c>
      <c r="H166" t="n">
        <v>0</v>
      </c>
      <c r="I166" t="n">
        <v>1</v>
      </c>
      <c r="J166" t="n">
        <v>0</v>
      </c>
      <c r="K166" t="n">
        <v>0</v>
      </c>
      <c r="L166" t="n">
        <v>0</v>
      </c>
      <c r="M166" t="n">
        <v>0</v>
      </c>
      <c r="N166" t="n">
        <v>0</v>
      </c>
      <c r="O166" t="n">
        <v>0</v>
      </c>
      <c r="P166" t="n">
        <v>0</v>
      </c>
      <c r="Q166" t="n">
        <v>1</v>
      </c>
      <c r="R166" s="2" t="inlineStr">
        <is>
          <t>Svavelriska</t>
        </is>
      </c>
      <c r="S166">
        <f>HYPERLINK("https://klasma.github.io/Logging_0980/artfynd/A 44308-2021 artfynd.xlsx", "A 44308-2021")</f>
        <v/>
      </c>
      <c r="T166">
        <f>HYPERLINK("https://klasma.github.io/Logging_0980/kartor/A 44308-2021 karta.png", "A 44308-2021")</f>
        <v/>
      </c>
      <c r="V166">
        <f>HYPERLINK("https://klasma.github.io/Logging_0980/klagomål/A 44308-2021 FSC-klagomål.docx", "A 44308-2021")</f>
        <v/>
      </c>
      <c r="W166">
        <f>HYPERLINK("https://klasma.github.io/Logging_0980/klagomålsmail/A 44308-2021 FSC-klagomål mail.docx", "A 44308-2021")</f>
        <v/>
      </c>
      <c r="X166">
        <f>HYPERLINK("https://klasma.github.io/Logging_0980/tillsyn/A 44308-2021 tillsynsbegäran.docx", "A 44308-2021")</f>
        <v/>
      </c>
      <c r="Y166">
        <f>HYPERLINK("https://klasma.github.io/Logging_0980/tillsynsmail/A 44308-2021 tillsynsbegäran mail.docx", "A 44308-2021")</f>
        <v/>
      </c>
    </row>
    <row r="167" ht="15" customHeight="1">
      <c r="A167" t="inlineStr">
        <is>
          <t>A 447-2023</t>
        </is>
      </c>
      <c r="B167" s="1" t="n">
        <v>44929</v>
      </c>
      <c r="C167" s="1" t="n">
        <v>46037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46037</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46037</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46037</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46037</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63149-2025</t>
        </is>
      </c>
      <c r="B172" s="1" t="n">
        <v>46010</v>
      </c>
      <c r="C172" s="1" t="n">
        <v>46037</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27589-2023</t>
        </is>
      </c>
      <c r="B173" s="1" t="n">
        <v>45097</v>
      </c>
      <c r="C173" s="1" t="n">
        <v>46037</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46037</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46037</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46037</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46037</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46037</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46037</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46037</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46037</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46037</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46037</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46037</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46037</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46037</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46037</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46037</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46037</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46037</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46037</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46037</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46037</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46037</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46037</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46037</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46037</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46037</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46037</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46037</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46037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46037</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46037</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46037</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46037</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46037</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46037</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46037</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46037</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46037</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46037</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46037</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46037</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46037</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46037</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46037</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46037</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46037</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46037</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46037</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46037</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46037</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46037</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46037</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46037</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46037</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46037</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46037</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46037</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46037</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46037</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46037</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46037</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46037</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46037</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46037</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46037</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46037</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46037</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9613-2025</t>
        </is>
      </c>
      <c r="B241" s="1" t="n">
        <v>45715</v>
      </c>
      <c r="C241" s="1" t="n">
        <v>46037</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32330-2024</t>
        </is>
      </c>
      <c r="B242" s="1" t="n">
        <v>45512</v>
      </c>
      <c r="C242" s="1" t="n">
        <v>46037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5751-2024</t>
        </is>
      </c>
      <c r="B243" s="1" t="n">
        <v>45335.32702546296</v>
      </c>
      <c r="C243" s="1" t="n">
        <v>46037</v>
      </c>
      <c r="D243" t="inlineStr">
        <is>
          <t>GOTLANDS LÄN</t>
        </is>
      </c>
      <c r="E243" t="inlineStr">
        <is>
          <t>GOTLAND</t>
        </is>
      </c>
      <c r="G243" t="n">
        <v>4.2</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46037</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46037</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46037</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46037</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46037</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44919-2022</t>
        </is>
      </c>
      <c r="B249" s="1" t="n">
        <v>44841</v>
      </c>
      <c r="C249" s="1" t="n">
        <v>46037</v>
      </c>
      <c r="D249" t="inlineStr">
        <is>
          <t>GOTLANDS LÄN</t>
        </is>
      </c>
      <c r="E249" t="inlineStr">
        <is>
          <t>GOTLAND</t>
        </is>
      </c>
      <c r="G249" t="n">
        <v>2.2</v>
      </c>
      <c r="H249" t="n">
        <v>0</v>
      </c>
      <c r="I249" t="n">
        <v>0</v>
      </c>
      <c r="J249" t="n">
        <v>0</v>
      </c>
      <c r="K249" t="n">
        <v>0</v>
      </c>
      <c r="L249" t="n">
        <v>0</v>
      </c>
      <c r="M249" t="n">
        <v>0</v>
      </c>
      <c r="N249" t="n">
        <v>0</v>
      </c>
      <c r="O249" t="n">
        <v>0</v>
      </c>
      <c r="P249" t="n">
        <v>0</v>
      </c>
      <c r="Q249" t="n">
        <v>0</v>
      </c>
      <c r="R249" s="2" t="inlineStr"/>
    </row>
    <row r="250" ht="15" customHeight="1">
      <c r="A250" t="inlineStr">
        <is>
          <t>A 21420-2024</t>
        </is>
      </c>
      <c r="B250" s="1" t="n">
        <v>45441.38293981482</v>
      </c>
      <c r="C250" s="1" t="n">
        <v>46037</v>
      </c>
      <c r="D250" t="inlineStr">
        <is>
          <t>GOTLANDS LÄN</t>
        </is>
      </c>
      <c r="E250" t="inlineStr">
        <is>
          <t>GOTLAND</t>
        </is>
      </c>
      <c r="G250" t="n">
        <v>4.1</v>
      </c>
      <c r="H250" t="n">
        <v>0</v>
      </c>
      <c r="I250" t="n">
        <v>0</v>
      </c>
      <c r="J250" t="n">
        <v>0</v>
      </c>
      <c r="K250" t="n">
        <v>0</v>
      </c>
      <c r="L250" t="n">
        <v>0</v>
      </c>
      <c r="M250" t="n">
        <v>0</v>
      </c>
      <c r="N250" t="n">
        <v>0</v>
      </c>
      <c r="O250" t="n">
        <v>0</v>
      </c>
      <c r="P250" t="n">
        <v>0</v>
      </c>
      <c r="Q250" t="n">
        <v>0</v>
      </c>
      <c r="R250" s="2" t="inlineStr"/>
    </row>
    <row r="251" ht="15" customHeight="1">
      <c r="A251" t="inlineStr">
        <is>
          <t>A 65901-2021</t>
        </is>
      </c>
      <c r="B251" s="1" t="n">
        <v>44516</v>
      </c>
      <c r="C251" s="1" t="n">
        <v>46037</v>
      </c>
      <c r="D251" t="inlineStr">
        <is>
          <t>GOTLANDS LÄN</t>
        </is>
      </c>
      <c r="E251" t="inlineStr">
        <is>
          <t>GOTLAND</t>
        </is>
      </c>
      <c r="G251" t="n">
        <v>4.9</v>
      </c>
      <c r="H251" t="n">
        <v>0</v>
      </c>
      <c r="I251" t="n">
        <v>0</v>
      </c>
      <c r="J251" t="n">
        <v>0</v>
      </c>
      <c r="K251" t="n">
        <v>0</v>
      </c>
      <c r="L251" t="n">
        <v>0</v>
      </c>
      <c r="M251" t="n">
        <v>0</v>
      </c>
      <c r="N251" t="n">
        <v>0</v>
      </c>
      <c r="O251" t="n">
        <v>0</v>
      </c>
      <c r="P251" t="n">
        <v>0</v>
      </c>
      <c r="Q251" t="n">
        <v>0</v>
      </c>
      <c r="R251" s="2" t="inlineStr"/>
    </row>
    <row r="252" ht="15" customHeight="1">
      <c r="A252" t="inlineStr">
        <is>
          <t>A 23188-2025</t>
        </is>
      </c>
      <c r="B252" s="1" t="n">
        <v>45791</v>
      </c>
      <c r="C252" s="1" t="n">
        <v>46037</v>
      </c>
      <c r="D252" t="inlineStr">
        <is>
          <t>GOTLANDS LÄN</t>
        </is>
      </c>
      <c r="E252" t="inlineStr">
        <is>
          <t>GOTLAND</t>
        </is>
      </c>
      <c r="G252" t="n">
        <v>6.2</v>
      </c>
      <c r="H252" t="n">
        <v>0</v>
      </c>
      <c r="I252" t="n">
        <v>0</v>
      </c>
      <c r="J252" t="n">
        <v>0</v>
      </c>
      <c r="K252" t="n">
        <v>0</v>
      </c>
      <c r="L252" t="n">
        <v>0</v>
      </c>
      <c r="M252" t="n">
        <v>0</v>
      </c>
      <c r="N252" t="n">
        <v>0</v>
      </c>
      <c r="O252" t="n">
        <v>0</v>
      </c>
      <c r="P252" t="n">
        <v>0</v>
      </c>
      <c r="Q252" t="n">
        <v>0</v>
      </c>
      <c r="R252" s="2" t="inlineStr"/>
    </row>
    <row r="253" ht="15" customHeight="1">
      <c r="A253" t="inlineStr">
        <is>
          <t>A 48503-2023</t>
        </is>
      </c>
      <c r="B253" s="1" t="n">
        <v>45207</v>
      </c>
      <c r="C253" s="1" t="n">
        <v>46037</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20356-2022</t>
        </is>
      </c>
      <c r="B254" s="1" t="n">
        <v>44699</v>
      </c>
      <c r="C254" s="1" t="n">
        <v>46037</v>
      </c>
      <c r="D254" t="inlineStr">
        <is>
          <t>GOTLANDS LÄN</t>
        </is>
      </c>
      <c r="E254" t="inlineStr">
        <is>
          <t>GOTLAND</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44649-2021</t>
        </is>
      </c>
      <c r="B255" s="1" t="n">
        <v>44437</v>
      </c>
      <c r="C255" s="1" t="n">
        <v>46037</v>
      </c>
      <c r="D255" t="inlineStr">
        <is>
          <t>GOTLANDS LÄN</t>
        </is>
      </c>
      <c r="E255" t="inlineStr">
        <is>
          <t>GOTLAND</t>
        </is>
      </c>
      <c r="G255" t="n">
        <v>8.1</v>
      </c>
      <c r="H255" t="n">
        <v>0</v>
      </c>
      <c r="I255" t="n">
        <v>0</v>
      </c>
      <c r="J255" t="n">
        <v>0</v>
      </c>
      <c r="K255" t="n">
        <v>0</v>
      </c>
      <c r="L255" t="n">
        <v>0</v>
      </c>
      <c r="M255" t="n">
        <v>0</v>
      </c>
      <c r="N255" t="n">
        <v>0</v>
      </c>
      <c r="O255" t="n">
        <v>0</v>
      </c>
      <c r="P255" t="n">
        <v>0</v>
      </c>
      <c r="Q255" t="n">
        <v>0</v>
      </c>
      <c r="R255" s="2" t="inlineStr"/>
    </row>
    <row r="256" ht="15" customHeight="1">
      <c r="A256" t="inlineStr">
        <is>
          <t>A 23473-2025</t>
        </is>
      </c>
      <c r="B256" s="1" t="n">
        <v>45792</v>
      </c>
      <c r="C256" s="1" t="n">
        <v>46037</v>
      </c>
      <c r="D256" t="inlineStr">
        <is>
          <t>GOTLANDS LÄN</t>
        </is>
      </c>
      <c r="E256" t="inlineStr">
        <is>
          <t>GOTLAND</t>
        </is>
      </c>
      <c r="G256" t="n">
        <v>3.6</v>
      </c>
      <c r="H256" t="n">
        <v>0</v>
      </c>
      <c r="I256" t="n">
        <v>0</v>
      </c>
      <c r="J256" t="n">
        <v>0</v>
      </c>
      <c r="K256" t="n">
        <v>0</v>
      </c>
      <c r="L256" t="n">
        <v>0</v>
      </c>
      <c r="M256" t="n">
        <v>0</v>
      </c>
      <c r="N256" t="n">
        <v>0</v>
      </c>
      <c r="O256" t="n">
        <v>0</v>
      </c>
      <c r="P256" t="n">
        <v>0</v>
      </c>
      <c r="Q256" t="n">
        <v>0</v>
      </c>
      <c r="R256" s="2" t="inlineStr"/>
    </row>
    <row r="257" ht="15" customHeight="1">
      <c r="A257" t="inlineStr">
        <is>
          <t>A 9947-2024</t>
        </is>
      </c>
      <c r="B257" s="1" t="n">
        <v>45363</v>
      </c>
      <c r="C257" s="1" t="n">
        <v>46037</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23856-2025</t>
        </is>
      </c>
      <c r="B258" s="1" t="n">
        <v>45793</v>
      </c>
      <c r="C258" s="1" t="n">
        <v>46037</v>
      </c>
      <c r="D258" t="inlineStr">
        <is>
          <t>GOTLANDS LÄN</t>
        </is>
      </c>
      <c r="E258" t="inlineStr">
        <is>
          <t>GOTLAND</t>
        </is>
      </c>
      <c r="G258" t="n">
        <v>4.4</v>
      </c>
      <c r="H258" t="n">
        <v>0</v>
      </c>
      <c r="I258" t="n">
        <v>0</v>
      </c>
      <c r="J258" t="n">
        <v>0</v>
      </c>
      <c r="K258" t="n">
        <v>0</v>
      </c>
      <c r="L258" t="n">
        <v>0</v>
      </c>
      <c r="M258" t="n">
        <v>0</v>
      </c>
      <c r="N258" t="n">
        <v>0</v>
      </c>
      <c r="O258" t="n">
        <v>0</v>
      </c>
      <c r="P258" t="n">
        <v>0</v>
      </c>
      <c r="Q258" t="n">
        <v>0</v>
      </c>
      <c r="R258" s="2" t="inlineStr"/>
    </row>
    <row r="259" ht="15" customHeight="1">
      <c r="A259" t="inlineStr">
        <is>
          <t>A 15073-2025</t>
        </is>
      </c>
      <c r="B259" s="1" t="n">
        <v>45743</v>
      </c>
      <c r="C259" s="1" t="n">
        <v>46037</v>
      </c>
      <c r="D259" t="inlineStr">
        <is>
          <t>GOTLANDS LÄN</t>
        </is>
      </c>
      <c r="E259" t="inlineStr">
        <is>
          <t>GOTLAND</t>
        </is>
      </c>
      <c r="G259" t="n">
        <v>12.1</v>
      </c>
      <c r="H259" t="n">
        <v>0</v>
      </c>
      <c r="I259" t="n">
        <v>0</v>
      </c>
      <c r="J259" t="n">
        <v>0</v>
      </c>
      <c r="K259" t="n">
        <v>0</v>
      </c>
      <c r="L259" t="n">
        <v>0</v>
      </c>
      <c r="M259" t="n">
        <v>0</v>
      </c>
      <c r="N259" t="n">
        <v>0</v>
      </c>
      <c r="O259" t="n">
        <v>0</v>
      </c>
      <c r="P259" t="n">
        <v>0</v>
      </c>
      <c r="Q259" t="n">
        <v>0</v>
      </c>
      <c r="R259" s="2" t="inlineStr"/>
    </row>
    <row r="260" ht="15" customHeight="1">
      <c r="A260" t="inlineStr">
        <is>
          <t>A 6749-2025</t>
        </is>
      </c>
      <c r="B260" s="1" t="n">
        <v>45700</v>
      </c>
      <c r="C260" s="1" t="n">
        <v>46037</v>
      </c>
      <c r="D260" t="inlineStr">
        <is>
          <t>GOTLANDS LÄN</t>
        </is>
      </c>
      <c r="E260" t="inlineStr">
        <is>
          <t>GOTLAND</t>
        </is>
      </c>
      <c r="G260" t="n">
        <v>4.5</v>
      </c>
      <c r="H260" t="n">
        <v>0</v>
      </c>
      <c r="I260" t="n">
        <v>0</v>
      </c>
      <c r="J260" t="n">
        <v>0</v>
      </c>
      <c r="K260" t="n">
        <v>0</v>
      </c>
      <c r="L260" t="n">
        <v>0</v>
      </c>
      <c r="M260" t="n">
        <v>0</v>
      </c>
      <c r="N260" t="n">
        <v>0</v>
      </c>
      <c r="O260" t="n">
        <v>0</v>
      </c>
      <c r="P260" t="n">
        <v>0</v>
      </c>
      <c r="Q260" t="n">
        <v>0</v>
      </c>
      <c r="R260" s="2" t="inlineStr"/>
    </row>
    <row r="261" ht="15" customHeight="1">
      <c r="A261" t="inlineStr">
        <is>
          <t>A 23698-2025</t>
        </is>
      </c>
      <c r="B261" s="1" t="n">
        <v>45793</v>
      </c>
      <c r="C261" s="1" t="n">
        <v>46037</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17682-2024</t>
        </is>
      </c>
      <c r="B262" s="1" t="n">
        <v>45418.42966435185</v>
      </c>
      <c r="C262" s="1" t="n">
        <v>46037</v>
      </c>
      <c r="D262" t="inlineStr">
        <is>
          <t>GOTLANDS LÄN</t>
        </is>
      </c>
      <c r="E262" t="inlineStr">
        <is>
          <t>GOTLAND</t>
        </is>
      </c>
      <c r="G262" t="n">
        <v>2.9</v>
      </c>
      <c r="H262" t="n">
        <v>0</v>
      </c>
      <c r="I262" t="n">
        <v>0</v>
      </c>
      <c r="J262" t="n">
        <v>0</v>
      </c>
      <c r="K262" t="n">
        <v>0</v>
      </c>
      <c r="L262" t="n">
        <v>0</v>
      </c>
      <c r="M262" t="n">
        <v>0</v>
      </c>
      <c r="N262" t="n">
        <v>0</v>
      </c>
      <c r="O262" t="n">
        <v>0</v>
      </c>
      <c r="P262" t="n">
        <v>0</v>
      </c>
      <c r="Q262" t="n">
        <v>0</v>
      </c>
      <c r="R262" s="2" t="inlineStr"/>
    </row>
    <row r="263" ht="15" customHeight="1">
      <c r="A263" t="inlineStr">
        <is>
          <t>A 57522-2022</t>
        </is>
      </c>
      <c r="B263" s="1" t="n">
        <v>44896</v>
      </c>
      <c r="C263" s="1" t="n">
        <v>46037</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46037</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18993-2025</t>
        </is>
      </c>
      <c r="B265" s="1" t="n">
        <v>45764</v>
      </c>
      <c r="C265" s="1" t="n">
        <v>46037</v>
      </c>
      <c r="D265" t="inlineStr">
        <is>
          <t>GOTLANDS LÄN</t>
        </is>
      </c>
      <c r="E265" t="inlineStr">
        <is>
          <t>GOTLAND</t>
        </is>
      </c>
      <c r="G265" t="n">
        <v>3</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46037</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30135-2025</t>
        </is>
      </c>
      <c r="B267" s="1" t="n">
        <v>45826</v>
      </c>
      <c r="C267" s="1" t="n">
        <v>46037</v>
      </c>
      <c r="D267" t="inlineStr">
        <is>
          <t>GOTLANDS LÄN</t>
        </is>
      </c>
      <c r="E267" t="inlineStr">
        <is>
          <t>GOTLAND</t>
        </is>
      </c>
      <c r="G267" t="n">
        <v>2.7</v>
      </c>
      <c r="H267" t="n">
        <v>0</v>
      </c>
      <c r="I267" t="n">
        <v>0</v>
      </c>
      <c r="J267" t="n">
        <v>0</v>
      </c>
      <c r="K267" t="n">
        <v>0</v>
      </c>
      <c r="L267" t="n">
        <v>0</v>
      </c>
      <c r="M267" t="n">
        <v>0</v>
      </c>
      <c r="N267" t="n">
        <v>0</v>
      </c>
      <c r="O267" t="n">
        <v>0</v>
      </c>
      <c r="P267" t="n">
        <v>0</v>
      </c>
      <c r="Q267" t="n">
        <v>0</v>
      </c>
      <c r="R267" s="2" t="inlineStr"/>
    </row>
    <row r="268" ht="15" customHeight="1">
      <c r="A268" t="inlineStr">
        <is>
          <t>A 12599-2025</t>
        </is>
      </c>
      <c r="B268" s="1" t="n">
        <v>45733.29546296296</v>
      </c>
      <c r="C268" s="1" t="n">
        <v>46037</v>
      </c>
      <c r="D268" t="inlineStr">
        <is>
          <t>GOTLANDS LÄN</t>
        </is>
      </c>
      <c r="E268" t="inlineStr">
        <is>
          <t>GOTLAND</t>
        </is>
      </c>
      <c r="G268" t="n">
        <v>4.7</v>
      </c>
      <c r="H268" t="n">
        <v>0</v>
      </c>
      <c r="I268" t="n">
        <v>0</v>
      </c>
      <c r="J268" t="n">
        <v>0</v>
      </c>
      <c r="K268" t="n">
        <v>0</v>
      </c>
      <c r="L268" t="n">
        <v>0</v>
      </c>
      <c r="M268" t="n">
        <v>0</v>
      </c>
      <c r="N268" t="n">
        <v>0</v>
      </c>
      <c r="O268" t="n">
        <v>0</v>
      </c>
      <c r="P268" t="n">
        <v>0</v>
      </c>
      <c r="Q268" t="n">
        <v>0</v>
      </c>
      <c r="R268" s="2" t="inlineStr"/>
    </row>
    <row r="269" ht="15" customHeight="1">
      <c r="A269" t="inlineStr">
        <is>
          <t>A 35141-2025</t>
        </is>
      </c>
      <c r="B269" s="1" t="n">
        <v>45852.65206018519</v>
      </c>
      <c r="C269" s="1" t="n">
        <v>46037</v>
      </c>
      <c r="D269" t="inlineStr">
        <is>
          <t>GOTLANDS LÄN</t>
        </is>
      </c>
      <c r="E269" t="inlineStr">
        <is>
          <t>GOTLAND</t>
        </is>
      </c>
      <c r="G269" t="n">
        <v>1</v>
      </c>
      <c r="H269" t="n">
        <v>0</v>
      </c>
      <c r="I269" t="n">
        <v>0</v>
      </c>
      <c r="J269" t="n">
        <v>0</v>
      </c>
      <c r="K269" t="n">
        <v>0</v>
      </c>
      <c r="L269" t="n">
        <v>0</v>
      </c>
      <c r="M269" t="n">
        <v>0</v>
      </c>
      <c r="N269" t="n">
        <v>0</v>
      </c>
      <c r="O269" t="n">
        <v>0</v>
      </c>
      <c r="P269" t="n">
        <v>0</v>
      </c>
      <c r="Q269" t="n">
        <v>0</v>
      </c>
      <c r="R269" s="2" t="inlineStr"/>
    </row>
    <row r="270" ht="15" customHeight="1">
      <c r="A270" t="inlineStr">
        <is>
          <t>A 63516-2023</t>
        </is>
      </c>
      <c r="B270" s="1" t="n">
        <v>45274</v>
      </c>
      <c r="C270" s="1" t="n">
        <v>46037</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46037</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25796-2025</t>
        </is>
      </c>
      <c r="B272" s="1" t="n">
        <v>45804.39543981481</v>
      </c>
      <c r="C272" s="1" t="n">
        <v>46037</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24001-2021</t>
        </is>
      </c>
      <c r="B273" s="1" t="n">
        <v>44335</v>
      </c>
      <c r="C273" s="1" t="n">
        <v>46037</v>
      </c>
      <c r="D273" t="inlineStr">
        <is>
          <t>GOTLANDS LÄN</t>
        </is>
      </c>
      <c r="E273" t="inlineStr">
        <is>
          <t>GOTLAND</t>
        </is>
      </c>
      <c r="G273" t="n">
        <v>3.4</v>
      </c>
      <c r="H273" t="n">
        <v>0</v>
      </c>
      <c r="I273" t="n">
        <v>0</v>
      </c>
      <c r="J273" t="n">
        <v>0</v>
      </c>
      <c r="K273" t="n">
        <v>0</v>
      </c>
      <c r="L273" t="n">
        <v>0</v>
      </c>
      <c r="M273" t="n">
        <v>0</v>
      </c>
      <c r="N273" t="n">
        <v>0</v>
      </c>
      <c r="O273" t="n">
        <v>0</v>
      </c>
      <c r="P273" t="n">
        <v>0</v>
      </c>
      <c r="Q273" t="n">
        <v>0</v>
      </c>
      <c r="R273" s="2" t="inlineStr"/>
    </row>
    <row r="274" ht="15" customHeight="1">
      <c r="A274" t="inlineStr">
        <is>
          <t>A 39819-2025</t>
        </is>
      </c>
      <c r="B274" s="1" t="n">
        <v>45891.53418981482</v>
      </c>
      <c r="C274" s="1" t="n">
        <v>46037</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39814-2025</t>
        </is>
      </c>
      <c r="B275" s="1" t="n">
        <v>45891.52694444444</v>
      </c>
      <c r="C275" s="1" t="n">
        <v>46037</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39849-2025</t>
        </is>
      </c>
      <c r="B276" s="1" t="n">
        <v>45891.58502314815</v>
      </c>
      <c r="C276" s="1" t="n">
        <v>46037</v>
      </c>
      <c r="D276" t="inlineStr">
        <is>
          <t>GOTLANDS LÄN</t>
        </is>
      </c>
      <c r="E276" t="inlineStr">
        <is>
          <t>GOTLAND</t>
        </is>
      </c>
      <c r="G276" t="n">
        <v>6.1</v>
      </c>
      <c r="H276" t="n">
        <v>0</v>
      </c>
      <c r="I276" t="n">
        <v>0</v>
      </c>
      <c r="J276" t="n">
        <v>0</v>
      </c>
      <c r="K276" t="n">
        <v>0</v>
      </c>
      <c r="L276" t="n">
        <v>0</v>
      </c>
      <c r="M276" t="n">
        <v>0</v>
      </c>
      <c r="N276" t="n">
        <v>0</v>
      </c>
      <c r="O276" t="n">
        <v>0</v>
      </c>
      <c r="P276" t="n">
        <v>0</v>
      </c>
      <c r="Q276" t="n">
        <v>0</v>
      </c>
      <c r="R276" s="2" t="inlineStr"/>
    </row>
    <row r="277" ht="15" customHeight="1">
      <c r="A277" t="inlineStr">
        <is>
          <t>A 39752-2025</t>
        </is>
      </c>
      <c r="B277" s="1" t="n">
        <v>45891</v>
      </c>
      <c r="C277" s="1" t="n">
        <v>46037</v>
      </c>
      <c r="D277" t="inlineStr">
        <is>
          <t>GOTLANDS LÄN</t>
        </is>
      </c>
      <c r="E277" t="inlineStr">
        <is>
          <t>GOTLAND</t>
        </is>
      </c>
      <c r="G277" t="n">
        <v>5.3</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46037</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39816-2025</t>
        </is>
      </c>
      <c r="B279" s="1" t="n">
        <v>45891</v>
      </c>
      <c r="C279" s="1" t="n">
        <v>46037</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40103-2025</t>
        </is>
      </c>
      <c r="B280" s="1" t="n">
        <v>45894.4880324074</v>
      </c>
      <c r="C280" s="1" t="n">
        <v>46037</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46037</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26457-2025</t>
        </is>
      </c>
      <c r="B282" s="1" t="n">
        <v>45807.42773148148</v>
      </c>
      <c r="C282" s="1" t="n">
        <v>46037</v>
      </c>
      <c r="D282" t="inlineStr">
        <is>
          <t>GOTLANDS LÄN</t>
        </is>
      </c>
      <c r="E282" t="inlineStr">
        <is>
          <t>GOTLAND</t>
        </is>
      </c>
      <c r="G282" t="n">
        <v>5.7</v>
      </c>
      <c r="H282" t="n">
        <v>0</v>
      </c>
      <c r="I282" t="n">
        <v>0</v>
      </c>
      <c r="J282" t="n">
        <v>0</v>
      </c>
      <c r="K282" t="n">
        <v>0</v>
      </c>
      <c r="L282" t="n">
        <v>0</v>
      </c>
      <c r="M282" t="n">
        <v>0</v>
      </c>
      <c r="N282" t="n">
        <v>0</v>
      </c>
      <c r="O282" t="n">
        <v>0</v>
      </c>
      <c r="P282" t="n">
        <v>0</v>
      </c>
      <c r="Q282" t="n">
        <v>0</v>
      </c>
      <c r="R282" s="2" t="inlineStr"/>
    </row>
    <row r="283" ht="15" customHeight="1">
      <c r="A283" t="inlineStr">
        <is>
          <t>A 26467-2025</t>
        </is>
      </c>
      <c r="B283" s="1" t="n">
        <v>45807.44640046296</v>
      </c>
      <c r="C283" s="1" t="n">
        <v>46037</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26465-2025</t>
        </is>
      </c>
      <c r="B284" s="1" t="n">
        <v>45807.44377314814</v>
      </c>
      <c r="C284" s="1" t="n">
        <v>46037</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40499-2025</t>
        </is>
      </c>
      <c r="B285" s="1" t="n">
        <v>45896.32517361111</v>
      </c>
      <c r="C285" s="1" t="n">
        <v>46037</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40372-2025</t>
        </is>
      </c>
      <c r="B286" s="1" t="n">
        <v>45895.5162037037</v>
      </c>
      <c r="C286" s="1" t="n">
        <v>46037</v>
      </c>
      <c r="D286" t="inlineStr">
        <is>
          <t>GOTLANDS LÄN</t>
        </is>
      </c>
      <c r="E286" t="inlineStr">
        <is>
          <t>GOTLAND</t>
        </is>
      </c>
      <c r="G286" t="n">
        <v>3.3</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46037</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1681-2023</t>
        </is>
      </c>
      <c r="B288" s="1" t="n">
        <v>44938.39715277778</v>
      </c>
      <c r="C288" s="1" t="n">
        <v>46037</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6099-2024</t>
        </is>
      </c>
      <c r="B289" s="1" t="n">
        <v>45337</v>
      </c>
      <c r="C289" s="1" t="n">
        <v>46037</v>
      </c>
      <c r="D289" t="inlineStr">
        <is>
          <t>GOTLANDS LÄN</t>
        </is>
      </c>
      <c r="E289" t="inlineStr">
        <is>
          <t>GOTLAND</t>
        </is>
      </c>
      <c r="G289" t="n">
        <v>12.6</v>
      </c>
      <c r="H289" t="n">
        <v>0</v>
      </c>
      <c r="I289" t="n">
        <v>0</v>
      </c>
      <c r="J289" t="n">
        <v>0</v>
      </c>
      <c r="K289" t="n">
        <v>0</v>
      </c>
      <c r="L289" t="n">
        <v>0</v>
      </c>
      <c r="M289" t="n">
        <v>0</v>
      </c>
      <c r="N289" t="n">
        <v>0</v>
      </c>
      <c r="O289" t="n">
        <v>0</v>
      </c>
      <c r="P289" t="n">
        <v>0</v>
      </c>
      <c r="Q289" t="n">
        <v>0</v>
      </c>
      <c r="R289" s="2" t="inlineStr"/>
    </row>
    <row r="290" ht="15" customHeight="1">
      <c r="A290" t="inlineStr">
        <is>
          <t>A 39278-2025</t>
        </is>
      </c>
      <c r="B290" s="1" t="n">
        <v>45889</v>
      </c>
      <c r="C290" s="1" t="n">
        <v>46037</v>
      </c>
      <c r="D290" t="inlineStr">
        <is>
          <t>GOTLANDS LÄN</t>
        </is>
      </c>
      <c r="E290" t="inlineStr">
        <is>
          <t>GOTLAND</t>
        </is>
      </c>
      <c r="G290" t="n">
        <v>3.7</v>
      </c>
      <c r="H290" t="n">
        <v>0</v>
      </c>
      <c r="I290" t="n">
        <v>0</v>
      </c>
      <c r="J290" t="n">
        <v>0</v>
      </c>
      <c r="K290" t="n">
        <v>0</v>
      </c>
      <c r="L290" t="n">
        <v>0</v>
      </c>
      <c r="M290" t="n">
        <v>0</v>
      </c>
      <c r="N290" t="n">
        <v>0</v>
      </c>
      <c r="O290" t="n">
        <v>0</v>
      </c>
      <c r="P290" t="n">
        <v>0</v>
      </c>
      <c r="Q290" t="n">
        <v>0</v>
      </c>
      <c r="R290" s="2" t="inlineStr"/>
    </row>
    <row r="291" ht="15" customHeight="1">
      <c r="A291" t="inlineStr">
        <is>
          <t>A 1273-2023</t>
        </is>
      </c>
      <c r="B291" s="1" t="n">
        <v>44936</v>
      </c>
      <c r="C291" s="1" t="n">
        <v>46037</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58780-2024</t>
        </is>
      </c>
      <c r="B292" s="1" t="n">
        <v>45635.84113425926</v>
      </c>
      <c r="C292" s="1" t="n">
        <v>46037</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27371-2025</t>
        </is>
      </c>
      <c r="B293" s="1" t="n">
        <v>45812</v>
      </c>
      <c r="C293" s="1" t="n">
        <v>46037</v>
      </c>
      <c r="D293" t="inlineStr">
        <is>
          <t>GOTLANDS LÄN</t>
        </is>
      </c>
      <c r="E293" t="inlineStr">
        <is>
          <t>GOTLAND</t>
        </is>
      </c>
      <c r="G293" t="n">
        <v>8</v>
      </c>
      <c r="H293" t="n">
        <v>0</v>
      </c>
      <c r="I293" t="n">
        <v>0</v>
      </c>
      <c r="J293" t="n">
        <v>0</v>
      </c>
      <c r="K293" t="n">
        <v>0</v>
      </c>
      <c r="L293" t="n">
        <v>0</v>
      </c>
      <c r="M293" t="n">
        <v>0</v>
      </c>
      <c r="N293" t="n">
        <v>0</v>
      </c>
      <c r="O293" t="n">
        <v>0</v>
      </c>
      <c r="P293" t="n">
        <v>0</v>
      </c>
      <c r="Q293" t="n">
        <v>0</v>
      </c>
      <c r="R293" s="2" t="inlineStr"/>
    </row>
    <row r="294" ht="15" customHeight="1">
      <c r="A294" t="inlineStr">
        <is>
          <t>A 27355-2025</t>
        </is>
      </c>
      <c r="B294" s="1" t="n">
        <v>45812</v>
      </c>
      <c r="C294" s="1" t="n">
        <v>46037</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41435-2025</t>
        </is>
      </c>
      <c r="B295" s="1" t="n">
        <v>45901.39974537037</v>
      </c>
      <c r="C295" s="1" t="n">
        <v>46037</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45692-2023</t>
        </is>
      </c>
      <c r="B296" s="1" t="n">
        <v>45195</v>
      </c>
      <c r="C296" s="1" t="n">
        <v>46037</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6739-2025</t>
        </is>
      </c>
      <c r="B297" s="1" t="n">
        <v>45700</v>
      </c>
      <c r="C297" s="1" t="n">
        <v>46037</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7850-2025</t>
        </is>
      </c>
      <c r="B298" s="1" t="n">
        <v>45706</v>
      </c>
      <c r="C298" s="1" t="n">
        <v>46037</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33876-2024</t>
        </is>
      </c>
      <c r="B299" s="1" t="n">
        <v>45521.87988425926</v>
      </c>
      <c r="C299" s="1" t="n">
        <v>46037</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41551-2025</t>
        </is>
      </c>
      <c r="B300" s="1" t="n">
        <v>45901.58854166666</v>
      </c>
      <c r="C300" s="1" t="n">
        <v>46037</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28285-2024</t>
        </is>
      </c>
      <c r="B301" s="1" t="n">
        <v>45477</v>
      </c>
      <c r="C301" s="1" t="n">
        <v>46037</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61100-2022</t>
        </is>
      </c>
      <c r="B302" s="1" t="n">
        <v>44915</v>
      </c>
      <c r="C302" s="1" t="n">
        <v>46037</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8444-2025</t>
        </is>
      </c>
      <c r="B303" s="1" t="n">
        <v>45709</v>
      </c>
      <c r="C303" s="1" t="n">
        <v>46037</v>
      </c>
      <c r="D303" t="inlineStr">
        <is>
          <t>GOTLANDS LÄN</t>
        </is>
      </c>
      <c r="E303" t="inlineStr">
        <is>
          <t>GOTLAND</t>
        </is>
      </c>
      <c r="G303" t="n">
        <v>5.2</v>
      </c>
      <c r="H303" t="n">
        <v>0</v>
      </c>
      <c r="I303" t="n">
        <v>0</v>
      </c>
      <c r="J303" t="n">
        <v>0</v>
      </c>
      <c r="K303" t="n">
        <v>0</v>
      </c>
      <c r="L303" t="n">
        <v>0</v>
      </c>
      <c r="M303" t="n">
        <v>0</v>
      </c>
      <c r="N303" t="n">
        <v>0</v>
      </c>
      <c r="O303" t="n">
        <v>0</v>
      </c>
      <c r="P303" t="n">
        <v>0</v>
      </c>
      <c r="Q303" t="n">
        <v>0</v>
      </c>
      <c r="R303" s="2" t="inlineStr"/>
    </row>
    <row r="304" ht="15" customHeight="1">
      <c r="A304" t="inlineStr">
        <is>
          <t>A 61682-2024</t>
        </is>
      </c>
      <c r="B304" s="1" t="n">
        <v>45647.48824074074</v>
      </c>
      <c r="C304" s="1" t="n">
        <v>46037</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42608-2025</t>
        </is>
      </c>
      <c r="B305" s="1" t="n">
        <v>45905</v>
      </c>
      <c r="C305" s="1" t="n">
        <v>46037</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19905-2025</t>
        </is>
      </c>
      <c r="B306" s="1" t="n">
        <v>45771</v>
      </c>
      <c r="C306" s="1" t="n">
        <v>46037</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16373-2025</t>
        </is>
      </c>
      <c r="B307" s="1" t="n">
        <v>45751</v>
      </c>
      <c r="C307" s="1" t="n">
        <v>46037</v>
      </c>
      <c r="D307" t="inlineStr">
        <is>
          <t>GOTLANDS LÄN</t>
        </is>
      </c>
      <c r="E307" t="inlineStr">
        <is>
          <t>GOTLAND</t>
        </is>
      </c>
      <c r="G307" t="n">
        <v>1.5</v>
      </c>
      <c r="H307" t="n">
        <v>0</v>
      </c>
      <c r="I307" t="n">
        <v>0</v>
      </c>
      <c r="J307" t="n">
        <v>0</v>
      </c>
      <c r="K307" t="n">
        <v>0</v>
      </c>
      <c r="L307" t="n">
        <v>0</v>
      </c>
      <c r="M307" t="n">
        <v>0</v>
      </c>
      <c r="N307" t="n">
        <v>0</v>
      </c>
      <c r="O307" t="n">
        <v>0</v>
      </c>
      <c r="P307" t="n">
        <v>0</v>
      </c>
      <c r="Q307" t="n">
        <v>0</v>
      </c>
      <c r="R307" s="2" t="inlineStr"/>
    </row>
    <row r="308" ht="15" customHeight="1">
      <c r="A308" t="inlineStr">
        <is>
          <t>A 29196-2025</t>
        </is>
      </c>
      <c r="B308" s="1" t="n">
        <v>45822</v>
      </c>
      <c r="C308" s="1" t="n">
        <v>46037</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58388-2022</t>
        </is>
      </c>
      <c r="B309" s="1" t="n">
        <v>44894</v>
      </c>
      <c r="C309" s="1" t="n">
        <v>46037</v>
      </c>
      <c r="D309" t="inlineStr">
        <is>
          <t>GOTLANDS LÄN</t>
        </is>
      </c>
      <c r="E309" t="inlineStr">
        <is>
          <t>GOTLAND</t>
        </is>
      </c>
      <c r="F309" t="inlineStr">
        <is>
          <t>Övriga statliga verk och myndigheter</t>
        </is>
      </c>
      <c r="G309" t="n">
        <v>3.1</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46037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21792-2024</t>
        </is>
      </c>
      <c r="B311" s="1" t="n">
        <v>45442.64326388889</v>
      </c>
      <c r="C311" s="1" t="n">
        <v>46037</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10158-2025</t>
        </is>
      </c>
      <c r="B312" s="1" t="n">
        <v>45719</v>
      </c>
      <c r="C312" s="1" t="n">
        <v>46037</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46037</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46037</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30061-2025</t>
        </is>
      </c>
      <c r="B315" s="1" t="n">
        <v>45826.61488425926</v>
      </c>
      <c r="C315" s="1" t="n">
        <v>46037</v>
      </c>
      <c r="D315" t="inlineStr">
        <is>
          <t>GOTLANDS LÄN</t>
        </is>
      </c>
      <c r="E315" t="inlineStr">
        <is>
          <t>GOTLAND</t>
        </is>
      </c>
      <c r="G315" t="n">
        <v>4.1</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46037</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17688-2024</t>
        </is>
      </c>
      <c r="B317" s="1" t="n">
        <v>45418.43575231481</v>
      </c>
      <c r="C317" s="1" t="n">
        <v>46037</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44405-2025</t>
        </is>
      </c>
      <c r="B318" s="1" t="n">
        <v>45916.52405092592</v>
      </c>
      <c r="C318" s="1" t="n">
        <v>46037</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7837-2024</t>
        </is>
      </c>
      <c r="B319" s="1" t="n">
        <v>45349.83787037037</v>
      </c>
      <c r="C319" s="1" t="n">
        <v>46037</v>
      </c>
      <c r="D319" t="inlineStr">
        <is>
          <t>GOTLANDS LÄN</t>
        </is>
      </c>
      <c r="E319" t="inlineStr">
        <is>
          <t>GOTLAND</t>
        </is>
      </c>
      <c r="G319" t="n">
        <v>5</v>
      </c>
      <c r="H319" t="n">
        <v>0</v>
      </c>
      <c r="I319" t="n">
        <v>0</v>
      </c>
      <c r="J319" t="n">
        <v>0</v>
      </c>
      <c r="K319" t="n">
        <v>0</v>
      </c>
      <c r="L319" t="n">
        <v>0</v>
      </c>
      <c r="M319" t="n">
        <v>0</v>
      </c>
      <c r="N319" t="n">
        <v>0</v>
      </c>
      <c r="O319" t="n">
        <v>0</v>
      </c>
      <c r="P319" t="n">
        <v>0</v>
      </c>
      <c r="Q319" t="n">
        <v>0</v>
      </c>
      <c r="R319" s="2" t="inlineStr"/>
    </row>
    <row r="320" ht="15" customHeight="1">
      <c r="A320" t="inlineStr">
        <is>
          <t>A 58160-2024</t>
        </is>
      </c>
      <c r="B320" s="1" t="n">
        <v>45632.44927083333</v>
      </c>
      <c r="C320" s="1" t="n">
        <v>46037</v>
      </c>
      <c r="D320" t="inlineStr">
        <is>
          <t>GOTLANDS LÄN</t>
        </is>
      </c>
      <c r="E320" t="inlineStr">
        <is>
          <t>GOTLAND</t>
        </is>
      </c>
      <c r="G320" t="n">
        <v>5.6</v>
      </c>
      <c r="H320" t="n">
        <v>0</v>
      </c>
      <c r="I320" t="n">
        <v>0</v>
      </c>
      <c r="J320" t="n">
        <v>0</v>
      </c>
      <c r="K320" t="n">
        <v>0</v>
      </c>
      <c r="L320" t="n">
        <v>0</v>
      </c>
      <c r="M320" t="n">
        <v>0</v>
      </c>
      <c r="N320" t="n">
        <v>0</v>
      </c>
      <c r="O320" t="n">
        <v>0</v>
      </c>
      <c r="P320" t="n">
        <v>0</v>
      </c>
      <c r="Q320" t="n">
        <v>0</v>
      </c>
      <c r="R320" s="2" t="inlineStr"/>
    </row>
    <row r="321" ht="15" customHeight="1">
      <c r="A321" t="inlineStr">
        <is>
          <t>A 4568-2025</t>
        </is>
      </c>
      <c r="B321" s="1" t="n">
        <v>45687</v>
      </c>
      <c r="C321" s="1" t="n">
        <v>46037</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35512-2023</t>
        </is>
      </c>
      <c r="B322" s="1" t="n">
        <v>45147.25623842593</v>
      </c>
      <c r="C322" s="1" t="n">
        <v>46037</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5905-2024</t>
        </is>
      </c>
      <c r="B323" s="1" t="n">
        <v>45335.88993055555</v>
      </c>
      <c r="C323" s="1" t="n">
        <v>46037</v>
      </c>
      <c r="D323" t="inlineStr">
        <is>
          <t>GOTLANDS LÄN</t>
        </is>
      </c>
      <c r="E323" t="inlineStr">
        <is>
          <t>GOTLAND</t>
        </is>
      </c>
      <c r="G323" t="n">
        <v>3</v>
      </c>
      <c r="H323" t="n">
        <v>0</v>
      </c>
      <c r="I323" t="n">
        <v>0</v>
      </c>
      <c r="J323" t="n">
        <v>0</v>
      </c>
      <c r="K323" t="n">
        <v>0</v>
      </c>
      <c r="L323" t="n">
        <v>0</v>
      </c>
      <c r="M323" t="n">
        <v>0</v>
      </c>
      <c r="N323" t="n">
        <v>0</v>
      </c>
      <c r="O323" t="n">
        <v>0</v>
      </c>
      <c r="P323" t="n">
        <v>0</v>
      </c>
      <c r="Q323" t="n">
        <v>0</v>
      </c>
      <c r="R323" s="2" t="inlineStr"/>
    </row>
    <row r="324" ht="15" customHeight="1">
      <c r="A324" t="inlineStr">
        <is>
          <t>A 1291-2023</t>
        </is>
      </c>
      <c r="B324" s="1" t="n">
        <v>44936.47561342592</v>
      </c>
      <c r="C324" s="1" t="n">
        <v>46037</v>
      </c>
      <c r="D324" t="inlineStr">
        <is>
          <t>GOTLANDS LÄN</t>
        </is>
      </c>
      <c r="E324" t="inlineStr">
        <is>
          <t>GOTLAND</t>
        </is>
      </c>
      <c r="G324" t="n">
        <v>7.4</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46037</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46037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57652-2023</t>
        </is>
      </c>
      <c r="B327" s="1" t="n">
        <v>45246</v>
      </c>
      <c r="C327" s="1" t="n">
        <v>46037</v>
      </c>
      <c r="D327" t="inlineStr">
        <is>
          <t>GOTLANDS LÄN</t>
        </is>
      </c>
      <c r="E327" t="inlineStr">
        <is>
          <t>GOTLAND</t>
        </is>
      </c>
      <c r="G327" t="n">
        <v>7.2</v>
      </c>
      <c r="H327" t="n">
        <v>0</v>
      </c>
      <c r="I327" t="n">
        <v>0</v>
      </c>
      <c r="J327" t="n">
        <v>0</v>
      </c>
      <c r="K327" t="n">
        <v>0</v>
      </c>
      <c r="L327" t="n">
        <v>0</v>
      </c>
      <c r="M327" t="n">
        <v>0</v>
      </c>
      <c r="N327" t="n">
        <v>0</v>
      </c>
      <c r="O327" t="n">
        <v>0</v>
      </c>
      <c r="P327" t="n">
        <v>0</v>
      </c>
      <c r="Q327" t="n">
        <v>0</v>
      </c>
      <c r="R327" s="2" t="inlineStr"/>
    </row>
    <row r="328" ht="15" customHeight="1">
      <c r="A328" t="inlineStr">
        <is>
          <t>A 32467-2025</t>
        </is>
      </c>
      <c r="B328" s="1" t="n">
        <v>45838.42111111111</v>
      </c>
      <c r="C328" s="1" t="n">
        <v>46037</v>
      </c>
      <c r="D328" t="inlineStr">
        <is>
          <t>GOTLANDS LÄN</t>
        </is>
      </c>
      <c r="E328" t="inlineStr">
        <is>
          <t>GOTLAND</t>
        </is>
      </c>
      <c r="G328" t="n">
        <v>4.3</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46037</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46836-2025</t>
        </is>
      </c>
      <c r="B330" s="1" t="n">
        <v>45928.31511574074</v>
      </c>
      <c r="C330" s="1" t="n">
        <v>46037</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49315-2024</t>
        </is>
      </c>
      <c r="B331" s="1" t="n">
        <v>45595</v>
      </c>
      <c r="C331" s="1" t="n">
        <v>46037</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45106-2024</t>
        </is>
      </c>
      <c r="B332" s="1" t="n">
        <v>45575</v>
      </c>
      <c r="C332" s="1" t="n">
        <v>46037</v>
      </c>
      <c r="D332" t="inlineStr">
        <is>
          <t>GOTLANDS LÄN</t>
        </is>
      </c>
      <c r="E332" t="inlineStr">
        <is>
          <t>GOTLAND</t>
        </is>
      </c>
      <c r="G332" t="n">
        <v>10</v>
      </c>
      <c r="H332" t="n">
        <v>0</v>
      </c>
      <c r="I332" t="n">
        <v>0</v>
      </c>
      <c r="J332" t="n">
        <v>0</v>
      </c>
      <c r="K332" t="n">
        <v>0</v>
      </c>
      <c r="L332" t="n">
        <v>0</v>
      </c>
      <c r="M332" t="n">
        <v>0</v>
      </c>
      <c r="N332" t="n">
        <v>0</v>
      </c>
      <c r="O332" t="n">
        <v>0</v>
      </c>
      <c r="P332" t="n">
        <v>0</v>
      </c>
      <c r="Q332" t="n">
        <v>0</v>
      </c>
      <c r="R332" s="2" t="inlineStr"/>
    </row>
    <row r="333" ht="15" customHeight="1">
      <c r="A333" t="inlineStr">
        <is>
          <t>A 45112-2024</t>
        </is>
      </c>
      <c r="B333" s="1" t="n">
        <v>45575</v>
      </c>
      <c r="C333" s="1" t="n">
        <v>46037</v>
      </c>
      <c r="D333" t="inlineStr">
        <is>
          <t>GOTLANDS LÄN</t>
        </is>
      </c>
      <c r="E333" t="inlineStr">
        <is>
          <t>GOTLAND</t>
        </is>
      </c>
      <c r="G333" t="n">
        <v>5.1</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46037</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33007-2025</t>
        </is>
      </c>
      <c r="B335" s="1" t="n">
        <v>45840</v>
      </c>
      <c r="C335" s="1" t="n">
        <v>46037</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3150-2025</t>
        </is>
      </c>
      <c r="B336" s="1" t="n">
        <v>45679.28974537037</v>
      </c>
      <c r="C336" s="1" t="n">
        <v>46037</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8484-2025</t>
        </is>
      </c>
      <c r="B337" s="1" t="n">
        <v>45709</v>
      </c>
      <c r="C337" s="1" t="n">
        <v>46037</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7635-2025</t>
        </is>
      </c>
      <c r="B338" s="1" t="n">
        <v>45705</v>
      </c>
      <c r="C338" s="1" t="n">
        <v>46037</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7636-2025</t>
        </is>
      </c>
      <c r="B339" s="1" t="n">
        <v>45705.7687962963</v>
      </c>
      <c r="C339" s="1" t="n">
        <v>46037</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7639-2025</t>
        </is>
      </c>
      <c r="B340" s="1" t="n">
        <v>45705.77465277778</v>
      </c>
      <c r="C340" s="1" t="n">
        <v>46037</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47637-2025</t>
        </is>
      </c>
      <c r="B341" s="1" t="n">
        <v>45931.49753472222</v>
      </c>
      <c r="C341" s="1" t="n">
        <v>46037</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20356-2022</t>
        </is>
      </c>
      <c r="B342" s="1" t="n">
        <v>44699</v>
      </c>
      <c r="C342" s="1" t="n">
        <v>46037</v>
      </c>
      <c r="D342" t="inlineStr">
        <is>
          <t>GOTLANDS LÄN</t>
        </is>
      </c>
      <c r="E342" t="inlineStr">
        <is>
          <t>GOTLAND</t>
        </is>
      </c>
      <c r="F342" t="inlineStr">
        <is>
          <t>Övriga Aktiebolag</t>
        </is>
      </c>
      <c r="G342" t="n">
        <v>4.4</v>
      </c>
      <c r="H342" t="n">
        <v>0</v>
      </c>
      <c r="I342" t="n">
        <v>0</v>
      </c>
      <c r="J342" t="n">
        <v>0</v>
      </c>
      <c r="K342" t="n">
        <v>0</v>
      </c>
      <c r="L342" t="n">
        <v>0</v>
      </c>
      <c r="M342" t="n">
        <v>0</v>
      </c>
      <c r="N342" t="n">
        <v>0</v>
      </c>
      <c r="O342" t="n">
        <v>0</v>
      </c>
      <c r="P342" t="n">
        <v>0</v>
      </c>
      <c r="Q342" t="n">
        <v>0</v>
      </c>
      <c r="R342" s="2" t="inlineStr"/>
    </row>
    <row r="343" ht="15" customHeight="1">
      <c r="A343" t="inlineStr">
        <is>
          <t>A 48734-2022</t>
        </is>
      </c>
      <c r="B343" s="1" t="n">
        <v>44855</v>
      </c>
      <c r="C343" s="1" t="n">
        <v>46037</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14141-2024</t>
        </is>
      </c>
      <c r="B344" s="1" t="n">
        <v>45392.85193287037</v>
      </c>
      <c r="C344" s="1" t="n">
        <v>46037</v>
      </c>
      <c r="D344" t="inlineStr">
        <is>
          <t>GOTLANDS LÄN</t>
        </is>
      </c>
      <c r="E344" t="inlineStr">
        <is>
          <t>GOTLAND</t>
        </is>
      </c>
      <c r="G344" t="n">
        <v>5.3</v>
      </c>
      <c r="H344" t="n">
        <v>0</v>
      </c>
      <c r="I344" t="n">
        <v>0</v>
      </c>
      <c r="J344" t="n">
        <v>0</v>
      </c>
      <c r="K344" t="n">
        <v>0</v>
      </c>
      <c r="L344" t="n">
        <v>0</v>
      </c>
      <c r="M344" t="n">
        <v>0</v>
      </c>
      <c r="N344" t="n">
        <v>0</v>
      </c>
      <c r="O344" t="n">
        <v>0</v>
      </c>
      <c r="P344" t="n">
        <v>0</v>
      </c>
      <c r="Q344" t="n">
        <v>0</v>
      </c>
      <c r="R344" s="2" t="inlineStr"/>
    </row>
    <row r="345" ht="15" customHeight="1">
      <c r="A345" t="inlineStr">
        <is>
          <t>A 29809-2022</t>
        </is>
      </c>
      <c r="B345" s="1" t="n">
        <v>44755.8713425926</v>
      </c>
      <c r="C345" s="1" t="n">
        <v>46037</v>
      </c>
      <c r="D345" t="inlineStr">
        <is>
          <t>GOTLANDS LÄN</t>
        </is>
      </c>
      <c r="E345" t="inlineStr">
        <is>
          <t>GOTLAND</t>
        </is>
      </c>
      <c r="G345" t="n">
        <v>11.5</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46037</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15413-2025</t>
        </is>
      </c>
      <c r="B347" s="1" t="n">
        <v>45747.451875</v>
      </c>
      <c r="C347" s="1" t="n">
        <v>46037</v>
      </c>
      <c r="D347" t="inlineStr">
        <is>
          <t>GOTLANDS LÄN</t>
        </is>
      </c>
      <c r="E347" t="inlineStr">
        <is>
          <t>GOTLAND</t>
        </is>
      </c>
      <c r="G347" t="n">
        <v>0.6</v>
      </c>
      <c r="H347" t="n">
        <v>0</v>
      </c>
      <c r="I347" t="n">
        <v>0</v>
      </c>
      <c r="J347" t="n">
        <v>0</v>
      </c>
      <c r="K347" t="n">
        <v>0</v>
      </c>
      <c r="L347" t="n">
        <v>0</v>
      </c>
      <c r="M347" t="n">
        <v>0</v>
      </c>
      <c r="N347" t="n">
        <v>0</v>
      </c>
      <c r="O347" t="n">
        <v>0</v>
      </c>
      <c r="P347" t="n">
        <v>0</v>
      </c>
      <c r="Q347" t="n">
        <v>0</v>
      </c>
      <c r="R347" s="2" t="inlineStr"/>
    </row>
    <row r="348" ht="15" customHeight="1">
      <c r="A348" t="inlineStr">
        <is>
          <t>A 35550-2025</t>
        </is>
      </c>
      <c r="B348" s="1" t="n">
        <v>45856.49324074074</v>
      </c>
      <c r="C348" s="1" t="n">
        <v>46037</v>
      </c>
      <c r="D348" t="inlineStr">
        <is>
          <t>GOTLANDS LÄN</t>
        </is>
      </c>
      <c r="E348" t="inlineStr">
        <is>
          <t>GOTLAND</t>
        </is>
      </c>
      <c r="G348" t="n">
        <v>3.2</v>
      </c>
      <c r="H348" t="n">
        <v>0</v>
      </c>
      <c r="I348" t="n">
        <v>0</v>
      </c>
      <c r="J348" t="n">
        <v>0</v>
      </c>
      <c r="K348" t="n">
        <v>0</v>
      </c>
      <c r="L348" t="n">
        <v>0</v>
      </c>
      <c r="M348" t="n">
        <v>0</v>
      </c>
      <c r="N348" t="n">
        <v>0</v>
      </c>
      <c r="O348" t="n">
        <v>0</v>
      </c>
      <c r="P348" t="n">
        <v>0</v>
      </c>
      <c r="Q348" t="n">
        <v>0</v>
      </c>
      <c r="R348" s="2" t="inlineStr"/>
    </row>
    <row r="349" ht="15" customHeight="1">
      <c r="A349" t="inlineStr">
        <is>
          <t>A 57685-2022</t>
        </is>
      </c>
      <c r="B349" s="1" t="n">
        <v>44897.4777662037</v>
      </c>
      <c r="C349" s="1" t="n">
        <v>46037</v>
      </c>
      <c r="D349" t="inlineStr">
        <is>
          <t>GOTLANDS LÄN</t>
        </is>
      </c>
      <c r="E349" t="inlineStr">
        <is>
          <t>GOTLAND</t>
        </is>
      </c>
      <c r="G349" t="n">
        <v>3.7</v>
      </c>
      <c r="H349" t="n">
        <v>0</v>
      </c>
      <c r="I349" t="n">
        <v>0</v>
      </c>
      <c r="J349" t="n">
        <v>0</v>
      </c>
      <c r="K349" t="n">
        <v>0</v>
      </c>
      <c r="L349" t="n">
        <v>0</v>
      </c>
      <c r="M349" t="n">
        <v>0</v>
      </c>
      <c r="N349" t="n">
        <v>0</v>
      </c>
      <c r="O349" t="n">
        <v>0</v>
      </c>
      <c r="P349" t="n">
        <v>0</v>
      </c>
      <c r="Q349" t="n">
        <v>0</v>
      </c>
      <c r="R349" s="2" t="inlineStr"/>
    </row>
    <row r="350" ht="15" customHeight="1">
      <c r="A350" t="inlineStr">
        <is>
          <t>A 35123-2025</t>
        </is>
      </c>
      <c r="B350" s="1" t="n">
        <v>45852.614375</v>
      </c>
      <c r="C350" s="1" t="n">
        <v>46037</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35096-2025</t>
        </is>
      </c>
      <c r="B351" s="1" t="n">
        <v>45852.54356481481</v>
      </c>
      <c r="C351" s="1" t="n">
        <v>46037</v>
      </c>
      <c r="D351" t="inlineStr">
        <is>
          <t>GOTLANDS LÄN</t>
        </is>
      </c>
      <c r="E351" t="inlineStr">
        <is>
          <t>GOTLAND</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30815-2023</t>
        </is>
      </c>
      <c r="B352" s="1" t="n">
        <v>45112</v>
      </c>
      <c r="C352" s="1" t="n">
        <v>46037</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46037</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30104-2025</t>
        </is>
      </c>
      <c r="B354" s="1" t="n">
        <v>45826.68806712963</v>
      </c>
      <c r="C354" s="1" t="n">
        <v>46037</v>
      </c>
      <c r="D354" t="inlineStr">
        <is>
          <t>GOTLANDS LÄN</t>
        </is>
      </c>
      <c r="E354" t="inlineStr">
        <is>
          <t>GOTLAND</t>
        </is>
      </c>
      <c r="G354" t="n">
        <v>15.4</v>
      </c>
      <c r="H354" t="n">
        <v>0</v>
      </c>
      <c r="I354" t="n">
        <v>0</v>
      </c>
      <c r="J354" t="n">
        <v>0</v>
      </c>
      <c r="K354" t="n">
        <v>0</v>
      </c>
      <c r="L354" t="n">
        <v>0</v>
      </c>
      <c r="M354" t="n">
        <v>0</v>
      </c>
      <c r="N354" t="n">
        <v>0</v>
      </c>
      <c r="O354" t="n">
        <v>0</v>
      </c>
      <c r="P354" t="n">
        <v>0</v>
      </c>
      <c r="Q354" t="n">
        <v>0</v>
      </c>
      <c r="R354" s="2" t="inlineStr"/>
    </row>
    <row r="355" ht="15" customHeight="1">
      <c r="A355" t="inlineStr">
        <is>
          <t>A 35290-2025</t>
        </is>
      </c>
      <c r="B355" s="1" t="n">
        <v>45854.38502314815</v>
      </c>
      <c r="C355" s="1" t="n">
        <v>46037</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46037</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35537-2025</t>
        </is>
      </c>
      <c r="B357" s="1" t="n">
        <v>45856</v>
      </c>
      <c r="C357" s="1" t="n">
        <v>46037</v>
      </c>
      <c r="D357" t="inlineStr">
        <is>
          <t>GOTLANDS LÄN</t>
        </is>
      </c>
      <c r="E357" t="inlineStr">
        <is>
          <t>GOTLAND</t>
        </is>
      </c>
      <c r="G357" t="n">
        <v>16.8</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46037</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46037</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7034-2023</t>
        </is>
      </c>
      <c r="B360" s="1" t="n">
        <v>44968.32108796296</v>
      </c>
      <c r="C360" s="1" t="n">
        <v>46037</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7042-2023</t>
        </is>
      </c>
      <c r="B361" s="1" t="n">
        <v>44968</v>
      </c>
      <c r="C361" s="1" t="n">
        <v>46037</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23516-2023</t>
        </is>
      </c>
      <c r="B362" s="1" t="n">
        <v>45076.93391203704</v>
      </c>
      <c r="C362" s="1" t="n">
        <v>46037</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64660-2023</t>
        </is>
      </c>
      <c r="B363" s="1" t="n">
        <v>45281.60122685185</v>
      </c>
      <c r="C363" s="1" t="n">
        <v>46037</v>
      </c>
      <c r="D363" t="inlineStr">
        <is>
          <t>GOTLANDS LÄN</t>
        </is>
      </c>
      <c r="E363" t="inlineStr">
        <is>
          <t>GOTLAND</t>
        </is>
      </c>
      <c r="G363" t="n">
        <v>6.3</v>
      </c>
      <c r="H363" t="n">
        <v>0</v>
      </c>
      <c r="I363" t="n">
        <v>0</v>
      </c>
      <c r="J363" t="n">
        <v>0</v>
      </c>
      <c r="K363" t="n">
        <v>0</v>
      </c>
      <c r="L363" t="n">
        <v>0</v>
      </c>
      <c r="M363" t="n">
        <v>0</v>
      </c>
      <c r="N363" t="n">
        <v>0</v>
      </c>
      <c r="O363" t="n">
        <v>0</v>
      </c>
      <c r="P363" t="n">
        <v>0</v>
      </c>
      <c r="Q363" t="n">
        <v>0</v>
      </c>
      <c r="R363" s="2" t="inlineStr"/>
    </row>
    <row r="364" ht="15" customHeight="1">
      <c r="A364" t="inlineStr">
        <is>
          <t>A 49690-2025</t>
        </is>
      </c>
      <c r="B364" s="1" t="n">
        <v>45939.66730324074</v>
      </c>
      <c r="C364" s="1" t="n">
        <v>46037</v>
      </c>
      <c r="D364" t="inlineStr">
        <is>
          <t>GOTLANDS LÄN</t>
        </is>
      </c>
      <c r="E364" t="inlineStr">
        <is>
          <t>GOTLAND</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33011-2025</t>
        </is>
      </c>
      <c r="B365" s="1" t="n">
        <v>45840</v>
      </c>
      <c r="C365" s="1" t="n">
        <v>46037</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46037</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50421-2025</t>
        </is>
      </c>
      <c r="B367" s="1" t="n">
        <v>45944.66049768519</v>
      </c>
      <c r="C367" s="1" t="n">
        <v>46037</v>
      </c>
      <c r="D367" t="inlineStr">
        <is>
          <t>GOTLANDS LÄN</t>
        </is>
      </c>
      <c r="E367" t="inlineStr">
        <is>
          <t>GOTLAND</t>
        </is>
      </c>
      <c r="G367" t="n">
        <v>3.9</v>
      </c>
      <c r="H367" t="n">
        <v>0</v>
      </c>
      <c r="I367" t="n">
        <v>0</v>
      </c>
      <c r="J367" t="n">
        <v>0</v>
      </c>
      <c r="K367" t="n">
        <v>0</v>
      </c>
      <c r="L367" t="n">
        <v>0</v>
      </c>
      <c r="M367" t="n">
        <v>0</v>
      </c>
      <c r="N367" t="n">
        <v>0</v>
      </c>
      <c r="O367" t="n">
        <v>0</v>
      </c>
      <c r="P367" t="n">
        <v>0</v>
      </c>
      <c r="Q367" t="n">
        <v>0</v>
      </c>
      <c r="R367" s="2" t="inlineStr"/>
    </row>
    <row r="368" ht="15" customHeight="1">
      <c r="A368" t="inlineStr">
        <is>
          <t>A 15216-2025</t>
        </is>
      </c>
      <c r="B368" s="1" t="n">
        <v>45744</v>
      </c>
      <c r="C368" s="1" t="n">
        <v>46037</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46037</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43790-2024</t>
        </is>
      </c>
      <c r="B370" s="1" t="n">
        <v>45571</v>
      </c>
      <c r="C370" s="1" t="n">
        <v>46037</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46375-2024</t>
        </is>
      </c>
      <c r="B371" s="1" t="n">
        <v>45582</v>
      </c>
      <c r="C371" s="1" t="n">
        <v>46037</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15001-2025</t>
        </is>
      </c>
      <c r="B372" s="1" t="n">
        <v>45743</v>
      </c>
      <c r="C372" s="1" t="n">
        <v>46037</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30488-2025</t>
        </is>
      </c>
      <c r="B373" s="1" t="n">
        <v>45830</v>
      </c>
      <c r="C373" s="1" t="n">
        <v>46037</v>
      </c>
      <c r="D373" t="inlineStr">
        <is>
          <t>GOTLANDS LÄN</t>
        </is>
      </c>
      <c r="E373" t="inlineStr">
        <is>
          <t>GOTLAND</t>
        </is>
      </c>
      <c r="F373" t="inlineStr">
        <is>
          <t>Kyrkan</t>
        </is>
      </c>
      <c r="G373" t="n">
        <v>3.9</v>
      </c>
      <c r="H373" t="n">
        <v>0</v>
      </c>
      <c r="I373" t="n">
        <v>0</v>
      </c>
      <c r="J373" t="n">
        <v>0</v>
      </c>
      <c r="K373" t="n">
        <v>0</v>
      </c>
      <c r="L373" t="n">
        <v>0</v>
      </c>
      <c r="M373" t="n">
        <v>0</v>
      </c>
      <c r="N373" t="n">
        <v>0</v>
      </c>
      <c r="O373" t="n">
        <v>0</v>
      </c>
      <c r="P373" t="n">
        <v>0</v>
      </c>
      <c r="Q373" t="n">
        <v>0</v>
      </c>
      <c r="R373" s="2" t="inlineStr"/>
    </row>
    <row r="374" ht="15" customHeight="1">
      <c r="A374" t="inlineStr">
        <is>
          <t>A 50431-2025</t>
        </is>
      </c>
      <c r="B374" s="1" t="n">
        <v>45944.68453703704</v>
      </c>
      <c r="C374" s="1" t="n">
        <v>46037</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17847-2025</t>
        </is>
      </c>
      <c r="B375" s="1" t="n">
        <v>45758</v>
      </c>
      <c r="C375" s="1" t="n">
        <v>46037</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50928-2025</t>
        </is>
      </c>
      <c r="B376" s="1" t="n">
        <v>45946.67896990741</v>
      </c>
      <c r="C376" s="1" t="n">
        <v>46037</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18742-2025</t>
        </is>
      </c>
      <c r="B377" s="1" t="n">
        <v>45763</v>
      </c>
      <c r="C377" s="1" t="n">
        <v>46037</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35129-2025</t>
        </is>
      </c>
      <c r="B378" s="1" t="n">
        <v>45852.63224537037</v>
      </c>
      <c r="C378" s="1" t="n">
        <v>46037</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1734-2025</t>
        </is>
      </c>
      <c r="B379" s="1" t="n">
        <v>45671.3840625</v>
      </c>
      <c r="C379" s="1" t="n">
        <v>46037</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51262-2025</t>
        </is>
      </c>
      <c r="B380" s="1" t="n">
        <v>45949.49872685185</v>
      </c>
      <c r="C380" s="1" t="n">
        <v>46037</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20993-2023</t>
        </is>
      </c>
      <c r="B381" s="1" t="n">
        <v>45056</v>
      </c>
      <c r="C381" s="1" t="n">
        <v>46037</v>
      </c>
      <c r="D381" t="inlineStr">
        <is>
          <t>GOTLANDS LÄN</t>
        </is>
      </c>
      <c r="E381" t="inlineStr">
        <is>
          <t>GOTLAND</t>
        </is>
      </c>
      <c r="G381" t="n">
        <v>7.1</v>
      </c>
      <c r="H381" t="n">
        <v>0</v>
      </c>
      <c r="I381" t="n">
        <v>0</v>
      </c>
      <c r="J381" t="n">
        <v>0</v>
      </c>
      <c r="K381" t="n">
        <v>0</v>
      </c>
      <c r="L381" t="n">
        <v>0</v>
      </c>
      <c r="M381" t="n">
        <v>0</v>
      </c>
      <c r="N381" t="n">
        <v>0</v>
      </c>
      <c r="O381" t="n">
        <v>0</v>
      </c>
      <c r="P381" t="n">
        <v>0</v>
      </c>
      <c r="Q381" t="n">
        <v>0</v>
      </c>
      <c r="R381" s="2" t="inlineStr"/>
    </row>
    <row r="382" ht="15" customHeight="1">
      <c r="A382" t="inlineStr">
        <is>
          <t>A 12596-2023</t>
        </is>
      </c>
      <c r="B382" s="1" t="n">
        <v>45000.43310185185</v>
      </c>
      <c r="C382" s="1" t="n">
        <v>46037</v>
      </c>
      <c r="D382" t="inlineStr">
        <is>
          <t>GOTLANDS LÄN</t>
        </is>
      </c>
      <c r="E382" t="inlineStr">
        <is>
          <t>GOTLAND</t>
        </is>
      </c>
      <c r="G382" t="n">
        <v>4.1</v>
      </c>
      <c r="H382" t="n">
        <v>0</v>
      </c>
      <c r="I382" t="n">
        <v>0</v>
      </c>
      <c r="J382" t="n">
        <v>0</v>
      </c>
      <c r="K382" t="n">
        <v>0</v>
      </c>
      <c r="L382" t="n">
        <v>0</v>
      </c>
      <c r="M382" t="n">
        <v>0</v>
      </c>
      <c r="N382" t="n">
        <v>0</v>
      </c>
      <c r="O382" t="n">
        <v>0</v>
      </c>
      <c r="P382" t="n">
        <v>0</v>
      </c>
      <c r="Q382" t="n">
        <v>0</v>
      </c>
      <c r="R382" s="2" t="inlineStr"/>
    </row>
    <row r="383" ht="15" customHeight="1">
      <c r="A383" t="inlineStr">
        <is>
          <t>A 2125-2025</t>
        </is>
      </c>
      <c r="B383" s="1" t="n">
        <v>45672.64940972222</v>
      </c>
      <c r="C383" s="1" t="n">
        <v>46037</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12155-2023</t>
        </is>
      </c>
      <c r="B384" s="1" t="n">
        <v>44998.49106481481</v>
      </c>
      <c r="C384" s="1" t="n">
        <v>46037</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52249-2025</t>
        </is>
      </c>
      <c r="B385" s="1" t="n">
        <v>45953.48637731482</v>
      </c>
      <c r="C385" s="1" t="n">
        <v>46037</v>
      </c>
      <c r="D385" t="inlineStr">
        <is>
          <t>GOTLANDS LÄN</t>
        </is>
      </c>
      <c r="E385" t="inlineStr">
        <is>
          <t>GOTLAND</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457-2023</t>
        </is>
      </c>
      <c r="B386" s="1" t="n">
        <v>44929.87238425926</v>
      </c>
      <c r="C386" s="1" t="n">
        <v>46037</v>
      </c>
      <c r="D386" t="inlineStr">
        <is>
          <t>GOTLANDS LÄN</t>
        </is>
      </c>
      <c r="E386" t="inlineStr">
        <is>
          <t>GOTLAND</t>
        </is>
      </c>
      <c r="G386" t="n">
        <v>2.4</v>
      </c>
      <c r="H386" t="n">
        <v>0</v>
      </c>
      <c r="I386" t="n">
        <v>0</v>
      </c>
      <c r="J386" t="n">
        <v>0</v>
      </c>
      <c r="K386" t="n">
        <v>0</v>
      </c>
      <c r="L386" t="n">
        <v>0</v>
      </c>
      <c r="M386" t="n">
        <v>0</v>
      </c>
      <c r="N386" t="n">
        <v>0</v>
      </c>
      <c r="O386" t="n">
        <v>0</v>
      </c>
      <c r="P386" t="n">
        <v>0</v>
      </c>
      <c r="Q386" t="n">
        <v>0</v>
      </c>
      <c r="R386" s="2" t="inlineStr"/>
    </row>
    <row r="387" ht="15" customHeight="1">
      <c r="A387" t="inlineStr">
        <is>
          <t>A 459-2023</t>
        </is>
      </c>
      <c r="B387" s="1" t="n">
        <v>44929.87423611111</v>
      </c>
      <c r="C387" s="1" t="n">
        <v>46037</v>
      </c>
      <c r="D387" t="inlineStr">
        <is>
          <t>GOTLANDS LÄN</t>
        </is>
      </c>
      <c r="E387" t="inlineStr">
        <is>
          <t>GOTLAND</t>
        </is>
      </c>
      <c r="G387" t="n">
        <v>4.2</v>
      </c>
      <c r="H387" t="n">
        <v>0</v>
      </c>
      <c r="I387" t="n">
        <v>0</v>
      </c>
      <c r="J387" t="n">
        <v>0</v>
      </c>
      <c r="K387" t="n">
        <v>0</v>
      </c>
      <c r="L387" t="n">
        <v>0</v>
      </c>
      <c r="M387" t="n">
        <v>0</v>
      </c>
      <c r="N387" t="n">
        <v>0</v>
      </c>
      <c r="O387" t="n">
        <v>0</v>
      </c>
      <c r="P387" t="n">
        <v>0</v>
      </c>
      <c r="Q387" t="n">
        <v>0</v>
      </c>
      <c r="R387" s="2" t="inlineStr"/>
    </row>
    <row r="388" ht="15" customHeight="1">
      <c r="A388" t="inlineStr">
        <is>
          <t>A 38234-2023</t>
        </is>
      </c>
      <c r="B388" s="1" t="n">
        <v>45161.56663194444</v>
      </c>
      <c r="C388" s="1" t="n">
        <v>46037</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50744-2024</t>
        </is>
      </c>
      <c r="B389" s="1" t="n">
        <v>45602.4187037037</v>
      </c>
      <c r="C389" s="1" t="n">
        <v>46037</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6108-2025</t>
        </is>
      </c>
      <c r="B390" s="1" t="n">
        <v>45698.29880787037</v>
      </c>
      <c r="C390" s="1" t="n">
        <v>46037</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21142-2025</t>
        </is>
      </c>
      <c r="B391" s="1" t="n">
        <v>45779</v>
      </c>
      <c r="C391" s="1" t="n">
        <v>46037</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53934-2024</t>
        </is>
      </c>
      <c r="B392" s="1" t="n">
        <v>45615</v>
      </c>
      <c r="C392" s="1" t="n">
        <v>46037</v>
      </c>
      <c r="D392" t="inlineStr">
        <is>
          <t>GOTLANDS LÄN</t>
        </is>
      </c>
      <c r="E392" t="inlineStr">
        <is>
          <t>GOTLAND</t>
        </is>
      </c>
      <c r="G392" t="n">
        <v>5</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46037</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46037</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46037</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46037</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46037</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1446-2025</t>
        </is>
      </c>
      <c r="B398" s="1" t="n">
        <v>45669.86035879629</v>
      </c>
      <c r="C398" s="1" t="n">
        <v>46037</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31264-2021</t>
        </is>
      </c>
      <c r="B399" s="1" t="n">
        <v>44368</v>
      </c>
      <c r="C399" s="1" t="n">
        <v>46037</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53569-2025</t>
        </is>
      </c>
      <c r="B400" s="1" t="n">
        <v>45960.41155092593</v>
      </c>
      <c r="C400" s="1" t="n">
        <v>46037</v>
      </c>
      <c r="D400" t="inlineStr">
        <is>
          <t>GOTLANDS LÄN</t>
        </is>
      </c>
      <c r="E400" t="inlineStr">
        <is>
          <t>GOTLAND</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2292-2021</t>
        </is>
      </c>
      <c r="B401" s="1" t="n">
        <v>44212</v>
      </c>
      <c r="C401" s="1" t="n">
        <v>46037</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43901-2023</t>
        </is>
      </c>
      <c r="B402" s="1" t="n">
        <v>45187</v>
      </c>
      <c r="C402" s="1" t="n">
        <v>46037</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53577-2025</t>
        </is>
      </c>
      <c r="B403" s="1" t="n">
        <v>45960.42224537037</v>
      </c>
      <c r="C403" s="1" t="n">
        <v>46037</v>
      </c>
      <c r="D403" t="inlineStr">
        <is>
          <t>GOTLANDS LÄN</t>
        </is>
      </c>
      <c r="E403" t="inlineStr">
        <is>
          <t>GOTLAND</t>
        </is>
      </c>
      <c r="F403" t="inlineStr">
        <is>
          <t>Övriga Aktiebolag</t>
        </is>
      </c>
      <c r="G403" t="n">
        <v>3.3</v>
      </c>
      <c r="H403" t="n">
        <v>0</v>
      </c>
      <c r="I403" t="n">
        <v>0</v>
      </c>
      <c r="J403" t="n">
        <v>0</v>
      </c>
      <c r="K403" t="n">
        <v>0</v>
      </c>
      <c r="L403" t="n">
        <v>0</v>
      </c>
      <c r="M403" t="n">
        <v>0</v>
      </c>
      <c r="N403" t="n">
        <v>0</v>
      </c>
      <c r="O403" t="n">
        <v>0</v>
      </c>
      <c r="P403" t="n">
        <v>0</v>
      </c>
      <c r="Q403" t="n">
        <v>0</v>
      </c>
      <c r="R403" s="2" t="inlineStr"/>
    </row>
    <row r="404" ht="15" customHeight="1">
      <c r="A404" t="inlineStr">
        <is>
          <t>A 53587-2025</t>
        </is>
      </c>
      <c r="B404" s="1" t="n">
        <v>45960.43681712963</v>
      </c>
      <c r="C404" s="1" t="n">
        <v>46037</v>
      </c>
      <c r="D404" t="inlineStr">
        <is>
          <t>GOTLANDS LÄN</t>
        </is>
      </c>
      <c r="E404" t="inlineStr">
        <is>
          <t>GOTLAND</t>
        </is>
      </c>
      <c r="F404" t="inlineStr">
        <is>
          <t>Övriga Aktiebolag</t>
        </is>
      </c>
      <c r="G404" t="n">
        <v>1.7</v>
      </c>
      <c r="H404" t="n">
        <v>0</v>
      </c>
      <c r="I404" t="n">
        <v>0</v>
      </c>
      <c r="J404" t="n">
        <v>0</v>
      </c>
      <c r="K404" t="n">
        <v>0</v>
      </c>
      <c r="L404" t="n">
        <v>0</v>
      </c>
      <c r="M404" t="n">
        <v>0</v>
      </c>
      <c r="N404" t="n">
        <v>0</v>
      </c>
      <c r="O404" t="n">
        <v>0</v>
      </c>
      <c r="P404" t="n">
        <v>0</v>
      </c>
      <c r="Q404" t="n">
        <v>0</v>
      </c>
      <c r="R404" s="2" t="inlineStr"/>
    </row>
    <row r="405" ht="15" customHeight="1">
      <c r="A405" t="inlineStr">
        <is>
          <t>A 10746-2025</t>
        </is>
      </c>
      <c r="B405" s="1" t="n">
        <v>45722.42766203704</v>
      </c>
      <c r="C405" s="1" t="n">
        <v>46037</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16501-2023</t>
        </is>
      </c>
      <c r="B406" s="1" t="n">
        <v>45029</v>
      </c>
      <c r="C406" s="1" t="n">
        <v>46037</v>
      </c>
      <c r="D406" t="inlineStr">
        <is>
          <t>GOTLANDS LÄN</t>
        </is>
      </c>
      <c r="E406" t="inlineStr">
        <is>
          <t>GOTLAND</t>
        </is>
      </c>
      <c r="G406" t="n">
        <v>3.1</v>
      </c>
      <c r="H406" t="n">
        <v>0</v>
      </c>
      <c r="I406" t="n">
        <v>0</v>
      </c>
      <c r="J406" t="n">
        <v>0</v>
      </c>
      <c r="K406" t="n">
        <v>0</v>
      </c>
      <c r="L406" t="n">
        <v>0</v>
      </c>
      <c r="M406" t="n">
        <v>0</v>
      </c>
      <c r="N406" t="n">
        <v>0</v>
      </c>
      <c r="O406" t="n">
        <v>0</v>
      </c>
      <c r="P406" t="n">
        <v>0</v>
      </c>
      <c r="Q406" t="n">
        <v>0</v>
      </c>
      <c r="R406" s="2" t="inlineStr"/>
    </row>
    <row r="407" ht="15" customHeight="1">
      <c r="A407" t="inlineStr">
        <is>
          <t>A 62066-2025</t>
        </is>
      </c>
      <c r="B407" s="1" t="n">
        <v>46006.34738425926</v>
      </c>
      <c r="C407" s="1" t="n">
        <v>46037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53561-2025</t>
        </is>
      </c>
      <c r="B408" s="1" t="n">
        <v>45960.4059375</v>
      </c>
      <c r="C408" s="1" t="n">
        <v>46037</v>
      </c>
      <c r="D408" t="inlineStr">
        <is>
          <t>GOTLANDS LÄN</t>
        </is>
      </c>
      <c r="E408" t="inlineStr">
        <is>
          <t>GOTLAND</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46037</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61962-2024</t>
        </is>
      </c>
      <c r="B410" s="1" t="n">
        <v>45653.54340277778</v>
      </c>
      <c r="C410" s="1" t="n">
        <v>46037</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10492-2023</t>
        </is>
      </c>
      <c r="B411" s="1" t="n">
        <v>44987</v>
      </c>
      <c r="C411" s="1" t="n">
        <v>46037</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5909-2025</t>
        </is>
      </c>
      <c r="B412" s="1" t="n">
        <v>45695.40634259259</v>
      </c>
      <c r="C412" s="1" t="n">
        <v>46037</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10653-2023</t>
        </is>
      </c>
      <c r="B413" s="1" t="n">
        <v>44988.48859953704</v>
      </c>
      <c r="C413" s="1" t="n">
        <v>46037</v>
      </c>
      <c r="D413" t="inlineStr">
        <is>
          <t>GOTLANDS LÄN</t>
        </is>
      </c>
      <c r="E413" t="inlineStr">
        <is>
          <t>GOTLAND</t>
        </is>
      </c>
      <c r="F413" t="inlineStr">
        <is>
          <t>Kyrkan</t>
        </is>
      </c>
      <c r="G413" t="n">
        <v>3</v>
      </c>
      <c r="H413" t="n">
        <v>0</v>
      </c>
      <c r="I413" t="n">
        <v>0</v>
      </c>
      <c r="J413" t="n">
        <v>0</v>
      </c>
      <c r="K413" t="n">
        <v>0</v>
      </c>
      <c r="L413" t="n">
        <v>0</v>
      </c>
      <c r="M413" t="n">
        <v>0</v>
      </c>
      <c r="N413" t="n">
        <v>0</v>
      </c>
      <c r="O413" t="n">
        <v>0</v>
      </c>
      <c r="P413" t="n">
        <v>0</v>
      </c>
      <c r="Q413" t="n">
        <v>0</v>
      </c>
      <c r="R413" s="2" t="inlineStr"/>
    </row>
    <row r="414" ht="15" customHeight="1">
      <c r="A414" t="inlineStr">
        <is>
          <t>A 4990-2025</t>
        </is>
      </c>
      <c r="B414" s="1" t="n">
        <v>45691</v>
      </c>
      <c r="C414" s="1" t="n">
        <v>46037</v>
      </c>
      <c r="D414" t="inlineStr">
        <is>
          <t>GOTLANDS LÄN</t>
        </is>
      </c>
      <c r="E414" t="inlineStr">
        <is>
          <t>GOTLAND</t>
        </is>
      </c>
      <c r="G414" t="n">
        <v>7.7</v>
      </c>
      <c r="H414" t="n">
        <v>0</v>
      </c>
      <c r="I414" t="n">
        <v>0</v>
      </c>
      <c r="J414" t="n">
        <v>0</v>
      </c>
      <c r="K414" t="n">
        <v>0</v>
      </c>
      <c r="L414" t="n">
        <v>0</v>
      </c>
      <c r="M414" t="n">
        <v>0</v>
      </c>
      <c r="N414" t="n">
        <v>0</v>
      </c>
      <c r="O414" t="n">
        <v>0</v>
      </c>
      <c r="P414" t="n">
        <v>0</v>
      </c>
      <c r="Q414" t="n">
        <v>0</v>
      </c>
      <c r="R414" s="2" t="inlineStr"/>
    </row>
    <row r="415" ht="15" customHeight="1">
      <c r="A415" t="inlineStr">
        <is>
          <t>A 43081-2022</t>
        </is>
      </c>
      <c r="B415" s="1" t="n">
        <v>44833</v>
      </c>
      <c r="C415" s="1" t="n">
        <v>46037</v>
      </c>
      <c r="D415" t="inlineStr">
        <is>
          <t>GOTLANDS LÄN</t>
        </is>
      </c>
      <c r="E415" t="inlineStr">
        <is>
          <t>GOTLAND</t>
        </is>
      </c>
      <c r="G415" t="n">
        <v>6.8</v>
      </c>
      <c r="H415" t="n">
        <v>0</v>
      </c>
      <c r="I415" t="n">
        <v>0</v>
      </c>
      <c r="J415" t="n">
        <v>0</v>
      </c>
      <c r="K415" t="n">
        <v>0</v>
      </c>
      <c r="L415" t="n">
        <v>0</v>
      </c>
      <c r="M415" t="n">
        <v>0</v>
      </c>
      <c r="N415" t="n">
        <v>0</v>
      </c>
      <c r="O415" t="n">
        <v>0</v>
      </c>
      <c r="P415" t="n">
        <v>0</v>
      </c>
      <c r="Q415" t="n">
        <v>0</v>
      </c>
      <c r="R415" s="2" t="inlineStr"/>
    </row>
    <row r="416" ht="15" customHeight="1">
      <c r="A416" t="inlineStr">
        <is>
          <t>A 54584-2025</t>
        </is>
      </c>
      <c r="B416" s="1" t="n">
        <v>45965.71788194445</v>
      </c>
      <c r="C416" s="1" t="n">
        <v>46037</v>
      </c>
      <c r="D416" t="inlineStr">
        <is>
          <t>GOTLANDS LÄN</t>
        </is>
      </c>
      <c r="E416" t="inlineStr">
        <is>
          <t>GOTLAND</t>
        </is>
      </c>
      <c r="G416" t="n">
        <v>3.5</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46037</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5884-2025</t>
        </is>
      </c>
      <c r="B418" s="1" t="n">
        <v>45695.37482638889</v>
      </c>
      <c r="C418" s="1" t="n">
        <v>46037</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5897-2025</t>
        </is>
      </c>
      <c r="B419" s="1" t="n">
        <v>45695.39273148148</v>
      </c>
      <c r="C419" s="1" t="n">
        <v>46037</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61078-2025</t>
        </is>
      </c>
      <c r="B420" s="1" t="n">
        <v>46000</v>
      </c>
      <c r="C420" s="1" t="n">
        <v>46037</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49693-2023</t>
        </is>
      </c>
      <c r="B421" s="1" t="n">
        <v>45212.38138888889</v>
      </c>
      <c r="C421" s="1" t="n">
        <v>46037</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49697-2023</t>
        </is>
      </c>
      <c r="B422" s="1" t="n">
        <v>45212.38909722222</v>
      </c>
      <c r="C422" s="1" t="n">
        <v>46037</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63002-2025</t>
        </is>
      </c>
      <c r="B423" s="1" t="n">
        <v>46009.56564814815</v>
      </c>
      <c r="C423" s="1" t="n">
        <v>46037</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17901-2023</t>
        </is>
      </c>
      <c r="B424" s="1" t="n">
        <v>45039</v>
      </c>
      <c r="C424" s="1" t="n">
        <v>46037</v>
      </c>
      <c r="D424" t="inlineStr">
        <is>
          <t>GOTLANDS LÄN</t>
        </is>
      </c>
      <c r="E424" t="inlineStr">
        <is>
          <t>GOTLAND</t>
        </is>
      </c>
      <c r="F424" t="inlineStr">
        <is>
          <t>Kyrkan</t>
        </is>
      </c>
      <c r="G424" t="n">
        <v>0.6</v>
      </c>
      <c r="H424" t="n">
        <v>0</v>
      </c>
      <c r="I424" t="n">
        <v>0</v>
      </c>
      <c r="J424" t="n">
        <v>0</v>
      </c>
      <c r="K424" t="n">
        <v>0</v>
      </c>
      <c r="L424" t="n">
        <v>0</v>
      </c>
      <c r="M424" t="n">
        <v>0</v>
      </c>
      <c r="N424" t="n">
        <v>0</v>
      </c>
      <c r="O424" t="n">
        <v>0</v>
      </c>
      <c r="P424" t="n">
        <v>0</v>
      </c>
      <c r="Q424" t="n">
        <v>0</v>
      </c>
      <c r="R424" s="2" t="inlineStr"/>
    </row>
    <row r="425" ht="15" customHeight="1">
      <c r="A425" t="inlineStr">
        <is>
          <t>A 52892-2021</t>
        </is>
      </c>
      <c r="B425" s="1" t="n">
        <v>44467.49048611111</v>
      </c>
      <c r="C425" s="1" t="n">
        <v>46037</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61080-2025</t>
        </is>
      </c>
      <c r="B426" s="1" t="n">
        <v>46000</v>
      </c>
      <c r="C426" s="1" t="n">
        <v>46037</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46037</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17724-2024</t>
        </is>
      </c>
      <c r="B428" s="1" t="n">
        <v>45418.55096064815</v>
      </c>
      <c r="C428" s="1" t="n">
        <v>46037</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34312-2024</t>
        </is>
      </c>
      <c r="B429" s="1" t="n">
        <v>45524.69703703704</v>
      </c>
      <c r="C429" s="1" t="n">
        <v>46037</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56799-2025</t>
        </is>
      </c>
      <c r="B430" s="1" t="n">
        <v>45978.43392361111</v>
      </c>
      <c r="C430" s="1" t="n">
        <v>46037</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62754-2025</t>
        </is>
      </c>
      <c r="B431" s="1" t="n">
        <v>46008.58765046296</v>
      </c>
      <c r="C431" s="1" t="n">
        <v>46037</v>
      </c>
      <c r="D431" t="inlineStr">
        <is>
          <t>GOTLANDS LÄN</t>
        </is>
      </c>
      <c r="E431" t="inlineStr">
        <is>
          <t>GOTLAND</t>
        </is>
      </c>
      <c r="F431" t="inlineStr">
        <is>
          <t>Övriga Aktiebolag</t>
        </is>
      </c>
      <c r="G431" t="n">
        <v>2.9</v>
      </c>
      <c r="H431" t="n">
        <v>0</v>
      </c>
      <c r="I431" t="n">
        <v>0</v>
      </c>
      <c r="J431" t="n">
        <v>0</v>
      </c>
      <c r="K431" t="n">
        <v>0</v>
      </c>
      <c r="L431" t="n">
        <v>0</v>
      </c>
      <c r="M431" t="n">
        <v>0</v>
      </c>
      <c r="N431" t="n">
        <v>0</v>
      </c>
      <c r="O431" t="n">
        <v>0</v>
      </c>
      <c r="P431" t="n">
        <v>0</v>
      </c>
      <c r="Q431" t="n">
        <v>0</v>
      </c>
      <c r="R431" s="2" t="inlineStr"/>
    </row>
    <row r="432" ht="15" customHeight="1">
      <c r="A432" t="inlineStr">
        <is>
          <t>A 63000-2025</t>
        </is>
      </c>
      <c r="B432" s="1" t="n">
        <v>46009.56434027778</v>
      </c>
      <c r="C432" s="1" t="n">
        <v>46037</v>
      </c>
      <c r="D432" t="inlineStr">
        <is>
          <t>GOTLANDS LÄN</t>
        </is>
      </c>
      <c r="E432" t="inlineStr">
        <is>
          <t>GOTLAND</t>
        </is>
      </c>
      <c r="F432" t="inlineStr">
        <is>
          <t>Övriga Aktiebolag</t>
        </is>
      </c>
      <c r="G432" t="n">
        <v>1.7</v>
      </c>
      <c r="H432" t="n">
        <v>0</v>
      </c>
      <c r="I432" t="n">
        <v>0</v>
      </c>
      <c r="J432" t="n">
        <v>0</v>
      </c>
      <c r="K432" t="n">
        <v>0</v>
      </c>
      <c r="L432" t="n">
        <v>0</v>
      </c>
      <c r="M432" t="n">
        <v>0</v>
      </c>
      <c r="N432" t="n">
        <v>0</v>
      </c>
      <c r="O432" t="n">
        <v>0</v>
      </c>
      <c r="P432" t="n">
        <v>0</v>
      </c>
      <c r="Q432" t="n">
        <v>0</v>
      </c>
      <c r="R432" s="2" t="inlineStr"/>
    </row>
    <row r="433" ht="15" customHeight="1">
      <c r="A433" t="inlineStr">
        <is>
          <t>A 56688-2025</t>
        </is>
      </c>
      <c r="B433" s="1" t="n">
        <v>45975.84331018518</v>
      </c>
      <c r="C433" s="1" t="n">
        <v>46037</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69112-2021</t>
        </is>
      </c>
      <c r="B434" s="1" t="n">
        <v>44530</v>
      </c>
      <c r="C434" s="1" t="n">
        <v>46037</v>
      </c>
      <c r="D434" t="inlineStr">
        <is>
          <t>GOTLANDS LÄN</t>
        </is>
      </c>
      <c r="E434" t="inlineStr">
        <is>
          <t>GOTLAND</t>
        </is>
      </c>
      <c r="G434" t="n">
        <v>4.2</v>
      </c>
      <c r="H434" t="n">
        <v>0</v>
      </c>
      <c r="I434" t="n">
        <v>0</v>
      </c>
      <c r="J434" t="n">
        <v>0</v>
      </c>
      <c r="K434" t="n">
        <v>0</v>
      </c>
      <c r="L434" t="n">
        <v>0</v>
      </c>
      <c r="M434" t="n">
        <v>0</v>
      </c>
      <c r="N434" t="n">
        <v>0</v>
      </c>
      <c r="O434" t="n">
        <v>0</v>
      </c>
      <c r="P434" t="n">
        <v>0</v>
      </c>
      <c r="Q434" t="n">
        <v>0</v>
      </c>
      <c r="R434" s="2" t="inlineStr"/>
    </row>
    <row r="435" ht="15" customHeight="1">
      <c r="A435" t="inlineStr">
        <is>
          <t>A 7638-2025</t>
        </is>
      </c>
      <c r="B435" s="1" t="n">
        <v>45705.77306712963</v>
      </c>
      <c r="C435" s="1" t="n">
        <v>46037</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50482-2024</t>
        </is>
      </c>
      <c r="B436" s="1" t="n">
        <v>45601.48114583334</v>
      </c>
      <c r="C436" s="1" t="n">
        <v>46037</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1394-2023</t>
        </is>
      </c>
      <c r="B437" s="1" t="n">
        <v>44936.72997685185</v>
      </c>
      <c r="C437" s="1" t="n">
        <v>46037</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36-2026</t>
        </is>
      </c>
      <c r="B438" s="1" t="n">
        <v>46024.38886574074</v>
      </c>
      <c r="C438" s="1" t="n">
        <v>46037</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58230-2024</t>
        </is>
      </c>
      <c r="B439" s="1" t="n">
        <v>45632.51625</v>
      </c>
      <c r="C439" s="1" t="n">
        <v>46037</v>
      </c>
      <c r="D439" t="inlineStr">
        <is>
          <t>GOTLANDS LÄN</t>
        </is>
      </c>
      <c r="E439" t="inlineStr">
        <is>
          <t>GOTLAND</t>
        </is>
      </c>
      <c r="G439" t="n">
        <v>7.3</v>
      </c>
      <c r="H439" t="n">
        <v>0</v>
      </c>
      <c r="I439" t="n">
        <v>0</v>
      </c>
      <c r="J439" t="n">
        <v>0</v>
      </c>
      <c r="K439" t="n">
        <v>0</v>
      </c>
      <c r="L439" t="n">
        <v>0</v>
      </c>
      <c r="M439" t="n">
        <v>0</v>
      </c>
      <c r="N439" t="n">
        <v>0</v>
      </c>
      <c r="O439" t="n">
        <v>0</v>
      </c>
      <c r="P439" t="n">
        <v>0</v>
      </c>
      <c r="Q439" t="n">
        <v>0</v>
      </c>
      <c r="R439" s="2" t="inlineStr"/>
    </row>
    <row r="440" ht="15" customHeight="1">
      <c r="A440" t="inlineStr">
        <is>
          <t>A 1462-2025</t>
        </is>
      </c>
      <c r="B440" s="1" t="n">
        <v>45670.36319444444</v>
      </c>
      <c r="C440" s="1" t="n">
        <v>46037</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25129-2023</t>
        </is>
      </c>
      <c r="B441" s="1" t="n">
        <v>45086.44261574074</v>
      </c>
      <c r="C441" s="1" t="n">
        <v>46037</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24192-2023</t>
        </is>
      </c>
      <c r="B442" s="1" t="n">
        <v>45079</v>
      </c>
      <c r="C442" s="1" t="n">
        <v>46037</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5386-2023</t>
        </is>
      </c>
      <c r="B443" s="1" t="n">
        <v>44959</v>
      </c>
      <c r="C443" s="1" t="n">
        <v>46037</v>
      </c>
      <c r="D443" t="inlineStr">
        <is>
          <t>GOTLANDS LÄN</t>
        </is>
      </c>
      <c r="E443" t="inlineStr">
        <is>
          <t>GOTLAND</t>
        </is>
      </c>
      <c r="G443" t="n">
        <v>5.4</v>
      </c>
      <c r="H443" t="n">
        <v>0</v>
      </c>
      <c r="I443" t="n">
        <v>0</v>
      </c>
      <c r="J443" t="n">
        <v>0</v>
      </c>
      <c r="K443" t="n">
        <v>0</v>
      </c>
      <c r="L443" t="n">
        <v>0</v>
      </c>
      <c r="M443" t="n">
        <v>0</v>
      </c>
      <c r="N443" t="n">
        <v>0</v>
      </c>
      <c r="O443" t="n">
        <v>0</v>
      </c>
      <c r="P443" t="n">
        <v>0</v>
      </c>
      <c r="Q443" t="n">
        <v>0</v>
      </c>
      <c r="R443" s="2" t="inlineStr"/>
    </row>
    <row r="444" ht="15" customHeight="1">
      <c r="A444" t="inlineStr">
        <is>
          <t>A 7026-2023</t>
        </is>
      </c>
      <c r="B444" s="1" t="n">
        <v>44968.30340277778</v>
      </c>
      <c r="C444" s="1" t="n">
        <v>46037</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20855-2023</t>
        </is>
      </c>
      <c r="B445" s="1" t="n">
        <v>45058.82172453704</v>
      </c>
      <c r="C445" s="1" t="n">
        <v>46037</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1000-2024</t>
        </is>
      </c>
      <c r="B446" s="1" t="n">
        <v>45301.63371527778</v>
      </c>
      <c r="C446" s="1" t="n">
        <v>46037</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1010-2024</t>
        </is>
      </c>
      <c r="B447" s="1" t="n">
        <v>45301</v>
      </c>
      <c r="C447" s="1" t="n">
        <v>46037</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59197-2025</t>
        </is>
      </c>
      <c r="B448" s="1" t="n">
        <v>45988.59846064815</v>
      </c>
      <c r="C448" s="1" t="n">
        <v>46037</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47147-2025</t>
        </is>
      </c>
      <c r="B449" s="1" t="n">
        <v>45929</v>
      </c>
      <c r="C449" s="1" t="n">
        <v>46037</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47762-2023</t>
        </is>
      </c>
      <c r="B450" s="1" t="n">
        <v>45203.86256944444</v>
      </c>
      <c r="C450" s="1" t="n">
        <v>46037</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1355-2026</t>
        </is>
      </c>
      <c r="B451" s="1" t="n">
        <v>46031.59909722222</v>
      </c>
      <c r="C451" s="1" t="n">
        <v>46037</v>
      </c>
      <c r="D451" t="inlineStr">
        <is>
          <t>GOTLANDS LÄN</t>
        </is>
      </c>
      <c r="E451" t="inlineStr">
        <is>
          <t>GOTLAND</t>
        </is>
      </c>
      <c r="G451" t="n">
        <v>3.1</v>
      </c>
      <c r="H451" t="n">
        <v>0</v>
      </c>
      <c r="I451" t="n">
        <v>0</v>
      </c>
      <c r="J451" t="n">
        <v>0</v>
      </c>
      <c r="K451" t="n">
        <v>0</v>
      </c>
      <c r="L451" t="n">
        <v>0</v>
      </c>
      <c r="M451" t="n">
        <v>0</v>
      </c>
      <c r="N451" t="n">
        <v>0</v>
      </c>
      <c r="O451" t="n">
        <v>0</v>
      </c>
      <c r="P451" t="n">
        <v>0</v>
      </c>
      <c r="Q451" t="n">
        <v>0</v>
      </c>
      <c r="R451" s="2" t="inlineStr"/>
    </row>
    <row r="452" ht="15" customHeight="1">
      <c r="A452" t="inlineStr">
        <is>
          <t>A 46545-2024</t>
        </is>
      </c>
      <c r="B452" s="1" t="n">
        <v>45582.65831018519</v>
      </c>
      <c r="C452" s="1" t="n">
        <v>46037</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62836-2025</t>
        </is>
      </c>
      <c r="B453" s="1" t="n">
        <v>46008</v>
      </c>
      <c r="C453" s="1" t="n">
        <v>46037</v>
      </c>
      <c r="D453" t="inlineStr">
        <is>
          <t>GOTLANDS LÄN</t>
        </is>
      </c>
      <c r="E453" t="inlineStr">
        <is>
          <t>GOTLAND</t>
        </is>
      </c>
      <c r="G453" t="n">
        <v>6.5</v>
      </c>
      <c r="H453" t="n">
        <v>0</v>
      </c>
      <c r="I453" t="n">
        <v>0</v>
      </c>
      <c r="J453" t="n">
        <v>0</v>
      </c>
      <c r="K453" t="n">
        <v>0</v>
      </c>
      <c r="L453" t="n">
        <v>0</v>
      </c>
      <c r="M453" t="n">
        <v>0</v>
      </c>
      <c r="N453" t="n">
        <v>0</v>
      </c>
      <c r="O453" t="n">
        <v>0</v>
      </c>
      <c r="P453" t="n">
        <v>0</v>
      </c>
      <c r="Q453" t="n">
        <v>0</v>
      </c>
      <c r="R453" s="2" t="inlineStr"/>
    </row>
    <row r="454" ht="15" customHeight="1">
      <c r="A454" t="inlineStr">
        <is>
          <t>A 60086-2022</t>
        </is>
      </c>
      <c r="B454" s="1" t="n">
        <v>44909</v>
      </c>
      <c r="C454" s="1" t="n">
        <v>46037</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28480-2023</t>
        </is>
      </c>
      <c r="B455" s="1" t="n">
        <v>45103</v>
      </c>
      <c r="C455" s="1" t="n">
        <v>46037</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28485-2023</t>
        </is>
      </c>
      <c r="B456" s="1" t="n">
        <v>45103.43731481482</v>
      </c>
      <c r="C456" s="1" t="n">
        <v>46037</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62915-2021</t>
        </is>
      </c>
      <c r="B457" s="1" t="n">
        <v>44504</v>
      </c>
      <c r="C457" s="1" t="n">
        <v>46037</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44949-2023</t>
        </is>
      </c>
      <c r="B458" s="1" t="n">
        <v>45190.69520833333</v>
      </c>
      <c r="C458" s="1" t="n">
        <v>46037</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46037</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63105-2025</t>
        </is>
      </c>
      <c r="B460" s="1" t="n">
        <v>46009</v>
      </c>
      <c r="C460" s="1" t="n">
        <v>46037</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46037</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60384-2025</t>
        </is>
      </c>
      <c r="B462" s="1" t="n">
        <v>45995</v>
      </c>
      <c r="C462" s="1" t="n">
        <v>46037</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36319-2025</t>
        </is>
      </c>
      <c r="B463" s="1" t="n">
        <v>45868</v>
      </c>
      <c r="C463" s="1" t="n">
        <v>46037</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1839-2026</t>
        </is>
      </c>
      <c r="B464" s="1" t="n">
        <v>46035.3942824074</v>
      </c>
      <c r="C464" s="1" t="n">
        <v>46037</v>
      </c>
      <c r="D464" t="inlineStr">
        <is>
          <t>GOTLANDS LÄN</t>
        </is>
      </c>
      <c r="E464" t="inlineStr">
        <is>
          <t>GOTLAND</t>
        </is>
      </c>
      <c r="G464" t="n">
        <v>3.5</v>
      </c>
      <c r="H464" t="n">
        <v>0</v>
      </c>
      <c r="I464" t="n">
        <v>0</v>
      </c>
      <c r="J464" t="n">
        <v>0</v>
      </c>
      <c r="K464" t="n">
        <v>0</v>
      </c>
      <c r="L464" t="n">
        <v>0</v>
      </c>
      <c r="M464" t="n">
        <v>0</v>
      </c>
      <c r="N464" t="n">
        <v>0</v>
      </c>
      <c r="O464" t="n">
        <v>0</v>
      </c>
      <c r="P464" t="n">
        <v>0</v>
      </c>
      <c r="Q464" t="n">
        <v>0</v>
      </c>
      <c r="R464" s="2" t="inlineStr"/>
    </row>
    <row r="465" ht="15" customHeight="1">
      <c r="A465" t="inlineStr">
        <is>
          <t>A 1854-2026</t>
        </is>
      </c>
      <c r="B465" s="1" t="n">
        <v>46035.4171875</v>
      </c>
      <c r="C465" s="1" t="n">
        <v>46037</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62751-2025</t>
        </is>
      </c>
      <c r="B466" s="1" t="n">
        <v>46008</v>
      </c>
      <c r="C466" s="1" t="n">
        <v>46037</v>
      </c>
      <c r="D466" t="inlineStr">
        <is>
          <t>GOTLANDS LÄN</t>
        </is>
      </c>
      <c r="E466" t="inlineStr">
        <is>
          <t>GOTLAND</t>
        </is>
      </c>
      <c r="F466" t="inlineStr">
        <is>
          <t>Övriga Aktiebolag</t>
        </is>
      </c>
      <c r="G466" t="n">
        <v>7.8</v>
      </c>
      <c r="H466" t="n">
        <v>0</v>
      </c>
      <c r="I466" t="n">
        <v>0</v>
      </c>
      <c r="J466" t="n">
        <v>0</v>
      </c>
      <c r="K466" t="n">
        <v>0</v>
      </c>
      <c r="L466" t="n">
        <v>0</v>
      </c>
      <c r="M466" t="n">
        <v>0</v>
      </c>
      <c r="N466" t="n">
        <v>0</v>
      </c>
      <c r="O466" t="n">
        <v>0</v>
      </c>
      <c r="P466" t="n">
        <v>0</v>
      </c>
      <c r="Q466" t="n">
        <v>0</v>
      </c>
      <c r="R466" s="2" t="inlineStr"/>
    </row>
    <row r="467" ht="15" customHeight="1">
      <c r="A467" t="inlineStr">
        <is>
          <t>A 62103-2025</t>
        </is>
      </c>
      <c r="B467" s="1" t="n">
        <v>46006</v>
      </c>
      <c r="C467" s="1" t="n">
        <v>46037</v>
      </c>
      <c r="D467" t="inlineStr">
        <is>
          <t>GOTLANDS LÄN</t>
        </is>
      </c>
      <c r="E467" t="inlineStr">
        <is>
          <t>GOTLAND</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38649-2025</t>
        </is>
      </c>
      <c r="B468" s="1" t="n">
        <v>45884</v>
      </c>
      <c r="C468" s="1" t="n">
        <v>46037</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3964-2024</t>
        </is>
      </c>
      <c r="B469" s="1" t="n">
        <v>45322</v>
      </c>
      <c r="C469" s="1" t="n">
        <v>46037</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46037</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63152-2025</t>
        </is>
      </c>
      <c r="B471" s="1" t="n">
        <v>46010</v>
      </c>
      <c r="C471" s="1" t="n">
        <v>46037</v>
      </c>
      <c r="D471" t="inlineStr">
        <is>
          <t>GOTLANDS LÄN</t>
        </is>
      </c>
      <c r="E471" t="inlineStr">
        <is>
          <t>GOTLAND</t>
        </is>
      </c>
      <c r="G471" t="n">
        <v>1.5</v>
      </c>
      <c r="H471" t="n">
        <v>0</v>
      </c>
      <c r="I471" t="n">
        <v>0</v>
      </c>
      <c r="J471" t="n">
        <v>0</v>
      </c>
      <c r="K471" t="n">
        <v>0</v>
      </c>
      <c r="L471" t="n">
        <v>0</v>
      </c>
      <c r="M471" t="n">
        <v>0</v>
      </c>
      <c r="N471" t="n">
        <v>0</v>
      </c>
      <c r="O471" t="n">
        <v>0</v>
      </c>
      <c r="P471" t="n">
        <v>0</v>
      </c>
      <c r="Q471" t="n">
        <v>0</v>
      </c>
      <c r="R471" s="2" t="inlineStr"/>
    </row>
    <row r="472" ht="15" customHeight="1">
      <c r="A472" t="inlineStr">
        <is>
          <t>A 2135-2026</t>
        </is>
      </c>
      <c r="B472" s="1" t="n">
        <v>46036</v>
      </c>
      <c r="C472" s="1" t="n">
        <v>46037</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62674-2025</t>
        </is>
      </c>
      <c r="B473" s="1" t="n">
        <v>46008</v>
      </c>
      <c r="C473" s="1" t="n">
        <v>46037</v>
      </c>
      <c r="D473" t="inlineStr">
        <is>
          <t>GOTLANDS LÄN</t>
        </is>
      </c>
      <c r="E473" t="inlineStr">
        <is>
          <t>GOTLAND</t>
        </is>
      </c>
      <c r="G473" t="n">
        <v>5</v>
      </c>
      <c r="H473" t="n">
        <v>0</v>
      </c>
      <c r="I473" t="n">
        <v>0</v>
      </c>
      <c r="J473" t="n">
        <v>0</v>
      </c>
      <c r="K473" t="n">
        <v>0</v>
      </c>
      <c r="L473" t="n">
        <v>0</v>
      </c>
      <c r="M473" t="n">
        <v>0</v>
      </c>
      <c r="N473" t="n">
        <v>0</v>
      </c>
      <c r="O473" t="n">
        <v>0</v>
      </c>
      <c r="P473" t="n">
        <v>0</v>
      </c>
      <c r="Q473" t="n">
        <v>0</v>
      </c>
      <c r="R473" s="2" t="inlineStr"/>
    </row>
    <row r="474" ht="15" customHeight="1">
      <c r="A474" t="inlineStr">
        <is>
          <t>A 2134-2026</t>
        </is>
      </c>
      <c r="B474" s="1" t="n">
        <v>46036</v>
      </c>
      <c r="C474" s="1" t="n">
        <v>46037</v>
      </c>
      <c r="D474" t="inlineStr">
        <is>
          <t>GOTLANDS LÄN</t>
        </is>
      </c>
      <c r="E474" t="inlineStr">
        <is>
          <t>GOTLAND</t>
        </is>
      </c>
      <c r="G474" t="n">
        <v>1.7</v>
      </c>
      <c r="H474" t="n">
        <v>0</v>
      </c>
      <c r="I474" t="n">
        <v>0</v>
      </c>
      <c r="J474" t="n">
        <v>0</v>
      </c>
      <c r="K474" t="n">
        <v>0</v>
      </c>
      <c r="L474" t="n">
        <v>0</v>
      </c>
      <c r="M474" t="n">
        <v>0</v>
      </c>
      <c r="N474" t="n">
        <v>0</v>
      </c>
      <c r="O474" t="n">
        <v>0</v>
      </c>
      <c r="P474" t="n">
        <v>0</v>
      </c>
      <c r="Q474" t="n">
        <v>0</v>
      </c>
      <c r="R474" s="2" t="inlineStr"/>
    </row>
    <row r="475" ht="15" customHeight="1">
      <c r="A475" t="inlineStr">
        <is>
          <t>A 1898-2026</t>
        </is>
      </c>
      <c r="B475" s="1" t="n">
        <v>46035.52024305556</v>
      </c>
      <c r="C475" s="1" t="n">
        <v>46037</v>
      </c>
      <c r="D475" t="inlineStr">
        <is>
          <t>GOTLANDS LÄN</t>
        </is>
      </c>
      <c r="E475" t="inlineStr">
        <is>
          <t>GOTLAND</t>
        </is>
      </c>
      <c r="G475" t="n">
        <v>3.7</v>
      </c>
      <c r="H475" t="n">
        <v>0</v>
      </c>
      <c r="I475" t="n">
        <v>0</v>
      </c>
      <c r="J475" t="n">
        <v>0</v>
      </c>
      <c r="K475" t="n">
        <v>0</v>
      </c>
      <c r="L475" t="n">
        <v>0</v>
      </c>
      <c r="M475" t="n">
        <v>0</v>
      </c>
      <c r="N475" t="n">
        <v>0</v>
      </c>
      <c r="O475" t="n">
        <v>0</v>
      </c>
      <c r="P475" t="n">
        <v>0</v>
      </c>
      <c r="Q475" t="n">
        <v>0</v>
      </c>
      <c r="R475" s="2" t="inlineStr"/>
    </row>
    <row r="476" ht="15" customHeight="1">
      <c r="A476" t="inlineStr">
        <is>
          <t>A 5217-2023</t>
        </is>
      </c>
      <c r="B476" s="1" t="n">
        <v>44959.39582175926</v>
      </c>
      <c r="C476" s="1" t="n">
        <v>46037</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1677-2023</t>
        </is>
      </c>
      <c r="B477" s="1" t="n">
        <v>44938</v>
      </c>
      <c r="C477" s="1" t="n">
        <v>46037</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45244-2024</t>
        </is>
      </c>
      <c r="B478" s="1" t="n">
        <v>45576</v>
      </c>
      <c r="C478" s="1" t="n">
        <v>46037</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8260-2023</t>
        </is>
      </c>
      <c r="B479" s="1" t="n">
        <v>44974.61608796296</v>
      </c>
      <c r="C479" s="1" t="n">
        <v>46037</v>
      </c>
      <c r="D479" t="inlineStr">
        <is>
          <t>GOTLANDS LÄN</t>
        </is>
      </c>
      <c r="E479" t="inlineStr">
        <is>
          <t>GOTLAND</t>
        </is>
      </c>
      <c r="G479" t="n">
        <v>2.9</v>
      </c>
      <c r="H479" t="n">
        <v>0</v>
      </c>
      <c r="I479" t="n">
        <v>0</v>
      </c>
      <c r="J479" t="n">
        <v>0</v>
      </c>
      <c r="K479" t="n">
        <v>0</v>
      </c>
      <c r="L479" t="n">
        <v>0</v>
      </c>
      <c r="M479" t="n">
        <v>0</v>
      </c>
      <c r="N479" t="n">
        <v>0</v>
      </c>
      <c r="O479" t="n">
        <v>0</v>
      </c>
      <c r="P479" t="n">
        <v>0</v>
      </c>
      <c r="Q479" t="n">
        <v>0</v>
      </c>
      <c r="R479" s="2" t="inlineStr"/>
    </row>
    <row r="480" ht="15" customHeight="1">
      <c r="A480" t="inlineStr">
        <is>
          <t>A 64969-2023</t>
        </is>
      </c>
      <c r="B480" s="1" t="n">
        <v>45284.54009259259</v>
      </c>
      <c r="C480" s="1" t="n">
        <v>46037</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48843-2024</t>
        </is>
      </c>
      <c r="B481" s="1" t="n">
        <v>45593</v>
      </c>
      <c r="C481" s="1" t="n">
        <v>46037</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17541-2024</t>
        </is>
      </c>
      <c r="B482" s="1" t="n">
        <v>45415</v>
      </c>
      <c r="C482" s="1" t="n">
        <v>46037</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2241-2025</t>
        </is>
      </c>
      <c r="B483" s="1" t="n">
        <v>45673.48710648148</v>
      </c>
      <c r="C483" s="1" t="n">
        <v>46037</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15434-2024</t>
        </is>
      </c>
      <c r="B484" s="1" t="n">
        <v>45401.38836805556</v>
      </c>
      <c r="C484" s="1" t="n">
        <v>46037</v>
      </c>
      <c r="D484" t="inlineStr">
        <is>
          <t>GOTLANDS LÄN</t>
        </is>
      </c>
      <c r="E484" t="inlineStr">
        <is>
          <t>GOTLAND</t>
        </is>
      </c>
      <c r="G484" t="n">
        <v>2.5</v>
      </c>
      <c r="H484" t="n">
        <v>0</v>
      </c>
      <c r="I484" t="n">
        <v>0</v>
      </c>
      <c r="J484" t="n">
        <v>0</v>
      </c>
      <c r="K484" t="n">
        <v>0</v>
      </c>
      <c r="L484" t="n">
        <v>0</v>
      </c>
      <c r="M484" t="n">
        <v>0</v>
      </c>
      <c r="N484" t="n">
        <v>0</v>
      </c>
      <c r="O484" t="n">
        <v>0</v>
      </c>
      <c r="P484" t="n">
        <v>0</v>
      </c>
      <c r="Q484" t="n">
        <v>0</v>
      </c>
      <c r="R484" s="2" t="inlineStr"/>
    </row>
    <row r="485" ht="15" customHeight="1">
      <c r="A485" t="inlineStr">
        <is>
          <t>A 5943-2024</t>
        </is>
      </c>
      <c r="B485" s="1" t="n">
        <v>45336</v>
      </c>
      <c r="C485" s="1" t="n">
        <v>46037</v>
      </c>
      <c r="D485" t="inlineStr">
        <is>
          <t>GOTLANDS LÄN</t>
        </is>
      </c>
      <c r="E485" t="inlineStr">
        <is>
          <t>GOTLAND</t>
        </is>
      </c>
      <c r="G485" t="n">
        <v>4.3</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44881.50380787037</v>
      </c>
      <c r="C486" s="1" t="n">
        <v>46037</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16361-2024</t>
        </is>
      </c>
      <c r="B487" s="1" t="n">
        <v>45407</v>
      </c>
      <c r="C487" s="1" t="n">
        <v>46037</v>
      </c>
      <c r="D487" t="inlineStr">
        <is>
          <t>GOTLANDS LÄN</t>
        </is>
      </c>
      <c r="E487" t="inlineStr">
        <is>
          <t>GOTLAND</t>
        </is>
      </c>
      <c r="G487" t="n">
        <v>6</v>
      </c>
      <c r="H487" t="n">
        <v>0</v>
      </c>
      <c r="I487" t="n">
        <v>0</v>
      </c>
      <c r="J487" t="n">
        <v>0</v>
      </c>
      <c r="K487" t="n">
        <v>0</v>
      </c>
      <c r="L487" t="n">
        <v>0</v>
      </c>
      <c r="M487" t="n">
        <v>0</v>
      </c>
      <c r="N487" t="n">
        <v>0</v>
      </c>
      <c r="O487" t="n">
        <v>0</v>
      </c>
      <c r="P487" t="n">
        <v>0</v>
      </c>
      <c r="Q487" t="n">
        <v>0</v>
      </c>
      <c r="R487" s="2" t="inlineStr"/>
    </row>
    <row r="488" ht="15" customHeight="1">
      <c r="A488" t="inlineStr">
        <is>
          <t>A 41038-2023</t>
        </is>
      </c>
      <c r="B488" s="1" t="n">
        <v>45173.60959490741</v>
      </c>
      <c r="C488" s="1" t="n">
        <v>46037</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14427-2024</t>
        </is>
      </c>
      <c r="B489" s="1" t="n">
        <v>45394</v>
      </c>
      <c r="C489" s="1" t="n">
        <v>46037</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31802-2024</t>
        </is>
      </c>
      <c r="B490" s="1" t="n">
        <v>45509</v>
      </c>
      <c r="C490" s="1" t="n">
        <v>46037</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44609.44362268518</v>
      </c>
      <c r="C491" s="1" t="n">
        <v>46037</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12846-2025</t>
        </is>
      </c>
      <c r="B492" s="1" t="n">
        <v>45733.65049768519</v>
      </c>
      <c r="C492" s="1" t="n">
        <v>46037</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46949-2024</t>
        </is>
      </c>
      <c r="B493" s="1" t="n">
        <v>45585</v>
      </c>
      <c r="C493" s="1" t="n">
        <v>46037</v>
      </c>
      <c r="D493" t="inlineStr">
        <is>
          <t>GOTLANDS LÄN</t>
        </is>
      </c>
      <c r="E493" t="inlineStr">
        <is>
          <t>GOTLAND</t>
        </is>
      </c>
      <c r="G493" t="n">
        <v>0.6</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44624.57945601852</v>
      </c>
      <c r="C494" s="1" t="n">
        <v>46037</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11634-2024</t>
        </is>
      </c>
      <c r="B495" s="1" t="n">
        <v>45373</v>
      </c>
      <c r="C495" s="1" t="n">
        <v>46037</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1351-2025</t>
        </is>
      </c>
      <c r="B496" s="1" t="n">
        <v>45667.62246527777</v>
      </c>
      <c r="C496" s="1" t="n">
        <v>46037</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39496-2022</t>
        </is>
      </c>
      <c r="B497" s="1" t="n">
        <v>44818</v>
      </c>
      <c r="C497" s="1" t="n">
        <v>46037</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49874-2024</t>
        </is>
      </c>
      <c r="B498" s="1" t="n">
        <v>45597.49274305555</v>
      </c>
      <c r="C498" s="1" t="n">
        <v>46037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42201-2023</t>
        </is>
      </c>
      <c r="B499" s="1" t="n">
        <v>45179</v>
      </c>
      <c r="C499" s="1" t="n">
        <v>46037</v>
      </c>
      <c r="D499" t="inlineStr">
        <is>
          <t>GOTLANDS LÄN</t>
        </is>
      </c>
      <c r="E499" t="inlineStr">
        <is>
          <t>GOTLAND</t>
        </is>
      </c>
      <c r="G499" t="n">
        <v>11.9</v>
      </c>
      <c r="H499" t="n">
        <v>0</v>
      </c>
      <c r="I499" t="n">
        <v>0</v>
      </c>
      <c r="J499" t="n">
        <v>0</v>
      </c>
      <c r="K499" t="n">
        <v>0</v>
      </c>
      <c r="L499" t="n">
        <v>0</v>
      </c>
      <c r="M499" t="n">
        <v>0</v>
      </c>
      <c r="N499" t="n">
        <v>0</v>
      </c>
      <c r="O499" t="n">
        <v>0</v>
      </c>
      <c r="P499" t="n">
        <v>0</v>
      </c>
      <c r="Q499" t="n">
        <v>0</v>
      </c>
      <c r="R499" s="2" t="inlineStr"/>
    </row>
    <row r="500" ht="15" customHeight="1">
      <c r="A500" t="inlineStr">
        <is>
          <t>A 46400-2023</t>
        </is>
      </c>
      <c r="B500" s="1" t="n">
        <v>45197.49290509259</v>
      </c>
      <c r="C500" s="1" t="n">
        <v>46037</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9875-2025</t>
        </is>
      </c>
      <c r="B501" s="1" t="n">
        <v>45716</v>
      </c>
      <c r="C501" s="1" t="n">
        <v>46037</v>
      </c>
      <c r="D501" t="inlineStr">
        <is>
          <t>GOTLANDS LÄN</t>
        </is>
      </c>
      <c r="E501" t="inlineStr">
        <is>
          <t>GOTLAND</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21164-2024</t>
        </is>
      </c>
      <c r="B502" s="1" t="n">
        <v>45440</v>
      </c>
      <c r="C502" s="1" t="n">
        <v>46037</v>
      </c>
      <c r="D502" t="inlineStr">
        <is>
          <t>GOTLANDS LÄN</t>
        </is>
      </c>
      <c r="E502" t="inlineStr">
        <is>
          <t>GOTLAND</t>
        </is>
      </c>
      <c r="G502" t="n">
        <v>6.3</v>
      </c>
      <c r="H502" t="n">
        <v>0</v>
      </c>
      <c r="I502" t="n">
        <v>0</v>
      </c>
      <c r="J502" t="n">
        <v>0</v>
      </c>
      <c r="K502" t="n">
        <v>0</v>
      </c>
      <c r="L502" t="n">
        <v>0</v>
      </c>
      <c r="M502" t="n">
        <v>0</v>
      </c>
      <c r="N502" t="n">
        <v>0</v>
      </c>
      <c r="O502" t="n">
        <v>0</v>
      </c>
      <c r="P502" t="n">
        <v>0</v>
      </c>
      <c r="Q502" t="n">
        <v>0</v>
      </c>
      <c r="R502" s="2" t="inlineStr"/>
    </row>
    <row r="503" ht="15" customHeight="1">
      <c r="A503" t="inlineStr">
        <is>
          <t>A 8045-2022</t>
        </is>
      </c>
      <c r="B503" s="1" t="n">
        <v>44609</v>
      </c>
      <c r="C503" s="1" t="n">
        <v>46037</v>
      </c>
      <c r="D503" t="inlineStr">
        <is>
          <t>GOTLANDS LÄN</t>
        </is>
      </c>
      <c r="E503" t="inlineStr">
        <is>
          <t>GOTLAND</t>
        </is>
      </c>
      <c r="G503" t="n">
        <v>7</v>
      </c>
      <c r="H503" t="n">
        <v>0</v>
      </c>
      <c r="I503" t="n">
        <v>0</v>
      </c>
      <c r="J503" t="n">
        <v>0</v>
      </c>
      <c r="K503" t="n">
        <v>0</v>
      </c>
      <c r="L503" t="n">
        <v>0</v>
      </c>
      <c r="M503" t="n">
        <v>0</v>
      </c>
      <c r="N503" t="n">
        <v>0</v>
      </c>
      <c r="O503" t="n">
        <v>0</v>
      </c>
      <c r="P503" t="n">
        <v>0</v>
      </c>
      <c r="Q503" t="n">
        <v>0</v>
      </c>
      <c r="R503" s="2" t="inlineStr"/>
    </row>
    <row r="504" ht="15" customHeight="1">
      <c r="A504" t="inlineStr">
        <is>
          <t>A 22897-2023</t>
        </is>
      </c>
      <c r="B504" s="1" t="n">
        <v>45072.55239583334</v>
      </c>
      <c r="C504" s="1" t="n">
        <v>46037</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61897-2024</t>
        </is>
      </c>
      <c r="B505" s="1" t="n">
        <v>45652.75685185185</v>
      </c>
      <c r="C505" s="1" t="n">
        <v>46037</v>
      </c>
      <c r="D505" t="inlineStr">
        <is>
          <t>GOTLANDS LÄN</t>
        </is>
      </c>
      <c r="E505" t="inlineStr">
        <is>
          <t>GOTLAND</t>
        </is>
      </c>
      <c r="G505" t="n">
        <v>6.4</v>
      </c>
      <c r="H505" t="n">
        <v>0</v>
      </c>
      <c r="I505" t="n">
        <v>0</v>
      </c>
      <c r="J505" t="n">
        <v>0</v>
      </c>
      <c r="K505" t="n">
        <v>0</v>
      </c>
      <c r="L505" t="n">
        <v>0</v>
      </c>
      <c r="M505" t="n">
        <v>0</v>
      </c>
      <c r="N505" t="n">
        <v>0</v>
      </c>
      <c r="O505" t="n">
        <v>0</v>
      </c>
      <c r="P505" t="n">
        <v>0</v>
      </c>
      <c r="Q505" t="n">
        <v>0</v>
      </c>
      <c r="R505" s="2" t="inlineStr"/>
    </row>
    <row r="506" ht="15" customHeight="1">
      <c r="A506" t="inlineStr">
        <is>
          <t>A 49962-2023</t>
        </is>
      </c>
      <c r="B506" s="1" t="n">
        <v>45215.38775462963</v>
      </c>
      <c r="C506" s="1" t="n">
        <v>46037</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44698.49854166667</v>
      </c>
      <c r="C507" s="1" t="n">
        <v>46037</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46037</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12032-2025</t>
        </is>
      </c>
      <c r="B509" s="1" t="n">
        <v>45728.64472222222</v>
      </c>
      <c r="C509" s="1" t="n">
        <v>46037</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38787-2023</t>
        </is>
      </c>
      <c r="B510" s="1" t="n">
        <v>45163</v>
      </c>
      <c r="C510" s="1" t="n">
        <v>46037</v>
      </c>
      <c r="D510" t="inlineStr">
        <is>
          <t>GOTLANDS LÄN</t>
        </is>
      </c>
      <c r="E510" t="inlineStr">
        <is>
          <t>GOTLAND</t>
        </is>
      </c>
      <c r="G510" t="n">
        <v>0.4</v>
      </c>
      <c r="H510" t="n">
        <v>0</v>
      </c>
      <c r="I510" t="n">
        <v>0</v>
      </c>
      <c r="J510" t="n">
        <v>0</v>
      </c>
      <c r="K510" t="n">
        <v>0</v>
      </c>
      <c r="L510" t="n">
        <v>0</v>
      </c>
      <c r="M510" t="n">
        <v>0</v>
      </c>
      <c r="N510" t="n">
        <v>0</v>
      </c>
      <c r="O510" t="n">
        <v>0</v>
      </c>
      <c r="P510" t="n">
        <v>0</v>
      </c>
      <c r="Q510" t="n">
        <v>0</v>
      </c>
      <c r="R510" s="2" t="inlineStr"/>
    </row>
    <row r="511" ht="15" customHeight="1">
      <c r="A511" t="inlineStr">
        <is>
          <t>A 43231-2023</t>
        </is>
      </c>
      <c r="B511" s="1" t="n">
        <v>45183.47025462963</v>
      </c>
      <c r="C511" s="1" t="n">
        <v>46037</v>
      </c>
      <c r="D511" t="inlineStr">
        <is>
          <t>GOTLANDS LÄN</t>
        </is>
      </c>
      <c r="E511" t="inlineStr">
        <is>
          <t>GOTLAND</t>
        </is>
      </c>
      <c r="G511" t="n">
        <v>3.6</v>
      </c>
      <c r="H511" t="n">
        <v>0</v>
      </c>
      <c r="I511" t="n">
        <v>0</v>
      </c>
      <c r="J511" t="n">
        <v>0</v>
      </c>
      <c r="K511" t="n">
        <v>0</v>
      </c>
      <c r="L511" t="n">
        <v>0</v>
      </c>
      <c r="M511" t="n">
        <v>0</v>
      </c>
      <c r="N511" t="n">
        <v>0</v>
      </c>
      <c r="O511" t="n">
        <v>0</v>
      </c>
      <c r="P511" t="n">
        <v>0</v>
      </c>
      <c r="Q511" t="n">
        <v>0</v>
      </c>
      <c r="R511" s="2" t="inlineStr"/>
    </row>
    <row r="512" ht="15" customHeight="1">
      <c r="A512" t="inlineStr">
        <is>
          <t>A 17532-2024</t>
        </is>
      </c>
      <c r="B512" s="1" t="n">
        <v>45415</v>
      </c>
      <c r="C512" s="1" t="n">
        <v>46037</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3935-2025</t>
        </is>
      </c>
      <c r="B513" s="1" t="n">
        <v>45684.46070601852</v>
      </c>
      <c r="C513" s="1" t="n">
        <v>46037</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45772.65802083333</v>
      </c>
      <c r="C514" s="1" t="n">
        <v>46037</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883-2025</t>
        </is>
      </c>
      <c r="B515" s="1" t="n">
        <v>45665</v>
      </c>
      <c r="C515" s="1" t="n">
        <v>46037</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1066-2024</t>
        </is>
      </c>
      <c r="B516" s="1" t="n">
        <v>45302.285</v>
      </c>
      <c r="C516" s="1" t="n">
        <v>46037</v>
      </c>
      <c r="D516" t="inlineStr">
        <is>
          <t>GOTLANDS LÄN</t>
        </is>
      </c>
      <c r="E516" t="inlineStr">
        <is>
          <t>GOTLAND</t>
        </is>
      </c>
      <c r="G516" t="n">
        <v>1.4</v>
      </c>
      <c r="H516" t="n">
        <v>0</v>
      </c>
      <c r="I516" t="n">
        <v>0</v>
      </c>
      <c r="J516" t="n">
        <v>0</v>
      </c>
      <c r="K516" t="n">
        <v>0</v>
      </c>
      <c r="L516" t="n">
        <v>0</v>
      </c>
      <c r="M516" t="n">
        <v>0</v>
      </c>
      <c r="N516" t="n">
        <v>0</v>
      </c>
      <c r="O516" t="n">
        <v>0</v>
      </c>
      <c r="P516" t="n">
        <v>0</v>
      </c>
      <c r="Q516" t="n">
        <v>0</v>
      </c>
      <c r="R516" s="2" t="inlineStr"/>
    </row>
    <row r="517" ht="15" customHeight="1">
      <c r="A517" t="inlineStr">
        <is>
          <t>A 17144-2025</t>
        </is>
      </c>
      <c r="B517" s="1" t="n">
        <v>45755.9499537037</v>
      </c>
      <c r="C517" s="1" t="n">
        <v>46037</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46037</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46037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581-2023</t>
        </is>
      </c>
      <c r="B520" s="1" t="n">
        <v>44930</v>
      </c>
      <c r="C520" s="1" t="n">
        <v>46037</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61386-2023</t>
        </is>
      </c>
      <c r="B521" s="1" t="n">
        <v>45264</v>
      </c>
      <c r="C521" s="1" t="n">
        <v>46037</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873-2024</t>
        </is>
      </c>
      <c r="B522" s="1" t="n">
        <v>45301</v>
      </c>
      <c r="C522" s="1" t="n">
        <v>46037</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49411-2023</t>
        </is>
      </c>
      <c r="B523" s="1" t="n">
        <v>45205</v>
      </c>
      <c r="C523" s="1" t="n">
        <v>46037</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22275-2023</t>
        </is>
      </c>
      <c r="B524" s="1" t="n">
        <v>45070.39875</v>
      </c>
      <c r="C524" s="1" t="n">
        <v>46037</v>
      </c>
      <c r="D524" t="inlineStr">
        <is>
          <t>GOTLANDS LÄN</t>
        </is>
      </c>
      <c r="E524" t="inlineStr">
        <is>
          <t>GOTLAND</t>
        </is>
      </c>
      <c r="G524" t="n">
        <v>7.2</v>
      </c>
      <c r="H524" t="n">
        <v>0</v>
      </c>
      <c r="I524" t="n">
        <v>0</v>
      </c>
      <c r="J524" t="n">
        <v>0</v>
      </c>
      <c r="K524" t="n">
        <v>0</v>
      </c>
      <c r="L524" t="n">
        <v>0</v>
      </c>
      <c r="M524" t="n">
        <v>0</v>
      </c>
      <c r="N524" t="n">
        <v>0</v>
      </c>
      <c r="O524" t="n">
        <v>0</v>
      </c>
      <c r="P524" t="n">
        <v>0</v>
      </c>
      <c r="Q524" t="n">
        <v>0</v>
      </c>
      <c r="R524" s="2" t="inlineStr"/>
    </row>
    <row r="525" ht="15" customHeight="1">
      <c r="A525" t="inlineStr">
        <is>
          <t>A 12322-2025</t>
        </is>
      </c>
      <c r="B525" s="1" t="n">
        <v>45730</v>
      </c>
      <c r="C525" s="1" t="n">
        <v>46037</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14797-2024</t>
        </is>
      </c>
      <c r="B526" s="1" t="n">
        <v>45397.87030092593</v>
      </c>
      <c r="C526" s="1" t="n">
        <v>46037</v>
      </c>
      <c r="D526" t="inlineStr">
        <is>
          <t>GOTLANDS LÄN</t>
        </is>
      </c>
      <c r="E526" t="inlineStr">
        <is>
          <t>GOTLAND</t>
        </is>
      </c>
      <c r="G526" t="n">
        <v>8.1</v>
      </c>
      <c r="H526" t="n">
        <v>0</v>
      </c>
      <c r="I526" t="n">
        <v>0</v>
      </c>
      <c r="J526" t="n">
        <v>0</v>
      </c>
      <c r="K526" t="n">
        <v>0</v>
      </c>
      <c r="L526" t="n">
        <v>0</v>
      </c>
      <c r="M526" t="n">
        <v>0</v>
      </c>
      <c r="N526" t="n">
        <v>0</v>
      </c>
      <c r="O526" t="n">
        <v>0</v>
      </c>
      <c r="P526" t="n">
        <v>0</v>
      </c>
      <c r="Q526" t="n">
        <v>0</v>
      </c>
      <c r="R526" s="2" t="inlineStr"/>
    </row>
    <row r="527" ht="15" customHeight="1">
      <c r="A527" t="inlineStr">
        <is>
          <t>A 999-2024</t>
        </is>
      </c>
      <c r="B527" s="1" t="n">
        <v>45301</v>
      </c>
      <c r="C527" s="1" t="n">
        <v>46037</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61596-2023</t>
        </is>
      </c>
      <c r="B528" s="1" t="n">
        <v>45265</v>
      </c>
      <c r="C528" s="1" t="n">
        <v>46037</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14638-2025</t>
        </is>
      </c>
      <c r="B529" s="1" t="n">
        <v>45742</v>
      </c>
      <c r="C529" s="1" t="n">
        <v>46037</v>
      </c>
      <c r="D529" t="inlineStr">
        <is>
          <t>GOTLANDS LÄN</t>
        </is>
      </c>
      <c r="E529" t="inlineStr">
        <is>
          <t>GOTLAND</t>
        </is>
      </c>
      <c r="G529" t="n">
        <v>13.4</v>
      </c>
      <c r="H529" t="n">
        <v>0</v>
      </c>
      <c r="I529" t="n">
        <v>0</v>
      </c>
      <c r="J529" t="n">
        <v>0</v>
      </c>
      <c r="K529" t="n">
        <v>0</v>
      </c>
      <c r="L529" t="n">
        <v>0</v>
      </c>
      <c r="M529" t="n">
        <v>0</v>
      </c>
      <c r="N529" t="n">
        <v>0</v>
      </c>
      <c r="O529" t="n">
        <v>0</v>
      </c>
      <c r="P529" t="n">
        <v>0</v>
      </c>
      <c r="Q529" t="n">
        <v>0</v>
      </c>
      <c r="R529" s="2" t="inlineStr"/>
    </row>
    <row r="530" ht="15" customHeight="1">
      <c r="A530" t="inlineStr">
        <is>
          <t>A 60675-2021</t>
        </is>
      </c>
      <c r="B530" s="1" t="n">
        <v>44496.64855324074</v>
      </c>
      <c r="C530" s="1" t="n">
        <v>46037</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37728-2024</t>
        </is>
      </c>
      <c r="B531" s="1" t="n">
        <v>45541</v>
      </c>
      <c r="C531" s="1" t="n">
        <v>46037</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22287-2022</t>
        </is>
      </c>
      <c r="B532" s="1" t="n">
        <v>44712</v>
      </c>
      <c r="C532" s="1" t="n">
        <v>46037</v>
      </c>
      <c r="D532" t="inlineStr">
        <is>
          <t>GOTLANDS LÄN</t>
        </is>
      </c>
      <c r="E532" t="inlineStr">
        <is>
          <t>GOTLAND</t>
        </is>
      </c>
      <c r="G532" t="n">
        <v>6.1</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46037</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65249-2023</t>
        </is>
      </c>
      <c r="B534" s="1" t="n">
        <v>45290</v>
      </c>
      <c r="C534" s="1" t="n">
        <v>46037</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13910-2025</t>
        </is>
      </c>
      <c r="B535" s="1" t="n">
        <v>45737</v>
      </c>
      <c r="C535" s="1" t="n">
        <v>46037</v>
      </c>
      <c r="D535" t="inlineStr">
        <is>
          <t>GOTLANDS LÄN</t>
        </is>
      </c>
      <c r="E535" t="inlineStr">
        <is>
          <t>GOTLAND</t>
        </is>
      </c>
      <c r="F535" t="inlineStr">
        <is>
          <t>Kommuner</t>
        </is>
      </c>
      <c r="G535" t="n">
        <v>3.2</v>
      </c>
      <c r="H535" t="n">
        <v>0</v>
      </c>
      <c r="I535" t="n">
        <v>0</v>
      </c>
      <c r="J535" t="n">
        <v>0</v>
      </c>
      <c r="K535" t="n">
        <v>0</v>
      </c>
      <c r="L535" t="n">
        <v>0</v>
      </c>
      <c r="M535" t="n">
        <v>0</v>
      </c>
      <c r="N535" t="n">
        <v>0</v>
      </c>
      <c r="O535" t="n">
        <v>0</v>
      </c>
      <c r="P535" t="n">
        <v>0</v>
      </c>
      <c r="Q535" t="n">
        <v>0</v>
      </c>
      <c r="R535" s="2" t="inlineStr"/>
    </row>
    <row r="536" ht="15" customHeight="1">
      <c r="A536" t="inlineStr">
        <is>
          <t>A 17780-2022</t>
        </is>
      </c>
      <c r="B536" s="1" t="n">
        <v>44682.82622685185</v>
      </c>
      <c r="C536" s="1" t="n">
        <v>46037</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59986-2022</t>
        </is>
      </c>
      <c r="B537" s="1" t="n">
        <v>44909</v>
      </c>
      <c r="C537" s="1" t="n">
        <v>46037</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14536-2021</t>
        </is>
      </c>
      <c r="B538" s="1" t="n">
        <v>44279.66168981481</v>
      </c>
      <c r="C538" s="1" t="n">
        <v>46037</v>
      </c>
      <c r="D538" t="inlineStr">
        <is>
          <t>GOTLANDS LÄN</t>
        </is>
      </c>
      <c r="E538" t="inlineStr">
        <is>
          <t>GOTLAND</t>
        </is>
      </c>
      <c r="G538" t="n">
        <v>8.5</v>
      </c>
      <c r="H538" t="n">
        <v>0</v>
      </c>
      <c r="I538" t="n">
        <v>0</v>
      </c>
      <c r="J538" t="n">
        <v>0</v>
      </c>
      <c r="K538" t="n">
        <v>0</v>
      </c>
      <c r="L538" t="n">
        <v>0</v>
      </c>
      <c r="M538" t="n">
        <v>0</v>
      </c>
      <c r="N538" t="n">
        <v>0</v>
      </c>
      <c r="O538" t="n">
        <v>0</v>
      </c>
      <c r="P538" t="n">
        <v>0</v>
      </c>
      <c r="Q538" t="n">
        <v>0</v>
      </c>
      <c r="R538" s="2" t="inlineStr"/>
    </row>
    <row r="539" ht="15" customHeight="1">
      <c r="A539" t="inlineStr">
        <is>
          <t>A 11874-2024</t>
        </is>
      </c>
      <c r="B539" s="1" t="n">
        <v>45376.46956018519</v>
      </c>
      <c r="C539" s="1" t="n">
        <v>46037</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42041-2024</t>
        </is>
      </c>
      <c r="B540" s="1" t="n">
        <v>45561</v>
      </c>
      <c r="C540" s="1" t="n">
        <v>46037</v>
      </c>
      <c r="D540" t="inlineStr">
        <is>
          <t>GOTLANDS LÄN</t>
        </is>
      </c>
      <c r="E540" t="inlineStr">
        <is>
          <t>GOTLAND</t>
        </is>
      </c>
      <c r="G540" t="n">
        <v>3.2</v>
      </c>
      <c r="H540" t="n">
        <v>0</v>
      </c>
      <c r="I540" t="n">
        <v>0</v>
      </c>
      <c r="J540" t="n">
        <v>0</v>
      </c>
      <c r="K540" t="n">
        <v>0</v>
      </c>
      <c r="L540" t="n">
        <v>0</v>
      </c>
      <c r="M540" t="n">
        <v>0</v>
      </c>
      <c r="N540" t="n">
        <v>0</v>
      </c>
      <c r="O540" t="n">
        <v>0</v>
      </c>
      <c r="P540" t="n">
        <v>0</v>
      </c>
      <c r="Q540" t="n">
        <v>0</v>
      </c>
      <c r="R540" s="2" t="inlineStr"/>
    </row>
    <row r="541" ht="15" customHeight="1">
      <c r="A541" t="inlineStr">
        <is>
          <t>A 61694-2023</t>
        </is>
      </c>
      <c r="B541" s="1" t="n">
        <v>45264</v>
      </c>
      <c r="C541" s="1" t="n">
        <v>46037</v>
      </c>
      <c r="D541" t="inlineStr">
        <is>
          <t>GOTLANDS LÄN</t>
        </is>
      </c>
      <c r="E541" t="inlineStr">
        <is>
          <t>GOTLAND</t>
        </is>
      </c>
      <c r="G541" t="n">
        <v>4.6</v>
      </c>
      <c r="H541" t="n">
        <v>0</v>
      </c>
      <c r="I541" t="n">
        <v>0</v>
      </c>
      <c r="J541" t="n">
        <v>0</v>
      </c>
      <c r="K541" t="n">
        <v>0</v>
      </c>
      <c r="L541" t="n">
        <v>0</v>
      </c>
      <c r="M541" t="n">
        <v>0</v>
      </c>
      <c r="N541" t="n">
        <v>0</v>
      </c>
      <c r="O541" t="n">
        <v>0</v>
      </c>
      <c r="P541" t="n">
        <v>0</v>
      </c>
      <c r="Q541" t="n">
        <v>0</v>
      </c>
      <c r="R541" s="2" t="inlineStr"/>
    </row>
    <row r="542" ht="15" customHeight="1">
      <c r="A542" t="inlineStr">
        <is>
          <t>A 64555-2023</t>
        </is>
      </c>
      <c r="B542" s="1" t="n">
        <v>45281</v>
      </c>
      <c r="C542" s="1" t="n">
        <v>46037</v>
      </c>
      <c r="D542" t="inlineStr">
        <is>
          <t>GOTLANDS LÄN</t>
        </is>
      </c>
      <c r="E542" t="inlineStr">
        <is>
          <t>GOTLAND</t>
        </is>
      </c>
      <c r="G542" t="n">
        <v>3.5</v>
      </c>
      <c r="H542" t="n">
        <v>0</v>
      </c>
      <c r="I542" t="n">
        <v>0</v>
      </c>
      <c r="J542" t="n">
        <v>0</v>
      </c>
      <c r="K542" t="n">
        <v>0</v>
      </c>
      <c r="L542" t="n">
        <v>0</v>
      </c>
      <c r="M542" t="n">
        <v>0</v>
      </c>
      <c r="N542" t="n">
        <v>0</v>
      </c>
      <c r="O542" t="n">
        <v>0</v>
      </c>
      <c r="P542" t="n">
        <v>0</v>
      </c>
      <c r="Q542" t="n">
        <v>0</v>
      </c>
      <c r="R542" s="2" t="inlineStr"/>
    </row>
    <row r="543" ht="15" customHeight="1">
      <c r="A543" t="inlineStr">
        <is>
          <t>A 64831-2023</t>
        </is>
      </c>
      <c r="B543" s="1" t="n">
        <v>45282.44924768519</v>
      </c>
      <c r="C543" s="1" t="n">
        <v>46037</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14804-2021</t>
        </is>
      </c>
      <c r="B544" s="1" t="n">
        <v>44280</v>
      </c>
      <c r="C544" s="1" t="n">
        <v>46037</v>
      </c>
      <c r="D544" t="inlineStr">
        <is>
          <t>GOTLANDS LÄN</t>
        </is>
      </c>
      <c r="E544" t="inlineStr">
        <is>
          <t>GOTLAND</t>
        </is>
      </c>
      <c r="G544" t="n">
        <v>2.2</v>
      </c>
      <c r="H544" t="n">
        <v>0</v>
      </c>
      <c r="I544" t="n">
        <v>0</v>
      </c>
      <c r="J544" t="n">
        <v>0</v>
      </c>
      <c r="K544" t="n">
        <v>0</v>
      </c>
      <c r="L544" t="n">
        <v>0</v>
      </c>
      <c r="M544" t="n">
        <v>0</v>
      </c>
      <c r="N544" t="n">
        <v>0</v>
      </c>
      <c r="O544" t="n">
        <v>0</v>
      </c>
      <c r="P544" t="n">
        <v>0</v>
      </c>
      <c r="Q544" t="n">
        <v>0</v>
      </c>
      <c r="R544" s="2" t="inlineStr"/>
    </row>
    <row r="545" ht="15" customHeight="1">
      <c r="A545" t="inlineStr">
        <is>
          <t>A 999-2023</t>
        </is>
      </c>
      <c r="B545" s="1" t="n">
        <v>44935</v>
      </c>
      <c r="C545" s="1" t="n">
        <v>46037</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27602-2023</t>
        </is>
      </c>
      <c r="B546" s="1" t="n">
        <v>45097</v>
      </c>
      <c r="C546" s="1" t="n">
        <v>46037</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4377-2023</t>
        </is>
      </c>
      <c r="B547" s="1" t="n">
        <v>44955.5502662037</v>
      </c>
      <c r="C547" s="1" t="n">
        <v>46037</v>
      </c>
      <c r="D547" t="inlineStr">
        <is>
          <t>GOTLANDS LÄN</t>
        </is>
      </c>
      <c r="E547" t="inlineStr">
        <is>
          <t>GOTLAND</t>
        </is>
      </c>
      <c r="F547" t="inlineStr">
        <is>
          <t>Kyrkan</t>
        </is>
      </c>
      <c r="G547" t="n">
        <v>0.6</v>
      </c>
      <c r="H547" t="n">
        <v>0</v>
      </c>
      <c r="I547" t="n">
        <v>0</v>
      </c>
      <c r="J547" t="n">
        <v>0</v>
      </c>
      <c r="K547" t="n">
        <v>0</v>
      </c>
      <c r="L547" t="n">
        <v>0</v>
      </c>
      <c r="M547" t="n">
        <v>0</v>
      </c>
      <c r="N547" t="n">
        <v>0</v>
      </c>
      <c r="O547" t="n">
        <v>0</v>
      </c>
      <c r="P547" t="n">
        <v>0</v>
      </c>
      <c r="Q547" t="n">
        <v>0</v>
      </c>
      <c r="R547" s="2" t="inlineStr"/>
    </row>
    <row r="548" ht="15" customHeight="1">
      <c r="A548" t="inlineStr">
        <is>
          <t>A 4387-2023</t>
        </is>
      </c>
      <c r="B548" s="1" t="n">
        <v>44955.73359953704</v>
      </c>
      <c r="C548" s="1" t="n">
        <v>46037</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39479-2022</t>
        </is>
      </c>
      <c r="B549" s="1" t="n">
        <v>44818</v>
      </c>
      <c r="C549" s="1" t="n">
        <v>46037</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51963-2024</t>
        </is>
      </c>
      <c r="B550" s="1" t="n">
        <v>45607.64833333333</v>
      </c>
      <c r="C550" s="1" t="n">
        <v>46037</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46037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46389-2021</t>
        </is>
      </c>
      <c r="B552" s="1" t="n">
        <v>44443</v>
      </c>
      <c r="C552" s="1" t="n">
        <v>46037</v>
      </c>
      <c r="D552" t="inlineStr">
        <is>
          <t>GOTLANDS LÄN</t>
        </is>
      </c>
      <c r="E552" t="inlineStr">
        <is>
          <t>GOTLAND</t>
        </is>
      </c>
      <c r="F552" t="inlineStr">
        <is>
          <t>Kyrkan</t>
        </is>
      </c>
      <c r="G552" t="n">
        <v>2.1</v>
      </c>
      <c r="H552" t="n">
        <v>0</v>
      </c>
      <c r="I552" t="n">
        <v>0</v>
      </c>
      <c r="J552" t="n">
        <v>0</v>
      </c>
      <c r="K552" t="n">
        <v>0</v>
      </c>
      <c r="L552" t="n">
        <v>0</v>
      </c>
      <c r="M552" t="n">
        <v>0</v>
      </c>
      <c r="N552" t="n">
        <v>0</v>
      </c>
      <c r="O552" t="n">
        <v>0</v>
      </c>
      <c r="P552" t="n">
        <v>0</v>
      </c>
      <c r="Q552" t="n">
        <v>0</v>
      </c>
      <c r="R552" s="2" t="inlineStr"/>
    </row>
    <row r="553" ht="15" customHeight="1">
      <c r="A553" t="inlineStr">
        <is>
          <t>A 26810-2021</t>
        </is>
      </c>
      <c r="B553" s="1" t="n">
        <v>44349.55087962963</v>
      </c>
      <c r="C553" s="1" t="n">
        <v>46037</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5923-2023</t>
        </is>
      </c>
      <c r="B554" s="1" t="n">
        <v>44963.69503472222</v>
      </c>
      <c r="C554" s="1" t="n">
        <v>46037</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33853-2024</t>
        </is>
      </c>
      <c r="B555" s="1" t="n">
        <v>45520.64298611111</v>
      </c>
      <c r="C555" s="1" t="n">
        <v>46037</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18918-2025</t>
        </is>
      </c>
      <c r="B556" s="1" t="n">
        <v>45764</v>
      </c>
      <c r="C556" s="1" t="n">
        <v>46037</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46037</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10655-2023</t>
        </is>
      </c>
      <c r="B558" s="1" t="n">
        <v>44988.49543981482</v>
      </c>
      <c r="C558" s="1" t="n">
        <v>46037</v>
      </c>
      <c r="D558" t="inlineStr">
        <is>
          <t>GOTLANDS LÄN</t>
        </is>
      </c>
      <c r="E558" t="inlineStr">
        <is>
          <t>GOTLAND</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2719-2023</t>
        </is>
      </c>
      <c r="B559" s="1" t="n">
        <v>44944.55361111111</v>
      </c>
      <c r="C559" s="1" t="n">
        <v>46037</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26891-2024</t>
        </is>
      </c>
      <c r="B560" s="1" t="n">
        <v>45470.65540509259</v>
      </c>
      <c r="C560" s="1" t="n">
        <v>46037</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42007-2023</t>
        </is>
      </c>
      <c r="B561" s="1" t="n">
        <v>45177</v>
      </c>
      <c r="C561" s="1" t="n">
        <v>46037</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9887-2025</t>
        </is>
      </c>
      <c r="B562" s="1" t="n">
        <v>45716</v>
      </c>
      <c r="C562" s="1" t="n">
        <v>46037</v>
      </c>
      <c r="D562" t="inlineStr">
        <is>
          <t>GOTLANDS LÄN</t>
        </is>
      </c>
      <c r="E562" t="inlineStr">
        <is>
          <t>GOTLAND</t>
        </is>
      </c>
      <c r="G562" t="n">
        <v>7.5</v>
      </c>
      <c r="H562" t="n">
        <v>0</v>
      </c>
      <c r="I562" t="n">
        <v>0</v>
      </c>
      <c r="J562" t="n">
        <v>0</v>
      </c>
      <c r="K562" t="n">
        <v>0</v>
      </c>
      <c r="L562" t="n">
        <v>0</v>
      </c>
      <c r="M562" t="n">
        <v>0</v>
      </c>
      <c r="N562" t="n">
        <v>0</v>
      </c>
      <c r="O562" t="n">
        <v>0</v>
      </c>
      <c r="P562" t="n">
        <v>0</v>
      </c>
      <c r="Q562" t="n">
        <v>0</v>
      </c>
      <c r="R562" s="2" t="inlineStr"/>
    </row>
    <row r="563" ht="15" customHeight="1">
      <c r="A563" t="inlineStr">
        <is>
          <t>A 38165-2023</t>
        </is>
      </c>
      <c r="B563" s="1" t="n">
        <v>45161</v>
      </c>
      <c r="C563" s="1" t="n">
        <v>46037</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27596-2023</t>
        </is>
      </c>
      <c r="B564" s="1" t="n">
        <v>45097</v>
      </c>
      <c r="C564" s="1" t="n">
        <v>46037</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24825-2024</t>
        </is>
      </c>
      <c r="B565" s="1" t="n">
        <v>45461</v>
      </c>
      <c r="C565" s="1" t="n">
        <v>46037</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6696-2023</t>
        </is>
      </c>
      <c r="B566" s="1" t="n">
        <v>44966.66425925926</v>
      </c>
      <c r="C566" s="1" t="n">
        <v>46037</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21247-2022</t>
        </is>
      </c>
      <c r="B567" s="1" t="n">
        <v>44705.38832175926</v>
      </c>
      <c r="C567" s="1" t="n">
        <v>46037</v>
      </c>
      <c r="D567" t="inlineStr">
        <is>
          <t>GOTLANDS LÄN</t>
        </is>
      </c>
      <c r="E567" t="inlineStr">
        <is>
          <t>GOTLAND</t>
        </is>
      </c>
      <c r="G567" t="n">
        <v>16.2</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44929.87122685185</v>
      </c>
      <c r="C568" s="1" t="n">
        <v>46037</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44944.54896990741</v>
      </c>
      <c r="C569" s="1" t="n">
        <v>46037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4421-2024</t>
        </is>
      </c>
      <c r="B570" s="1" t="n">
        <v>45327.45173611111</v>
      </c>
      <c r="C570" s="1" t="n">
        <v>46037</v>
      </c>
      <c r="D570" t="inlineStr">
        <is>
          <t>GOTLANDS LÄN</t>
        </is>
      </c>
      <c r="E570" t="inlineStr">
        <is>
          <t>GOTLAND</t>
        </is>
      </c>
      <c r="G570" t="n">
        <v>5.1</v>
      </c>
      <c r="H570" t="n">
        <v>0</v>
      </c>
      <c r="I570" t="n">
        <v>0</v>
      </c>
      <c r="J570" t="n">
        <v>0</v>
      </c>
      <c r="K570" t="n">
        <v>0</v>
      </c>
      <c r="L570" t="n">
        <v>0</v>
      </c>
      <c r="M570" t="n">
        <v>0</v>
      </c>
      <c r="N570" t="n">
        <v>0</v>
      </c>
      <c r="O570" t="n">
        <v>0</v>
      </c>
      <c r="P570" t="n">
        <v>0</v>
      </c>
      <c r="Q570" t="n">
        <v>0</v>
      </c>
      <c r="R570" s="2" t="inlineStr"/>
    </row>
    <row r="571" ht="15" customHeight="1">
      <c r="A571" t="inlineStr">
        <is>
          <t>A 51782-2023</t>
        </is>
      </c>
      <c r="B571" s="1" t="n">
        <v>45222.80952546297</v>
      </c>
      <c r="C571" s="1" t="n">
        <v>46037</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54268-2022</t>
        </is>
      </c>
      <c r="B572" s="1" t="n">
        <v>44882</v>
      </c>
      <c r="C572" s="1" t="n">
        <v>46037</v>
      </c>
      <c r="D572" t="inlineStr">
        <is>
          <t>GOTLANDS LÄN</t>
        </is>
      </c>
      <c r="E572" t="inlineStr">
        <is>
          <t>GOTLAND</t>
        </is>
      </c>
      <c r="G572" t="n">
        <v>2.7</v>
      </c>
      <c r="H572" t="n">
        <v>0</v>
      </c>
      <c r="I572" t="n">
        <v>0</v>
      </c>
      <c r="J572" t="n">
        <v>0</v>
      </c>
      <c r="K572" t="n">
        <v>0</v>
      </c>
      <c r="L572" t="n">
        <v>0</v>
      </c>
      <c r="M572" t="n">
        <v>0</v>
      </c>
      <c r="N572" t="n">
        <v>0</v>
      </c>
      <c r="O572" t="n">
        <v>0</v>
      </c>
      <c r="P572" t="n">
        <v>0</v>
      </c>
      <c r="Q572" t="n">
        <v>0</v>
      </c>
      <c r="R572" s="2" t="inlineStr"/>
    </row>
    <row r="573" ht="15" customHeight="1">
      <c r="A573" t="inlineStr">
        <is>
          <t>A 57534-2022</t>
        </is>
      </c>
      <c r="B573" s="1" t="n">
        <v>44896</v>
      </c>
      <c r="C573" s="1" t="n">
        <v>46037</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25866-2022</t>
        </is>
      </c>
      <c r="B574" s="1" t="n">
        <v>44733</v>
      </c>
      <c r="C574" s="1" t="n">
        <v>46037</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43229-2023</t>
        </is>
      </c>
      <c r="B575" s="1" t="n">
        <v>45183.46704861111</v>
      </c>
      <c r="C575" s="1" t="n">
        <v>46037</v>
      </c>
      <c r="D575" t="inlineStr">
        <is>
          <t>GOTLANDS LÄN</t>
        </is>
      </c>
      <c r="E575" t="inlineStr">
        <is>
          <t>GOTLAND</t>
        </is>
      </c>
      <c r="G575" t="n">
        <v>7.1</v>
      </c>
      <c r="H575" t="n">
        <v>0</v>
      </c>
      <c r="I575" t="n">
        <v>0</v>
      </c>
      <c r="J575" t="n">
        <v>0</v>
      </c>
      <c r="K575" t="n">
        <v>0</v>
      </c>
      <c r="L575" t="n">
        <v>0</v>
      </c>
      <c r="M575" t="n">
        <v>0</v>
      </c>
      <c r="N575" t="n">
        <v>0</v>
      </c>
      <c r="O575" t="n">
        <v>0</v>
      </c>
      <c r="P575" t="n">
        <v>0</v>
      </c>
      <c r="Q575" t="n">
        <v>0</v>
      </c>
      <c r="R575" s="2" t="inlineStr"/>
    </row>
    <row r="576" ht="15" customHeight="1">
      <c r="A576" t="inlineStr">
        <is>
          <t>A 1175-2025</t>
        </is>
      </c>
      <c r="B576" s="1" t="n">
        <v>45667.34449074074</v>
      </c>
      <c r="C576" s="1" t="n">
        <v>46037</v>
      </c>
      <c r="D576" t="inlineStr">
        <is>
          <t>GOTLANDS LÄN</t>
        </is>
      </c>
      <c r="E576" t="inlineStr">
        <is>
          <t>GOTLAND</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27095-2022</t>
        </is>
      </c>
      <c r="B577" s="1" t="n">
        <v>44741</v>
      </c>
      <c r="C577" s="1" t="n">
        <v>46037</v>
      </c>
      <c r="D577" t="inlineStr">
        <is>
          <t>GOTLANDS LÄN</t>
        </is>
      </c>
      <c r="E577" t="inlineStr">
        <is>
          <t>GOTLAND</t>
        </is>
      </c>
      <c r="F577" t="inlineStr">
        <is>
          <t>Övriga Aktiebolag</t>
        </is>
      </c>
      <c r="G577" t="n">
        <v>2.9</v>
      </c>
      <c r="H577" t="n">
        <v>0</v>
      </c>
      <c r="I577" t="n">
        <v>0</v>
      </c>
      <c r="J577" t="n">
        <v>0</v>
      </c>
      <c r="K577" t="n">
        <v>0</v>
      </c>
      <c r="L577" t="n">
        <v>0</v>
      </c>
      <c r="M577" t="n">
        <v>0</v>
      </c>
      <c r="N577" t="n">
        <v>0</v>
      </c>
      <c r="O577" t="n">
        <v>0</v>
      </c>
      <c r="P577" t="n">
        <v>0</v>
      </c>
      <c r="Q577" t="n">
        <v>0</v>
      </c>
      <c r="R577" s="2" t="inlineStr"/>
    </row>
    <row r="578" ht="15" customHeight="1">
      <c r="A578" t="inlineStr">
        <is>
          <t>A 22899-2023</t>
        </is>
      </c>
      <c r="B578" s="1" t="n">
        <v>45072</v>
      </c>
      <c r="C578" s="1" t="n">
        <v>46037</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46037</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34407-2023</t>
        </is>
      </c>
      <c r="B580" s="1" t="n">
        <v>45132</v>
      </c>
      <c r="C580" s="1" t="n">
        <v>46037</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11013-2024</t>
        </is>
      </c>
      <c r="B581" s="1" t="n">
        <v>45370</v>
      </c>
      <c r="C581" s="1" t="n">
        <v>46037</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27694-2024</t>
        </is>
      </c>
      <c r="B582" s="1" t="n">
        <v>45475</v>
      </c>
      <c r="C582" s="1" t="n">
        <v>46037</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15083-2025</t>
        </is>
      </c>
      <c r="B583" s="1" t="n">
        <v>45743</v>
      </c>
      <c r="C583" s="1" t="n">
        <v>46037</v>
      </c>
      <c r="D583" t="inlineStr">
        <is>
          <t>GOTLANDS LÄN</t>
        </is>
      </c>
      <c r="E583" t="inlineStr">
        <is>
          <t>GOTLAND</t>
        </is>
      </c>
      <c r="G583" t="n">
        <v>2.3</v>
      </c>
      <c r="H583" t="n">
        <v>0</v>
      </c>
      <c r="I583" t="n">
        <v>0</v>
      </c>
      <c r="J583" t="n">
        <v>0</v>
      </c>
      <c r="K583" t="n">
        <v>0</v>
      </c>
      <c r="L583" t="n">
        <v>0</v>
      </c>
      <c r="M583" t="n">
        <v>0</v>
      </c>
      <c r="N583" t="n">
        <v>0</v>
      </c>
      <c r="O583" t="n">
        <v>0</v>
      </c>
      <c r="P583" t="n">
        <v>0</v>
      </c>
      <c r="Q583" t="n">
        <v>0</v>
      </c>
      <c r="R583" s="2" t="inlineStr"/>
    </row>
    <row r="584" ht="15" customHeight="1">
      <c r="A584" t="inlineStr">
        <is>
          <t>A 13037-2025</t>
        </is>
      </c>
      <c r="B584" s="1" t="n">
        <v>45734</v>
      </c>
      <c r="C584" s="1" t="n">
        <v>46037</v>
      </c>
      <c r="D584" t="inlineStr">
        <is>
          <t>GOTLANDS LÄN</t>
        </is>
      </c>
      <c r="E584" t="inlineStr">
        <is>
          <t>GOTLAND</t>
        </is>
      </c>
      <c r="G584" t="n">
        <v>9.5</v>
      </c>
      <c r="H584" t="n">
        <v>0</v>
      </c>
      <c r="I584" t="n">
        <v>0</v>
      </c>
      <c r="J584" t="n">
        <v>0</v>
      </c>
      <c r="K584" t="n">
        <v>0</v>
      </c>
      <c r="L584" t="n">
        <v>0</v>
      </c>
      <c r="M584" t="n">
        <v>0</v>
      </c>
      <c r="N584" t="n">
        <v>0</v>
      </c>
      <c r="O584" t="n">
        <v>0</v>
      </c>
      <c r="P584" t="n">
        <v>0</v>
      </c>
      <c r="Q584" t="n">
        <v>0</v>
      </c>
      <c r="R584" s="2" t="inlineStr"/>
    </row>
    <row r="585" ht="15" customHeight="1">
      <c r="A585" t="inlineStr">
        <is>
          <t>A 458-2023</t>
        </is>
      </c>
      <c r="B585" s="1" t="n">
        <v>44929</v>
      </c>
      <c r="C585" s="1" t="n">
        <v>46037</v>
      </c>
      <c r="D585" t="inlineStr">
        <is>
          <t>GOTLANDS LÄN</t>
        </is>
      </c>
      <c r="E585" t="inlineStr">
        <is>
          <t>GOTLAND</t>
        </is>
      </c>
      <c r="G585" t="n">
        <v>3.6</v>
      </c>
      <c r="H585" t="n">
        <v>0</v>
      </c>
      <c r="I585" t="n">
        <v>0</v>
      </c>
      <c r="J585" t="n">
        <v>0</v>
      </c>
      <c r="K585" t="n">
        <v>0</v>
      </c>
      <c r="L585" t="n">
        <v>0</v>
      </c>
      <c r="M585" t="n">
        <v>0</v>
      </c>
      <c r="N585" t="n">
        <v>0</v>
      </c>
      <c r="O585" t="n">
        <v>0</v>
      </c>
      <c r="P585" t="n">
        <v>0</v>
      </c>
      <c r="Q585" t="n">
        <v>0</v>
      </c>
      <c r="R585" s="2" t="inlineStr"/>
    </row>
    <row r="586" ht="15" customHeight="1">
      <c r="A586" t="inlineStr">
        <is>
          <t>A 44228-2022</t>
        </is>
      </c>
      <c r="B586" s="1" t="n">
        <v>44839.51599537037</v>
      </c>
      <c r="C586" s="1" t="n">
        <v>46037</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58132-2023</t>
        </is>
      </c>
      <c r="B587" s="1" t="n">
        <v>45250</v>
      </c>
      <c r="C587" s="1" t="n">
        <v>46037</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49884-2023</t>
        </is>
      </c>
      <c r="B588" s="1" t="n">
        <v>45213</v>
      </c>
      <c r="C588" s="1" t="n">
        <v>46037</v>
      </c>
      <c r="D588" t="inlineStr">
        <is>
          <t>GOTLANDS LÄN</t>
        </is>
      </c>
      <c r="E588" t="inlineStr">
        <is>
          <t>GOTLAND</t>
        </is>
      </c>
      <c r="G588" t="n">
        <v>8.9</v>
      </c>
      <c r="H588" t="n">
        <v>0</v>
      </c>
      <c r="I588" t="n">
        <v>0</v>
      </c>
      <c r="J588" t="n">
        <v>0</v>
      </c>
      <c r="K588" t="n">
        <v>0</v>
      </c>
      <c r="L588" t="n">
        <v>0</v>
      </c>
      <c r="M588" t="n">
        <v>0</v>
      </c>
      <c r="N588" t="n">
        <v>0</v>
      </c>
      <c r="O588" t="n">
        <v>0</v>
      </c>
      <c r="P588" t="n">
        <v>0</v>
      </c>
      <c r="Q588" t="n">
        <v>0</v>
      </c>
      <c r="R588" s="2" t="inlineStr"/>
    </row>
    <row r="589" ht="15" customHeight="1">
      <c r="A589" t="inlineStr">
        <is>
          <t>A 876-2024</t>
        </is>
      </c>
      <c r="B589" s="1" t="n">
        <v>45301</v>
      </c>
      <c r="C589" s="1" t="n">
        <v>46037</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46037</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28425-2023</t>
        </is>
      </c>
      <c r="B591" s="1" t="n">
        <v>45102</v>
      </c>
      <c r="C591" s="1" t="n">
        <v>46037</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58476-2022</t>
        </is>
      </c>
      <c r="B592" s="1" t="n">
        <v>44902</v>
      </c>
      <c r="C592" s="1" t="n">
        <v>46037</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43200-2023</t>
        </is>
      </c>
      <c r="B593" s="1" t="n">
        <v>45183</v>
      </c>
      <c r="C593" s="1" t="n">
        <v>46037</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43223-2023</t>
        </is>
      </c>
      <c r="B594" s="1" t="n">
        <v>45183.45642361111</v>
      </c>
      <c r="C594" s="1" t="n">
        <v>46037</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46037</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3431-2025</t>
        </is>
      </c>
      <c r="B596" s="1" t="n">
        <v>45680.42935185185</v>
      </c>
      <c r="C596" s="1" t="n">
        <v>46037</v>
      </c>
      <c r="D596" t="inlineStr">
        <is>
          <t>GOTLANDS LÄN</t>
        </is>
      </c>
      <c r="E596" t="inlineStr">
        <is>
          <t>GOTLAND</t>
        </is>
      </c>
      <c r="G596" t="n">
        <v>4.8</v>
      </c>
      <c r="H596" t="n">
        <v>0</v>
      </c>
      <c r="I596" t="n">
        <v>0</v>
      </c>
      <c r="J596" t="n">
        <v>0</v>
      </c>
      <c r="K596" t="n">
        <v>0</v>
      </c>
      <c r="L596" t="n">
        <v>0</v>
      </c>
      <c r="M596" t="n">
        <v>0</v>
      </c>
      <c r="N596" t="n">
        <v>0</v>
      </c>
      <c r="O596" t="n">
        <v>0</v>
      </c>
      <c r="P596" t="n">
        <v>0</v>
      </c>
      <c r="Q596" t="n">
        <v>0</v>
      </c>
      <c r="R596" s="2" t="inlineStr"/>
    </row>
    <row r="597" ht="15" customHeight="1">
      <c r="A597" t="inlineStr">
        <is>
          <t>A 12209-2024</t>
        </is>
      </c>
      <c r="B597" s="1" t="n">
        <v>45378</v>
      </c>
      <c r="C597" s="1" t="n">
        <v>46037</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12210-2024</t>
        </is>
      </c>
      <c r="B598" s="1" t="n">
        <v>45378</v>
      </c>
      <c r="C598" s="1" t="n">
        <v>46037</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1364-2025</t>
        </is>
      </c>
      <c r="B599" s="1" t="n">
        <v>45667.63929398148</v>
      </c>
      <c r="C599" s="1" t="n">
        <v>46037</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15042-2025</t>
        </is>
      </c>
      <c r="B600" s="1" t="n">
        <v>45743</v>
      </c>
      <c r="C600" s="1" t="n">
        <v>46037</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2180-2025</t>
        </is>
      </c>
      <c r="B601" s="1" t="n">
        <v>45673</v>
      </c>
      <c r="C601" s="1" t="n">
        <v>46037</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15436-2025</t>
        </is>
      </c>
      <c r="B602" s="1" t="n">
        <v>45747.47462962963</v>
      </c>
      <c r="C602" s="1" t="n">
        <v>46037</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49257-2024</t>
        </is>
      </c>
      <c r="B603" s="1" t="n">
        <v>45595.47627314815</v>
      </c>
      <c r="C603" s="1" t="n">
        <v>46037</v>
      </c>
      <c r="D603" t="inlineStr">
        <is>
          <t>GOTLANDS LÄN</t>
        </is>
      </c>
      <c r="E603" t="inlineStr">
        <is>
          <t>GOTLAND</t>
        </is>
      </c>
      <c r="G603" t="n">
        <v>6.3</v>
      </c>
      <c r="H603" t="n">
        <v>0</v>
      </c>
      <c r="I603" t="n">
        <v>0</v>
      </c>
      <c r="J603" t="n">
        <v>0</v>
      </c>
      <c r="K603" t="n">
        <v>0</v>
      </c>
      <c r="L603" t="n">
        <v>0</v>
      </c>
      <c r="M603" t="n">
        <v>0</v>
      </c>
      <c r="N603" t="n">
        <v>0</v>
      </c>
      <c r="O603" t="n">
        <v>0</v>
      </c>
      <c r="P603" t="n">
        <v>0</v>
      </c>
      <c r="Q603" t="n">
        <v>0</v>
      </c>
      <c r="R603" s="2" t="inlineStr"/>
    </row>
    <row r="604" ht="15" customHeight="1">
      <c r="A604" t="inlineStr">
        <is>
          <t>A 37202-2024</t>
        </is>
      </c>
      <c r="B604" s="1" t="n">
        <v>45539.67310185185</v>
      </c>
      <c r="C604" s="1" t="n">
        <v>46037</v>
      </c>
      <c r="D604" t="inlineStr">
        <is>
          <t>GOTLANDS LÄN</t>
        </is>
      </c>
      <c r="E604" t="inlineStr">
        <is>
          <t>GOTLAND</t>
        </is>
      </c>
      <c r="G604" t="n">
        <v>0.3</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46037</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2774-2024</t>
        </is>
      </c>
      <c r="B606" s="1" t="n">
        <v>45314.62375</v>
      </c>
      <c r="C606" s="1" t="n">
        <v>46037</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60709-2023</t>
        </is>
      </c>
      <c r="B607" s="1" t="n">
        <v>45260</v>
      </c>
      <c r="C607" s="1" t="n">
        <v>46037</v>
      </c>
      <c r="D607" t="inlineStr">
        <is>
          <t>GOTLANDS LÄN</t>
        </is>
      </c>
      <c r="E607" t="inlineStr">
        <is>
          <t>GOTLAND</t>
        </is>
      </c>
      <c r="G607" t="n">
        <v>1.7</v>
      </c>
      <c r="H607" t="n">
        <v>0</v>
      </c>
      <c r="I607" t="n">
        <v>0</v>
      </c>
      <c r="J607" t="n">
        <v>0</v>
      </c>
      <c r="K607" t="n">
        <v>0</v>
      </c>
      <c r="L607" t="n">
        <v>0</v>
      </c>
      <c r="M607" t="n">
        <v>0</v>
      </c>
      <c r="N607" t="n">
        <v>0</v>
      </c>
      <c r="O607" t="n">
        <v>0</v>
      </c>
      <c r="P607" t="n">
        <v>0</v>
      </c>
      <c r="Q607" t="n">
        <v>0</v>
      </c>
      <c r="R607" s="2" t="inlineStr"/>
    </row>
    <row r="608" ht="15" customHeight="1">
      <c r="A608" t="inlineStr">
        <is>
          <t>A 64208-2021</t>
        </is>
      </c>
      <c r="B608" s="1" t="n">
        <v>44510</v>
      </c>
      <c r="C608" s="1" t="n">
        <v>46037</v>
      </c>
      <c r="D608" t="inlineStr">
        <is>
          <t>GOTLANDS LÄN</t>
        </is>
      </c>
      <c r="E608" t="inlineStr">
        <is>
          <t>GOTLAND</t>
        </is>
      </c>
      <c r="G608" t="n">
        <v>4.7</v>
      </c>
      <c r="H608" t="n">
        <v>0</v>
      </c>
      <c r="I608" t="n">
        <v>0</v>
      </c>
      <c r="J608" t="n">
        <v>0</v>
      </c>
      <c r="K608" t="n">
        <v>0</v>
      </c>
      <c r="L608" t="n">
        <v>0</v>
      </c>
      <c r="M608" t="n">
        <v>0</v>
      </c>
      <c r="N608" t="n">
        <v>0</v>
      </c>
      <c r="O608" t="n">
        <v>0</v>
      </c>
      <c r="P608" t="n">
        <v>0</v>
      </c>
      <c r="Q608" t="n">
        <v>0</v>
      </c>
      <c r="R608" s="2" t="inlineStr"/>
    </row>
    <row r="609" ht="15" customHeight="1">
      <c r="A609" t="inlineStr">
        <is>
          <t>A 39764-2022</t>
        </is>
      </c>
      <c r="B609" s="1" t="n">
        <v>44819</v>
      </c>
      <c r="C609" s="1" t="n">
        <v>46037</v>
      </c>
      <c r="D609" t="inlineStr">
        <is>
          <t>GOTLANDS LÄN</t>
        </is>
      </c>
      <c r="E609" t="inlineStr">
        <is>
          <t>GOTLAND</t>
        </is>
      </c>
      <c r="F609" t="inlineStr">
        <is>
          <t>Kyrkan</t>
        </is>
      </c>
      <c r="G609" t="n">
        <v>3.7</v>
      </c>
      <c r="H609" t="n">
        <v>0</v>
      </c>
      <c r="I609" t="n">
        <v>0</v>
      </c>
      <c r="J609" t="n">
        <v>0</v>
      </c>
      <c r="K609" t="n">
        <v>0</v>
      </c>
      <c r="L609" t="n">
        <v>0</v>
      </c>
      <c r="M609" t="n">
        <v>0</v>
      </c>
      <c r="N609" t="n">
        <v>0</v>
      </c>
      <c r="O609" t="n">
        <v>0</v>
      </c>
      <c r="P609" t="n">
        <v>0</v>
      </c>
      <c r="Q609" t="n">
        <v>0</v>
      </c>
      <c r="R609" s="2" t="inlineStr"/>
    </row>
    <row r="610" ht="15" customHeight="1">
      <c r="A610" t="inlineStr">
        <is>
          <t>A 58211-2024</t>
        </is>
      </c>
      <c r="B610" s="1" t="n">
        <v>45632.49292824074</v>
      </c>
      <c r="C610" s="1" t="n">
        <v>46037</v>
      </c>
      <c r="D610" t="inlineStr">
        <is>
          <t>GOTLANDS LÄN</t>
        </is>
      </c>
      <c r="E610" t="inlineStr">
        <is>
          <t>GOTLAND</t>
        </is>
      </c>
      <c r="G610" t="n">
        <v>5.4</v>
      </c>
      <c r="H610" t="n">
        <v>0</v>
      </c>
      <c r="I610" t="n">
        <v>0</v>
      </c>
      <c r="J610" t="n">
        <v>0</v>
      </c>
      <c r="K610" t="n">
        <v>0</v>
      </c>
      <c r="L610" t="n">
        <v>0</v>
      </c>
      <c r="M610" t="n">
        <v>0</v>
      </c>
      <c r="N610" t="n">
        <v>0</v>
      </c>
      <c r="O610" t="n">
        <v>0</v>
      </c>
      <c r="P610" t="n">
        <v>0</v>
      </c>
      <c r="Q610" t="n">
        <v>0</v>
      </c>
      <c r="R610" s="2" t="inlineStr"/>
    </row>
    <row r="611" ht="15" customHeight="1">
      <c r="A611" t="inlineStr">
        <is>
          <t>A 30956-2024</t>
        </is>
      </c>
      <c r="B611" s="1" t="n">
        <v>45499.42527777778</v>
      </c>
      <c r="C611" s="1" t="n">
        <v>46037</v>
      </c>
      <c r="D611" t="inlineStr">
        <is>
          <t>GOTLANDS LÄN</t>
        </is>
      </c>
      <c r="E611" t="inlineStr">
        <is>
          <t>GOTLAND</t>
        </is>
      </c>
      <c r="G611" t="n">
        <v>1.2</v>
      </c>
      <c r="H611" t="n">
        <v>0</v>
      </c>
      <c r="I611" t="n">
        <v>0</v>
      </c>
      <c r="J611" t="n">
        <v>0</v>
      </c>
      <c r="K611" t="n">
        <v>0</v>
      </c>
      <c r="L611" t="n">
        <v>0</v>
      </c>
      <c r="M611" t="n">
        <v>0</v>
      </c>
      <c r="N611" t="n">
        <v>0</v>
      </c>
      <c r="O611" t="n">
        <v>0</v>
      </c>
      <c r="P611" t="n">
        <v>0</v>
      </c>
      <c r="Q611" t="n">
        <v>0</v>
      </c>
      <c r="R611" s="2" t="inlineStr"/>
    </row>
    <row r="612" ht="15" customHeight="1">
      <c r="A612" t="inlineStr">
        <is>
          <t>A 30892-2024</t>
        </is>
      </c>
      <c r="B612" s="1" t="n">
        <v>45491</v>
      </c>
      <c r="C612" s="1" t="n">
        <v>46037</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45013.69365740741</v>
      </c>
      <c r="C613" s="1" t="n">
        <v>46037</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59469-2024</t>
        </is>
      </c>
      <c r="B614" s="1" t="n">
        <v>45638</v>
      </c>
      <c r="C614" s="1" t="n">
        <v>46037</v>
      </c>
      <c r="D614" t="inlineStr">
        <is>
          <t>GOTLANDS LÄN</t>
        </is>
      </c>
      <c r="E614" t="inlineStr">
        <is>
          <t>GOTLAND</t>
        </is>
      </c>
      <c r="G614" t="n">
        <v>0.4</v>
      </c>
      <c r="H614" t="n">
        <v>0</v>
      </c>
      <c r="I614" t="n">
        <v>0</v>
      </c>
      <c r="J614" t="n">
        <v>0</v>
      </c>
      <c r="K614" t="n">
        <v>0</v>
      </c>
      <c r="L614" t="n">
        <v>0</v>
      </c>
      <c r="M614" t="n">
        <v>0</v>
      </c>
      <c r="N614" t="n">
        <v>0</v>
      </c>
      <c r="O614" t="n">
        <v>0</v>
      </c>
      <c r="P614" t="n">
        <v>0</v>
      </c>
      <c r="Q614" t="n">
        <v>0</v>
      </c>
      <c r="R614" s="2" t="inlineStr"/>
    </row>
    <row r="615" ht="15" customHeight="1">
      <c r="A615" t="inlineStr">
        <is>
          <t>A 7858-2025</t>
        </is>
      </c>
      <c r="B615" s="1" t="n">
        <v>45706.68633101852</v>
      </c>
      <c r="C615" s="1" t="n">
        <v>46037</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53935-2024</t>
        </is>
      </c>
      <c r="B616" s="1" t="n">
        <v>45615</v>
      </c>
      <c r="C616" s="1" t="n">
        <v>46037</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18223-2025</t>
        </is>
      </c>
      <c r="B617" s="1" t="n">
        <v>45761</v>
      </c>
      <c r="C617" s="1" t="n">
        <v>46037</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4420-2025</t>
        </is>
      </c>
      <c r="B618" s="1" t="n">
        <v>45686.47157407407</v>
      </c>
      <c r="C618" s="1" t="n">
        <v>46037</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5891-2025</t>
        </is>
      </c>
      <c r="B619" s="1" t="n">
        <v>45695.38327546296</v>
      </c>
      <c r="C619" s="1" t="n">
        <v>46037</v>
      </c>
      <c r="D619" t="inlineStr">
        <is>
          <t>GOTLANDS LÄN</t>
        </is>
      </c>
      <c r="E619" t="inlineStr">
        <is>
          <t>GOTLAND</t>
        </is>
      </c>
      <c r="G619" t="n">
        <v>0.8</v>
      </c>
      <c r="H619" t="n">
        <v>0</v>
      </c>
      <c r="I619" t="n">
        <v>0</v>
      </c>
      <c r="J619" t="n">
        <v>0</v>
      </c>
      <c r="K619" t="n">
        <v>0</v>
      </c>
      <c r="L619" t="n">
        <v>0</v>
      </c>
      <c r="M619" t="n">
        <v>0</v>
      </c>
      <c r="N619" t="n">
        <v>0</v>
      </c>
      <c r="O619" t="n">
        <v>0</v>
      </c>
      <c r="P619" t="n">
        <v>0</v>
      </c>
      <c r="Q619" t="n">
        <v>0</v>
      </c>
      <c r="R619" s="2" t="inlineStr"/>
    </row>
    <row r="620" ht="15" customHeight="1">
      <c r="A620" t="inlineStr">
        <is>
          <t>A 7835-2024</t>
        </is>
      </c>
      <c r="B620" s="1" t="n">
        <v>45349.83138888889</v>
      </c>
      <c r="C620" s="1" t="n">
        <v>46037</v>
      </c>
      <c r="D620" t="inlineStr">
        <is>
          <t>GOTLANDS LÄN</t>
        </is>
      </c>
      <c r="E620" t="inlineStr">
        <is>
          <t>GOTLAND</t>
        </is>
      </c>
      <c r="G620" t="n">
        <v>3.8</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46037</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46037</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46037</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46037</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57356-2023</t>
        </is>
      </c>
      <c r="B625" s="1" t="n">
        <v>45240</v>
      </c>
      <c r="C625" s="1" t="n">
        <v>46037</v>
      </c>
      <c r="D625" t="inlineStr">
        <is>
          <t>GOTLANDS LÄN</t>
        </is>
      </c>
      <c r="E625" t="inlineStr">
        <is>
          <t>GOTLAND</t>
        </is>
      </c>
      <c r="G625" t="n">
        <v>6.4</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46037</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c r="A627" t="inlineStr">
        <is>
          <t>A 28506-2023</t>
        </is>
      </c>
      <c r="B627" s="1" t="n">
        <v>45103</v>
      </c>
      <c r="C627" s="1" t="n">
        <v>46037</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2026-01-15T11:04:34Z</dcterms:created>
  <dcterms:modified xmlns:dcterms="http://purl.org/dc/terms/" xmlns:xsi="http://www.w3.org/2001/XMLSchema-instance" xsi:type="dcterms:W3CDTF">2026-01-15T11:04:35Z</dcterms:modified>
</cp:coreProperties>
</file>