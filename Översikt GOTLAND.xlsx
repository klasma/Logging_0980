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45924</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45924</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45924</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10780-2025</t>
        </is>
      </c>
      <c r="B9" s="1" t="n">
        <v>45722.48222222222</v>
      </c>
      <c r="C9" s="1" t="n">
        <v>45924</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922-2023</t>
        </is>
      </c>
      <c r="B10" s="1" t="n">
        <v>44932</v>
      </c>
      <c r="C10" s="1" t="n">
        <v>45924</v>
      </c>
      <c r="D10" t="inlineStr">
        <is>
          <t>GOTLANDS LÄN</t>
        </is>
      </c>
      <c r="E10" t="inlineStr">
        <is>
          <t>GOTLAND</t>
        </is>
      </c>
      <c r="G10" t="n">
        <v>6.9</v>
      </c>
      <c r="H10" t="n">
        <v>3</v>
      </c>
      <c r="I10" t="n">
        <v>8</v>
      </c>
      <c r="J10" t="n">
        <v>7</v>
      </c>
      <c r="K10" t="n">
        <v>6</v>
      </c>
      <c r="L10" t="n">
        <v>0</v>
      </c>
      <c r="M10" t="n">
        <v>0</v>
      </c>
      <c r="N10" t="n">
        <v>0</v>
      </c>
      <c r="O10" t="n">
        <v>13</v>
      </c>
      <c r="P10" t="n">
        <v>6</v>
      </c>
      <c r="Q10" t="n">
        <v>21</v>
      </c>
      <c r="R10"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0">
        <f>HYPERLINK("https://klasma.github.io/Logging_0980/artfynd/A 922-2023 artfynd.xlsx", "A 922-2023")</f>
        <v/>
      </c>
      <c r="T10">
        <f>HYPERLINK("https://klasma.github.io/Logging_0980/kartor/A 922-2023 karta.png", "A 922-2023")</f>
        <v/>
      </c>
      <c r="V10">
        <f>HYPERLINK("https://klasma.github.io/Logging_0980/klagomål/A 922-2023 FSC-klagomål.docx", "A 922-2023")</f>
        <v/>
      </c>
      <c r="W10">
        <f>HYPERLINK("https://klasma.github.io/Logging_0980/klagomålsmail/A 922-2023 FSC-klagomål mail.docx", "A 922-2023")</f>
        <v/>
      </c>
      <c r="X10">
        <f>HYPERLINK("https://klasma.github.io/Logging_0980/tillsyn/A 922-2023 tillsynsbegäran.docx", "A 922-2023")</f>
        <v/>
      </c>
      <c r="Y10">
        <f>HYPERLINK("https://klasma.github.io/Logging_0980/tillsynsmail/A 922-2023 tillsynsbegäran mail.docx", "A 922-2023")</f>
        <v/>
      </c>
    </row>
    <row r="11" ht="15" customHeight="1">
      <c r="A11" t="inlineStr">
        <is>
          <t>A 569-2023</t>
        </is>
      </c>
      <c r="B11" s="1" t="n">
        <v>44930</v>
      </c>
      <c r="C11" s="1" t="n">
        <v>45924</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45924</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45924</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45924</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45924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45924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45924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45924</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45924</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45924</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45924</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24309-2025</t>
        </is>
      </c>
      <c r="B22" s="1" t="n">
        <v>45797</v>
      </c>
      <c r="C22" s="1" t="n">
        <v>45924</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25779-2022</t>
        </is>
      </c>
      <c r="B23" s="1" t="n">
        <v>44733</v>
      </c>
      <c r="C23" s="1" t="n">
        <v>45924</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33728-2025</t>
        </is>
      </c>
      <c r="B24" s="1" t="n">
        <v>45842.29344907407</v>
      </c>
      <c r="C24" s="1" t="n">
        <v>45924</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45924</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35141-2022</t>
        </is>
      </c>
      <c r="B26" s="1" t="n">
        <v>44797.53318287037</v>
      </c>
      <c r="C26" s="1" t="n">
        <v>45924</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45924</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45924</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445-2023</t>
        </is>
      </c>
      <c r="B29" s="1" t="n">
        <v>44929</v>
      </c>
      <c r="C29" s="1" t="n">
        <v>45924</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45924</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45924</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45924</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30542-2025</t>
        </is>
      </c>
      <c r="B33" s="1" t="n">
        <v>45831</v>
      </c>
      <c r="C33" s="1" t="n">
        <v>45924</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28287-2024</t>
        </is>
      </c>
      <c r="B34" s="1" t="n">
        <v>45477</v>
      </c>
      <c r="C34" s="1" t="n">
        <v>45924</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15850-2025</t>
        </is>
      </c>
      <c r="B35" s="1" t="n">
        <v>45748</v>
      </c>
      <c r="C35" s="1" t="n">
        <v>45924</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11176-2024</t>
        </is>
      </c>
      <c r="B36" s="1" t="n">
        <v>45371</v>
      </c>
      <c r="C36" s="1" t="n">
        <v>45924</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45924</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45924</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15068-2025</t>
        </is>
      </c>
      <c r="B39" s="1" t="n">
        <v>45743</v>
      </c>
      <c r="C39" s="1" t="n">
        <v>45924</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45924</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1719-2025</t>
        </is>
      </c>
      <c r="B41" s="1" t="n">
        <v>45671</v>
      </c>
      <c r="C41" s="1" t="n">
        <v>45924</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45924</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33153-2024</t>
        </is>
      </c>
      <c r="B43" s="1" t="n">
        <v>45518</v>
      </c>
      <c r="C43" s="1" t="n">
        <v>45924</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45924</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22404-2024</t>
        </is>
      </c>
      <c r="B45" s="1" t="n">
        <v>45446</v>
      </c>
      <c r="C45" s="1" t="n">
        <v>45924</v>
      </c>
      <c r="D45" t="inlineStr">
        <is>
          <t>GOTLANDS LÄN</t>
        </is>
      </c>
      <c r="E45" t="inlineStr">
        <is>
          <t>GOTLAND</t>
        </is>
      </c>
      <c r="G45" t="n">
        <v>11.4</v>
      </c>
      <c r="H45" t="n">
        <v>3</v>
      </c>
      <c r="I45" t="n">
        <v>7</v>
      </c>
      <c r="J45" t="n">
        <v>0</v>
      </c>
      <c r="K45" t="n">
        <v>3</v>
      </c>
      <c r="L45" t="n">
        <v>0</v>
      </c>
      <c r="M45" t="n">
        <v>0</v>
      </c>
      <c r="N45" t="n">
        <v>0</v>
      </c>
      <c r="O45" t="n">
        <v>3</v>
      </c>
      <c r="P45" t="n">
        <v>3</v>
      </c>
      <c r="Q45" t="n">
        <v>10</v>
      </c>
      <c r="R45" s="2" t="inlineStr">
        <is>
          <t>Blåfotad fagerspindling
Bullspindling
Vit taggsvamp
Barrfagerspindling
Blå slemspindling
Flugblomster
Purpurknipprot
Rödgul trumpetsvamp
Svavelriska
Tvåblad</t>
        </is>
      </c>
      <c r="S45">
        <f>HYPERLINK("https://klasma.github.io/Logging_0980/artfynd/A 22404-2024 artfynd.xlsx", "A 22404-2024")</f>
        <v/>
      </c>
      <c r="T45">
        <f>HYPERLINK("https://klasma.github.io/Logging_0980/kartor/A 22404-2024 karta.png", "A 22404-2024")</f>
        <v/>
      </c>
      <c r="V45">
        <f>HYPERLINK("https://klasma.github.io/Logging_0980/klagomål/A 22404-2024 FSC-klagomål.docx", "A 22404-2024")</f>
        <v/>
      </c>
      <c r="W45">
        <f>HYPERLINK("https://klasma.github.io/Logging_0980/klagomålsmail/A 22404-2024 FSC-klagomål mail.docx", "A 22404-2024")</f>
        <v/>
      </c>
      <c r="X45">
        <f>HYPERLINK("https://klasma.github.io/Logging_0980/tillsyn/A 22404-2024 tillsynsbegäran.docx", "A 22404-2024")</f>
        <v/>
      </c>
      <c r="Y45">
        <f>HYPERLINK("https://klasma.github.io/Logging_0980/tillsynsmail/A 22404-2024 tillsynsbegäran mail.docx", "A 22404-2024")</f>
        <v/>
      </c>
    </row>
    <row r="46" ht="15" customHeight="1">
      <c r="A46" t="inlineStr">
        <is>
          <t>A 59132-2024</t>
        </is>
      </c>
      <c r="B46" s="1" t="n">
        <v>45637</v>
      </c>
      <c r="C46" s="1" t="n">
        <v>45924</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45924</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45924</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45924</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45924</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45924</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6960-2025</t>
        </is>
      </c>
      <c r="B52" s="1" t="n">
        <v>45701.49409722222</v>
      </c>
      <c r="C52" s="1" t="n">
        <v>45924</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45248-2024</t>
        </is>
      </c>
      <c r="B53" s="1" t="n">
        <v>45576</v>
      </c>
      <c r="C53" s="1" t="n">
        <v>45924</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27280-2023</t>
        </is>
      </c>
      <c r="B54" s="1" t="n">
        <v>45096</v>
      </c>
      <c r="C54" s="1" t="n">
        <v>45924</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18541-2024</t>
        </is>
      </c>
      <c r="B55" s="1" t="n">
        <v>45425</v>
      </c>
      <c r="C55" s="1" t="n">
        <v>45924</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4984-2025</t>
        </is>
      </c>
      <c r="B56" s="1" t="n">
        <v>45691.29891203704</v>
      </c>
      <c r="C56" s="1" t="n">
        <v>45924</v>
      </c>
      <c r="D56" t="inlineStr">
        <is>
          <t>GOTLANDS LÄN</t>
        </is>
      </c>
      <c r="E56" t="inlineStr">
        <is>
          <t>GOTLAND</t>
        </is>
      </c>
      <c r="G56" t="n">
        <v>1.3</v>
      </c>
      <c r="H56" t="n">
        <v>4</v>
      </c>
      <c r="I56" t="n">
        <v>2</v>
      </c>
      <c r="J56" t="n">
        <v>3</v>
      </c>
      <c r="K56" t="n">
        <v>0</v>
      </c>
      <c r="L56" t="n">
        <v>0</v>
      </c>
      <c r="M56" t="n">
        <v>0</v>
      </c>
      <c r="N56" t="n">
        <v>0</v>
      </c>
      <c r="O56" t="n">
        <v>3</v>
      </c>
      <c r="P56" t="n">
        <v>0</v>
      </c>
      <c r="Q56" t="n">
        <v>7</v>
      </c>
      <c r="R56" s="2" t="inlineStr">
        <is>
          <t>Gulsparv
Jordtistel
Svinrot
Grönpyrola
Tvåblad
Kärrknipprot
Nattviol</t>
        </is>
      </c>
      <c r="S56">
        <f>HYPERLINK("https://klasma.github.io/Logging_0980/artfynd/A 4984-2025 artfynd.xlsx", "A 4984-2025")</f>
        <v/>
      </c>
      <c r="T56">
        <f>HYPERLINK("https://klasma.github.io/Logging_0980/kartor/A 4984-2025 karta.png", "A 4984-2025")</f>
        <v/>
      </c>
      <c r="V56">
        <f>HYPERLINK("https://klasma.github.io/Logging_0980/klagomål/A 4984-2025 FSC-klagomål.docx", "A 4984-2025")</f>
        <v/>
      </c>
      <c r="W56">
        <f>HYPERLINK("https://klasma.github.io/Logging_0980/klagomålsmail/A 4984-2025 FSC-klagomål mail.docx", "A 4984-2025")</f>
        <v/>
      </c>
      <c r="X56">
        <f>HYPERLINK("https://klasma.github.io/Logging_0980/tillsyn/A 4984-2025 tillsynsbegäran.docx", "A 4984-2025")</f>
        <v/>
      </c>
      <c r="Y56">
        <f>HYPERLINK("https://klasma.github.io/Logging_0980/tillsynsmail/A 4984-2025 tillsynsbegäran mail.docx", "A 4984-2025")</f>
        <v/>
      </c>
      <c r="Z56">
        <f>HYPERLINK("https://klasma.github.io/Logging_0980/fåglar/A 4984-2025 prioriterade fågelarter.docx", "A 4984-2025")</f>
        <v/>
      </c>
    </row>
    <row r="57" ht="15" customHeight="1">
      <c r="A57" t="inlineStr">
        <is>
          <t>A 10419-2025</t>
        </is>
      </c>
      <c r="B57" s="1" t="n">
        <v>45720</v>
      </c>
      <c r="C57" s="1" t="n">
        <v>45924</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45924</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45924</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16823-2024</t>
        </is>
      </c>
      <c r="B60" s="1" t="n">
        <v>45411</v>
      </c>
      <c r="C60" s="1" t="n">
        <v>45924</v>
      </c>
      <c r="D60" t="inlineStr">
        <is>
          <t>GOTLANDS LÄN</t>
        </is>
      </c>
      <c r="E60" t="inlineStr">
        <is>
          <t>GOTLAND</t>
        </is>
      </c>
      <c r="G60" t="n">
        <v>25.4</v>
      </c>
      <c r="H60" t="n">
        <v>5</v>
      </c>
      <c r="I60" t="n">
        <v>1</v>
      </c>
      <c r="J60" t="n">
        <v>2</v>
      </c>
      <c r="K60" t="n">
        <v>0</v>
      </c>
      <c r="L60" t="n">
        <v>0</v>
      </c>
      <c r="M60" t="n">
        <v>0</v>
      </c>
      <c r="N60" t="n">
        <v>0</v>
      </c>
      <c r="O60" t="n">
        <v>2</v>
      </c>
      <c r="P60" t="n">
        <v>0</v>
      </c>
      <c r="Q60" t="n">
        <v>6</v>
      </c>
      <c r="R60" s="2" t="inlineStr">
        <is>
          <t>Gulsparv
Jordtistel
Flugblomster
Brudsporre
Johannesnycklar
Sankt pers nycklar</t>
        </is>
      </c>
      <c r="S60">
        <f>HYPERLINK("https://klasma.github.io/Logging_0980/artfynd/A 16823-2024 artfynd.xlsx", "A 16823-2024")</f>
        <v/>
      </c>
      <c r="T60">
        <f>HYPERLINK("https://klasma.github.io/Logging_0980/kartor/A 16823-2024 karta.png", "A 16823-2024")</f>
        <v/>
      </c>
      <c r="V60">
        <f>HYPERLINK("https://klasma.github.io/Logging_0980/klagomål/A 16823-2024 FSC-klagomål.docx", "A 16823-2024")</f>
        <v/>
      </c>
      <c r="W60">
        <f>HYPERLINK("https://klasma.github.io/Logging_0980/klagomålsmail/A 16823-2024 FSC-klagomål mail.docx", "A 16823-2024")</f>
        <v/>
      </c>
      <c r="X60">
        <f>HYPERLINK("https://klasma.github.io/Logging_0980/tillsyn/A 16823-2024 tillsynsbegäran.docx", "A 16823-2024")</f>
        <v/>
      </c>
      <c r="Y60">
        <f>HYPERLINK("https://klasma.github.io/Logging_0980/tillsynsmail/A 16823-2024 tillsynsbegäran mail.docx", "A 16823-2024")</f>
        <v/>
      </c>
      <c r="Z60">
        <f>HYPERLINK("https://klasma.github.io/Logging_0980/fåglar/A 16823-2024 prioriterade fågelarter.docx", "A 16823-2024")</f>
        <v/>
      </c>
    </row>
    <row r="61" ht="15" customHeight="1">
      <c r="A61" t="inlineStr">
        <is>
          <t>A 54527-2023</t>
        </is>
      </c>
      <c r="B61" s="1" t="n">
        <v>45233</v>
      </c>
      <c r="C61" s="1" t="n">
        <v>45924</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446-2023</t>
        </is>
      </c>
      <c r="B62" s="1" t="n">
        <v>44929</v>
      </c>
      <c r="C62" s="1" t="n">
        <v>45924</v>
      </c>
      <c r="D62" t="inlineStr">
        <is>
          <t>GOTLANDS LÄN</t>
        </is>
      </c>
      <c r="E62" t="inlineStr">
        <is>
          <t>GOTLAND</t>
        </is>
      </c>
      <c r="G62" t="n">
        <v>7.1</v>
      </c>
      <c r="H62" t="n">
        <v>2</v>
      </c>
      <c r="I62" t="n">
        <v>3</v>
      </c>
      <c r="J62" t="n">
        <v>2</v>
      </c>
      <c r="K62" t="n">
        <v>1</v>
      </c>
      <c r="L62" t="n">
        <v>0</v>
      </c>
      <c r="M62" t="n">
        <v>0</v>
      </c>
      <c r="N62" t="n">
        <v>0</v>
      </c>
      <c r="O62" t="n">
        <v>3</v>
      </c>
      <c r="P62" t="n">
        <v>1</v>
      </c>
      <c r="Q62" t="n">
        <v>6</v>
      </c>
      <c r="R62" s="2" t="inlineStr">
        <is>
          <t>Svartgrön spindling
Spillkråka
Äggspindling
Kastanjefjällskivling
Skogsknipprot
Svavelriska</t>
        </is>
      </c>
      <c r="S62">
        <f>HYPERLINK("https://klasma.github.io/Logging_0980/artfynd/A 446-2023 artfynd.xlsx", "A 446-2023")</f>
        <v/>
      </c>
      <c r="T62">
        <f>HYPERLINK("https://klasma.github.io/Logging_0980/kartor/A 446-2023 karta.png", "A 446-2023")</f>
        <v/>
      </c>
      <c r="V62">
        <f>HYPERLINK("https://klasma.github.io/Logging_0980/klagomål/A 446-2023 FSC-klagomål.docx", "A 446-2023")</f>
        <v/>
      </c>
      <c r="W62">
        <f>HYPERLINK("https://klasma.github.io/Logging_0980/klagomålsmail/A 446-2023 FSC-klagomål mail.docx", "A 446-2023")</f>
        <v/>
      </c>
      <c r="X62">
        <f>HYPERLINK("https://klasma.github.io/Logging_0980/tillsyn/A 446-2023 tillsynsbegäran.docx", "A 446-2023")</f>
        <v/>
      </c>
      <c r="Y62">
        <f>HYPERLINK("https://klasma.github.io/Logging_0980/tillsynsmail/A 446-2023 tillsynsbegäran mail.docx", "A 446-2023")</f>
        <v/>
      </c>
      <c r="Z62">
        <f>HYPERLINK("https://klasma.github.io/Logging_0980/fåglar/A 446-2023 prioriterade fågelarter.docx", "A 446-2023")</f>
        <v/>
      </c>
    </row>
    <row r="63" ht="15" customHeight="1">
      <c r="A63" t="inlineStr">
        <is>
          <t>A 65819-2020</t>
        </is>
      </c>
      <c r="B63" s="1" t="n">
        <v>44174</v>
      </c>
      <c r="C63" s="1" t="n">
        <v>45924</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45924</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66091-2021</t>
        </is>
      </c>
      <c r="B65" s="1" t="n">
        <v>44517</v>
      </c>
      <c r="C65" s="1" t="n">
        <v>45924</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45924</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16375-2025</t>
        </is>
      </c>
      <c r="B67" s="1" t="n">
        <v>45751.41064814815</v>
      </c>
      <c r="C67" s="1" t="n">
        <v>45924</v>
      </c>
      <c r="D67" t="inlineStr">
        <is>
          <t>GOTLANDS LÄN</t>
        </is>
      </c>
      <c r="E67" t="inlineStr">
        <is>
          <t>GOTLAND</t>
        </is>
      </c>
      <c r="G67" t="n">
        <v>1.9</v>
      </c>
      <c r="H67" t="n">
        <v>3</v>
      </c>
      <c r="I67" t="n">
        <v>3</v>
      </c>
      <c r="J67" t="n">
        <v>1</v>
      </c>
      <c r="K67" t="n">
        <v>0</v>
      </c>
      <c r="L67" t="n">
        <v>1</v>
      </c>
      <c r="M67" t="n">
        <v>0</v>
      </c>
      <c r="N67" t="n">
        <v>0</v>
      </c>
      <c r="O67" t="n">
        <v>2</v>
      </c>
      <c r="P67" t="n">
        <v>1</v>
      </c>
      <c r="Q67" t="n">
        <v>5</v>
      </c>
      <c r="R67" s="2" t="inlineStr">
        <is>
          <t>Ask
Spillkråka
Blåmossa
Nästrot
Tvåblad</t>
        </is>
      </c>
      <c r="S67">
        <f>HYPERLINK("https://klasma.github.io/Logging_0980/artfynd/A 16375-2025 artfynd.xlsx", "A 16375-2025")</f>
        <v/>
      </c>
      <c r="T67">
        <f>HYPERLINK("https://klasma.github.io/Logging_0980/kartor/A 16375-2025 karta.png", "A 16375-2025")</f>
        <v/>
      </c>
      <c r="V67">
        <f>HYPERLINK("https://klasma.github.io/Logging_0980/klagomål/A 16375-2025 FSC-klagomål.docx", "A 16375-2025")</f>
        <v/>
      </c>
      <c r="W67">
        <f>HYPERLINK("https://klasma.github.io/Logging_0980/klagomålsmail/A 16375-2025 FSC-klagomål mail.docx", "A 16375-2025")</f>
        <v/>
      </c>
      <c r="X67">
        <f>HYPERLINK("https://klasma.github.io/Logging_0980/tillsyn/A 16375-2025 tillsynsbegäran.docx", "A 16375-2025")</f>
        <v/>
      </c>
      <c r="Y67">
        <f>HYPERLINK("https://klasma.github.io/Logging_0980/tillsynsmail/A 16375-2025 tillsynsbegäran mail.docx", "A 16375-2025")</f>
        <v/>
      </c>
      <c r="Z67">
        <f>HYPERLINK("https://klasma.github.io/Logging_0980/fåglar/A 16375-2025 prioriterade fågelarter.docx", "A 16375-2025")</f>
        <v/>
      </c>
    </row>
    <row r="68" ht="15" customHeight="1">
      <c r="A68" t="inlineStr">
        <is>
          <t>A 44944-2022</t>
        </is>
      </c>
      <c r="B68" s="1" t="n">
        <v>44841</v>
      </c>
      <c r="C68" s="1" t="n">
        <v>45924</v>
      </c>
      <c r="D68" t="inlineStr">
        <is>
          <t>GOTLANDS LÄN</t>
        </is>
      </c>
      <c r="E68" t="inlineStr">
        <is>
          <t>GOTLAND</t>
        </is>
      </c>
      <c r="G68" t="n">
        <v>2.8</v>
      </c>
      <c r="H68" t="n">
        <v>0</v>
      </c>
      <c r="I68" t="n">
        <v>3</v>
      </c>
      <c r="J68" t="n">
        <v>2</v>
      </c>
      <c r="K68" t="n">
        <v>0</v>
      </c>
      <c r="L68" t="n">
        <v>0</v>
      </c>
      <c r="M68" t="n">
        <v>0</v>
      </c>
      <c r="N68" t="n">
        <v>0</v>
      </c>
      <c r="O68" t="n">
        <v>2</v>
      </c>
      <c r="P68" t="n">
        <v>0</v>
      </c>
      <c r="Q68" t="n">
        <v>5</v>
      </c>
      <c r="R68" s="2" t="inlineStr">
        <is>
          <t>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2213-2023</t>
        </is>
      </c>
      <c r="B69" s="1" t="n">
        <v>44942</v>
      </c>
      <c r="C69" s="1" t="n">
        <v>45924</v>
      </c>
      <c r="D69" t="inlineStr">
        <is>
          <t>GOTLANDS LÄN</t>
        </is>
      </c>
      <c r="E69" t="inlineStr">
        <is>
          <t>GOTLAND</t>
        </is>
      </c>
      <c r="G69" t="n">
        <v>2.7</v>
      </c>
      <c r="H69" t="n">
        <v>1</v>
      </c>
      <c r="I69" t="n">
        <v>0</v>
      </c>
      <c r="J69" t="n">
        <v>4</v>
      </c>
      <c r="K69" t="n">
        <v>1</v>
      </c>
      <c r="L69" t="n">
        <v>0</v>
      </c>
      <c r="M69" t="n">
        <v>0</v>
      </c>
      <c r="N69" t="n">
        <v>0</v>
      </c>
      <c r="O69" t="n">
        <v>5</v>
      </c>
      <c r="P69" t="n">
        <v>1</v>
      </c>
      <c r="Q69" t="n">
        <v>5</v>
      </c>
      <c r="R69" s="2" t="inlineStr">
        <is>
          <t>Garderönn
Backtimjan
Odörspindling
Smedbock
Svinrot</t>
        </is>
      </c>
      <c r="S69">
        <f>HYPERLINK("https://klasma.github.io/Logging_0980/artfynd/A 2213-2023 artfynd.xlsx", "A 2213-2023")</f>
        <v/>
      </c>
      <c r="T69">
        <f>HYPERLINK("https://klasma.github.io/Logging_0980/kartor/A 2213-2023 karta.png", "A 2213-2023")</f>
        <v/>
      </c>
      <c r="V69">
        <f>HYPERLINK("https://klasma.github.io/Logging_0980/klagomål/A 2213-2023 FSC-klagomål.docx", "A 2213-2023")</f>
        <v/>
      </c>
      <c r="W69">
        <f>HYPERLINK("https://klasma.github.io/Logging_0980/klagomålsmail/A 2213-2023 FSC-klagomål mail.docx", "A 2213-2023")</f>
        <v/>
      </c>
      <c r="X69">
        <f>HYPERLINK("https://klasma.github.io/Logging_0980/tillsyn/A 2213-2023 tillsynsbegäran.docx", "A 2213-2023")</f>
        <v/>
      </c>
      <c r="Y69">
        <f>HYPERLINK("https://klasma.github.io/Logging_0980/tillsynsmail/A 2213-2023 tillsynsbegäran mail.docx", "A 2213-2023")</f>
        <v/>
      </c>
    </row>
    <row r="70" ht="15" customHeight="1">
      <c r="A70" t="inlineStr">
        <is>
          <t>A 35293-2025</t>
        </is>
      </c>
      <c r="B70" s="1" t="n">
        <v>45854.39438657407</v>
      </c>
      <c r="C70" s="1" t="n">
        <v>45924</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32326-2024</t>
        </is>
      </c>
      <c r="B71" s="1" t="n">
        <v>45512</v>
      </c>
      <c r="C71" s="1" t="n">
        <v>45924</v>
      </c>
      <c r="D71" t="inlineStr">
        <is>
          <t>GOTLANDS LÄN</t>
        </is>
      </c>
      <c r="E71" t="inlineStr">
        <is>
          <t>GOTLAND</t>
        </is>
      </c>
      <c r="G71" t="n">
        <v>9.199999999999999</v>
      </c>
      <c r="H71" t="n">
        <v>3</v>
      </c>
      <c r="I71" t="n">
        <v>2</v>
      </c>
      <c r="J71" t="n">
        <v>2</v>
      </c>
      <c r="K71" t="n">
        <v>0</v>
      </c>
      <c r="L71" t="n">
        <v>0</v>
      </c>
      <c r="M71" t="n">
        <v>0</v>
      </c>
      <c r="N71" t="n">
        <v>0</v>
      </c>
      <c r="O71" t="n">
        <v>2</v>
      </c>
      <c r="P71" t="n">
        <v>0</v>
      </c>
      <c r="Q71" t="n">
        <v>5</v>
      </c>
      <c r="R71" s="2" t="inlineStr">
        <is>
          <t>Jordtistel
Svinrot
Purpurknipprot
Skogsknipprot
Brudsporre</t>
        </is>
      </c>
      <c r="S71">
        <f>HYPERLINK("https://klasma.github.io/Logging_0980/artfynd/A 32326-2024 artfynd.xlsx", "A 32326-2024")</f>
        <v/>
      </c>
      <c r="T71">
        <f>HYPERLINK("https://klasma.github.io/Logging_0980/kartor/A 32326-2024 karta.png", "A 32326-2024")</f>
        <v/>
      </c>
      <c r="V71">
        <f>HYPERLINK("https://klasma.github.io/Logging_0980/klagomål/A 32326-2024 FSC-klagomål.docx", "A 32326-2024")</f>
        <v/>
      </c>
      <c r="W71">
        <f>HYPERLINK("https://klasma.github.io/Logging_0980/klagomålsmail/A 32326-2024 FSC-klagomål mail.docx", "A 32326-2024")</f>
        <v/>
      </c>
      <c r="X71">
        <f>HYPERLINK("https://klasma.github.io/Logging_0980/tillsyn/A 32326-2024 tillsynsbegäran.docx", "A 32326-2024")</f>
        <v/>
      </c>
      <c r="Y71">
        <f>HYPERLINK("https://klasma.github.io/Logging_0980/tillsynsmail/A 32326-2024 tillsynsbegäran mail.docx", "A 32326-2024")</f>
        <v/>
      </c>
    </row>
    <row r="72" ht="15" customHeight="1">
      <c r="A72" t="inlineStr">
        <is>
          <t>A 42936-2024</t>
        </is>
      </c>
      <c r="B72" s="1" t="n">
        <v>45567</v>
      </c>
      <c r="C72" s="1" t="n">
        <v>45924</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54055-2022</t>
        </is>
      </c>
      <c r="B73" s="1" t="n">
        <v>44881</v>
      </c>
      <c r="C73" s="1" t="n">
        <v>45924</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29331-2021</t>
        </is>
      </c>
      <c r="B74" s="1" t="n">
        <v>44361</v>
      </c>
      <c r="C74" s="1" t="n">
        <v>45924</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1971-2023</t>
        </is>
      </c>
      <c r="B75" s="1" t="n">
        <v>44939</v>
      </c>
      <c r="C75" s="1" t="n">
        <v>45924</v>
      </c>
      <c r="D75" t="inlineStr">
        <is>
          <t>GOTLANDS LÄN</t>
        </is>
      </c>
      <c r="E75" t="inlineStr">
        <is>
          <t>GOTLAND</t>
        </is>
      </c>
      <c r="G75" t="n">
        <v>5.5</v>
      </c>
      <c r="H75" t="n">
        <v>0</v>
      </c>
      <c r="I75" t="n">
        <v>2</v>
      </c>
      <c r="J75" t="n">
        <v>1</v>
      </c>
      <c r="K75" t="n">
        <v>1</v>
      </c>
      <c r="L75" t="n">
        <v>0</v>
      </c>
      <c r="M75" t="n">
        <v>0</v>
      </c>
      <c r="N75" t="n">
        <v>0</v>
      </c>
      <c r="O75" t="n">
        <v>2</v>
      </c>
      <c r="P75" t="n">
        <v>1</v>
      </c>
      <c r="Q75" t="n">
        <v>4</v>
      </c>
      <c r="R75" s="2" t="inlineStr">
        <is>
          <t>Gulsträngad fagerspindling
Svinrot
Fjällig taggsvamp s.str.
Olivspindling</t>
        </is>
      </c>
      <c r="S75">
        <f>HYPERLINK("https://klasma.github.io/Logging_0980/artfynd/A 1971-2023 artfynd.xlsx", "A 1971-2023")</f>
        <v/>
      </c>
      <c r="T75">
        <f>HYPERLINK("https://klasma.github.io/Logging_0980/kartor/A 1971-2023 karta.png", "A 1971-2023")</f>
        <v/>
      </c>
      <c r="V75">
        <f>HYPERLINK("https://klasma.github.io/Logging_0980/klagomål/A 1971-2023 FSC-klagomål.docx", "A 1971-2023")</f>
        <v/>
      </c>
      <c r="W75">
        <f>HYPERLINK("https://klasma.github.io/Logging_0980/klagomålsmail/A 1971-2023 FSC-klagomål mail.docx", "A 1971-2023")</f>
        <v/>
      </c>
      <c r="X75">
        <f>HYPERLINK("https://klasma.github.io/Logging_0980/tillsyn/A 1971-2023 tillsynsbegäran.docx", "A 1971-2023")</f>
        <v/>
      </c>
      <c r="Y75">
        <f>HYPERLINK("https://klasma.github.io/Logging_0980/tillsynsmail/A 1971-2023 tillsynsbegäran mail.docx", "A 1971-2023")</f>
        <v/>
      </c>
    </row>
    <row r="76" ht="15" customHeight="1">
      <c r="A76" t="inlineStr">
        <is>
          <t>A 186-2023</t>
        </is>
      </c>
      <c r="B76" s="1" t="n">
        <v>44928</v>
      </c>
      <c r="C76" s="1" t="n">
        <v>45924</v>
      </c>
      <c r="D76" t="inlineStr">
        <is>
          <t>GOTLANDS LÄN</t>
        </is>
      </c>
      <c r="E76" t="inlineStr">
        <is>
          <t>GOTLAND</t>
        </is>
      </c>
      <c r="G76" t="n">
        <v>2.2</v>
      </c>
      <c r="H76" t="n">
        <v>2</v>
      </c>
      <c r="I76" t="n">
        <v>2</v>
      </c>
      <c r="J76" t="n">
        <v>0</v>
      </c>
      <c r="K76" t="n">
        <v>2</v>
      </c>
      <c r="L76" t="n">
        <v>0</v>
      </c>
      <c r="M76" t="n">
        <v>0</v>
      </c>
      <c r="N76" t="n">
        <v>0</v>
      </c>
      <c r="O76" t="n">
        <v>2</v>
      </c>
      <c r="P76" t="n">
        <v>2</v>
      </c>
      <c r="Q76" t="n">
        <v>4</v>
      </c>
      <c r="R76" s="2" t="inlineStr">
        <is>
          <t>Svartgrön spindling
Vit taggsvamp
Nästrot
Skogsknipprot</t>
        </is>
      </c>
      <c r="S76">
        <f>HYPERLINK("https://klasma.github.io/Logging_0980/artfynd/A 186-2023 artfynd.xlsx", "A 186-2023")</f>
        <v/>
      </c>
      <c r="T76">
        <f>HYPERLINK("https://klasma.github.io/Logging_0980/kartor/A 186-2023 karta.png", "A 186-2023")</f>
        <v/>
      </c>
      <c r="V76">
        <f>HYPERLINK("https://klasma.github.io/Logging_0980/klagomål/A 186-2023 FSC-klagomål.docx", "A 186-2023")</f>
        <v/>
      </c>
      <c r="W76">
        <f>HYPERLINK("https://klasma.github.io/Logging_0980/klagomålsmail/A 186-2023 FSC-klagomål mail.docx", "A 186-2023")</f>
        <v/>
      </c>
      <c r="X76">
        <f>HYPERLINK("https://klasma.github.io/Logging_0980/tillsyn/A 186-2023 tillsynsbegäran.docx", "A 186-2023")</f>
        <v/>
      </c>
      <c r="Y76">
        <f>HYPERLINK("https://klasma.github.io/Logging_0980/tillsynsmail/A 186-2023 tillsynsbegäran mail.docx", "A 186-2023")</f>
        <v/>
      </c>
    </row>
    <row r="77" ht="15" customHeight="1">
      <c r="A77" t="inlineStr">
        <is>
          <t>A 56717-2024</t>
        </is>
      </c>
      <c r="B77" s="1" t="n">
        <v>45628.3166550926</v>
      </c>
      <c r="C77" s="1" t="n">
        <v>45924</v>
      </c>
      <c r="D77" t="inlineStr">
        <is>
          <t>GOTLANDS LÄN</t>
        </is>
      </c>
      <c r="E77" t="inlineStr">
        <is>
          <t>GOTLAND</t>
        </is>
      </c>
      <c r="G77" t="n">
        <v>9.699999999999999</v>
      </c>
      <c r="H77" t="n">
        <v>0</v>
      </c>
      <c r="I77" t="n">
        <v>2</v>
      </c>
      <c r="J77" t="n">
        <v>2</v>
      </c>
      <c r="K77" t="n">
        <v>0</v>
      </c>
      <c r="L77" t="n">
        <v>0</v>
      </c>
      <c r="M77" t="n">
        <v>0</v>
      </c>
      <c r="N77" t="n">
        <v>0</v>
      </c>
      <c r="O77" t="n">
        <v>2</v>
      </c>
      <c r="P77" t="n">
        <v>0</v>
      </c>
      <c r="Q77" t="n">
        <v>4</v>
      </c>
      <c r="R77" s="2" t="inlineStr">
        <is>
          <t>Ekvaxskivling
Odörspindling
Fjällig taggsvamp s.str.
Kattfotslav</t>
        </is>
      </c>
      <c r="S77">
        <f>HYPERLINK("https://klasma.github.io/Logging_0980/artfynd/A 56717-2024 artfynd.xlsx", "A 56717-2024")</f>
        <v/>
      </c>
      <c r="T77">
        <f>HYPERLINK("https://klasma.github.io/Logging_0980/kartor/A 56717-2024 karta.png", "A 56717-2024")</f>
        <v/>
      </c>
      <c r="V77">
        <f>HYPERLINK("https://klasma.github.io/Logging_0980/klagomål/A 56717-2024 FSC-klagomål.docx", "A 56717-2024")</f>
        <v/>
      </c>
      <c r="W77">
        <f>HYPERLINK("https://klasma.github.io/Logging_0980/klagomålsmail/A 56717-2024 FSC-klagomål mail.docx", "A 56717-2024")</f>
        <v/>
      </c>
      <c r="X77">
        <f>HYPERLINK("https://klasma.github.io/Logging_0980/tillsyn/A 56717-2024 tillsynsbegäran.docx", "A 56717-2024")</f>
        <v/>
      </c>
      <c r="Y77">
        <f>HYPERLINK("https://klasma.github.io/Logging_0980/tillsynsmail/A 56717-2024 tillsynsbegäran mail.docx", "A 56717-2024")</f>
        <v/>
      </c>
    </row>
    <row r="78" ht="15" customHeight="1">
      <c r="A78" t="inlineStr">
        <is>
          <t>A 40099-2025</t>
        </is>
      </c>
      <c r="B78" s="1" t="n">
        <v>45894.48462962963</v>
      </c>
      <c r="C78" s="1" t="n">
        <v>45924</v>
      </c>
      <c r="D78" t="inlineStr">
        <is>
          <t>GOTLANDS LÄN</t>
        </is>
      </c>
      <c r="E78" t="inlineStr">
        <is>
          <t>GOTLAND</t>
        </is>
      </c>
      <c r="G78" t="n">
        <v>6.5</v>
      </c>
      <c r="H78" t="n">
        <v>0</v>
      </c>
      <c r="I78" t="n">
        <v>3</v>
      </c>
      <c r="J78" t="n">
        <v>0</v>
      </c>
      <c r="K78" t="n">
        <v>1</v>
      </c>
      <c r="L78" t="n">
        <v>0</v>
      </c>
      <c r="M78" t="n">
        <v>0</v>
      </c>
      <c r="N78" t="n">
        <v>0</v>
      </c>
      <c r="O78" t="n">
        <v>1</v>
      </c>
      <c r="P78" t="n">
        <v>1</v>
      </c>
      <c r="Q78" t="n">
        <v>4</v>
      </c>
      <c r="R78" s="2" t="inlineStr">
        <is>
          <t>Mörkfjällig olivspindling
Fjällig taggsvamp s.str.
Olivspindling
Svavelriska</t>
        </is>
      </c>
      <c r="S78">
        <f>HYPERLINK("https://klasma.github.io/Logging_0980/artfynd/A 40099-2025 artfynd.xlsx", "A 40099-2025")</f>
        <v/>
      </c>
      <c r="T78">
        <f>HYPERLINK("https://klasma.github.io/Logging_0980/kartor/A 40099-2025 karta.png", "A 40099-2025")</f>
        <v/>
      </c>
      <c r="V78">
        <f>HYPERLINK("https://klasma.github.io/Logging_0980/klagomål/A 40099-2025 FSC-klagomål.docx", "A 40099-2025")</f>
        <v/>
      </c>
      <c r="W78">
        <f>HYPERLINK("https://klasma.github.io/Logging_0980/klagomålsmail/A 40099-2025 FSC-klagomål mail.docx", "A 40099-2025")</f>
        <v/>
      </c>
      <c r="X78">
        <f>HYPERLINK("https://klasma.github.io/Logging_0980/tillsyn/A 40099-2025 tillsynsbegäran.docx", "A 40099-2025")</f>
        <v/>
      </c>
      <c r="Y78">
        <f>HYPERLINK("https://klasma.github.io/Logging_0980/tillsynsmail/A 40099-2025 tillsynsbegäran mail.docx", "A 40099-2025")</f>
        <v/>
      </c>
    </row>
    <row r="79" ht="15" customHeight="1">
      <c r="A79" t="inlineStr">
        <is>
          <t>A 20833-2024</t>
        </is>
      </c>
      <c r="B79" s="1" t="n">
        <v>45439</v>
      </c>
      <c r="C79" s="1" t="n">
        <v>45924</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54523-2023</t>
        </is>
      </c>
      <c r="B80" s="1" t="n">
        <v>45233</v>
      </c>
      <c r="C80" s="1" t="n">
        <v>45924</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2485-2025</t>
        </is>
      </c>
      <c r="B81" s="1" t="n">
        <v>45673</v>
      </c>
      <c r="C81" s="1" t="n">
        <v>45924</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45924</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8265-2023</t>
        </is>
      </c>
      <c r="B83" s="1" t="n">
        <v>44974</v>
      </c>
      <c r="C83" s="1" t="n">
        <v>45924</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43197-2023</t>
        </is>
      </c>
      <c r="B84" s="1" t="n">
        <v>45183</v>
      </c>
      <c r="C84" s="1" t="n">
        <v>45924</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5904-2024</t>
        </is>
      </c>
      <c r="B85" s="1" t="n">
        <v>45335</v>
      </c>
      <c r="C85" s="1" t="n">
        <v>45924</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44933-2022</t>
        </is>
      </c>
      <c r="B86" s="1" t="n">
        <v>44841</v>
      </c>
      <c r="C86" s="1" t="n">
        <v>45924</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64378-2020</t>
        </is>
      </c>
      <c r="B87" s="1" t="n">
        <v>44168</v>
      </c>
      <c r="C87" s="1" t="n">
        <v>45924</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45924</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45924</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45924</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45924</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45924</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32718-2021</t>
        </is>
      </c>
      <c r="B93" s="1" t="n">
        <v>44375</v>
      </c>
      <c r="C93" s="1" t="n">
        <v>45924</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2332-2021</t>
        </is>
      </c>
      <c r="B94" s="1" t="n">
        <v>44214</v>
      </c>
      <c r="C94" s="1" t="n">
        <v>45924</v>
      </c>
      <c r="D94" t="inlineStr">
        <is>
          <t>GOTLANDS LÄN</t>
        </is>
      </c>
      <c r="E94" t="inlineStr">
        <is>
          <t>GOTLAND</t>
        </is>
      </c>
      <c r="G94" t="n">
        <v>2.3</v>
      </c>
      <c r="H94" t="n">
        <v>2</v>
      </c>
      <c r="I94" t="n">
        <v>0</v>
      </c>
      <c r="J94" t="n">
        <v>1</v>
      </c>
      <c r="K94" t="n">
        <v>0</v>
      </c>
      <c r="L94" t="n">
        <v>0</v>
      </c>
      <c r="M94" t="n">
        <v>0</v>
      </c>
      <c r="N94" t="n">
        <v>0</v>
      </c>
      <c r="O94" t="n">
        <v>1</v>
      </c>
      <c r="P94" t="n">
        <v>0</v>
      </c>
      <c r="Q94" t="n">
        <v>3</v>
      </c>
      <c r="R94" s="2" t="inlineStr">
        <is>
          <t>Korpnopping
Sankt pers nycklar
Blåsippa</t>
        </is>
      </c>
      <c r="S94">
        <f>HYPERLINK("https://klasma.github.io/Logging_0980/artfynd/A 2332-2021 artfynd.xlsx", "A 2332-2021")</f>
        <v/>
      </c>
      <c r="T94">
        <f>HYPERLINK("https://klasma.github.io/Logging_0980/kartor/A 2332-2021 karta.png", "A 2332-2021")</f>
        <v/>
      </c>
      <c r="V94">
        <f>HYPERLINK("https://klasma.github.io/Logging_0980/klagomål/A 2332-2021 FSC-klagomål.docx", "A 2332-2021")</f>
        <v/>
      </c>
      <c r="W94">
        <f>HYPERLINK("https://klasma.github.io/Logging_0980/klagomålsmail/A 2332-2021 FSC-klagomål mail.docx", "A 2332-2021")</f>
        <v/>
      </c>
      <c r="X94">
        <f>HYPERLINK("https://klasma.github.io/Logging_0980/tillsyn/A 2332-2021 tillsynsbegäran.docx", "A 2332-2021")</f>
        <v/>
      </c>
      <c r="Y94">
        <f>HYPERLINK("https://klasma.github.io/Logging_0980/tillsynsmail/A 2332-2021 tillsynsbegäran mail.docx", "A 2332-2021")</f>
        <v/>
      </c>
    </row>
    <row r="95" ht="15" customHeight="1">
      <c r="A95" t="inlineStr">
        <is>
          <t>A 43013-2022</t>
        </is>
      </c>
      <c r="B95" s="1" t="n">
        <v>44833</v>
      </c>
      <c r="C95" s="1" t="n">
        <v>45924</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17982-2023</t>
        </is>
      </c>
      <c r="B96" s="1" t="n">
        <v>45040</v>
      </c>
      <c r="C96" s="1" t="n">
        <v>45924</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13499-2022</t>
        </is>
      </c>
      <c r="B97" s="1" t="n">
        <v>44647.79203703703</v>
      </c>
      <c r="C97" s="1" t="n">
        <v>45924</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45924</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30490-2025</t>
        </is>
      </c>
      <c r="B99" s="1" t="n">
        <v>45830</v>
      </c>
      <c r="C99" s="1" t="n">
        <v>45924</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48126-2022</t>
        </is>
      </c>
      <c r="B100" s="1" t="n">
        <v>44857</v>
      </c>
      <c r="C100" s="1" t="n">
        <v>45924</v>
      </c>
      <c r="D100" t="inlineStr">
        <is>
          <t>GOTLANDS LÄN</t>
        </is>
      </c>
      <c r="E100" t="inlineStr">
        <is>
          <t>GOTLAND</t>
        </is>
      </c>
      <c r="G100" t="n">
        <v>9.800000000000001</v>
      </c>
      <c r="H100" t="n">
        <v>1</v>
      </c>
      <c r="I100" t="n">
        <v>0</v>
      </c>
      <c r="J100" t="n">
        <v>3</v>
      </c>
      <c r="K100" t="n">
        <v>0</v>
      </c>
      <c r="L100" t="n">
        <v>0</v>
      </c>
      <c r="M100" t="n">
        <v>0</v>
      </c>
      <c r="N100" t="n">
        <v>0</v>
      </c>
      <c r="O100" t="n">
        <v>3</v>
      </c>
      <c r="P100" t="n">
        <v>0</v>
      </c>
      <c r="Q100" t="n">
        <v>3</v>
      </c>
      <c r="R100" s="2" t="inlineStr">
        <is>
          <t>Jordtistel
Spillkråka
Svinrot</t>
        </is>
      </c>
      <c r="S100">
        <f>HYPERLINK("https://klasma.github.io/Logging_0980/artfynd/A 48126-2022 artfynd.xlsx", "A 48126-2022")</f>
        <v/>
      </c>
      <c r="T100">
        <f>HYPERLINK("https://klasma.github.io/Logging_0980/kartor/A 48126-2022 karta.png", "A 48126-2022")</f>
        <v/>
      </c>
      <c r="V100">
        <f>HYPERLINK("https://klasma.github.io/Logging_0980/klagomål/A 48126-2022 FSC-klagomål.docx", "A 48126-2022")</f>
        <v/>
      </c>
      <c r="W100">
        <f>HYPERLINK("https://klasma.github.io/Logging_0980/klagomålsmail/A 48126-2022 FSC-klagomål mail.docx", "A 48126-2022")</f>
        <v/>
      </c>
      <c r="X100">
        <f>HYPERLINK("https://klasma.github.io/Logging_0980/tillsyn/A 48126-2022 tillsynsbegäran.docx", "A 48126-2022")</f>
        <v/>
      </c>
      <c r="Y100">
        <f>HYPERLINK("https://klasma.github.io/Logging_0980/tillsynsmail/A 48126-2022 tillsynsbegäran mail.docx", "A 48126-2022")</f>
        <v/>
      </c>
      <c r="Z100">
        <f>HYPERLINK("https://klasma.github.io/Logging_0980/fåglar/A 48126-2022 prioriterade fågelarter.docx", "A 48126-2022")</f>
        <v/>
      </c>
    </row>
    <row r="101" ht="15" customHeight="1">
      <c r="A101" t="inlineStr">
        <is>
          <t>A 53552-2021</t>
        </is>
      </c>
      <c r="B101" s="1" t="n">
        <v>44468</v>
      </c>
      <c r="C101" s="1" t="n">
        <v>45924</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12315-2024</t>
        </is>
      </c>
      <c r="B102" s="1" t="n">
        <v>45378.6434837963</v>
      </c>
      <c r="C102" s="1" t="n">
        <v>45924</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20831-2024</t>
        </is>
      </c>
      <c r="B103" s="1" t="n">
        <v>45439</v>
      </c>
      <c r="C103" s="1" t="n">
        <v>45924</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17975-2024</t>
        </is>
      </c>
      <c r="B104" s="1" t="n">
        <v>45419.85546296297</v>
      </c>
      <c r="C104" s="1" t="n">
        <v>45924</v>
      </c>
      <c r="D104" t="inlineStr">
        <is>
          <t>GOTLANDS LÄN</t>
        </is>
      </c>
      <c r="E104" t="inlineStr">
        <is>
          <t>GOTLAND</t>
        </is>
      </c>
      <c r="G104" t="n">
        <v>7.9</v>
      </c>
      <c r="H104" t="n">
        <v>0</v>
      </c>
      <c r="I104" t="n">
        <v>1</v>
      </c>
      <c r="J104" t="n">
        <v>1</v>
      </c>
      <c r="K104" t="n">
        <v>0</v>
      </c>
      <c r="L104" t="n">
        <v>1</v>
      </c>
      <c r="M104" t="n">
        <v>0</v>
      </c>
      <c r="N104" t="n">
        <v>0</v>
      </c>
      <c r="O104" t="n">
        <v>2</v>
      </c>
      <c r="P104" t="n">
        <v>1</v>
      </c>
      <c r="Q104" t="n">
        <v>3</v>
      </c>
      <c r="R104" s="2" t="inlineStr">
        <is>
          <t>Ask
Skugglosta
Strävlosta</t>
        </is>
      </c>
      <c r="S104">
        <f>HYPERLINK("https://klasma.github.io/Logging_0980/artfynd/A 17975-2024 artfynd.xlsx", "A 17975-2024")</f>
        <v/>
      </c>
      <c r="T104">
        <f>HYPERLINK("https://klasma.github.io/Logging_0980/kartor/A 17975-2024 karta.png", "A 17975-2024")</f>
        <v/>
      </c>
      <c r="V104">
        <f>HYPERLINK("https://klasma.github.io/Logging_0980/klagomål/A 17975-2024 FSC-klagomål.docx", "A 17975-2024")</f>
        <v/>
      </c>
      <c r="W104">
        <f>HYPERLINK("https://klasma.github.io/Logging_0980/klagomålsmail/A 17975-2024 FSC-klagomål mail.docx", "A 17975-2024")</f>
        <v/>
      </c>
      <c r="X104">
        <f>HYPERLINK("https://klasma.github.io/Logging_0980/tillsyn/A 17975-2024 tillsynsbegäran.docx", "A 17975-2024")</f>
        <v/>
      </c>
      <c r="Y104">
        <f>HYPERLINK("https://klasma.github.io/Logging_0980/tillsynsmail/A 17975-2024 tillsynsbegäran mail.docx", "A 17975-2024")</f>
        <v/>
      </c>
    </row>
    <row r="105" ht="15" customHeight="1">
      <c r="A105" t="inlineStr">
        <is>
          <t>A 62326-2020</t>
        </is>
      </c>
      <c r="B105" s="1" t="n">
        <v>44160</v>
      </c>
      <c r="C105" s="1" t="n">
        <v>45924</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45924</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45924</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45924</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45924</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45924</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45924</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55649-2024</t>
        </is>
      </c>
      <c r="B112" s="1" t="n">
        <v>45622.63053240741</v>
      </c>
      <c r="C112" s="1" t="n">
        <v>45924</v>
      </c>
      <c r="D112" t="inlineStr">
        <is>
          <t>GOTLANDS LÄN</t>
        </is>
      </c>
      <c r="E112" t="inlineStr">
        <is>
          <t>GOTLAND</t>
        </is>
      </c>
      <c r="G112" t="n">
        <v>4.6</v>
      </c>
      <c r="H112" t="n">
        <v>2</v>
      </c>
      <c r="I112" t="n">
        <v>0</v>
      </c>
      <c r="J112" t="n">
        <v>0</v>
      </c>
      <c r="K112" t="n">
        <v>0</v>
      </c>
      <c r="L112" t="n">
        <v>0</v>
      </c>
      <c r="M112" t="n">
        <v>0</v>
      </c>
      <c r="N112" t="n">
        <v>0</v>
      </c>
      <c r="O112" t="n">
        <v>0</v>
      </c>
      <c r="P112" t="n">
        <v>0</v>
      </c>
      <c r="Q112" t="n">
        <v>2</v>
      </c>
      <c r="R112" s="2" t="inlineStr">
        <is>
          <t>Sankt pers nycklar
Blåsippa</t>
        </is>
      </c>
      <c r="S112">
        <f>HYPERLINK("https://klasma.github.io/Logging_0980/artfynd/A 55649-2024 artfynd.xlsx", "A 55649-2024")</f>
        <v/>
      </c>
      <c r="T112">
        <f>HYPERLINK("https://klasma.github.io/Logging_0980/kartor/A 55649-2024 karta.png", "A 55649-2024")</f>
        <v/>
      </c>
      <c r="V112">
        <f>HYPERLINK("https://klasma.github.io/Logging_0980/klagomål/A 55649-2024 FSC-klagomål.docx", "A 55649-2024")</f>
        <v/>
      </c>
      <c r="W112">
        <f>HYPERLINK("https://klasma.github.io/Logging_0980/klagomålsmail/A 55649-2024 FSC-klagomål mail.docx", "A 55649-2024")</f>
        <v/>
      </c>
      <c r="X112">
        <f>HYPERLINK("https://klasma.github.io/Logging_0980/tillsyn/A 55649-2024 tillsynsbegäran.docx", "A 55649-2024")</f>
        <v/>
      </c>
      <c r="Y112">
        <f>HYPERLINK("https://klasma.github.io/Logging_0980/tillsynsmail/A 55649-2024 tillsynsbegäran mail.docx", "A 55649-2024")</f>
        <v/>
      </c>
    </row>
    <row r="113" ht="15" customHeight="1">
      <c r="A113" t="inlineStr">
        <is>
          <t>A 20218-2022</t>
        </is>
      </c>
      <c r="B113" s="1" t="n">
        <v>44698</v>
      </c>
      <c r="C113" s="1" t="n">
        <v>45924</v>
      </c>
      <c r="D113" t="inlineStr">
        <is>
          <t>GOTLANDS LÄN</t>
        </is>
      </c>
      <c r="E113" t="inlineStr">
        <is>
          <t>GOTLAND</t>
        </is>
      </c>
      <c r="G113" t="n">
        <v>4.3</v>
      </c>
      <c r="H113" t="n">
        <v>0</v>
      </c>
      <c r="I113" t="n">
        <v>1</v>
      </c>
      <c r="J113" t="n">
        <v>1</v>
      </c>
      <c r="K113" t="n">
        <v>0</v>
      </c>
      <c r="L113" t="n">
        <v>0</v>
      </c>
      <c r="M113" t="n">
        <v>0</v>
      </c>
      <c r="N113" t="n">
        <v>0</v>
      </c>
      <c r="O113" t="n">
        <v>1</v>
      </c>
      <c r="P113" t="n">
        <v>0</v>
      </c>
      <c r="Q113" t="n">
        <v>2</v>
      </c>
      <c r="R113" s="2" t="inlineStr">
        <is>
          <t>Flattoppad klubbsvamp
Rödgul trumpetsvamp</t>
        </is>
      </c>
      <c r="S113">
        <f>HYPERLINK("https://klasma.github.io/Logging_0980/artfynd/A 20218-2022 artfynd.xlsx", "A 20218-2022")</f>
        <v/>
      </c>
      <c r="T113">
        <f>HYPERLINK("https://klasma.github.io/Logging_0980/kartor/A 20218-2022 karta.png", "A 20218-2022")</f>
        <v/>
      </c>
      <c r="V113">
        <f>HYPERLINK("https://klasma.github.io/Logging_0980/klagomål/A 20218-2022 FSC-klagomål.docx", "A 20218-2022")</f>
        <v/>
      </c>
      <c r="W113">
        <f>HYPERLINK("https://klasma.github.io/Logging_0980/klagomålsmail/A 20218-2022 FSC-klagomål mail.docx", "A 20218-2022")</f>
        <v/>
      </c>
      <c r="X113">
        <f>HYPERLINK("https://klasma.github.io/Logging_0980/tillsyn/A 20218-2022 tillsynsbegäran.docx", "A 20218-2022")</f>
        <v/>
      </c>
      <c r="Y113">
        <f>HYPERLINK("https://klasma.github.io/Logging_0980/tillsynsmail/A 20218-2022 tillsynsbegäran mail.docx", "A 20218-2022")</f>
        <v/>
      </c>
    </row>
    <row r="114" ht="15" customHeight="1">
      <c r="A114" t="inlineStr">
        <is>
          <t>A 28261-2024</t>
        </is>
      </c>
      <c r="B114" s="1" t="n">
        <v>45477</v>
      </c>
      <c r="C114" s="1" t="n">
        <v>45924</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45924</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58701-2020</t>
        </is>
      </c>
      <c r="B116" s="1" t="n">
        <v>44146</v>
      </c>
      <c r="C116" s="1" t="n">
        <v>45924</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45924</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26077-2024</t>
        </is>
      </c>
      <c r="B118" s="1" t="n">
        <v>45467</v>
      </c>
      <c r="C118" s="1" t="n">
        <v>45924</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41238-2025</t>
        </is>
      </c>
      <c r="B119" s="1" t="n">
        <v>45898</v>
      </c>
      <c r="C119" s="1" t="n">
        <v>45924</v>
      </c>
      <c r="D119" t="inlineStr">
        <is>
          <t>GOTLANDS LÄN</t>
        </is>
      </c>
      <c r="E119" t="inlineStr">
        <is>
          <t>GOTLAND</t>
        </is>
      </c>
      <c r="G119" t="n">
        <v>7.1</v>
      </c>
      <c r="H119" t="n">
        <v>1</v>
      </c>
      <c r="I119" t="n">
        <v>2</v>
      </c>
      <c r="J119" t="n">
        <v>0</v>
      </c>
      <c r="K119" t="n">
        <v>0</v>
      </c>
      <c r="L119" t="n">
        <v>0</v>
      </c>
      <c r="M119" t="n">
        <v>0</v>
      </c>
      <c r="N119" t="n">
        <v>0</v>
      </c>
      <c r="O119" t="n">
        <v>0</v>
      </c>
      <c r="P119" t="n">
        <v>0</v>
      </c>
      <c r="Q119" t="n">
        <v>2</v>
      </c>
      <c r="R119" s="2" t="inlineStr">
        <is>
          <t>Granbarkgnagare
Skogsknipprot</t>
        </is>
      </c>
      <c r="S119">
        <f>HYPERLINK("https://klasma.github.io/Logging_0980/artfynd/A 41238-2025 artfynd.xlsx", "A 41238-2025")</f>
        <v/>
      </c>
      <c r="T119">
        <f>HYPERLINK("https://klasma.github.io/Logging_0980/kartor/A 41238-2025 karta.png", "A 41238-2025")</f>
        <v/>
      </c>
      <c r="V119">
        <f>HYPERLINK("https://klasma.github.io/Logging_0980/klagomål/A 41238-2025 FSC-klagomål.docx", "A 41238-2025")</f>
        <v/>
      </c>
      <c r="W119">
        <f>HYPERLINK("https://klasma.github.io/Logging_0980/klagomålsmail/A 41238-2025 FSC-klagomål mail.docx", "A 41238-2025")</f>
        <v/>
      </c>
      <c r="X119">
        <f>HYPERLINK("https://klasma.github.io/Logging_0980/tillsyn/A 41238-2025 tillsynsbegäran.docx", "A 41238-2025")</f>
        <v/>
      </c>
      <c r="Y119">
        <f>HYPERLINK("https://klasma.github.io/Logging_0980/tillsynsmail/A 41238-2025 tillsynsbegäran mail.docx", "A 41238-2025")</f>
        <v/>
      </c>
    </row>
    <row r="120" ht="15" customHeight="1">
      <c r="A120" t="inlineStr">
        <is>
          <t>A 64263-2020</t>
        </is>
      </c>
      <c r="B120" s="1" t="n">
        <v>44168</v>
      </c>
      <c r="C120" s="1" t="n">
        <v>45924</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12914-2025</t>
        </is>
      </c>
      <c r="B121" s="1" t="n">
        <v>45733</v>
      </c>
      <c r="C121" s="1" t="n">
        <v>45924</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54357-2024</t>
        </is>
      </c>
      <c r="B122" s="1" t="n">
        <v>45617.40662037037</v>
      </c>
      <c r="C122" s="1" t="n">
        <v>45924</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43219-2023</t>
        </is>
      </c>
      <c r="B123" s="1" t="n">
        <v>45183</v>
      </c>
      <c r="C123" s="1" t="n">
        <v>45924</v>
      </c>
      <c r="D123" t="inlineStr">
        <is>
          <t>GOTLANDS LÄN</t>
        </is>
      </c>
      <c r="E123" t="inlineStr">
        <is>
          <t>GOTLAND</t>
        </is>
      </c>
      <c r="G123" t="n">
        <v>3.6</v>
      </c>
      <c r="H123" t="n">
        <v>1</v>
      </c>
      <c r="I123" t="n">
        <v>0</v>
      </c>
      <c r="J123" t="n">
        <v>1</v>
      </c>
      <c r="K123" t="n">
        <v>0</v>
      </c>
      <c r="L123" t="n">
        <v>0</v>
      </c>
      <c r="M123" t="n">
        <v>0</v>
      </c>
      <c r="N123" t="n">
        <v>0</v>
      </c>
      <c r="O123" t="n">
        <v>1</v>
      </c>
      <c r="P123" t="n">
        <v>0</v>
      </c>
      <c r="Q123" t="n">
        <v>2</v>
      </c>
      <c r="R123" s="2" t="inlineStr">
        <is>
          <t>Axveronika
Skogsduva</t>
        </is>
      </c>
      <c r="S123">
        <f>HYPERLINK("https://klasma.github.io/Logging_0980/artfynd/A 43219-2023 artfynd.xlsx", "A 43219-2023")</f>
        <v/>
      </c>
      <c r="T123">
        <f>HYPERLINK("https://klasma.github.io/Logging_0980/kartor/A 43219-2023 karta.png", "A 43219-2023")</f>
        <v/>
      </c>
      <c r="V123">
        <f>HYPERLINK("https://klasma.github.io/Logging_0980/klagomål/A 43219-2023 FSC-klagomål.docx", "A 43219-2023")</f>
        <v/>
      </c>
      <c r="W123">
        <f>HYPERLINK("https://klasma.github.io/Logging_0980/klagomålsmail/A 43219-2023 FSC-klagomål mail.docx", "A 43219-2023")</f>
        <v/>
      </c>
      <c r="X123">
        <f>HYPERLINK("https://klasma.github.io/Logging_0980/tillsyn/A 43219-2023 tillsynsbegäran.docx", "A 43219-2023")</f>
        <v/>
      </c>
      <c r="Y123">
        <f>HYPERLINK("https://klasma.github.io/Logging_0980/tillsynsmail/A 43219-2023 tillsynsbegäran mail.docx", "A 43219-2023")</f>
        <v/>
      </c>
      <c r="Z123">
        <f>HYPERLINK("https://klasma.github.io/Logging_0980/fåglar/A 43219-2023 prioriterade fågelarter.docx", "A 43219-2023")</f>
        <v/>
      </c>
    </row>
    <row r="124" ht="15" customHeight="1">
      <c r="A124" t="inlineStr">
        <is>
          <t>A 28276-2024</t>
        </is>
      </c>
      <c r="B124" s="1" t="n">
        <v>45477</v>
      </c>
      <c r="C124" s="1" t="n">
        <v>45924</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45924</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21879-2025</t>
        </is>
      </c>
      <c r="B126" s="1" t="n">
        <v>45784.40533564815</v>
      </c>
      <c r="C126" s="1" t="n">
        <v>45924</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24-2021</t>
        </is>
      </c>
      <c r="B127" s="1" t="n">
        <v>44197</v>
      </c>
      <c r="C127" s="1" t="n">
        <v>45924</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45924</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45924</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45924</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447-2023</t>
        </is>
      </c>
      <c r="B131" s="1" t="n">
        <v>44929</v>
      </c>
      <c r="C131" s="1" t="n">
        <v>45924</v>
      </c>
      <c r="D131" t="inlineStr">
        <is>
          <t>GOTLANDS LÄN</t>
        </is>
      </c>
      <c r="E131" t="inlineStr">
        <is>
          <t>GOTLAND</t>
        </is>
      </c>
      <c r="G131" t="n">
        <v>5.1</v>
      </c>
      <c r="H131" t="n">
        <v>0</v>
      </c>
      <c r="I131" t="n">
        <v>0</v>
      </c>
      <c r="J131" t="n">
        <v>1</v>
      </c>
      <c r="K131" t="n">
        <v>0</v>
      </c>
      <c r="L131" t="n">
        <v>0</v>
      </c>
      <c r="M131" t="n">
        <v>0</v>
      </c>
      <c r="N131" t="n">
        <v>0</v>
      </c>
      <c r="O131" t="n">
        <v>1</v>
      </c>
      <c r="P131" t="n">
        <v>0</v>
      </c>
      <c r="Q131" t="n">
        <v>1</v>
      </c>
      <c r="R131" s="2" t="inlineStr">
        <is>
          <t>Äggspindling</t>
        </is>
      </c>
      <c r="S131">
        <f>HYPERLINK("https://klasma.github.io/Logging_0980/artfynd/A 447-2023 artfynd.xlsx", "A 447-2023")</f>
        <v/>
      </c>
      <c r="T131">
        <f>HYPERLINK("https://klasma.github.io/Logging_0980/kartor/A 447-2023 karta.png", "A 447-2023")</f>
        <v/>
      </c>
      <c r="V131">
        <f>HYPERLINK("https://klasma.github.io/Logging_0980/klagomål/A 447-2023 FSC-klagomål.docx", "A 447-2023")</f>
        <v/>
      </c>
      <c r="W131">
        <f>HYPERLINK("https://klasma.github.io/Logging_0980/klagomålsmail/A 447-2023 FSC-klagomål mail.docx", "A 447-2023")</f>
        <v/>
      </c>
      <c r="X131">
        <f>HYPERLINK("https://klasma.github.io/Logging_0980/tillsyn/A 447-2023 tillsynsbegäran.docx", "A 447-2023")</f>
        <v/>
      </c>
      <c r="Y131">
        <f>HYPERLINK("https://klasma.github.io/Logging_0980/tillsynsmail/A 447-2023 tillsynsbegäran mail.docx", "A 447-2023")</f>
        <v/>
      </c>
    </row>
    <row r="132" ht="15" customHeight="1">
      <c r="A132" t="inlineStr">
        <is>
          <t>A 24245-2022</t>
        </is>
      </c>
      <c r="B132" s="1" t="n">
        <v>44725</v>
      </c>
      <c r="C132" s="1" t="n">
        <v>45924</v>
      </c>
      <c r="D132" t="inlineStr">
        <is>
          <t>GOTLANDS LÄN</t>
        </is>
      </c>
      <c r="E132" t="inlineStr">
        <is>
          <t>GOTLAND</t>
        </is>
      </c>
      <c r="G132" t="n">
        <v>4.9</v>
      </c>
      <c r="H132" t="n">
        <v>0</v>
      </c>
      <c r="I132" t="n">
        <v>0</v>
      </c>
      <c r="J132" t="n">
        <v>0</v>
      </c>
      <c r="K132" t="n">
        <v>0</v>
      </c>
      <c r="L132" t="n">
        <v>1</v>
      </c>
      <c r="M132" t="n">
        <v>0</v>
      </c>
      <c r="N132" t="n">
        <v>0</v>
      </c>
      <c r="O132" t="n">
        <v>1</v>
      </c>
      <c r="P132" t="n">
        <v>1</v>
      </c>
      <c r="Q132" t="n">
        <v>1</v>
      </c>
      <c r="R132" s="2" t="inlineStr">
        <is>
          <t>Slät taggsvamp</t>
        </is>
      </c>
      <c r="S132">
        <f>HYPERLINK("https://klasma.github.io/Logging_0980/artfynd/A 24245-2022 artfynd.xlsx", "A 24245-2022")</f>
        <v/>
      </c>
      <c r="T132">
        <f>HYPERLINK("https://klasma.github.io/Logging_0980/kartor/A 24245-2022 karta.png", "A 24245-2022")</f>
        <v/>
      </c>
      <c r="V132">
        <f>HYPERLINK("https://klasma.github.io/Logging_0980/klagomål/A 24245-2022 FSC-klagomål.docx", "A 24245-2022")</f>
        <v/>
      </c>
      <c r="W132">
        <f>HYPERLINK("https://klasma.github.io/Logging_0980/klagomålsmail/A 24245-2022 FSC-klagomål mail.docx", "A 24245-2022")</f>
        <v/>
      </c>
      <c r="X132">
        <f>HYPERLINK("https://klasma.github.io/Logging_0980/tillsyn/A 24245-2022 tillsynsbegäran.docx", "A 24245-2022")</f>
        <v/>
      </c>
      <c r="Y132">
        <f>HYPERLINK("https://klasma.github.io/Logging_0980/tillsynsmail/A 24245-2022 tillsynsbegäran mail.docx", "A 24245-2022")</f>
        <v/>
      </c>
    </row>
    <row r="133" ht="15" customHeight="1">
      <c r="A133" t="inlineStr">
        <is>
          <t>A 34809-2024</t>
        </is>
      </c>
      <c r="B133" s="1" t="n">
        <v>45526</v>
      </c>
      <c r="C133" s="1" t="n">
        <v>45924</v>
      </c>
      <c r="D133" t="inlineStr">
        <is>
          <t>GOTLANDS LÄN</t>
        </is>
      </c>
      <c r="E133" t="inlineStr">
        <is>
          <t>GOTLAND</t>
        </is>
      </c>
      <c r="G133" t="n">
        <v>9.9</v>
      </c>
      <c r="H133" t="n">
        <v>1</v>
      </c>
      <c r="I133" t="n">
        <v>0</v>
      </c>
      <c r="J133" t="n">
        <v>1</v>
      </c>
      <c r="K133" t="n">
        <v>0</v>
      </c>
      <c r="L133" t="n">
        <v>0</v>
      </c>
      <c r="M133" t="n">
        <v>0</v>
      </c>
      <c r="N133" t="n">
        <v>0</v>
      </c>
      <c r="O133" t="n">
        <v>1</v>
      </c>
      <c r="P133" t="n">
        <v>0</v>
      </c>
      <c r="Q133" t="n">
        <v>1</v>
      </c>
      <c r="R133" s="2" t="inlineStr">
        <is>
          <t>Brun ögontröst</t>
        </is>
      </c>
      <c r="S133">
        <f>HYPERLINK("https://klasma.github.io/Logging_0980/artfynd/A 34809-2024 artfynd.xlsx", "A 34809-2024")</f>
        <v/>
      </c>
      <c r="T133">
        <f>HYPERLINK("https://klasma.github.io/Logging_0980/kartor/A 34809-2024 karta.png", "A 34809-2024")</f>
        <v/>
      </c>
      <c r="V133">
        <f>HYPERLINK("https://klasma.github.io/Logging_0980/klagomål/A 34809-2024 FSC-klagomål.docx", "A 34809-2024")</f>
        <v/>
      </c>
      <c r="W133">
        <f>HYPERLINK("https://klasma.github.io/Logging_0980/klagomålsmail/A 34809-2024 FSC-klagomål mail.docx", "A 34809-2024")</f>
        <v/>
      </c>
      <c r="X133">
        <f>HYPERLINK("https://klasma.github.io/Logging_0980/tillsyn/A 34809-2024 tillsynsbegäran.docx", "A 34809-2024")</f>
        <v/>
      </c>
      <c r="Y133">
        <f>HYPERLINK("https://klasma.github.io/Logging_0980/tillsynsmail/A 34809-2024 tillsynsbegäran mail.docx", "A 34809-2024")</f>
        <v/>
      </c>
    </row>
    <row r="134" ht="15" customHeight="1">
      <c r="A134" t="inlineStr">
        <is>
          <t>A 26461-2025</t>
        </is>
      </c>
      <c r="B134" s="1" t="n">
        <v>45807.43337962963</v>
      </c>
      <c r="C134" s="1" t="n">
        <v>45924</v>
      </c>
      <c r="D134" t="inlineStr">
        <is>
          <t>GOTLANDS LÄN</t>
        </is>
      </c>
      <c r="E134" t="inlineStr">
        <is>
          <t>GOTLAND</t>
        </is>
      </c>
      <c r="G134" t="n">
        <v>4.1</v>
      </c>
      <c r="H134" t="n">
        <v>0</v>
      </c>
      <c r="I134" t="n">
        <v>0</v>
      </c>
      <c r="J134" t="n">
        <v>0</v>
      </c>
      <c r="K134" t="n">
        <v>1</v>
      </c>
      <c r="L134" t="n">
        <v>0</v>
      </c>
      <c r="M134" t="n">
        <v>0</v>
      </c>
      <c r="N134" t="n">
        <v>0</v>
      </c>
      <c r="O134" t="n">
        <v>1</v>
      </c>
      <c r="P134" t="n">
        <v>1</v>
      </c>
      <c r="Q134" t="n">
        <v>1</v>
      </c>
      <c r="R134" s="2" t="inlineStr">
        <is>
          <t>Gotlandsmåra</t>
        </is>
      </c>
      <c r="S134">
        <f>HYPERLINK("https://klasma.github.io/Logging_0980/artfynd/A 26461-2025 artfynd.xlsx", "A 26461-2025")</f>
        <v/>
      </c>
      <c r="T134">
        <f>HYPERLINK("https://klasma.github.io/Logging_0980/kartor/A 26461-2025 karta.png", "A 26461-2025")</f>
        <v/>
      </c>
      <c r="V134">
        <f>HYPERLINK("https://klasma.github.io/Logging_0980/klagomål/A 26461-2025 FSC-klagomål.docx", "A 26461-2025")</f>
        <v/>
      </c>
      <c r="W134">
        <f>HYPERLINK("https://klasma.github.io/Logging_0980/klagomålsmail/A 26461-2025 FSC-klagomål mail.docx", "A 26461-2025")</f>
        <v/>
      </c>
      <c r="X134">
        <f>HYPERLINK("https://klasma.github.io/Logging_0980/tillsyn/A 26461-2025 tillsynsbegäran.docx", "A 26461-2025")</f>
        <v/>
      </c>
      <c r="Y134">
        <f>HYPERLINK("https://klasma.github.io/Logging_0980/tillsynsmail/A 26461-2025 tillsynsbegäran mail.docx", "A 26461-2025")</f>
        <v/>
      </c>
    </row>
    <row r="135" ht="15" customHeight="1">
      <c r="A135" t="inlineStr">
        <is>
          <t>A 49304-2024</t>
        </is>
      </c>
      <c r="B135" s="1" t="n">
        <v>45595.54996527778</v>
      </c>
      <c r="C135" s="1" t="n">
        <v>45924</v>
      </c>
      <c r="D135" t="inlineStr">
        <is>
          <t>GOTLANDS LÄN</t>
        </is>
      </c>
      <c r="E135" t="inlineStr">
        <is>
          <t>GOTLAND</t>
        </is>
      </c>
      <c r="G135" t="n">
        <v>10.8</v>
      </c>
      <c r="H135" t="n">
        <v>0</v>
      </c>
      <c r="I135" t="n">
        <v>0</v>
      </c>
      <c r="J135" t="n">
        <v>1</v>
      </c>
      <c r="K135" t="n">
        <v>0</v>
      </c>
      <c r="L135" t="n">
        <v>0</v>
      </c>
      <c r="M135" t="n">
        <v>0</v>
      </c>
      <c r="N135" t="n">
        <v>0</v>
      </c>
      <c r="O135" t="n">
        <v>1</v>
      </c>
      <c r="P135" t="n">
        <v>0</v>
      </c>
      <c r="Q135" t="n">
        <v>1</v>
      </c>
      <c r="R135" s="2" t="inlineStr">
        <is>
          <t>Åkerranunkel</t>
        </is>
      </c>
      <c r="S135">
        <f>HYPERLINK("https://klasma.github.io/Logging_0980/artfynd/A 49304-2024 artfynd.xlsx", "A 49304-2024")</f>
        <v/>
      </c>
      <c r="T135">
        <f>HYPERLINK("https://klasma.github.io/Logging_0980/kartor/A 49304-2024 karta.png", "A 49304-2024")</f>
        <v/>
      </c>
      <c r="V135">
        <f>HYPERLINK("https://klasma.github.io/Logging_0980/klagomål/A 49304-2024 FSC-klagomål.docx", "A 49304-2024")</f>
        <v/>
      </c>
      <c r="W135">
        <f>HYPERLINK("https://klasma.github.io/Logging_0980/klagomålsmail/A 49304-2024 FSC-klagomål mail.docx", "A 49304-2024")</f>
        <v/>
      </c>
      <c r="X135">
        <f>HYPERLINK("https://klasma.github.io/Logging_0980/tillsyn/A 49304-2024 tillsynsbegäran.docx", "A 49304-2024")</f>
        <v/>
      </c>
      <c r="Y135">
        <f>HYPERLINK("https://klasma.github.io/Logging_0980/tillsynsmail/A 49304-2024 tillsynsbegäran mail.docx", "A 49304-2024")</f>
        <v/>
      </c>
    </row>
    <row r="136" ht="15" customHeight="1">
      <c r="A136" t="inlineStr">
        <is>
          <t>A 22782-2023</t>
        </is>
      </c>
      <c r="B136" s="1" t="n">
        <v>45072</v>
      </c>
      <c r="C136" s="1" t="n">
        <v>45924</v>
      </c>
      <c r="D136" t="inlineStr">
        <is>
          <t>GOTLANDS LÄN</t>
        </is>
      </c>
      <c r="E136" t="inlineStr">
        <is>
          <t>GOTLAND</t>
        </is>
      </c>
      <c r="F136" t="inlineStr">
        <is>
          <t>Kyrkan</t>
        </is>
      </c>
      <c r="G136" t="n">
        <v>3.1</v>
      </c>
      <c r="H136" t="n">
        <v>1</v>
      </c>
      <c r="I136" t="n">
        <v>0</v>
      </c>
      <c r="J136" t="n">
        <v>0</v>
      </c>
      <c r="K136" t="n">
        <v>0</v>
      </c>
      <c r="L136" t="n">
        <v>0</v>
      </c>
      <c r="M136" t="n">
        <v>0</v>
      </c>
      <c r="N136" t="n">
        <v>0</v>
      </c>
      <c r="O136" t="n">
        <v>0</v>
      </c>
      <c r="P136" t="n">
        <v>0</v>
      </c>
      <c r="Q136" t="n">
        <v>1</v>
      </c>
      <c r="R136" s="2" t="inlineStr">
        <is>
          <t>Ängsnycklar × skogsnycklar</t>
        </is>
      </c>
      <c r="S136">
        <f>HYPERLINK("https://klasma.github.io/Logging_0980/artfynd/A 22782-2023 artfynd.xlsx", "A 22782-2023")</f>
        <v/>
      </c>
      <c r="T136">
        <f>HYPERLINK("https://klasma.github.io/Logging_0980/kartor/A 22782-2023 karta.png", "A 22782-2023")</f>
        <v/>
      </c>
      <c r="V136">
        <f>HYPERLINK("https://klasma.github.io/Logging_0980/klagomål/A 22782-2023 FSC-klagomål.docx", "A 22782-2023")</f>
        <v/>
      </c>
      <c r="W136">
        <f>HYPERLINK("https://klasma.github.io/Logging_0980/klagomålsmail/A 22782-2023 FSC-klagomål mail.docx", "A 22782-2023")</f>
        <v/>
      </c>
      <c r="X136">
        <f>HYPERLINK("https://klasma.github.io/Logging_0980/tillsyn/A 22782-2023 tillsynsbegäran.docx", "A 22782-2023")</f>
        <v/>
      </c>
      <c r="Y136">
        <f>HYPERLINK("https://klasma.github.io/Logging_0980/tillsynsmail/A 22782-2023 tillsynsbegäran mail.docx", "A 22782-2023")</f>
        <v/>
      </c>
    </row>
    <row r="137" ht="15" customHeight="1">
      <c r="A137" t="inlineStr">
        <is>
          <t>A 44308-2021</t>
        </is>
      </c>
      <c r="B137" s="1" t="n">
        <v>44434</v>
      </c>
      <c r="C137" s="1" t="n">
        <v>45924</v>
      </c>
      <c r="D137" t="inlineStr">
        <is>
          <t>GOTLANDS LÄN</t>
        </is>
      </c>
      <c r="E137" t="inlineStr">
        <is>
          <t>GOTLAND</t>
        </is>
      </c>
      <c r="G137" t="n">
        <v>5.9</v>
      </c>
      <c r="H137" t="n">
        <v>0</v>
      </c>
      <c r="I137" t="n">
        <v>1</v>
      </c>
      <c r="J137" t="n">
        <v>0</v>
      </c>
      <c r="K137" t="n">
        <v>0</v>
      </c>
      <c r="L137" t="n">
        <v>0</v>
      </c>
      <c r="M137" t="n">
        <v>0</v>
      </c>
      <c r="N137" t="n">
        <v>0</v>
      </c>
      <c r="O137" t="n">
        <v>0</v>
      </c>
      <c r="P137" t="n">
        <v>0</v>
      </c>
      <c r="Q137" t="n">
        <v>1</v>
      </c>
      <c r="R137" s="2" t="inlineStr">
        <is>
          <t>Svavelriska</t>
        </is>
      </c>
      <c r="S137">
        <f>HYPERLINK("https://klasma.github.io/Logging_0980/artfynd/A 44308-2021 artfynd.xlsx", "A 44308-2021")</f>
        <v/>
      </c>
      <c r="T137">
        <f>HYPERLINK("https://klasma.github.io/Logging_0980/kartor/A 44308-2021 karta.png", "A 44308-2021")</f>
        <v/>
      </c>
      <c r="V137">
        <f>HYPERLINK("https://klasma.github.io/Logging_0980/klagomål/A 44308-2021 FSC-klagomål.docx", "A 44308-2021")</f>
        <v/>
      </c>
      <c r="W137">
        <f>HYPERLINK("https://klasma.github.io/Logging_0980/klagomålsmail/A 44308-2021 FSC-klagomål mail.docx", "A 44308-2021")</f>
        <v/>
      </c>
      <c r="X137">
        <f>HYPERLINK("https://klasma.github.io/Logging_0980/tillsyn/A 44308-2021 tillsynsbegäran.docx", "A 44308-2021")</f>
        <v/>
      </c>
      <c r="Y137">
        <f>HYPERLINK("https://klasma.github.io/Logging_0980/tillsynsmail/A 44308-2021 tillsynsbegäran mail.docx", "A 44308-2021")</f>
        <v/>
      </c>
    </row>
    <row r="138" ht="15" customHeight="1">
      <c r="A138" t="inlineStr">
        <is>
          <t>A 44088-2022</t>
        </is>
      </c>
      <c r="B138" s="1" t="n">
        <v>44839</v>
      </c>
      <c r="C138" s="1" t="n">
        <v>45924</v>
      </c>
      <c r="D138" t="inlineStr">
        <is>
          <t>GOTLANDS LÄN</t>
        </is>
      </c>
      <c r="E138" t="inlineStr">
        <is>
          <t>GOTLAND</t>
        </is>
      </c>
      <c r="G138" t="n">
        <v>1.5</v>
      </c>
      <c r="H138" t="n">
        <v>0</v>
      </c>
      <c r="I138" t="n">
        <v>1</v>
      </c>
      <c r="J138" t="n">
        <v>0</v>
      </c>
      <c r="K138" t="n">
        <v>0</v>
      </c>
      <c r="L138" t="n">
        <v>0</v>
      </c>
      <c r="M138" t="n">
        <v>0</v>
      </c>
      <c r="N138" t="n">
        <v>0</v>
      </c>
      <c r="O138" t="n">
        <v>0</v>
      </c>
      <c r="P138" t="n">
        <v>0</v>
      </c>
      <c r="Q138" t="n">
        <v>1</v>
      </c>
      <c r="R138" s="2" t="inlineStr">
        <is>
          <t>Strävlosta</t>
        </is>
      </c>
      <c r="S138">
        <f>HYPERLINK("https://klasma.github.io/Logging_0980/artfynd/A 44088-2022 artfynd.xlsx", "A 44088-2022")</f>
        <v/>
      </c>
      <c r="T138">
        <f>HYPERLINK("https://klasma.github.io/Logging_0980/kartor/A 44088-2022 karta.png", "A 44088-2022")</f>
        <v/>
      </c>
      <c r="V138">
        <f>HYPERLINK("https://klasma.github.io/Logging_0980/klagomål/A 44088-2022 FSC-klagomål.docx", "A 44088-2022")</f>
        <v/>
      </c>
      <c r="W138">
        <f>HYPERLINK("https://klasma.github.io/Logging_0980/klagomålsmail/A 44088-2022 FSC-klagomål mail.docx", "A 44088-2022")</f>
        <v/>
      </c>
      <c r="X138">
        <f>HYPERLINK("https://klasma.github.io/Logging_0980/tillsyn/A 44088-2022 tillsynsbegäran.docx", "A 44088-2022")</f>
        <v/>
      </c>
      <c r="Y138">
        <f>HYPERLINK("https://klasma.github.io/Logging_0980/tillsynsmail/A 44088-2022 tillsynsbegäran mail.docx", "A 44088-2022")</f>
        <v/>
      </c>
    </row>
    <row r="139" ht="15" customHeight="1">
      <c r="A139" t="inlineStr">
        <is>
          <t>A 46527-2023</t>
        </is>
      </c>
      <c r="B139" s="1" t="n">
        <v>45197</v>
      </c>
      <c r="C139" s="1" t="n">
        <v>45924</v>
      </c>
      <c r="D139" t="inlineStr">
        <is>
          <t>GOTLANDS LÄN</t>
        </is>
      </c>
      <c r="E139" t="inlineStr">
        <is>
          <t>GOTLAND</t>
        </is>
      </c>
      <c r="G139" t="n">
        <v>0.9</v>
      </c>
      <c r="H139" t="n">
        <v>0</v>
      </c>
      <c r="I139" t="n">
        <v>0</v>
      </c>
      <c r="J139" t="n">
        <v>1</v>
      </c>
      <c r="K139" t="n">
        <v>0</v>
      </c>
      <c r="L139" t="n">
        <v>0</v>
      </c>
      <c r="M139" t="n">
        <v>0</v>
      </c>
      <c r="N139" t="n">
        <v>0</v>
      </c>
      <c r="O139" t="n">
        <v>1</v>
      </c>
      <c r="P139" t="n">
        <v>0</v>
      </c>
      <c r="Q139" t="n">
        <v>1</v>
      </c>
      <c r="R139" s="2" t="inlineStr">
        <is>
          <t>Guldgräshoppa</t>
        </is>
      </c>
      <c r="S139">
        <f>HYPERLINK("https://klasma.github.io/Logging_0980/artfynd/A 46527-2023 artfynd.xlsx", "A 46527-2023")</f>
        <v/>
      </c>
      <c r="T139">
        <f>HYPERLINK("https://klasma.github.io/Logging_0980/kartor/A 46527-2023 karta.png", "A 46527-2023")</f>
        <v/>
      </c>
      <c r="V139">
        <f>HYPERLINK("https://klasma.github.io/Logging_0980/klagomål/A 46527-2023 FSC-klagomål.docx", "A 46527-2023")</f>
        <v/>
      </c>
      <c r="W139">
        <f>HYPERLINK("https://klasma.github.io/Logging_0980/klagomålsmail/A 46527-2023 FSC-klagomål mail.docx", "A 46527-2023")</f>
        <v/>
      </c>
      <c r="X139">
        <f>HYPERLINK("https://klasma.github.io/Logging_0980/tillsyn/A 46527-2023 tillsynsbegäran.docx", "A 46527-2023")</f>
        <v/>
      </c>
      <c r="Y139">
        <f>HYPERLINK("https://klasma.github.io/Logging_0980/tillsynsmail/A 46527-2023 tillsynsbegäran mail.docx", "A 46527-2023")</f>
        <v/>
      </c>
    </row>
    <row r="140" ht="15" customHeight="1">
      <c r="A140" t="inlineStr">
        <is>
          <t>A 17723-2021</t>
        </is>
      </c>
      <c r="B140" s="1" t="n">
        <v>44300</v>
      </c>
      <c r="C140" s="1" t="n">
        <v>45924</v>
      </c>
      <c r="D140" t="inlineStr">
        <is>
          <t>GOTLANDS LÄN</t>
        </is>
      </c>
      <c r="E140" t="inlineStr">
        <is>
          <t>GOTLAND</t>
        </is>
      </c>
      <c r="G140" t="n">
        <v>1.5</v>
      </c>
      <c r="H140" t="n">
        <v>1</v>
      </c>
      <c r="I140" t="n">
        <v>1</v>
      </c>
      <c r="J140" t="n">
        <v>0</v>
      </c>
      <c r="K140" t="n">
        <v>0</v>
      </c>
      <c r="L140" t="n">
        <v>0</v>
      </c>
      <c r="M140" t="n">
        <v>0</v>
      </c>
      <c r="N140" t="n">
        <v>0</v>
      </c>
      <c r="O140" t="n">
        <v>0</v>
      </c>
      <c r="P140" t="n">
        <v>0</v>
      </c>
      <c r="Q140" t="n">
        <v>1</v>
      </c>
      <c r="R140" s="2" t="inlineStr">
        <is>
          <t>Vit skogslilja</t>
        </is>
      </c>
      <c r="S140">
        <f>HYPERLINK("https://klasma.github.io/Logging_0980/artfynd/A 17723-2021 artfynd.xlsx", "A 17723-2021")</f>
        <v/>
      </c>
      <c r="T140">
        <f>HYPERLINK("https://klasma.github.io/Logging_0980/kartor/A 17723-2021 karta.png", "A 17723-2021")</f>
        <v/>
      </c>
      <c r="V140">
        <f>HYPERLINK("https://klasma.github.io/Logging_0980/klagomål/A 17723-2021 FSC-klagomål.docx", "A 17723-2021")</f>
        <v/>
      </c>
      <c r="W140">
        <f>HYPERLINK("https://klasma.github.io/Logging_0980/klagomålsmail/A 17723-2021 FSC-klagomål mail.docx", "A 17723-2021")</f>
        <v/>
      </c>
      <c r="X140">
        <f>HYPERLINK("https://klasma.github.io/Logging_0980/tillsyn/A 17723-2021 tillsynsbegäran.docx", "A 17723-2021")</f>
        <v/>
      </c>
      <c r="Y140">
        <f>HYPERLINK("https://klasma.github.io/Logging_0980/tillsynsmail/A 17723-2021 tillsynsbegäran mail.docx", "A 17723-2021")</f>
        <v/>
      </c>
    </row>
    <row r="141" ht="15" customHeight="1">
      <c r="A141" t="inlineStr">
        <is>
          <t>A 9862-2024</t>
        </is>
      </c>
      <c r="B141" s="1" t="n">
        <v>45363</v>
      </c>
      <c r="C141" s="1" t="n">
        <v>45924</v>
      </c>
      <c r="D141" t="inlineStr">
        <is>
          <t>GOTLANDS LÄN</t>
        </is>
      </c>
      <c r="E141" t="inlineStr">
        <is>
          <t>GOTLAND</t>
        </is>
      </c>
      <c r="G141" t="n">
        <v>3.5</v>
      </c>
      <c r="H141" t="n">
        <v>1</v>
      </c>
      <c r="I141" t="n">
        <v>0</v>
      </c>
      <c r="J141" t="n">
        <v>0</v>
      </c>
      <c r="K141" t="n">
        <v>0</v>
      </c>
      <c r="L141" t="n">
        <v>0</v>
      </c>
      <c r="M141" t="n">
        <v>0</v>
      </c>
      <c r="N141" t="n">
        <v>0</v>
      </c>
      <c r="O141" t="n">
        <v>0</v>
      </c>
      <c r="P141" t="n">
        <v>0</v>
      </c>
      <c r="Q141" t="n">
        <v>1</v>
      </c>
      <c r="R141" s="2" t="inlineStr">
        <is>
          <t>Nattviol</t>
        </is>
      </c>
      <c r="S141">
        <f>HYPERLINK("https://klasma.github.io/Logging_0980/artfynd/A 9862-2024 artfynd.xlsx", "A 9862-2024")</f>
        <v/>
      </c>
      <c r="T141">
        <f>HYPERLINK("https://klasma.github.io/Logging_0980/kartor/A 9862-2024 karta.png", "A 9862-2024")</f>
        <v/>
      </c>
      <c r="V141">
        <f>HYPERLINK("https://klasma.github.io/Logging_0980/klagomål/A 9862-2024 FSC-klagomål.docx", "A 9862-2024")</f>
        <v/>
      </c>
      <c r="W141">
        <f>HYPERLINK("https://klasma.github.io/Logging_0980/klagomålsmail/A 9862-2024 FSC-klagomål mail.docx", "A 9862-2024")</f>
        <v/>
      </c>
      <c r="X141">
        <f>HYPERLINK("https://klasma.github.io/Logging_0980/tillsyn/A 9862-2024 tillsynsbegäran.docx", "A 9862-2024")</f>
        <v/>
      </c>
      <c r="Y141">
        <f>HYPERLINK("https://klasma.github.io/Logging_0980/tillsynsmail/A 9862-2024 tillsynsbegäran mail.docx", "A 9862-2024")</f>
        <v/>
      </c>
    </row>
    <row r="142" ht="15" customHeight="1">
      <c r="A142" t="inlineStr">
        <is>
          <t>A 34141-2024</t>
        </is>
      </c>
      <c r="B142" s="1" t="n">
        <v>45524.36229166666</v>
      </c>
      <c r="C142" s="1" t="n">
        <v>45924</v>
      </c>
      <c r="D142" t="inlineStr">
        <is>
          <t>GOTLANDS LÄN</t>
        </is>
      </c>
      <c r="E142" t="inlineStr">
        <is>
          <t>GOTLAND</t>
        </is>
      </c>
      <c r="G142" t="n">
        <v>0.9</v>
      </c>
      <c r="H142" t="n">
        <v>0</v>
      </c>
      <c r="I142" t="n">
        <v>1</v>
      </c>
      <c r="J142" t="n">
        <v>0</v>
      </c>
      <c r="K142" t="n">
        <v>0</v>
      </c>
      <c r="L142" t="n">
        <v>0</v>
      </c>
      <c r="M142" t="n">
        <v>0</v>
      </c>
      <c r="N142" t="n">
        <v>0</v>
      </c>
      <c r="O142" t="n">
        <v>0</v>
      </c>
      <c r="P142" t="n">
        <v>0</v>
      </c>
      <c r="Q142" t="n">
        <v>1</v>
      </c>
      <c r="R142" s="2" t="inlineStr">
        <is>
          <t>Strävlosta</t>
        </is>
      </c>
      <c r="S142">
        <f>HYPERLINK("https://klasma.github.io/Logging_0980/artfynd/A 34141-2024 artfynd.xlsx", "A 34141-2024")</f>
        <v/>
      </c>
      <c r="T142">
        <f>HYPERLINK("https://klasma.github.io/Logging_0980/kartor/A 34141-2024 karta.png", "A 34141-2024")</f>
        <v/>
      </c>
      <c r="V142">
        <f>HYPERLINK("https://klasma.github.io/Logging_0980/klagomål/A 34141-2024 FSC-klagomål.docx", "A 34141-2024")</f>
        <v/>
      </c>
      <c r="W142">
        <f>HYPERLINK("https://klasma.github.io/Logging_0980/klagomålsmail/A 34141-2024 FSC-klagomål mail.docx", "A 34141-2024")</f>
        <v/>
      </c>
      <c r="X142">
        <f>HYPERLINK("https://klasma.github.io/Logging_0980/tillsyn/A 34141-2024 tillsynsbegäran.docx", "A 34141-2024")</f>
        <v/>
      </c>
      <c r="Y142">
        <f>HYPERLINK("https://klasma.github.io/Logging_0980/tillsynsmail/A 34141-2024 tillsynsbegäran mail.docx", "A 34141-2024")</f>
        <v/>
      </c>
    </row>
    <row r="143" ht="15" customHeight="1">
      <c r="A143" t="inlineStr">
        <is>
          <t>A 8725-2025</t>
        </is>
      </c>
      <c r="B143" s="1" t="n">
        <v>45712</v>
      </c>
      <c r="C143" s="1" t="n">
        <v>45924</v>
      </c>
      <c r="D143" t="inlineStr">
        <is>
          <t>GOTLANDS LÄN</t>
        </is>
      </c>
      <c r="E143" t="inlineStr">
        <is>
          <t>GOTLAND</t>
        </is>
      </c>
      <c r="G143" t="n">
        <v>4.4</v>
      </c>
      <c r="H143" t="n">
        <v>1</v>
      </c>
      <c r="I143" t="n">
        <v>0</v>
      </c>
      <c r="J143" t="n">
        <v>1</v>
      </c>
      <c r="K143" t="n">
        <v>0</v>
      </c>
      <c r="L143" t="n">
        <v>0</v>
      </c>
      <c r="M143" t="n">
        <v>0</v>
      </c>
      <c r="N143" t="n">
        <v>0</v>
      </c>
      <c r="O143" t="n">
        <v>1</v>
      </c>
      <c r="P143" t="n">
        <v>0</v>
      </c>
      <c r="Q143" t="n">
        <v>1</v>
      </c>
      <c r="R143" s="2" t="inlineStr">
        <is>
          <t>Spillkråka</t>
        </is>
      </c>
      <c r="S143">
        <f>HYPERLINK("https://klasma.github.io/Logging_0980/artfynd/A 8725-2025 artfynd.xlsx", "A 8725-2025")</f>
        <v/>
      </c>
      <c r="T143">
        <f>HYPERLINK("https://klasma.github.io/Logging_0980/kartor/A 8725-2025 karta.png", "A 8725-2025")</f>
        <v/>
      </c>
      <c r="V143">
        <f>HYPERLINK("https://klasma.github.io/Logging_0980/klagomål/A 8725-2025 FSC-klagomål.docx", "A 8725-2025")</f>
        <v/>
      </c>
      <c r="W143">
        <f>HYPERLINK("https://klasma.github.io/Logging_0980/klagomålsmail/A 8725-2025 FSC-klagomål mail.docx", "A 8725-2025")</f>
        <v/>
      </c>
      <c r="X143">
        <f>HYPERLINK("https://klasma.github.io/Logging_0980/tillsyn/A 8725-2025 tillsynsbegäran.docx", "A 8725-2025")</f>
        <v/>
      </c>
      <c r="Y143">
        <f>HYPERLINK("https://klasma.github.io/Logging_0980/tillsynsmail/A 8725-2025 tillsynsbegäran mail.docx", "A 8725-2025")</f>
        <v/>
      </c>
      <c r="Z143">
        <f>HYPERLINK("https://klasma.github.io/Logging_0980/fåglar/A 8725-2025 prioriterade fågelarter.docx", "A 8725-2025")</f>
        <v/>
      </c>
    </row>
    <row r="144" ht="15" customHeight="1">
      <c r="A144" t="inlineStr">
        <is>
          <t>A 6303-2024</t>
        </is>
      </c>
      <c r="B144" s="1" t="n">
        <v>45338.35376157407</v>
      </c>
      <c r="C144" s="1" t="n">
        <v>45924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45924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27168-2022</t>
        </is>
      </c>
      <c r="B146" s="1" t="n">
        <v>44741</v>
      </c>
      <c r="C146" s="1" t="n">
        <v>45924</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39812-2025</t>
        </is>
      </c>
      <c r="B147" s="1" t="n">
        <v>45891</v>
      </c>
      <c r="C147" s="1" t="n">
        <v>45924</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45924</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27589-2023</t>
        </is>
      </c>
      <c r="B149" s="1" t="n">
        <v>45097</v>
      </c>
      <c r="C149" s="1" t="n">
        <v>45924</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7637-2025</t>
        </is>
      </c>
      <c r="B150" s="1" t="n">
        <v>45705.77181712963</v>
      </c>
      <c r="C150" s="1" t="n">
        <v>45924</v>
      </c>
      <c r="D150" t="inlineStr">
        <is>
          <t>GOTLANDS LÄN</t>
        </is>
      </c>
      <c r="E150" t="inlineStr">
        <is>
          <t>GOTLAND</t>
        </is>
      </c>
      <c r="G150" t="n">
        <v>3.7</v>
      </c>
      <c r="H150" t="n">
        <v>0</v>
      </c>
      <c r="I150" t="n">
        <v>0</v>
      </c>
      <c r="J150" t="n">
        <v>0</v>
      </c>
      <c r="K150" t="n">
        <v>0</v>
      </c>
      <c r="L150" t="n">
        <v>0</v>
      </c>
      <c r="M150" t="n">
        <v>1</v>
      </c>
      <c r="N150" t="n">
        <v>0</v>
      </c>
      <c r="O150" t="n">
        <v>1</v>
      </c>
      <c r="P150" t="n">
        <v>1</v>
      </c>
      <c r="Q150" t="n">
        <v>1</v>
      </c>
      <c r="R150" s="2" t="inlineStr">
        <is>
          <t>Skogsalm</t>
        </is>
      </c>
      <c r="S150">
        <f>HYPERLINK("https://klasma.github.io/Logging_0980/artfynd/A 7637-2025 artfynd.xlsx", "A 7637-2025")</f>
        <v/>
      </c>
      <c r="T150">
        <f>HYPERLINK("https://klasma.github.io/Logging_0980/kartor/A 7637-2025 karta.png", "A 7637-2025")</f>
        <v/>
      </c>
      <c r="V150">
        <f>HYPERLINK("https://klasma.github.io/Logging_0980/klagomål/A 7637-2025 FSC-klagomål.docx", "A 7637-2025")</f>
        <v/>
      </c>
      <c r="W150">
        <f>HYPERLINK("https://klasma.github.io/Logging_0980/klagomålsmail/A 7637-2025 FSC-klagomål mail.docx", "A 7637-2025")</f>
        <v/>
      </c>
      <c r="X150">
        <f>HYPERLINK("https://klasma.github.io/Logging_0980/tillsyn/A 7637-2025 tillsynsbegäran.docx", "A 7637-2025")</f>
        <v/>
      </c>
      <c r="Y150">
        <f>HYPERLINK("https://klasma.github.io/Logging_0980/tillsynsmail/A 7637-2025 tillsynsbegäran mail.docx", "A 7637-2025")</f>
        <v/>
      </c>
    </row>
    <row r="151" ht="15" customHeight="1">
      <c r="A151" t="inlineStr">
        <is>
          <t>A 65927-2021</t>
        </is>
      </c>
      <c r="B151" s="1" t="n">
        <v>44516</v>
      </c>
      <c r="C151" s="1" t="n">
        <v>45924</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44619-2025</t>
        </is>
      </c>
      <c r="B152" s="1" t="n">
        <v>45917</v>
      </c>
      <c r="C152" s="1" t="n">
        <v>45924</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947-2023</t>
        </is>
      </c>
      <c r="B153" s="1" t="n">
        <v>44934</v>
      </c>
      <c r="C153" s="1" t="n">
        <v>45924</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12924-2025</t>
        </is>
      </c>
      <c r="B154" s="1" t="n">
        <v>45734</v>
      </c>
      <c r="C154" s="1" t="n">
        <v>45924</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61561-2023</t>
        </is>
      </c>
      <c r="B155" s="1" t="n">
        <v>45265</v>
      </c>
      <c r="C155" s="1" t="n">
        <v>45924</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61796-2022</t>
        </is>
      </c>
      <c r="B156" s="1" t="n">
        <v>44917</v>
      </c>
      <c r="C156" s="1" t="n">
        <v>45924</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10218-2025</t>
        </is>
      </c>
      <c r="B157" s="1" t="n">
        <v>45720</v>
      </c>
      <c r="C157" s="1" t="n">
        <v>45924</v>
      </c>
      <c r="D157" t="inlineStr">
        <is>
          <t>GOTLANDS LÄN</t>
        </is>
      </c>
      <c r="E157" t="inlineStr">
        <is>
          <t>GOTLAND</t>
        </is>
      </c>
      <c r="G157" t="n">
        <v>8.1</v>
      </c>
      <c r="H157" t="n">
        <v>0</v>
      </c>
      <c r="I157" t="n">
        <v>1</v>
      </c>
      <c r="J157" t="n">
        <v>0</v>
      </c>
      <c r="K157" t="n">
        <v>0</v>
      </c>
      <c r="L157" t="n">
        <v>0</v>
      </c>
      <c r="M157" t="n">
        <v>0</v>
      </c>
      <c r="N157" t="n">
        <v>0</v>
      </c>
      <c r="O157" t="n">
        <v>0</v>
      </c>
      <c r="P157" t="n">
        <v>0</v>
      </c>
      <c r="Q157" t="n">
        <v>1</v>
      </c>
      <c r="R157" s="2" t="inlineStr">
        <is>
          <t>Kalktallört</t>
        </is>
      </c>
      <c r="S157">
        <f>HYPERLINK("https://klasma.github.io/Logging_0980/artfynd/A 10218-2025 artfynd.xlsx", "A 10218-2025")</f>
        <v/>
      </c>
      <c r="T157">
        <f>HYPERLINK("https://klasma.github.io/Logging_0980/kartor/A 10218-2025 karta.png", "A 10218-2025")</f>
        <v/>
      </c>
      <c r="V157">
        <f>HYPERLINK("https://klasma.github.io/Logging_0980/klagomål/A 10218-2025 FSC-klagomål.docx", "A 10218-2025")</f>
        <v/>
      </c>
      <c r="W157">
        <f>HYPERLINK("https://klasma.github.io/Logging_0980/klagomålsmail/A 10218-2025 FSC-klagomål mail.docx", "A 10218-2025")</f>
        <v/>
      </c>
      <c r="X157">
        <f>HYPERLINK("https://klasma.github.io/Logging_0980/tillsyn/A 10218-2025 tillsynsbegäran.docx", "A 10218-2025")</f>
        <v/>
      </c>
      <c r="Y157">
        <f>HYPERLINK("https://klasma.github.io/Logging_0980/tillsynsmail/A 10218-2025 tillsynsbegäran mail.docx", "A 10218-2025")</f>
        <v/>
      </c>
    </row>
    <row r="158" ht="15" customHeight="1">
      <c r="A158" t="inlineStr">
        <is>
          <t>A 12379-2024</t>
        </is>
      </c>
      <c r="B158" s="1" t="n">
        <v>45379.28155092592</v>
      </c>
      <c r="C158" s="1" t="n">
        <v>45924</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64700-2021</t>
        </is>
      </c>
      <c r="B159" s="1" t="n">
        <v>44511</v>
      </c>
      <c r="C159" s="1" t="n">
        <v>45924</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45924</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37591-2023</t>
        </is>
      </c>
      <c r="B161" s="1" t="n">
        <v>45159</v>
      </c>
      <c r="C161" s="1" t="n">
        <v>45924</v>
      </c>
      <c r="D161" t="inlineStr">
        <is>
          <t>GOTLANDS LÄN</t>
        </is>
      </c>
      <c r="E161" t="inlineStr">
        <is>
          <t>GOTLAND</t>
        </is>
      </c>
      <c r="G161" t="n">
        <v>8.300000000000001</v>
      </c>
      <c r="H161" t="n">
        <v>0</v>
      </c>
      <c r="I161" t="n">
        <v>0</v>
      </c>
      <c r="J161" t="n">
        <v>1</v>
      </c>
      <c r="K161" t="n">
        <v>0</v>
      </c>
      <c r="L161" t="n">
        <v>0</v>
      </c>
      <c r="M161" t="n">
        <v>0</v>
      </c>
      <c r="N161" t="n">
        <v>0</v>
      </c>
      <c r="O161" t="n">
        <v>1</v>
      </c>
      <c r="P161" t="n">
        <v>0</v>
      </c>
      <c r="Q161" t="n">
        <v>1</v>
      </c>
      <c r="R161" s="2" t="inlineStr">
        <is>
          <t>Ängsstarr</t>
        </is>
      </c>
      <c r="S161">
        <f>HYPERLINK("https://klasma.github.io/Logging_0980/artfynd/A 37591-2023 artfynd.xlsx", "A 37591-2023")</f>
        <v/>
      </c>
      <c r="T161">
        <f>HYPERLINK("https://klasma.github.io/Logging_0980/kartor/A 37591-2023 karta.png", "A 37591-2023")</f>
        <v/>
      </c>
      <c r="V161">
        <f>HYPERLINK("https://klasma.github.io/Logging_0980/klagomål/A 37591-2023 FSC-klagomål.docx", "A 37591-2023")</f>
        <v/>
      </c>
      <c r="W161">
        <f>HYPERLINK("https://klasma.github.io/Logging_0980/klagomålsmail/A 37591-2023 FSC-klagomål mail.docx", "A 37591-2023")</f>
        <v/>
      </c>
      <c r="X161">
        <f>HYPERLINK("https://klasma.github.io/Logging_0980/tillsyn/A 37591-2023 tillsynsbegäran.docx", "A 37591-2023")</f>
        <v/>
      </c>
      <c r="Y161">
        <f>HYPERLINK("https://klasma.github.io/Logging_0980/tillsynsmail/A 37591-2023 tillsynsbegäran mail.docx", "A 37591-2023")</f>
        <v/>
      </c>
    </row>
    <row r="162" ht="15" customHeight="1">
      <c r="A162" t="inlineStr">
        <is>
          <t>A 15637-2024</t>
        </is>
      </c>
      <c r="B162" s="1" t="n">
        <v>45403.6684837963</v>
      </c>
      <c r="C162" s="1" t="n">
        <v>45924</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13627-2023</t>
        </is>
      </c>
      <c r="B163" s="1" t="n">
        <v>45006</v>
      </c>
      <c r="C163" s="1" t="n">
        <v>45924</v>
      </c>
      <c r="D163" t="inlineStr">
        <is>
          <t>GOTLANDS LÄN</t>
        </is>
      </c>
      <c r="E163" t="inlineStr">
        <is>
          <t>GOTLAND</t>
        </is>
      </c>
      <c r="G163" t="n">
        <v>10.7</v>
      </c>
      <c r="H163" t="n">
        <v>0</v>
      </c>
      <c r="I163" t="n">
        <v>0</v>
      </c>
      <c r="J163" t="n">
        <v>0</v>
      </c>
      <c r="K163" t="n">
        <v>1</v>
      </c>
      <c r="L163" t="n">
        <v>0</v>
      </c>
      <c r="M163" t="n">
        <v>0</v>
      </c>
      <c r="N163" t="n">
        <v>0</v>
      </c>
      <c r="O163" t="n">
        <v>1</v>
      </c>
      <c r="P163" t="n">
        <v>1</v>
      </c>
      <c r="Q163" t="n">
        <v>1</v>
      </c>
      <c r="R163" s="2" t="inlineStr">
        <is>
          <t>Sammetsbockrot</t>
        </is>
      </c>
      <c r="S163">
        <f>HYPERLINK("https://klasma.github.io/Logging_0980/artfynd/A 13627-2023 artfynd.xlsx", "A 13627-2023")</f>
        <v/>
      </c>
      <c r="T163">
        <f>HYPERLINK("https://klasma.github.io/Logging_0980/kartor/A 13627-2023 karta.png", "A 13627-2023")</f>
        <v/>
      </c>
      <c r="V163">
        <f>HYPERLINK("https://klasma.github.io/Logging_0980/klagomål/A 13627-2023 FSC-klagomål.docx", "A 13627-2023")</f>
        <v/>
      </c>
      <c r="W163">
        <f>HYPERLINK("https://klasma.github.io/Logging_0980/klagomålsmail/A 13627-2023 FSC-klagomål mail.docx", "A 13627-2023")</f>
        <v/>
      </c>
      <c r="X163">
        <f>HYPERLINK("https://klasma.github.io/Logging_0980/tillsyn/A 13627-2023 tillsynsbegäran.docx", "A 13627-2023")</f>
        <v/>
      </c>
      <c r="Y163">
        <f>HYPERLINK("https://klasma.github.io/Logging_0980/tillsynsmail/A 13627-2023 tillsynsbegäran mail.docx", "A 13627-2023")</f>
        <v/>
      </c>
    </row>
    <row r="164" ht="15" customHeight="1">
      <c r="A164" t="inlineStr">
        <is>
          <t>A 12324-2025</t>
        </is>
      </c>
      <c r="B164" s="1" t="n">
        <v>45730</v>
      </c>
      <c r="C164" s="1" t="n">
        <v>45924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63299-2020</t>
        </is>
      </c>
      <c r="B165" s="1" t="n">
        <v>44165</v>
      </c>
      <c r="C165" s="1" t="n">
        <v>45924</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2476-2025</t>
        </is>
      </c>
      <c r="B166" s="1" t="n">
        <v>45673</v>
      </c>
      <c r="C166" s="1" t="n">
        <v>45924</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49847-2023</t>
        </is>
      </c>
      <c r="B167" s="1" t="n">
        <v>45212</v>
      </c>
      <c r="C167" s="1" t="n">
        <v>45924</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20429-2025</t>
        </is>
      </c>
      <c r="B168" s="1" t="n">
        <v>45775.47728009259</v>
      </c>
      <c r="C168" s="1" t="n">
        <v>45924</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10995-2023</t>
        </is>
      </c>
      <c r="B169" s="1" t="n">
        <v>44986</v>
      </c>
      <c r="C169" s="1" t="n">
        <v>45924</v>
      </c>
      <c r="D169" t="inlineStr">
        <is>
          <t>GOTLANDS LÄN</t>
        </is>
      </c>
      <c r="E169" t="inlineStr">
        <is>
          <t>GOTLAND</t>
        </is>
      </c>
      <c r="G169" t="n">
        <v>2.8</v>
      </c>
      <c r="H169" t="n">
        <v>0</v>
      </c>
      <c r="I169" t="n">
        <v>0</v>
      </c>
      <c r="J169" t="n">
        <v>0</v>
      </c>
      <c r="K169" t="n">
        <v>1</v>
      </c>
      <c r="L169" t="n">
        <v>0</v>
      </c>
      <c r="M169" t="n">
        <v>0</v>
      </c>
      <c r="N169" t="n">
        <v>0</v>
      </c>
      <c r="O169" t="n">
        <v>1</v>
      </c>
      <c r="P169" t="n">
        <v>1</v>
      </c>
      <c r="Q169" t="n">
        <v>1</v>
      </c>
      <c r="R169" s="2" t="inlineStr">
        <is>
          <t>Violettfläckig spindling</t>
        </is>
      </c>
      <c r="S169">
        <f>HYPERLINK("https://klasma.github.io/Logging_0980/artfynd/A 10995-2023 artfynd.xlsx", "A 10995-2023")</f>
        <v/>
      </c>
      <c r="T169">
        <f>HYPERLINK("https://klasma.github.io/Logging_0980/kartor/A 10995-2023 karta.png", "A 10995-2023")</f>
        <v/>
      </c>
      <c r="V169">
        <f>HYPERLINK("https://klasma.github.io/Logging_0980/klagomål/A 10995-2023 FSC-klagomål.docx", "A 10995-2023")</f>
        <v/>
      </c>
      <c r="W169">
        <f>HYPERLINK("https://klasma.github.io/Logging_0980/klagomålsmail/A 10995-2023 FSC-klagomål mail.docx", "A 10995-2023")</f>
        <v/>
      </c>
      <c r="X169">
        <f>HYPERLINK("https://klasma.github.io/Logging_0980/tillsyn/A 10995-2023 tillsynsbegäran.docx", "A 10995-2023")</f>
        <v/>
      </c>
      <c r="Y169">
        <f>HYPERLINK("https://klasma.github.io/Logging_0980/tillsynsmail/A 10995-2023 tillsynsbegäran mail.docx", "A 10995-2023")</f>
        <v/>
      </c>
    </row>
    <row r="170" ht="15" customHeight="1">
      <c r="A170" t="inlineStr">
        <is>
          <t>A 63576-2021</t>
        </is>
      </c>
      <c r="B170" s="1" t="n">
        <v>44508</v>
      </c>
      <c r="C170" s="1" t="n">
        <v>45924</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21466-2025</t>
        </is>
      </c>
      <c r="B171" s="1" t="n">
        <v>45782</v>
      </c>
      <c r="C171" s="1" t="n">
        <v>45924</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10440-2024</t>
        </is>
      </c>
      <c r="B172" s="1" t="n">
        <v>45366.32818287037</v>
      </c>
      <c r="C172" s="1" t="n">
        <v>45924</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19901-2021</t>
        </is>
      </c>
      <c r="B173" s="1" t="n">
        <v>44312</v>
      </c>
      <c r="C173" s="1" t="n">
        <v>45924</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45924</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45924</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45924</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45924</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45924</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45924</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45924</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45924</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45924</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45924</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45924</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45924</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45924</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45924</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45924</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45924</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45924</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45924</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45924</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45924</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45924</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45924</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45924</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45924</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45924</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45924</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45924</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45924</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45924</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45924</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23910-2021</t>
        </is>
      </c>
      <c r="B205" s="1" t="n">
        <v>44335</v>
      </c>
      <c r="C205" s="1" t="n">
        <v>45924</v>
      </c>
      <c r="D205" t="inlineStr">
        <is>
          <t>GOTLANDS LÄN</t>
        </is>
      </c>
      <c r="E205" t="inlineStr">
        <is>
          <t>GOTLAND</t>
        </is>
      </c>
      <c r="G205" t="n">
        <v>1.5</v>
      </c>
      <c r="H205" t="n">
        <v>0</v>
      </c>
      <c r="I205" t="n">
        <v>0</v>
      </c>
      <c r="J205" t="n">
        <v>0</v>
      </c>
      <c r="K205" t="n">
        <v>0</v>
      </c>
      <c r="L205" t="n">
        <v>0</v>
      </c>
      <c r="M205" t="n">
        <v>0</v>
      </c>
      <c r="N205" t="n">
        <v>0</v>
      </c>
      <c r="O205" t="n">
        <v>0</v>
      </c>
      <c r="P205" t="n">
        <v>0</v>
      </c>
      <c r="Q205" t="n">
        <v>0</v>
      </c>
      <c r="R205" s="2" t="inlineStr"/>
    </row>
    <row r="206" ht="15" customHeight="1">
      <c r="A206" t="inlineStr">
        <is>
          <t>A 1229-2021</t>
        </is>
      </c>
      <c r="B206" s="1" t="n">
        <v>44208</v>
      </c>
      <c r="C206" s="1" t="n">
        <v>45924</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60607-2021</t>
        </is>
      </c>
      <c r="B207" s="1" t="n">
        <v>44496.58627314815</v>
      </c>
      <c r="C207" s="1" t="n">
        <v>45924</v>
      </c>
      <c r="D207" t="inlineStr">
        <is>
          <t>GOTLANDS LÄN</t>
        </is>
      </c>
      <c r="E207" t="inlineStr">
        <is>
          <t>GOTLAND</t>
        </is>
      </c>
      <c r="G207" t="n">
        <v>0.6</v>
      </c>
      <c r="H207" t="n">
        <v>0</v>
      </c>
      <c r="I207" t="n">
        <v>0</v>
      </c>
      <c r="J207" t="n">
        <v>0</v>
      </c>
      <c r="K207" t="n">
        <v>0</v>
      </c>
      <c r="L207" t="n">
        <v>0</v>
      </c>
      <c r="M207" t="n">
        <v>0</v>
      </c>
      <c r="N207" t="n">
        <v>0</v>
      </c>
      <c r="O207" t="n">
        <v>0</v>
      </c>
      <c r="P207" t="n">
        <v>0</v>
      </c>
      <c r="Q207" t="n">
        <v>0</v>
      </c>
      <c r="R207" s="2" t="inlineStr"/>
    </row>
    <row r="208" ht="15" customHeight="1">
      <c r="A208" t="inlineStr">
        <is>
          <t>A 62120-2020</t>
        </is>
      </c>
      <c r="B208" s="1" t="n">
        <v>44158</v>
      </c>
      <c r="C208" s="1" t="n">
        <v>45924</v>
      </c>
      <c r="D208" t="inlineStr">
        <is>
          <t>GOTLANDS LÄN</t>
        </is>
      </c>
      <c r="E208" t="inlineStr">
        <is>
          <t>GOTLAND</t>
        </is>
      </c>
      <c r="G208" t="n">
        <v>2.3</v>
      </c>
      <c r="H208" t="n">
        <v>0</v>
      </c>
      <c r="I208" t="n">
        <v>0</v>
      </c>
      <c r="J208" t="n">
        <v>0</v>
      </c>
      <c r="K208" t="n">
        <v>0</v>
      </c>
      <c r="L208" t="n">
        <v>0</v>
      </c>
      <c r="M208" t="n">
        <v>0</v>
      </c>
      <c r="N208" t="n">
        <v>0</v>
      </c>
      <c r="O208" t="n">
        <v>0</v>
      </c>
      <c r="P208" t="n">
        <v>0</v>
      </c>
      <c r="Q208" t="n">
        <v>0</v>
      </c>
      <c r="R208" s="2" t="inlineStr"/>
    </row>
    <row r="209" ht="15" customHeight="1">
      <c r="A209" t="inlineStr">
        <is>
          <t>A 3271-2021</t>
        </is>
      </c>
      <c r="B209" s="1" t="n">
        <v>44217</v>
      </c>
      <c r="C209" s="1" t="n">
        <v>45924</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17354-2022</t>
        </is>
      </c>
      <c r="B210" s="1" t="n">
        <v>44678</v>
      </c>
      <c r="C210" s="1" t="n">
        <v>45924</v>
      </c>
      <c r="D210" t="inlineStr">
        <is>
          <t>GOTLANDS LÄN</t>
        </is>
      </c>
      <c r="E210" t="inlineStr">
        <is>
          <t>GOTLAND</t>
        </is>
      </c>
      <c r="G210" t="n">
        <v>7.1</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45924</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45924</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45924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37037-2021</t>
        </is>
      </c>
      <c r="B214" s="1" t="n">
        <v>44393.84688657407</v>
      </c>
      <c r="C214" s="1" t="n">
        <v>45924</v>
      </c>
      <c r="D214" t="inlineStr">
        <is>
          <t>GOTLANDS LÄN</t>
        </is>
      </c>
      <c r="E214" t="inlineStr">
        <is>
          <t>GOTLAND</t>
        </is>
      </c>
      <c r="G214" t="n">
        <v>10.2</v>
      </c>
      <c r="H214" t="n">
        <v>0</v>
      </c>
      <c r="I214" t="n">
        <v>0</v>
      </c>
      <c r="J214" t="n">
        <v>0</v>
      </c>
      <c r="K214" t="n">
        <v>0</v>
      </c>
      <c r="L214" t="n">
        <v>0</v>
      </c>
      <c r="M214" t="n">
        <v>0</v>
      </c>
      <c r="N214" t="n">
        <v>0</v>
      </c>
      <c r="O214" t="n">
        <v>0</v>
      </c>
      <c r="P214" t="n">
        <v>0</v>
      </c>
      <c r="Q214" t="n">
        <v>0</v>
      </c>
      <c r="R214" s="2" t="inlineStr"/>
    </row>
    <row r="215" ht="15" customHeight="1">
      <c r="A215" t="inlineStr">
        <is>
          <t>A 64380-2020</t>
        </is>
      </c>
      <c r="B215" s="1" t="n">
        <v>44168.60128472222</v>
      </c>
      <c r="C215" s="1" t="n">
        <v>45924</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2608-2021</t>
        </is>
      </c>
      <c r="B216" s="1" t="n">
        <v>44214</v>
      </c>
      <c r="C216" s="1" t="n">
        <v>45924</v>
      </c>
      <c r="D216" t="inlineStr">
        <is>
          <t>GOTLANDS LÄN</t>
        </is>
      </c>
      <c r="E216" t="inlineStr">
        <is>
          <t>GOTLAND</t>
        </is>
      </c>
      <c r="G216" t="n">
        <v>3.9</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45924</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45924</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45924</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45924</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45924</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45924</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58224-2021</t>
        </is>
      </c>
      <c r="B223" s="1" t="n">
        <v>44487</v>
      </c>
      <c r="C223" s="1" t="n">
        <v>45924</v>
      </c>
      <c r="D223" t="inlineStr">
        <is>
          <t>GOTLANDS LÄN</t>
        </is>
      </c>
      <c r="E223" t="inlineStr">
        <is>
          <t>GOTLAND</t>
        </is>
      </c>
      <c r="G223" t="n">
        <v>1.4</v>
      </c>
      <c r="H223" t="n">
        <v>0</v>
      </c>
      <c r="I223" t="n">
        <v>0</v>
      </c>
      <c r="J223" t="n">
        <v>0</v>
      </c>
      <c r="K223" t="n">
        <v>0</v>
      </c>
      <c r="L223" t="n">
        <v>0</v>
      </c>
      <c r="M223" t="n">
        <v>0</v>
      </c>
      <c r="N223" t="n">
        <v>0</v>
      </c>
      <c r="O223" t="n">
        <v>0</v>
      </c>
      <c r="P223" t="n">
        <v>0</v>
      </c>
      <c r="Q223" t="n">
        <v>0</v>
      </c>
      <c r="R223" s="2" t="inlineStr"/>
    </row>
    <row r="224" ht="15" customHeight="1">
      <c r="A224" t="inlineStr">
        <is>
          <t>A 58815-2021</t>
        </is>
      </c>
      <c r="B224" s="1" t="n">
        <v>44489</v>
      </c>
      <c r="C224" s="1" t="n">
        <v>45924</v>
      </c>
      <c r="D224" t="inlineStr">
        <is>
          <t>GOTLANDS LÄN</t>
        </is>
      </c>
      <c r="E224" t="inlineStr">
        <is>
          <t>GOTLAND</t>
        </is>
      </c>
      <c r="G224" t="n">
        <v>4.1</v>
      </c>
      <c r="H224" t="n">
        <v>0</v>
      </c>
      <c r="I224" t="n">
        <v>0</v>
      </c>
      <c r="J224" t="n">
        <v>0</v>
      </c>
      <c r="K224" t="n">
        <v>0</v>
      </c>
      <c r="L224" t="n">
        <v>0</v>
      </c>
      <c r="M224" t="n">
        <v>0</v>
      </c>
      <c r="N224" t="n">
        <v>0</v>
      </c>
      <c r="O224" t="n">
        <v>0</v>
      </c>
      <c r="P224" t="n">
        <v>0</v>
      </c>
      <c r="Q224" t="n">
        <v>0</v>
      </c>
      <c r="R224" s="2" t="inlineStr"/>
    </row>
    <row r="225" ht="15" customHeight="1">
      <c r="A225" t="inlineStr">
        <is>
          <t>A 22155-2021</t>
        </is>
      </c>
      <c r="B225" s="1" t="n">
        <v>44325.49369212963</v>
      </c>
      <c r="C225" s="1" t="n">
        <v>45924</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45924</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61596-2023</t>
        </is>
      </c>
      <c r="B227" s="1" t="n">
        <v>45265</v>
      </c>
      <c r="C227" s="1" t="n">
        <v>45924</v>
      </c>
      <c r="D227" t="inlineStr">
        <is>
          <t>GOTLANDS LÄN</t>
        </is>
      </c>
      <c r="E227" t="inlineStr">
        <is>
          <t>GOTLAND</t>
        </is>
      </c>
      <c r="G227" t="n">
        <v>1.7</v>
      </c>
      <c r="H227" t="n">
        <v>0</v>
      </c>
      <c r="I227" t="n">
        <v>0</v>
      </c>
      <c r="J227" t="n">
        <v>0</v>
      </c>
      <c r="K227" t="n">
        <v>0</v>
      </c>
      <c r="L227" t="n">
        <v>0</v>
      </c>
      <c r="M227" t="n">
        <v>0</v>
      </c>
      <c r="N227" t="n">
        <v>0</v>
      </c>
      <c r="O227" t="n">
        <v>0</v>
      </c>
      <c r="P227" t="n">
        <v>0</v>
      </c>
      <c r="Q227" t="n">
        <v>0</v>
      </c>
      <c r="R227" s="2" t="inlineStr"/>
    </row>
    <row r="228" ht="15" customHeight="1">
      <c r="A228" t="inlineStr">
        <is>
          <t>A 873-2024</t>
        </is>
      </c>
      <c r="B228" s="1" t="n">
        <v>45301</v>
      </c>
      <c r="C228" s="1" t="n">
        <v>45924</v>
      </c>
      <c r="D228" t="inlineStr">
        <is>
          <t>GOTLANDS LÄN</t>
        </is>
      </c>
      <c r="E228" t="inlineStr">
        <is>
          <t>GOTLAND</t>
        </is>
      </c>
      <c r="G228" t="n">
        <v>2.7</v>
      </c>
      <c r="H228" t="n">
        <v>0</v>
      </c>
      <c r="I228" t="n">
        <v>0</v>
      </c>
      <c r="J228" t="n">
        <v>0</v>
      </c>
      <c r="K228" t="n">
        <v>0</v>
      </c>
      <c r="L228" t="n">
        <v>0</v>
      </c>
      <c r="M228" t="n">
        <v>0</v>
      </c>
      <c r="N228" t="n">
        <v>0</v>
      </c>
      <c r="O228" t="n">
        <v>0</v>
      </c>
      <c r="P228" t="n">
        <v>0</v>
      </c>
      <c r="Q228" t="n">
        <v>0</v>
      </c>
      <c r="R228" s="2" t="inlineStr"/>
    </row>
    <row r="229" ht="15" customHeight="1">
      <c r="A229" t="inlineStr">
        <is>
          <t>A 44228-2022</t>
        </is>
      </c>
      <c r="B229" s="1" t="n">
        <v>44839.51599537037</v>
      </c>
      <c r="C229" s="1" t="n">
        <v>45924</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61386-2023</t>
        </is>
      </c>
      <c r="B230" s="1" t="n">
        <v>45264</v>
      </c>
      <c r="C230" s="1" t="n">
        <v>45924</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22883-2024</t>
        </is>
      </c>
      <c r="B231" s="1" t="n">
        <v>45448.66368055555</v>
      </c>
      <c r="C231" s="1" t="n">
        <v>45924</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71010-2021</t>
        </is>
      </c>
      <c r="B232" s="1" t="n">
        <v>44538.63775462963</v>
      </c>
      <c r="C232" s="1" t="n">
        <v>45924</v>
      </c>
      <c r="D232" t="inlineStr">
        <is>
          <t>GOTLANDS LÄN</t>
        </is>
      </c>
      <c r="E232" t="inlineStr">
        <is>
          <t>GOTLAND</t>
        </is>
      </c>
      <c r="G232" t="n">
        <v>0.5</v>
      </c>
      <c r="H232" t="n">
        <v>0</v>
      </c>
      <c r="I232" t="n">
        <v>0</v>
      </c>
      <c r="J232" t="n">
        <v>0</v>
      </c>
      <c r="K232" t="n">
        <v>0</v>
      </c>
      <c r="L232" t="n">
        <v>0</v>
      </c>
      <c r="M232" t="n">
        <v>0</v>
      </c>
      <c r="N232" t="n">
        <v>0</v>
      </c>
      <c r="O232" t="n">
        <v>0</v>
      </c>
      <c r="P232" t="n">
        <v>0</v>
      </c>
      <c r="Q232" t="n">
        <v>0</v>
      </c>
      <c r="R232" s="2" t="inlineStr"/>
    </row>
    <row r="233" ht="15" customHeight="1">
      <c r="A233" t="inlineStr">
        <is>
          <t>A 10652-2025</t>
        </is>
      </c>
      <c r="B233" s="1" t="n">
        <v>45721.68640046296</v>
      </c>
      <c r="C233" s="1" t="n">
        <v>45924</v>
      </c>
      <c r="D233" t="inlineStr">
        <is>
          <t>GOTLANDS LÄN</t>
        </is>
      </c>
      <c r="E233" t="inlineStr">
        <is>
          <t>GOTLAND</t>
        </is>
      </c>
      <c r="G233" t="n">
        <v>3.6</v>
      </c>
      <c r="H233" t="n">
        <v>0</v>
      </c>
      <c r="I233" t="n">
        <v>0</v>
      </c>
      <c r="J233" t="n">
        <v>0</v>
      </c>
      <c r="K233" t="n">
        <v>0</v>
      </c>
      <c r="L233" t="n">
        <v>0</v>
      </c>
      <c r="M233" t="n">
        <v>0</v>
      </c>
      <c r="N233" t="n">
        <v>0</v>
      </c>
      <c r="O233" t="n">
        <v>0</v>
      </c>
      <c r="P233" t="n">
        <v>0</v>
      </c>
      <c r="Q233" t="n">
        <v>0</v>
      </c>
      <c r="R233" s="2" t="inlineStr"/>
    </row>
    <row r="234" ht="15" customHeight="1">
      <c r="A234" t="inlineStr">
        <is>
          <t>A 13498-2022</t>
        </is>
      </c>
      <c r="B234" s="1" t="n">
        <v>44647.78866898148</v>
      </c>
      <c r="C234" s="1" t="n">
        <v>45924</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13500-2022</t>
        </is>
      </c>
      <c r="B235" s="1" t="n">
        <v>44647.79513888889</v>
      </c>
      <c r="C235" s="1" t="n">
        <v>45924</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45924</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45924</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10813-2025</t>
        </is>
      </c>
      <c r="B238" s="1" t="n">
        <v>45722.54163194444</v>
      </c>
      <c r="C238" s="1" t="n">
        <v>45924</v>
      </c>
      <c r="D238" t="inlineStr">
        <is>
          <t>GOTLANDS LÄN</t>
        </is>
      </c>
      <c r="E238" t="inlineStr">
        <is>
          <t>GOTLAND</t>
        </is>
      </c>
      <c r="G238" t="n">
        <v>1.5</v>
      </c>
      <c r="H238" t="n">
        <v>0</v>
      </c>
      <c r="I238" t="n">
        <v>0</v>
      </c>
      <c r="J238" t="n">
        <v>0</v>
      </c>
      <c r="K238" t="n">
        <v>0</v>
      </c>
      <c r="L238" t="n">
        <v>0</v>
      </c>
      <c r="M238" t="n">
        <v>0</v>
      </c>
      <c r="N238" t="n">
        <v>0</v>
      </c>
      <c r="O238" t="n">
        <v>0</v>
      </c>
      <c r="P238" t="n">
        <v>0</v>
      </c>
      <c r="Q238" t="n">
        <v>0</v>
      </c>
      <c r="R238" s="2" t="inlineStr"/>
    </row>
    <row r="239" ht="15" customHeight="1">
      <c r="A239" t="inlineStr">
        <is>
          <t>A 1066-2024</t>
        </is>
      </c>
      <c r="B239" s="1" t="n">
        <v>45302.285</v>
      </c>
      <c r="C239" s="1" t="n">
        <v>45924</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37202-2024</t>
        </is>
      </c>
      <c r="B240" s="1" t="n">
        <v>45539.67310185185</v>
      </c>
      <c r="C240" s="1" t="n">
        <v>45924</v>
      </c>
      <c r="D240" t="inlineStr">
        <is>
          <t>GOTLANDS LÄN</t>
        </is>
      </c>
      <c r="E240" t="inlineStr">
        <is>
          <t>GOTLAND</t>
        </is>
      </c>
      <c r="G240" t="n">
        <v>0.3</v>
      </c>
      <c r="H240" t="n">
        <v>0</v>
      </c>
      <c r="I240" t="n">
        <v>0</v>
      </c>
      <c r="J240" t="n">
        <v>0</v>
      </c>
      <c r="K240" t="n">
        <v>0</v>
      </c>
      <c r="L240" t="n">
        <v>0</v>
      </c>
      <c r="M240" t="n">
        <v>0</v>
      </c>
      <c r="N240" t="n">
        <v>0</v>
      </c>
      <c r="O240" t="n">
        <v>0</v>
      </c>
      <c r="P240" t="n">
        <v>0</v>
      </c>
      <c r="Q240" t="n">
        <v>0</v>
      </c>
      <c r="R240" s="2" t="inlineStr"/>
    </row>
    <row r="241" ht="15" customHeight="1">
      <c r="A241" t="inlineStr">
        <is>
          <t>A 6749-2025</t>
        </is>
      </c>
      <c r="B241" s="1" t="n">
        <v>45700</v>
      </c>
      <c r="C241" s="1" t="n">
        <v>45924</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45924</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44204-2022</t>
        </is>
      </c>
      <c r="B243" s="1" t="n">
        <v>44839</v>
      </c>
      <c r="C243" s="1" t="n">
        <v>45924</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30815-2023</t>
        </is>
      </c>
      <c r="B244" s="1" t="n">
        <v>45112</v>
      </c>
      <c r="C244" s="1" t="n">
        <v>45924</v>
      </c>
      <c r="D244" t="inlineStr">
        <is>
          <t>GOTLANDS LÄN</t>
        </is>
      </c>
      <c r="E244" t="inlineStr">
        <is>
          <t>GOTLAND</t>
        </is>
      </c>
      <c r="G244" t="n">
        <v>6</v>
      </c>
      <c r="H244" t="n">
        <v>0</v>
      </c>
      <c r="I244" t="n">
        <v>0</v>
      </c>
      <c r="J244" t="n">
        <v>0</v>
      </c>
      <c r="K244" t="n">
        <v>0</v>
      </c>
      <c r="L244" t="n">
        <v>0</v>
      </c>
      <c r="M244" t="n">
        <v>0</v>
      </c>
      <c r="N244" t="n">
        <v>0</v>
      </c>
      <c r="O244" t="n">
        <v>0</v>
      </c>
      <c r="P244" t="n">
        <v>0</v>
      </c>
      <c r="Q244" t="n">
        <v>0</v>
      </c>
      <c r="R244" s="2" t="inlineStr"/>
    </row>
    <row r="245" ht="15" customHeight="1">
      <c r="A245" t="inlineStr">
        <is>
          <t>A 57219-2021</t>
        </is>
      </c>
      <c r="B245" s="1" t="n">
        <v>44483</v>
      </c>
      <c r="C245" s="1" t="n">
        <v>45924</v>
      </c>
      <c r="D245" t="inlineStr">
        <is>
          <t>GOTLANDS LÄN</t>
        </is>
      </c>
      <c r="E245" t="inlineStr">
        <is>
          <t>GOTLAND</t>
        </is>
      </c>
      <c r="F245" t="inlineStr">
        <is>
          <t>Kyrkan</t>
        </is>
      </c>
      <c r="G245" t="n">
        <v>4</v>
      </c>
      <c r="H245" t="n">
        <v>0</v>
      </c>
      <c r="I245" t="n">
        <v>0</v>
      </c>
      <c r="J245" t="n">
        <v>0</v>
      </c>
      <c r="K245" t="n">
        <v>0</v>
      </c>
      <c r="L245" t="n">
        <v>0</v>
      </c>
      <c r="M245" t="n">
        <v>0</v>
      </c>
      <c r="N245" t="n">
        <v>0</v>
      </c>
      <c r="O245" t="n">
        <v>0</v>
      </c>
      <c r="P245" t="n">
        <v>0</v>
      </c>
      <c r="Q245" t="n">
        <v>0</v>
      </c>
      <c r="R245" s="2" t="inlineStr"/>
    </row>
    <row r="246" ht="15" customHeight="1">
      <c r="A246" t="inlineStr">
        <is>
          <t>A 46400-2023</t>
        </is>
      </c>
      <c r="B246" s="1" t="n">
        <v>45197.49290509259</v>
      </c>
      <c r="C246" s="1" t="n">
        <v>45924</v>
      </c>
      <c r="D246" t="inlineStr">
        <is>
          <t>GOTLANDS LÄN</t>
        </is>
      </c>
      <c r="E246" t="inlineStr">
        <is>
          <t>GOTLAND</t>
        </is>
      </c>
      <c r="G246" t="n">
        <v>0.8</v>
      </c>
      <c r="H246" t="n">
        <v>0</v>
      </c>
      <c r="I246" t="n">
        <v>0</v>
      </c>
      <c r="J246" t="n">
        <v>0</v>
      </c>
      <c r="K246" t="n">
        <v>0</v>
      </c>
      <c r="L246" t="n">
        <v>0</v>
      </c>
      <c r="M246" t="n">
        <v>0</v>
      </c>
      <c r="N246" t="n">
        <v>0</v>
      </c>
      <c r="O246" t="n">
        <v>0</v>
      </c>
      <c r="P246" t="n">
        <v>0</v>
      </c>
      <c r="Q246" t="n">
        <v>0</v>
      </c>
      <c r="R246" s="2" t="inlineStr"/>
    </row>
    <row r="247" ht="15" customHeight="1">
      <c r="A247" t="inlineStr">
        <is>
          <t>A 10492-2023</t>
        </is>
      </c>
      <c r="B247" s="1" t="n">
        <v>44987</v>
      </c>
      <c r="C247" s="1" t="n">
        <v>45924</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5462-2025</t>
        </is>
      </c>
      <c r="B248" s="1" t="n">
        <v>45693.29331018519</v>
      </c>
      <c r="C248" s="1" t="n">
        <v>45924</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2035-2025</t>
        </is>
      </c>
      <c r="B249" s="1" t="n">
        <v>45672</v>
      </c>
      <c r="C249" s="1" t="n">
        <v>45924</v>
      </c>
      <c r="D249" t="inlineStr">
        <is>
          <t>GOTLANDS LÄN</t>
        </is>
      </c>
      <c r="E249" t="inlineStr">
        <is>
          <t>GOTLAND</t>
        </is>
      </c>
      <c r="G249" t="n">
        <v>7.5</v>
      </c>
      <c r="H249" t="n">
        <v>0</v>
      </c>
      <c r="I249" t="n">
        <v>0</v>
      </c>
      <c r="J249" t="n">
        <v>0</v>
      </c>
      <c r="K249" t="n">
        <v>0</v>
      </c>
      <c r="L249" t="n">
        <v>0</v>
      </c>
      <c r="M249" t="n">
        <v>0</v>
      </c>
      <c r="N249" t="n">
        <v>0</v>
      </c>
      <c r="O249" t="n">
        <v>0</v>
      </c>
      <c r="P249" t="n">
        <v>0</v>
      </c>
      <c r="Q249" t="n">
        <v>0</v>
      </c>
      <c r="R249" s="2" t="inlineStr"/>
    </row>
    <row r="250" ht="15" customHeight="1">
      <c r="A250" t="inlineStr">
        <is>
          <t>A 53641-2020</t>
        </is>
      </c>
      <c r="B250" s="1" t="n">
        <v>44124</v>
      </c>
      <c r="C250" s="1" t="n">
        <v>45924</v>
      </c>
      <c r="D250" t="inlineStr">
        <is>
          <t>GOTLANDS LÄN</t>
        </is>
      </c>
      <c r="E250" t="inlineStr">
        <is>
          <t>GOTLAND</t>
        </is>
      </c>
      <c r="G250" t="n">
        <v>3.2</v>
      </c>
      <c r="H250" t="n">
        <v>0</v>
      </c>
      <c r="I250" t="n">
        <v>0</v>
      </c>
      <c r="J250" t="n">
        <v>0</v>
      </c>
      <c r="K250" t="n">
        <v>0</v>
      </c>
      <c r="L250" t="n">
        <v>0</v>
      </c>
      <c r="M250" t="n">
        <v>0</v>
      </c>
      <c r="N250" t="n">
        <v>0</v>
      </c>
      <c r="O250" t="n">
        <v>0</v>
      </c>
      <c r="P250" t="n">
        <v>0</v>
      </c>
      <c r="Q250" t="n">
        <v>0</v>
      </c>
      <c r="R250" s="2" t="inlineStr"/>
    </row>
    <row r="251" ht="15" customHeight="1">
      <c r="A251" t="inlineStr">
        <is>
          <t>A 17901-2023</t>
        </is>
      </c>
      <c r="B251" s="1" t="n">
        <v>45039</v>
      </c>
      <c r="C251" s="1" t="n">
        <v>45924</v>
      </c>
      <c r="D251" t="inlineStr">
        <is>
          <t>GOTLANDS LÄN</t>
        </is>
      </c>
      <c r="E251" t="inlineStr">
        <is>
          <t>GOTLAND</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44919-2022</t>
        </is>
      </c>
      <c r="B252" s="1" t="n">
        <v>44841</v>
      </c>
      <c r="C252" s="1" t="n">
        <v>45924</v>
      </c>
      <c r="D252" t="inlineStr">
        <is>
          <t>GOTLANDS LÄN</t>
        </is>
      </c>
      <c r="E252" t="inlineStr">
        <is>
          <t>GOTLAND</t>
        </is>
      </c>
      <c r="G252" t="n">
        <v>2.2</v>
      </c>
      <c r="H252" t="n">
        <v>0</v>
      </c>
      <c r="I252" t="n">
        <v>0</v>
      </c>
      <c r="J252" t="n">
        <v>0</v>
      </c>
      <c r="K252" t="n">
        <v>0</v>
      </c>
      <c r="L252" t="n">
        <v>0</v>
      </c>
      <c r="M252" t="n">
        <v>0</v>
      </c>
      <c r="N252" t="n">
        <v>0</v>
      </c>
      <c r="O252" t="n">
        <v>0</v>
      </c>
      <c r="P252" t="n">
        <v>0</v>
      </c>
      <c r="Q252" t="n">
        <v>0</v>
      </c>
      <c r="R252" s="2" t="inlineStr"/>
    </row>
    <row r="253" ht="15" customHeight="1">
      <c r="A253" t="inlineStr">
        <is>
          <t>A 16501-2023</t>
        </is>
      </c>
      <c r="B253" s="1" t="n">
        <v>45029</v>
      </c>
      <c r="C253" s="1" t="n">
        <v>45924</v>
      </c>
      <c r="D253" t="inlineStr">
        <is>
          <t>GOTLANDS LÄN</t>
        </is>
      </c>
      <c r="E253" t="inlineStr">
        <is>
          <t>GOTLAND</t>
        </is>
      </c>
      <c r="G253" t="n">
        <v>3.1</v>
      </c>
      <c r="H253" t="n">
        <v>0</v>
      </c>
      <c r="I253" t="n">
        <v>0</v>
      </c>
      <c r="J253" t="n">
        <v>0</v>
      </c>
      <c r="K253" t="n">
        <v>0</v>
      </c>
      <c r="L253" t="n">
        <v>0</v>
      </c>
      <c r="M253" t="n">
        <v>0</v>
      </c>
      <c r="N253" t="n">
        <v>0</v>
      </c>
      <c r="O253" t="n">
        <v>0</v>
      </c>
      <c r="P253" t="n">
        <v>0</v>
      </c>
      <c r="Q253" t="n">
        <v>0</v>
      </c>
      <c r="R253" s="2" t="inlineStr"/>
    </row>
    <row r="254" ht="15" customHeight="1">
      <c r="A254" t="inlineStr">
        <is>
          <t>A 56009-2024</t>
        </is>
      </c>
      <c r="B254" s="1" t="n">
        <v>45623.80864583333</v>
      </c>
      <c r="C254" s="1" t="n">
        <v>45924</v>
      </c>
      <c r="D254" t="inlineStr">
        <is>
          <t>GOTLANDS LÄN</t>
        </is>
      </c>
      <c r="E254" t="inlineStr">
        <is>
          <t>GOTLAND</t>
        </is>
      </c>
      <c r="G254" t="n">
        <v>2.8</v>
      </c>
      <c r="H254" t="n">
        <v>0</v>
      </c>
      <c r="I254" t="n">
        <v>0</v>
      </c>
      <c r="J254" t="n">
        <v>0</v>
      </c>
      <c r="K254" t="n">
        <v>0</v>
      </c>
      <c r="L254" t="n">
        <v>0</v>
      </c>
      <c r="M254" t="n">
        <v>0</v>
      </c>
      <c r="N254" t="n">
        <v>0</v>
      </c>
      <c r="O254" t="n">
        <v>0</v>
      </c>
      <c r="P254" t="n">
        <v>0</v>
      </c>
      <c r="Q254" t="n">
        <v>0</v>
      </c>
      <c r="R254" s="2" t="inlineStr"/>
    </row>
    <row r="255" ht="15" customHeight="1">
      <c r="A255" t="inlineStr">
        <is>
          <t>A 456-2023</t>
        </is>
      </c>
      <c r="B255" s="1" t="n">
        <v>44929.87122685185</v>
      </c>
      <c r="C255" s="1" t="n">
        <v>45924</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54073-2022</t>
        </is>
      </c>
      <c r="B256" s="1" t="n">
        <v>44881.50380787037</v>
      </c>
      <c r="C256" s="1" t="n">
        <v>45924</v>
      </c>
      <c r="D256" t="inlineStr">
        <is>
          <t>GOTLANDS LÄN</t>
        </is>
      </c>
      <c r="E256" t="inlineStr">
        <is>
          <t>GOTLAND</t>
        </is>
      </c>
      <c r="G256" t="n">
        <v>3.8</v>
      </c>
      <c r="H256" t="n">
        <v>0</v>
      </c>
      <c r="I256" t="n">
        <v>0</v>
      </c>
      <c r="J256" t="n">
        <v>0</v>
      </c>
      <c r="K256" t="n">
        <v>0</v>
      </c>
      <c r="L256" t="n">
        <v>0</v>
      </c>
      <c r="M256" t="n">
        <v>0</v>
      </c>
      <c r="N256" t="n">
        <v>0</v>
      </c>
      <c r="O256" t="n">
        <v>0</v>
      </c>
      <c r="P256" t="n">
        <v>0</v>
      </c>
      <c r="Q256" t="n">
        <v>0</v>
      </c>
      <c r="R256" s="2" t="inlineStr"/>
    </row>
    <row r="257" ht="15" customHeight="1">
      <c r="A257" t="inlineStr">
        <is>
          <t>A 25796-2025</t>
        </is>
      </c>
      <c r="B257" s="1" t="n">
        <v>45804.39543981481</v>
      </c>
      <c r="C257" s="1" t="n">
        <v>45924</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27095-2022</t>
        </is>
      </c>
      <c r="B258" s="1" t="n">
        <v>44741</v>
      </c>
      <c r="C258" s="1" t="n">
        <v>45924</v>
      </c>
      <c r="D258" t="inlineStr">
        <is>
          <t>GOTLANDS LÄN</t>
        </is>
      </c>
      <c r="E258" t="inlineStr">
        <is>
          <t>GOTLAND</t>
        </is>
      </c>
      <c r="F258" t="inlineStr">
        <is>
          <t>Övriga Aktiebolag</t>
        </is>
      </c>
      <c r="G258" t="n">
        <v>2.9</v>
      </c>
      <c r="H258" t="n">
        <v>0</v>
      </c>
      <c r="I258" t="n">
        <v>0</v>
      </c>
      <c r="J258" t="n">
        <v>0</v>
      </c>
      <c r="K258" t="n">
        <v>0</v>
      </c>
      <c r="L258" t="n">
        <v>0</v>
      </c>
      <c r="M258" t="n">
        <v>0</v>
      </c>
      <c r="N258" t="n">
        <v>0</v>
      </c>
      <c r="O258" t="n">
        <v>0</v>
      </c>
      <c r="P258" t="n">
        <v>0</v>
      </c>
      <c r="Q258" t="n">
        <v>0</v>
      </c>
      <c r="R258" s="2" t="inlineStr"/>
    </row>
    <row r="259" ht="15" customHeight="1">
      <c r="A259" t="inlineStr">
        <is>
          <t>A 458-2023</t>
        </is>
      </c>
      <c r="B259" s="1" t="n">
        <v>44929</v>
      </c>
      <c r="C259" s="1" t="n">
        <v>45924</v>
      </c>
      <c r="D259" t="inlineStr">
        <is>
          <t>GOTLANDS LÄN</t>
        </is>
      </c>
      <c r="E259" t="inlineStr">
        <is>
          <t>GOTLAND</t>
        </is>
      </c>
      <c r="G259" t="n">
        <v>3.6</v>
      </c>
      <c r="H259" t="n">
        <v>0</v>
      </c>
      <c r="I259" t="n">
        <v>0</v>
      </c>
      <c r="J259" t="n">
        <v>0</v>
      </c>
      <c r="K259" t="n">
        <v>0</v>
      </c>
      <c r="L259" t="n">
        <v>0</v>
      </c>
      <c r="M259" t="n">
        <v>0</v>
      </c>
      <c r="N259" t="n">
        <v>0</v>
      </c>
      <c r="O259" t="n">
        <v>0</v>
      </c>
      <c r="P259" t="n">
        <v>0</v>
      </c>
      <c r="Q259" t="n">
        <v>0</v>
      </c>
      <c r="R259" s="2" t="inlineStr"/>
    </row>
    <row r="260" ht="15" customHeight="1">
      <c r="A260" t="inlineStr">
        <is>
          <t>A 1291-2023</t>
        </is>
      </c>
      <c r="B260" s="1" t="n">
        <v>44936.47561342592</v>
      </c>
      <c r="C260" s="1" t="n">
        <v>45924</v>
      </c>
      <c r="D260" t="inlineStr">
        <is>
          <t>GOTLANDS LÄN</t>
        </is>
      </c>
      <c r="E260" t="inlineStr">
        <is>
          <t>GOTLAND</t>
        </is>
      </c>
      <c r="G260" t="n">
        <v>7.4</v>
      </c>
      <c r="H260" t="n">
        <v>0</v>
      </c>
      <c r="I260" t="n">
        <v>0</v>
      </c>
      <c r="J260" t="n">
        <v>0</v>
      </c>
      <c r="K260" t="n">
        <v>0</v>
      </c>
      <c r="L260" t="n">
        <v>0</v>
      </c>
      <c r="M260" t="n">
        <v>0</v>
      </c>
      <c r="N260" t="n">
        <v>0</v>
      </c>
      <c r="O260" t="n">
        <v>0</v>
      </c>
      <c r="P260" t="n">
        <v>0</v>
      </c>
      <c r="Q260" t="n">
        <v>0</v>
      </c>
      <c r="R260" s="2" t="inlineStr"/>
    </row>
    <row r="261" ht="15" customHeight="1">
      <c r="A261" t="inlineStr">
        <is>
          <t>A 32330-2024</t>
        </is>
      </c>
      <c r="B261" s="1" t="n">
        <v>45512</v>
      </c>
      <c r="C261" s="1" t="n">
        <v>45924</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45924</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12599-2025</t>
        </is>
      </c>
      <c r="B263" s="1" t="n">
        <v>45733.29546296296</v>
      </c>
      <c r="C263" s="1" t="n">
        <v>45924</v>
      </c>
      <c r="D263" t="inlineStr">
        <is>
          <t>GOTLANDS LÄN</t>
        </is>
      </c>
      <c r="E263" t="inlineStr">
        <is>
          <t>GOTLAND</t>
        </is>
      </c>
      <c r="G263" t="n">
        <v>4.7</v>
      </c>
      <c r="H263" t="n">
        <v>0</v>
      </c>
      <c r="I263" t="n">
        <v>0</v>
      </c>
      <c r="J263" t="n">
        <v>0</v>
      </c>
      <c r="K263" t="n">
        <v>0</v>
      </c>
      <c r="L263" t="n">
        <v>0</v>
      </c>
      <c r="M263" t="n">
        <v>0</v>
      </c>
      <c r="N263" t="n">
        <v>0</v>
      </c>
      <c r="O263" t="n">
        <v>0</v>
      </c>
      <c r="P263" t="n">
        <v>0</v>
      </c>
      <c r="Q263" t="n">
        <v>0</v>
      </c>
      <c r="R263" s="2" t="inlineStr"/>
    </row>
    <row r="264" ht="15" customHeight="1">
      <c r="A264" t="inlineStr">
        <is>
          <t>A 5891-2025</t>
        </is>
      </c>
      <c r="B264" s="1" t="n">
        <v>45695.38327546296</v>
      </c>
      <c r="C264" s="1" t="n">
        <v>45924</v>
      </c>
      <c r="D264" t="inlineStr">
        <is>
          <t>GOTLANDS LÄN</t>
        </is>
      </c>
      <c r="E264" t="inlineStr">
        <is>
          <t>GOTLAND</t>
        </is>
      </c>
      <c r="G264" t="n">
        <v>0.8</v>
      </c>
      <c r="H264" t="n">
        <v>0</v>
      </c>
      <c r="I264" t="n">
        <v>0</v>
      </c>
      <c r="J264" t="n">
        <v>0</v>
      </c>
      <c r="K264" t="n">
        <v>0</v>
      </c>
      <c r="L264" t="n">
        <v>0</v>
      </c>
      <c r="M264" t="n">
        <v>0</v>
      </c>
      <c r="N264" t="n">
        <v>0</v>
      </c>
      <c r="O264" t="n">
        <v>0</v>
      </c>
      <c r="P264" t="n">
        <v>0</v>
      </c>
      <c r="Q264" t="n">
        <v>0</v>
      </c>
      <c r="R264" s="2" t="inlineStr"/>
    </row>
    <row r="265" ht="15" customHeight="1">
      <c r="A265" t="inlineStr">
        <is>
          <t>A 6153-2024</t>
        </is>
      </c>
      <c r="B265" s="1" t="n">
        <v>45337</v>
      </c>
      <c r="C265" s="1" t="n">
        <v>45924</v>
      </c>
      <c r="D265" t="inlineStr">
        <is>
          <t>GOTLANDS LÄN</t>
        </is>
      </c>
      <c r="E265" t="inlineStr">
        <is>
          <t>GOTLAND</t>
        </is>
      </c>
      <c r="G265" t="n">
        <v>14.2</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45924</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45924</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26391-2025</t>
        </is>
      </c>
      <c r="B268" s="1" t="n">
        <v>45806</v>
      </c>
      <c r="C268" s="1" t="n">
        <v>45924</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45924</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14804-2021</t>
        </is>
      </c>
      <c r="B270" s="1" t="n">
        <v>44280</v>
      </c>
      <c r="C270" s="1" t="n">
        <v>45924</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26457-2025</t>
        </is>
      </c>
      <c r="B271" s="1" t="n">
        <v>45807.42773148148</v>
      </c>
      <c r="C271" s="1" t="n">
        <v>45924</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26467-2025</t>
        </is>
      </c>
      <c r="B272" s="1" t="n">
        <v>45807.44640046296</v>
      </c>
      <c r="C272" s="1" t="n">
        <v>45924</v>
      </c>
      <c r="D272" t="inlineStr">
        <is>
          <t>GOTLANDS LÄN</t>
        </is>
      </c>
      <c r="E272" t="inlineStr">
        <is>
          <t>GOTLAND</t>
        </is>
      </c>
      <c r="G272" t="n">
        <v>0.7</v>
      </c>
      <c r="H272" t="n">
        <v>0</v>
      </c>
      <c r="I272" t="n">
        <v>0</v>
      </c>
      <c r="J272" t="n">
        <v>0</v>
      </c>
      <c r="K272" t="n">
        <v>0</v>
      </c>
      <c r="L272" t="n">
        <v>0</v>
      </c>
      <c r="M272" t="n">
        <v>0</v>
      </c>
      <c r="N272" t="n">
        <v>0</v>
      </c>
      <c r="O272" t="n">
        <v>0</v>
      </c>
      <c r="P272" t="n">
        <v>0</v>
      </c>
      <c r="Q272" t="n">
        <v>0</v>
      </c>
      <c r="R272" s="2" t="inlineStr"/>
    </row>
    <row r="273" ht="15" customHeight="1">
      <c r="A273" t="inlineStr">
        <is>
          <t>A 19002-2025</t>
        </is>
      </c>
      <c r="B273" s="1" t="n">
        <v>45764</v>
      </c>
      <c r="C273" s="1" t="n">
        <v>45924</v>
      </c>
      <c r="D273" t="inlineStr">
        <is>
          <t>GOTLANDS LÄN</t>
        </is>
      </c>
      <c r="E273" t="inlineStr">
        <is>
          <t>GOTLAND</t>
        </is>
      </c>
      <c r="G273" t="n">
        <v>2.1</v>
      </c>
      <c r="H273" t="n">
        <v>0</v>
      </c>
      <c r="I273" t="n">
        <v>0</v>
      </c>
      <c r="J273" t="n">
        <v>0</v>
      </c>
      <c r="K273" t="n">
        <v>0</v>
      </c>
      <c r="L273" t="n">
        <v>0</v>
      </c>
      <c r="M273" t="n">
        <v>0</v>
      </c>
      <c r="N273" t="n">
        <v>0</v>
      </c>
      <c r="O273" t="n">
        <v>0</v>
      </c>
      <c r="P273" t="n">
        <v>0</v>
      </c>
      <c r="Q273" t="n">
        <v>0</v>
      </c>
      <c r="R273" s="2" t="inlineStr"/>
    </row>
    <row r="274" ht="15" customHeight="1">
      <c r="A274" t="inlineStr">
        <is>
          <t>A 7026-2023</t>
        </is>
      </c>
      <c r="B274" s="1" t="n">
        <v>44968.30340277778</v>
      </c>
      <c r="C274" s="1" t="n">
        <v>45924</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2719-2023</t>
        </is>
      </c>
      <c r="B275" s="1" t="n">
        <v>44944.55361111111</v>
      </c>
      <c r="C275" s="1" t="n">
        <v>45924</v>
      </c>
      <c r="D275" t="inlineStr">
        <is>
          <t>GOTLANDS LÄN</t>
        </is>
      </c>
      <c r="E275" t="inlineStr">
        <is>
          <t>GOTLAND</t>
        </is>
      </c>
      <c r="G275" t="n">
        <v>0.5</v>
      </c>
      <c r="H275" t="n">
        <v>0</v>
      </c>
      <c r="I275" t="n">
        <v>0</v>
      </c>
      <c r="J275" t="n">
        <v>0</v>
      </c>
      <c r="K275" t="n">
        <v>0</v>
      </c>
      <c r="L275" t="n">
        <v>0</v>
      </c>
      <c r="M275" t="n">
        <v>0</v>
      </c>
      <c r="N275" t="n">
        <v>0</v>
      </c>
      <c r="O275" t="n">
        <v>0</v>
      </c>
      <c r="P275" t="n">
        <v>0</v>
      </c>
      <c r="Q275" t="n">
        <v>0</v>
      </c>
      <c r="R275" s="2" t="inlineStr"/>
    </row>
    <row r="276" ht="15" customHeight="1">
      <c r="A276" t="inlineStr">
        <is>
          <t>A 17144-2025</t>
        </is>
      </c>
      <c r="B276" s="1" t="n">
        <v>45755.9499537037</v>
      </c>
      <c r="C276" s="1" t="n">
        <v>45924</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58476-2022</t>
        </is>
      </c>
      <c r="B277" s="1" t="n">
        <v>44902</v>
      </c>
      <c r="C277" s="1" t="n">
        <v>45924</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52892-2021</t>
        </is>
      </c>
      <c r="B278" s="1" t="n">
        <v>44467.49048611111</v>
      </c>
      <c r="C278" s="1" t="n">
        <v>45924</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49314-2024</t>
        </is>
      </c>
      <c r="B279" s="1" t="n">
        <v>45595.55893518519</v>
      </c>
      <c r="C279" s="1" t="n">
        <v>45924</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1351-2025</t>
        </is>
      </c>
      <c r="B280" s="1" t="n">
        <v>45667.62246527777</v>
      </c>
      <c r="C280" s="1" t="n">
        <v>45924</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9875-2025</t>
        </is>
      </c>
      <c r="B281" s="1" t="n">
        <v>45716</v>
      </c>
      <c r="C281" s="1" t="n">
        <v>45924</v>
      </c>
      <c r="D281" t="inlineStr">
        <is>
          <t>GOTLANDS LÄN</t>
        </is>
      </c>
      <c r="E281" t="inlineStr">
        <is>
          <t>GOTLAND</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29809-2022</t>
        </is>
      </c>
      <c r="B282" s="1" t="n">
        <v>44755.8713425926</v>
      </c>
      <c r="C282" s="1" t="n">
        <v>45924</v>
      </c>
      <c r="D282" t="inlineStr">
        <is>
          <t>GOTLANDS LÄN</t>
        </is>
      </c>
      <c r="E282" t="inlineStr">
        <is>
          <t>GOTLAND</t>
        </is>
      </c>
      <c r="G282" t="n">
        <v>11.5</v>
      </c>
      <c r="H282" t="n">
        <v>0</v>
      </c>
      <c r="I282" t="n">
        <v>0</v>
      </c>
      <c r="J282" t="n">
        <v>0</v>
      </c>
      <c r="K282" t="n">
        <v>0</v>
      </c>
      <c r="L282" t="n">
        <v>0</v>
      </c>
      <c r="M282" t="n">
        <v>0</v>
      </c>
      <c r="N282" t="n">
        <v>0</v>
      </c>
      <c r="O282" t="n">
        <v>0</v>
      </c>
      <c r="P282" t="n">
        <v>0</v>
      </c>
      <c r="Q282" t="n">
        <v>0</v>
      </c>
      <c r="R282" s="2" t="inlineStr"/>
    </row>
    <row r="283" ht="15" customHeight="1">
      <c r="A283" t="inlineStr">
        <is>
          <t>A 26660-2025</t>
        </is>
      </c>
      <c r="B283" s="1" t="n">
        <v>45810.39737268518</v>
      </c>
      <c r="C283" s="1" t="n">
        <v>45924</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49874-2024</t>
        </is>
      </c>
      <c r="B284" s="1" t="n">
        <v>45597.49274305555</v>
      </c>
      <c r="C284" s="1" t="n">
        <v>45924</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63229-2021</t>
        </is>
      </c>
      <c r="B285" s="1" t="n">
        <v>44508.34518518519</v>
      </c>
      <c r="C285" s="1" t="n">
        <v>45924</v>
      </c>
      <c r="D285" t="inlineStr">
        <is>
          <t>GOTLANDS LÄN</t>
        </is>
      </c>
      <c r="E285" t="inlineStr">
        <is>
          <t>GOTLAND</t>
        </is>
      </c>
      <c r="F285" t="inlineStr">
        <is>
          <t>Kyrkan</t>
        </is>
      </c>
      <c r="G285" t="n">
        <v>3.8</v>
      </c>
      <c r="H285" t="n">
        <v>0</v>
      </c>
      <c r="I285" t="n">
        <v>0</v>
      </c>
      <c r="J285" t="n">
        <v>0</v>
      </c>
      <c r="K285" t="n">
        <v>0</v>
      </c>
      <c r="L285" t="n">
        <v>0</v>
      </c>
      <c r="M285" t="n">
        <v>0</v>
      </c>
      <c r="N285" t="n">
        <v>0</v>
      </c>
      <c r="O285" t="n">
        <v>0</v>
      </c>
      <c r="P285" t="n">
        <v>0</v>
      </c>
      <c r="Q285" t="n">
        <v>0</v>
      </c>
      <c r="R285" s="2" t="inlineStr"/>
    </row>
    <row r="286" ht="15" customHeight="1">
      <c r="A286" t="inlineStr">
        <is>
          <t>A 16361-2024</t>
        </is>
      </c>
      <c r="B286" s="1" t="n">
        <v>45407</v>
      </c>
      <c r="C286" s="1" t="n">
        <v>45924</v>
      </c>
      <c r="D286" t="inlineStr">
        <is>
          <t>GOTLANDS LÄN</t>
        </is>
      </c>
      <c r="E286" t="inlineStr">
        <is>
          <t>GOTLAND</t>
        </is>
      </c>
      <c r="G286" t="n">
        <v>6</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45924</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27348-2025</t>
        </is>
      </c>
      <c r="B288" s="1" t="n">
        <v>45812.62451388889</v>
      </c>
      <c r="C288" s="1" t="n">
        <v>45924</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27371-2025</t>
        </is>
      </c>
      <c r="B289" s="1" t="n">
        <v>45812</v>
      </c>
      <c r="C289" s="1" t="n">
        <v>45924</v>
      </c>
      <c r="D289" t="inlineStr">
        <is>
          <t>GOTLANDS LÄN</t>
        </is>
      </c>
      <c r="E289" t="inlineStr">
        <is>
          <t>GOTLAND</t>
        </is>
      </c>
      <c r="G289" t="n">
        <v>8</v>
      </c>
      <c r="H289" t="n">
        <v>0</v>
      </c>
      <c r="I289" t="n">
        <v>0</v>
      </c>
      <c r="J289" t="n">
        <v>0</v>
      </c>
      <c r="K289" t="n">
        <v>0</v>
      </c>
      <c r="L289" t="n">
        <v>0</v>
      </c>
      <c r="M289" t="n">
        <v>0</v>
      </c>
      <c r="N289" t="n">
        <v>0</v>
      </c>
      <c r="O289" t="n">
        <v>0</v>
      </c>
      <c r="P289" t="n">
        <v>0</v>
      </c>
      <c r="Q289" t="n">
        <v>0</v>
      </c>
      <c r="R289" s="2" t="inlineStr"/>
    </row>
    <row r="290" ht="15" customHeight="1">
      <c r="A290" t="inlineStr">
        <is>
          <t>A 43081-2022</t>
        </is>
      </c>
      <c r="B290" s="1" t="n">
        <v>44833</v>
      </c>
      <c r="C290" s="1" t="n">
        <v>45924</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51782-2023</t>
        </is>
      </c>
      <c r="B291" s="1" t="n">
        <v>45222.80952546297</v>
      </c>
      <c r="C291" s="1" t="n">
        <v>45924</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1175-2025</t>
        </is>
      </c>
      <c r="B292" s="1" t="n">
        <v>45667.34449074074</v>
      </c>
      <c r="C292" s="1" t="n">
        <v>45924</v>
      </c>
      <c r="D292" t="inlineStr">
        <is>
          <t>GOTLANDS LÄN</t>
        </is>
      </c>
      <c r="E292" t="inlineStr">
        <is>
          <t>GOTLAND</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60675-2021</t>
        </is>
      </c>
      <c r="B293" s="1" t="n">
        <v>44496.64855324074</v>
      </c>
      <c r="C293" s="1" t="n">
        <v>45924</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5217-2023</t>
        </is>
      </c>
      <c r="B294" s="1" t="n">
        <v>44959.39582175926</v>
      </c>
      <c r="C294" s="1" t="n">
        <v>45924</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14638-2025</t>
        </is>
      </c>
      <c r="B295" s="1" t="n">
        <v>45742</v>
      </c>
      <c r="C295" s="1" t="n">
        <v>45924</v>
      </c>
      <c r="D295" t="inlineStr">
        <is>
          <t>GOTLANDS LÄN</t>
        </is>
      </c>
      <c r="E295" t="inlineStr">
        <is>
          <t>GOTLAND</t>
        </is>
      </c>
      <c r="G295" t="n">
        <v>13.4</v>
      </c>
      <c r="H295" t="n">
        <v>0</v>
      </c>
      <c r="I295" t="n">
        <v>0</v>
      </c>
      <c r="J295" t="n">
        <v>0</v>
      </c>
      <c r="K295" t="n">
        <v>0</v>
      </c>
      <c r="L295" t="n">
        <v>0</v>
      </c>
      <c r="M295" t="n">
        <v>0</v>
      </c>
      <c r="N295" t="n">
        <v>0</v>
      </c>
      <c r="O295" t="n">
        <v>0</v>
      </c>
      <c r="P295" t="n">
        <v>0</v>
      </c>
      <c r="Q295" t="n">
        <v>0</v>
      </c>
      <c r="R295" s="2" t="inlineStr"/>
    </row>
    <row r="296" ht="15" customHeight="1">
      <c r="A296" t="inlineStr">
        <is>
          <t>A 42201-2023</t>
        </is>
      </c>
      <c r="B296" s="1" t="n">
        <v>45179</v>
      </c>
      <c r="C296" s="1" t="n">
        <v>45924</v>
      </c>
      <c r="D296" t="inlineStr">
        <is>
          <t>GOTLANDS LÄN</t>
        </is>
      </c>
      <c r="E296" t="inlineStr">
        <is>
          <t>GOTLAND</t>
        </is>
      </c>
      <c r="G296" t="n">
        <v>11.9</v>
      </c>
      <c r="H296" t="n">
        <v>0</v>
      </c>
      <c r="I296" t="n">
        <v>0</v>
      </c>
      <c r="J296" t="n">
        <v>0</v>
      </c>
      <c r="K296" t="n">
        <v>0</v>
      </c>
      <c r="L296" t="n">
        <v>0</v>
      </c>
      <c r="M296" t="n">
        <v>0</v>
      </c>
      <c r="N296" t="n">
        <v>0</v>
      </c>
      <c r="O296" t="n">
        <v>0</v>
      </c>
      <c r="P296" t="n">
        <v>0</v>
      </c>
      <c r="Q296" t="n">
        <v>0</v>
      </c>
      <c r="R296" s="2" t="inlineStr"/>
    </row>
    <row r="297" ht="15" customHeight="1">
      <c r="A297" t="inlineStr">
        <is>
          <t>A 3150-2025</t>
        </is>
      </c>
      <c r="B297" s="1" t="n">
        <v>45679.28974537037</v>
      </c>
      <c r="C297" s="1" t="n">
        <v>45924</v>
      </c>
      <c r="D297" t="inlineStr">
        <is>
          <t>GOTLANDS LÄN</t>
        </is>
      </c>
      <c r="E297" t="inlineStr">
        <is>
          <t>GOTLAND</t>
        </is>
      </c>
      <c r="G297" t="n">
        <v>2.5</v>
      </c>
      <c r="H297" t="n">
        <v>0</v>
      </c>
      <c r="I297" t="n">
        <v>0</v>
      </c>
      <c r="J297" t="n">
        <v>0</v>
      </c>
      <c r="K297" t="n">
        <v>0</v>
      </c>
      <c r="L297" t="n">
        <v>0</v>
      </c>
      <c r="M297" t="n">
        <v>0</v>
      </c>
      <c r="N297" t="n">
        <v>0</v>
      </c>
      <c r="O297" t="n">
        <v>0</v>
      </c>
      <c r="P297" t="n">
        <v>0</v>
      </c>
      <c r="Q297" t="n">
        <v>0</v>
      </c>
      <c r="R297" s="2" t="inlineStr"/>
    </row>
    <row r="298" ht="15" customHeight="1">
      <c r="A298" t="inlineStr">
        <is>
          <t>A 7850-2025</t>
        </is>
      </c>
      <c r="B298" s="1" t="n">
        <v>45706</v>
      </c>
      <c r="C298" s="1" t="n">
        <v>45924</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4421-2024</t>
        </is>
      </c>
      <c r="B299" s="1" t="n">
        <v>45327.45173611111</v>
      </c>
      <c r="C299" s="1" t="n">
        <v>45924</v>
      </c>
      <c r="D299" t="inlineStr">
        <is>
          <t>GOTLANDS LÄN</t>
        </is>
      </c>
      <c r="E299" t="inlineStr">
        <is>
          <t>GOTLAND</t>
        </is>
      </c>
      <c r="G299" t="n">
        <v>5.1</v>
      </c>
      <c r="H299" t="n">
        <v>0</v>
      </c>
      <c r="I299" t="n">
        <v>0</v>
      </c>
      <c r="J299" t="n">
        <v>0</v>
      </c>
      <c r="K299" t="n">
        <v>0</v>
      </c>
      <c r="L299" t="n">
        <v>0</v>
      </c>
      <c r="M299" t="n">
        <v>0</v>
      </c>
      <c r="N299" t="n">
        <v>0</v>
      </c>
      <c r="O299" t="n">
        <v>0</v>
      </c>
      <c r="P299" t="n">
        <v>0</v>
      </c>
      <c r="Q299" t="n">
        <v>0</v>
      </c>
      <c r="R299" s="2" t="inlineStr"/>
    </row>
    <row r="300" ht="15" customHeight="1">
      <c r="A300" t="inlineStr">
        <is>
          <t>A 6739-2025</t>
        </is>
      </c>
      <c r="B300" s="1" t="n">
        <v>45700</v>
      </c>
      <c r="C300" s="1" t="n">
        <v>45924</v>
      </c>
      <c r="D300" t="inlineStr">
        <is>
          <t>GOTLANDS LÄN</t>
        </is>
      </c>
      <c r="E300" t="inlineStr">
        <is>
          <t>GOTLAND</t>
        </is>
      </c>
      <c r="G300" t="n">
        <v>4.5</v>
      </c>
      <c r="H300" t="n">
        <v>0</v>
      </c>
      <c r="I300" t="n">
        <v>0</v>
      </c>
      <c r="J300" t="n">
        <v>0</v>
      </c>
      <c r="K300" t="n">
        <v>0</v>
      </c>
      <c r="L300" t="n">
        <v>0</v>
      </c>
      <c r="M300" t="n">
        <v>0</v>
      </c>
      <c r="N300" t="n">
        <v>0</v>
      </c>
      <c r="O300" t="n">
        <v>0</v>
      </c>
      <c r="P300" t="n">
        <v>0</v>
      </c>
      <c r="Q300" t="n">
        <v>0</v>
      </c>
      <c r="R300" s="2" t="inlineStr"/>
    </row>
    <row r="301" ht="15" customHeight="1">
      <c r="A301" t="inlineStr">
        <is>
          <t>A 20165-2022</t>
        </is>
      </c>
      <c r="B301" s="1" t="n">
        <v>44698.49854166667</v>
      </c>
      <c r="C301" s="1" t="n">
        <v>45924</v>
      </c>
      <c r="D301" t="inlineStr">
        <is>
          <t>GOTLANDS LÄN</t>
        </is>
      </c>
      <c r="E301" t="inlineStr">
        <is>
          <t>GOTLAND</t>
        </is>
      </c>
      <c r="G301" t="n">
        <v>4.1</v>
      </c>
      <c r="H301" t="n">
        <v>0</v>
      </c>
      <c r="I301" t="n">
        <v>0</v>
      </c>
      <c r="J301" t="n">
        <v>0</v>
      </c>
      <c r="K301" t="n">
        <v>0</v>
      </c>
      <c r="L301" t="n">
        <v>0</v>
      </c>
      <c r="M301" t="n">
        <v>0</v>
      </c>
      <c r="N301" t="n">
        <v>0</v>
      </c>
      <c r="O301" t="n">
        <v>0</v>
      </c>
      <c r="P301" t="n">
        <v>0</v>
      </c>
      <c r="Q301" t="n">
        <v>0</v>
      </c>
      <c r="R301" s="2" t="inlineStr"/>
    </row>
    <row r="302" ht="15" customHeight="1">
      <c r="A302" t="inlineStr">
        <is>
          <t>A 8444-2025</t>
        </is>
      </c>
      <c r="B302" s="1" t="n">
        <v>45709</v>
      </c>
      <c r="C302" s="1" t="n">
        <v>45924</v>
      </c>
      <c r="D302" t="inlineStr">
        <is>
          <t>GOTLANDS LÄN</t>
        </is>
      </c>
      <c r="E302" t="inlineStr">
        <is>
          <t>GOTLAND</t>
        </is>
      </c>
      <c r="G302" t="n">
        <v>5.2</v>
      </c>
      <c r="H302" t="n">
        <v>0</v>
      </c>
      <c r="I302" t="n">
        <v>0</v>
      </c>
      <c r="J302" t="n">
        <v>0</v>
      </c>
      <c r="K302" t="n">
        <v>0</v>
      </c>
      <c r="L302" t="n">
        <v>0</v>
      </c>
      <c r="M302" t="n">
        <v>0</v>
      </c>
      <c r="N302" t="n">
        <v>0</v>
      </c>
      <c r="O302" t="n">
        <v>0</v>
      </c>
      <c r="P302" t="n">
        <v>0</v>
      </c>
      <c r="Q302" t="n">
        <v>0</v>
      </c>
      <c r="R302" s="2" t="inlineStr"/>
    </row>
    <row r="303" ht="15" customHeight="1">
      <c r="A303" t="inlineStr">
        <is>
          <t>A 19905-2025</t>
        </is>
      </c>
      <c r="B303" s="1" t="n">
        <v>45771</v>
      </c>
      <c r="C303" s="1" t="n">
        <v>45924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31264-2021</t>
        </is>
      </c>
      <c r="B304" s="1" t="n">
        <v>44368</v>
      </c>
      <c r="C304" s="1" t="n">
        <v>45924</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42041-2024</t>
        </is>
      </c>
      <c r="B305" s="1" t="n">
        <v>45561</v>
      </c>
      <c r="C305" s="1" t="n">
        <v>45924</v>
      </c>
      <c r="D305" t="inlineStr">
        <is>
          <t>GOTLANDS LÄN</t>
        </is>
      </c>
      <c r="E305" t="inlineStr">
        <is>
          <t>GOTLAND</t>
        </is>
      </c>
      <c r="G305" t="n">
        <v>3.2</v>
      </c>
      <c r="H305" t="n">
        <v>0</v>
      </c>
      <c r="I305" t="n">
        <v>0</v>
      </c>
      <c r="J305" t="n">
        <v>0</v>
      </c>
      <c r="K305" t="n">
        <v>0</v>
      </c>
      <c r="L305" t="n">
        <v>0</v>
      </c>
      <c r="M305" t="n">
        <v>0</v>
      </c>
      <c r="N305" t="n">
        <v>0</v>
      </c>
      <c r="O305" t="n">
        <v>0</v>
      </c>
      <c r="P305" t="n">
        <v>0</v>
      </c>
      <c r="Q305" t="n">
        <v>0</v>
      </c>
      <c r="R305" s="2" t="inlineStr"/>
    </row>
    <row r="306" ht="15" customHeight="1">
      <c r="A306" t="inlineStr">
        <is>
          <t>A 33876-2024</t>
        </is>
      </c>
      <c r="B306" s="1" t="n">
        <v>45521.87988425926</v>
      </c>
      <c r="C306" s="1" t="n">
        <v>45924</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43223-2023</t>
        </is>
      </c>
      <c r="B307" s="1" t="n">
        <v>45183.45642361111</v>
      </c>
      <c r="C307" s="1" t="n">
        <v>45924</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61962-2024</t>
        </is>
      </c>
      <c r="B308" s="1" t="n">
        <v>45653.54340277778</v>
      </c>
      <c r="C308" s="1" t="n">
        <v>45924</v>
      </c>
      <c r="D308" t="inlineStr">
        <is>
          <t>GOTLANDS LÄN</t>
        </is>
      </c>
      <c r="E308" t="inlineStr">
        <is>
          <t>GOTLAND</t>
        </is>
      </c>
      <c r="G308" t="n">
        <v>0.7</v>
      </c>
      <c r="H308" t="n">
        <v>0</v>
      </c>
      <c r="I308" t="n">
        <v>0</v>
      </c>
      <c r="J308" t="n">
        <v>0</v>
      </c>
      <c r="K308" t="n">
        <v>0</v>
      </c>
      <c r="L308" t="n">
        <v>0</v>
      </c>
      <c r="M308" t="n">
        <v>0</v>
      </c>
      <c r="N308" t="n">
        <v>0</v>
      </c>
      <c r="O308" t="n">
        <v>0</v>
      </c>
      <c r="P308" t="n">
        <v>0</v>
      </c>
      <c r="Q308" t="n">
        <v>0</v>
      </c>
      <c r="R308" s="2" t="inlineStr"/>
    </row>
    <row r="309" ht="15" customHeight="1">
      <c r="A309" t="inlineStr">
        <is>
          <t>A 27930-2021</t>
        </is>
      </c>
      <c r="B309" s="1" t="n">
        <v>44354</v>
      </c>
      <c r="C309" s="1" t="n">
        <v>45924</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59469-2024</t>
        </is>
      </c>
      <c r="B310" s="1" t="n">
        <v>45638</v>
      </c>
      <c r="C310" s="1" t="n">
        <v>45924</v>
      </c>
      <c r="D310" t="inlineStr">
        <is>
          <t>GOTLANDS LÄN</t>
        </is>
      </c>
      <c r="E310" t="inlineStr">
        <is>
          <t>GOTLAND</t>
        </is>
      </c>
      <c r="G310" t="n">
        <v>0.4</v>
      </c>
      <c r="H310" t="n">
        <v>0</v>
      </c>
      <c r="I310" t="n">
        <v>0</v>
      </c>
      <c r="J310" t="n">
        <v>0</v>
      </c>
      <c r="K310" t="n">
        <v>0</v>
      </c>
      <c r="L310" t="n">
        <v>0</v>
      </c>
      <c r="M310" t="n">
        <v>0</v>
      </c>
      <c r="N310" t="n">
        <v>0</v>
      </c>
      <c r="O310" t="n">
        <v>0</v>
      </c>
      <c r="P310" t="n">
        <v>0</v>
      </c>
      <c r="Q310" t="n">
        <v>0</v>
      </c>
      <c r="R310" s="2" t="inlineStr"/>
    </row>
    <row r="311" ht="15" customHeight="1">
      <c r="A311" t="inlineStr">
        <is>
          <t>A 29207-2025</t>
        </is>
      </c>
      <c r="B311" s="1" t="n">
        <v>45823</v>
      </c>
      <c r="C311" s="1" t="n">
        <v>45924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18993-2025</t>
        </is>
      </c>
      <c r="B312" s="1" t="n">
        <v>45764</v>
      </c>
      <c r="C312" s="1" t="n">
        <v>45924</v>
      </c>
      <c r="D312" t="inlineStr">
        <is>
          <t>GOTLANDS LÄN</t>
        </is>
      </c>
      <c r="E312" t="inlineStr">
        <is>
          <t>GOTLAND</t>
        </is>
      </c>
      <c r="G312" t="n">
        <v>3</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45924</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45924</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45924</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45924</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45924</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4990-2025</t>
        </is>
      </c>
      <c r="B318" s="1" t="n">
        <v>45691</v>
      </c>
      <c r="C318" s="1" t="n">
        <v>45924</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15436-2025</t>
        </is>
      </c>
      <c r="B319" s="1" t="n">
        <v>45747.47462962963</v>
      </c>
      <c r="C319" s="1" t="n">
        <v>45924</v>
      </c>
      <c r="D319" t="inlineStr">
        <is>
          <t>GOTLANDS LÄN</t>
        </is>
      </c>
      <c r="E319" t="inlineStr">
        <is>
          <t>GOTLAND</t>
        </is>
      </c>
      <c r="G319" t="n">
        <v>4.1</v>
      </c>
      <c r="H319" t="n">
        <v>0</v>
      </c>
      <c r="I319" t="n">
        <v>0</v>
      </c>
      <c r="J319" t="n">
        <v>0</v>
      </c>
      <c r="K319" t="n">
        <v>0</v>
      </c>
      <c r="L319" t="n">
        <v>0</v>
      </c>
      <c r="M319" t="n">
        <v>0</v>
      </c>
      <c r="N319" t="n">
        <v>0</v>
      </c>
      <c r="O319" t="n">
        <v>0</v>
      </c>
      <c r="P319" t="n">
        <v>0</v>
      </c>
      <c r="Q319" t="n">
        <v>0</v>
      </c>
      <c r="R319" s="2" t="inlineStr"/>
    </row>
    <row r="320" ht="15" customHeight="1">
      <c r="A320" t="inlineStr">
        <is>
          <t>A 21247-2022</t>
        </is>
      </c>
      <c r="B320" s="1" t="n">
        <v>44705.38832175926</v>
      </c>
      <c r="C320" s="1" t="n">
        <v>45924</v>
      </c>
      <c r="D320" t="inlineStr">
        <is>
          <t>GOTLANDS LÄN</t>
        </is>
      </c>
      <c r="E320" t="inlineStr">
        <is>
          <t>GOTLAND</t>
        </is>
      </c>
      <c r="G320" t="n">
        <v>16.2</v>
      </c>
      <c r="H320" t="n">
        <v>0</v>
      </c>
      <c r="I320" t="n">
        <v>0</v>
      </c>
      <c r="J320" t="n">
        <v>0</v>
      </c>
      <c r="K320" t="n">
        <v>0</v>
      </c>
      <c r="L320" t="n">
        <v>0</v>
      </c>
      <c r="M320" t="n">
        <v>0</v>
      </c>
      <c r="N320" t="n">
        <v>0</v>
      </c>
      <c r="O320" t="n">
        <v>0</v>
      </c>
      <c r="P320" t="n">
        <v>0</v>
      </c>
      <c r="Q320" t="n">
        <v>0</v>
      </c>
      <c r="R320" s="2" t="inlineStr"/>
    </row>
    <row r="321" ht="15" customHeight="1">
      <c r="A321" t="inlineStr">
        <is>
          <t>A 38165-2023</t>
        </is>
      </c>
      <c r="B321" s="1" t="n">
        <v>45161</v>
      </c>
      <c r="C321" s="1" t="n">
        <v>45924</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30061-2025</t>
        </is>
      </c>
      <c r="B322" s="1" t="n">
        <v>45826.61488425926</v>
      </c>
      <c r="C322" s="1" t="n">
        <v>45924</v>
      </c>
      <c r="D322" t="inlineStr">
        <is>
          <t>GOTLANDS LÄN</t>
        </is>
      </c>
      <c r="E322" t="inlineStr">
        <is>
          <t>GOTLAND</t>
        </is>
      </c>
      <c r="G322" t="n">
        <v>4.1</v>
      </c>
      <c r="H322" t="n">
        <v>0</v>
      </c>
      <c r="I322" t="n">
        <v>0</v>
      </c>
      <c r="J322" t="n">
        <v>0</v>
      </c>
      <c r="K322" t="n">
        <v>0</v>
      </c>
      <c r="L322" t="n">
        <v>0</v>
      </c>
      <c r="M322" t="n">
        <v>0</v>
      </c>
      <c r="N322" t="n">
        <v>0</v>
      </c>
      <c r="O322" t="n">
        <v>0</v>
      </c>
      <c r="P322" t="n">
        <v>0</v>
      </c>
      <c r="Q322" t="n">
        <v>0</v>
      </c>
      <c r="R322" s="2" t="inlineStr"/>
    </row>
    <row r="323" ht="15" customHeight="1">
      <c r="A323" t="inlineStr">
        <is>
          <t>A 30157-2025</t>
        </is>
      </c>
      <c r="B323" s="1" t="n">
        <v>45826</v>
      </c>
      <c r="C323" s="1" t="n">
        <v>45924</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17780-2022</t>
        </is>
      </c>
      <c r="B324" s="1" t="n">
        <v>44682.82622685185</v>
      </c>
      <c r="C324" s="1" t="n">
        <v>45924</v>
      </c>
      <c r="D324" t="inlineStr">
        <is>
          <t>GOTLANDS LÄN</t>
        </is>
      </c>
      <c r="E324" t="inlineStr">
        <is>
          <t>GOTLAND</t>
        </is>
      </c>
      <c r="G324" t="n">
        <v>2.2</v>
      </c>
      <c r="H324" t="n">
        <v>0</v>
      </c>
      <c r="I324" t="n">
        <v>0</v>
      </c>
      <c r="J324" t="n">
        <v>0</v>
      </c>
      <c r="K324" t="n">
        <v>0</v>
      </c>
      <c r="L324" t="n">
        <v>0</v>
      </c>
      <c r="M324" t="n">
        <v>0</v>
      </c>
      <c r="N324" t="n">
        <v>0</v>
      </c>
      <c r="O324" t="n">
        <v>0</v>
      </c>
      <c r="P324" t="n">
        <v>0</v>
      </c>
      <c r="Q324" t="n">
        <v>0</v>
      </c>
      <c r="R324" s="2" t="inlineStr"/>
    </row>
    <row r="325" ht="15" customHeight="1">
      <c r="A325" t="inlineStr">
        <is>
          <t>A 58160-2024</t>
        </is>
      </c>
      <c r="B325" s="1" t="n">
        <v>45632.44927083333</v>
      </c>
      <c r="C325" s="1" t="n">
        <v>45924</v>
      </c>
      <c r="D325" t="inlineStr">
        <is>
          <t>GOTLANDS LÄN</t>
        </is>
      </c>
      <c r="E325" t="inlineStr">
        <is>
          <t>GOTLAND</t>
        </is>
      </c>
      <c r="G325" t="n">
        <v>5.6</v>
      </c>
      <c r="H325" t="n">
        <v>0</v>
      </c>
      <c r="I325" t="n">
        <v>0</v>
      </c>
      <c r="J325" t="n">
        <v>0</v>
      </c>
      <c r="K325" t="n">
        <v>0</v>
      </c>
      <c r="L325" t="n">
        <v>0</v>
      </c>
      <c r="M325" t="n">
        <v>0</v>
      </c>
      <c r="N325" t="n">
        <v>0</v>
      </c>
      <c r="O325" t="n">
        <v>0</v>
      </c>
      <c r="P325" t="n">
        <v>0</v>
      </c>
      <c r="Q325" t="n">
        <v>0</v>
      </c>
      <c r="R325" s="2" t="inlineStr"/>
    </row>
    <row r="326" ht="15" customHeight="1">
      <c r="A326" t="inlineStr">
        <is>
          <t>A 63516-2023</t>
        </is>
      </c>
      <c r="B326" s="1" t="n">
        <v>45274</v>
      </c>
      <c r="C326" s="1" t="n">
        <v>45924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45924</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45924</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34312-2024</t>
        </is>
      </c>
      <c r="B329" s="1" t="n">
        <v>45524.69703703704</v>
      </c>
      <c r="C329" s="1" t="n">
        <v>45924</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53935-2024</t>
        </is>
      </c>
      <c r="B330" s="1" t="n">
        <v>45615</v>
      </c>
      <c r="C330" s="1" t="n">
        <v>45924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45924</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30135-2025</t>
        </is>
      </c>
      <c r="B332" s="1" t="n">
        <v>45826</v>
      </c>
      <c r="C332" s="1" t="n">
        <v>45924</v>
      </c>
      <c r="D332" t="inlineStr">
        <is>
          <t>GOTLANDS LÄN</t>
        </is>
      </c>
      <c r="E332" t="inlineStr">
        <is>
          <t>GOTLAND</t>
        </is>
      </c>
      <c r="G332" t="n">
        <v>2.7</v>
      </c>
      <c r="H332" t="n">
        <v>0</v>
      </c>
      <c r="I332" t="n">
        <v>0</v>
      </c>
      <c r="J332" t="n">
        <v>0</v>
      </c>
      <c r="K332" t="n">
        <v>0</v>
      </c>
      <c r="L332" t="n">
        <v>0</v>
      </c>
      <c r="M332" t="n">
        <v>0</v>
      </c>
      <c r="N332" t="n">
        <v>0</v>
      </c>
      <c r="O332" t="n">
        <v>0</v>
      </c>
      <c r="P332" t="n">
        <v>0</v>
      </c>
      <c r="Q332" t="n">
        <v>0</v>
      </c>
      <c r="R332" s="2" t="inlineStr"/>
    </row>
    <row r="333" ht="15" customHeight="1">
      <c r="A333" t="inlineStr">
        <is>
          <t>A 69112-2021</t>
        </is>
      </c>
      <c r="B333" s="1" t="n">
        <v>44530</v>
      </c>
      <c r="C333" s="1" t="n">
        <v>45924</v>
      </c>
      <c r="D333" t="inlineStr">
        <is>
          <t>GOTLANDS LÄN</t>
        </is>
      </c>
      <c r="E333" t="inlineStr">
        <is>
          <t>GOTLAND</t>
        </is>
      </c>
      <c r="G333" t="n">
        <v>4.2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45924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45924</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23516-2023</t>
        </is>
      </c>
      <c r="B336" s="1" t="n">
        <v>45076.93391203704</v>
      </c>
      <c r="C336" s="1" t="n">
        <v>45924</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16109-2025</t>
        </is>
      </c>
      <c r="B337" s="1" t="n">
        <v>45750</v>
      </c>
      <c r="C337" s="1" t="n">
        <v>45924</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32467-2025</t>
        </is>
      </c>
      <c r="B338" s="1" t="n">
        <v>45838.42111111111</v>
      </c>
      <c r="C338" s="1" t="n">
        <v>45924</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43231-2023</t>
        </is>
      </c>
      <c r="B339" s="1" t="n">
        <v>45183.47025462963</v>
      </c>
      <c r="C339" s="1" t="n">
        <v>45924</v>
      </c>
      <c r="D339" t="inlineStr">
        <is>
          <t>GOTLANDS LÄN</t>
        </is>
      </c>
      <c r="E339" t="inlineStr">
        <is>
          <t>GOTLAND</t>
        </is>
      </c>
      <c r="G339" t="n">
        <v>3.6</v>
      </c>
      <c r="H339" t="n">
        <v>0</v>
      </c>
      <c r="I339" t="n">
        <v>0</v>
      </c>
      <c r="J339" t="n">
        <v>0</v>
      </c>
      <c r="K339" t="n">
        <v>0</v>
      </c>
      <c r="L339" t="n">
        <v>0</v>
      </c>
      <c r="M339" t="n">
        <v>0</v>
      </c>
      <c r="N339" t="n">
        <v>0</v>
      </c>
      <c r="O339" t="n">
        <v>0</v>
      </c>
      <c r="P339" t="n">
        <v>0</v>
      </c>
      <c r="Q339" t="n">
        <v>0</v>
      </c>
      <c r="R339" s="2" t="inlineStr"/>
    </row>
    <row r="340" ht="15" customHeight="1">
      <c r="A340" t="inlineStr">
        <is>
          <t>A 32378-2025</t>
        </is>
      </c>
      <c r="B340" s="1" t="n">
        <v>45837</v>
      </c>
      <c r="C340" s="1" t="n">
        <v>45924</v>
      </c>
      <c r="D340" t="inlineStr">
        <is>
          <t>GOTLANDS LÄN</t>
        </is>
      </c>
      <c r="E340" t="inlineStr">
        <is>
          <t>GOTLAND</t>
        </is>
      </c>
      <c r="G340" t="n">
        <v>4.1</v>
      </c>
      <c r="H340" t="n">
        <v>0</v>
      </c>
      <c r="I340" t="n">
        <v>0</v>
      </c>
      <c r="J340" t="n">
        <v>0</v>
      </c>
      <c r="K340" t="n">
        <v>0</v>
      </c>
      <c r="L340" t="n">
        <v>0</v>
      </c>
      <c r="M340" t="n">
        <v>0</v>
      </c>
      <c r="N340" t="n">
        <v>0</v>
      </c>
      <c r="O340" t="n">
        <v>0</v>
      </c>
      <c r="P340" t="n">
        <v>0</v>
      </c>
      <c r="Q340" t="n">
        <v>0</v>
      </c>
      <c r="R340" s="2" t="inlineStr"/>
    </row>
    <row r="341" ht="15" customHeight="1">
      <c r="A341" t="inlineStr">
        <is>
          <t>A 32686-2025</t>
        </is>
      </c>
      <c r="B341" s="1" t="n">
        <v>45838</v>
      </c>
      <c r="C341" s="1" t="n">
        <v>45924</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58230-2024</t>
        </is>
      </c>
      <c r="B342" s="1" t="n">
        <v>45632.51625</v>
      </c>
      <c r="C342" s="1" t="n">
        <v>45924</v>
      </c>
      <c r="D342" t="inlineStr">
        <is>
          <t>GOTLANDS LÄN</t>
        </is>
      </c>
      <c r="E342" t="inlineStr">
        <is>
          <t>GOTLAND</t>
        </is>
      </c>
      <c r="G342" t="n">
        <v>7.3</v>
      </c>
      <c r="H342" t="n">
        <v>0</v>
      </c>
      <c r="I342" t="n">
        <v>0</v>
      </c>
      <c r="J342" t="n">
        <v>0</v>
      </c>
      <c r="K342" t="n">
        <v>0</v>
      </c>
      <c r="L342" t="n">
        <v>0</v>
      </c>
      <c r="M342" t="n">
        <v>0</v>
      </c>
      <c r="N342" t="n">
        <v>0</v>
      </c>
      <c r="O342" t="n">
        <v>0</v>
      </c>
      <c r="P342" t="n">
        <v>0</v>
      </c>
      <c r="Q342" t="n">
        <v>0</v>
      </c>
      <c r="R342" s="2" t="inlineStr"/>
    </row>
    <row r="343" ht="15" customHeight="1">
      <c r="A343" t="inlineStr">
        <is>
          <t>A 64555-2023</t>
        </is>
      </c>
      <c r="B343" s="1" t="n">
        <v>45281</v>
      </c>
      <c r="C343" s="1" t="n">
        <v>45924</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45924</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457-2023</t>
        </is>
      </c>
      <c r="B345" s="1" t="n">
        <v>44929.87238425926</v>
      </c>
      <c r="C345" s="1" t="n">
        <v>45924</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459-2023</t>
        </is>
      </c>
      <c r="B346" s="1" t="n">
        <v>44929.87423611111</v>
      </c>
      <c r="C346" s="1" t="n">
        <v>45924</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33078-2025</t>
        </is>
      </c>
      <c r="B347" s="1" t="n">
        <v>45840</v>
      </c>
      <c r="C347" s="1" t="n">
        <v>45924</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22031-2024</t>
        </is>
      </c>
      <c r="B348" s="1" t="n">
        <v>45443.60075231481</v>
      </c>
      <c r="C348" s="1" t="n">
        <v>45924</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17688-2024</t>
        </is>
      </c>
      <c r="B349" s="1" t="n">
        <v>45418.43575231481</v>
      </c>
      <c r="C349" s="1" t="n">
        <v>45924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33007-2025</t>
        </is>
      </c>
      <c r="B350" s="1" t="n">
        <v>45840</v>
      </c>
      <c r="C350" s="1" t="n">
        <v>45924</v>
      </c>
      <c r="D350" t="inlineStr">
        <is>
          <t>GOTLANDS LÄN</t>
        </is>
      </c>
      <c r="E350" t="inlineStr">
        <is>
          <t>GOTLAND</t>
        </is>
      </c>
      <c r="G350" t="n">
        <v>4.9</v>
      </c>
      <c r="H350" t="n">
        <v>0</v>
      </c>
      <c r="I350" t="n">
        <v>0</v>
      </c>
      <c r="J350" t="n">
        <v>0</v>
      </c>
      <c r="K350" t="n">
        <v>0</v>
      </c>
      <c r="L350" t="n">
        <v>0</v>
      </c>
      <c r="M350" t="n">
        <v>0</v>
      </c>
      <c r="N350" t="n">
        <v>0</v>
      </c>
      <c r="O350" t="n">
        <v>0</v>
      </c>
      <c r="P350" t="n">
        <v>0</v>
      </c>
      <c r="Q350" t="n">
        <v>0</v>
      </c>
      <c r="R350" s="2" t="inlineStr"/>
    </row>
    <row r="351" ht="15" customHeight="1">
      <c r="A351" t="inlineStr">
        <is>
          <t>A 33011-2025</t>
        </is>
      </c>
      <c r="B351" s="1" t="n">
        <v>45840</v>
      </c>
      <c r="C351" s="1" t="n">
        <v>45924</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6796-2025</t>
        </is>
      </c>
      <c r="B352" s="1" t="n">
        <v>45700.66559027778</v>
      </c>
      <c r="C352" s="1" t="n">
        <v>45924</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876-2024</t>
        </is>
      </c>
      <c r="B353" s="1" t="n">
        <v>45301</v>
      </c>
      <c r="C353" s="1" t="n">
        <v>45924</v>
      </c>
      <c r="D353" t="inlineStr">
        <is>
          <t>GOTLANDS LÄN</t>
        </is>
      </c>
      <c r="E353" t="inlineStr">
        <is>
          <t>GOTLAND</t>
        </is>
      </c>
      <c r="G353" t="n">
        <v>5.3</v>
      </c>
      <c r="H353" t="n">
        <v>0</v>
      </c>
      <c r="I353" t="n">
        <v>0</v>
      </c>
      <c r="J353" t="n">
        <v>0</v>
      </c>
      <c r="K353" t="n">
        <v>0</v>
      </c>
      <c r="L353" t="n">
        <v>0</v>
      </c>
      <c r="M353" t="n">
        <v>0</v>
      </c>
      <c r="N353" t="n">
        <v>0</v>
      </c>
      <c r="O353" t="n">
        <v>0</v>
      </c>
      <c r="P353" t="n">
        <v>0</v>
      </c>
      <c r="Q353" t="n">
        <v>0</v>
      </c>
      <c r="R353" s="2" t="inlineStr"/>
    </row>
    <row r="354" ht="15" customHeight="1">
      <c r="A354" t="inlineStr">
        <is>
          <t>A 26891-2024</t>
        </is>
      </c>
      <c r="B354" s="1" t="n">
        <v>45470.65540509259</v>
      </c>
      <c r="C354" s="1" t="n">
        <v>45924</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14536-2021</t>
        </is>
      </c>
      <c r="B355" s="1" t="n">
        <v>44279.66168981481</v>
      </c>
      <c r="C355" s="1" t="n">
        <v>45924</v>
      </c>
      <c r="D355" t="inlineStr">
        <is>
          <t>GOTLANDS LÄN</t>
        </is>
      </c>
      <c r="E355" t="inlineStr">
        <is>
          <t>GOTLAND</t>
        </is>
      </c>
      <c r="G355" t="n">
        <v>8.5</v>
      </c>
      <c r="H355" t="n">
        <v>0</v>
      </c>
      <c r="I355" t="n">
        <v>0</v>
      </c>
      <c r="J355" t="n">
        <v>0</v>
      </c>
      <c r="K355" t="n">
        <v>0</v>
      </c>
      <c r="L355" t="n">
        <v>0</v>
      </c>
      <c r="M355" t="n">
        <v>0</v>
      </c>
      <c r="N355" t="n">
        <v>0</v>
      </c>
      <c r="O355" t="n">
        <v>0</v>
      </c>
      <c r="P355" t="n">
        <v>0</v>
      </c>
      <c r="Q355" t="n">
        <v>0</v>
      </c>
      <c r="R355" s="2" t="inlineStr"/>
    </row>
    <row r="356" ht="15" customHeight="1">
      <c r="A356" t="inlineStr">
        <is>
          <t>A 5923-2023</t>
        </is>
      </c>
      <c r="B356" s="1" t="n">
        <v>44963.69503472222</v>
      </c>
      <c r="C356" s="1" t="n">
        <v>45924</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27694-2024</t>
        </is>
      </c>
      <c r="B357" s="1" t="n">
        <v>45475</v>
      </c>
      <c r="C357" s="1" t="n">
        <v>45924</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50482-2024</t>
        </is>
      </c>
      <c r="B358" s="1" t="n">
        <v>45601.48114583334</v>
      </c>
      <c r="C358" s="1" t="n">
        <v>45924</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39764-2022</t>
        </is>
      </c>
      <c r="B359" s="1" t="n">
        <v>44819</v>
      </c>
      <c r="C359" s="1" t="n">
        <v>45924</v>
      </c>
      <c r="D359" t="inlineStr">
        <is>
          <t>GOTLANDS LÄN</t>
        </is>
      </c>
      <c r="E359" t="inlineStr">
        <is>
          <t>GOTLAND</t>
        </is>
      </c>
      <c r="F359" t="inlineStr">
        <is>
          <t>Kyrkan</t>
        </is>
      </c>
      <c r="G359" t="n">
        <v>3.7</v>
      </c>
      <c r="H359" t="n">
        <v>0</v>
      </c>
      <c r="I359" t="n">
        <v>0</v>
      </c>
      <c r="J359" t="n">
        <v>0</v>
      </c>
      <c r="K359" t="n">
        <v>0</v>
      </c>
      <c r="L359" t="n">
        <v>0</v>
      </c>
      <c r="M359" t="n">
        <v>0</v>
      </c>
      <c r="N359" t="n">
        <v>0</v>
      </c>
      <c r="O359" t="n">
        <v>0</v>
      </c>
      <c r="P359" t="n">
        <v>0</v>
      </c>
      <c r="Q359" t="n">
        <v>0</v>
      </c>
      <c r="R359" s="2" t="inlineStr"/>
    </row>
    <row r="360" ht="15" customHeight="1">
      <c r="A360" t="inlineStr">
        <is>
          <t>A 38649-2025</t>
        </is>
      </c>
      <c r="B360" s="1" t="n">
        <v>45884</v>
      </c>
      <c r="C360" s="1" t="n">
        <v>45924</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6099-2024</t>
        </is>
      </c>
      <c r="B361" s="1" t="n">
        <v>45337</v>
      </c>
      <c r="C361" s="1" t="n">
        <v>45924</v>
      </c>
      <c r="D361" t="inlineStr">
        <is>
          <t>GOTLANDS LÄN</t>
        </is>
      </c>
      <c r="E361" t="inlineStr">
        <is>
          <t>GOTLAND</t>
        </is>
      </c>
      <c r="G361" t="n">
        <v>12.6</v>
      </c>
      <c r="H361" t="n">
        <v>0</v>
      </c>
      <c r="I361" t="n">
        <v>0</v>
      </c>
      <c r="J361" t="n">
        <v>0</v>
      </c>
      <c r="K361" t="n">
        <v>0</v>
      </c>
      <c r="L361" t="n">
        <v>0</v>
      </c>
      <c r="M361" t="n">
        <v>0</v>
      </c>
      <c r="N361" t="n">
        <v>0</v>
      </c>
      <c r="O361" t="n">
        <v>0</v>
      </c>
      <c r="P361" t="n">
        <v>0</v>
      </c>
      <c r="Q361" t="n">
        <v>0</v>
      </c>
      <c r="R361" s="2" t="inlineStr"/>
    </row>
    <row r="362" ht="15" customHeight="1">
      <c r="A362" t="inlineStr">
        <is>
          <t>A 8260-2023</t>
        </is>
      </c>
      <c r="B362" s="1" t="n">
        <v>44974.61608796296</v>
      </c>
      <c r="C362" s="1" t="n">
        <v>45924</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5943-2024</t>
        </is>
      </c>
      <c r="B363" s="1" t="n">
        <v>45336</v>
      </c>
      <c r="C363" s="1" t="n">
        <v>45924</v>
      </c>
      <c r="D363" t="inlineStr">
        <is>
          <t>GOTLANDS LÄN</t>
        </is>
      </c>
      <c r="E363" t="inlineStr">
        <is>
          <t>GOTLAND</t>
        </is>
      </c>
      <c r="G363" t="n">
        <v>4.3</v>
      </c>
      <c r="H363" t="n">
        <v>0</v>
      </c>
      <c r="I363" t="n">
        <v>0</v>
      </c>
      <c r="J363" t="n">
        <v>0</v>
      </c>
      <c r="K363" t="n">
        <v>0</v>
      </c>
      <c r="L363" t="n">
        <v>0</v>
      </c>
      <c r="M363" t="n">
        <v>0</v>
      </c>
      <c r="N363" t="n">
        <v>0</v>
      </c>
      <c r="O363" t="n">
        <v>0</v>
      </c>
      <c r="P363" t="n">
        <v>0</v>
      </c>
      <c r="Q363" t="n">
        <v>0</v>
      </c>
      <c r="R363" s="2" t="inlineStr"/>
    </row>
    <row r="364" ht="15" customHeight="1">
      <c r="A364" t="inlineStr">
        <is>
          <t>A 38234-2023</t>
        </is>
      </c>
      <c r="B364" s="1" t="n">
        <v>45161.56663194444</v>
      </c>
      <c r="C364" s="1" t="n">
        <v>45924</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22287-2022</t>
        </is>
      </c>
      <c r="B365" s="1" t="n">
        <v>44712</v>
      </c>
      <c r="C365" s="1" t="n">
        <v>45924</v>
      </c>
      <c r="D365" t="inlineStr">
        <is>
          <t>GOTLANDS LÄN</t>
        </is>
      </c>
      <c r="E365" t="inlineStr">
        <is>
          <t>GOTLAND</t>
        </is>
      </c>
      <c r="G365" t="n">
        <v>6.1</v>
      </c>
      <c r="H365" t="n">
        <v>0</v>
      </c>
      <c r="I365" t="n">
        <v>0</v>
      </c>
      <c r="J365" t="n">
        <v>0</v>
      </c>
      <c r="K365" t="n">
        <v>0</v>
      </c>
      <c r="L365" t="n">
        <v>0</v>
      </c>
      <c r="M365" t="n">
        <v>0</v>
      </c>
      <c r="N365" t="n">
        <v>0</v>
      </c>
      <c r="O365" t="n">
        <v>0</v>
      </c>
      <c r="P365" t="n">
        <v>0</v>
      </c>
      <c r="Q365" t="n">
        <v>0</v>
      </c>
      <c r="R365" s="2" t="inlineStr"/>
    </row>
    <row r="366" ht="15" customHeight="1">
      <c r="A366" t="inlineStr">
        <is>
          <t>A 1273-2023</t>
        </is>
      </c>
      <c r="B366" s="1" t="n">
        <v>44936</v>
      </c>
      <c r="C366" s="1" t="n">
        <v>45924</v>
      </c>
      <c r="D366" t="inlineStr">
        <is>
          <t>GOTLANDS LÄN</t>
        </is>
      </c>
      <c r="E366" t="inlineStr">
        <is>
          <t>GOTLAND</t>
        </is>
      </c>
      <c r="G366" t="n">
        <v>4.5</v>
      </c>
      <c r="H366" t="n">
        <v>0</v>
      </c>
      <c r="I366" t="n">
        <v>0</v>
      </c>
      <c r="J366" t="n">
        <v>0</v>
      </c>
      <c r="K366" t="n">
        <v>0</v>
      </c>
      <c r="L366" t="n">
        <v>0</v>
      </c>
      <c r="M366" t="n">
        <v>0</v>
      </c>
      <c r="N366" t="n">
        <v>0</v>
      </c>
      <c r="O366" t="n">
        <v>0</v>
      </c>
      <c r="P366" t="n">
        <v>0</v>
      </c>
      <c r="Q366" t="n">
        <v>0</v>
      </c>
      <c r="R366" s="2" t="inlineStr"/>
    </row>
    <row r="367" ht="15" customHeight="1">
      <c r="A367" t="inlineStr">
        <is>
          <t>A 57534-2022</t>
        </is>
      </c>
      <c r="B367" s="1" t="n">
        <v>44896</v>
      </c>
      <c r="C367" s="1" t="n">
        <v>45924</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39278-2025</t>
        </is>
      </c>
      <c r="B368" s="1" t="n">
        <v>45889</v>
      </c>
      <c r="C368" s="1" t="n">
        <v>45924</v>
      </c>
      <c r="D368" t="inlineStr">
        <is>
          <t>GOTLANDS LÄN</t>
        </is>
      </c>
      <c r="E368" t="inlineStr">
        <is>
          <t>GOTLAND</t>
        </is>
      </c>
      <c r="G368" t="n">
        <v>3.7</v>
      </c>
      <c r="H368" t="n">
        <v>0</v>
      </c>
      <c r="I368" t="n">
        <v>0</v>
      </c>
      <c r="J368" t="n">
        <v>0</v>
      </c>
      <c r="K368" t="n">
        <v>0</v>
      </c>
      <c r="L368" t="n">
        <v>0</v>
      </c>
      <c r="M368" t="n">
        <v>0</v>
      </c>
      <c r="N368" t="n">
        <v>0</v>
      </c>
      <c r="O368" t="n">
        <v>0</v>
      </c>
      <c r="P368" t="n">
        <v>0</v>
      </c>
      <c r="Q368" t="n">
        <v>0</v>
      </c>
      <c r="R368" s="2" t="inlineStr"/>
    </row>
    <row r="369" ht="15" customHeight="1">
      <c r="A369" t="inlineStr">
        <is>
          <t>A 39814-2025</t>
        </is>
      </c>
      <c r="B369" s="1" t="n">
        <v>45891.52694444444</v>
      </c>
      <c r="C369" s="1" t="n">
        <v>45924</v>
      </c>
      <c r="D369" t="inlineStr">
        <is>
          <t>GOTLANDS LÄN</t>
        </is>
      </c>
      <c r="E369" t="inlineStr">
        <is>
          <t>GOTLAND</t>
        </is>
      </c>
      <c r="G369" t="n">
        <v>4.5</v>
      </c>
      <c r="H369" t="n">
        <v>0</v>
      </c>
      <c r="I369" t="n">
        <v>0</v>
      </c>
      <c r="J369" t="n">
        <v>0</v>
      </c>
      <c r="K369" t="n">
        <v>0</v>
      </c>
      <c r="L369" t="n">
        <v>0</v>
      </c>
      <c r="M369" t="n">
        <v>0</v>
      </c>
      <c r="N369" t="n">
        <v>0</v>
      </c>
      <c r="O369" t="n">
        <v>0</v>
      </c>
      <c r="P369" t="n">
        <v>0</v>
      </c>
      <c r="Q369" t="n">
        <v>0</v>
      </c>
      <c r="R369" s="2" t="inlineStr"/>
    </row>
    <row r="370" ht="15" customHeight="1">
      <c r="A370" t="inlineStr">
        <is>
          <t>A 39849-2025</t>
        </is>
      </c>
      <c r="B370" s="1" t="n">
        <v>45891.58502314815</v>
      </c>
      <c r="C370" s="1" t="n">
        <v>45924</v>
      </c>
      <c r="D370" t="inlineStr">
        <is>
          <t>GOTLANDS LÄN</t>
        </is>
      </c>
      <c r="E370" t="inlineStr">
        <is>
          <t>GOTLAND</t>
        </is>
      </c>
      <c r="G370" t="n">
        <v>6.1</v>
      </c>
      <c r="H370" t="n">
        <v>0</v>
      </c>
      <c r="I370" t="n">
        <v>0</v>
      </c>
      <c r="J370" t="n">
        <v>0</v>
      </c>
      <c r="K370" t="n">
        <v>0</v>
      </c>
      <c r="L370" t="n">
        <v>0</v>
      </c>
      <c r="M370" t="n">
        <v>0</v>
      </c>
      <c r="N370" t="n">
        <v>0</v>
      </c>
      <c r="O370" t="n">
        <v>0</v>
      </c>
      <c r="P370" t="n">
        <v>0</v>
      </c>
      <c r="Q370" t="n">
        <v>0</v>
      </c>
      <c r="R370" s="2" t="inlineStr"/>
    </row>
    <row r="371" ht="15" customHeight="1">
      <c r="A371" t="inlineStr">
        <is>
          <t>A 17724-2024</t>
        </is>
      </c>
      <c r="B371" s="1" t="n">
        <v>45418.55096064815</v>
      </c>
      <c r="C371" s="1" t="n">
        <v>45924</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23978-2023</t>
        </is>
      </c>
      <c r="B372" s="1" t="n">
        <v>45078</v>
      </c>
      <c r="C372" s="1" t="n">
        <v>45924</v>
      </c>
      <c r="D372" t="inlineStr">
        <is>
          <t>GOTLANDS LÄN</t>
        </is>
      </c>
      <c r="E372" t="inlineStr">
        <is>
          <t>GOTLAND</t>
        </is>
      </c>
      <c r="F372" t="inlineStr">
        <is>
          <t>Naturvårdsverket</t>
        </is>
      </c>
      <c r="G372" t="n">
        <v>1.7</v>
      </c>
      <c r="H372" t="n">
        <v>0</v>
      </c>
      <c r="I372" t="n">
        <v>0</v>
      </c>
      <c r="J372" t="n">
        <v>0</v>
      </c>
      <c r="K372" t="n">
        <v>0</v>
      </c>
      <c r="L372" t="n">
        <v>0</v>
      </c>
      <c r="M372" t="n">
        <v>0</v>
      </c>
      <c r="N372" t="n">
        <v>0</v>
      </c>
      <c r="O372" t="n">
        <v>0</v>
      </c>
      <c r="P372" t="n">
        <v>0</v>
      </c>
      <c r="Q372" t="n">
        <v>0</v>
      </c>
      <c r="R372" s="2" t="inlineStr"/>
    </row>
    <row r="373" ht="15" customHeight="1">
      <c r="A373" t="inlineStr">
        <is>
          <t>A 49884-2023</t>
        </is>
      </c>
      <c r="B373" s="1" t="n">
        <v>45213</v>
      </c>
      <c r="C373" s="1" t="n">
        <v>45924</v>
      </c>
      <c r="D373" t="inlineStr">
        <is>
          <t>GOTLANDS LÄN</t>
        </is>
      </c>
      <c r="E373" t="inlineStr">
        <is>
          <t>GOTLAND</t>
        </is>
      </c>
      <c r="G373" t="n">
        <v>8.9</v>
      </c>
      <c r="H373" t="n">
        <v>0</v>
      </c>
      <c r="I373" t="n">
        <v>0</v>
      </c>
      <c r="J373" t="n">
        <v>0</v>
      </c>
      <c r="K373" t="n">
        <v>0</v>
      </c>
      <c r="L373" t="n">
        <v>0</v>
      </c>
      <c r="M373" t="n">
        <v>0</v>
      </c>
      <c r="N373" t="n">
        <v>0</v>
      </c>
      <c r="O373" t="n">
        <v>0</v>
      </c>
      <c r="P373" t="n">
        <v>0</v>
      </c>
      <c r="Q373" t="n">
        <v>0</v>
      </c>
      <c r="R373" s="2" t="inlineStr"/>
    </row>
    <row r="374" ht="15" customHeight="1">
      <c r="A374" t="inlineStr">
        <is>
          <t>A 12846-2025</t>
        </is>
      </c>
      <c r="B374" s="1" t="n">
        <v>45733.65049768519</v>
      </c>
      <c r="C374" s="1" t="n">
        <v>45924</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45924</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15413-2025</t>
        </is>
      </c>
      <c r="B376" s="1" t="n">
        <v>45747.451875</v>
      </c>
      <c r="C376" s="1" t="n">
        <v>45924</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1477-2024</t>
        </is>
      </c>
      <c r="B377" s="1" t="n">
        <v>45305.37987268518</v>
      </c>
      <c r="C377" s="1" t="n">
        <v>45924</v>
      </c>
      <c r="D377" t="inlineStr">
        <is>
          <t>GOTLANDS LÄN</t>
        </is>
      </c>
      <c r="E377" t="inlineStr">
        <is>
          <t>GOTLAND</t>
        </is>
      </c>
      <c r="G377" t="n">
        <v>6.9</v>
      </c>
      <c r="H377" t="n">
        <v>0</v>
      </c>
      <c r="I377" t="n">
        <v>0</v>
      </c>
      <c r="J377" t="n">
        <v>0</v>
      </c>
      <c r="K377" t="n">
        <v>0</v>
      </c>
      <c r="L377" t="n">
        <v>0</v>
      </c>
      <c r="M377" t="n">
        <v>0</v>
      </c>
      <c r="N377" t="n">
        <v>0</v>
      </c>
      <c r="O377" t="n">
        <v>0</v>
      </c>
      <c r="P377" t="n">
        <v>0</v>
      </c>
      <c r="Q377" t="n">
        <v>0</v>
      </c>
      <c r="R377" s="2" t="inlineStr"/>
    </row>
    <row r="378" ht="15" customHeight="1">
      <c r="A378" t="inlineStr">
        <is>
          <t>A 3935-2025</t>
        </is>
      </c>
      <c r="B378" s="1" t="n">
        <v>45684.46070601852</v>
      </c>
      <c r="C378" s="1" t="n">
        <v>45924</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39819-2025</t>
        </is>
      </c>
      <c r="B379" s="1" t="n">
        <v>45891.53418981482</v>
      </c>
      <c r="C379" s="1" t="n">
        <v>45924</v>
      </c>
      <c r="D379" t="inlineStr">
        <is>
          <t>GOTLANDS LÄN</t>
        </is>
      </c>
      <c r="E379" t="inlineStr">
        <is>
          <t>GOTLAND</t>
        </is>
      </c>
      <c r="G379" t="n">
        <v>3.1</v>
      </c>
      <c r="H379" t="n">
        <v>0</v>
      </c>
      <c r="I379" t="n">
        <v>0</v>
      </c>
      <c r="J379" t="n">
        <v>0</v>
      </c>
      <c r="K379" t="n">
        <v>0</v>
      </c>
      <c r="L379" t="n">
        <v>0</v>
      </c>
      <c r="M379" t="n">
        <v>0</v>
      </c>
      <c r="N379" t="n">
        <v>0</v>
      </c>
      <c r="O379" t="n">
        <v>0</v>
      </c>
      <c r="P379" t="n">
        <v>0</v>
      </c>
      <c r="Q379" t="n">
        <v>0</v>
      </c>
      <c r="R379" s="2" t="inlineStr"/>
    </row>
    <row r="380" ht="15" customHeight="1">
      <c r="A380" t="inlineStr">
        <is>
          <t>A 64660-2023</t>
        </is>
      </c>
      <c r="B380" s="1" t="n">
        <v>45281.60122685185</v>
      </c>
      <c r="C380" s="1" t="n">
        <v>45924</v>
      </c>
      <c r="D380" t="inlineStr">
        <is>
          <t>GOTLANDS LÄN</t>
        </is>
      </c>
      <c r="E380" t="inlineStr">
        <is>
          <t>GOTLAND</t>
        </is>
      </c>
      <c r="G380" t="n">
        <v>6.3</v>
      </c>
      <c r="H380" t="n">
        <v>0</v>
      </c>
      <c r="I380" t="n">
        <v>0</v>
      </c>
      <c r="J380" t="n">
        <v>0</v>
      </c>
      <c r="K380" t="n">
        <v>0</v>
      </c>
      <c r="L380" t="n">
        <v>0</v>
      </c>
      <c r="M380" t="n">
        <v>0</v>
      </c>
      <c r="N380" t="n">
        <v>0</v>
      </c>
      <c r="O380" t="n">
        <v>0</v>
      </c>
      <c r="P380" t="n">
        <v>0</v>
      </c>
      <c r="Q380" t="n">
        <v>0</v>
      </c>
      <c r="R380" s="2" t="inlineStr"/>
    </row>
    <row r="381" ht="15" customHeight="1">
      <c r="A381" t="inlineStr">
        <is>
          <t>A 35096-2025</t>
        </is>
      </c>
      <c r="B381" s="1" t="n">
        <v>45852.54356481481</v>
      </c>
      <c r="C381" s="1" t="n">
        <v>45924</v>
      </c>
      <c r="D381" t="inlineStr">
        <is>
          <t>GOTLANDS LÄN</t>
        </is>
      </c>
      <c r="E381" t="inlineStr">
        <is>
          <t>GOTLAND</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39752-2025</t>
        </is>
      </c>
      <c r="B382" s="1" t="n">
        <v>45891</v>
      </c>
      <c r="C382" s="1" t="n">
        <v>45924</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21792-2024</t>
        </is>
      </c>
      <c r="B383" s="1" t="n">
        <v>45442.64326388889</v>
      </c>
      <c r="C383" s="1" t="n">
        <v>45924</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35123-2025</t>
        </is>
      </c>
      <c r="B384" s="1" t="n">
        <v>45852.614375</v>
      </c>
      <c r="C384" s="1" t="n">
        <v>45924</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35142-2025</t>
        </is>
      </c>
      <c r="B385" s="1" t="n">
        <v>45852.65532407408</v>
      </c>
      <c r="C385" s="1" t="n">
        <v>45924</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35141-2025</t>
        </is>
      </c>
      <c r="B386" s="1" t="n">
        <v>45852.65206018519</v>
      </c>
      <c r="C386" s="1" t="n">
        <v>45924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45924</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40373-2025</t>
        </is>
      </c>
      <c r="B388" s="1" t="n">
        <v>45895.51821759259</v>
      </c>
      <c r="C388" s="1" t="n">
        <v>45924</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40103-2025</t>
        </is>
      </c>
      <c r="B389" s="1" t="n">
        <v>45894.4880324074</v>
      </c>
      <c r="C389" s="1" t="n">
        <v>45924</v>
      </c>
      <c r="D389" t="inlineStr">
        <is>
          <t>GOTLANDS LÄN</t>
        </is>
      </c>
      <c r="E389" t="inlineStr">
        <is>
          <t>GOTLAND</t>
        </is>
      </c>
      <c r="G389" t="n">
        <v>0.9</v>
      </c>
      <c r="H389" t="n">
        <v>0</v>
      </c>
      <c r="I389" t="n">
        <v>0</v>
      </c>
      <c r="J389" t="n">
        <v>0</v>
      </c>
      <c r="K389" t="n">
        <v>0</v>
      </c>
      <c r="L389" t="n">
        <v>0</v>
      </c>
      <c r="M389" t="n">
        <v>0</v>
      </c>
      <c r="N389" t="n">
        <v>0</v>
      </c>
      <c r="O389" t="n">
        <v>0</v>
      </c>
      <c r="P389" t="n">
        <v>0</v>
      </c>
      <c r="Q389" t="n">
        <v>0</v>
      </c>
      <c r="R389" s="2" t="inlineStr"/>
    </row>
    <row r="390" ht="15" customHeight="1">
      <c r="A390" t="inlineStr">
        <is>
          <t>A 39816-2025</t>
        </is>
      </c>
      <c r="B390" s="1" t="n">
        <v>45891</v>
      </c>
      <c r="C390" s="1" t="n">
        <v>45924</v>
      </c>
      <c r="D390" t="inlineStr">
        <is>
          <t>GOTLANDS LÄN</t>
        </is>
      </c>
      <c r="E390" t="inlineStr">
        <is>
          <t>GOTLAND</t>
        </is>
      </c>
      <c r="G390" t="n">
        <v>0.9</v>
      </c>
      <c r="H390" t="n">
        <v>0</v>
      </c>
      <c r="I390" t="n">
        <v>0</v>
      </c>
      <c r="J390" t="n">
        <v>0</v>
      </c>
      <c r="K390" t="n">
        <v>0</v>
      </c>
      <c r="L390" t="n">
        <v>0</v>
      </c>
      <c r="M390" t="n">
        <v>0</v>
      </c>
      <c r="N390" t="n">
        <v>0</v>
      </c>
      <c r="O390" t="n">
        <v>0</v>
      </c>
      <c r="P390" t="n">
        <v>0</v>
      </c>
      <c r="Q390" t="n">
        <v>0</v>
      </c>
      <c r="R390" s="2" t="inlineStr"/>
    </row>
    <row r="391" ht="15" customHeight="1">
      <c r="A391" t="inlineStr">
        <is>
          <t>A 35290-2025</t>
        </is>
      </c>
      <c r="B391" s="1" t="n">
        <v>45854.38502314815</v>
      </c>
      <c r="C391" s="1" t="n">
        <v>45924</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30104-2025</t>
        </is>
      </c>
      <c r="B392" s="1" t="n">
        <v>45826.68806712963</v>
      </c>
      <c r="C392" s="1" t="n">
        <v>45924</v>
      </c>
      <c r="D392" t="inlineStr">
        <is>
          <t>GOTLANDS LÄN</t>
        </is>
      </c>
      <c r="E392" t="inlineStr">
        <is>
          <t>GOTLAND</t>
        </is>
      </c>
      <c r="G392" t="n">
        <v>15.4</v>
      </c>
      <c r="H392" t="n">
        <v>0</v>
      </c>
      <c r="I392" t="n">
        <v>0</v>
      </c>
      <c r="J392" t="n">
        <v>0</v>
      </c>
      <c r="K392" t="n">
        <v>0</v>
      </c>
      <c r="L392" t="n">
        <v>0</v>
      </c>
      <c r="M392" t="n">
        <v>0</v>
      </c>
      <c r="N392" t="n">
        <v>0</v>
      </c>
      <c r="O392" t="n">
        <v>0</v>
      </c>
      <c r="P392" t="n">
        <v>0</v>
      </c>
      <c r="Q392" t="n">
        <v>0</v>
      </c>
      <c r="R392" s="2" t="inlineStr"/>
    </row>
    <row r="393" ht="15" customHeight="1">
      <c r="A393" t="inlineStr">
        <is>
          <t>A 20855-2023</t>
        </is>
      </c>
      <c r="B393" s="1" t="n">
        <v>45058.82172453704</v>
      </c>
      <c r="C393" s="1" t="n">
        <v>45924</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40499-2025</t>
        </is>
      </c>
      <c r="B394" s="1" t="n">
        <v>45896.32517361111</v>
      </c>
      <c r="C394" s="1" t="n">
        <v>45924</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32669-2024</t>
        </is>
      </c>
      <c r="B395" s="1" t="n">
        <v>45514</v>
      </c>
      <c r="C395" s="1" t="n">
        <v>45924</v>
      </c>
      <c r="D395" t="inlineStr">
        <is>
          <t>GOTLANDS LÄN</t>
        </is>
      </c>
      <c r="E395" t="inlineStr">
        <is>
          <t>GOTLAND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48843-2024</t>
        </is>
      </c>
      <c r="B396" s="1" t="n">
        <v>45593</v>
      </c>
      <c r="C396" s="1" t="n">
        <v>45924</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41551-2025</t>
        </is>
      </c>
      <c r="B397" s="1" t="n">
        <v>45901.58854166666</v>
      </c>
      <c r="C397" s="1" t="n">
        <v>45924</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35550-2025</t>
        </is>
      </c>
      <c r="B398" s="1" t="n">
        <v>45856.49324074074</v>
      </c>
      <c r="C398" s="1" t="n">
        <v>45924</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60709-2023</t>
        </is>
      </c>
      <c r="B399" s="1" t="n">
        <v>45260</v>
      </c>
      <c r="C399" s="1" t="n">
        <v>45924</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1000-2024</t>
        </is>
      </c>
      <c r="B400" s="1" t="n">
        <v>45301.63371527778</v>
      </c>
      <c r="C400" s="1" t="n">
        <v>45924</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1010-2024</t>
        </is>
      </c>
      <c r="B401" s="1" t="n">
        <v>45301</v>
      </c>
      <c r="C401" s="1" t="n">
        <v>45924</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65249-2023</t>
        </is>
      </c>
      <c r="B402" s="1" t="n">
        <v>45290</v>
      </c>
      <c r="C402" s="1" t="n">
        <v>45924</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40235-2025</t>
        </is>
      </c>
      <c r="B403" s="1" t="n">
        <v>45894.74005787037</v>
      </c>
      <c r="C403" s="1" t="n">
        <v>45924</v>
      </c>
      <c r="D403" t="inlineStr">
        <is>
          <t>GOTLANDS LÄN</t>
        </is>
      </c>
      <c r="E403" t="inlineStr">
        <is>
          <t>GOTLAND</t>
        </is>
      </c>
      <c r="G403" t="n">
        <v>10.6</v>
      </c>
      <c r="H403" t="n">
        <v>0</v>
      </c>
      <c r="I403" t="n">
        <v>0</v>
      </c>
      <c r="J403" t="n">
        <v>0</v>
      </c>
      <c r="K403" t="n">
        <v>0</v>
      </c>
      <c r="L403" t="n">
        <v>0</v>
      </c>
      <c r="M403" t="n">
        <v>0</v>
      </c>
      <c r="N403" t="n">
        <v>0</v>
      </c>
      <c r="O403" t="n">
        <v>0</v>
      </c>
      <c r="P403" t="n">
        <v>0</v>
      </c>
      <c r="Q403" t="n">
        <v>0</v>
      </c>
      <c r="R403" s="2" t="inlineStr"/>
    </row>
    <row r="404" ht="15" customHeight="1">
      <c r="A404" t="inlineStr">
        <is>
          <t>A 30956-2024</t>
        </is>
      </c>
      <c r="B404" s="1" t="n">
        <v>45499.42527777778</v>
      </c>
      <c r="C404" s="1" t="n">
        <v>45924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35537-2025</t>
        </is>
      </c>
      <c r="B405" s="1" t="n">
        <v>45856</v>
      </c>
      <c r="C405" s="1" t="n">
        <v>45924</v>
      </c>
      <c r="D405" t="inlineStr">
        <is>
          <t>GOTLANDS LÄN</t>
        </is>
      </c>
      <c r="E405" t="inlineStr">
        <is>
          <t>GOTLAND</t>
        </is>
      </c>
      <c r="G405" t="n">
        <v>16.8</v>
      </c>
      <c r="H405" t="n">
        <v>0</v>
      </c>
      <c r="I405" t="n">
        <v>0</v>
      </c>
      <c r="J405" t="n">
        <v>0</v>
      </c>
      <c r="K405" t="n">
        <v>0</v>
      </c>
      <c r="L405" t="n">
        <v>0</v>
      </c>
      <c r="M405" t="n">
        <v>0</v>
      </c>
      <c r="N405" t="n">
        <v>0</v>
      </c>
      <c r="O405" t="n">
        <v>0</v>
      </c>
      <c r="P405" t="n">
        <v>0</v>
      </c>
      <c r="Q405" t="n">
        <v>0</v>
      </c>
      <c r="R405" s="2" t="inlineStr"/>
    </row>
    <row r="406" ht="15" customHeight="1">
      <c r="A406" t="inlineStr">
        <is>
          <t>A 41435-2025</t>
        </is>
      </c>
      <c r="B406" s="1" t="n">
        <v>45901.39974537037</v>
      </c>
      <c r="C406" s="1" t="n">
        <v>45924</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45924</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12596-2023</t>
        </is>
      </c>
      <c r="B408" s="1" t="n">
        <v>45000.43310185185</v>
      </c>
      <c r="C408" s="1" t="n">
        <v>45924</v>
      </c>
      <c r="D408" t="inlineStr">
        <is>
          <t>GOTLANDS LÄN</t>
        </is>
      </c>
      <c r="E408" t="inlineStr">
        <is>
          <t>GOTLAND</t>
        </is>
      </c>
      <c r="G408" t="n">
        <v>4.1</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45924</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35512-2023</t>
        </is>
      </c>
      <c r="B410" s="1" t="n">
        <v>45147.25623842593</v>
      </c>
      <c r="C410" s="1" t="n">
        <v>45924</v>
      </c>
      <c r="D410" t="inlineStr">
        <is>
          <t>GOTLANDS LÄN</t>
        </is>
      </c>
      <c r="E410" t="inlineStr">
        <is>
          <t>GOTLAND</t>
        </is>
      </c>
      <c r="G410" t="n">
        <v>1.2</v>
      </c>
      <c r="H410" t="n">
        <v>0</v>
      </c>
      <c r="I410" t="n">
        <v>0</v>
      </c>
      <c r="J410" t="n">
        <v>0</v>
      </c>
      <c r="K410" t="n">
        <v>0</v>
      </c>
      <c r="L410" t="n">
        <v>0</v>
      </c>
      <c r="M410" t="n">
        <v>0</v>
      </c>
      <c r="N410" t="n">
        <v>0</v>
      </c>
      <c r="O410" t="n">
        <v>0</v>
      </c>
      <c r="P410" t="n">
        <v>0</v>
      </c>
      <c r="Q410" t="n">
        <v>0</v>
      </c>
      <c r="R410" s="2" t="inlineStr"/>
    </row>
    <row r="411" ht="15" customHeight="1">
      <c r="A411" t="inlineStr">
        <is>
          <t>A 11874-2024</t>
        </is>
      </c>
      <c r="B411" s="1" t="n">
        <v>45376.46956018519</v>
      </c>
      <c r="C411" s="1" t="n">
        <v>45924</v>
      </c>
      <c r="D411" t="inlineStr">
        <is>
          <t>GOTLANDS LÄN</t>
        </is>
      </c>
      <c r="E411" t="inlineStr">
        <is>
          <t>GOTLAND</t>
        </is>
      </c>
      <c r="G411" t="n">
        <v>0.8</v>
      </c>
      <c r="H411" t="n">
        <v>0</v>
      </c>
      <c r="I411" t="n">
        <v>0</v>
      </c>
      <c r="J411" t="n">
        <v>0</v>
      </c>
      <c r="K411" t="n">
        <v>0</v>
      </c>
      <c r="L411" t="n">
        <v>0</v>
      </c>
      <c r="M411" t="n">
        <v>0</v>
      </c>
      <c r="N411" t="n">
        <v>0</v>
      </c>
      <c r="O411" t="n">
        <v>0</v>
      </c>
      <c r="P411" t="n">
        <v>0</v>
      </c>
      <c r="Q411" t="n">
        <v>0</v>
      </c>
      <c r="R411" s="2" t="inlineStr"/>
    </row>
    <row r="412" ht="15" customHeight="1">
      <c r="A412" t="inlineStr">
        <is>
          <t>A 42608-2025</t>
        </is>
      </c>
      <c r="B412" s="1" t="n">
        <v>45905</v>
      </c>
      <c r="C412" s="1" t="n">
        <v>45924</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999-2024</t>
        </is>
      </c>
      <c r="B413" s="1" t="n">
        <v>45301</v>
      </c>
      <c r="C413" s="1" t="n">
        <v>45924</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65901-2021</t>
        </is>
      </c>
      <c r="B414" s="1" t="n">
        <v>44516</v>
      </c>
      <c r="C414" s="1" t="n">
        <v>45924</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47762-2023</t>
        </is>
      </c>
      <c r="B415" s="1" t="n">
        <v>45203.86256944444</v>
      </c>
      <c r="C415" s="1" t="n">
        <v>45924</v>
      </c>
      <c r="D415" t="inlineStr">
        <is>
          <t>GOTLANDS LÄN</t>
        </is>
      </c>
      <c r="E415" t="inlineStr">
        <is>
          <t>GOTLAND</t>
        </is>
      </c>
      <c r="G415" t="n">
        <v>1.3</v>
      </c>
      <c r="H415" t="n">
        <v>0</v>
      </c>
      <c r="I415" t="n">
        <v>0</v>
      </c>
      <c r="J415" t="n">
        <v>0</v>
      </c>
      <c r="K415" t="n">
        <v>0</v>
      </c>
      <c r="L415" t="n">
        <v>0</v>
      </c>
      <c r="M415" t="n">
        <v>0</v>
      </c>
      <c r="N415" t="n">
        <v>0</v>
      </c>
      <c r="O415" t="n">
        <v>0</v>
      </c>
      <c r="P415" t="n">
        <v>0</v>
      </c>
      <c r="Q415" t="n">
        <v>0</v>
      </c>
      <c r="R415" s="2" t="inlineStr"/>
    </row>
    <row r="416" ht="15" customHeight="1">
      <c r="A416" t="inlineStr">
        <is>
          <t>A 20225-2025</t>
        </is>
      </c>
      <c r="B416" s="1" t="n">
        <v>45772.65802083333</v>
      </c>
      <c r="C416" s="1" t="n">
        <v>45924</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40294-2022</t>
        </is>
      </c>
      <c r="B417" s="1" t="n">
        <v>44821</v>
      </c>
      <c r="C417" s="1" t="n">
        <v>45924</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27602-2023</t>
        </is>
      </c>
      <c r="B418" s="1" t="n">
        <v>45097</v>
      </c>
      <c r="C418" s="1" t="n">
        <v>45924</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1677-2023</t>
        </is>
      </c>
      <c r="B419" s="1" t="n">
        <v>44938</v>
      </c>
      <c r="C419" s="1" t="n">
        <v>45924</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45924</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45924</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30488-2025</t>
        </is>
      </c>
      <c r="B422" s="1" t="n">
        <v>45830</v>
      </c>
      <c r="C422" s="1" t="n">
        <v>45924</v>
      </c>
      <c r="D422" t="inlineStr">
        <is>
          <t>GOTLANDS LÄN</t>
        </is>
      </c>
      <c r="E422" t="inlineStr">
        <is>
          <t>GOTLAND</t>
        </is>
      </c>
      <c r="F422" t="inlineStr">
        <is>
          <t>Kyrkan</t>
        </is>
      </c>
      <c r="G422" t="n">
        <v>3.9</v>
      </c>
      <c r="H422" t="n">
        <v>0</v>
      </c>
      <c r="I422" t="n">
        <v>0</v>
      </c>
      <c r="J422" t="n">
        <v>0</v>
      </c>
      <c r="K422" t="n">
        <v>0</v>
      </c>
      <c r="L422" t="n">
        <v>0</v>
      </c>
      <c r="M422" t="n">
        <v>0</v>
      </c>
      <c r="N422" t="n">
        <v>0</v>
      </c>
      <c r="O422" t="n">
        <v>0</v>
      </c>
      <c r="P422" t="n">
        <v>0</v>
      </c>
      <c r="Q422" t="n">
        <v>0</v>
      </c>
      <c r="R422" s="2" t="inlineStr"/>
    </row>
    <row r="423" ht="15" customHeight="1">
      <c r="A423" t="inlineStr">
        <is>
          <t>A 15216-2025</t>
        </is>
      </c>
      <c r="B423" s="1" t="n">
        <v>45744</v>
      </c>
      <c r="C423" s="1" t="n">
        <v>45924</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64831-2023</t>
        </is>
      </c>
      <c r="B424" s="1" t="n">
        <v>45282.44924768519</v>
      </c>
      <c r="C424" s="1" t="n">
        <v>45924</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15001-2025</t>
        </is>
      </c>
      <c r="B425" s="1" t="n">
        <v>45743</v>
      </c>
      <c r="C425" s="1" t="n">
        <v>45924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43790-2024</t>
        </is>
      </c>
      <c r="B426" s="1" t="n">
        <v>45571</v>
      </c>
      <c r="C426" s="1" t="n">
        <v>45924</v>
      </c>
      <c r="D426" t="inlineStr">
        <is>
          <t>GOTLANDS LÄN</t>
        </is>
      </c>
      <c r="E426" t="inlineStr">
        <is>
          <t>GOTLAND</t>
        </is>
      </c>
      <c r="G426" t="n">
        <v>3.5</v>
      </c>
      <c r="H426" t="n">
        <v>0</v>
      </c>
      <c r="I426" t="n">
        <v>0</v>
      </c>
      <c r="J426" t="n">
        <v>0</v>
      </c>
      <c r="K426" t="n">
        <v>0</v>
      </c>
      <c r="L426" t="n">
        <v>0</v>
      </c>
      <c r="M426" t="n">
        <v>0</v>
      </c>
      <c r="N426" t="n">
        <v>0</v>
      </c>
      <c r="O426" t="n">
        <v>0</v>
      </c>
      <c r="P426" t="n">
        <v>0</v>
      </c>
      <c r="Q426" t="n">
        <v>0</v>
      </c>
      <c r="R426" s="2" t="inlineStr"/>
    </row>
    <row r="427" ht="15" customHeight="1">
      <c r="A427" t="inlineStr">
        <is>
          <t>A 55334-2024</t>
        </is>
      </c>
      <c r="B427" s="1" t="n">
        <v>45621</v>
      </c>
      <c r="C427" s="1" t="n">
        <v>45924</v>
      </c>
      <c r="D427" t="inlineStr">
        <is>
          <t>GOTLANDS LÄN</t>
        </is>
      </c>
      <c r="E427" t="inlineStr">
        <is>
          <t>GOTLAND</t>
        </is>
      </c>
      <c r="G427" t="n">
        <v>21.7</v>
      </c>
      <c r="H427" t="n">
        <v>0</v>
      </c>
      <c r="I427" t="n">
        <v>0</v>
      </c>
      <c r="J427" t="n">
        <v>0</v>
      </c>
      <c r="K427" t="n">
        <v>0</v>
      </c>
      <c r="L427" t="n">
        <v>0</v>
      </c>
      <c r="M427" t="n">
        <v>0</v>
      </c>
      <c r="N427" t="n">
        <v>0</v>
      </c>
      <c r="O427" t="n">
        <v>0</v>
      </c>
      <c r="P427" t="n">
        <v>0</v>
      </c>
      <c r="Q427" t="n">
        <v>0</v>
      </c>
      <c r="R427" s="2" t="inlineStr"/>
    </row>
    <row r="428" ht="15" customHeight="1">
      <c r="A428" t="inlineStr">
        <is>
          <t>A 17847-2025</t>
        </is>
      </c>
      <c r="B428" s="1" t="n">
        <v>45758</v>
      </c>
      <c r="C428" s="1" t="n">
        <v>45924</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36319-2025</t>
        </is>
      </c>
      <c r="B429" s="1" t="n">
        <v>45868</v>
      </c>
      <c r="C429" s="1" t="n">
        <v>45924</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24192-2023</t>
        </is>
      </c>
      <c r="B430" s="1" t="n">
        <v>45079</v>
      </c>
      <c r="C430" s="1" t="n">
        <v>45924</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30282-2022</t>
        </is>
      </c>
      <c r="B431" s="1" t="n">
        <v>44760</v>
      </c>
      <c r="C431" s="1" t="n">
        <v>45924</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42607-2025</t>
        </is>
      </c>
      <c r="B432" s="1" t="n">
        <v>45905</v>
      </c>
      <c r="C432" s="1" t="n">
        <v>45924</v>
      </c>
      <c r="D432" t="inlineStr">
        <is>
          <t>GOTLANDS LÄN</t>
        </is>
      </c>
      <c r="E432" t="inlineStr">
        <is>
          <t>GOTLAND</t>
        </is>
      </c>
      <c r="G432" t="n">
        <v>15.8</v>
      </c>
      <c r="H432" t="n">
        <v>0</v>
      </c>
      <c r="I432" t="n">
        <v>0</v>
      </c>
      <c r="J432" t="n">
        <v>0</v>
      </c>
      <c r="K432" t="n">
        <v>0</v>
      </c>
      <c r="L432" t="n">
        <v>0</v>
      </c>
      <c r="M432" t="n">
        <v>0</v>
      </c>
      <c r="N432" t="n">
        <v>0</v>
      </c>
      <c r="O432" t="n">
        <v>0</v>
      </c>
      <c r="P432" t="n">
        <v>0</v>
      </c>
      <c r="Q432" t="n">
        <v>0</v>
      </c>
      <c r="R432" s="2" t="inlineStr"/>
    </row>
    <row r="433" ht="15" customHeight="1">
      <c r="A433" t="inlineStr">
        <is>
          <t>A 18742-2025</t>
        </is>
      </c>
      <c r="B433" s="1" t="n">
        <v>45763</v>
      </c>
      <c r="C433" s="1" t="n">
        <v>45924</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7835-2024</t>
        </is>
      </c>
      <c r="B434" s="1" t="n">
        <v>45349.83138888889</v>
      </c>
      <c r="C434" s="1" t="n">
        <v>45924</v>
      </c>
      <c r="D434" t="inlineStr">
        <is>
          <t>GOTLANDS LÄN</t>
        </is>
      </c>
      <c r="E434" t="inlineStr">
        <is>
          <t>GOTLAND</t>
        </is>
      </c>
      <c r="G434" t="n">
        <v>3.8</v>
      </c>
      <c r="H434" t="n">
        <v>0</v>
      </c>
      <c r="I434" t="n">
        <v>0</v>
      </c>
      <c r="J434" t="n">
        <v>0</v>
      </c>
      <c r="K434" t="n">
        <v>0</v>
      </c>
      <c r="L434" t="n">
        <v>0</v>
      </c>
      <c r="M434" t="n">
        <v>0</v>
      </c>
      <c r="N434" t="n">
        <v>0</v>
      </c>
      <c r="O434" t="n">
        <v>0</v>
      </c>
      <c r="P434" t="n">
        <v>0</v>
      </c>
      <c r="Q434" t="n">
        <v>0</v>
      </c>
      <c r="R434" s="2" t="inlineStr"/>
    </row>
    <row r="435" ht="15" customHeight="1">
      <c r="A435" t="inlineStr">
        <is>
          <t>A 35129-2025</t>
        </is>
      </c>
      <c r="B435" s="1" t="n">
        <v>45852.63224537037</v>
      </c>
      <c r="C435" s="1" t="n">
        <v>45924</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8036-2022</t>
        </is>
      </c>
      <c r="B436" s="1" t="n">
        <v>44609.44362268518</v>
      </c>
      <c r="C436" s="1" t="n">
        <v>45924</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46375-2024</t>
        </is>
      </c>
      <c r="B437" s="1" t="n">
        <v>45582</v>
      </c>
      <c r="C437" s="1" t="n">
        <v>45924</v>
      </c>
      <c r="D437" t="inlineStr">
        <is>
          <t>GOTLANDS LÄN</t>
        </is>
      </c>
      <c r="E437" t="inlineStr">
        <is>
          <t>GOTLAND</t>
        </is>
      </c>
      <c r="G437" t="n">
        <v>3</v>
      </c>
      <c r="H437" t="n">
        <v>0</v>
      </c>
      <c r="I437" t="n">
        <v>0</v>
      </c>
      <c r="J437" t="n">
        <v>0</v>
      </c>
      <c r="K437" t="n">
        <v>0</v>
      </c>
      <c r="L437" t="n">
        <v>0</v>
      </c>
      <c r="M437" t="n">
        <v>0</v>
      </c>
      <c r="N437" t="n">
        <v>0</v>
      </c>
      <c r="O437" t="n">
        <v>0</v>
      </c>
      <c r="P437" t="n">
        <v>0</v>
      </c>
      <c r="Q437" t="n">
        <v>0</v>
      </c>
      <c r="R437" s="2" t="inlineStr"/>
    </row>
    <row r="438" ht="15" customHeight="1">
      <c r="A438" t="inlineStr">
        <is>
          <t>A 62915-2021</t>
        </is>
      </c>
      <c r="B438" s="1" t="n">
        <v>44504</v>
      </c>
      <c r="C438" s="1" t="n">
        <v>45924</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43951-2025</t>
        </is>
      </c>
      <c r="B439" s="1" t="n">
        <v>45915.38119212963</v>
      </c>
      <c r="C439" s="1" t="n">
        <v>45924</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7638-2025</t>
        </is>
      </c>
      <c r="B440" s="1" t="n">
        <v>45705.77306712963</v>
      </c>
      <c r="C440" s="1" t="n">
        <v>45924</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10650-2022</t>
        </is>
      </c>
      <c r="B441" s="1" t="n">
        <v>44624.57945601852</v>
      </c>
      <c r="C441" s="1" t="n">
        <v>45924</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43911-2025</t>
        </is>
      </c>
      <c r="B442" s="1" t="n">
        <v>45914.3881712963</v>
      </c>
      <c r="C442" s="1" t="n">
        <v>45924</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26810-2021</t>
        </is>
      </c>
      <c r="B443" s="1" t="n">
        <v>44349.55087962963</v>
      </c>
      <c r="C443" s="1" t="n">
        <v>45924</v>
      </c>
      <c r="D443" t="inlineStr">
        <is>
          <t>GOTLANDS LÄN</t>
        </is>
      </c>
      <c r="E443" t="inlineStr">
        <is>
          <t>GOTLAND</t>
        </is>
      </c>
      <c r="G443" t="n">
        <v>3.5</v>
      </c>
      <c r="H443" t="n">
        <v>0</v>
      </c>
      <c r="I443" t="n">
        <v>0</v>
      </c>
      <c r="J443" t="n">
        <v>0</v>
      </c>
      <c r="K443" t="n">
        <v>0</v>
      </c>
      <c r="L443" t="n">
        <v>0</v>
      </c>
      <c r="M443" t="n">
        <v>0</v>
      </c>
      <c r="N443" t="n">
        <v>0</v>
      </c>
      <c r="O443" t="n">
        <v>0</v>
      </c>
      <c r="P443" t="n">
        <v>0</v>
      </c>
      <c r="Q443" t="n">
        <v>0</v>
      </c>
      <c r="R443" s="2" t="inlineStr"/>
    </row>
    <row r="444" ht="15" customHeight="1">
      <c r="A444" t="inlineStr">
        <is>
          <t>A 4377-2023</t>
        </is>
      </c>
      <c r="B444" s="1" t="n">
        <v>44955.5502662037</v>
      </c>
      <c r="C444" s="1" t="n">
        <v>45924</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44405-2025</t>
        </is>
      </c>
      <c r="B445" s="1" t="n">
        <v>45916.52405092592</v>
      </c>
      <c r="C445" s="1" t="n">
        <v>45924</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28425-2023</t>
        </is>
      </c>
      <c r="B446" s="1" t="n">
        <v>45102</v>
      </c>
      <c r="C446" s="1" t="n">
        <v>45924</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43901-2023</t>
        </is>
      </c>
      <c r="B447" s="1" t="n">
        <v>45187</v>
      </c>
      <c r="C447" s="1" t="n">
        <v>45924</v>
      </c>
      <c r="D447" t="inlineStr">
        <is>
          <t>GOTLANDS LÄN</t>
        </is>
      </c>
      <c r="E447" t="inlineStr">
        <is>
          <t>GOTLAND</t>
        </is>
      </c>
      <c r="G447" t="n">
        <v>5.4</v>
      </c>
      <c r="H447" t="n">
        <v>0</v>
      </c>
      <c r="I447" t="n">
        <v>0</v>
      </c>
      <c r="J447" t="n">
        <v>0</v>
      </c>
      <c r="K447" t="n">
        <v>0</v>
      </c>
      <c r="L447" t="n">
        <v>0</v>
      </c>
      <c r="M447" t="n">
        <v>0</v>
      </c>
      <c r="N447" t="n">
        <v>0</v>
      </c>
      <c r="O447" t="n">
        <v>0</v>
      </c>
      <c r="P447" t="n">
        <v>0</v>
      </c>
      <c r="Q447" t="n">
        <v>0</v>
      </c>
      <c r="R447" s="2" t="inlineStr"/>
    </row>
    <row r="448" ht="15" customHeight="1">
      <c r="A448" t="inlineStr">
        <is>
          <t>A 17532-2024</t>
        </is>
      </c>
      <c r="B448" s="1" t="n">
        <v>45415</v>
      </c>
      <c r="C448" s="1" t="n">
        <v>45924</v>
      </c>
      <c r="D448" t="inlineStr">
        <is>
          <t>GOTLANDS LÄN</t>
        </is>
      </c>
      <c r="E448" t="inlineStr">
        <is>
          <t>GOTLAND</t>
        </is>
      </c>
      <c r="G448" t="n">
        <v>4.3</v>
      </c>
      <c r="H448" t="n">
        <v>0</v>
      </c>
      <c r="I448" t="n">
        <v>0</v>
      </c>
      <c r="J448" t="n">
        <v>0</v>
      </c>
      <c r="K448" t="n">
        <v>0</v>
      </c>
      <c r="L448" t="n">
        <v>0</v>
      </c>
      <c r="M448" t="n">
        <v>0</v>
      </c>
      <c r="N448" t="n">
        <v>0</v>
      </c>
      <c r="O448" t="n">
        <v>0</v>
      </c>
      <c r="P448" t="n">
        <v>0</v>
      </c>
      <c r="Q448" t="n">
        <v>0</v>
      </c>
      <c r="R448" s="2" t="inlineStr"/>
    </row>
    <row r="449" ht="15" customHeight="1">
      <c r="A449" t="inlineStr">
        <is>
          <t>A 45692-2023</t>
        </is>
      </c>
      <c r="B449" s="1" t="n">
        <v>45195</v>
      </c>
      <c r="C449" s="1" t="n">
        <v>45924</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37222-2021</t>
        </is>
      </c>
      <c r="B450" s="1" t="n">
        <v>44396</v>
      </c>
      <c r="C450" s="1" t="n">
        <v>45924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13037-2025</t>
        </is>
      </c>
      <c r="B451" s="1" t="n">
        <v>45734</v>
      </c>
      <c r="C451" s="1" t="n">
        <v>45924</v>
      </c>
      <c r="D451" t="inlineStr">
        <is>
          <t>GOTLANDS LÄN</t>
        </is>
      </c>
      <c r="E451" t="inlineStr">
        <is>
          <t>GOTLAND</t>
        </is>
      </c>
      <c r="G451" t="n">
        <v>9.5</v>
      </c>
      <c r="H451" t="n">
        <v>0</v>
      </c>
      <c r="I451" t="n">
        <v>0</v>
      </c>
      <c r="J451" t="n">
        <v>0</v>
      </c>
      <c r="K451" t="n">
        <v>0</v>
      </c>
      <c r="L451" t="n">
        <v>0</v>
      </c>
      <c r="M451" t="n">
        <v>0</v>
      </c>
      <c r="N451" t="n">
        <v>0</v>
      </c>
      <c r="O451" t="n">
        <v>0</v>
      </c>
      <c r="P451" t="n">
        <v>0</v>
      </c>
      <c r="Q451" t="n">
        <v>0</v>
      </c>
      <c r="R451" s="2" t="inlineStr"/>
    </row>
    <row r="452" ht="15" customHeight="1">
      <c r="A452" t="inlineStr">
        <is>
          <t>A 44410-2025</t>
        </is>
      </c>
      <c r="B452" s="1" t="n">
        <v>45916.53699074074</v>
      </c>
      <c r="C452" s="1" t="n">
        <v>45924</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46396-2023</t>
        </is>
      </c>
      <c r="B453" s="1" t="n">
        <v>45197</v>
      </c>
      <c r="C453" s="1" t="n">
        <v>45924</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58388-2022</t>
        </is>
      </c>
      <c r="B454" s="1" t="n">
        <v>44894</v>
      </c>
      <c r="C454" s="1" t="n">
        <v>45924</v>
      </c>
      <c r="D454" t="inlineStr">
        <is>
          <t>GOTLANDS LÄN</t>
        </is>
      </c>
      <c r="E454" t="inlineStr">
        <is>
          <t>GOTLAND</t>
        </is>
      </c>
      <c r="F454" t="inlineStr">
        <is>
          <t>Övriga statliga verk och myndigheter</t>
        </is>
      </c>
      <c r="G454" t="n">
        <v>3.1</v>
      </c>
      <c r="H454" t="n">
        <v>0</v>
      </c>
      <c r="I454" t="n">
        <v>0</v>
      </c>
      <c r="J454" t="n">
        <v>0</v>
      </c>
      <c r="K454" t="n">
        <v>0</v>
      </c>
      <c r="L454" t="n">
        <v>0</v>
      </c>
      <c r="M454" t="n">
        <v>0</v>
      </c>
      <c r="N454" t="n">
        <v>0</v>
      </c>
      <c r="O454" t="n">
        <v>0</v>
      </c>
      <c r="P454" t="n">
        <v>0</v>
      </c>
      <c r="Q454" t="n">
        <v>0</v>
      </c>
      <c r="R454" s="2" t="inlineStr"/>
    </row>
    <row r="455" ht="15" customHeight="1">
      <c r="A455" t="inlineStr">
        <is>
          <t>A 10158-2025</t>
        </is>
      </c>
      <c r="B455" s="1" t="n">
        <v>45719</v>
      </c>
      <c r="C455" s="1" t="n">
        <v>45924</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10746-2025</t>
        </is>
      </c>
      <c r="B456" s="1" t="n">
        <v>45722.42766203704</v>
      </c>
      <c r="C456" s="1" t="n">
        <v>45924</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30489-2025</t>
        </is>
      </c>
      <c r="B457" s="1" t="n">
        <v>45830</v>
      </c>
      <c r="C457" s="1" t="n">
        <v>45924</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21142-2025</t>
        </is>
      </c>
      <c r="B458" s="1" t="n">
        <v>45779</v>
      </c>
      <c r="C458" s="1" t="n">
        <v>45924</v>
      </c>
      <c r="D458" t="inlineStr">
        <is>
          <t>GOTLANDS LÄN</t>
        </is>
      </c>
      <c r="E458" t="inlineStr">
        <is>
          <t>GOTLAND</t>
        </is>
      </c>
      <c r="G458" t="n">
        <v>1.3</v>
      </c>
      <c r="H458" t="n">
        <v>0</v>
      </c>
      <c r="I458" t="n">
        <v>0</v>
      </c>
      <c r="J458" t="n">
        <v>0</v>
      </c>
      <c r="K458" t="n">
        <v>0</v>
      </c>
      <c r="L458" t="n">
        <v>0</v>
      </c>
      <c r="M458" t="n">
        <v>0</v>
      </c>
      <c r="N458" t="n">
        <v>0</v>
      </c>
      <c r="O458" t="n">
        <v>0</v>
      </c>
      <c r="P458" t="n">
        <v>0</v>
      </c>
      <c r="Q458" t="n">
        <v>0</v>
      </c>
      <c r="R458" s="2" t="inlineStr"/>
    </row>
    <row r="459" ht="15" customHeight="1">
      <c r="A459" t="inlineStr">
        <is>
          <t>A 6108-2025</t>
        </is>
      </c>
      <c r="B459" s="1" t="n">
        <v>45698.29880787037</v>
      </c>
      <c r="C459" s="1" t="n">
        <v>45924</v>
      </c>
      <c r="D459" t="inlineStr">
        <is>
          <t>GOTLANDS LÄN</t>
        </is>
      </c>
      <c r="E459" t="inlineStr">
        <is>
          <t>GOTLAND</t>
        </is>
      </c>
      <c r="G459" t="n">
        <v>2.8</v>
      </c>
      <c r="H459" t="n">
        <v>0</v>
      </c>
      <c r="I459" t="n">
        <v>0</v>
      </c>
      <c r="J459" t="n">
        <v>0</v>
      </c>
      <c r="K459" t="n">
        <v>0</v>
      </c>
      <c r="L459" t="n">
        <v>0</v>
      </c>
      <c r="M459" t="n">
        <v>0</v>
      </c>
      <c r="N459" t="n">
        <v>0</v>
      </c>
      <c r="O459" t="n">
        <v>0</v>
      </c>
      <c r="P459" t="n">
        <v>0</v>
      </c>
      <c r="Q459" t="n">
        <v>0</v>
      </c>
      <c r="R459" s="2" t="inlineStr"/>
    </row>
    <row r="460" ht="15" customHeight="1">
      <c r="A460" t="inlineStr">
        <is>
          <t>A 45536-2025</t>
        </is>
      </c>
      <c r="B460" s="1" t="n">
        <v>45922</v>
      </c>
      <c r="C460" s="1" t="n">
        <v>45924</v>
      </c>
      <c r="D460" t="inlineStr">
        <is>
          <t>GOTLANDS LÄN</t>
        </is>
      </c>
      <c r="E460" t="inlineStr">
        <is>
          <t>GOTLAND</t>
        </is>
      </c>
      <c r="G460" t="n">
        <v>10.4</v>
      </c>
      <c r="H460" t="n">
        <v>0</v>
      </c>
      <c r="I460" t="n">
        <v>0</v>
      </c>
      <c r="J460" t="n">
        <v>0</v>
      </c>
      <c r="K460" t="n">
        <v>0</v>
      </c>
      <c r="L460" t="n">
        <v>0</v>
      </c>
      <c r="M460" t="n">
        <v>0</v>
      </c>
      <c r="N460" t="n">
        <v>0</v>
      </c>
      <c r="O460" t="n">
        <v>0</v>
      </c>
      <c r="P460" t="n">
        <v>0</v>
      </c>
      <c r="Q460" t="n">
        <v>0</v>
      </c>
      <c r="R460" s="2" t="inlineStr"/>
    </row>
    <row r="461" ht="15" customHeight="1">
      <c r="A461" t="inlineStr">
        <is>
          <t>A 17343-2025</t>
        </is>
      </c>
      <c r="B461" s="1" t="n">
        <v>45756.6687037037</v>
      </c>
      <c r="C461" s="1" t="n">
        <v>45924</v>
      </c>
      <c r="D461" t="inlineStr">
        <is>
          <t>GOTLANDS LÄN</t>
        </is>
      </c>
      <c r="E461" t="inlineStr">
        <is>
          <t>GOTLAND</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43229-2023</t>
        </is>
      </c>
      <c r="B462" s="1" t="n">
        <v>45183.46704861111</v>
      </c>
      <c r="C462" s="1" t="n">
        <v>45924</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53934-2024</t>
        </is>
      </c>
      <c r="B463" s="1" t="n">
        <v>45615</v>
      </c>
      <c r="C463" s="1" t="n">
        <v>45924</v>
      </c>
      <c r="D463" t="inlineStr">
        <is>
          <t>GOTLANDS LÄN</t>
        </is>
      </c>
      <c r="E463" t="inlineStr">
        <is>
          <t>GOTLAND</t>
        </is>
      </c>
      <c r="G463" t="n">
        <v>5</v>
      </c>
      <c r="H463" t="n">
        <v>0</v>
      </c>
      <c r="I463" t="n">
        <v>0</v>
      </c>
      <c r="J463" t="n">
        <v>0</v>
      </c>
      <c r="K463" t="n">
        <v>0</v>
      </c>
      <c r="L463" t="n">
        <v>0</v>
      </c>
      <c r="M463" t="n">
        <v>0</v>
      </c>
      <c r="N463" t="n">
        <v>0</v>
      </c>
      <c r="O463" t="n">
        <v>0</v>
      </c>
      <c r="P463" t="n">
        <v>0</v>
      </c>
      <c r="Q463" t="n">
        <v>0</v>
      </c>
      <c r="R463" s="2" t="inlineStr"/>
    </row>
    <row r="464" ht="15" customHeight="1">
      <c r="A464" t="inlineStr">
        <is>
          <t>A 18938-2025</t>
        </is>
      </c>
      <c r="B464" s="1" t="n">
        <v>45764.49172453704</v>
      </c>
      <c r="C464" s="1" t="n">
        <v>45924</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41038-2023</t>
        </is>
      </c>
      <c r="B465" s="1" t="n">
        <v>45173.60959490741</v>
      </c>
      <c r="C465" s="1" t="n">
        <v>45924</v>
      </c>
      <c r="D465" t="inlineStr">
        <is>
          <t>GOTLANDS LÄN</t>
        </is>
      </c>
      <c r="E465" t="inlineStr">
        <is>
          <t>GOTLAND</t>
        </is>
      </c>
      <c r="G465" t="n">
        <v>2.7</v>
      </c>
      <c r="H465" t="n">
        <v>0</v>
      </c>
      <c r="I465" t="n">
        <v>0</v>
      </c>
      <c r="J465" t="n">
        <v>0</v>
      </c>
      <c r="K465" t="n">
        <v>0</v>
      </c>
      <c r="L465" t="n">
        <v>0</v>
      </c>
      <c r="M465" t="n">
        <v>0</v>
      </c>
      <c r="N465" t="n">
        <v>0</v>
      </c>
      <c r="O465" t="n">
        <v>0</v>
      </c>
      <c r="P465" t="n">
        <v>0</v>
      </c>
      <c r="Q465" t="n">
        <v>0</v>
      </c>
      <c r="R465" s="2" t="inlineStr"/>
    </row>
    <row r="466" ht="15" customHeight="1">
      <c r="A466" t="inlineStr">
        <is>
          <t>A 20307-2025</t>
        </is>
      </c>
      <c r="B466" s="1" t="n">
        <v>45774.95546296296</v>
      </c>
      <c r="C466" s="1" t="n">
        <v>45924</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58132-2023</t>
        </is>
      </c>
      <c r="B467" s="1" t="n">
        <v>45250</v>
      </c>
      <c r="C467" s="1" t="n">
        <v>45924</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22899-2023</t>
        </is>
      </c>
      <c r="B468" s="1" t="n">
        <v>45072</v>
      </c>
      <c r="C468" s="1" t="n">
        <v>45924</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28285-2024</t>
        </is>
      </c>
      <c r="B469" s="1" t="n">
        <v>45477</v>
      </c>
      <c r="C469" s="1" t="n">
        <v>45924</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51963-2024</t>
        </is>
      </c>
      <c r="B470" s="1" t="n">
        <v>45607.64833333333</v>
      </c>
      <c r="C470" s="1" t="n">
        <v>45924</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1734-2025</t>
        </is>
      </c>
      <c r="B471" s="1" t="n">
        <v>45671.3840625</v>
      </c>
      <c r="C471" s="1" t="n">
        <v>45924</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30365-2024</t>
        </is>
      </c>
      <c r="B472" s="1" t="n">
        <v>45491.3716087963</v>
      </c>
      <c r="C472" s="1" t="n">
        <v>45924</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2674-2023</t>
        </is>
      </c>
      <c r="B473" s="1" t="n">
        <v>44944</v>
      </c>
      <c r="C473" s="1" t="n">
        <v>45924</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14915-2025</t>
        </is>
      </c>
      <c r="B474" s="1" t="n">
        <v>45743.53121527778</v>
      </c>
      <c r="C474" s="1" t="n">
        <v>45924</v>
      </c>
      <c r="D474" t="inlineStr">
        <is>
          <t>GOTLANDS LÄN</t>
        </is>
      </c>
      <c r="E474" t="inlineStr">
        <is>
          <t>GOTLAND</t>
        </is>
      </c>
      <c r="G474" t="n">
        <v>5.9</v>
      </c>
      <c r="H474" t="n">
        <v>0</v>
      </c>
      <c r="I474" t="n">
        <v>0</v>
      </c>
      <c r="J474" t="n">
        <v>0</v>
      </c>
      <c r="K474" t="n">
        <v>0</v>
      </c>
      <c r="L474" t="n">
        <v>0</v>
      </c>
      <c r="M474" t="n">
        <v>0</v>
      </c>
      <c r="N474" t="n">
        <v>0</v>
      </c>
      <c r="O474" t="n">
        <v>0</v>
      </c>
      <c r="P474" t="n">
        <v>0</v>
      </c>
      <c r="Q474" t="n">
        <v>0</v>
      </c>
      <c r="R474" s="2" t="inlineStr"/>
    </row>
    <row r="475" ht="15" customHeight="1">
      <c r="A475" t="inlineStr">
        <is>
          <t>A 61100-2022</t>
        </is>
      </c>
      <c r="B475" s="1" t="n">
        <v>44915</v>
      </c>
      <c r="C475" s="1" t="n">
        <v>45924</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43785-2024</t>
        </is>
      </c>
      <c r="B476" s="1" t="n">
        <v>45570</v>
      </c>
      <c r="C476" s="1" t="n">
        <v>45924</v>
      </c>
      <c r="D476" t="inlineStr">
        <is>
          <t>GOTLANDS LÄN</t>
        </is>
      </c>
      <c r="E476" t="inlineStr">
        <is>
          <t>GOTLAND</t>
        </is>
      </c>
      <c r="G476" t="n">
        <v>12.6</v>
      </c>
      <c r="H476" t="n">
        <v>0</v>
      </c>
      <c r="I476" t="n">
        <v>0</v>
      </c>
      <c r="J476" t="n">
        <v>0</v>
      </c>
      <c r="K476" t="n">
        <v>0</v>
      </c>
      <c r="L476" t="n">
        <v>0</v>
      </c>
      <c r="M476" t="n">
        <v>0</v>
      </c>
      <c r="N476" t="n">
        <v>0</v>
      </c>
      <c r="O476" t="n">
        <v>0</v>
      </c>
      <c r="P476" t="n">
        <v>0</v>
      </c>
      <c r="Q476" t="n">
        <v>0</v>
      </c>
      <c r="R476" s="2" t="inlineStr"/>
    </row>
    <row r="477" ht="15" customHeight="1">
      <c r="A477" t="inlineStr">
        <is>
          <t>A 581-2023</t>
        </is>
      </c>
      <c r="B477" s="1" t="n">
        <v>44930</v>
      </c>
      <c r="C477" s="1" t="n">
        <v>45924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10655-2023</t>
        </is>
      </c>
      <c r="B478" s="1" t="n">
        <v>44988.49543981482</v>
      </c>
      <c r="C478" s="1" t="n">
        <v>45924</v>
      </c>
      <c r="D478" t="inlineStr">
        <is>
          <t>GOTLANDS LÄN</t>
        </is>
      </c>
      <c r="E478" t="inlineStr">
        <is>
          <t>GOTLAND</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44649-2021</t>
        </is>
      </c>
      <c r="B479" s="1" t="n">
        <v>44437</v>
      </c>
      <c r="C479" s="1" t="n">
        <v>45924</v>
      </c>
      <c r="D479" t="inlineStr">
        <is>
          <t>GOTLANDS LÄN</t>
        </is>
      </c>
      <c r="E479" t="inlineStr">
        <is>
          <t>GOTLAND</t>
        </is>
      </c>
      <c r="G479" t="n">
        <v>8.1</v>
      </c>
      <c r="H479" t="n">
        <v>0</v>
      </c>
      <c r="I479" t="n">
        <v>0</v>
      </c>
      <c r="J479" t="n">
        <v>0</v>
      </c>
      <c r="K479" t="n">
        <v>0</v>
      </c>
      <c r="L479" t="n">
        <v>0</v>
      </c>
      <c r="M479" t="n">
        <v>0</v>
      </c>
      <c r="N479" t="n">
        <v>0</v>
      </c>
      <c r="O479" t="n">
        <v>0</v>
      </c>
      <c r="P479" t="n">
        <v>0</v>
      </c>
      <c r="Q479" t="n">
        <v>0</v>
      </c>
      <c r="R479" s="2" t="inlineStr"/>
    </row>
    <row r="480" ht="15" customHeight="1">
      <c r="A480" t="inlineStr">
        <is>
          <t>A 24966-2023</t>
        </is>
      </c>
      <c r="B480" s="1" t="n">
        <v>45085</v>
      </c>
      <c r="C480" s="1" t="n">
        <v>45924</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57652-2023</t>
        </is>
      </c>
      <c r="B481" s="1" t="n">
        <v>45246</v>
      </c>
      <c r="C481" s="1" t="n">
        <v>45924</v>
      </c>
      <c r="D481" t="inlineStr">
        <is>
          <t>GOTLANDS LÄN</t>
        </is>
      </c>
      <c r="E481" t="inlineStr">
        <is>
          <t>GOTLAND</t>
        </is>
      </c>
      <c r="G481" t="n">
        <v>7.2</v>
      </c>
      <c r="H481" t="n">
        <v>0</v>
      </c>
      <c r="I481" t="n">
        <v>0</v>
      </c>
      <c r="J481" t="n">
        <v>0</v>
      </c>
      <c r="K481" t="n">
        <v>0</v>
      </c>
      <c r="L481" t="n">
        <v>0</v>
      </c>
      <c r="M481" t="n">
        <v>0</v>
      </c>
      <c r="N481" t="n">
        <v>0</v>
      </c>
      <c r="O481" t="n">
        <v>0</v>
      </c>
      <c r="P481" t="n">
        <v>0</v>
      </c>
      <c r="Q481" t="n">
        <v>0</v>
      </c>
      <c r="R481" s="2" t="inlineStr"/>
    </row>
    <row r="482" ht="15" customHeight="1">
      <c r="A482" t="inlineStr">
        <is>
          <t>A 8484-2025</t>
        </is>
      </c>
      <c r="B482" s="1" t="n">
        <v>45709</v>
      </c>
      <c r="C482" s="1" t="n">
        <v>45924</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46189-2022</t>
        </is>
      </c>
      <c r="B483" s="1" t="n">
        <v>44847</v>
      </c>
      <c r="C483" s="1" t="n">
        <v>45924</v>
      </c>
      <c r="D483" t="inlineStr">
        <is>
          <t>GOTLANDS LÄN</t>
        </is>
      </c>
      <c r="E483" t="inlineStr">
        <is>
          <t>GOTLAND</t>
        </is>
      </c>
      <c r="G483" t="n">
        <v>0.4</v>
      </c>
      <c r="H483" t="n">
        <v>0</v>
      </c>
      <c r="I483" t="n">
        <v>0</v>
      </c>
      <c r="J483" t="n">
        <v>0</v>
      </c>
      <c r="K483" t="n">
        <v>0</v>
      </c>
      <c r="L483" t="n">
        <v>0</v>
      </c>
      <c r="M483" t="n">
        <v>0</v>
      </c>
      <c r="N483" t="n">
        <v>0</v>
      </c>
      <c r="O483" t="n">
        <v>0</v>
      </c>
      <c r="P483" t="n">
        <v>0</v>
      </c>
      <c r="Q483" t="n">
        <v>0</v>
      </c>
      <c r="R483" s="2" t="inlineStr"/>
    </row>
    <row r="484" ht="15" customHeight="1">
      <c r="A484" t="inlineStr">
        <is>
          <t>A 57522-2022</t>
        </is>
      </c>
      <c r="B484" s="1" t="n">
        <v>44896</v>
      </c>
      <c r="C484" s="1" t="n">
        <v>45924</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14797-2024</t>
        </is>
      </c>
      <c r="B485" s="1" t="n">
        <v>45397.87030092593</v>
      </c>
      <c r="C485" s="1" t="n">
        <v>45924</v>
      </c>
      <c r="D485" t="inlineStr">
        <is>
          <t>GOTLANDS LÄN</t>
        </is>
      </c>
      <c r="E485" t="inlineStr">
        <is>
          <t>GOTLAND</t>
        </is>
      </c>
      <c r="G485" t="n">
        <v>8.1</v>
      </c>
      <c r="H485" t="n">
        <v>0</v>
      </c>
      <c r="I485" t="n">
        <v>0</v>
      </c>
      <c r="J485" t="n">
        <v>0</v>
      </c>
      <c r="K485" t="n">
        <v>0</v>
      </c>
      <c r="L485" t="n">
        <v>0</v>
      </c>
      <c r="M485" t="n">
        <v>0</v>
      </c>
      <c r="N485" t="n">
        <v>0</v>
      </c>
      <c r="O485" t="n">
        <v>0</v>
      </c>
      <c r="P485" t="n">
        <v>0</v>
      </c>
      <c r="Q485" t="n">
        <v>0</v>
      </c>
      <c r="R485" s="2" t="inlineStr"/>
    </row>
    <row r="486" ht="15" customHeight="1">
      <c r="A486" t="inlineStr">
        <is>
          <t>A 7837-2024</t>
        </is>
      </c>
      <c r="B486" s="1" t="n">
        <v>45349.83787037037</v>
      </c>
      <c r="C486" s="1" t="n">
        <v>45924</v>
      </c>
      <c r="D486" t="inlineStr">
        <is>
          <t>GOTLANDS LÄN</t>
        </is>
      </c>
      <c r="E486" t="inlineStr">
        <is>
          <t>GOTLAND</t>
        </is>
      </c>
      <c r="G486" t="n">
        <v>5</v>
      </c>
      <c r="H486" t="n">
        <v>0</v>
      </c>
      <c r="I486" t="n">
        <v>0</v>
      </c>
      <c r="J486" t="n">
        <v>0</v>
      </c>
      <c r="K486" t="n">
        <v>0</v>
      </c>
      <c r="L486" t="n">
        <v>0</v>
      </c>
      <c r="M486" t="n">
        <v>0</v>
      </c>
      <c r="N486" t="n">
        <v>0</v>
      </c>
      <c r="O486" t="n">
        <v>0</v>
      </c>
      <c r="P486" t="n">
        <v>0</v>
      </c>
      <c r="Q486" t="n">
        <v>0</v>
      </c>
      <c r="R486" s="2" t="inlineStr"/>
    </row>
    <row r="487" ht="15" customHeight="1">
      <c r="A487" t="inlineStr">
        <is>
          <t>A 49962-2023</t>
        </is>
      </c>
      <c r="B487" s="1" t="n">
        <v>45215.38775462963</v>
      </c>
      <c r="C487" s="1" t="n">
        <v>45924</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1394-2023</t>
        </is>
      </c>
      <c r="B488" s="1" t="n">
        <v>44936.72997685185</v>
      </c>
      <c r="C488" s="1" t="n">
        <v>45924</v>
      </c>
      <c r="D488" t="inlineStr">
        <is>
          <t>GOTLANDS LÄN</t>
        </is>
      </c>
      <c r="E488" t="inlineStr">
        <is>
          <t>GOTLAND</t>
        </is>
      </c>
      <c r="G488" t="n">
        <v>2.1</v>
      </c>
      <c r="H488" t="n">
        <v>0</v>
      </c>
      <c r="I488" t="n">
        <v>0</v>
      </c>
      <c r="J488" t="n">
        <v>0</v>
      </c>
      <c r="K488" t="n">
        <v>0</v>
      </c>
      <c r="L488" t="n">
        <v>0</v>
      </c>
      <c r="M488" t="n">
        <v>0</v>
      </c>
      <c r="N488" t="n">
        <v>0</v>
      </c>
      <c r="O488" t="n">
        <v>0</v>
      </c>
      <c r="P488" t="n">
        <v>0</v>
      </c>
      <c r="Q488" t="n">
        <v>0</v>
      </c>
      <c r="R488" s="2" t="inlineStr"/>
    </row>
    <row r="489" ht="15" customHeight="1">
      <c r="A489" t="inlineStr">
        <is>
          <t>A 2676-2023</t>
        </is>
      </c>
      <c r="B489" s="1" t="n">
        <v>44944</v>
      </c>
      <c r="C489" s="1" t="n">
        <v>45924</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4387-2023</t>
        </is>
      </c>
      <c r="B490" s="1" t="n">
        <v>44955.73359953704</v>
      </c>
      <c r="C490" s="1" t="n">
        <v>45924</v>
      </c>
      <c r="D490" t="inlineStr">
        <is>
          <t>GOTLANDS LÄN</t>
        </is>
      </c>
      <c r="E490" t="inlineStr">
        <is>
          <t>GOTLAND</t>
        </is>
      </c>
      <c r="G490" t="n">
        <v>1.9</v>
      </c>
      <c r="H490" t="n">
        <v>0</v>
      </c>
      <c r="I490" t="n">
        <v>0</v>
      </c>
      <c r="J490" t="n">
        <v>0</v>
      </c>
      <c r="K490" t="n">
        <v>0</v>
      </c>
      <c r="L490" t="n">
        <v>0</v>
      </c>
      <c r="M490" t="n">
        <v>0</v>
      </c>
      <c r="N490" t="n">
        <v>0</v>
      </c>
      <c r="O490" t="n">
        <v>0</v>
      </c>
      <c r="P490" t="n">
        <v>0</v>
      </c>
      <c r="Q490" t="n">
        <v>0</v>
      </c>
      <c r="R490" s="2" t="inlineStr"/>
    </row>
    <row r="491" ht="15" customHeight="1">
      <c r="A491" t="inlineStr">
        <is>
          <t>A 50744-2024</t>
        </is>
      </c>
      <c r="B491" s="1" t="n">
        <v>45602.4187037037</v>
      </c>
      <c r="C491" s="1" t="n">
        <v>45924</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49411-2023</t>
        </is>
      </c>
      <c r="B492" s="1" t="n">
        <v>45205</v>
      </c>
      <c r="C492" s="1" t="n">
        <v>45924</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37728-2024</t>
        </is>
      </c>
      <c r="B493" s="1" t="n">
        <v>45541</v>
      </c>
      <c r="C493" s="1" t="n">
        <v>45924</v>
      </c>
      <c r="D493" t="inlineStr">
        <is>
          <t>GOTLANDS LÄN</t>
        </is>
      </c>
      <c r="E493" t="inlineStr">
        <is>
          <t>GOTLAND</t>
        </is>
      </c>
      <c r="G493" t="n">
        <v>0.4</v>
      </c>
      <c r="H493" t="n">
        <v>0</v>
      </c>
      <c r="I493" t="n">
        <v>0</v>
      </c>
      <c r="J493" t="n">
        <v>0</v>
      </c>
      <c r="K493" t="n">
        <v>0</v>
      </c>
      <c r="L493" t="n">
        <v>0</v>
      </c>
      <c r="M493" t="n">
        <v>0</v>
      </c>
      <c r="N493" t="n">
        <v>0</v>
      </c>
      <c r="O493" t="n">
        <v>0</v>
      </c>
      <c r="P493" t="n">
        <v>0</v>
      </c>
      <c r="Q493" t="n">
        <v>0</v>
      </c>
      <c r="R493" s="2" t="inlineStr"/>
    </row>
    <row r="494" ht="15" customHeight="1">
      <c r="A494" t="inlineStr">
        <is>
          <t>A 45244-2024</t>
        </is>
      </c>
      <c r="B494" s="1" t="n">
        <v>45576</v>
      </c>
      <c r="C494" s="1" t="n">
        <v>45924</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2241-2025</t>
        </is>
      </c>
      <c r="B495" s="1" t="n">
        <v>45673.48710648148</v>
      </c>
      <c r="C495" s="1" t="n">
        <v>45924</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16373-2025</t>
        </is>
      </c>
      <c r="B496" s="1" t="n">
        <v>45751</v>
      </c>
      <c r="C496" s="1" t="n">
        <v>45924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45924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45924</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45924</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34142-2024</t>
        </is>
      </c>
      <c r="B500" s="1" t="n">
        <v>45524.36521990741</v>
      </c>
      <c r="C500" s="1" t="n">
        <v>45924</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45924</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1681-2023</t>
        </is>
      </c>
      <c r="B502" s="1" t="n">
        <v>44938.39715277778</v>
      </c>
      <c r="C502" s="1" t="n">
        <v>45924</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22275-2023</t>
        </is>
      </c>
      <c r="B503" s="1" t="n">
        <v>45070.39875</v>
      </c>
      <c r="C503" s="1" t="n">
        <v>45924</v>
      </c>
      <c r="D503" t="inlineStr">
        <is>
          <t>GOTLANDS LÄN</t>
        </is>
      </c>
      <c r="E503" t="inlineStr">
        <is>
          <t>GOTLAND</t>
        </is>
      </c>
      <c r="G503" t="n">
        <v>7.2</v>
      </c>
      <c r="H503" t="n">
        <v>0</v>
      </c>
      <c r="I503" t="n">
        <v>0</v>
      </c>
      <c r="J503" t="n">
        <v>0</v>
      </c>
      <c r="K503" t="n">
        <v>0</v>
      </c>
      <c r="L503" t="n">
        <v>0</v>
      </c>
      <c r="M503" t="n">
        <v>0</v>
      </c>
      <c r="N503" t="n">
        <v>0</v>
      </c>
      <c r="O503" t="n">
        <v>0</v>
      </c>
      <c r="P503" t="n">
        <v>0</v>
      </c>
      <c r="Q503" t="n">
        <v>0</v>
      </c>
      <c r="R503" s="2" t="inlineStr"/>
    </row>
    <row r="504" ht="15" customHeight="1">
      <c r="A504" t="inlineStr">
        <is>
          <t>A 42338-2023</t>
        </is>
      </c>
      <c r="B504" s="1" t="n">
        <v>45180</v>
      </c>
      <c r="C504" s="1" t="n">
        <v>45924</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18918-2025</t>
        </is>
      </c>
      <c r="B505" s="1" t="n">
        <v>45764</v>
      </c>
      <c r="C505" s="1" t="n">
        <v>45924</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14635-2023</t>
        </is>
      </c>
      <c r="B506" s="1" t="n">
        <v>45013.69365740741</v>
      </c>
      <c r="C506" s="1" t="n">
        <v>45924</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45924</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63763-2023</t>
        </is>
      </c>
      <c r="B508" s="1" t="n">
        <v>45278.33944444444</v>
      </c>
      <c r="C508" s="1" t="n">
        <v>45924</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7635-2025</t>
        </is>
      </c>
      <c r="B509" s="1" t="n">
        <v>45705</v>
      </c>
      <c r="C509" s="1" t="n">
        <v>45924</v>
      </c>
      <c r="D509" t="inlineStr">
        <is>
          <t>GOTLANDS LÄN</t>
        </is>
      </c>
      <c r="E509" t="inlineStr">
        <is>
          <t>GOTLAND</t>
        </is>
      </c>
      <c r="G509" t="n">
        <v>0.9</v>
      </c>
      <c r="H509" t="n">
        <v>0</v>
      </c>
      <c r="I509" t="n">
        <v>0</v>
      </c>
      <c r="J509" t="n">
        <v>0</v>
      </c>
      <c r="K509" t="n">
        <v>0</v>
      </c>
      <c r="L509" t="n">
        <v>0</v>
      </c>
      <c r="M509" t="n">
        <v>0</v>
      </c>
      <c r="N509" t="n">
        <v>0</v>
      </c>
      <c r="O509" t="n">
        <v>0</v>
      </c>
      <c r="P509" t="n">
        <v>0</v>
      </c>
      <c r="Q509" t="n">
        <v>0</v>
      </c>
      <c r="R509" s="2" t="inlineStr"/>
    </row>
    <row r="510" ht="15" customHeight="1">
      <c r="A510" t="inlineStr">
        <is>
          <t>A 7636-2025</t>
        </is>
      </c>
      <c r="B510" s="1" t="n">
        <v>45705.7687962963</v>
      </c>
      <c r="C510" s="1" t="n">
        <v>45924</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7639-2025</t>
        </is>
      </c>
      <c r="B511" s="1" t="n">
        <v>45705.77465277778</v>
      </c>
      <c r="C511" s="1" t="n">
        <v>45924</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61682-2024</t>
        </is>
      </c>
      <c r="B512" s="1" t="n">
        <v>45647.48824074074</v>
      </c>
      <c r="C512" s="1" t="n">
        <v>45924</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15434-2024</t>
        </is>
      </c>
      <c r="B513" s="1" t="n">
        <v>45401.38836805556</v>
      </c>
      <c r="C513" s="1" t="n">
        <v>45924</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45084-2024</t>
        </is>
      </c>
      <c r="B514" s="1" t="n">
        <v>45575</v>
      </c>
      <c r="C514" s="1" t="n">
        <v>45924</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45924</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7034-2023</t>
        </is>
      </c>
      <c r="B516" s="1" t="n">
        <v>44968.32108796296</v>
      </c>
      <c r="C516" s="1" t="n">
        <v>45924</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7042-2023</t>
        </is>
      </c>
      <c r="B517" s="1" t="n">
        <v>44968</v>
      </c>
      <c r="C517" s="1" t="n">
        <v>45924</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2180-2025</t>
        </is>
      </c>
      <c r="B518" s="1" t="n">
        <v>45673</v>
      </c>
      <c r="C518" s="1" t="n">
        <v>45924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4868-2024</t>
        </is>
      </c>
      <c r="B519" s="1" t="n">
        <v>45329</v>
      </c>
      <c r="C519" s="1" t="n">
        <v>45924</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9613-2025</t>
        </is>
      </c>
      <c r="B520" s="1" t="n">
        <v>45715</v>
      </c>
      <c r="C520" s="1" t="n">
        <v>45924</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5386-2023</t>
        </is>
      </c>
      <c r="B521" s="1" t="n">
        <v>44959</v>
      </c>
      <c r="C521" s="1" t="n">
        <v>45924</v>
      </c>
      <c r="D521" t="inlineStr">
        <is>
          <t>GOTLANDS LÄN</t>
        </is>
      </c>
      <c r="E521" t="inlineStr">
        <is>
          <t>GOTLAND</t>
        </is>
      </c>
      <c r="G521" t="n">
        <v>5.4</v>
      </c>
      <c r="H521" t="n">
        <v>0</v>
      </c>
      <c r="I521" t="n">
        <v>0</v>
      </c>
      <c r="J521" t="n">
        <v>0</v>
      </c>
      <c r="K521" t="n">
        <v>0</v>
      </c>
      <c r="L521" t="n">
        <v>0</v>
      </c>
      <c r="M521" t="n">
        <v>0</v>
      </c>
      <c r="N521" t="n">
        <v>0</v>
      </c>
      <c r="O521" t="n">
        <v>0</v>
      </c>
      <c r="P521" t="n">
        <v>0</v>
      </c>
      <c r="Q521" t="n">
        <v>0</v>
      </c>
      <c r="R521" s="2" t="inlineStr"/>
    </row>
    <row r="522" ht="15" customHeight="1">
      <c r="A522" t="inlineStr">
        <is>
          <t>A 54074-2022</t>
        </is>
      </c>
      <c r="B522" s="1" t="n">
        <v>44881</v>
      </c>
      <c r="C522" s="1" t="n">
        <v>45924</v>
      </c>
      <c r="D522" t="inlineStr">
        <is>
          <t>GOTLANDS LÄN</t>
        </is>
      </c>
      <c r="E522" t="inlineStr">
        <is>
          <t>GOTLAND</t>
        </is>
      </c>
      <c r="G522" t="n">
        <v>0.9</v>
      </c>
      <c r="H522" t="n">
        <v>0</v>
      </c>
      <c r="I522" t="n">
        <v>0</v>
      </c>
      <c r="J522" t="n">
        <v>0</v>
      </c>
      <c r="K522" t="n">
        <v>0</v>
      </c>
      <c r="L522" t="n">
        <v>0</v>
      </c>
      <c r="M522" t="n">
        <v>0</v>
      </c>
      <c r="N522" t="n">
        <v>0</v>
      </c>
      <c r="O522" t="n">
        <v>0</v>
      </c>
      <c r="P522" t="n">
        <v>0</v>
      </c>
      <c r="Q522" t="n">
        <v>0</v>
      </c>
      <c r="R522" s="2" t="inlineStr"/>
    </row>
    <row r="523" ht="15" customHeight="1">
      <c r="A523" t="inlineStr">
        <is>
          <t>A 61694-2023</t>
        </is>
      </c>
      <c r="B523" s="1" t="n">
        <v>45264</v>
      </c>
      <c r="C523" s="1" t="n">
        <v>45924</v>
      </c>
      <c r="D523" t="inlineStr">
        <is>
          <t>GOTLANDS LÄN</t>
        </is>
      </c>
      <c r="E523" t="inlineStr">
        <is>
          <t>GOTLAND</t>
        </is>
      </c>
      <c r="G523" t="n">
        <v>4.6</v>
      </c>
      <c r="H523" t="n">
        <v>0</v>
      </c>
      <c r="I523" t="n">
        <v>0</v>
      </c>
      <c r="J523" t="n">
        <v>0</v>
      </c>
      <c r="K523" t="n">
        <v>0</v>
      </c>
      <c r="L523" t="n">
        <v>0</v>
      </c>
      <c r="M523" t="n">
        <v>0</v>
      </c>
      <c r="N523" t="n">
        <v>0</v>
      </c>
      <c r="O523" t="n">
        <v>0</v>
      </c>
      <c r="P523" t="n">
        <v>0</v>
      </c>
      <c r="Q523" t="n">
        <v>0</v>
      </c>
      <c r="R523" s="2" t="inlineStr"/>
    </row>
    <row r="524" ht="15" customHeight="1">
      <c r="A524" t="inlineStr">
        <is>
          <t>A 58211-2024</t>
        </is>
      </c>
      <c r="B524" s="1" t="n">
        <v>45632.49292824074</v>
      </c>
      <c r="C524" s="1" t="n">
        <v>45924</v>
      </c>
      <c r="D524" t="inlineStr">
        <is>
          <t>GOTLANDS LÄN</t>
        </is>
      </c>
      <c r="E524" t="inlineStr">
        <is>
          <t>GOTLAND</t>
        </is>
      </c>
      <c r="G524" t="n">
        <v>5.4</v>
      </c>
      <c r="H524" t="n">
        <v>0</v>
      </c>
      <c r="I524" t="n">
        <v>0</v>
      </c>
      <c r="J524" t="n">
        <v>0</v>
      </c>
      <c r="K524" t="n">
        <v>0</v>
      </c>
      <c r="L524" t="n">
        <v>0</v>
      </c>
      <c r="M524" t="n">
        <v>0</v>
      </c>
      <c r="N524" t="n">
        <v>0</v>
      </c>
      <c r="O524" t="n">
        <v>0</v>
      </c>
      <c r="P524" t="n">
        <v>0</v>
      </c>
      <c r="Q524" t="n">
        <v>0</v>
      </c>
      <c r="R524" s="2" t="inlineStr"/>
    </row>
    <row r="525" ht="15" customHeight="1">
      <c r="A525" t="inlineStr">
        <is>
          <t>A 64208-2021</t>
        </is>
      </c>
      <c r="B525" s="1" t="n">
        <v>44510</v>
      </c>
      <c r="C525" s="1" t="n">
        <v>45924</v>
      </c>
      <c r="D525" t="inlineStr">
        <is>
          <t>GOTLANDS LÄN</t>
        </is>
      </c>
      <c r="E525" t="inlineStr">
        <is>
          <t>GOTLAND</t>
        </is>
      </c>
      <c r="G525" t="n">
        <v>4.7</v>
      </c>
      <c r="H525" t="n">
        <v>0</v>
      </c>
      <c r="I525" t="n">
        <v>0</v>
      </c>
      <c r="J525" t="n">
        <v>0</v>
      </c>
      <c r="K525" t="n">
        <v>0</v>
      </c>
      <c r="L525" t="n">
        <v>0</v>
      </c>
      <c r="M525" t="n">
        <v>0</v>
      </c>
      <c r="N525" t="n">
        <v>0</v>
      </c>
      <c r="O525" t="n">
        <v>0</v>
      </c>
      <c r="P525" t="n">
        <v>0</v>
      </c>
      <c r="Q525" t="n">
        <v>0</v>
      </c>
      <c r="R525" s="2" t="inlineStr"/>
    </row>
    <row r="526" ht="15" customHeight="1">
      <c r="A526" t="inlineStr">
        <is>
          <t>A 54268-2022</t>
        </is>
      </c>
      <c r="B526" s="1" t="n">
        <v>44882</v>
      </c>
      <c r="C526" s="1" t="n">
        <v>45924</v>
      </c>
      <c r="D526" t="inlineStr">
        <is>
          <t>GOTLANDS LÄN</t>
        </is>
      </c>
      <c r="E526" t="inlineStr">
        <is>
          <t>GOTLAND</t>
        </is>
      </c>
      <c r="G526" t="n">
        <v>2.7</v>
      </c>
      <c r="H526" t="n">
        <v>0</v>
      </c>
      <c r="I526" t="n">
        <v>0</v>
      </c>
      <c r="J526" t="n">
        <v>0</v>
      </c>
      <c r="K526" t="n">
        <v>0</v>
      </c>
      <c r="L526" t="n">
        <v>0</v>
      </c>
      <c r="M526" t="n">
        <v>0</v>
      </c>
      <c r="N526" t="n">
        <v>0</v>
      </c>
      <c r="O526" t="n">
        <v>0</v>
      </c>
      <c r="P526" t="n">
        <v>0</v>
      </c>
      <c r="Q526" t="n">
        <v>0</v>
      </c>
      <c r="R526" s="2" t="inlineStr"/>
    </row>
    <row r="527" ht="15" customHeight="1">
      <c r="A527" t="inlineStr">
        <is>
          <t>A 11634-2024</t>
        </is>
      </c>
      <c r="B527" s="1" t="n">
        <v>45373</v>
      </c>
      <c r="C527" s="1" t="n">
        <v>45924</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1446-2025</t>
        </is>
      </c>
      <c r="B528" s="1" t="n">
        <v>45669.86035879629</v>
      </c>
      <c r="C528" s="1" t="n">
        <v>45924</v>
      </c>
      <c r="D528" t="inlineStr">
        <is>
          <t>GOTLANDS LÄN</t>
        </is>
      </c>
      <c r="E528" t="inlineStr">
        <is>
          <t>GOTLAND</t>
        </is>
      </c>
      <c r="G528" t="n">
        <v>3.1</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45924</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57685-2022</t>
        </is>
      </c>
      <c r="B530" s="1" t="n">
        <v>44897.4777662037</v>
      </c>
      <c r="C530" s="1" t="n">
        <v>45924</v>
      </c>
      <c r="D530" t="inlineStr">
        <is>
          <t>GOTLANDS LÄN</t>
        </is>
      </c>
      <c r="E530" t="inlineStr">
        <is>
          <t>GOTLAND</t>
        </is>
      </c>
      <c r="G530" t="n">
        <v>3.7</v>
      </c>
      <c r="H530" t="n">
        <v>0</v>
      </c>
      <c r="I530" t="n">
        <v>0</v>
      </c>
      <c r="J530" t="n">
        <v>0</v>
      </c>
      <c r="K530" t="n">
        <v>0</v>
      </c>
      <c r="L530" t="n">
        <v>0</v>
      </c>
      <c r="M530" t="n">
        <v>0</v>
      </c>
      <c r="N530" t="n">
        <v>0</v>
      </c>
      <c r="O530" t="n">
        <v>0</v>
      </c>
      <c r="P530" t="n">
        <v>0</v>
      </c>
      <c r="Q530" t="n">
        <v>0</v>
      </c>
      <c r="R530" s="2" t="inlineStr"/>
    </row>
    <row r="531" ht="15" customHeight="1">
      <c r="A531" t="inlineStr">
        <is>
          <t>A 5884-2025</t>
        </is>
      </c>
      <c r="B531" s="1" t="n">
        <v>45695.37482638889</v>
      </c>
      <c r="C531" s="1" t="n">
        <v>45924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5897-2025</t>
        </is>
      </c>
      <c r="B532" s="1" t="n">
        <v>45695.39273148148</v>
      </c>
      <c r="C532" s="1" t="n">
        <v>45924</v>
      </c>
      <c r="D532" t="inlineStr">
        <is>
          <t>GOTLANDS LÄN</t>
        </is>
      </c>
      <c r="E532" t="inlineStr">
        <is>
          <t>GOTLAND</t>
        </is>
      </c>
      <c r="G532" t="n">
        <v>3.7</v>
      </c>
      <c r="H532" t="n">
        <v>0</v>
      </c>
      <c r="I532" t="n">
        <v>0</v>
      </c>
      <c r="J532" t="n">
        <v>0</v>
      </c>
      <c r="K532" t="n">
        <v>0</v>
      </c>
      <c r="L532" t="n">
        <v>0</v>
      </c>
      <c r="M532" t="n">
        <v>0</v>
      </c>
      <c r="N532" t="n">
        <v>0</v>
      </c>
      <c r="O532" t="n">
        <v>0</v>
      </c>
      <c r="P532" t="n">
        <v>0</v>
      </c>
      <c r="Q532" t="n">
        <v>0</v>
      </c>
      <c r="R532" s="2" t="inlineStr"/>
    </row>
    <row r="533" ht="15" customHeight="1">
      <c r="A533" t="inlineStr">
        <is>
          <t>A 5909-2025</t>
        </is>
      </c>
      <c r="B533" s="1" t="n">
        <v>45695.40634259259</v>
      </c>
      <c r="C533" s="1" t="n">
        <v>45924</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811-2023</t>
        </is>
      </c>
      <c r="B534" s="1" t="n">
        <v>44931</v>
      </c>
      <c r="C534" s="1" t="n">
        <v>45924</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45924</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45924</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5905-2024</t>
        </is>
      </c>
      <c r="B537" s="1" t="n">
        <v>45335.88993055555</v>
      </c>
      <c r="C537" s="1" t="n">
        <v>45924</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25866-2022</t>
        </is>
      </c>
      <c r="B538" s="1" t="n">
        <v>44733</v>
      </c>
      <c r="C538" s="1" t="n">
        <v>45924</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3431-2025</t>
        </is>
      </c>
      <c r="B539" s="1" t="n">
        <v>45680.42935185185</v>
      </c>
      <c r="C539" s="1" t="n">
        <v>45924</v>
      </c>
      <c r="D539" t="inlineStr">
        <is>
          <t>GOTLANDS LÄN</t>
        </is>
      </c>
      <c r="E539" t="inlineStr">
        <is>
          <t>GOTLAND</t>
        </is>
      </c>
      <c r="G539" t="n">
        <v>4.8</v>
      </c>
      <c r="H539" t="n">
        <v>0</v>
      </c>
      <c r="I539" t="n">
        <v>0</v>
      </c>
      <c r="J539" t="n">
        <v>0</v>
      </c>
      <c r="K539" t="n">
        <v>0</v>
      </c>
      <c r="L539" t="n">
        <v>0</v>
      </c>
      <c r="M539" t="n">
        <v>0</v>
      </c>
      <c r="N539" t="n">
        <v>0</v>
      </c>
      <c r="O539" t="n">
        <v>0</v>
      </c>
      <c r="P539" t="n">
        <v>0</v>
      </c>
      <c r="Q539" t="n">
        <v>0</v>
      </c>
      <c r="R539" s="2" t="inlineStr"/>
    </row>
    <row r="540" ht="15" customHeight="1">
      <c r="A540" t="inlineStr">
        <is>
          <t>A 34407-2023</t>
        </is>
      </c>
      <c r="B540" s="1" t="n">
        <v>45132</v>
      </c>
      <c r="C540" s="1" t="n">
        <v>45924</v>
      </c>
      <c r="D540" t="inlineStr">
        <is>
          <t>GOTLANDS LÄN</t>
        </is>
      </c>
      <c r="E540" t="inlineStr">
        <is>
          <t>GOTLAND</t>
        </is>
      </c>
      <c r="G540" t="n">
        <v>4.4</v>
      </c>
      <c r="H540" t="n">
        <v>0</v>
      </c>
      <c r="I540" t="n">
        <v>0</v>
      </c>
      <c r="J540" t="n">
        <v>0</v>
      </c>
      <c r="K540" t="n">
        <v>0</v>
      </c>
      <c r="L540" t="n">
        <v>0</v>
      </c>
      <c r="M540" t="n">
        <v>0</v>
      </c>
      <c r="N540" t="n">
        <v>0</v>
      </c>
      <c r="O540" t="n">
        <v>0</v>
      </c>
      <c r="P540" t="n">
        <v>0</v>
      </c>
      <c r="Q540" t="n">
        <v>0</v>
      </c>
      <c r="R540" s="2" t="inlineStr"/>
    </row>
    <row r="541" ht="15" customHeight="1">
      <c r="A541" t="inlineStr">
        <is>
          <t>A 30892-2024</t>
        </is>
      </c>
      <c r="B541" s="1" t="n">
        <v>45491</v>
      </c>
      <c r="C541" s="1" t="n">
        <v>45924</v>
      </c>
      <c r="D541" t="inlineStr">
        <is>
          <t>GOTLANDS LÄN</t>
        </is>
      </c>
      <c r="E541" t="inlineStr">
        <is>
          <t>GOTLAND</t>
        </is>
      </c>
      <c r="G541" t="n">
        <v>6.1</v>
      </c>
      <c r="H541" t="n">
        <v>0</v>
      </c>
      <c r="I541" t="n">
        <v>0</v>
      </c>
      <c r="J541" t="n">
        <v>0</v>
      </c>
      <c r="K541" t="n">
        <v>0</v>
      </c>
      <c r="L541" t="n">
        <v>0</v>
      </c>
      <c r="M541" t="n">
        <v>0</v>
      </c>
      <c r="N541" t="n">
        <v>0</v>
      </c>
      <c r="O541" t="n">
        <v>0</v>
      </c>
      <c r="P541" t="n">
        <v>0</v>
      </c>
      <c r="Q541" t="n">
        <v>0</v>
      </c>
      <c r="R541" s="2" t="inlineStr"/>
    </row>
    <row r="542" ht="15" customHeight="1">
      <c r="A542" t="inlineStr">
        <is>
          <t>A 32958-2021</t>
        </is>
      </c>
      <c r="B542" s="1" t="n">
        <v>44376</v>
      </c>
      <c r="C542" s="1" t="n">
        <v>45924</v>
      </c>
      <c r="D542" t="inlineStr">
        <is>
          <t>GOTLANDS LÄN</t>
        </is>
      </c>
      <c r="E542" t="inlineStr">
        <is>
          <t>GOTLAND</t>
        </is>
      </c>
      <c r="G542" t="n">
        <v>2.2</v>
      </c>
      <c r="H542" t="n">
        <v>0</v>
      </c>
      <c r="I542" t="n">
        <v>0</v>
      </c>
      <c r="J542" t="n">
        <v>0</v>
      </c>
      <c r="K542" t="n">
        <v>0</v>
      </c>
      <c r="L542" t="n">
        <v>0</v>
      </c>
      <c r="M542" t="n">
        <v>0</v>
      </c>
      <c r="N542" t="n">
        <v>0</v>
      </c>
      <c r="O542" t="n">
        <v>0</v>
      </c>
      <c r="P542" t="n">
        <v>0</v>
      </c>
      <c r="Q542" t="n">
        <v>0</v>
      </c>
      <c r="R542" s="2" t="inlineStr"/>
    </row>
    <row r="543" ht="15" customHeight="1">
      <c r="A543" t="inlineStr">
        <is>
          <t>A 7858-2025</t>
        </is>
      </c>
      <c r="B543" s="1" t="n">
        <v>45706.68633101852</v>
      </c>
      <c r="C543" s="1" t="n">
        <v>45924</v>
      </c>
      <c r="D543" t="inlineStr">
        <is>
          <t>GOTLANDS LÄN</t>
        </is>
      </c>
      <c r="E543" t="inlineStr">
        <is>
          <t>GOTLAND</t>
        </is>
      </c>
      <c r="G543" t="n">
        <v>3</v>
      </c>
      <c r="H543" t="n">
        <v>0</v>
      </c>
      <c r="I543" t="n">
        <v>0</v>
      </c>
      <c r="J543" t="n">
        <v>0</v>
      </c>
      <c r="K543" t="n">
        <v>0</v>
      </c>
      <c r="L543" t="n">
        <v>0</v>
      </c>
      <c r="M543" t="n">
        <v>0</v>
      </c>
      <c r="N543" t="n">
        <v>0</v>
      </c>
      <c r="O543" t="n">
        <v>0</v>
      </c>
      <c r="P543" t="n">
        <v>0</v>
      </c>
      <c r="Q543" t="n">
        <v>0</v>
      </c>
      <c r="R543" s="2" t="inlineStr"/>
    </row>
    <row r="544" ht="15" customHeight="1">
      <c r="A544" t="inlineStr">
        <is>
          <t>A 46545-2024</t>
        </is>
      </c>
      <c r="B544" s="1" t="n">
        <v>45582.65831018519</v>
      </c>
      <c r="C544" s="1" t="n">
        <v>45924</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999-2023</t>
        </is>
      </c>
      <c r="B545" s="1" t="n">
        <v>44935</v>
      </c>
      <c r="C545" s="1" t="n">
        <v>45924</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1364-2025</t>
        </is>
      </c>
      <c r="B546" s="1" t="n">
        <v>45667.63929398148</v>
      </c>
      <c r="C546" s="1" t="n">
        <v>45924</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9887-2025</t>
        </is>
      </c>
      <c r="B547" s="1" t="n">
        <v>45716</v>
      </c>
      <c r="C547" s="1" t="n">
        <v>45924</v>
      </c>
      <c r="D547" t="inlineStr">
        <is>
          <t>GOTLANDS LÄN</t>
        </is>
      </c>
      <c r="E547" t="inlineStr">
        <is>
          <t>GOTLAND</t>
        </is>
      </c>
      <c r="G547" t="n">
        <v>7.5</v>
      </c>
      <c r="H547" t="n">
        <v>0</v>
      </c>
      <c r="I547" t="n">
        <v>0</v>
      </c>
      <c r="J547" t="n">
        <v>0</v>
      </c>
      <c r="K547" t="n">
        <v>0</v>
      </c>
      <c r="L547" t="n">
        <v>0</v>
      </c>
      <c r="M547" t="n">
        <v>0</v>
      </c>
      <c r="N547" t="n">
        <v>0</v>
      </c>
      <c r="O547" t="n">
        <v>0</v>
      </c>
      <c r="P547" t="n">
        <v>0</v>
      </c>
      <c r="Q547" t="n">
        <v>0</v>
      </c>
      <c r="R547" s="2" t="inlineStr"/>
    </row>
    <row r="548" ht="15" customHeight="1">
      <c r="A548" t="inlineStr">
        <is>
          <t>A 2125-2025</t>
        </is>
      </c>
      <c r="B548" s="1" t="n">
        <v>45672.64940972222</v>
      </c>
      <c r="C548" s="1" t="n">
        <v>45924</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12209-2024</t>
        </is>
      </c>
      <c r="B549" s="1" t="n">
        <v>45378</v>
      </c>
      <c r="C549" s="1" t="n">
        <v>45924</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12210-2024</t>
        </is>
      </c>
      <c r="B550" s="1" t="n">
        <v>45378</v>
      </c>
      <c r="C550" s="1" t="n">
        <v>45924</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45924</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8684-2025</t>
        </is>
      </c>
      <c r="B552" s="1" t="n">
        <v>45712.45605324074</v>
      </c>
      <c r="C552" s="1" t="n">
        <v>45924</v>
      </c>
      <c r="D552" t="inlineStr">
        <is>
          <t>GOTLANDS LÄN</t>
        </is>
      </c>
      <c r="E552" t="inlineStr">
        <is>
          <t>GOTLAND</t>
        </is>
      </c>
      <c r="G552" t="n">
        <v>3.5</v>
      </c>
      <c r="H552" t="n">
        <v>0</v>
      </c>
      <c r="I552" t="n">
        <v>0</v>
      </c>
      <c r="J552" t="n">
        <v>0</v>
      </c>
      <c r="K552" t="n">
        <v>0</v>
      </c>
      <c r="L552" t="n">
        <v>0</v>
      </c>
      <c r="M552" t="n">
        <v>0</v>
      </c>
      <c r="N552" t="n">
        <v>0</v>
      </c>
      <c r="O552" t="n">
        <v>0</v>
      </c>
      <c r="P552" t="n">
        <v>0</v>
      </c>
      <c r="Q552" t="n">
        <v>0</v>
      </c>
      <c r="R552" s="2" t="inlineStr"/>
    </row>
    <row r="553" ht="15" customHeight="1">
      <c r="A553" t="inlineStr">
        <is>
          <t>A 14141-2024</t>
        </is>
      </c>
      <c r="B553" s="1" t="n">
        <v>45392.85193287037</v>
      </c>
      <c r="C553" s="1" t="n">
        <v>45924</v>
      </c>
      <c r="D553" t="inlineStr">
        <is>
          <t>GOTLANDS LÄN</t>
        </is>
      </c>
      <c r="E553" t="inlineStr">
        <is>
          <t>GOTLAND</t>
        </is>
      </c>
      <c r="G553" t="n">
        <v>5.3</v>
      </c>
      <c r="H553" t="n">
        <v>0</v>
      </c>
      <c r="I553" t="n">
        <v>0</v>
      </c>
      <c r="J553" t="n">
        <v>0</v>
      </c>
      <c r="K553" t="n">
        <v>0</v>
      </c>
      <c r="L553" t="n">
        <v>0</v>
      </c>
      <c r="M553" t="n">
        <v>0</v>
      </c>
      <c r="N553" t="n">
        <v>0</v>
      </c>
      <c r="O553" t="n">
        <v>0</v>
      </c>
      <c r="P553" t="n">
        <v>0</v>
      </c>
      <c r="Q553" t="n">
        <v>0</v>
      </c>
      <c r="R553" s="2" t="inlineStr"/>
    </row>
    <row r="554" ht="15" customHeight="1">
      <c r="A554" t="inlineStr">
        <is>
          <t>A 12155-2023</t>
        </is>
      </c>
      <c r="B554" s="1" t="n">
        <v>44998.49106481481</v>
      </c>
      <c r="C554" s="1" t="n">
        <v>45924</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31802-2024</t>
        </is>
      </c>
      <c r="B555" s="1" t="n">
        <v>45509</v>
      </c>
      <c r="C555" s="1" t="n">
        <v>45924</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20993-2023</t>
        </is>
      </c>
      <c r="B556" s="1" t="n">
        <v>45056</v>
      </c>
      <c r="C556" s="1" t="n">
        <v>45924</v>
      </c>
      <c r="D556" t="inlineStr">
        <is>
          <t>GOTLANDS LÄN</t>
        </is>
      </c>
      <c r="E556" t="inlineStr">
        <is>
          <t>GOTLAND</t>
        </is>
      </c>
      <c r="G556" t="n">
        <v>7.1</v>
      </c>
      <c r="H556" t="n">
        <v>0</v>
      </c>
      <c r="I556" t="n">
        <v>0</v>
      </c>
      <c r="J556" t="n">
        <v>0</v>
      </c>
      <c r="K556" t="n">
        <v>0</v>
      </c>
      <c r="L556" t="n">
        <v>0</v>
      </c>
      <c r="M556" t="n">
        <v>0</v>
      </c>
      <c r="N556" t="n">
        <v>0</v>
      </c>
      <c r="O556" t="n">
        <v>0</v>
      </c>
      <c r="P556" t="n">
        <v>0</v>
      </c>
      <c r="Q556" t="n">
        <v>0</v>
      </c>
      <c r="R556" s="2" t="inlineStr"/>
    </row>
    <row r="557" ht="15" customHeight="1">
      <c r="A557" t="inlineStr">
        <is>
          <t>A 15042-2025</t>
        </is>
      </c>
      <c r="B557" s="1" t="n">
        <v>45743</v>
      </c>
      <c r="C557" s="1" t="n">
        <v>45924</v>
      </c>
      <c r="D557" t="inlineStr">
        <is>
          <t>GOTLANDS LÄN</t>
        </is>
      </c>
      <c r="E557" t="inlineStr">
        <is>
          <t>GOTLAND</t>
        </is>
      </c>
      <c r="G557" t="n">
        <v>8.5</v>
      </c>
      <c r="H557" t="n">
        <v>0</v>
      </c>
      <c r="I557" t="n">
        <v>0</v>
      </c>
      <c r="J557" t="n">
        <v>0</v>
      </c>
      <c r="K557" t="n">
        <v>0</v>
      </c>
      <c r="L557" t="n">
        <v>0</v>
      </c>
      <c r="M557" t="n">
        <v>0</v>
      </c>
      <c r="N557" t="n">
        <v>0</v>
      </c>
      <c r="O557" t="n">
        <v>0</v>
      </c>
      <c r="P557" t="n">
        <v>0</v>
      </c>
      <c r="Q557" t="n">
        <v>0</v>
      </c>
      <c r="R557" s="2" t="inlineStr"/>
    </row>
    <row r="558" ht="15" customHeight="1">
      <c r="A558" t="inlineStr">
        <is>
          <t>A 2774-2024</t>
        </is>
      </c>
      <c r="B558" s="1" t="n">
        <v>45314.62375</v>
      </c>
      <c r="C558" s="1" t="n">
        <v>45924</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9947-2024</t>
        </is>
      </c>
      <c r="B559" s="1" t="n">
        <v>45363</v>
      </c>
      <c r="C559" s="1" t="n">
        <v>45924</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42007-2023</t>
        </is>
      </c>
      <c r="B560" s="1" t="n">
        <v>45177</v>
      </c>
      <c r="C560" s="1" t="n">
        <v>45924</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12327-2025</t>
        </is>
      </c>
      <c r="B561" s="1" t="n">
        <v>45730</v>
      </c>
      <c r="C561" s="1" t="n">
        <v>45924</v>
      </c>
      <c r="D561" t="inlineStr">
        <is>
          <t>GOTLANDS LÄN</t>
        </is>
      </c>
      <c r="E561" t="inlineStr">
        <is>
          <t>GOTLAND</t>
        </is>
      </c>
      <c r="G561" t="n">
        <v>1.8</v>
      </c>
      <c r="H561" t="n">
        <v>0</v>
      </c>
      <c r="I561" t="n">
        <v>0</v>
      </c>
      <c r="J561" t="n">
        <v>0</v>
      </c>
      <c r="K561" t="n">
        <v>0</v>
      </c>
      <c r="L561" t="n">
        <v>0</v>
      </c>
      <c r="M561" t="n">
        <v>0</v>
      </c>
      <c r="N561" t="n">
        <v>0</v>
      </c>
      <c r="O561" t="n">
        <v>0</v>
      </c>
      <c r="P561" t="n">
        <v>0</v>
      </c>
      <c r="Q561" t="n">
        <v>0</v>
      </c>
      <c r="R561" s="2" t="inlineStr"/>
    </row>
    <row r="562" ht="15" customHeight="1">
      <c r="A562" t="inlineStr">
        <is>
          <t>A 2292-2021</t>
        </is>
      </c>
      <c r="B562" s="1" t="n">
        <v>44212</v>
      </c>
      <c r="C562" s="1" t="n">
        <v>45924</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4420-2025</t>
        </is>
      </c>
      <c r="B563" s="1" t="n">
        <v>45686.47157407407</v>
      </c>
      <c r="C563" s="1" t="n">
        <v>45924</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14427-2024</t>
        </is>
      </c>
      <c r="B564" s="1" t="n">
        <v>45394</v>
      </c>
      <c r="C564" s="1" t="n">
        <v>45924</v>
      </c>
      <c r="D564" t="inlineStr">
        <is>
          <t>GOTLANDS LÄN</t>
        </is>
      </c>
      <c r="E564" t="inlineStr">
        <is>
          <t>GOTLAND</t>
        </is>
      </c>
      <c r="G564" t="n">
        <v>1.3</v>
      </c>
      <c r="H564" t="n">
        <v>0</v>
      </c>
      <c r="I564" t="n">
        <v>0</v>
      </c>
      <c r="J564" t="n">
        <v>0</v>
      </c>
      <c r="K564" t="n">
        <v>0</v>
      </c>
      <c r="L564" t="n">
        <v>0</v>
      </c>
      <c r="M564" t="n">
        <v>0</v>
      </c>
      <c r="N564" t="n">
        <v>0</v>
      </c>
      <c r="O564" t="n">
        <v>0</v>
      </c>
      <c r="P564" t="n">
        <v>0</v>
      </c>
      <c r="Q564" t="n">
        <v>0</v>
      </c>
      <c r="R564" s="2" t="inlineStr"/>
    </row>
    <row r="565" ht="15" customHeight="1">
      <c r="A565" t="inlineStr">
        <is>
          <t>A 44304-2021</t>
        </is>
      </c>
      <c r="B565" s="1" t="n">
        <v>44434</v>
      </c>
      <c r="C565" s="1" t="n">
        <v>45924</v>
      </c>
      <c r="D565" t="inlineStr">
        <is>
          <t>GOTLANDS LÄN</t>
        </is>
      </c>
      <c r="E565" t="inlineStr">
        <is>
          <t>GOTLAND</t>
        </is>
      </c>
      <c r="G565" t="n">
        <v>5.8</v>
      </c>
      <c r="H565" t="n">
        <v>0</v>
      </c>
      <c r="I565" t="n">
        <v>0</v>
      </c>
      <c r="J565" t="n">
        <v>0</v>
      </c>
      <c r="K565" t="n">
        <v>0</v>
      </c>
      <c r="L565" t="n">
        <v>0</v>
      </c>
      <c r="M565" t="n">
        <v>0</v>
      </c>
      <c r="N565" t="n">
        <v>0</v>
      </c>
      <c r="O565" t="n">
        <v>0</v>
      </c>
      <c r="P565" t="n">
        <v>0</v>
      </c>
      <c r="Q565" t="n">
        <v>0</v>
      </c>
      <c r="R565" s="2" t="inlineStr"/>
    </row>
    <row r="566" ht="15" customHeight="1">
      <c r="A566" t="inlineStr">
        <is>
          <t>A 15083-2025</t>
        </is>
      </c>
      <c r="B566" s="1" t="n">
        <v>45743</v>
      </c>
      <c r="C566" s="1" t="n">
        <v>45924</v>
      </c>
      <c r="D566" t="inlineStr">
        <is>
          <t>GOTLANDS LÄN</t>
        </is>
      </c>
      <c r="E566" t="inlineStr">
        <is>
          <t>GOTLAND</t>
        </is>
      </c>
      <c r="G566" t="n">
        <v>2.3</v>
      </c>
      <c r="H566" t="n">
        <v>0</v>
      </c>
      <c r="I566" t="n">
        <v>0</v>
      </c>
      <c r="J566" t="n">
        <v>0</v>
      </c>
      <c r="K566" t="n">
        <v>0</v>
      </c>
      <c r="L566" t="n">
        <v>0</v>
      </c>
      <c r="M566" t="n">
        <v>0</v>
      </c>
      <c r="N566" t="n">
        <v>0</v>
      </c>
      <c r="O566" t="n">
        <v>0</v>
      </c>
      <c r="P566" t="n">
        <v>0</v>
      </c>
      <c r="Q566" t="n">
        <v>0</v>
      </c>
      <c r="R566" s="2" t="inlineStr"/>
    </row>
    <row r="567" ht="15" customHeight="1">
      <c r="A567" t="inlineStr">
        <is>
          <t>A 49257-2024</t>
        </is>
      </c>
      <c r="B567" s="1" t="n">
        <v>45595.47627314815</v>
      </c>
      <c r="C567" s="1" t="n">
        <v>45924</v>
      </c>
      <c r="D567" t="inlineStr">
        <is>
          <t>GOTLANDS LÄN</t>
        </is>
      </c>
      <c r="E567" t="inlineStr">
        <is>
          <t>GOTLAND</t>
        </is>
      </c>
      <c r="G567" t="n">
        <v>6.3</v>
      </c>
      <c r="H567" t="n">
        <v>0</v>
      </c>
      <c r="I567" t="n">
        <v>0</v>
      </c>
      <c r="J567" t="n">
        <v>0</v>
      </c>
      <c r="K567" t="n">
        <v>0</v>
      </c>
      <c r="L567" t="n">
        <v>0</v>
      </c>
      <c r="M567" t="n">
        <v>0</v>
      </c>
      <c r="N567" t="n">
        <v>0</v>
      </c>
      <c r="O567" t="n">
        <v>0</v>
      </c>
      <c r="P567" t="n">
        <v>0</v>
      </c>
      <c r="Q567" t="n">
        <v>0</v>
      </c>
      <c r="R567" s="2" t="inlineStr"/>
    </row>
    <row r="568" ht="15" customHeight="1">
      <c r="A568" t="inlineStr">
        <is>
          <t>A 49315-2024</t>
        </is>
      </c>
      <c r="B568" s="1" t="n">
        <v>45595</v>
      </c>
      <c r="C568" s="1" t="n">
        <v>45924</v>
      </c>
      <c r="D568" t="inlineStr">
        <is>
          <t>GOTLANDS LÄN</t>
        </is>
      </c>
      <c r="E568" t="inlineStr">
        <is>
          <t>GOTLAND</t>
        </is>
      </c>
      <c r="G568" t="n">
        <v>1.5</v>
      </c>
      <c r="H568" t="n">
        <v>0</v>
      </c>
      <c r="I568" t="n">
        <v>0</v>
      </c>
      <c r="J568" t="n">
        <v>0</v>
      </c>
      <c r="K568" t="n">
        <v>0</v>
      </c>
      <c r="L568" t="n">
        <v>0</v>
      </c>
      <c r="M568" t="n">
        <v>0</v>
      </c>
      <c r="N568" t="n">
        <v>0</v>
      </c>
      <c r="O568" t="n">
        <v>0</v>
      </c>
      <c r="P568" t="n">
        <v>0</v>
      </c>
      <c r="Q568" t="n">
        <v>0</v>
      </c>
      <c r="R568" s="2" t="inlineStr"/>
    </row>
    <row r="569" ht="15" customHeight="1">
      <c r="A569" t="inlineStr">
        <is>
          <t>A 27596-2023</t>
        </is>
      </c>
      <c r="B569" s="1" t="n">
        <v>45097</v>
      </c>
      <c r="C569" s="1" t="n">
        <v>45924</v>
      </c>
      <c r="D569" t="inlineStr">
        <is>
          <t>GOTLANDS LÄN</t>
        </is>
      </c>
      <c r="E569" t="inlineStr">
        <is>
          <t>GOTLAND</t>
        </is>
      </c>
      <c r="G569" t="n">
        <v>3.6</v>
      </c>
      <c r="H569" t="n">
        <v>0</v>
      </c>
      <c r="I569" t="n">
        <v>0</v>
      </c>
      <c r="J569" t="n">
        <v>0</v>
      </c>
      <c r="K569" t="n">
        <v>0</v>
      </c>
      <c r="L569" t="n">
        <v>0</v>
      </c>
      <c r="M569" t="n">
        <v>0</v>
      </c>
      <c r="N569" t="n">
        <v>0</v>
      </c>
      <c r="O569" t="n">
        <v>0</v>
      </c>
      <c r="P569" t="n">
        <v>0</v>
      </c>
      <c r="Q569" t="n">
        <v>0</v>
      </c>
      <c r="R569" s="2" t="inlineStr"/>
    </row>
    <row r="570" ht="15" customHeight="1">
      <c r="A570" t="inlineStr">
        <is>
          <t>A 56115-2023</t>
        </is>
      </c>
      <c r="B570" s="1" t="n">
        <v>45236</v>
      </c>
      <c r="C570" s="1" t="n">
        <v>45924</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64969-2023</t>
        </is>
      </c>
      <c r="B571" s="1" t="n">
        <v>45284.54009259259</v>
      </c>
      <c r="C571" s="1" t="n">
        <v>45924</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33853-2024</t>
        </is>
      </c>
      <c r="B572" s="1" t="n">
        <v>45520.64298611111</v>
      </c>
      <c r="C572" s="1" t="n">
        <v>45924</v>
      </c>
      <c r="D572" t="inlineStr">
        <is>
          <t>GOTLANDS LÄN</t>
        </is>
      </c>
      <c r="E572" t="inlineStr">
        <is>
          <t>GOTLAND</t>
        </is>
      </c>
      <c r="G572" t="n">
        <v>3.9</v>
      </c>
      <c r="H572" t="n">
        <v>0</v>
      </c>
      <c r="I572" t="n">
        <v>0</v>
      </c>
      <c r="J572" t="n">
        <v>0</v>
      </c>
      <c r="K572" t="n">
        <v>0</v>
      </c>
      <c r="L572" t="n">
        <v>0</v>
      </c>
      <c r="M572" t="n">
        <v>0</v>
      </c>
      <c r="N572" t="n">
        <v>0</v>
      </c>
      <c r="O572" t="n">
        <v>0</v>
      </c>
      <c r="P572" t="n">
        <v>0</v>
      </c>
      <c r="Q572" t="n">
        <v>0</v>
      </c>
      <c r="R572" s="2" t="inlineStr"/>
    </row>
    <row r="573" ht="15" customHeight="1">
      <c r="A573" t="inlineStr">
        <is>
          <t>A 18223-2025</t>
        </is>
      </c>
      <c r="B573" s="1" t="n">
        <v>45761</v>
      </c>
      <c r="C573" s="1" t="n">
        <v>45924</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46949-2024</t>
        </is>
      </c>
      <c r="B574" s="1" t="n">
        <v>45585</v>
      </c>
      <c r="C574" s="1" t="n">
        <v>45924</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24001-2021</t>
        </is>
      </c>
      <c r="B575" s="1" t="n">
        <v>44335</v>
      </c>
      <c r="C575" s="1" t="n">
        <v>45924</v>
      </c>
      <c r="D575" t="inlineStr">
        <is>
          <t>GOTLANDS LÄN</t>
        </is>
      </c>
      <c r="E575" t="inlineStr">
        <is>
          <t>GOTLAND</t>
        </is>
      </c>
      <c r="G575" t="n">
        <v>3.4</v>
      </c>
      <c r="H575" t="n">
        <v>0</v>
      </c>
      <c r="I575" t="n">
        <v>0</v>
      </c>
      <c r="J575" t="n">
        <v>0</v>
      </c>
      <c r="K575" t="n">
        <v>0</v>
      </c>
      <c r="L575" t="n">
        <v>0</v>
      </c>
      <c r="M575" t="n">
        <v>0</v>
      </c>
      <c r="N575" t="n">
        <v>0</v>
      </c>
      <c r="O575" t="n">
        <v>0</v>
      </c>
      <c r="P575" t="n">
        <v>0</v>
      </c>
      <c r="Q575" t="n">
        <v>0</v>
      </c>
      <c r="R575" s="2" t="inlineStr"/>
    </row>
    <row r="576" ht="15" customHeight="1">
      <c r="A576" t="inlineStr">
        <is>
          <t>A 39479-2022</t>
        </is>
      </c>
      <c r="B576" s="1" t="n">
        <v>44818</v>
      </c>
      <c r="C576" s="1" t="n">
        <v>45924</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39496-2022</t>
        </is>
      </c>
      <c r="B577" s="1" t="n">
        <v>44818</v>
      </c>
      <c r="C577" s="1" t="n">
        <v>45924</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46389-2021</t>
        </is>
      </c>
      <c r="B578" s="1" t="n">
        <v>44443</v>
      </c>
      <c r="C578" s="1" t="n">
        <v>45924</v>
      </c>
      <c r="D578" t="inlineStr">
        <is>
          <t>GOTLANDS LÄN</t>
        </is>
      </c>
      <c r="E578" t="inlineStr">
        <is>
          <t>GOTLAND</t>
        </is>
      </c>
      <c r="F578" t="inlineStr">
        <is>
          <t>Kyrkan</t>
        </is>
      </c>
      <c r="G578" t="n">
        <v>2.1</v>
      </c>
      <c r="H578" t="n">
        <v>0</v>
      </c>
      <c r="I578" t="n">
        <v>0</v>
      </c>
      <c r="J578" t="n">
        <v>0</v>
      </c>
      <c r="K578" t="n">
        <v>0</v>
      </c>
      <c r="L578" t="n">
        <v>0</v>
      </c>
      <c r="M578" t="n">
        <v>0</v>
      </c>
      <c r="N578" t="n">
        <v>0</v>
      </c>
      <c r="O578" t="n">
        <v>0</v>
      </c>
      <c r="P578" t="n">
        <v>0</v>
      </c>
      <c r="Q578" t="n">
        <v>0</v>
      </c>
      <c r="R578" s="2" t="inlineStr"/>
    </row>
    <row r="579" ht="15" customHeight="1">
      <c r="A579" t="inlineStr">
        <is>
          <t>A 44949-2023</t>
        </is>
      </c>
      <c r="B579" s="1" t="n">
        <v>45190.69520833333</v>
      </c>
      <c r="C579" s="1" t="n">
        <v>45924</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17682-2024</t>
        </is>
      </c>
      <c r="B580" s="1" t="n">
        <v>45418.42966435185</v>
      </c>
      <c r="C580" s="1" t="n">
        <v>45924</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61897-2024</t>
        </is>
      </c>
      <c r="B581" s="1" t="n">
        <v>45652.75685185185</v>
      </c>
      <c r="C581" s="1" t="n">
        <v>45924</v>
      </c>
      <c r="D581" t="inlineStr">
        <is>
          <t>GOTLANDS LÄN</t>
        </is>
      </c>
      <c r="E581" t="inlineStr">
        <is>
          <t>GOTLAND</t>
        </is>
      </c>
      <c r="G581" t="n">
        <v>6.4</v>
      </c>
      <c r="H581" t="n">
        <v>0</v>
      </c>
      <c r="I581" t="n">
        <v>0</v>
      </c>
      <c r="J581" t="n">
        <v>0</v>
      </c>
      <c r="K581" t="n">
        <v>0</v>
      </c>
      <c r="L581" t="n">
        <v>0</v>
      </c>
      <c r="M581" t="n">
        <v>0</v>
      </c>
      <c r="N581" t="n">
        <v>0</v>
      </c>
      <c r="O581" t="n">
        <v>0</v>
      </c>
      <c r="P581" t="n">
        <v>0</v>
      </c>
      <c r="Q581" t="n">
        <v>0</v>
      </c>
      <c r="R581" s="2" t="inlineStr"/>
    </row>
    <row r="582" ht="15" customHeight="1">
      <c r="A582" t="inlineStr">
        <is>
          <t>A 12032-2025</t>
        </is>
      </c>
      <c r="B582" s="1" t="n">
        <v>45728.64472222222</v>
      </c>
      <c r="C582" s="1" t="n">
        <v>45924</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15595-2024</t>
        </is>
      </c>
      <c r="B583" s="1" t="n">
        <v>45401.81480324074</v>
      </c>
      <c r="C583" s="1" t="n">
        <v>45924</v>
      </c>
      <c r="D583" t="inlineStr">
        <is>
          <t>GOTLANDS LÄN</t>
        </is>
      </c>
      <c r="E583" t="inlineStr">
        <is>
          <t>GOTLAND</t>
        </is>
      </c>
      <c r="G583" t="n">
        <v>6.4</v>
      </c>
      <c r="H583" t="n">
        <v>0</v>
      </c>
      <c r="I583" t="n">
        <v>0</v>
      </c>
      <c r="J583" t="n">
        <v>0</v>
      </c>
      <c r="K583" t="n">
        <v>0</v>
      </c>
      <c r="L583" t="n">
        <v>0</v>
      </c>
      <c r="M583" t="n">
        <v>0</v>
      </c>
      <c r="N583" t="n">
        <v>0</v>
      </c>
      <c r="O583" t="n">
        <v>0</v>
      </c>
      <c r="P583" t="n">
        <v>0</v>
      </c>
      <c r="Q583" t="n">
        <v>0</v>
      </c>
      <c r="R583" s="2" t="inlineStr"/>
    </row>
    <row r="584" ht="15" customHeight="1">
      <c r="A584" t="inlineStr">
        <is>
          <t>A 21164-2024</t>
        </is>
      </c>
      <c r="B584" s="1" t="n">
        <v>45440</v>
      </c>
      <c r="C584" s="1" t="n">
        <v>45924</v>
      </c>
      <c r="D584" t="inlineStr">
        <is>
          <t>GOTLANDS LÄN</t>
        </is>
      </c>
      <c r="E584" t="inlineStr">
        <is>
          <t>GOTLAND</t>
        </is>
      </c>
      <c r="G584" t="n">
        <v>6.3</v>
      </c>
      <c r="H584" t="n">
        <v>0</v>
      </c>
      <c r="I584" t="n">
        <v>0</v>
      </c>
      <c r="J584" t="n">
        <v>0</v>
      </c>
      <c r="K584" t="n">
        <v>0</v>
      </c>
      <c r="L584" t="n">
        <v>0</v>
      </c>
      <c r="M584" t="n">
        <v>0</v>
      </c>
      <c r="N584" t="n">
        <v>0</v>
      </c>
      <c r="O584" t="n">
        <v>0</v>
      </c>
      <c r="P584" t="n">
        <v>0</v>
      </c>
      <c r="Q584" t="n">
        <v>0</v>
      </c>
      <c r="R584" s="2" t="inlineStr"/>
    </row>
    <row r="585" ht="15" customHeight="1">
      <c r="A585" t="inlineStr">
        <is>
          <t>A 17541-2024</t>
        </is>
      </c>
      <c r="B585" s="1" t="n">
        <v>45415</v>
      </c>
      <c r="C585" s="1" t="n">
        <v>45924</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883-2025</t>
        </is>
      </c>
      <c r="B586" s="1" t="n">
        <v>45665</v>
      </c>
      <c r="C586" s="1" t="n">
        <v>45924</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13910-2025</t>
        </is>
      </c>
      <c r="B587" s="1" t="n">
        <v>45737</v>
      </c>
      <c r="C587" s="1" t="n">
        <v>45924</v>
      </c>
      <c r="D587" t="inlineStr">
        <is>
          <t>GOTLANDS LÄN</t>
        </is>
      </c>
      <c r="E587" t="inlineStr">
        <is>
          <t>GOTLAND</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20794-2025</t>
        </is>
      </c>
      <c r="B588" s="1" t="n">
        <v>45776</v>
      </c>
      <c r="C588" s="1" t="n">
        <v>45924</v>
      </c>
      <c r="D588" t="inlineStr">
        <is>
          <t>GOTLANDS LÄN</t>
        </is>
      </c>
      <c r="E588" t="inlineStr">
        <is>
          <t>GOTLAND</t>
        </is>
      </c>
      <c r="G588" t="n">
        <v>6</v>
      </c>
      <c r="H588" t="n">
        <v>0</v>
      </c>
      <c r="I588" t="n">
        <v>0</v>
      </c>
      <c r="J588" t="n">
        <v>0</v>
      </c>
      <c r="K588" t="n">
        <v>0</v>
      </c>
      <c r="L588" t="n">
        <v>0</v>
      </c>
      <c r="M588" t="n">
        <v>0</v>
      </c>
      <c r="N588" t="n">
        <v>0</v>
      </c>
      <c r="O588" t="n">
        <v>0</v>
      </c>
      <c r="P588" t="n">
        <v>0</v>
      </c>
      <c r="Q588" t="n">
        <v>0</v>
      </c>
      <c r="R588" s="2" t="inlineStr"/>
    </row>
    <row r="589" ht="15" customHeight="1">
      <c r="A589" t="inlineStr">
        <is>
          <t>A 20805-2025</t>
        </is>
      </c>
      <c r="B589" s="1" t="n">
        <v>45776</v>
      </c>
      <c r="C589" s="1" t="n">
        <v>45924</v>
      </c>
      <c r="D589" t="inlineStr">
        <is>
          <t>GOTLANDS LÄN</t>
        </is>
      </c>
      <c r="E589" t="inlineStr">
        <is>
          <t>GOTLAND</t>
        </is>
      </c>
      <c r="G589" t="n">
        <v>3.1</v>
      </c>
      <c r="H589" t="n">
        <v>0</v>
      </c>
      <c r="I589" t="n">
        <v>0</v>
      </c>
      <c r="J589" t="n">
        <v>0</v>
      </c>
      <c r="K589" t="n">
        <v>0</v>
      </c>
      <c r="L589" t="n">
        <v>0</v>
      </c>
      <c r="M589" t="n">
        <v>0</v>
      </c>
      <c r="N589" t="n">
        <v>0</v>
      </c>
      <c r="O589" t="n">
        <v>0</v>
      </c>
      <c r="P589" t="n">
        <v>0</v>
      </c>
      <c r="Q589" t="n">
        <v>0</v>
      </c>
      <c r="R589" s="2" t="inlineStr"/>
    </row>
    <row r="590" ht="15" customHeight="1">
      <c r="A590" t="inlineStr">
        <is>
          <t>A 21389-2025</t>
        </is>
      </c>
      <c r="B590" s="1" t="n">
        <v>45782</v>
      </c>
      <c r="C590" s="1" t="n">
        <v>45924</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21651-2025</t>
        </is>
      </c>
      <c r="B591" s="1" t="n">
        <v>45783</v>
      </c>
      <c r="C591" s="1" t="n">
        <v>45924</v>
      </c>
      <c r="D591" t="inlineStr">
        <is>
          <t>GOTLANDS LÄN</t>
        </is>
      </c>
      <c r="E591" t="inlineStr">
        <is>
          <t>GOTLAND</t>
        </is>
      </c>
      <c r="G591" t="n">
        <v>4.2</v>
      </c>
      <c r="H591" t="n">
        <v>0</v>
      </c>
      <c r="I591" t="n">
        <v>0</v>
      </c>
      <c r="J591" t="n">
        <v>0</v>
      </c>
      <c r="K591" t="n">
        <v>0</v>
      </c>
      <c r="L591" t="n">
        <v>0</v>
      </c>
      <c r="M591" t="n">
        <v>0</v>
      </c>
      <c r="N591" t="n">
        <v>0</v>
      </c>
      <c r="O591" t="n">
        <v>0</v>
      </c>
      <c r="P591" t="n">
        <v>0</v>
      </c>
      <c r="Q591" t="n">
        <v>0</v>
      </c>
      <c r="R591" s="2" t="inlineStr"/>
    </row>
    <row r="592" ht="15" customHeight="1">
      <c r="A592" t="inlineStr">
        <is>
          <t>A 21420-2024</t>
        </is>
      </c>
      <c r="B592" s="1" t="n">
        <v>45441.38293981482</v>
      </c>
      <c r="C592" s="1" t="n">
        <v>45924</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10656-2024</t>
        </is>
      </c>
      <c r="B593" s="1" t="n">
        <v>45368</v>
      </c>
      <c r="C593" s="1" t="n">
        <v>45924</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57356-2023</t>
        </is>
      </c>
      <c r="B594" s="1" t="n">
        <v>45240</v>
      </c>
      <c r="C594" s="1" t="n">
        <v>45924</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28506-2023</t>
        </is>
      </c>
      <c r="B595" s="1" t="n">
        <v>45103</v>
      </c>
      <c r="C595" s="1" t="n">
        <v>45924</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23188-2025</t>
        </is>
      </c>
      <c r="B596" s="1" t="n">
        <v>45791</v>
      </c>
      <c r="C596" s="1" t="n">
        <v>45924</v>
      </c>
      <c r="D596" t="inlineStr">
        <is>
          <t>GOTLANDS LÄN</t>
        </is>
      </c>
      <c r="E596" t="inlineStr">
        <is>
          <t>GOTLAND</t>
        </is>
      </c>
      <c r="G596" t="n">
        <v>6.2</v>
      </c>
      <c r="H596" t="n">
        <v>0</v>
      </c>
      <c r="I596" t="n">
        <v>0</v>
      </c>
      <c r="J596" t="n">
        <v>0</v>
      </c>
      <c r="K596" t="n">
        <v>0</v>
      </c>
      <c r="L596" t="n">
        <v>0</v>
      </c>
      <c r="M596" t="n">
        <v>0</v>
      </c>
      <c r="N596" t="n">
        <v>0</v>
      </c>
      <c r="O596" t="n">
        <v>0</v>
      </c>
      <c r="P596" t="n">
        <v>0</v>
      </c>
      <c r="Q596" t="n">
        <v>0</v>
      </c>
      <c r="R596" s="2" t="inlineStr"/>
    </row>
    <row r="597" ht="15" customHeight="1">
      <c r="A597" t="inlineStr">
        <is>
          <t>A 23856-2025</t>
        </is>
      </c>
      <c r="B597" s="1" t="n">
        <v>45793</v>
      </c>
      <c r="C597" s="1" t="n">
        <v>45924</v>
      </c>
      <c r="D597" t="inlineStr">
        <is>
          <t>GOTLANDS LÄN</t>
        </is>
      </c>
      <c r="E597" t="inlineStr">
        <is>
          <t>GOTLAND</t>
        </is>
      </c>
      <c r="G597" t="n">
        <v>4.4</v>
      </c>
      <c r="H597" t="n">
        <v>0</v>
      </c>
      <c r="I597" t="n">
        <v>0</v>
      </c>
      <c r="J597" t="n">
        <v>0</v>
      </c>
      <c r="K597" t="n">
        <v>0</v>
      </c>
      <c r="L597" t="n">
        <v>0</v>
      </c>
      <c r="M597" t="n">
        <v>0</v>
      </c>
      <c r="N597" t="n">
        <v>0</v>
      </c>
      <c r="O597" t="n">
        <v>0</v>
      </c>
      <c r="P597" t="n">
        <v>0</v>
      </c>
      <c r="Q597" t="n">
        <v>0</v>
      </c>
      <c r="R597" s="2" t="inlineStr"/>
    </row>
    <row r="598" ht="15" customHeight="1">
      <c r="A598" t="inlineStr">
        <is>
          <t>A 23473-2025</t>
        </is>
      </c>
      <c r="B598" s="1" t="n">
        <v>45792</v>
      </c>
      <c r="C598" s="1" t="n">
        <v>45924</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23698-2025</t>
        </is>
      </c>
      <c r="B599" s="1" t="n">
        <v>45793</v>
      </c>
      <c r="C599" s="1" t="n">
        <v>45924</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15073-2025</t>
        </is>
      </c>
      <c r="B600" s="1" t="n">
        <v>45743</v>
      </c>
      <c r="C600" s="1" t="n">
        <v>45924</v>
      </c>
      <c r="D600" t="inlineStr">
        <is>
          <t>GOTLANDS LÄN</t>
        </is>
      </c>
      <c r="E600" t="inlineStr">
        <is>
          <t>GOTLAND</t>
        </is>
      </c>
      <c r="G600" t="n">
        <v>12.1</v>
      </c>
      <c r="H600" t="n">
        <v>0</v>
      </c>
      <c r="I600" t="n">
        <v>0</v>
      </c>
      <c r="J600" t="n">
        <v>0</v>
      </c>
      <c r="K600" t="n">
        <v>0</v>
      </c>
      <c r="L600" t="n">
        <v>0</v>
      </c>
      <c r="M600" t="n">
        <v>0</v>
      </c>
      <c r="N600" t="n">
        <v>0</v>
      </c>
      <c r="O600" t="n">
        <v>0</v>
      </c>
      <c r="P600" t="n">
        <v>0</v>
      </c>
      <c r="Q600" t="n">
        <v>0</v>
      </c>
      <c r="R600" s="2" t="inlineStr"/>
    </row>
    <row r="601">
      <c r="A601" t="inlineStr">
        <is>
          <t>A 15075-2025</t>
        </is>
      </c>
      <c r="B601" s="1" t="n">
        <v>45743</v>
      </c>
      <c r="C601" s="1" t="n">
        <v>45924</v>
      </c>
      <c r="D601" t="inlineStr">
        <is>
          <t>GOTLANDS LÄN</t>
        </is>
      </c>
      <c r="E601" t="inlineStr">
        <is>
          <t>GOTLAND</t>
        </is>
      </c>
      <c r="G601" t="n">
        <v>20.9</v>
      </c>
      <c r="H601" t="n">
        <v>0</v>
      </c>
      <c r="I601" t="n">
        <v>0</v>
      </c>
      <c r="J601" t="n">
        <v>0</v>
      </c>
      <c r="K601" t="n">
        <v>0</v>
      </c>
      <c r="L601" t="n">
        <v>0</v>
      </c>
      <c r="M601" t="n">
        <v>0</v>
      </c>
      <c r="N601" t="n">
        <v>0</v>
      </c>
      <c r="O601" t="n">
        <v>0</v>
      </c>
      <c r="P601" t="n">
        <v>0</v>
      </c>
      <c r="Q601" t="n">
        <v>0</v>
      </c>
      <c r="R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2025-09-24T10:15:44Z</dcterms:created>
  <dcterms:modified xmlns:dcterms="http://purl.org/dc/terms/" xmlns:xsi="http://www.w3.org/2001/XMLSchema-instance" xsi:type="dcterms:W3CDTF">2025-09-24T10:15:45Z</dcterms:modified>
</cp:coreProperties>
</file>