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45892</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45892</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45892</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45892</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45892</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45892</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45892</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24575-2025</t>
        </is>
      </c>
      <c r="B13" s="1" t="n">
        <v>45798</v>
      </c>
      <c r="C13" s="1" t="n">
        <v>45892</v>
      </c>
      <c r="D13" t="inlineStr">
        <is>
          <t>GOTLANDS LÄN</t>
        </is>
      </c>
      <c r="E13" t="inlineStr">
        <is>
          <t>GOTLAND</t>
        </is>
      </c>
      <c r="G13" t="n">
        <v>6.7</v>
      </c>
      <c r="H13" t="n">
        <v>9</v>
      </c>
      <c r="I13" t="n">
        <v>6</v>
      </c>
      <c r="J13" t="n">
        <v>6</v>
      </c>
      <c r="K13" t="n">
        <v>1</v>
      </c>
      <c r="L13" t="n">
        <v>0</v>
      </c>
      <c r="M13" t="n">
        <v>0</v>
      </c>
      <c r="N13" t="n">
        <v>0</v>
      </c>
      <c r="O13" t="n">
        <v>7</v>
      </c>
      <c r="P13" t="n">
        <v>1</v>
      </c>
      <c r="Q13" t="n">
        <v>16</v>
      </c>
      <c r="R13" s="2" t="inlineStr">
        <is>
          <t>Knärot
Jordtistel
Reliktbock
Solvända
Spillkråka
Svinrot
Ängsstarr
Blåmossa
Nästrot
Skogsknipprot
Sårläka
Tvåblad
Vit skogslilja
Fläcknycklar
Nattviol
Sankt pers nycklar</t>
        </is>
      </c>
      <c r="S13">
        <f>HYPERLINK("https://klasma.github.io/Logging_0980/artfynd/A 24575-2025 artfynd.xlsx", "A 24575-2025")</f>
        <v/>
      </c>
      <c r="T13">
        <f>HYPERLINK("https://klasma.github.io/Logging_0980/kartor/A 24575-2025 karta.png", "A 24575-2025")</f>
        <v/>
      </c>
      <c r="U13">
        <f>HYPERLINK("https://klasma.github.io/Logging_0980/knärot/A 24575-2025 karta knärot.png", "A 24575-2025")</f>
        <v/>
      </c>
      <c r="V13">
        <f>HYPERLINK("https://klasma.github.io/Logging_0980/klagomål/A 24575-2025 FSC-klagomål.docx", "A 24575-2025")</f>
        <v/>
      </c>
      <c r="W13">
        <f>HYPERLINK("https://klasma.github.io/Logging_0980/klagomålsmail/A 24575-2025 FSC-klagomål mail.docx", "A 24575-2025")</f>
        <v/>
      </c>
      <c r="X13">
        <f>HYPERLINK("https://klasma.github.io/Logging_0980/tillsyn/A 24575-2025 tillsynsbegäran.docx", "A 24575-2025")</f>
        <v/>
      </c>
      <c r="Y13">
        <f>HYPERLINK("https://klasma.github.io/Logging_0980/tillsynsmail/A 24575-2025 tillsynsbegäran mail.docx", "A 24575-2025")</f>
        <v/>
      </c>
      <c r="Z13">
        <f>HYPERLINK("https://klasma.github.io/Logging_0980/fåglar/A 24575-2025 prioriterade fågelarter.docx", "A 24575-2025")</f>
        <v/>
      </c>
    </row>
    <row r="14" ht="15" customHeight="1">
      <c r="A14" t="inlineStr">
        <is>
          <t>A 61664-2023</t>
        </is>
      </c>
      <c r="B14" s="1" t="n">
        <v>45265</v>
      </c>
      <c r="C14" s="1" t="n">
        <v>45892</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4572-2025</t>
        </is>
      </c>
      <c r="B15" s="1" t="n">
        <v>45687</v>
      </c>
      <c r="C15" s="1" t="n">
        <v>45892</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17762-2024</t>
        </is>
      </c>
      <c r="B16" s="1" t="n">
        <v>45418</v>
      </c>
      <c r="C16" s="1" t="n">
        <v>45892</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45892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45892</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45892</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45892</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45892</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45892</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45892</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45892</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45892</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45892</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45892</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45892</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45892</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45892</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45892</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45892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45892</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45892</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45892</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45892</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45892</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45892</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45892</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45892</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45892</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45892</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45892</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45892</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45892</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45892</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45892</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45892</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45892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45892</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45892</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45892</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45892</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45892</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45892</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45892</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45892</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45892</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45892</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45892</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45892</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54527-2023</t>
        </is>
      </c>
      <c r="B62" s="1" t="n">
        <v>45233</v>
      </c>
      <c r="C62" s="1" t="n">
        <v>45892</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45892</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45892</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45892</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45892</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45892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45892</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35293-2025</t>
        </is>
      </c>
      <c r="B69" s="1" t="n">
        <v>45854.39438657407</v>
      </c>
      <c r="C69" s="1" t="n">
        <v>45892</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45892</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32326-2024</t>
        </is>
      </c>
      <c r="B71" s="1" t="n">
        <v>45512</v>
      </c>
      <c r="C71" s="1" t="n">
        <v>45892</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54055-2022</t>
        </is>
      </c>
      <c r="B72" s="1" t="n">
        <v>44881</v>
      </c>
      <c r="C72" s="1" t="n">
        <v>45892</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45892</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45892</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45892</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45892</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45892</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45892</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45892</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20833-2024</t>
        </is>
      </c>
      <c r="B80" s="1" t="n">
        <v>45439</v>
      </c>
      <c r="C80" s="1" t="n">
        <v>45892</v>
      </c>
      <c r="D80" t="inlineStr">
        <is>
          <t>GOTLANDS LÄN</t>
        </is>
      </c>
      <c r="E80" t="inlineStr">
        <is>
          <t>GOTLAND</t>
        </is>
      </c>
      <c r="G80" t="n">
        <v>0.9</v>
      </c>
      <c r="H80" t="n">
        <v>3</v>
      </c>
      <c r="I80" t="n">
        <v>1</v>
      </c>
      <c r="J80" t="n">
        <v>3</v>
      </c>
      <c r="K80" t="n">
        <v>0</v>
      </c>
      <c r="L80" t="n">
        <v>0</v>
      </c>
      <c r="M80" t="n">
        <v>0</v>
      </c>
      <c r="N80" t="n">
        <v>0</v>
      </c>
      <c r="O80" t="n">
        <v>3</v>
      </c>
      <c r="P80" t="n">
        <v>0</v>
      </c>
      <c r="Q80" t="n">
        <v>4</v>
      </c>
      <c r="R80" s="2" t="inlineStr">
        <is>
          <t>Dårgräsfjäril
Spillkråka
Svinrot
Skogsknipprot</t>
        </is>
      </c>
      <c r="S80">
        <f>HYPERLINK("https://klasma.github.io/Logging_0980/artfynd/A 20833-2024 artfynd.xlsx", "A 20833-2024")</f>
        <v/>
      </c>
      <c r="T80">
        <f>HYPERLINK("https://klasma.github.io/Logging_0980/kartor/A 20833-2024 karta.png", "A 20833-2024")</f>
        <v/>
      </c>
      <c r="V80">
        <f>HYPERLINK("https://klasma.github.io/Logging_0980/klagomål/A 20833-2024 FSC-klagomål.docx", "A 20833-2024")</f>
        <v/>
      </c>
      <c r="W80">
        <f>HYPERLINK("https://klasma.github.io/Logging_0980/klagomålsmail/A 20833-2024 FSC-klagomål mail.docx", "A 20833-2024")</f>
        <v/>
      </c>
      <c r="X80">
        <f>HYPERLINK("https://klasma.github.io/Logging_0980/tillsyn/A 20833-2024 tillsynsbegäran.docx", "A 20833-2024")</f>
        <v/>
      </c>
      <c r="Y80">
        <f>HYPERLINK("https://klasma.github.io/Logging_0980/tillsynsmail/A 20833-2024 tillsynsbegäran mail.docx", "A 20833-2024")</f>
        <v/>
      </c>
      <c r="Z80">
        <f>HYPERLINK("https://klasma.github.io/Logging_0980/fåglar/A 20833-2024 prioriterade fågelarter.docx", "A 20833-2024")</f>
        <v/>
      </c>
    </row>
    <row r="81" ht="15" customHeight="1">
      <c r="A81" t="inlineStr">
        <is>
          <t>A 2485-2025</t>
        </is>
      </c>
      <c r="B81" s="1" t="n">
        <v>45673</v>
      </c>
      <c r="C81" s="1" t="n">
        <v>45892</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8265-2023</t>
        </is>
      </c>
      <c r="B82" s="1" t="n">
        <v>44974</v>
      </c>
      <c r="C82" s="1" t="n">
        <v>45892</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6159-2023</t>
        </is>
      </c>
      <c r="B83" s="1" t="n">
        <v>44964</v>
      </c>
      <c r="C83" s="1" t="n">
        <v>45892</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45892</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45892</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55029-2020</t>
        </is>
      </c>
      <c r="B86" s="1" t="n">
        <v>44130</v>
      </c>
      <c r="C86" s="1" t="n">
        <v>45892</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45892</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45892</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45892</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45892</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45892</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45892</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17982-2023</t>
        </is>
      </c>
      <c r="B93" s="1" t="n">
        <v>45040</v>
      </c>
      <c r="C93" s="1" t="n">
        <v>45892</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13499-2022</t>
        </is>
      </c>
      <c r="B94" s="1" t="n">
        <v>44647.79203703703</v>
      </c>
      <c r="C94" s="1" t="n">
        <v>45892</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5235-2025</t>
        </is>
      </c>
      <c r="B95" s="1" t="n">
        <v>45692.26797453704</v>
      </c>
      <c r="C95" s="1" t="n">
        <v>45892</v>
      </c>
      <c r="D95" t="inlineStr">
        <is>
          <t>GOTLANDS LÄN</t>
        </is>
      </c>
      <c r="E95" t="inlineStr">
        <is>
          <t>GOTLAND</t>
        </is>
      </c>
      <c r="G95" t="n">
        <v>7.6</v>
      </c>
      <c r="H95" t="n">
        <v>1</v>
      </c>
      <c r="I95" t="n">
        <v>2</v>
      </c>
      <c r="J95" t="n">
        <v>1</v>
      </c>
      <c r="K95" t="n">
        <v>0</v>
      </c>
      <c r="L95" t="n">
        <v>0</v>
      </c>
      <c r="M95" t="n">
        <v>0</v>
      </c>
      <c r="N95" t="n">
        <v>0</v>
      </c>
      <c r="O95" t="n">
        <v>1</v>
      </c>
      <c r="P95" t="n">
        <v>0</v>
      </c>
      <c r="Q95" t="n">
        <v>3</v>
      </c>
      <c r="R95" s="2" t="inlineStr">
        <is>
          <t>Svinrot
Blåmossa
Tvåblad</t>
        </is>
      </c>
      <c r="S95">
        <f>HYPERLINK("https://klasma.github.io/Logging_0980/artfynd/A 5235-2025 artfynd.xlsx", "A 5235-2025")</f>
        <v/>
      </c>
      <c r="T95">
        <f>HYPERLINK("https://klasma.github.io/Logging_0980/kartor/A 5235-2025 karta.png", "A 5235-2025")</f>
        <v/>
      </c>
      <c r="V95">
        <f>HYPERLINK("https://klasma.github.io/Logging_0980/klagomål/A 5235-2025 FSC-klagomål.docx", "A 5235-2025")</f>
        <v/>
      </c>
      <c r="W95">
        <f>HYPERLINK("https://klasma.github.io/Logging_0980/klagomålsmail/A 5235-2025 FSC-klagomål mail.docx", "A 5235-2025")</f>
        <v/>
      </c>
      <c r="X95">
        <f>HYPERLINK("https://klasma.github.io/Logging_0980/tillsyn/A 5235-2025 tillsynsbegäran.docx", "A 5235-2025")</f>
        <v/>
      </c>
      <c r="Y95">
        <f>HYPERLINK("https://klasma.github.io/Logging_0980/tillsynsmail/A 5235-2025 tillsynsbegäran mail.docx", "A 5235-2025")</f>
        <v/>
      </c>
    </row>
    <row r="96" ht="15" customHeight="1">
      <c r="A96" t="inlineStr">
        <is>
          <t>A 53552-2021</t>
        </is>
      </c>
      <c r="B96" s="1" t="n">
        <v>44468</v>
      </c>
      <c r="C96" s="1" t="n">
        <v>45892</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45892</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45892</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45892</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45892</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45892</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45892</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45892</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45892</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45892</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45892</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45892</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45892</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45892</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45892</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55649-2024</t>
        </is>
      </c>
      <c r="B111" s="1" t="n">
        <v>45622.63053240741</v>
      </c>
      <c r="C111" s="1" t="n">
        <v>45892</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45892</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45892</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45892</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45892</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45892</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45892</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45892</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45892</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45892</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45892</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45892</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45892</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45892</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45892</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45892</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45892</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45892</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45892</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20429-2025</t>
        </is>
      </c>
      <c r="B130" s="1" t="n">
        <v>45775.47728009259</v>
      </c>
      <c r="C130" s="1" t="n">
        <v>45892</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24245-2022</t>
        </is>
      </c>
      <c r="B131" s="1" t="n">
        <v>44725</v>
      </c>
      <c r="C131" s="1" t="n">
        <v>45892</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447-2023</t>
        </is>
      </c>
      <c r="B132" s="1" t="n">
        <v>44929</v>
      </c>
      <c r="C132" s="1" t="n">
        <v>45892</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34809-2024</t>
        </is>
      </c>
      <c r="B133" s="1" t="n">
        <v>45526</v>
      </c>
      <c r="C133" s="1" t="n">
        <v>45892</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10995-2023</t>
        </is>
      </c>
      <c r="B134" s="1" t="n">
        <v>44986</v>
      </c>
      <c r="C134" s="1" t="n">
        <v>45892</v>
      </c>
      <c r="D134" t="inlineStr">
        <is>
          <t>GOTLANDS LÄN</t>
        </is>
      </c>
      <c r="E134" t="inlineStr">
        <is>
          <t>GOTLAND</t>
        </is>
      </c>
      <c r="G134" t="n">
        <v>2.8</v>
      </c>
      <c r="H134" t="n">
        <v>0</v>
      </c>
      <c r="I134" t="n">
        <v>0</v>
      </c>
      <c r="J134" t="n">
        <v>0</v>
      </c>
      <c r="K134" t="n">
        <v>1</v>
      </c>
      <c r="L134" t="n">
        <v>0</v>
      </c>
      <c r="M134" t="n">
        <v>0</v>
      </c>
      <c r="N134" t="n">
        <v>0</v>
      </c>
      <c r="O134" t="n">
        <v>1</v>
      </c>
      <c r="P134" t="n">
        <v>1</v>
      </c>
      <c r="Q134" t="n">
        <v>1</v>
      </c>
      <c r="R134" s="2" t="inlineStr">
        <is>
          <t>Violettfläckig spindling</t>
        </is>
      </c>
      <c r="S134">
        <f>HYPERLINK("https://klasma.github.io/Logging_0980/artfynd/A 10995-2023 artfynd.xlsx", "A 10995-2023")</f>
        <v/>
      </c>
      <c r="T134">
        <f>HYPERLINK("https://klasma.github.io/Logging_0980/kartor/A 10995-2023 karta.png", "A 10995-2023")</f>
        <v/>
      </c>
      <c r="V134">
        <f>HYPERLINK("https://klasma.github.io/Logging_0980/klagomål/A 10995-2023 FSC-klagomål.docx", "A 10995-2023")</f>
        <v/>
      </c>
      <c r="W134">
        <f>HYPERLINK("https://klasma.github.io/Logging_0980/klagomålsmail/A 10995-2023 FSC-klagomål mail.docx", "A 10995-2023")</f>
        <v/>
      </c>
      <c r="X134">
        <f>HYPERLINK("https://klasma.github.io/Logging_0980/tillsyn/A 10995-2023 tillsynsbegäran.docx", "A 10995-2023")</f>
        <v/>
      </c>
      <c r="Y134">
        <f>HYPERLINK("https://klasma.github.io/Logging_0980/tillsynsmail/A 10995-2023 tillsynsbegäran mail.docx", "A 10995-2023")</f>
        <v/>
      </c>
    </row>
    <row r="135" ht="15" customHeight="1">
      <c r="A135" t="inlineStr">
        <is>
          <t>A 63576-2021</t>
        </is>
      </c>
      <c r="B135" s="1" t="n">
        <v>44508</v>
      </c>
      <c r="C135" s="1" t="n">
        <v>45892</v>
      </c>
      <c r="D135" t="inlineStr">
        <is>
          <t>GOTLANDS LÄN</t>
        </is>
      </c>
      <c r="E135" t="inlineStr">
        <is>
          <t>GOTLAND</t>
        </is>
      </c>
      <c r="F135" t="inlineStr">
        <is>
          <t>Kyrkan</t>
        </is>
      </c>
      <c r="G135" t="n">
        <v>4.1</v>
      </c>
      <c r="H135" t="n">
        <v>1</v>
      </c>
      <c r="I135" t="n">
        <v>0</v>
      </c>
      <c r="J135" t="n">
        <v>1</v>
      </c>
      <c r="K135" t="n">
        <v>0</v>
      </c>
      <c r="L135" t="n">
        <v>0</v>
      </c>
      <c r="M135" t="n">
        <v>0</v>
      </c>
      <c r="N135" t="n">
        <v>0</v>
      </c>
      <c r="O135" t="n">
        <v>1</v>
      </c>
      <c r="P135" t="n">
        <v>0</v>
      </c>
      <c r="Q135" t="n">
        <v>1</v>
      </c>
      <c r="R135" s="2" t="inlineStr">
        <is>
          <t>Dårgräsfjäril</t>
        </is>
      </c>
      <c r="S135">
        <f>HYPERLINK("https://klasma.github.io/Logging_0980/artfynd/A 63576-2021 artfynd.xlsx", "A 63576-2021")</f>
        <v/>
      </c>
      <c r="T135">
        <f>HYPERLINK("https://klasma.github.io/Logging_0980/kartor/A 63576-2021 karta.png", "A 63576-2021")</f>
        <v/>
      </c>
      <c r="V135">
        <f>HYPERLINK("https://klasma.github.io/Logging_0980/klagomål/A 63576-2021 FSC-klagomål.docx", "A 63576-2021")</f>
        <v/>
      </c>
      <c r="W135">
        <f>HYPERLINK("https://klasma.github.io/Logging_0980/klagomålsmail/A 63576-2021 FSC-klagomål mail.docx", "A 63576-2021")</f>
        <v/>
      </c>
      <c r="X135">
        <f>HYPERLINK("https://klasma.github.io/Logging_0980/tillsyn/A 63576-2021 tillsynsbegäran.docx", "A 63576-2021")</f>
        <v/>
      </c>
      <c r="Y135">
        <f>HYPERLINK("https://klasma.github.io/Logging_0980/tillsynsmail/A 63576-2021 tillsynsbegäran mail.docx", "A 63576-2021")</f>
        <v/>
      </c>
    </row>
    <row r="136" ht="15" customHeight="1">
      <c r="A136" t="inlineStr">
        <is>
          <t>A 49304-2024</t>
        </is>
      </c>
      <c r="B136" s="1" t="n">
        <v>45595.54996527778</v>
      </c>
      <c r="C136" s="1" t="n">
        <v>45892</v>
      </c>
      <c r="D136" t="inlineStr">
        <is>
          <t>GOTLANDS LÄN</t>
        </is>
      </c>
      <c r="E136" t="inlineStr">
        <is>
          <t>GOTLAND</t>
        </is>
      </c>
      <c r="G136" t="n">
        <v>10.8</v>
      </c>
      <c r="H136" t="n">
        <v>0</v>
      </c>
      <c r="I136" t="n">
        <v>0</v>
      </c>
      <c r="J136" t="n">
        <v>1</v>
      </c>
      <c r="K136" t="n">
        <v>0</v>
      </c>
      <c r="L136" t="n">
        <v>0</v>
      </c>
      <c r="M136" t="n">
        <v>0</v>
      </c>
      <c r="N136" t="n">
        <v>0</v>
      </c>
      <c r="O136" t="n">
        <v>1</v>
      </c>
      <c r="P136" t="n">
        <v>0</v>
      </c>
      <c r="Q136" t="n">
        <v>1</v>
      </c>
      <c r="R136" s="2" t="inlineStr">
        <is>
          <t>Åkerranunkel</t>
        </is>
      </c>
      <c r="S136">
        <f>HYPERLINK("https://klasma.github.io/Logging_0980/artfynd/A 49304-2024 artfynd.xlsx", "A 49304-2024")</f>
        <v/>
      </c>
      <c r="T136">
        <f>HYPERLINK("https://klasma.github.io/Logging_0980/kartor/A 49304-2024 karta.png", "A 49304-2024")</f>
        <v/>
      </c>
      <c r="V136">
        <f>HYPERLINK("https://klasma.github.io/Logging_0980/klagomål/A 49304-2024 FSC-klagomål.docx", "A 49304-2024")</f>
        <v/>
      </c>
      <c r="W136">
        <f>HYPERLINK("https://klasma.github.io/Logging_0980/klagomålsmail/A 49304-2024 FSC-klagomål mail.docx", "A 49304-2024")</f>
        <v/>
      </c>
      <c r="X136">
        <f>HYPERLINK("https://klasma.github.io/Logging_0980/tillsyn/A 49304-2024 tillsynsbegäran.docx", "A 49304-2024")</f>
        <v/>
      </c>
      <c r="Y136">
        <f>HYPERLINK("https://klasma.github.io/Logging_0980/tillsynsmail/A 49304-2024 tillsynsbegäran mail.docx", "A 49304-2024")</f>
        <v/>
      </c>
    </row>
    <row r="137" ht="15" customHeight="1">
      <c r="A137" t="inlineStr">
        <is>
          <t>A 22782-2023</t>
        </is>
      </c>
      <c r="B137" s="1" t="n">
        <v>45072</v>
      </c>
      <c r="C137" s="1" t="n">
        <v>45892</v>
      </c>
      <c r="D137" t="inlineStr">
        <is>
          <t>GOTLANDS LÄN</t>
        </is>
      </c>
      <c r="E137" t="inlineStr">
        <is>
          <t>GOTLAND</t>
        </is>
      </c>
      <c r="F137" t="inlineStr">
        <is>
          <t>Kyrkan</t>
        </is>
      </c>
      <c r="G137" t="n">
        <v>3.1</v>
      </c>
      <c r="H137" t="n">
        <v>1</v>
      </c>
      <c r="I137" t="n">
        <v>0</v>
      </c>
      <c r="J137" t="n">
        <v>0</v>
      </c>
      <c r="K137" t="n">
        <v>0</v>
      </c>
      <c r="L137" t="n">
        <v>0</v>
      </c>
      <c r="M137" t="n">
        <v>0</v>
      </c>
      <c r="N137" t="n">
        <v>0</v>
      </c>
      <c r="O137" t="n">
        <v>0</v>
      </c>
      <c r="P137" t="n">
        <v>0</v>
      </c>
      <c r="Q137" t="n">
        <v>1</v>
      </c>
      <c r="R137" s="2" t="inlineStr">
        <is>
          <t>Ängsnycklar × skogsnycklar</t>
        </is>
      </c>
      <c r="S137">
        <f>HYPERLINK("https://klasma.github.io/Logging_0980/artfynd/A 22782-2023 artfynd.xlsx", "A 22782-2023")</f>
        <v/>
      </c>
      <c r="T137">
        <f>HYPERLINK("https://klasma.github.io/Logging_0980/kartor/A 22782-2023 karta.png", "A 22782-2023")</f>
        <v/>
      </c>
      <c r="V137">
        <f>HYPERLINK("https://klasma.github.io/Logging_0980/klagomål/A 22782-2023 FSC-klagomål.docx", "A 22782-2023")</f>
        <v/>
      </c>
      <c r="W137">
        <f>HYPERLINK("https://klasma.github.io/Logging_0980/klagomålsmail/A 22782-2023 FSC-klagomål mail.docx", "A 22782-2023")</f>
        <v/>
      </c>
      <c r="X137">
        <f>HYPERLINK("https://klasma.github.io/Logging_0980/tillsyn/A 22782-2023 tillsynsbegäran.docx", "A 22782-2023")</f>
        <v/>
      </c>
      <c r="Y137">
        <f>HYPERLINK("https://klasma.github.io/Logging_0980/tillsynsmail/A 22782-2023 tillsynsbegäran mail.docx", "A 22782-2023")</f>
        <v/>
      </c>
    </row>
    <row r="138" ht="15" customHeight="1">
      <c r="A138" t="inlineStr">
        <is>
          <t>A 44308-2021</t>
        </is>
      </c>
      <c r="B138" s="1" t="n">
        <v>44434</v>
      </c>
      <c r="C138" s="1" t="n">
        <v>45892</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21466-2025</t>
        </is>
      </c>
      <c r="B139" s="1" t="n">
        <v>45782</v>
      </c>
      <c r="C139" s="1" t="n">
        <v>45892</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12924-2025</t>
        </is>
      </c>
      <c r="B140" s="1" t="n">
        <v>45734</v>
      </c>
      <c r="C140" s="1" t="n">
        <v>45892</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44088-2022</t>
        </is>
      </c>
      <c r="B141" s="1" t="n">
        <v>44839</v>
      </c>
      <c r="C141" s="1" t="n">
        <v>45892</v>
      </c>
      <c r="D141" t="inlineStr">
        <is>
          <t>GOTLANDS LÄN</t>
        </is>
      </c>
      <c r="E141" t="inlineStr">
        <is>
          <t>GOTLAND</t>
        </is>
      </c>
      <c r="G141" t="n">
        <v>1.5</v>
      </c>
      <c r="H141" t="n">
        <v>0</v>
      </c>
      <c r="I141" t="n">
        <v>1</v>
      </c>
      <c r="J141" t="n">
        <v>0</v>
      </c>
      <c r="K141" t="n">
        <v>0</v>
      </c>
      <c r="L141" t="n">
        <v>0</v>
      </c>
      <c r="M141" t="n">
        <v>0</v>
      </c>
      <c r="N141" t="n">
        <v>0</v>
      </c>
      <c r="O141" t="n">
        <v>0</v>
      </c>
      <c r="P141" t="n">
        <v>0</v>
      </c>
      <c r="Q141" t="n">
        <v>1</v>
      </c>
      <c r="R141" s="2" t="inlineStr">
        <is>
          <t>Strävlosta</t>
        </is>
      </c>
      <c r="S141">
        <f>HYPERLINK("https://klasma.github.io/Logging_0980/artfynd/A 44088-2022 artfynd.xlsx", "A 44088-2022")</f>
        <v/>
      </c>
      <c r="T141">
        <f>HYPERLINK("https://klasma.github.io/Logging_0980/kartor/A 44088-2022 karta.png", "A 44088-2022")</f>
        <v/>
      </c>
      <c r="V141">
        <f>HYPERLINK("https://klasma.github.io/Logging_0980/klagomål/A 44088-2022 FSC-klagomål.docx", "A 44088-2022")</f>
        <v/>
      </c>
      <c r="W141">
        <f>HYPERLINK("https://klasma.github.io/Logging_0980/klagomålsmail/A 44088-2022 FSC-klagomål mail.docx", "A 44088-2022")</f>
        <v/>
      </c>
      <c r="X141">
        <f>HYPERLINK("https://klasma.github.io/Logging_0980/tillsyn/A 44088-2022 tillsynsbegäran.docx", "A 44088-2022")</f>
        <v/>
      </c>
      <c r="Y141">
        <f>HYPERLINK("https://klasma.github.io/Logging_0980/tillsynsmail/A 44088-2022 tillsynsbegäran mail.docx", "A 44088-2022")</f>
        <v/>
      </c>
    </row>
    <row r="142" ht="15" customHeight="1">
      <c r="A142" t="inlineStr">
        <is>
          <t>A 2213-2023</t>
        </is>
      </c>
      <c r="B142" s="1" t="n">
        <v>44942</v>
      </c>
      <c r="C142" s="1" t="n">
        <v>45892</v>
      </c>
      <c r="D142" t="inlineStr">
        <is>
          <t>GOTLANDS LÄN</t>
        </is>
      </c>
      <c r="E142" t="inlineStr">
        <is>
          <t>GOTLAND</t>
        </is>
      </c>
      <c r="G142" t="n">
        <v>2.7</v>
      </c>
      <c r="H142" t="n">
        <v>0</v>
      </c>
      <c r="I142" t="n">
        <v>0</v>
      </c>
      <c r="J142" t="n">
        <v>1</v>
      </c>
      <c r="K142" t="n">
        <v>0</v>
      </c>
      <c r="L142" t="n">
        <v>0</v>
      </c>
      <c r="M142" t="n">
        <v>0</v>
      </c>
      <c r="N142" t="n">
        <v>0</v>
      </c>
      <c r="O142" t="n">
        <v>1</v>
      </c>
      <c r="P142" t="n">
        <v>0</v>
      </c>
      <c r="Q142" t="n">
        <v>1</v>
      </c>
      <c r="R142" s="2" t="inlineStr">
        <is>
          <t>Odörspindling</t>
        </is>
      </c>
      <c r="S142">
        <f>HYPERLINK("https://klasma.github.io/Logging_0980/artfynd/A 2213-2023 artfynd.xlsx", "A 2213-2023")</f>
        <v/>
      </c>
      <c r="T142">
        <f>HYPERLINK("https://klasma.github.io/Logging_0980/kartor/A 2213-2023 karta.png", "A 2213-2023")</f>
        <v/>
      </c>
      <c r="V142">
        <f>HYPERLINK("https://klasma.github.io/Logging_0980/klagomål/A 2213-2023 FSC-klagomål.docx", "A 2213-2023")</f>
        <v/>
      </c>
      <c r="W142">
        <f>HYPERLINK("https://klasma.github.io/Logging_0980/klagomålsmail/A 2213-2023 FSC-klagomål mail.docx", "A 2213-2023")</f>
        <v/>
      </c>
      <c r="X142">
        <f>HYPERLINK("https://klasma.github.io/Logging_0980/tillsyn/A 2213-2023 tillsynsbegäran.docx", "A 2213-2023")</f>
        <v/>
      </c>
      <c r="Y142">
        <f>HYPERLINK("https://klasma.github.io/Logging_0980/tillsynsmail/A 2213-2023 tillsynsbegäran mail.docx", "A 2213-2023")</f>
        <v/>
      </c>
    </row>
    <row r="143" ht="15" customHeight="1">
      <c r="A143" t="inlineStr">
        <is>
          <t>A 46527-2023</t>
        </is>
      </c>
      <c r="B143" s="1" t="n">
        <v>45197</v>
      </c>
      <c r="C143" s="1" t="n">
        <v>45892</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10440-2024</t>
        </is>
      </c>
      <c r="B144" s="1" t="n">
        <v>45366.32818287037</v>
      </c>
      <c r="C144" s="1" t="n">
        <v>45892</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8725-2025</t>
        </is>
      </c>
      <c r="B145" s="1" t="n">
        <v>45712</v>
      </c>
      <c r="C145" s="1" t="n">
        <v>45892</v>
      </c>
      <c r="D145" t="inlineStr">
        <is>
          <t>GOTLANDS LÄN</t>
        </is>
      </c>
      <c r="E145" t="inlineStr">
        <is>
          <t>GOTLAND</t>
        </is>
      </c>
      <c r="G145" t="n">
        <v>4.4</v>
      </c>
      <c r="H145" t="n">
        <v>1</v>
      </c>
      <c r="I145" t="n">
        <v>0</v>
      </c>
      <c r="J145" t="n">
        <v>1</v>
      </c>
      <c r="K145" t="n">
        <v>0</v>
      </c>
      <c r="L145" t="n">
        <v>0</v>
      </c>
      <c r="M145" t="n">
        <v>0</v>
      </c>
      <c r="N145" t="n">
        <v>0</v>
      </c>
      <c r="O145" t="n">
        <v>1</v>
      </c>
      <c r="P145" t="n">
        <v>0</v>
      </c>
      <c r="Q145" t="n">
        <v>1</v>
      </c>
      <c r="R145" s="2" t="inlineStr">
        <is>
          <t>Spillkråka</t>
        </is>
      </c>
      <c r="S145">
        <f>HYPERLINK("https://klasma.github.io/Logging_0980/artfynd/A 8725-2025 artfynd.xlsx", "A 8725-2025")</f>
        <v/>
      </c>
      <c r="T145">
        <f>HYPERLINK("https://klasma.github.io/Logging_0980/kartor/A 8725-2025 karta.png", "A 8725-2025")</f>
        <v/>
      </c>
      <c r="V145">
        <f>HYPERLINK("https://klasma.github.io/Logging_0980/klagomål/A 8725-2025 FSC-klagomål.docx", "A 8725-2025")</f>
        <v/>
      </c>
      <c r="W145">
        <f>HYPERLINK("https://klasma.github.io/Logging_0980/klagomålsmail/A 8725-2025 FSC-klagomål mail.docx", "A 8725-2025")</f>
        <v/>
      </c>
      <c r="X145">
        <f>HYPERLINK("https://klasma.github.io/Logging_0980/tillsyn/A 8725-2025 tillsynsbegäran.docx", "A 8725-2025")</f>
        <v/>
      </c>
      <c r="Y145">
        <f>HYPERLINK("https://klasma.github.io/Logging_0980/tillsynsmail/A 8725-2025 tillsynsbegäran mail.docx", "A 8725-2025")</f>
        <v/>
      </c>
      <c r="Z145">
        <f>HYPERLINK("https://klasma.github.io/Logging_0980/fåglar/A 8725-2025 prioriterade fågelarter.docx", "A 8725-2025")</f>
        <v/>
      </c>
    </row>
    <row r="146" ht="15" customHeight="1">
      <c r="A146" t="inlineStr">
        <is>
          <t>A 17723-2021</t>
        </is>
      </c>
      <c r="B146" s="1" t="n">
        <v>44300</v>
      </c>
      <c r="C146" s="1" t="n">
        <v>45892</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45892</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45892</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27168-2022</t>
        </is>
      </c>
      <c r="B149" s="1" t="n">
        <v>44741</v>
      </c>
      <c r="C149" s="1" t="n">
        <v>45892</v>
      </c>
      <c r="D149" t="inlineStr">
        <is>
          <t>GOTLANDS LÄN</t>
        </is>
      </c>
      <c r="E149" t="inlineStr">
        <is>
          <t>GOTLAND</t>
        </is>
      </c>
      <c r="G149" t="n">
        <v>2.2</v>
      </c>
      <c r="H149" t="n">
        <v>1</v>
      </c>
      <c r="I149" t="n">
        <v>1</v>
      </c>
      <c r="J149" t="n">
        <v>0</v>
      </c>
      <c r="K149" t="n">
        <v>0</v>
      </c>
      <c r="L149" t="n">
        <v>0</v>
      </c>
      <c r="M149" t="n">
        <v>0</v>
      </c>
      <c r="N149" t="n">
        <v>0</v>
      </c>
      <c r="O149" t="n">
        <v>0</v>
      </c>
      <c r="P149" t="n">
        <v>0</v>
      </c>
      <c r="Q149" t="n">
        <v>1</v>
      </c>
      <c r="R149" s="2" t="inlineStr">
        <is>
          <t>Purpurknipprot</t>
        </is>
      </c>
      <c r="S149">
        <f>HYPERLINK("https://klasma.github.io/Logging_0980/artfynd/A 27168-2022 artfynd.xlsx", "A 27168-2022")</f>
        <v/>
      </c>
      <c r="T149">
        <f>HYPERLINK("https://klasma.github.io/Logging_0980/kartor/A 27168-2022 karta.png", "A 27168-2022")</f>
        <v/>
      </c>
      <c r="V149">
        <f>HYPERLINK("https://klasma.github.io/Logging_0980/klagomål/A 27168-2022 FSC-klagomål.docx", "A 27168-2022")</f>
        <v/>
      </c>
      <c r="W149">
        <f>HYPERLINK("https://klasma.github.io/Logging_0980/klagomålsmail/A 27168-2022 FSC-klagomål mail.docx", "A 27168-2022")</f>
        <v/>
      </c>
      <c r="X149">
        <f>HYPERLINK("https://klasma.github.io/Logging_0980/tillsyn/A 27168-2022 tillsynsbegäran.docx", "A 27168-2022")</f>
        <v/>
      </c>
      <c r="Y149">
        <f>HYPERLINK("https://klasma.github.io/Logging_0980/tillsynsmail/A 27168-2022 tillsynsbegäran mail.docx", "A 27168-2022")</f>
        <v/>
      </c>
    </row>
    <row r="150" ht="15" customHeight="1">
      <c r="A150" t="inlineStr">
        <is>
          <t>A 26461-2025</t>
        </is>
      </c>
      <c r="B150" s="1" t="n">
        <v>45807.43337962963</v>
      </c>
      <c r="C150" s="1" t="n">
        <v>45892</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25977-2024</t>
        </is>
      </c>
      <c r="B151" s="1" t="n">
        <v>45467.69356481481</v>
      </c>
      <c r="C151" s="1" t="n">
        <v>45892</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45892</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7637-2025</t>
        </is>
      </c>
      <c r="B153" s="1" t="n">
        <v>45705.77181712963</v>
      </c>
      <c r="C153" s="1" t="n">
        <v>45892</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44468-2024</t>
        </is>
      </c>
      <c r="B154" s="1" t="n">
        <v>45574.36651620371</v>
      </c>
      <c r="C154" s="1" t="n">
        <v>45892</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65927-2021</t>
        </is>
      </c>
      <c r="B155" s="1" t="n">
        <v>44516</v>
      </c>
      <c r="C155" s="1" t="n">
        <v>45892</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947-2023</t>
        </is>
      </c>
      <c r="B156" s="1" t="n">
        <v>44934</v>
      </c>
      <c r="C156" s="1" t="n">
        <v>45892</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61796-2022</t>
        </is>
      </c>
      <c r="B157" s="1" t="n">
        <v>44917</v>
      </c>
      <c r="C157" s="1" t="n">
        <v>45892</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10218-2025</t>
        </is>
      </c>
      <c r="B158" s="1" t="n">
        <v>45720</v>
      </c>
      <c r="C158" s="1" t="n">
        <v>45892</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12379-2024</t>
        </is>
      </c>
      <c r="B159" s="1" t="n">
        <v>45379.28155092592</v>
      </c>
      <c r="C159" s="1" t="n">
        <v>45892</v>
      </c>
      <c r="D159" t="inlineStr">
        <is>
          <t>GOTLANDS LÄN</t>
        </is>
      </c>
      <c r="E159" t="inlineStr">
        <is>
          <t>GOTLAND</t>
        </is>
      </c>
      <c r="G159" t="n">
        <v>4.4</v>
      </c>
      <c r="H159" t="n">
        <v>0</v>
      </c>
      <c r="I159" t="n">
        <v>0</v>
      </c>
      <c r="J159" t="n">
        <v>1</v>
      </c>
      <c r="K159" t="n">
        <v>0</v>
      </c>
      <c r="L159" t="n">
        <v>0</v>
      </c>
      <c r="M159" t="n">
        <v>0</v>
      </c>
      <c r="N159" t="n">
        <v>0</v>
      </c>
      <c r="O159" t="n">
        <v>1</v>
      </c>
      <c r="P159" t="n">
        <v>0</v>
      </c>
      <c r="Q159" t="n">
        <v>1</v>
      </c>
      <c r="R159" s="2" t="inlineStr">
        <is>
          <t>Svinrot</t>
        </is>
      </c>
      <c r="S159">
        <f>HYPERLINK("https://klasma.github.io/Logging_0980/artfynd/A 12379-2024 artfynd.xlsx", "A 12379-2024")</f>
        <v/>
      </c>
      <c r="T159">
        <f>HYPERLINK("https://klasma.github.io/Logging_0980/kartor/A 12379-2024 karta.png", "A 12379-2024")</f>
        <v/>
      </c>
      <c r="V159">
        <f>HYPERLINK("https://klasma.github.io/Logging_0980/klagomål/A 12379-2024 FSC-klagomål.docx", "A 12379-2024")</f>
        <v/>
      </c>
      <c r="W159">
        <f>HYPERLINK("https://klasma.github.io/Logging_0980/klagomålsmail/A 12379-2024 FSC-klagomål mail.docx", "A 12379-2024")</f>
        <v/>
      </c>
      <c r="X159">
        <f>HYPERLINK("https://klasma.github.io/Logging_0980/tillsyn/A 12379-2024 tillsynsbegäran.docx", "A 12379-2024")</f>
        <v/>
      </c>
      <c r="Y159">
        <f>HYPERLINK("https://klasma.github.io/Logging_0980/tillsynsmail/A 12379-2024 tillsynsbegäran mail.docx", "A 12379-2024")</f>
        <v/>
      </c>
    </row>
    <row r="160" ht="15" customHeight="1">
      <c r="A160" t="inlineStr">
        <is>
          <t>A 61561-2023</t>
        </is>
      </c>
      <c r="B160" s="1" t="n">
        <v>45265</v>
      </c>
      <c r="C160" s="1" t="n">
        <v>45892</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64700-2021</t>
        </is>
      </c>
      <c r="B161" s="1" t="n">
        <v>44511</v>
      </c>
      <c r="C161" s="1" t="n">
        <v>45892</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35574-2024</t>
        </is>
      </c>
      <c r="B162" s="1" t="n">
        <v>45531</v>
      </c>
      <c r="C162" s="1" t="n">
        <v>45892</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15637-2024</t>
        </is>
      </c>
      <c r="B163" s="1" t="n">
        <v>45403.6684837963</v>
      </c>
      <c r="C163" s="1" t="n">
        <v>45892</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9862-2024</t>
        </is>
      </c>
      <c r="B164" s="1" t="n">
        <v>45363</v>
      </c>
      <c r="C164" s="1" t="n">
        <v>45892</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34141-2024</t>
        </is>
      </c>
      <c r="B165" s="1" t="n">
        <v>45524.36229166666</v>
      </c>
      <c r="C165" s="1" t="n">
        <v>45892</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43219-2023</t>
        </is>
      </c>
      <c r="B166" s="1" t="n">
        <v>45183</v>
      </c>
      <c r="C166" s="1" t="n">
        <v>45892</v>
      </c>
      <c r="D166" t="inlineStr">
        <is>
          <t>GOTLANDS LÄN</t>
        </is>
      </c>
      <c r="E166" t="inlineStr">
        <is>
          <t>GOTLAND</t>
        </is>
      </c>
      <c r="G166" t="n">
        <v>3.6</v>
      </c>
      <c r="H166" t="n">
        <v>1</v>
      </c>
      <c r="I166" t="n">
        <v>0</v>
      </c>
      <c r="J166" t="n">
        <v>0</v>
      </c>
      <c r="K166" t="n">
        <v>0</v>
      </c>
      <c r="L166" t="n">
        <v>0</v>
      </c>
      <c r="M166" t="n">
        <v>0</v>
      </c>
      <c r="N166" t="n">
        <v>0</v>
      </c>
      <c r="O166" t="n">
        <v>0</v>
      </c>
      <c r="P166" t="n">
        <v>0</v>
      </c>
      <c r="Q166" t="n">
        <v>1</v>
      </c>
      <c r="R166" s="2" t="inlineStr">
        <is>
          <t>Skogsduva</t>
        </is>
      </c>
      <c r="S166">
        <f>HYPERLINK("https://klasma.github.io/Logging_0980/artfynd/A 43219-2023 artfynd.xlsx", "A 43219-2023")</f>
        <v/>
      </c>
      <c r="T166">
        <f>HYPERLINK("https://klasma.github.io/Logging_0980/kartor/A 43219-2023 karta.png", "A 43219-2023")</f>
        <v/>
      </c>
      <c r="V166">
        <f>HYPERLINK("https://klasma.github.io/Logging_0980/klagomål/A 43219-2023 FSC-klagomål.docx", "A 43219-2023")</f>
        <v/>
      </c>
      <c r="W166">
        <f>HYPERLINK("https://klasma.github.io/Logging_0980/klagomålsmail/A 43219-2023 FSC-klagomål mail.docx", "A 43219-2023")</f>
        <v/>
      </c>
      <c r="X166">
        <f>HYPERLINK("https://klasma.github.io/Logging_0980/tillsyn/A 43219-2023 tillsynsbegäran.docx", "A 43219-2023")</f>
        <v/>
      </c>
      <c r="Y166">
        <f>HYPERLINK("https://klasma.github.io/Logging_0980/tillsynsmail/A 43219-2023 tillsynsbegäran mail.docx", "A 43219-2023")</f>
        <v/>
      </c>
      <c r="Z166">
        <f>HYPERLINK("https://klasma.github.io/Logging_0980/fåglar/A 43219-2023 prioriterade fågelarter.docx", "A 43219-2023")</f>
        <v/>
      </c>
    </row>
    <row r="167" ht="15" customHeight="1">
      <c r="A167" t="inlineStr">
        <is>
          <t>A 12324-2025</t>
        </is>
      </c>
      <c r="B167" s="1" t="n">
        <v>45730</v>
      </c>
      <c r="C167" s="1" t="n">
        <v>45892</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39812-2025</t>
        </is>
      </c>
      <c r="B168" s="1" t="n">
        <v>45891</v>
      </c>
      <c r="C168" s="1" t="n">
        <v>45892</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63299-2020</t>
        </is>
      </c>
      <c r="B169" s="1" t="n">
        <v>44165</v>
      </c>
      <c r="C169" s="1" t="n">
        <v>45892</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44958-2020</t>
        </is>
      </c>
      <c r="B170" s="1" t="n">
        <v>44088</v>
      </c>
      <c r="C170" s="1" t="n">
        <v>45892</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49847-2023</t>
        </is>
      </c>
      <c r="B171" s="1" t="n">
        <v>45212</v>
      </c>
      <c r="C171" s="1" t="n">
        <v>45892</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45892</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45892</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45892</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45892</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45892</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45892</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45892</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45892</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45892</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45892</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45892</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45892</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45892</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45892</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45892</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45892</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45892</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45892</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45892</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45892</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45892</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45892</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45892</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45892</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45892</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45892</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45892</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45892</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45892</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45892</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45892</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45892</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45892</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45892</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45892</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45892</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45892</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45892</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45892</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45892</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45892</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45892</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45892</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45892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45892</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45892</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45892</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45892</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45892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45892</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45892</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45892</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45892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45892</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45892</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45892</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45892</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45892</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999-2023</t>
        </is>
      </c>
      <c r="B234" s="1" t="n">
        <v>44935</v>
      </c>
      <c r="C234" s="1" t="n">
        <v>45892</v>
      </c>
      <c r="D234" t="inlineStr">
        <is>
          <t>GOTLANDS LÄN</t>
        </is>
      </c>
      <c r="E234" t="inlineStr">
        <is>
          <t>GOTLAND</t>
        </is>
      </c>
      <c r="G234" t="n">
        <v>4.7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45892</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1364-2025</t>
        </is>
      </c>
      <c r="B236" s="1" t="n">
        <v>45667.63929398148</v>
      </c>
      <c r="C236" s="1" t="n">
        <v>45892</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2125-2025</t>
        </is>
      </c>
      <c r="B237" s="1" t="n">
        <v>45672.64940972222</v>
      </c>
      <c r="C237" s="1" t="n">
        <v>45892</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45892</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14427-2024</t>
        </is>
      </c>
      <c r="B239" s="1" t="n">
        <v>45394</v>
      </c>
      <c r="C239" s="1" t="n">
        <v>45892</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8684-2025</t>
        </is>
      </c>
      <c r="B240" s="1" t="n">
        <v>45712.45605324074</v>
      </c>
      <c r="C240" s="1" t="n">
        <v>45892</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45892</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14141-2024</t>
        </is>
      </c>
      <c r="B242" s="1" t="n">
        <v>45392.85193287037</v>
      </c>
      <c r="C242" s="1" t="n">
        <v>45892</v>
      </c>
      <c r="D242" t="inlineStr">
        <is>
          <t>GOTLANDS LÄN</t>
        </is>
      </c>
      <c r="E242" t="inlineStr">
        <is>
          <t>GOTLAND</t>
        </is>
      </c>
      <c r="G242" t="n">
        <v>5.3</v>
      </c>
      <c r="H242" t="n">
        <v>0</v>
      </c>
      <c r="I242" t="n">
        <v>0</v>
      </c>
      <c r="J242" t="n">
        <v>0</v>
      </c>
      <c r="K242" t="n">
        <v>0</v>
      </c>
      <c r="L242" t="n">
        <v>0</v>
      </c>
      <c r="M242" t="n">
        <v>0</v>
      </c>
      <c r="N242" t="n">
        <v>0</v>
      </c>
      <c r="O242" t="n">
        <v>0</v>
      </c>
      <c r="P242" t="n">
        <v>0</v>
      </c>
      <c r="Q242" t="n">
        <v>0</v>
      </c>
      <c r="R242" s="2" t="inlineStr"/>
    </row>
    <row r="243" ht="15" customHeight="1">
      <c r="A243" t="inlineStr">
        <is>
          <t>A 37037-2021</t>
        </is>
      </c>
      <c r="B243" s="1" t="n">
        <v>44393.84688657407</v>
      </c>
      <c r="C243" s="1" t="n">
        <v>45892</v>
      </c>
      <c r="D243" t="inlineStr">
        <is>
          <t>GOTLANDS LÄN</t>
        </is>
      </c>
      <c r="E243" t="inlineStr">
        <is>
          <t>GOTLAND</t>
        </is>
      </c>
      <c r="G243" t="n">
        <v>10.2</v>
      </c>
      <c r="H243" t="n">
        <v>0</v>
      </c>
      <c r="I243" t="n">
        <v>0</v>
      </c>
      <c r="J243" t="n">
        <v>0</v>
      </c>
      <c r="K243" t="n">
        <v>0</v>
      </c>
      <c r="L243" t="n">
        <v>0</v>
      </c>
      <c r="M243" t="n">
        <v>0</v>
      </c>
      <c r="N243" t="n">
        <v>0</v>
      </c>
      <c r="O243" t="n">
        <v>0</v>
      </c>
      <c r="P243" t="n">
        <v>0</v>
      </c>
      <c r="Q243" t="n">
        <v>0</v>
      </c>
      <c r="R243" s="2" t="inlineStr"/>
    </row>
    <row r="244" ht="15" customHeight="1">
      <c r="A244" t="inlineStr">
        <is>
          <t>A 6153-2024</t>
        </is>
      </c>
      <c r="B244" s="1" t="n">
        <v>45337</v>
      </c>
      <c r="C244" s="1" t="n">
        <v>45892</v>
      </c>
      <c r="D244" t="inlineStr">
        <is>
          <t>GOTLANDS LÄN</t>
        </is>
      </c>
      <c r="E244" t="inlineStr">
        <is>
          <t>GOTLAND</t>
        </is>
      </c>
      <c r="G244" t="n">
        <v>14.2</v>
      </c>
      <c r="H244" t="n">
        <v>0</v>
      </c>
      <c r="I244" t="n">
        <v>0</v>
      </c>
      <c r="J244" t="n">
        <v>0</v>
      </c>
      <c r="K244" t="n">
        <v>0</v>
      </c>
      <c r="L244" t="n">
        <v>0</v>
      </c>
      <c r="M244" t="n">
        <v>0</v>
      </c>
      <c r="N244" t="n">
        <v>0</v>
      </c>
      <c r="O244" t="n">
        <v>0</v>
      </c>
      <c r="P244" t="n">
        <v>0</v>
      </c>
      <c r="Q244" t="n">
        <v>0</v>
      </c>
      <c r="R244" s="2" t="inlineStr"/>
    </row>
    <row r="245" ht="15" customHeight="1">
      <c r="A245" t="inlineStr">
        <is>
          <t>A 12155-2023</t>
        </is>
      </c>
      <c r="B245" s="1" t="n">
        <v>44998.49106481481</v>
      </c>
      <c r="C245" s="1" t="n">
        <v>45892</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45892</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45892</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2774-2024</t>
        </is>
      </c>
      <c r="B248" s="1" t="n">
        <v>45314.62375</v>
      </c>
      <c r="C248" s="1" t="n">
        <v>45892</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18742-2025</t>
        </is>
      </c>
      <c r="B249" s="1" t="n">
        <v>45763</v>
      </c>
      <c r="C249" s="1" t="n">
        <v>45892</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45892</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42007-2023</t>
        </is>
      </c>
      <c r="B251" s="1" t="n">
        <v>45177</v>
      </c>
      <c r="C251" s="1" t="n">
        <v>45892</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2292-2021</t>
        </is>
      </c>
      <c r="B252" s="1" t="n">
        <v>44212</v>
      </c>
      <c r="C252" s="1" t="n">
        <v>45892</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58476-2022</t>
        </is>
      </c>
      <c r="B253" s="1" t="n">
        <v>44902</v>
      </c>
      <c r="C253" s="1" t="n">
        <v>45892</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45892</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61596-2023</t>
        </is>
      </c>
      <c r="B255" s="1" t="n">
        <v>45265</v>
      </c>
      <c r="C255" s="1" t="n">
        <v>45892</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45892</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44228-2022</t>
        </is>
      </c>
      <c r="B257" s="1" t="n">
        <v>44839.51599537037</v>
      </c>
      <c r="C257" s="1" t="n">
        <v>45892</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45892</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45892</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61386-2023</t>
        </is>
      </c>
      <c r="B260" s="1" t="n">
        <v>45264</v>
      </c>
      <c r="C260" s="1" t="n">
        <v>45892</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64969-2023</t>
        </is>
      </c>
      <c r="B261" s="1" t="n">
        <v>45284.54009259259</v>
      </c>
      <c r="C261" s="1" t="n">
        <v>45892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44304-2021</t>
        </is>
      </c>
      <c r="B262" s="1" t="n">
        <v>44434</v>
      </c>
      <c r="C262" s="1" t="n">
        <v>45892</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22883-2024</t>
        </is>
      </c>
      <c r="B263" s="1" t="n">
        <v>45448.66368055555</v>
      </c>
      <c r="C263" s="1" t="n">
        <v>45892</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6108-2025</t>
        </is>
      </c>
      <c r="B264" s="1" t="n">
        <v>45698.29880787037</v>
      </c>
      <c r="C264" s="1" t="n">
        <v>45892</v>
      </c>
      <c r="D264" t="inlineStr">
        <is>
          <t>GOTLANDS LÄN</t>
        </is>
      </c>
      <c r="E264" t="inlineStr">
        <is>
          <t>GOTLAND</t>
        </is>
      </c>
      <c r="G264" t="n">
        <v>2.8</v>
      </c>
      <c r="H264" t="n">
        <v>0</v>
      </c>
      <c r="I264" t="n">
        <v>0</v>
      </c>
      <c r="J264" t="n">
        <v>0</v>
      </c>
      <c r="K264" t="n">
        <v>0</v>
      </c>
      <c r="L264" t="n">
        <v>0</v>
      </c>
      <c r="M264" t="n">
        <v>0</v>
      </c>
      <c r="N264" t="n">
        <v>0</v>
      </c>
      <c r="O264" t="n">
        <v>0</v>
      </c>
      <c r="P264" t="n">
        <v>0</v>
      </c>
      <c r="Q264" t="n">
        <v>0</v>
      </c>
      <c r="R264" s="2" t="inlineStr"/>
    </row>
    <row r="265" ht="15" customHeight="1">
      <c r="A265" t="inlineStr">
        <is>
          <t>A 33853-2024</t>
        </is>
      </c>
      <c r="B265" s="1" t="n">
        <v>45520.64298611111</v>
      </c>
      <c r="C265" s="1" t="n">
        <v>45892</v>
      </c>
      <c r="D265" t="inlineStr">
        <is>
          <t>GOTLANDS LÄN</t>
        </is>
      </c>
      <c r="E265" t="inlineStr">
        <is>
          <t>GOTLAND</t>
        </is>
      </c>
      <c r="G265" t="n">
        <v>3.9</v>
      </c>
      <c r="H265" t="n">
        <v>0</v>
      </c>
      <c r="I265" t="n">
        <v>0</v>
      </c>
      <c r="J265" t="n">
        <v>0</v>
      </c>
      <c r="K265" t="n">
        <v>0</v>
      </c>
      <c r="L265" t="n">
        <v>0</v>
      </c>
      <c r="M265" t="n">
        <v>0</v>
      </c>
      <c r="N265" t="n">
        <v>0</v>
      </c>
      <c r="O265" t="n">
        <v>0</v>
      </c>
      <c r="P265" t="n">
        <v>0</v>
      </c>
      <c r="Q265" t="n">
        <v>0</v>
      </c>
      <c r="R265" s="2" t="inlineStr"/>
    </row>
    <row r="266" ht="15" customHeight="1">
      <c r="A266" t="inlineStr">
        <is>
          <t>A 15083-2025</t>
        </is>
      </c>
      <c r="B266" s="1" t="n">
        <v>45743</v>
      </c>
      <c r="C266" s="1" t="n">
        <v>45892</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27593-2023</t>
        </is>
      </c>
      <c r="B267" s="1" t="n">
        <v>45097</v>
      </c>
      <c r="C267" s="1" t="n">
        <v>45892</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18223-2025</t>
        </is>
      </c>
      <c r="B268" s="1" t="n">
        <v>45761</v>
      </c>
      <c r="C268" s="1" t="n">
        <v>45892</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25129-2023</t>
        </is>
      </c>
      <c r="B269" s="1" t="n">
        <v>45086.44261574074</v>
      </c>
      <c r="C269" s="1" t="n">
        <v>45892</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44204-2022</t>
        </is>
      </c>
      <c r="B270" s="1" t="n">
        <v>44839</v>
      </c>
      <c r="C270" s="1" t="n">
        <v>45892</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10497-2025</t>
        </is>
      </c>
      <c r="B271" s="1" t="n">
        <v>45721</v>
      </c>
      <c r="C271" s="1" t="n">
        <v>45892</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10652-2025</t>
        </is>
      </c>
      <c r="B272" s="1" t="n">
        <v>45721.68640046296</v>
      </c>
      <c r="C272" s="1" t="n">
        <v>45892</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10813-2025</t>
        </is>
      </c>
      <c r="B273" s="1" t="n">
        <v>45722.54163194444</v>
      </c>
      <c r="C273" s="1" t="n">
        <v>45892</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1066-2024</t>
        </is>
      </c>
      <c r="B274" s="1" t="n">
        <v>45302.285</v>
      </c>
      <c r="C274" s="1" t="n">
        <v>45892</v>
      </c>
      <c r="D274" t="inlineStr">
        <is>
          <t>GOTLANDS LÄN</t>
        </is>
      </c>
      <c r="E274" t="inlineStr">
        <is>
          <t>GOTLAND</t>
        </is>
      </c>
      <c r="G274" t="n">
        <v>1.4</v>
      </c>
      <c r="H274" t="n">
        <v>0</v>
      </c>
      <c r="I274" t="n">
        <v>0</v>
      </c>
      <c r="J274" t="n">
        <v>0</v>
      </c>
      <c r="K274" t="n">
        <v>0</v>
      </c>
      <c r="L274" t="n">
        <v>0</v>
      </c>
      <c r="M274" t="n">
        <v>0</v>
      </c>
      <c r="N274" t="n">
        <v>0</v>
      </c>
      <c r="O274" t="n">
        <v>0</v>
      </c>
      <c r="P274" t="n">
        <v>0</v>
      </c>
      <c r="Q274" t="n">
        <v>0</v>
      </c>
      <c r="R274" s="2" t="inlineStr"/>
    </row>
    <row r="275" ht="15" customHeight="1">
      <c r="A275" t="inlineStr">
        <is>
          <t>A 2035-2025</t>
        </is>
      </c>
      <c r="B275" s="1" t="n">
        <v>45672</v>
      </c>
      <c r="C275" s="1" t="n">
        <v>45892</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37202-2024</t>
        </is>
      </c>
      <c r="B276" s="1" t="n">
        <v>45539.67310185185</v>
      </c>
      <c r="C276" s="1" t="n">
        <v>45892</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46949-2024</t>
        </is>
      </c>
      <c r="B277" s="1" t="n">
        <v>45585</v>
      </c>
      <c r="C277" s="1" t="n">
        <v>45892</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24001-2021</t>
        </is>
      </c>
      <c r="B278" s="1" t="n">
        <v>44335</v>
      </c>
      <c r="C278" s="1" t="n">
        <v>45892</v>
      </c>
      <c r="D278" t="inlineStr">
        <is>
          <t>GOTLANDS LÄN</t>
        </is>
      </c>
      <c r="E278" t="inlineStr">
        <is>
          <t>GOTLAND</t>
        </is>
      </c>
      <c r="G278" t="n">
        <v>3.4</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45892</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45892</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30815-2023</t>
        </is>
      </c>
      <c r="B281" s="1" t="n">
        <v>45112</v>
      </c>
      <c r="C281" s="1" t="n">
        <v>45892</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46400-2023</t>
        </is>
      </c>
      <c r="B282" s="1" t="n">
        <v>45197.49290509259</v>
      </c>
      <c r="C282" s="1" t="n">
        <v>45892</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10492-2023</t>
        </is>
      </c>
      <c r="B283" s="1" t="n">
        <v>44987</v>
      </c>
      <c r="C283" s="1" t="n">
        <v>45892</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56009-2024</t>
        </is>
      </c>
      <c r="B284" s="1" t="n">
        <v>45623.80864583333</v>
      </c>
      <c r="C284" s="1" t="n">
        <v>45892</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54073-2022</t>
        </is>
      </c>
      <c r="B285" s="1" t="n">
        <v>44881.50380787037</v>
      </c>
      <c r="C285" s="1" t="n">
        <v>45892</v>
      </c>
      <c r="D285" t="inlineStr">
        <is>
          <t>GOTLANDS LÄN</t>
        </is>
      </c>
      <c r="E285" t="inlineStr">
        <is>
          <t>GOTLAND</t>
        </is>
      </c>
      <c r="G285" t="n">
        <v>3.8</v>
      </c>
      <c r="H285" t="n">
        <v>0</v>
      </c>
      <c r="I285" t="n">
        <v>0</v>
      </c>
      <c r="J285" t="n">
        <v>0</v>
      </c>
      <c r="K285" t="n">
        <v>0</v>
      </c>
      <c r="L285" t="n">
        <v>0</v>
      </c>
      <c r="M285" t="n">
        <v>0</v>
      </c>
      <c r="N285" t="n">
        <v>0</v>
      </c>
      <c r="O285" t="n">
        <v>0</v>
      </c>
      <c r="P285" t="n">
        <v>0</v>
      </c>
      <c r="Q285" t="n">
        <v>0</v>
      </c>
      <c r="R285" s="2" t="inlineStr"/>
    </row>
    <row r="286" ht="15" customHeight="1">
      <c r="A286" t="inlineStr">
        <is>
          <t>A 46389-2021</t>
        </is>
      </c>
      <c r="B286" s="1" t="n">
        <v>44443</v>
      </c>
      <c r="C286" s="1" t="n">
        <v>45892</v>
      </c>
      <c r="D286" t="inlineStr">
        <is>
          <t>GOTLANDS LÄN</t>
        </is>
      </c>
      <c r="E286" t="inlineStr">
        <is>
          <t>GOTLAND</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3964-2024</t>
        </is>
      </c>
      <c r="B287" s="1" t="n">
        <v>45322</v>
      </c>
      <c r="C287" s="1" t="n">
        <v>45892</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44919-2022</t>
        </is>
      </c>
      <c r="B288" s="1" t="n">
        <v>44841</v>
      </c>
      <c r="C288" s="1" t="n">
        <v>45892</v>
      </c>
      <c r="D288" t="inlineStr">
        <is>
          <t>GOTLANDS LÄN</t>
        </is>
      </c>
      <c r="E288" t="inlineStr">
        <is>
          <t>GOTLAND</t>
        </is>
      </c>
      <c r="G288" t="n">
        <v>2.2</v>
      </c>
      <c r="H288" t="n">
        <v>0</v>
      </c>
      <c r="I288" t="n">
        <v>0</v>
      </c>
      <c r="J288" t="n">
        <v>0</v>
      </c>
      <c r="K288" t="n">
        <v>0</v>
      </c>
      <c r="L288" t="n">
        <v>0</v>
      </c>
      <c r="M288" t="n">
        <v>0</v>
      </c>
      <c r="N288" t="n">
        <v>0</v>
      </c>
      <c r="O288" t="n">
        <v>0</v>
      </c>
      <c r="P288" t="n">
        <v>0</v>
      </c>
      <c r="Q288" t="n">
        <v>0</v>
      </c>
      <c r="R288" s="2" t="inlineStr"/>
    </row>
    <row r="289" ht="15" customHeight="1">
      <c r="A289" t="inlineStr">
        <is>
          <t>A 44949-2023</t>
        </is>
      </c>
      <c r="B289" s="1" t="n">
        <v>45190.69520833333</v>
      </c>
      <c r="C289" s="1" t="n">
        <v>45892</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20307-2025</t>
        </is>
      </c>
      <c r="B290" s="1" t="n">
        <v>45774.95546296296</v>
      </c>
      <c r="C290" s="1" t="n">
        <v>45892</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16501-2023</t>
        </is>
      </c>
      <c r="B291" s="1" t="n">
        <v>45029</v>
      </c>
      <c r="C291" s="1" t="n">
        <v>45892</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45106-2024</t>
        </is>
      </c>
      <c r="B292" s="1" t="n">
        <v>45575</v>
      </c>
      <c r="C292" s="1" t="n">
        <v>45892</v>
      </c>
      <c r="D292" t="inlineStr">
        <is>
          <t>GOTLANDS LÄN</t>
        </is>
      </c>
      <c r="E292" t="inlineStr">
        <is>
          <t>GOTLAND</t>
        </is>
      </c>
      <c r="G292" t="n">
        <v>10</v>
      </c>
      <c r="H292" t="n">
        <v>0</v>
      </c>
      <c r="I292" t="n">
        <v>0</v>
      </c>
      <c r="J292" t="n">
        <v>0</v>
      </c>
      <c r="K292" t="n">
        <v>0</v>
      </c>
      <c r="L292" t="n">
        <v>0</v>
      </c>
      <c r="M292" t="n">
        <v>0</v>
      </c>
      <c r="N292" t="n">
        <v>0</v>
      </c>
      <c r="O292" t="n">
        <v>0</v>
      </c>
      <c r="P292" t="n">
        <v>0</v>
      </c>
      <c r="Q292" t="n">
        <v>0</v>
      </c>
      <c r="R292" s="2" t="inlineStr"/>
    </row>
    <row r="293" ht="15" customHeight="1">
      <c r="A293" t="inlineStr">
        <is>
          <t>A 45112-2024</t>
        </is>
      </c>
      <c r="B293" s="1" t="n">
        <v>45575</v>
      </c>
      <c r="C293" s="1" t="n">
        <v>45892</v>
      </c>
      <c r="D293" t="inlineStr">
        <is>
          <t>GOTLANDS LÄN</t>
        </is>
      </c>
      <c r="E293" t="inlineStr">
        <is>
          <t>GOTLAND</t>
        </is>
      </c>
      <c r="G293" t="n">
        <v>5.1</v>
      </c>
      <c r="H293" t="n">
        <v>0</v>
      </c>
      <c r="I293" t="n">
        <v>0</v>
      </c>
      <c r="J293" t="n">
        <v>0</v>
      </c>
      <c r="K293" t="n">
        <v>0</v>
      </c>
      <c r="L293" t="n">
        <v>0</v>
      </c>
      <c r="M293" t="n">
        <v>0</v>
      </c>
      <c r="N293" t="n">
        <v>0</v>
      </c>
      <c r="O293" t="n">
        <v>0</v>
      </c>
      <c r="P293" t="n">
        <v>0</v>
      </c>
      <c r="Q293" t="n">
        <v>0</v>
      </c>
      <c r="R293" s="2" t="inlineStr"/>
    </row>
    <row r="294" ht="15" customHeight="1">
      <c r="A294" t="inlineStr">
        <is>
          <t>A 27095-2022</t>
        </is>
      </c>
      <c r="B294" s="1" t="n">
        <v>44741</v>
      </c>
      <c r="C294" s="1" t="n">
        <v>45892</v>
      </c>
      <c r="D294" t="inlineStr">
        <is>
          <t>GOTLANDS LÄN</t>
        </is>
      </c>
      <c r="E294" t="inlineStr">
        <is>
          <t>GOTLAND</t>
        </is>
      </c>
      <c r="F294" t="inlineStr">
        <is>
          <t>Övriga Aktiebolag</t>
        </is>
      </c>
      <c r="G294" t="n">
        <v>2.9</v>
      </c>
      <c r="H294" t="n">
        <v>0</v>
      </c>
      <c r="I294" t="n">
        <v>0</v>
      </c>
      <c r="J294" t="n">
        <v>0</v>
      </c>
      <c r="K294" t="n">
        <v>0</v>
      </c>
      <c r="L294" t="n">
        <v>0</v>
      </c>
      <c r="M294" t="n">
        <v>0</v>
      </c>
      <c r="N294" t="n">
        <v>0</v>
      </c>
      <c r="O294" t="n">
        <v>0</v>
      </c>
      <c r="P294" t="n">
        <v>0</v>
      </c>
      <c r="Q294" t="n">
        <v>0</v>
      </c>
      <c r="R294" s="2" t="inlineStr"/>
    </row>
    <row r="295" ht="15" customHeight="1">
      <c r="A295" t="inlineStr">
        <is>
          <t>A 458-2023</t>
        </is>
      </c>
      <c r="B295" s="1" t="n">
        <v>44929</v>
      </c>
      <c r="C295" s="1" t="n">
        <v>45892</v>
      </c>
      <c r="D295" t="inlineStr">
        <is>
          <t>GOTLANDS LÄN</t>
        </is>
      </c>
      <c r="E295" t="inlineStr">
        <is>
          <t>GOTLAND</t>
        </is>
      </c>
      <c r="G295" t="n">
        <v>3.6</v>
      </c>
      <c r="H295" t="n">
        <v>0</v>
      </c>
      <c r="I295" t="n">
        <v>0</v>
      </c>
      <c r="J295" t="n">
        <v>0</v>
      </c>
      <c r="K295" t="n">
        <v>0</v>
      </c>
      <c r="L295" t="n">
        <v>0</v>
      </c>
      <c r="M295" t="n">
        <v>0</v>
      </c>
      <c r="N295" t="n">
        <v>0</v>
      </c>
      <c r="O295" t="n">
        <v>0</v>
      </c>
      <c r="P295" t="n">
        <v>0</v>
      </c>
      <c r="Q295" t="n">
        <v>0</v>
      </c>
      <c r="R295" s="2" t="inlineStr"/>
    </row>
    <row r="296" ht="15" customHeight="1">
      <c r="A296" t="inlineStr">
        <is>
          <t>A 1291-2023</t>
        </is>
      </c>
      <c r="B296" s="1" t="n">
        <v>44936.47561342592</v>
      </c>
      <c r="C296" s="1" t="n">
        <v>45892</v>
      </c>
      <c r="D296" t="inlineStr">
        <is>
          <t>GOTLANDS LÄN</t>
        </is>
      </c>
      <c r="E296" t="inlineStr">
        <is>
          <t>GOTLAND</t>
        </is>
      </c>
      <c r="G296" t="n">
        <v>7.4</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45892</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61897-2024</t>
        </is>
      </c>
      <c r="B298" s="1" t="n">
        <v>45652.75685185185</v>
      </c>
      <c r="C298" s="1" t="n">
        <v>45892</v>
      </c>
      <c r="D298" t="inlineStr">
        <is>
          <t>GOTLANDS LÄN</t>
        </is>
      </c>
      <c r="E298" t="inlineStr">
        <is>
          <t>GOTLAND</t>
        </is>
      </c>
      <c r="G298" t="n">
        <v>6.4</v>
      </c>
      <c r="H298" t="n">
        <v>0</v>
      </c>
      <c r="I298" t="n">
        <v>0</v>
      </c>
      <c r="J298" t="n">
        <v>0</v>
      </c>
      <c r="K298" t="n">
        <v>0</v>
      </c>
      <c r="L298" t="n">
        <v>0</v>
      </c>
      <c r="M298" t="n">
        <v>0</v>
      </c>
      <c r="N298" t="n">
        <v>0</v>
      </c>
      <c r="O298" t="n">
        <v>0</v>
      </c>
      <c r="P298" t="n">
        <v>0</v>
      </c>
      <c r="Q298" t="n">
        <v>0</v>
      </c>
      <c r="R298" s="2" t="inlineStr"/>
    </row>
    <row r="299" ht="15" customHeight="1">
      <c r="A299" t="inlineStr">
        <is>
          <t>A 7026-2023</t>
        </is>
      </c>
      <c r="B299" s="1" t="n">
        <v>44968.30340277778</v>
      </c>
      <c r="C299" s="1" t="n">
        <v>45892</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12032-2025</t>
        </is>
      </c>
      <c r="B300" s="1" t="n">
        <v>45728.64472222222</v>
      </c>
      <c r="C300" s="1" t="n">
        <v>45892</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15595-2024</t>
        </is>
      </c>
      <c r="B301" s="1" t="n">
        <v>45401.81480324074</v>
      </c>
      <c r="C301" s="1" t="n">
        <v>45892</v>
      </c>
      <c r="D301" t="inlineStr">
        <is>
          <t>GOTLANDS LÄN</t>
        </is>
      </c>
      <c r="E301" t="inlineStr">
        <is>
          <t>GOTLAND</t>
        </is>
      </c>
      <c r="G301" t="n">
        <v>6.4</v>
      </c>
      <c r="H301" t="n">
        <v>0</v>
      </c>
      <c r="I301" t="n">
        <v>0</v>
      </c>
      <c r="J301" t="n">
        <v>0</v>
      </c>
      <c r="K301" t="n">
        <v>0</v>
      </c>
      <c r="L301" t="n">
        <v>0</v>
      </c>
      <c r="M301" t="n">
        <v>0</v>
      </c>
      <c r="N301" t="n">
        <v>0</v>
      </c>
      <c r="O301" t="n">
        <v>0</v>
      </c>
      <c r="P301" t="n">
        <v>0</v>
      </c>
      <c r="Q301" t="n">
        <v>0</v>
      </c>
      <c r="R301" s="2" t="inlineStr"/>
    </row>
    <row r="302" ht="15" customHeight="1">
      <c r="A302" t="inlineStr">
        <is>
          <t>A 32330-2024</t>
        </is>
      </c>
      <c r="B302" s="1" t="n">
        <v>45512</v>
      </c>
      <c r="C302" s="1" t="n">
        <v>45892</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45892</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12599-2025</t>
        </is>
      </c>
      <c r="B304" s="1" t="n">
        <v>45733.29546296296</v>
      </c>
      <c r="C304" s="1" t="n">
        <v>45892</v>
      </c>
      <c r="D304" t="inlineStr">
        <is>
          <t>GOTLANDS LÄN</t>
        </is>
      </c>
      <c r="E304" t="inlineStr">
        <is>
          <t>GOTLAND</t>
        </is>
      </c>
      <c r="G304" t="n">
        <v>4.7</v>
      </c>
      <c r="H304" t="n">
        <v>0</v>
      </c>
      <c r="I304" t="n">
        <v>0</v>
      </c>
      <c r="J304" t="n">
        <v>0</v>
      </c>
      <c r="K304" t="n">
        <v>0</v>
      </c>
      <c r="L304" t="n">
        <v>0</v>
      </c>
      <c r="M304" t="n">
        <v>0</v>
      </c>
      <c r="N304" t="n">
        <v>0</v>
      </c>
      <c r="O304" t="n">
        <v>0</v>
      </c>
      <c r="P304" t="n">
        <v>0</v>
      </c>
      <c r="Q304" t="n">
        <v>0</v>
      </c>
      <c r="R304" s="2" t="inlineStr"/>
    </row>
    <row r="305" ht="15" customHeight="1">
      <c r="A305" t="inlineStr">
        <is>
          <t>A 1351-2025</t>
        </is>
      </c>
      <c r="B305" s="1" t="n">
        <v>45667.62246527777</v>
      </c>
      <c r="C305" s="1" t="n">
        <v>45892</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5891-2025</t>
        </is>
      </c>
      <c r="B306" s="1" t="n">
        <v>45695.38327546296</v>
      </c>
      <c r="C306" s="1" t="n">
        <v>45892</v>
      </c>
      <c r="D306" t="inlineStr">
        <is>
          <t>GOTLANDS LÄN</t>
        </is>
      </c>
      <c r="E306" t="inlineStr">
        <is>
          <t>GOTLAND</t>
        </is>
      </c>
      <c r="G306" t="n">
        <v>0.8</v>
      </c>
      <c r="H306" t="n">
        <v>0</v>
      </c>
      <c r="I306" t="n">
        <v>0</v>
      </c>
      <c r="J306" t="n">
        <v>0</v>
      </c>
      <c r="K306" t="n">
        <v>0</v>
      </c>
      <c r="L306" t="n">
        <v>0</v>
      </c>
      <c r="M306" t="n">
        <v>0</v>
      </c>
      <c r="N306" t="n">
        <v>0</v>
      </c>
      <c r="O306" t="n">
        <v>0</v>
      </c>
      <c r="P306" t="n">
        <v>0</v>
      </c>
      <c r="Q306" t="n">
        <v>0</v>
      </c>
      <c r="R306" s="2" t="inlineStr"/>
    </row>
    <row r="307" ht="15" customHeight="1">
      <c r="A307" t="inlineStr">
        <is>
          <t>A 14804-2021</t>
        </is>
      </c>
      <c r="B307" s="1" t="n">
        <v>44280</v>
      </c>
      <c r="C307" s="1" t="n">
        <v>45892</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49874-2024</t>
        </is>
      </c>
      <c r="B308" s="1" t="n">
        <v>45597.49274305555</v>
      </c>
      <c r="C308" s="1" t="n">
        <v>45892</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19002-2025</t>
        </is>
      </c>
      <c r="B309" s="1" t="n">
        <v>45764</v>
      </c>
      <c r="C309" s="1" t="n">
        <v>45892</v>
      </c>
      <c r="D309" t="inlineStr">
        <is>
          <t>GOTLANDS LÄN</t>
        </is>
      </c>
      <c r="E309" t="inlineStr">
        <is>
          <t>GOTLAND</t>
        </is>
      </c>
      <c r="G309" t="n">
        <v>2.1</v>
      </c>
      <c r="H309" t="n">
        <v>0</v>
      </c>
      <c r="I309" t="n">
        <v>0</v>
      </c>
      <c r="J309" t="n">
        <v>0</v>
      </c>
      <c r="K309" t="n">
        <v>0</v>
      </c>
      <c r="L309" t="n">
        <v>0</v>
      </c>
      <c r="M309" t="n">
        <v>0</v>
      </c>
      <c r="N309" t="n">
        <v>0</v>
      </c>
      <c r="O309" t="n">
        <v>0</v>
      </c>
      <c r="P309" t="n">
        <v>0</v>
      </c>
      <c r="Q309" t="n">
        <v>0</v>
      </c>
      <c r="R309" s="2" t="inlineStr"/>
    </row>
    <row r="310" ht="15" customHeight="1">
      <c r="A310" t="inlineStr">
        <is>
          <t>A 2719-2023</t>
        </is>
      </c>
      <c r="B310" s="1" t="n">
        <v>44944.55361111111</v>
      </c>
      <c r="C310" s="1" t="n">
        <v>45892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17144-2025</t>
        </is>
      </c>
      <c r="B311" s="1" t="n">
        <v>45755.9499537037</v>
      </c>
      <c r="C311" s="1" t="n">
        <v>45892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49314-2024</t>
        </is>
      </c>
      <c r="B312" s="1" t="n">
        <v>45595.55893518519</v>
      </c>
      <c r="C312" s="1" t="n">
        <v>45892</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9875-2025</t>
        </is>
      </c>
      <c r="B313" s="1" t="n">
        <v>45716</v>
      </c>
      <c r="C313" s="1" t="n">
        <v>45892</v>
      </c>
      <c r="D313" t="inlineStr">
        <is>
          <t>GOTLANDS LÄN</t>
        </is>
      </c>
      <c r="E313" t="inlineStr">
        <is>
          <t>GOTLAND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8701-2025</t>
        </is>
      </c>
      <c r="B314" s="1" t="n">
        <v>45712</v>
      </c>
      <c r="C314" s="1" t="n">
        <v>45892</v>
      </c>
      <c r="D314" t="inlineStr">
        <is>
          <t>GOTLANDS LÄN</t>
        </is>
      </c>
      <c r="E314" t="inlineStr">
        <is>
          <t>GOTLAND</t>
        </is>
      </c>
      <c r="G314" t="n">
        <v>7</v>
      </c>
      <c r="H314" t="n">
        <v>0</v>
      </c>
      <c r="I314" t="n">
        <v>0</v>
      </c>
      <c r="J314" t="n">
        <v>0</v>
      </c>
      <c r="K314" t="n">
        <v>0</v>
      </c>
      <c r="L314" t="n">
        <v>0</v>
      </c>
      <c r="M314" t="n">
        <v>0</v>
      </c>
      <c r="N314" t="n">
        <v>0</v>
      </c>
      <c r="O314" t="n">
        <v>0</v>
      </c>
      <c r="P314" t="n">
        <v>0</v>
      </c>
      <c r="Q314" t="n">
        <v>0</v>
      </c>
      <c r="R314" s="2" t="inlineStr"/>
    </row>
    <row r="315" ht="15" customHeight="1">
      <c r="A315" t="inlineStr">
        <is>
          <t>A 29809-2022</t>
        </is>
      </c>
      <c r="B315" s="1" t="n">
        <v>44755.8713425926</v>
      </c>
      <c r="C315" s="1" t="n">
        <v>45892</v>
      </c>
      <c r="D315" t="inlineStr">
        <is>
          <t>GOTLANDS LÄN</t>
        </is>
      </c>
      <c r="E315" t="inlineStr">
        <is>
          <t>GOTLAND</t>
        </is>
      </c>
      <c r="G315" t="n">
        <v>11.5</v>
      </c>
      <c r="H315" t="n">
        <v>0</v>
      </c>
      <c r="I315" t="n">
        <v>0</v>
      </c>
      <c r="J315" t="n">
        <v>0</v>
      </c>
      <c r="K315" t="n">
        <v>0</v>
      </c>
      <c r="L315" t="n">
        <v>0</v>
      </c>
      <c r="M315" t="n">
        <v>0</v>
      </c>
      <c r="N315" t="n">
        <v>0</v>
      </c>
      <c r="O315" t="n">
        <v>0</v>
      </c>
      <c r="P315" t="n">
        <v>0</v>
      </c>
      <c r="Q315" t="n">
        <v>0</v>
      </c>
      <c r="R315" s="2" t="inlineStr"/>
    </row>
    <row r="316" ht="15" customHeight="1">
      <c r="A316" t="inlineStr">
        <is>
          <t>A 16361-2024</t>
        </is>
      </c>
      <c r="B316" s="1" t="n">
        <v>45407</v>
      </c>
      <c r="C316" s="1" t="n">
        <v>45892</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43081-2022</t>
        </is>
      </c>
      <c r="B317" s="1" t="n">
        <v>44833</v>
      </c>
      <c r="C317" s="1" t="n">
        <v>45892</v>
      </c>
      <c r="D317" t="inlineStr">
        <is>
          <t>GOTLANDS LÄN</t>
        </is>
      </c>
      <c r="E317" t="inlineStr">
        <is>
          <t>GOTLAND</t>
        </is>
      </c>
      <c r="G317" t="n">
        <v>6.8</v>
      </c>
      <c r="H317" t="n">
        <v>0</v>
      </c>
      <c r="I317" t="n">
        <v>0</v>
      </c>
      <c r="J317" t="n">
        <v>0</v>
      </c>
      <c r="K317" t="n">
        <v>0</v>
      </c>
      <c r="L317" t="n">
        <v>0</v>
      </c>
      <c r="M317" t="n">
        <v>0</v>
      </c>
      <c r="N317" t="n">
        <v>0</v>
      </c>
      <c r="O317" t="n">
        <v>0</v>
      </c>
      <c r="P317" t="n">
        <v>0</v>
      </c>
      <c r="Q317" t="n">
        <v>0</v>
      </c>
      <c r="R317" s="2" t="inlineStr"/>
    </row>
    <row r="318" ht="15" customHeight="1">
      <c r="A318" t="inlineStr">
        <is>
          <t>A 21164-2024</t>
        </is>
      </c>
      <c r="B318" s="1" t="n">
        <v>45440</v>
      </c>
      <c r="C318" s="1" t="n">
        <v>45892</v>
      </c>
      <c r="D318" t="inlineStr">
        <is>
          <t>GOTLANDS LÄN</t>
        </is>
      </c>
      <c r="E318" t="inlineStr">
        <is>
          <t>GOTLAND</t>
        </is>
      </c>
      <c r="G318" t="n">
        <v>6.3</v>
      </c>
      <c r="H318" t="n">
        <v>0</v>
      </c>
      <c r="I318" t="n">
        <v>0</v>
      </c>
      <c r="J318" t="n">
        <v>0</v>
      </c>
      <c r="K318" t="n">
        <v>0</v>
      </c>
      <c r="L318" t="n">
        <v>0</v>
      </c>
      <c r="M318" t="n">
        <v>0</v>
      </c>
      <c r="N318" t="n">
        <v>0</v>
      </c>
      <c r="O318" t="n">
        <v>0</v>
      </c>
      <c r="P318" t="n">
        <v>0</v>
      </c>
      <c r="Q318" t="n">
        <v>0</v>
      </c>
      <c r="R318" s="2" t="inlineStr"/>
    </row>
    <row r="319" ht="15" customHeight="1">
      <c r="A319" t="inlineStr">
        <is>
          <t>A 51782-2023</t>
        </is>
      </c>
      <c r="B319" s="1" t="n">
        <v>45222.80952546297</v>
      </c>
      <c r="C319" s="1" t="n">
        <v>45892</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17541-2024</t>
        </is>
      </c>
      <c r="B320" s="1" t="n">
        <v>45415</v>
      </c>
      <c r="C320" s="1" t="n">
        <v>45892</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883-2025</t>
        </is>
      </c>
      <c r="B321" s="1" t="n">
        <v>45665</v>
      </c>
      <c r="C321" s="1" t="n">
        <v>45892</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13910-2025</t>
        </is>
      </c>
      <c r="B322" s="1" t="n">
        <v>45737</v>
      </c>
      <c r="C322" s="1" t="n">
        <v>45892</v>
      </c>
      <c r="D322" t="inlineStr">
        <is>
          <t>GOTLANDS LÄN</t>
        </is>
      </c>
      <c r="E322" t="inlineStr">
        <is>
          <t>GOTLAND</t>
        </is>
      </c>
      <c r="F322" t="inlineStr">
        <is>
          <t>Kommuner</t>
        </is>
      </c>
      <c r="G322" t="n">
        <v>3.2</v>
      </c>
      <c r="H322" t="n">
        <v>0</v>
      </c>
      <c r="I322" t="n">
        <v>0</v>
      </c>
      <c r="J322" t="n">
        <v>0</v>
      </c>
      <c r="K322" t="n">
        <v>0</v>
      </c>
      <c r="L322" t="n">
        <v>0</v>
      </c>
      <c r="M322" t="n">
        <v>0</v>
      </c>
      <c r="N322" t="n">
        <v>0</v>
      </c>
      <c r="O322" t="n">
        <v>0</v>
      </c>
      <c r="P322" t="n">
        <v>0</v>
      </c>
      <c r="Q322" t="n">
        <v>0</v>
      </c>
      <c r="R322" s="2" t="inlineStr"/>
    </row>
    <row r="323" ht="15" customHeight="1">
      <c r="A323" t="inlineStr">
        <is>
          <t>A 1175-2025</t>
        </is>
      </c>
      <c r="B323" s="1" t="n">
        <v>45667.34449074074</v>
      </c>
      <c r="C323" s="1" t="n">
        <v>45892</v>
      </c>
      <c r="D323" t="inlineStr">
        <is>
          <t>GOTLANDS LÄN</t>
        </is>
      </c>
      <c r="E323" t="inlineStr">
        <is>
          <t>GOTLAND</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60675-2021</t>
        </is>
      </c>
      <c r="B324" s="1" t="n">
        <v>44496.64855324074</v>
      </c>
      <c r="C324" s="1" t="n">
        <v>45892</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5217-2023</t>
        </is>
      </c>
      <c r="B325" s="1" t="n">
        <v>44959.39582175926</v>
      </c>
      <c r="C325" s="1" t="n">
        <v>45892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20794-2025</t>
        </is>
      </c>
      <c r="B326" s="1" t="n">
        <v>45776</v>
      </c>
      <c r="C326" s="1" t="n">
        <v>45892</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14638-2025</t>
        </is>
      </c>
      <c r="B327" s="1" t="n">
        <v>45742</v>
      </c>
      <c r="C327" s="1" t="n">
        <v>45892</v>
      </c>
      <c r="D327" t="inlineStr">
        <is>
          <t>GOTLANDS LÄN</t>
        </is>
      </c>
      <c r="E327" t="inlineStr">
        <is>
          <t>GOTLAND</t>
        </is>
      </c>
      <c r="G327" t="n">
        <v>13.4</v>
      </c>
      <c r="H327" t="n">
        <v>0</v>
      </c>
      <c r="I327" t="n">
        <v>0</v>
      </c>
      <c r="J327" t="n">
        <v>0</v>
      </c>
      <c r="K327" t="n">
        <v>0</v>
      </c>
      <c r="L327" t="n">
        <v>0</v>
      </c>
      <c r="M327" t="n">
        <v>0</v>
      </c>
      <c r="N327" t="n">
        <v>0</v>
      </c>
      <c r="O327" t="n">
        <v>0</v>
      </c>
      <c r="P327" t="n">
        <v>0</v>
      </c>
      <c r="Q327" t="n">
        <v>0</v>
      </c>
      <c r="R327" s="2" t="inlineStr"/>
    </row>
    <row r="328" ht="15" customHeight="1">
      <c r="A328" t="inlineStr">
        <is>
          <t>A 20812-2025</t>
        </is>
      </c>
      <c r="B328" s="1" t="n">
        <v>45776</v>
      </c>
      <c r="C328" s="1" t="n">
        <v>45892</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42201-2023</t>
        </is>
      </c>
      <c r="B329" s="1" t="n">
        <v>45179</v>
      </c>
      <c r="C329" s="1" t="n">
        <v>45892</v>
      </c>
      <c r="D329" t="inlineStr">
        <is>
          <t>GOTLANDS LÄN</t>
        </is>
      </c>
      <c r="E329" t="inlineStr">
        <is>
          <t>GOTLAND</t>
        </is>
      </c>
      <c r="G329" t="n">
        <v>11.9</v>
      </c>
      <c r="H329" t="n">
        <v>0</v>
      </c>
      <c r="I329" t="n">
        <v>0</v>
      </c>
      <c r="J329" t="n">
        <v>0</v>
      </c>
      <c r="K329" t="n">
        <v>0</v>
      </c>
      <c r="L329" t="n">
        <v>0</v>
      </c>
      <c r="M329" t="n">
        <v>0</v>
      </c>
      <c r="N329" t="n">
        <v>0</v>
      </c>
      <c r="O329" t="n">
        <v>0</v>
      </c>
      <c r="P329" t="n">
        <v>0</v>
      </c>
      <c r="Q329" t="n">
        <v>0</v>
      </c>
      <c r="R329" s="2" t="inlineStr"/>
    </row>
    <row r="330" ht="15" customHeight="1">
      <c r="A330" t="inlineStr">
        <is>
          <t>A 3150-2025</t>
        </is>
      </c>
      <c r="B330" s="1" t="n">
        <v>45679.28974537037</v>
      </c>
      <c r="C330" s="1" t="n">
        <v>45892</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4421-2024</t>
        </is>
      </c>
      <c r="B331" s="1" t="n">
        <v>45327.45173611111</v>
      </c>
      <c r="C331" s="1" t="n">
        <v>45892</v>
      </c>
      <c r="D331" t="inlineStr">
        <is>
          <t>GOTLANDS LÄN</t>
        </is>
      </c>
      <c r="E331" t="inlineStr">
        <is>
          <t>GOTLAND</t>
        </is>
      </c>
      <c r="G331" t="n">
        <v>5.1</v>
      </c>
      <c r="H331" t="n">
        <v>0</v>
      </c>
      <c r="I331" t="n">
        <v>0</v>
      </c>
      <c r="J331" t="n">
        <v>0</v>
      </c>
      <c r="K331" t="n">
        <v>0</v>
      </c>
      <c r="L331" t="n">
        <v>0</v>
      </c>
      <c r="M331" t="n">
        <v>0</v>
      </c>
      <c r="N331" t="n">
        <v>0</v>
      </c>
      <c r="O331" t="n">
        <v>0</v>
      </c>
      <c r="P331" t="n">
        <v>0</v>
      </c>
      <c r="Q331" t="n">
        <v>0</v>
      </c>
      <c r="R331" s="2" t="inlineStr"/>
    </row>
    <row r="332" ht="15" customHeight="1">
      <c r="A332" t="inlineStr">
        <is>
          <t>A 20805-2025</t>
        </is>
      </c>
      <c r="B332" s="1" t="n">
        <v>45776</v>
      </c>
      <c r="C332" s="1" t="n">
        <v>45892</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21389-2025</t>
        </is>
      </c>
      <c r="B333" s="1" t="n">
        <v>45782</v>
      </c>
      <c r="C333" s="1" t="n">
        <v>45892</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45892</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20165-2022</t>
        </is>
      </c>
      <c r="B335" s="1" t="n">
        <v>44698.49854166667</v>
      </c>
      <c r="C335" s="1" t="n">
        <v>45892</v>
      </c>
      <c r="D335" t="inlineStr">
        <is>
          <t>GOTLANDS LÄN</t>
        </is>
      </c>
      <c r="E335" t="inlineStr">
        <is>
          <t>GOTLAND</t>
        </is>
      </c>
      <c r="G335" t="n">
        <v>4.1</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45892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33876-2024</t>
        </is>
      </c>
      <c r="B337" s="1" t="n">
        <v>45521.87988425926</v>
      </c>
      <c r="C337" s="1" t="n">
        <v>45892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21651-2025</t>
        </is>
      </c>
      <c r="B338" s="1" t="n">
        <v>45783</v>
      </c>
      <c r="C338" s="1" t="n">
        <v>45892</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42041-2024</t>
        </is>
      </c>
      <c r="B339" s="1" t="n">
        <v>45561</v>
      </c>
      <c r="C339" s="1" t="n">
        <v>45892</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43223-2023</t>
        </is>
      </c>
      <c r="B340" s="1" t="n">
        <v>45183.45642361111</v>
      </c>
      <c r="C340" s="1" t="n">
        <v>45892</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45892</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27930-2021</t>
        </is>
      </c>
      <c r="B342" s="1" t="n">
        <v>44354</v>
      </c>
      <c r="C342" s="1" t="n">
        <v>45892</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59469-2024</t>
        </is>
      </c>
      <c r="B343" s="1" t="n">
        <v>45638</v>
      </c>
      <c r="C343" s="1" t="n">
        <v>45892</v>
      </c>
      <c r="D343" t="inlineStr">
        <is>
          <t>GOTLANDS LÄN</t>
        </is>
      </c>
      <c r="E343" t="inlineStr">
        <is>
          <t>GOTLAND</t>
        </is>
      </c>
      <c r="G343" t="n">
        <v>0.4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45892</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15436-2025</t>
        </is>
      </c>
      <c r="B345" s="1" t="n">
        <v>45747.47462962963</v>
      </c>
      <c r="C345" s="1" t="n">
        <v>45892</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5751-2024</t>
        </is>
      </c>
      <c r="B346" s="1" t="n">
        <v>45335.32702546296</v>
      </c>
      <c r="C346" s="1" t="n">
        <v>45892</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21247-2022</t>
        </is>
      </c>
      <c r="B347" s="1" t="n">
        <v>44705.38832175926</v>
      </c>
      <c r="C347" s="1" t="n">
        <v>45892</v>
      </c>
      <c r="D347" t="inlineStr">
        <is>
          <t>GOTLANDS LÄN</t>
        </is>
      </c>
      <c r="E347" t="inlineStr">
        <is>
          <t>GOTLAND</t>
        </is>
      </c>
      <c r="G347" t="n">
        <v>16.2</v>
      </c>
      <c r="H347" t="n">
        <v>0</v>
      </c>
      <c r="I347" t="n">
        <v>0</v>
      </c>
      <c r="J347" t="n">
        <v>0</v>
      </c>
      <c r="K347" t="n">
        <v>0</v>
      </c>
      <c r="L347" t="n">
        <v>0</v>
      </c>
      <c r="M347" t="n">
        <v>0</v>
      </c>
      <c r="N347" t="n">
        <v>0</v>
      </c>
      <c r="O347" t="n">
        <v>0</v>
      </c>
      <c r="P347" t="n">
        <v>0</v>
      </c>
      <c r="Q347" t="n">
        <v>0</v>
      </c>
      <c r="R347" s="2" t="inlineStr"/>
    </row>
    <row r="348" ht="15" customHeight="1">
      <c r="A348" t="inlineStr">
        <is>
          <t>A 6696-2023</t>
        </is>
      </c>
      <c r="B348" s="1" t="n">
        <v>44966.66425925926</v>
      </c>
      <c r="C348" s="1" t="n">
        <v>45892</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28480-2023</t>
        </is>
      </c>
      <c r="B349" s="1" t="n">
        <v>45103</v>
      </c>
      <c r="C349" s="1" t="n">
        <v>45892</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28485-2023</t>
        </is>
      </c>
      <c r="B350" s="1" t="n">
        <v>45103.43731481482</v>
      </c>
      <c r="C350" s="1" t="n">
        <v>45892</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45892</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45892</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21420-2024</t>
        </is>
      </c>
      <c r="B353" s="1" t="n">
        <v>45441.38293981482</v>
      </c>
      <c r="C353" s="1" t="n">
        <v>45892</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18914-2025</t>
        </is>
      </c>
      <c r="B354" s="1" t="n">
        <v>45764.46783564815</v>
      </c>
      <c r="C354" s="1" t="n">
        <v>45892</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10656-2024</t>
        </is>
      </c>
      <c r="B355" s="1" t="n">
        <v>45368</v>
      </c>
      <c r="C355" s="1" t="n">
        <v>45892</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17780-2022</t>
        </is>
      </c>
      <c r="B356" s="1" t="n">
        <v>44682.82622685185</v>
      </c>
      <c r="C356" s="1" t="n">
        <v>45892</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63516-2023</t>
        </is>
      </c>
      <c r="B357" s="1" t="n">
        <v>45274</v>
      </c>
      <c r="C357" s="1" t="n">
        <v>45892</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57356-2023</t>
        </is>
      </c>
      <c r="B358" s="1" t="n">
        <v>45240</v>
      </c>
      <c r="C358" s="1" t="n">
        <v>45892</v>
      </c>
      <c r="D358" t="inlineStr">
        <is>
          <t>GOTLANDS LÄN</t>
        </is>
      </c>
      <c r="E358" t="inlineStr">
        <is>
          <t>GOTLAND</t>
        </is>
      </c>
      <c r="G358" t="n">
        <v>6.4</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45892</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23188-2025</t>
        </is>
      </c>
      <c r="B360" s="1" t="n">
        <v>45791</v>
      </c>
      <c r="C360" s="1" t="n">
        <v>45892</v>
      </c>
      <c r="D360" t="inlineStr">
        <is>
          <t>GOTLANDS LÄN</t>
        </is>
      </c>
      <c r="E360" t="inlineStr">
        <is>
          <t>GOTLAND</t>
        </is>
      </c>
      <c r="G360" t="n">
        <v>6.2</v>
      </c>
      <c r="H360" t="n">
        <v>0</v>
      </c>
      <c r="I360" t="n">
        <v>0</v>
      </c>
      <c r="J360" t="n">
        <v>0</v>
      </c>
      <c r="K360" t="n">
        <v>0</v>
      </c>
      <c r="L360" t="n">
        <v>0</v>
      </c>
      <c r="M360" t="n">
        <v>0</v>
      </c>
      <c r="N360" t="n">
        <v>0</v>
      </c>
      <c r="O360" t="n">
        <v>0</v>
      </c>
      <c r="P360" t="n">
        <v>0</v>
      </c>
      <c r="Q360" t="n">
        <v>0</v>
      </c>
      <c r="R360" s="2" t="inlineStr"/>
    </row>
    <row r="361" ht="15" customHeight="1">
      <c r="A361" t="inlineStr">
        <is>
          <t>A 15216-2025</t>
        </is>
      </c>
      <c r="B361" s="1" t="n">
        <v>45744</v>
      </c>
      <c r="C361" s="1" t="n">
        <v>45892</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53935-2024</t>
        </is>
      </c>
      <c r="B362" s="1" t="n">
        <v>45615</v>
      </c>
      <c r="C362" s="1" t="n">
        <v>45892</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18938-2025</t>
        </is>
      </c>
      <c r="B363" s="1" t="n">
        <v>45764.49172453704</v>
      </c>
      <c r="C363" s="1" t="n">
        <v>45892</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69112-2021</t>
        </is>
      </c>
      <c r="B364" s="1" t="n">
        <v>44530</v>
      </c>
      <c r="C364" s="1" t="n">
        <v>45892</v>
      </c>
      <c r="D364" t="inlineStr">
        <is>
          <t>GOTLANDS LÄN</t>
        </is>
      </c>
      <c r="E364" t="inlineStr">
        <is>
          <t>GOTLAND</t>
        </is>
      </c>
      <c r="G364" t="n">
        <v>4.2</v>
      </c>
      <c r="H364" t="n">
        <v>0</v>
      </c>
      <c r="I364" t="n">
        <v>0</v>
      </c>
      <c r="J364" t="n">
        <v>0</v>
      </c>
      <c r="K364" t="n">
        <v>0</v>
      </c>
      <c r="L364" t="n">
        <v>0</v>
      </c>
      <c r="M364" t="n">
        <v>0</v>
      </c>
      <c r="N364" t="n">
        <v>0</v>
      </c>
      <c r="O364" t="n">
        <v>0</v>
      </c>
      <c r="P364" t="n">
        <v>0</v>
      </c>
      <c r="Q364" t="n">
        <v>0</v>
      </c>
      <c r="R364" s="2" t="inlineStr"/>
    </row>
    <row r="365" ht="15" customHeight="1">
      <c r="A365" t="inlineStr">
        <is>
          <t>A 48734-2022</t>
        </is>
      </c>
      <c r="B365" s="1" t="n">
        <v>44855</v>
      </c>
      <c r="C365" s="1" t="n">
        <v>45892</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23516-2023</t>
        </is>
      </c>
      <c r="B366" s="1" t="n">
        <v>45076.93391203704</v>
      </c>
      <c r="C366" s="1" t="n">
        <v>45892</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43231-2023</t>
        </is>
      </c>
      <c r="B367" s="1" t="n">
        <v>45183.47025462963</v>
      </c>
      <c r="C367" s="1" t="n">
        <v>45892</v>
      </c>
      <c r="D367" t="inlineStr">
        <is>
          <t>GOTLANDS LÄN</t>
        </is>
      </c>
      <c r="E367" t="inlineStr">
        <is>
          <t>GOTLAND</t>
        </is>
      </c>
      <c r="G367" t="n">
        <v>3.6</v>
      </c>
      <c r="H367" t="n">
        <v>0</v>
      </c>
      <c r="I367" t="n">
        <v>0</v>
      </c>
      <c r="J367" t="n">
        <v>0</v>
      </c>
      <c r="K367" t="n">
        <v>0</v>
      </c>
      <c r="L367" t="n">
        <v>0</v>
      </c>
      <c r="M367" t="n">
        <v>0</v>
      </c>
      <c r="N367" t="n">
        <v>0</v>
      </c>
      <c r="O367" t="n">
        <v>0</v>
      </c>
      <c r="P367" t="n">
        <v>0</v>
      </c>
      <c r="Q367" t="n">
        <v>0</v>
      </c>
      <c r="R367" s="2" t="inlineStr"/>
    </row>
    <row r="368" ht="15" customHeight="1">
      <c r="A368" t="inlineStr">
        <is>
          <t>A 58230-2024</t>
        </is>
      </c>
      <c r="B368" s="1" t="n">
        <v>45632.51625</v>
      </c>
      <c r="C368" s="1" t="n">
        <v>45892</v>
      </c>
      <c r="D368" t="inlineStr">
        <is>
          <t>GOTLANDS LÄN</t>
        </is>
      </c>
      <c r="E368" t="inlineStr">
        <is>
          <t>GOTLAND</t>
        </is>
      </c>
      <c r="G368" t="n">
        <v>7.3</v>
      </c>
      <c r="H368" t="n">
        <v>0</v>
      </c>
      <c r="I368" t="n">
        <v>0</v>
      </c>
      <c r="J368" t="n">
        <v>0</v>
      </c>
      <c r="K368" t="n">
        <v>0</v>
      </c>
      <c r="L368" t="n">
        <v>0</v>
      </c>
      <c r="M368" t="n">
        <v>0</v>
      </c>
      <c r="N368" t="n">
        <v>0</v>
      </c>
      <c r="O368" t="n">
        <v>0</v>
      </c>
      <c r="P368" t="n">
        <v>0</v>
      </c>
      <c r="Q368" t="n">
        <v>0</v>
      </c>
      <c r="R368" s="2" t="inlineStr"/>
    </row>
    <row r="369" ht="15" customHeight="1">
      <c r="A369" t="inlineStr">
        <is>
          <t>A 64555-2023</t>
        </is>
      </c>
      <c r="B369" s="1" t="n">
        <v>45281</v>
      </c>
      <c r="C369" s="1" t="n">
        <v>45892</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23856-2025</t>
        </is>
      </c>
      <c r="B370" s="1" t="n">
        <v>45793</v>
      </c>
      <c r="C370" s="1" t="n">
        <v>45892</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49693-2023</t>
        </is>
      </c>
      <c r="B371" s="1" t="n">
        <v>45212.38138888889</v>
      </c>
      <c r="C371" s="1" t="n">
        <v>45892</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49697-2023</t>
        </is>
      </c>
      <c r="B372" s="1" t="n">
        <v>45212.38909722222</v>
      </c>
      <c r="C372" s="1" t="n">
        <v>45892</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23473-2025</t>
        </is>
      </c>
      <c r="B373" s="1" t="n">
        <v>45792</v>
      </c>
      <c r="C373" s="1" t="n">
        <v>45892</v>
      </c>
      <c r="D373" t="inlineStr">
        <is>
          <t>GOTLANDS LÄN</t>
        </is>
      </c>
      <c r="E373" t="inlineStr">
        <is>
          <t>GOTLAND</t>
        </is>
      </c>
      <c r="G373" t="n">
        <v>3.6</v>
      </c>
      <c r="H373" t="n">
        <v>0</v>
      </c>
      <c r="I373" t="n">
        <v>0</v>
      </c>
      <c r="J373" t="n">
        <v>0</v>
      </c>
      <c r="K373" t="n">
        <v>0</v>
      </c>
      <c r="L373" t="n">
        <v>0</v>
      </c>
      <c r="M373" t="n">
        <v>0</v>
      </c>
      <c r="N373" t="n">
        <v>0</v>
      </c>
      <c r="O373" t="n">
        <v>0</v>
      </c>
      <c r="P373" t="n">
        <v>0</v>
      </c>
      <c r="Q373" t="n">
        <v>0</v>
      </c>
      <c r="R373" s="2" t="inlineStr"/>
    </row>
    <row r="374" ht="15" customHeight="1">
      <c r="A374" t="inlineStr">
        <is>
          <t>A 34312-2024</t>
        </is>
      </c>
      <c r="B374" s="1" t="n">
        <v>45524.69703703704</v>
      </c>
      <c r="C374" s="1" t="n">
        <v>45892</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45892</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45892</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45892</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23700-2025</t>
        </is>
      </c>
      <c r="B378" s="1" t="n">
        <v>45793</v>
      </c>
      <c r="C378" s="1" t="n">
        <v>45892</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15073-2025</t>
        </is>
      </c>
      <c r="B379" s="1" t="n">
        <v>45743</v>
      </c>
      <c r="C379" s="1" t="n">
        <v>45892</v>
      </c>
      <c r="D379" t="inlineStr">
        <is>
          <t>GOTLANDS LÄN</t>
        </is>
      </c>
      <c r="E379" t="inlineStr">
        <is>
          <t>GOTLAND</t>
        </is>
      </c>
      <c r="G379" t="n">
        <v>12.1</v>
      </c>
      <c r="H379" t="n">
        <v>0</v>
      </c>
      <c r="I379" t="n">
        <v>0</v>
      </c>
      <c r="J379" t="n">
        <v>0</v>
      </c>
      <c r="K379" t="n">
        <v>0</v>
      </c>
      <c r="L379" t="n">
        <v>0</v>
      </c>
      <c r="M379" t="n">
        <v>0</v>
      </c>
      <c r="N379" t="n">
        <v>0</v>
      </c>
      <c r="O379" t="n">
        <v>0</v>
      </c>
      <c r="P379" t="n">
        <v>0</v>
      </c>
      <c r="Q379" t="n">
        <v>0</v>
      </c>
      <c r="R379" s="2" t="inlineStr"/>
    </row>
    <row r="380" ht="15" customHeight="1">
      <c r="A380" t="inlineStr">
        <is>
          <t>A 15075-2025</t>
        </is>
      </c>
      <c r="B380" s="1" t="n">
        <v>45743</v>
      </c>
      <c r="C380" s="1" t="n">
        <v>45892</v>
      </c>
      <c r="D380" t="inlineStr">
        <is>
          <t>GOTLANDS LÄN</t>
        </is>
      </c>
      <c r="E380" t="inlineStr">
        <is>
          <t>GOTLAND</t>
        </is>
      </c>
      <c r="G380" t="n">
        <v>20.9</v>
      </c>
      <c r="H380" t="n">
        <v>0</v>
      </c>
      <c r="I380" t="n">
        <v>0</v>
      </c>
      <c r="J380" t="n">
        <v>0</v>
      </c>
      <c r="K380" t="n">
        <v>0</v>
      </c>
      <c r="L380" t="n">
        <v>0</v>
      </c>
      <c r="M380" t="n">
        <v>0</v>
      </c>
      <c r="N380" t="n">
        <v>0</v>
      </c>
      <c r="O380" t="n">
        <v>0</v>
      </c>
      <c r="P380" t="n">
        <v>0</v>
      </c>
      <c r="Q380" t="n">
        <v>0</v>
      </c>
      <c r="R380" s="2" t="inlineStr"/>
    </row>
    <row r="381" ht="15" customHeight="1">
      <c r="A381" t="inlineStr">
        <is>
          <t>A 6796-2025</t>
        </is>
      </c>
      <c r="B381" s="1" t="n">
        <v>45700.66559027778</v>
      </c>
      <c r="C381" s="1" t="n">
        <v>45892</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876-2024</t>
        </is>
      </c>
      <c r="B382" s="1" t="n">
        <v>45301</v>
      </c>
      <c r="C382" s="1" t="n">
        <v>45892</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26891-2024</t>
        </is>
      </c>
      <c r="B383" s="1" t="n">
        <v>45470.65540509259</v>
      </c>
      <c r="C383" s="1" t="n">
        <v>45892</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48503-2023</t>
        </is>
      </c>
      <c r="B384" s="1" t="n">
        <v>45207</v>
      </c>
      <c r="C384" s="1" t="n">
        <v>45892</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44279.66168981481</v>
      </c>
      <c r="C385" s="1" t="n">
        <v>45892</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5923-2023</t>
        </is>
      </c>
      <c r="B386" s="1" t="n">
        <v>44963.69503472222</v>
      </c>
      <c r="C386" s="1" t="n">
        <v>45892</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50482-2024</t>
        </is>
      </c>
      <c r="B387" s="1" t="n">
        <v>45601.48114583334</v>
      </c>
      <c r="C387" s="1" t="n">
        <v>45892</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24825-2024</t>
        </is>
      </c>
      <c r="B388" s="1" t="n">
        <v>45461</v>
      </c>
      <c r="C388" s="1" t="n">
        <v>45892</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6749-2025</t>
        </is>
      </c>
      <c r="B389" s="1" t="n">
        <v>45700</v>
      </c>
      <c r="C389" s="1" t="n">
        <v>45892</v>
      </c>
      <c r="D389" t="inlineStr">
        <is>
          <t>GOTLANDS LÄN</t>
        </is>
      </c>
      <c r="E389" t="inlineStr">
        <is>
          <t>GOTLAND</t>
        </is>
      </c>
      <c r="G389" t="n">
        <v>4.5</v>
      </c>
      <c r="H389" t="n">
        <v>0</v>
      </c>
      <c r="I389" t="n">
        <v>0</v>
      </c>
      <c r="J389" t="n">
        <v>0</v>
      </c>
      <c r="K389" t="n">
        <v>0</v>
      </c>
      <c r="L389" t="n">
        <v>0</v>
      </c>
      <c r="M389" t="n">
        <v>0</v>
      </c>
      <c r="N389" t="n">
        <v>0</v>
      </c>
      <c r="O389" t="n">
        <v>0</v>
      </c>
      <c r="P389" t="n">
        <v>0</v>
      </c>
      <c r="Q389" t="n">
        <v>0</v>
      </c>
      <c r="R389" s="2" t="inlineStr"/>
    </row>
    <row r="390" ht="15" customHeight="1">
      <c r="A390" t="inlineStr">
        <is>
          <t>A 5943-2024</t>
        </is>
      </c>
      <c r="B390" s="1" t="n">
        <v>45336</v>
      </c>
      <c r="C390" s="1" t="n">
        <v>45892</v>
      </c>
      <c r="D390" t="inlineStr">
        <is>
          <t>GOTLANDS LÄN</t>
        </is>
      </c>
      <c r="E390" t="inlineStr">
        <is>
          <t>GOTLAND</t>
        </is>
      </c>
      <c r="G390" t="n">
        <v>4.3</v>
      </c>
      <c r="H390" t="n">
        <v>0</v>
      </c>
      <c r="I390" t="n">
        <v>0</v>
      </c>
      <c r="J390" t="n">
        <v>0</v>
      </c>
      <c r="K390" t="n">
        <v>0</v>
      </c>
      <c r="L390" t="n">
        <v>0</v>
      </c>
      <c r="M390" t="n">
        <v>0</v>
      </c>
      <c r="N390" t="n">
        <v>0</v>
      </c>
      <c r="O390" t="n">
        <v>0</v>
      </c>
      <c r="P390" t="n">
        <v>0</v>
      </c>
      <c r="Q390" t="n">
        <v>0</v>
      </c>
      <c r="R390" s="2" t="inlineStr"/>
    </row>
    <row r="391" ht="15" customHeight="1">
      <c r="A391" t="inlineStr">
        <is>
          <t>A 38234-2023</t>
        </is>
      </c>
      <c r="B391" s="1" t="n">
        <v>45161.56663194444</v>
      </c>
      <c r="C391" s="1" t="n">
        <v>45892</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1273-2023</t>
        </is>
      </c>
      <c r="B392" s="1" t="n">
        <v>44936</v>
      </c>
      <c r="C392" s="1" t="n">
        <v>45892</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22031-2024</t>
        </is>
      </c>
      <c r="B393" s="1" t="n">
        <v>45443.60075231481</v>
      </c>
      <c r="C393" s="1" t="n">
        <v>45892</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17688-2024</t>
        </is>
      </c>
      <c r="B394" s="1" t="n">
        <v>45418.43575231481</v>
      </c>
      <c r="C394" s="1" t="n">
        <v>45892</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45892</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17724-2024</t>
        </is>
      </c>
      <c r="B396" s="1" t="n">
        <v>45418.55096064815</v>
      </c>
      <c r="C396" s="1" t="n">
        <v>45892</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45892</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23978-2023</t>
        </is>
      </c>
      <c r="B398" s="1" t="n">
        <v>45078</v>
      </c>
      <c r="C398" s="1" t="n">
        <v>45892</v>
      </c>
      <c r="D398" t="inlineStr">
        <is>
          <t>GOTLANDS LÄN</t>
        </is>
      </c>
      <c r="E398" t="inlineStr">
        <is>
          <t>GOTLAND</t>
        </is>
      </c>
      <c r="F398" t="inlineStr">
        <is>
          <t>Naturvårdsverket</t>
        </is>
      </c>
      <c r="G398" t="n">
        <v>1.7</v>
      </c>
      <c r="H398" t="n">
        <v>0</v>
      </c>
      <c r="I398" t="n">
        <v>0</v>
      </c>
      <c r="J398" t="n">
        <v>0</v>
      </c>
      <c r="K398" t="n">
        <v>0</v>
      </c>
      <c r="L398" t="n">
        <v>0</v>
      </c>
      <c r="M398" t="n">
        <v>0</v>
      </c>
      <c r="N398" t="n">
        <v>0</v>
      </c>
      <c r="O398" t="n">
        <v>0</v>
      </c>
      <c r="P398" t="n">
        <v>0</v>
      </c>
      <c r="Q398" t="n">
        <v>0</v>
      </c>
      <c r="R398" s="2" t="inlineStr"/>
    </row>
    <row r="399" ht="15" customHeight="1">
      <c r="A399" t="inlineStr">
        <is>
          <t>A 49884-2023</t>
        </is>
      </c>
      <c r="B399" s="1" t="n">
        <v>45213</v>
      </c>
      <c r="C399" s="1" t="n">
        <v>45892</v>
      </c>
      <c r="D399" t="inlineStr">
        <is>
          <t>GOTLANDS LÄN</t>
        </is>
      </c>
      <c r="E399" t="inlineStr">
        <is>
          <t>GOTLAND</t>
        </is>
      </c>
      <c r="G399" t="n">
        <v>8.9</v>
      </c>
      <c r="H399" t="n">
        <v>0</v>
      </c>
      <c r="I399" t="n">
        <v>0</v>
      </c>
      <c r="J399" t="n">
        <v>0</v>
      </c>
      <c r="K399" t="n">
        <v>0</v>
      </c>
      <c r="L399" t="n">
        <v>0</v>
      </c>
      <c r="M399" t="n">
        <v>0</v>
      </c>
      <c r="N399" t="n">
        <v>0</v>
      </c>
      <c r="O399" t="n">
        <v>0</v>
      </c>
      <c r="P399" t="n">
        <v>0</v>
      </c>
      <c r="Q399" t="n">
        <v>0</v>
      </c>
      <c r="R399" s="2" t="inlineStr"/>
    </row>
    <row r="400" ht="15" customHeight="1">
      <c r="A400" t="inlineStr">
        <is>
          <t>A 39764-2022</t>
        </is>
      </c>
      <c r="B400" s="1" t="n">
        <v>44819</v>
      </c>
      <c r="C400" s="1" t="n">
        <v>45892</v>
      </c>
      <c r="D400" t="inlineStr">
        <is>
          <t>GOTLANDS LÄN</t>
        </is>
      </c>
      <c r="E400" t="inlineStr">
        <is>
          <t>GOTLAND</t>
        </is>
      </c>
      <c r="F400" t="inlineStr">
        <is>
          <t>Kyrkan</t>
        </is>
      </c>
      <c r="G400" t="n">
        <v>3.7</v>
      </c>
      <c r="H400" t="n">
        <v>0</v>
      </c>
      <c r="I400" t="n">
        <v>0</v>
      </c>
      <c r="J400" t="n">
        <v>0</v>
      </c>
      <c r="K400" t="n">
        <v>0</v>
      </c>
      <c r="L400" t="n">
        <v>0</v>
      </c>
      <c r="M400" t="n">
        <v>0</v>
      </c>
      <c r="N400" t="n">
        <v>0</v>
      </c>
      <c r="O400" t="n">
        <v>0</v>
      </c>
      <c r="P400" t="n">
        <v>0</v>
      </c>
      <c r="Q400" t="n">
        <v>0</v>
      </c>
      <c r="R400" s="2" t="inlineStr"/>
    </row>
    <row r="401" ht="15" customHeight="1">
      <c r="A401" t="inlineStr">
        <is>
          <t>A 6099-2024</t>
        </is>
      </c>
      <c r="B401" s="1" t="n">
        <v>45337</v>
      </c>
      <c r="C401" s="1" t="n">
        <v>45892</v>
      </c>
      <c r="D401" t="inlineStr">
        <is>
          <t>GOTLANDS LÄN</t>
        </is>
      </c>
      <c r="E401" t="inlineStr">
        <is>
          <t>GOTLAND</t>
        </is>
      </c>
      <c r="G401" t="n">
        <v>12.6</v>
      </c>
      <c r="H401" t="n">
        <v>0</v>
      </c>
      <c r="I401" t="n">
        <v>0</v>
      </c>
      <c r="J401" t="n">
        <v>0</v>
      </c>
      <c r="K401" t="n">
        <v>0</v>
      </c>
      <c r="L401" t="n">
        <v>0</v>
      </c>
      <c r="M401" t="n">
        <v>0</v>
      </c>
      <c r="N401" t="n">
        <v>0</v>
      </c>
      <c r="O401" t="n">
        <v>0</v>
      </c>
      <c r="P401" t="n">
        <v>0</v>
      </c>
      <c r="Q401" t="n">
        <v>0</v>
      </c>
      <c r="R401" s="2" t="inlineStr"/>
    </row>
    <row r="402" ht="15" customHeight="1">
      <c r="A402" t="inlineStr">
        <is>
          <t>A 8260-2023</t>
        </is>
      </c>
      <c r="B402" s="1" t="n">
        <v>44974.61608796296</v>
      </c>
      <c r="C402" s="1" t="n">
        <v>45892</v>
      </c>
      <c r="D402" t="inlineStr">
        <is>
          <t>GOTLANDS LÄN</t>
        </is>
      </c>
      <c r="E402" t="inlineStr">
        <is>
          <t>GOTLAND</t>
        </is>
      </c>
      <c r="G402" t="n">
        <v>2.9</v>
      </c>
      <c r="H402" t="n">
        <v>0</v>
      </c>
      <c r="I402" t="n">
        <v>0</v>
      </c>
      <c r="J402" t="n">
        <v>0</v>
      </c>
      <c r="K402" t="n">
        <v>0</v>
      </c>
      <c r="L402" t="n">
        <v>0</v>
      </c>
      <c r="M402" t="n">
        <v>0</v>
      </c>
      <c r="N402" t="n">
        <v>0</v>
      </c>
      <c r="O402" t="n">
        <v>0</v>
      </c>
      <c r="P402" t="n">
        <v>0</v>
      </c>
      <c r="Q402" t="n">
        <v>0</v>
      </c>
      <c r="R402" s="2" t="inlineStr"/>
    </row>
    <row r="403" ht="15" customHeight="1">
      <c r="A403" t="inlineStr">
        <is>
          <t>A 22287-2022</t>
        </is>
      </c>
      <c r="B403" s="1" t="n">
        <v>44712</v>
      </c>
      <c r="C403" s="1" t="n">
        <v>45892</v>
      </c>
      <c r="D403" t="inlineStr">
        <is>
          <t>GOTLANDS LÄN</t>
        </is>
      </c>
      <c r="E403" t="inlineStr">
        <is>
          <t>GOTLAND</t>
        </is>
      </c>
      <c r="G403" t="n">
        <v>6.1</v>
      </c>
      <c r="H403" t="n">
        <v>0</v>
      </c>
      <c r="I403" t="n">
        <v>0</v>
      </c>
      <c r="J403" t="n">
        <v>0</v>
      </c>
      <c r="K403" t="n">
        <v>0</v>
      </c>
      <c r="L403" t="n">
        <v>0</v>
      </c>
      <c r="M403" t="n">
        <v>0</v>
      </c>
      <c r="N403" t="n">
        <v>0</v>
      </c>
      <c r="O403" t="n">
        <v>0</v>
      </c>
      <c r="P403" t="n">
        <v>0</v>
      </c>
      <c r="Q403" t="n">
        <v>0</v>
      </c>
      <c r="R403" s="2" t="inlineStr"/>
    </row>
    <row r="404" ht="15" customHeight="1">
      <c r="A404" t="inlineStr">
        <is>
          <t>A 12846-2025</t>
        </is>
      </c>
      <c r="B404" s="1" t="n">
        <v>45733.65049768519</v>
      </c>
      <c r="C404" s="1" t="n">
        <v>45892</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17343-2025</t>
        </is>
      </c>
      <c r="B405" s="1" t="n">
        <v>45756.6687037037</v>
      </c>
      <c r="C405" s="1" t="n">
        <v>45892</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57534-2022</t>
        </is>
      </c>
      <c r="B406" s="1" t="n">
        <v>44896</v>
      </c>
      <c r="C406" s="1" t="n">
        <v>45892</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43200-2023</t>
        </is>
      </c>
      <c r="B407" s="1" t="n">
        <v>45183</v>
      </c>
      <c r="C407" s="1" t="n">
        <v>45892</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1477-2024</t>
        </is>
      </c>
      <c r="B408" s="1" t="n">
        <v>45305.37987268518</v>
      </c>
      <c r="C408" s="1" t="n">
        <v>45892</v>
      </c>
      <c r="D408" t="inlineStr">
        <is>
          <t>GOTLANDS LÄN</t>
        </is>
      </c>
      <c r="E408" t="inlineStr">
        <is>
          <t>GOTLAND</t>
        </is>
      </c>
      <c r="G408" t="n">
        <v>6.9</v>
      </c>
      <c r="H408" t="n">
        <v>0</v>
      </c>
      <c r="I408" t="n">
        <v>0</v>
      </c>
      <c r="J408" t="n">
        <v>0</v>
      </c>
      <c r="K408" t="n">
        <v>0</v>
      </c>
      <c r="L408" t="n">
        <v>0</v>
      </c>
      <c r="M408" t="n">
        <v>0</v>
      </c>
      <c r="N408" t="n">
        <v>0</v>
      </c>
      <c r="O408" t="n">
        <v>0</v>
      </c>
      <c r="P408" t="n">
        <v>0</v>
      </c>
      <c r="Q408" t="n">
        <v>0</v>
      </c>
      <c r="R408" s="2" t="inlineStr"/>
    </row>
    <row r="409" ht="15" customHeight="1">
      <c r="A409" t="inlineStr">
        <is>
          <t>A 3935-2025</t>
        </is>
      </c>
      <c r="B409" s="1" t="n">
        <v>45684.46070601852</v>
      </c>
      <c r="C409" s="1" t="n">
        <v>45892</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25678-2025</t>
        </is>
      </c>
      <c r="B410" s="1" t="n">
        <v>45803.64118055555</v>
      </c>
      <c r="C410" s="1" t="n">
        <v>45892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21792-2024</t>
        </is>
      </c>
      <c r="B411" s="1" t="n">
        <v>45442.64326388889</v>
      </c>
      <c r="C411" s="1" t="n">
        <v>45892</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25796-2025</t>
        </is>
      </c>
      <c r="B412" s="1" t="n">
        <v>45804.39543981481</v>
      </c>
      <c r="C412" s="1" t="n">
        <v>45892</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64660-2023</t>
        </is>
      </c>
      <c r="B413" s="1" t="n">
        <v>45281.60122685185</v>
      </c>
      <c r="C413" s="1" t="n">
        <v>45892</v>
      </c>
      <c r="D413" t="inlineStr">
        <is>
          <t>GOTLANDS LÄN</t>
        </is>
      </c>
      <c r="E413" t="inlineStr">
        <is>
          <t>GOTLAND</t>
        </is>
      </c>
      <c r="G413" t="n">
        <v>6.3</v>
      </c>
      <c r="H413" t="n">
        <v>0</v>
      </c>
      <c r="I413" t="n">
        <v>0</v>
      </c>
      <c r="J413" t="n">
        <v>0</v>
      </c>
      <c r="K413" t="n">
        <v>0</v>
      </c>
      <c r="L413" t="n">
        <v>0</v>
      </c>
      <c r="M413" t="n">
        <v>0</v>
      </c>
      <c r="N413" t="n">
        <v>0</v>
      </c>
      <c r="O413" t="n">
        <v>0</v>
      </c>
      <c r="P413" t="n">
        <v>0</v>
      </c>
      <c r="Q413" t="n">
        <v>0</v>
      </c>
      <c r="R413" s="2" t="inlineStr"/>
    </row>
    <row r="414" ht="15" customHeight="1">
      <c r="A414" t="inlineStr">
        <is>
          <t>A 48843-2024</t>
        </is>
      </c>
      <c r="B414" s="1" t="n">
        <v>45593</v>
      </c>
      <c r="C414" s="1" t="n">
        <v>45892</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10158-2025</t>
        </is>
      </c>
      <c r="B415" s="1" t="n">
        <v>45719</v>
      </c>
      <c r="C415" s="1" t="n">
        <v>45892</v>
      </c>
      <c r="D415" t="inlineStr">
        <is>
          <t>GOTLANDS LÄN</t>
        </is>
      </c>
      <c r="E415" t="inlineStr">
        <is>
          <t>GOTLAND</t>
        </is>
      </c>
      <c r="G415" t="n">
        <v>3.5</v>
      </c>
      <c r="H415" t="n">
        <v>0</v>
      </c>
      <c r="I415" t="n">
        <v>0</v>
      </c>
      <c r="J415" t="n">
        <v>0</v>
      </c>
      <c r="K415" t="n">
        <v>0</v>
      </c>
      <c r="L415" t="n">
        <v>0</v>
      </c>
      <c r="M415" t="n">
        <v>0</v>
      </c>
      <c r="N415" t="n">
        <v>0</v>
      </c>
      <c r="O415" t="n">
        <v>0</v>
      </c>
      <c r="P415" t="n">
        <v>0</v>
      </c>
      <c r="Q415" t="n">
        <v>0</v>
      </c>
      <c r="R415" s="2" t="inlineStr"/>
    </row>
    <row r="416" ht="15" customHeight="1">
      <c r="A416" t="inlineStr">
        <is>
          <t>A 26391-2025</t>
        </is>
      </c>
      <c r="B416" s="1" t="n">
        <v>45806</v>
      </c>
      <c r="C416" s="1" t="n">
        <v>45892</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26465-2025</t>
        </is>
      </c>
      <c r="B417" s="1" t="n">
        <v>45807.44377314814</v>
      </c>
      <c r="C417" s="1" t="n">
        <v>45892</v>
      </c>
      <c r="D417" t="inlineStr">
        <is>
          <t>GOTLANDS LÄN</t>
        </is>
      </c>
      <c r="E417" t="inlineStr">
        <is>
          <t>GOTLAND</t>
        </is>
      </c>
      <c r="G417" t="n">
        <v>4.5</v>
      </c>
      <c r="H417" t="n">
        <v>0</v>
      </c>
      <c r="I417" t="n">
        <v>0</v>
      </c>
      <c r="J417" t="n">
        <v>0</v>
      </c>
      <c r="K417" t="n">
        <v>0</v>
      </c>
      <c r="L417" t="n">
        <v>0</v>
      </c>
      <c r="M417" t="n">
        <v>0</v>
      </c>
      <c r="N417" t="n">
        <v>0</v>
      </c>
      <c r="O417" t="n">
        <v>0</v>
      </c>
      <c r="P417" t="n">
        <v>0</v>
      </c>
      <c r="Q417" t="n">
        <v>0</v>
      </c>
      <c r="R417" s="2" t="inlineStr"/>
    </row>
    <row r="418" ht="15" customHeight="1">
      <c r="A418" t="inlineStr">
        <is>
          <t>A 10653-2023</t>
        </is>
      </c>
      <c r="B418" s="1" t="n">
        <v>44988.48859953704</v>
      </c>
      <c r="C418" s="1" t="n">
        <v>45892</v>
      </c>
      <c r="D418" t="inlineStr">
        <is>
          <t>GOTLANDS LÄN</t>
        </is>
      </c>
      <c r="E418" t="inlineStr">
        <is>
          <t>GOTLAND</t>
        </is>
      </c>
      <c r="F418" t="inlineStr">
        <is>
          <t>Kyrkan</t>
        </is>
      </c>
      <c r="G418" t="n">
        <v>3</v>
      </c>
      <c r="H418" t="n">
        <v>0</v>
      </c>
      <c r="I418" t="n">
        <v>0</v>
      </c>
      <c r="J418" t="n">
        <v>0</v>
      </c>
      <c r="K418" t="n">
        <v>0</v>
      </c>
      <c r="L418" t="n">
        <v>0</v>
      </c>
      <c r="M418" t="n">
        <v>0</v>
      </c>
      <c r="N418" t="n">
        <v>0</v>
      </c>
      <c r="O418" t="n">
        <v>0</v>
      </c>
      <c r="P418" t="n">
        <v>0</v>
      </c>
      <c r="Q418" t="n">
        <v>0</v>
      </c>
      <c r="R418" s="2" t="inlineStr"/>
    </row>
    <row r="419" ht="15" customHeight="1">
      <c r="A419" t="inlineStr">
        <is>
          <t>A 26457-2025</t>
        </is>
      </c>
      <c r="B419" s="1" t="n">
        <v>45807.42773148148</v>
      </c>
      <c r="C419" s="1" t="n">
        <v>45892</v>
      </c>
      <c r="D419" t="inlineStr">
        <is>
          <t>GOTLANDS LÄN</t>
        </is>
      </c>
      <c r="E419" t="inlineStr">
        <is>
          <t>GOTLAND</t>
        </is>
      </c>
      <c r="G419" t="n">
        <v>5.7</v>
      </c>
      <c r="H419" t="n">
        <v>0</v>
      </c>
      <c r="I419" t="n">
        <v>0</v>
      </c>
      <c r="J419" t="n">
        <v>0</v>
      </c>
      <c r="K419" t="n">
        <v>0</v>
      </c>
      <c r="L419" t="n">
        <v>0</v>
      </c>
      <c r="M419" t="n">
        <v>0</v>
      </c>
      <c r="N419" t="n">
        <v>0</v>
      </c>
      <c r="O419" t="n">
        <v>0</v>
      </c>
      <c r="P419" t="n">
        <v>0</v>
      </c>
      <c r="Q419" t="n">
        <v>0</v>
      </c>
      <c r="R419" s="2" t="inlineStr"/>
    </row>
    <row r="420" ht="15" customHeight="1">
      <c r="A420" t="inlineStr">
        <is>
          <t>A 26467-2025</t>
        </is>
      </c>
      <c r="B420" s="1" t="n">
        <v>45807.44640046296</v>
      </c>
      <c r="C420" s="1" t="n">
        <v>45892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32669-2024</t>
        </is>
      </c>
      <c r="B421" s="1" t="n">
        <v>45514</v>
      </c>
      <c r="C421" s="1" t="n">
        <v>45892</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35123-2025</t>
        </is>
      </c>
      <c r="B422" s="1" t="n">
        <v>45852.614375</v>
      </c>
      <c r="C422" s="1" t="n">
        <v>45892</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35129-2025</t>
        </is>
      </c>
      <c r="B423" s="1" t="n">
        <v>45852.63224537037</v>
      </c>
      <c r="C423" s="1" t="n">
        <v>45892</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35133-2025</t>
        </is>
      </c>
      <c r="B424" s="1" t="n">
        <v>45852.6363425926</v>
      </c>
      <c r="C424" s="1" t="n">
        <v>45892</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35512-2023</t>
        </is>
      </c>
      <c r="B425" s="1" t="n">
        <v>45147.25623842593</v>
      </c>
      <c r="C425" s="1" t="n">
        <v>45892</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35096-2025</t>
        </is>
      </c>
      <c r="B426" s="1" t="n">
        <v>45852.54356481481</v>
      </c>
      <c r="C426" s="1" t="n">
        <v>45892</v>
      </c>
      <c r="D426" t="inlineStr">
        <is>
          <t>GOTLANDS LÄN</t>
        </is>
      </c>
      <c r="E426" t="inlineStr">
        <is>
          <t>GOTLAND</t>
        </is>
      </c>
      <c r="F426" t="inlineStr">
        <is>
          <t>Kyrkan</t>
        </is>
      </c>
      <c r="G426" t="n">
        <v>1</v>
      </c>
      <c r="H426" t="n">
        <v>0</v>
      </c>
      <c r="I426" t="n">
        <v>0</v>
      </c>
      <c r="J426" t="n">
        <v>0</v>
      </c>
      <c r="K426" t="n">
        <v>0</v>
      </c>
      <c r="L426" t="n">
        <v>0</v>
      </c>
      <c r="M426" t="n">
        <v>0</v>
      </c>
      <c r="N426" t="n">
        <v>0</v>
      </c>
      <c r="O426" t="n">
        <v>0</v>
      </c>
      <c r="P426" t="n">
        <v>0</v>
      </c>
      <c r="Q426" t="n">
        <v>0</v>
      </c>
      <c r="R426" s="2" t="inlineStr"/>
    </row>
    <row r="427" ht="15" customHeight="1">
      <c r="A427" t="inlineStr">
        <is>
          <t>A 35141-2025</t>
        </is>
      </c>
      <c r="B427" s="1" t="n">
        <v>45852.65206018519</v>
      </c>
      <c r="C427" s="1" t="n">
        <v>45892</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11874-2024</t>
        </is>
      </c>
      <c r="B428" s="1" t="n">
        <v>45376.46956018519</v>
      </c>
      <c r="C428" s="1" t="n">
        <v>45892</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20855-2023</t>
        </is>
      </c>
      <c r="B429" s="1" t="n">
        <v>45058.82172453704</v>
      </c>
      <c r="C429" s="1" t="n">
        <v>45892</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35142-2025</t>
        </is>
      </c>
      <c r="B430" s="1" t="n">
        <v>45852.65532407408</v>
      </c>
      <c r="C430" s="1" t="n">
        <v>45892</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60709-2023</t>
        </is>
      </c>
      <c r="B431" s="1" t="n">
        <v>45260</v>
      </c>
      <c r="C431" s="1" t="n">
        <v>45892</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26660-2025</t>
        </is>
      </c>
      <c r="B432" s="1" t="n">
        <v>45810.39737268518</v>
      </c>
      <c r="C432" s="1" t="n">
        <v>45892</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1000-2024</t>
        </is>
      </c>
      <c r="B433" s="1" t="n">
        <v>45301.63371527778</v>
      </c>
      <c r="C433" s="1" t="n">
        <v>45892</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1010-2024</t>
        </is>
      </c>
      <c r="B434" s="1" t="n">
        <v>45301</v>
      </c>
      <c r="C434" s="1" t="n">
        <v>45892</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65249-2023</t>
        </is>
      </c>
      <c r="B435" s="1" t="n">
        <v>45290</v>
      </c>
      <c r="C435" s="1" t="n">
        <v>45892</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30956-2024</t>
        </is>
      </c>
      <c r="B436" s="1" t="n">
        <v>45499.42527777778</v>
      </c>
      <c r="C436" s="1" t="n">
        <v>45892</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20225-2025</t>
        </is>
      </c>
      <c r="B437" s="1" t="n">
        <v>45772.65802083333</v>
      </c>
      <c r="C437" s="1" t="n">
        <v>45892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12596-2023</t>
        </is>
      </c>
      <c r="B438" s="1" t="n">
        <v>45000.43310185185</v>
      </c>
      <c r="C438" s="1" t="n">
        <v>45892</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1677-2023</t>
        </is>
      </c>
      <c r="B439" s="1" t="n">
        <v>44938</v>
      </c>
      <c r="C439" s="1" t="n">
        <v>45892</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8045-2022</t>
        </is>
      </c>
      <c r="B440" s="1" t="n">
        <v>44609</v>
      </c>
      <c r="C440" s="1" t="n">
        <v>45892</v>
      </c>
      <c r="D440" t="inlineStr">
        <is>
          <t>GOTLANDS LÄN</t>
        </is>
      </c>
      <c r="E440" t="inlineStr">
        <is>
          <t>GOTLAND</t>
        </is>
      </c>
      <c r="G440" t="n">
        <v>7</v>
      </c>
      <c r="H440" t="n">
        <v>0</v>
      </c>
      <c r="I440" t="n">
        <v>0</v>
      </c>
      <c r="J440" t="n">
        <v>0</v>
      </c>
      <c r="K440" t="n">
        <v>0</v>
      </c>
      <c r="L440" t="n">
        <v>0</v>
      </c>
      <c r="M440" t="n">
        <v>0</v>
      </c>
      <c r="N440" t="n">
        <v>0</v>
      </c>
      <c r="O440" t="n">
        <v>0</v>
      </c>
      <c r="P440" t="n">
        <v>0</v>
      </c>
      <c r="Q440" t="n">
        <v>0</v>
      </c>
      <c r="R440" s="2" t="inlineStr"/>
    </row>
    <row r="441" ht="15" customHeight="1">
      <c r="A441" t="inlineStr">
        <is>
          <t>A 64831-2023</t>
        </is>
      </c>
      <c r="B441" s="1" t="n">
        <v>45282.44924768519</v>
      </c>
      <c r="C441" s="1" t="n">
        <v>45892</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8036-2022</t>
        </is>
      </c>
      <c r="B442" s="1" t="n">
        <v>44609.44362268518</v>
      </c>
      <c r="C442" s="1" t="n">
        <v>45892</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27355-2025</t>
        </is>
      </c>
      <c r="B443" s="1" t="n">
        <v>45812</v>
      </c>
      <c r="C443" s="1" t="n">
        <v>45892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46375-2024</t>
        </is>
      </c>
      <c r="B444" s="1" t="n">
        <v>45582</v>
      </c>
      <c r="C444" s="1" t="n">
        <v>45892</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27348-2025</t>
        </is>
      </c>
      <c r="B445" s="1" t="n">
        <v>45812.62451388889</v>
      </c>
      <c r="C445" s="1" t="n">
        <v>45892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27371-2025</t>
        </is>
      </c>
      <c r="B446" s="1" t="n">
        <v>45812</v>
      </c>
      <c r="C446" s="1" t="n">
        <v>45892</v>
      </c>
      <c r="D446" t="inlineStr">
        <is>
          <t>GOTLANDS LÄN</t>
        </is>
      </c>
      <c r="E446" t="inlineStr">
        <is>
          <t>GOTLAND</t>
        </is>
      </c>
      <c r="G446" t="n">
        <v>8</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45892</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45892</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65901-2021</t>
        </is>
      </c>
      <c r="B449" s="1" t="n">
        <v>44516</v>
      </c>
      <c r="C449" s="1" t="n">
        <v>45892</v>
      </c>
      <c r="D449" t="inlineStr">
        <is>
          <t>GOTLANDS LÄN</t>
        </is>
      </c>
      <c r="E449" t="inlineStr">
        <is>
          <t>GOTLAND</t>
        </is>
      </c>
      <c r="G449" t="n">
        <v>4.9</v>
      </c>
      <c r="H449" t="n">
        <v>0</v>
      </c>
      <c r="I449" t="n">
        <v>0</v>
      </c>
      <c r="J449" t="n">
        <v>0</v>
      </c>
      <c r="K449" t="n">
        <v>0</v>
      </c>
      <c r="L449" t="n">
        <v>0</v>
      </c>
      <c r="M449" t="n">
        <v>0</v>
      </c>
      <c r="N449" t="n">
        <v>0</v>
      </c>
      <c r="O449" t="n">
        <v>0</v>
      </c>
      <c r="P449" t="n">
        <v>0</v>
      </c>
      <c r="Q449" t="n">
        <v>0</v>
      </c>
      <c r="R449" s="2" t="inlineStr"/>
    </row>
    <row r="450" ht="15" customHeight="1">
      <c r="A450" t="inlineStr">
        <is>
          <t>A 47762-2023</t>
        </is>
      </c>
      <c r="B450" s="1" t="n">
        <v>45203.86256944444</v>
      </c>
      <c r="C450" s="1" t="n">
        <v>45892</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7638-2025</t>
        </is>
      </c>
      <c r="B451" s="1" t="n">
        <v>45705.77306712963</v>
      </c>
      <c r="C451" s="1" t="n">
        <v>45892</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35290-2025</t>
        </is>
      </c>
      <c r="B452" s="1" t="n">
        <v>45854.38502314815</v>
      </c>
      <c r="C452" s="1" t="n">
        <v>45892</v>
      </c>
      <c r="D452" t="inlineStr">
        <is>
          <t>GOTLANDS LÄN</t>
        </is>
      </c>
      <c r="E452" t="inlineStr">
        <is>
          <t>GOTLAND</t>
        </is>
      </c>
      <c r="G452" t="n">
        <v>5.4</v>
      </c>
      <c r="H452" t="n">
        <v>0</v>
      </c>
      <c r="I452" t="n">
        <v>0</v>
      </c>
      <c r="J452" t="n">
        <v>0</v>
      </c>
      <c r="K452" t="n">
        <v>0</v>
      </c>
      <c r="L452" t="n">
        <v>0</v>
      </c>
      <c r="M452" t="n">
        <v>0</v>
      </c>
      <c r="N452" t="n">
        <v>0</v>
      </c>
      <c r="O452" t="n">
        <v>0</v>
      </c>
      <c r="P452" t="n">
        <v>0</v>
      </c>
      <c r="Q452" t="n">
        <v>0</v>
      </c>
      <c r="R452" s="2" t="inlineStr"/>
    </row>
    <row r="453" ht="15" customHeight="1">
      <c r="A453" t="inlineStr">
        <is>
          <t>A 40294-2022</t>
        </is>
      </c>
      <c r="B453" s="1" t="n">
        <v>44821</v>
      </c>
      <c r="C453" s="1" t="n">
        <v>45892</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27602-2023</t>
        </is>
      </c>
      <c r="B454" s="1" t="n">
        <v>45097</v>
      </c>
      <c r="C454" s="1" t="n">
        <v>45892</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4377-2023</t>
        </is>
      </c>
      <c r="B455" s="1" t="n">
        <v>44955.5502662037</v>
      </c>
      <c r="C455" s="1" t="n">
        <v>45892</v>
      </c>
      <c r="D455" t="inlineStr">
        <is>
          <t>GOTLANDS LÄN</t>
        </is>
      </c>
      <c r="E455" t="inlineStr">
        <is>
          <t>GOTLAND</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58780-2024</t>
        </is>
      </c>
      <c r="B456" s="1" t="n">
        <v>45635.84113425926</v>
      </c>
      <c r="C456" s="1" t="n">
        <v>45892</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45892</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35537-2025</t>
        </is>
      </c>
      <c r="B458" s="1" t="n">
        <v>45856</v>
      </c>
      <c r="C458" s="1" t="n">
        <v>45892</v>
      </c>
      <c r="D458" t="inlineStr">
        <is>
          <t>GOTLANDS LÄN</t>
        </is>
      </c>
      <c r="E458" t="inlineStr">
        <is>
          <t>GOTLAND</t>
        </is>
      </c>
      <c r="G458" t="n">
        <v>16.8</v>
      </c>
      <c r="H458" t="n">
        <v>0</v>
      </c>
      <c r="I458" t="n">
        <v>0</v>
      </c>
      <c r="J458" t="n">
        <v>0</v>
      </c>
      <c r="K458" t="n">
        <v>0</v>
      </c>
      <c r="L458" t="n">
        <v>0</v>
      </c>
      <c r="M458" t="n">
        <v>0</v>
      </c>
      <c r="N458" t="n">
        <v>0</v>
      </c>
      <c r="O458" t="n">
        <v>0</v>
      </c>
      <c r="P458" t="n">
        <v>0</v>
      </c>
      <c r="Q458" t="n">
        <v>0</v>
      </c>
      <c r="R458" s="2" t="inlineStr"/>
    </row>
    <row r="459" ht="15" customHeight="1">
      <c r="A459" t="inlineStr">
        <is>
          <t>A 35550-2025</t>
        </is>
      </c>
      <c r="B459" s="1" t="n">
        <v>45856.49324074074</v>
      </c>
      <c r="C459" s="1" t="n">
        <v>45892</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7850-2025</t>
        </is>
      </c>
      <c r="B460" s="1" t="n">
        <v>45706</v>
      </c>
      <c r="C460" s="1" t="n">
        <v>45892</v>
      </c>
      <c r="D460" t="inlineStr">
        <is>
          <t>GOTLANDS LÄN</t>
        </is>
      </c>
      <c r="E460" t="inlineStr">
        <is>
          <t>GOTLAND</t>
        </is>
      </c>
      <c r="G460" t="n">
        <v>0.5</v>
      </c>
      <c r="H460" t="n">
        <v>0</v>
      </c>
      <c r="I460" t="n">
        <v>0</v>
      </c>
      <c r="J460" t="n">
        <v>0</v>
      </c>
      <c r="K460" t="n">
        <v>0</v>
      </c>
      <c r="L460" t="n">
        <v>0</v>
      </c>
      <c r="M460" t="n">
        <v>0</v>
      </c>
      <c r="N460" t="n">
        <v>0</v>
      </c>
      <c r="O460" t="n">
        <v>0</v>
      </c>
      <c r="P460" t="n">
        <v>0</v>
      </c>
      <c r="Q460" t="n">
        <v>0</v>
      </c>
      <c r="R460" s="2" t="inlineStr"/>
    </row>
    <row r="461" ht="15" customHeight="1">
      <c r="A461" t="inlineStr">
        <is>
          <t>A 43901-2023</t>
        </is>
      </c>
      <c r="B461" s="1" t="n">
        <v>45187</v>
      </c>
      <c r="C461" s="1" t="n">
        <v>45892</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17532-2024</t>
        </is>
      </c>
      <c r="B462" s="1" t="n">
        <v>45415</v>
      </c>
      <c r="C462" s="1" t="n">
        <v>45892</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45692-2023</t>
        </is>
      </c>
      <c r="B463" s="1" t="n">
        <v>45195</v>
      </c>
      <c r="C463" s="1" t="n">
        <v>45892</v>
      </c>
      <c r="D463" t="inlineStr">
        <is>
          <t>GOTLANDS LÄN</t>
        </is>
      </c>
      <c r="E463" t="inlineStr">
        <is>
          <t>GOTLAND</t>
        </is>
      </c>
      <c r="G463" t="n">
        <v>5.3</v>
      </c>
      <c r="H463" t="n">
        <v>0</v>
      </c>
      <c r="I463" t="n">
        <v>0</v>
      </c>
      <c r="J463" t="n">
        <v>0</v>
      </c>
      <c r="K463" t="n">
        <v>0</v>
      </c>
      <c r="L463" t="n">
        <v>0</v>
      </c>
      <c r="M463" t="n">
        <v>0</v>
      </c>
      <c r="N463" t="n">
        <v>0</v>
      </c>
      <c r="O463" t="n">
        <v>0</v>
      </c>
      <c r="P463" t="n">
        <v>0</v>
      </c>
      <c r="Q463" t="n">
        <v>0</v>
      </c>
      <c r="R463" s="2" t="inlineStr"/>
    </row>
    <row r="464" ht="15" customHeight="1">
      <c r="A464" t="inlineStr">
        <is>
          <t>A 46778-2020</t>
        </is>
      </c>
      <c r="B464" s="1" t="n">
        <v>44096</v>
      </c>
      <c r="C464" s="1" t="n">
        <v>45892</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6739-2025</t>
        </is>
      </c>
      <c r="B465" s="1" t="n">
        <v>45700</v>
      </c>
      <c r="C465" s="1" t="n">
        <v>45892</v>
      </c>
      <c r="D465" t="inlineStr">
        <is>
          <t>GOTLANDS LÄN</t>
        </is>
      </c>
      <c r="E465" t="inlineStr">
        <is>
          <t>GOTLAND</t>
        </is>
      </c>
      <c r="G465" t="n">
        <v>4.5</v>
      </c>
      <c r="H465" t="n">
        <v>0</v>
      </c>
      <c r="I465" t="n">
        <v>0</v>
      </c>
      <c r="J465" t="n">
        <v>0</v>
      </c>
      <c r="K465" t="n">
        <v>0</v>
      </c>
      <c r="L465" t="n">
        <v>0</v>
      </c>
      <c r="M465" t="n">
        <v>0</v>
      </c>
      <c r="N465" t="n">
        <v>0</v>
      </c>
      <c r="O465" t="n">
        <v>0</v>
      </c>
      <c r="P465" t="n">
        <v>0</v>
      </c>
      <c r="Q465" t="n">
        <v>0</v>
      </c>
      <c r="R465" s="2" t="inlineStr"/>
    </row>
    <row r="466" ht="15" customHeight="1">
      <c r="A466" t="inlineStr">
        <is>
          <t>A 24192-2023</t>
        </is>
      </c>
      <c r="B466" s="1" t="n">
        <v>45079</v>
      </c>
      <c r="C466" s="1" t="n">
        <v>45892</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30282-2022</t>
        </is>
      </c>
      <c r="B467" s="1" t="n">
        <v>44760</v>
      </c>
      <c r="C467" s="1" t="n">
        <v>45892</v>
      </c>
      <c r="D467" t="inlineStr">
        <is>
          <t>GOTLANDS LÄN</t>
        </is>
      </c>
      <c r="E467" t="inlineStr">
        <is>
          <t>GOTLAND</t>
        </is>
      </c>
      <c r="G467" t="n">
        <v>2.6</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45892</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7835-2024</t>
        </is>
      </c>
      <c r="B469" s="1" t="n">
        <v>45349.83138888889</v>
      </c>
      <c r="C469" s="1" t="n">
        <v>45892</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10650-2022</t>
        </is>
      </c>
      <c r="B470" s="1" t="n">
        <v>44624.57945601852</v>
      </c>
      <c r="C470" s="1" t="n">
        <v>45892</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8444-2025</t>
        </is>
      </c>
      <c r="B471" s="1" t="n">
        <v>45709</v>
      </c>
      <c r="C471" s="1" t="n">
        <v>45892</v>
      </c>
      <c r="D471" t="inlineStr">
        <is>
          <t>GOTLANDS LÄN</t>
        </is>
      </c>
      <c r="E471" t="inlineStr">
        <is>
          <t>GOTLAND</t>
        </is>
      </c>
      <c r="G471" t="n">
        <v>5.2</v>
      </c>
      <c r="H471" t="n">
        <v>0</v>
      </c>
      <c r="I471" t="n">
        <v>0</v>
      </c>
      <c r="J471" t="n">
        <v>0</v>
      </c>
      <c r="K471" t="n">
        <v>0</v>
      </c>
      <c r="L471" t="n">
        <v>0</v>
      </c>
      <c r="M471" t="n">
        <v>0</v>
      </c>
      <c r="N471" t="n">
        <v>0</v>
      </c>
      <c r="O471" t="n">
        <v>0</v>
      </c>
      <c r="P471" t="n">
        <v>0</v>
      </c>
      <c r="Q471" t="n">
        <v>0</v>
      </c>
      <c r="R471" s="2" t="inlineStr"/>
    </row>
    <row r="472" ht="15" customHeight="1">
      <c r="A472" t="inlineStr">
        <is>
          <t>A 19905-2025</t>
        </is>
      </c>
      <c r="B472" s="1" t="n">
        <v>45771</v>
      </c>
      <c r="C472" s="1" t="n">
        <v>45892</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45892</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26810-2021</t>
        </is>
      </c>
      <c r="B474" s="1" t="n">
        <v>44349.55087962963</v>
      </c>
      <c r="C474" s="1" t="n">
        <v>45892</v>
      </c>
      <c r="D474" t="inlineStr">
        <is>
          <t>GOTLANDS LÄN</t>
        </is>
      </c>
      <c r="E474" t="inlineStr">
        <is>
          <t>GOTLAND</t>
        </is>
      </c>
      <c r="G474" t="n">
        <v>3.5</v>
      </c>
      <c r="H474" t="n">
        <v>0</v>
      </c>
      <c r="I474" t="n">
        <v>0</v>
      </c>
      <c r="J474" t="n">
        <v>0</v>
      </c>
      <c r="K474" t="n">
        <v>0</v>
      </c>
      <c r="L474" t="n">
        <v>0</v>
      </c>
      <c r="M474" t="n">
        <v>0</v>
      </c>
      <c r="N474" t="n">
        <v>0</v>
      </c>
      <c r="O474" t="n">
        <v>0</v>
      </c>
      <c r="P474" t="n">
        <v>0</v>
      </c>
      <c r="Q474" t="n">
        <v>0</v>
      </c>
      <c r="R474" s="2" t="inlineStr"/>
    </row>
    <row r="475" ht="15" customHeight="1">
      <c r="A475" t="inlineStr">
        <is>
          <t>A 58388-2022</t>
        </is>
      </c>
      <c r="B475" s="1" t="n">
        <v>44894</v>
      </c>
      <c r="C475" s="1" t="n">
        <v>45892</v>
      </c>
      <c r="D475" t="inlineStr">
        <is>
          <t>GOTLANDS LÄN</t>
        </is>
      </c>
      <c r="E475" t="inlineStr">
        <is>
          <t>GOTLAND</t>
        </is>
      </c>
      <c r="F475" t="inlineStr">
        <is>
          <t>Övriga statliga verk och myndigheter</t>
        </is>
      </c>
      <c r="G475" t="n">
        <v>3.1</v>
      </c>
      <c r="H475" t="n">
        <v>0</v>
      </c>
      <c r="I475" t="n">
        <v>0</v>
      </c>
      <c r="J475" t="n">
        <v>0</v>
      </c>
      <c r="K475" t="n">
        <v>0</v>
      </c>
      <c r="L475" t="n">
        <v>0</v>
      </c>
      <c r="M475" t="n">
        <v>0</v>
      </c>
      <c r="N475" t="n">
        <v>0</v>
      </c>
      <c r="O475" t="n">
        <v>0</v>
      </c>
      <c r="P475" t="n">
        <v>0</v>
      </c>
      <c r="Q475" t="n">
        <v>0</v>
      </c>
      <c r="R475" s="2" t="inlineStr"/>
    </row>
    <row r="476" ht="15" customHeight="1">
      <c r="A476" t="inlineStr">
        <is>
          <t>A 28425-2023</t>
        </is>
      </c>
      <c r="B476" s="1" t="n">
        <v>45102</v>
      </c>
      <c r="C476" s="1" t="n">
        <v>45892</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29207-2025</t>
        </is>
      </c>
      <c r="B477" s="1" t="n">
        <v>45823</v>
      </c>
      <c r="C477" s="1" t="n">
        <v>45892</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29196-2025</t>
        </is>
      </c>
      <c r="B478" s="1" t="n">
        <v>45822</v>
      </c>
      <c r="C478" s="1" t="n">
        <v>45892</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13037-2025</t>
        </is>
      </c>
      <c r="B479" s="1" t="n">
        <v>45734</v>
      </c>
      <c r="C479" s="1" t="n">
        <v>45892</v>
      </c>
      <c r="D479" t="inlineStr">
        <is>
          <t>GOTLANDS LÄN</t>
        </is>
      </c>
      <c r="E479" t="inlineStr">
        <is>
          <t>GOTLAND</t>
        </is>
      </c>
      <c r="G479" t="n">
        <v>9.5</v>
      </c>
      <c r="H479" t="n">
        <v>0</v>
      </c>
      <c r="I479" t="n">
        <v>0</v>
      </c>
      <c r="J479" t="n">
        <v>0</v>
      </c>
      <c r="K479" t="n">
        <v>0</v>
      </c>
      <c r="L479" t="n">
        <v>0</v>
      </c>
      <c r="M479" t="n">
        <v>0</v>
      </c>
      <c r="N479" t="n">
        <v>0</v>
      </c>
      <c r="O479" t="n">
        <v>0</v>
      </c>
      <c r="P479" t="n">
        <v>0</v>
      </c>
      <c r="Q479" t="n">
        <v>0</v>
      </c>
      <c r="R479" s="2" t="inlineStr"/>
    </row>
    <row r="480" ht="15" customHeight="1">
      <c r="A480" t="inlineStr">
        <is>
          <t>A 53934-2024</t>
        </is>
      </c>
      <c r="B480" s="1" t="n">
        <v>45615</v>
      </c>
      <c r="C480" s="1" t="n">
        <v>45892</v>
      </c>
      <c r="D480" t="inlineStr">
        <is>
          <t>GOTLANDS LÄN</t>
        </is>
      </c>
      <c r="E480" t="inlineStr">
        <is>
          <t>GOTLAND</t>
        </is>
      </c>
      <c r="G480" t="n">
        <v>5</v>
      </c>
      <c r="H480" t="n">
        <v>0</v>
      </c>
      <c r="I480" t="n">
        <v>0</v>
      </c>
      <c r="J480" t="n">
        <v>0</v>
      </c>
      <c r="K480" t="n">
        <v>0</v>
      </c>
      <c r="L480" t="n">
        <v>0</v>
      </c>
      <c r="M480" t="n">
        <v>0</v>
      </c>
      <c r="N480" t="n">
        <v>0</v>
      </c>
      <c r="O480" t="n">
        <v>0</v>
      </c>
      <c r="P480" t="n">
        <v>0</v>
      </c>
      <c r="Q480" t="n">
        <v>0</v>
      </c>
      <c r="R480" s="2" t="inlineStr"/>
    </row>
    <row r="481" ht="15" customHeight="1">
      <c r="A481" t="inlineStr">
        <is>
          <t>A 36319-2025</t>
        </is>
      </c>
      <c r="B481" s="1" t="n">
        <v>45868.38543981482</v>
      </c>
      <c r="C481" s="1" t="n">
        <v>45892</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58132-2023</t>
        </is>
      </c>
      <c r="B482" s="1" t="n">
        <v>45250</v>
      </c>
      <c r="C482" s="1" t="n">
        <v>45892</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22899-2023</t>
        </is>
      </c>
      <c r="B483" s="1" t="n">
        <v>45072</v>
      </c>
      <c r="C483" s="1" t="n">
        <v>45892</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28285-2024</t>
        </is>
      </c>
      <c r="B484" s="1" t="n">
        <v>45477</v>
      </c>
      <c r="C484" s="1" t="n">
        <v>45892</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51963-2024</t>
        </is>
      </c>
      <c r="B485" s="1" t="n">
        <v>45607.64833333333</v>
      </c>
      <c r="C485" s="1" t="n">
        <v>45892</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30061-2025</t>
        </is>
      </c>
      <c r="B486" s="1" t="n">
        <v>45826.61488425926</v>
      </c>
      <c r="C486" s="1" t="n">
        <v>45892</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55334-2024</t>
        </is>
      </c>
      <c r="B487" s="1" t="n">
        <v>45621</v>
      </c>
      <c r="C487" s="1" t="n">
        <v>45892</v>
      </c>
      <c r="D487" t="inlineStr">
        <is>
          <t>GOTLANDS LÄN</t>
        </is>
      </c>
      <c r="E487" t="inlineStr">
        <is>
          <t>GOTLAND</t>
        </is>
      </c>
      <c r="G487" t="n">
        <v>21.7</v>
      </c>
      <c r="H487" t="n">
        <v>0</v>
      </c>
      <c r="I487" t="n">
        <v>0</v>
      </c>
      <c r="J487" t="n">
        <v>0</v>
      </c>
      <c r="K487" t="n">
        <v>0</v>
      </c>
      <c r="L487" t="n">
        <v>0</v>
      </c>
      <c r="M487" t="n">
        <v>0</v>
      </c>
      <c r="N487" t="n">
        <v>0</v>
      </c>
      <c r="O487" t="n">
        <v>0</v>
      </c>
      <c r="P487" t="n">
        <v>0</v>
      </c>
      <c r="Q487" t="n">
        <v>0</v>
      </c>
      <c r="R487" s="2" t="inlineStr"/>
    </row>
    <row r="488" ht="15" customHeight="1">
      <c r="A488" t="inlineStr">
        <is>
          <t>A 30104-2025</t>
        </is>
      </c>
      <c r="B488" s="1" t="n">
        <v>45826.68806712963</v>
      </c>
      <c r="C488" s="1" t="n">
        <v>45892</v>
      </c>
      <c r="D488" t="inlineStr">
        <is>
          <t>GOTLANDS LÄN</t>
        </is>
      </c>
      <c r="E488" t="inlineStr">
        <is>
          <t>GOTLAND</t>
        </is>
      </c>
      <c r="G488" t="n">
        <v>15.4</v>
      </c>
      <c r="H488" t="n">
        <v>0</v>
      </c>
      <c r="I488" t="n">
        <v>0</v>
      </c>
      <c r="J488" t="n">
        <v>0</v>
      </c>
      <c r="K488" t="n">
        <v>0</v>
      </c>
      <c r="L488" t="n">
        <v>0</v>
      </c>
      <c r="M488" t="n">
        <v>0</v>
      </c>
      <c r="N488" t="n">
        <v>0</v>
      </c>
      <c r="O488" t="n">
        <v>0</v>
      </c>
      <c r="P488" t="n">
        <v>0</v>
      </c>
      <c r="Q488" t="n">
        <v>0</v>
      </c>
      <c r="R488" s="2" t="inlineStr"/>
    </row>
    <row r="489" ht="15" customHeight="1">
      <c r="A489" t="inlineStr">
        <is>
          <t>A 30157-2025</t>
        </is>
      </c>
      <c r="B489" s="1" t="n">
        <v>45826</v>
      </c>
      <c r="C489" s="1" t="n">
        <v>45892</v>
      </c>
      <c r="D489" t="inlineStr">
        <is>
          <t>GOTLANDS LÄN</t>
        </is>
      </c>
      <c r="E489" t="inlineStr">
        <is>
          <t>GOTLAND</t>
        </is>
      </c>
      <c r="G489" t="n">
        <v>2.5</v>
      </c>
      <c r="H489" t="n">
        <v>0</v>
      </c>
      <c r="I489" t="n">
        <v>0</v>
      </c>
      <c r="J489" t="n">
        <v>0</v>
      </c>
      <c r="K489" t="n">
        <v>0</v>
      </c>
      <c r="L489" t="n">
        <v>0</v>
      </c>
      <c r="M489" t="n">
        <v>0</v>
      </c>
      <c r="N489" t="n">
        <v>0</v>
      </c>
      <c r="O489" t="n">
        <v>0</v>
      </c>
      <c r="P489" t="n">
        <v>0</v>
      </c>
      <c r="Q489" t="n">
        <v>0</v>
      </c>
      <c r="R489" s="2" t="inlineStr"/>
    </row>
    <row r="490" ht="15" customHeight="1">
      <c r="A490" t="inlineStr">
        <is>
          <t>A 10746-2025</t>
        </is>
      </c>
      <c r="B490" s="1" t="n">
        <v>45722.42766203704</v>
      </c>
      <c r="C490" s="1" t="n">
        <v>45892</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30488-2025</t>
        </is>
      </c>
      <c r="B491" s="1" t="n">
        <v>45830</v>
      </c>
      <c r="C491" s="1" t="n">
        <v>45892</v>
      </c>
      <c r="D491" t="inlineStr">
        <is>
          <t>GOTLANDS LÄN</t>
        </is>
      </c>
      <c r="E491" t="inlineStr">
        <is>
          <t>GOTLAND</t>
        </is>
      </c>
      <c r="F491" t="inlineStr">
        <is>
          <t>Kyrkan</t>
        </is>
      </c>
      <c r="G491" t="n">
        <v>3.9</v>
      </c>
      <c r="H491" t="n">
        <v>0</v>
      </c>
      <c r="I491" t="n">
        <v>0</v>
      </c>
      <c r="J491" t="n">
        <v>0</v>
      </c>
      <c r="K491" t="n">
        <v>0</v>
      </c>
      <c r="L491" t="n">
        <v>0</v>
      </c>
      <c r="M491" t="n">
        <v>0</v>
      </c>
      <c r="N491" t="n">
        <v>0</v>
      </c>
      <c r="O491" t="n">
        <v>0</v>
      </c>
      <c r="P491" t="n">
        <v>0</v>
      </c>
      <c r="Q491" t="n">
        <v>0</v>
      </c>
      <c r="R491" s="2" t="inlineStr"/>
    </row>
    <row r="492" ht="15" customHeight="1">
      <c r="A492" t="inlineStr">
        <is>
          <t>A 1734-2025</t>
        </is>
      </c>
      <c r="B492" s="1" t="n">
        <v>45671.3840625</v>
      </c>
      <c r="C492" s="1" t="n">
        <v>45892</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30489-2025</t>
        </is>
      </c>
      <c r="B493" s="1" t="n">
        <v>45830</v>
      </c>
      <c r="C493" s="1" t="n">
        <v>45892</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30365-2024</t>
        </is>
      </c>
      <c r="B494" s="1" t="n">
        <v>45491.3716087963</v>
      </c>
      <c r="C494" s="1" t="n">
        <v>45892</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2674-2023</t>
        </is>
      </c>
      <c r="B495" s="1" t="n">
        <v>44944</v>
      </c>
      <c r="C495" s="1" t="n">
        <v>45892</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14915-2025</t>
        </is>
      </c>
      <c r="B496" s="1" t="n">
        <v>45743.53121527778</v>
      </c>
      <c r="C496" s="1" t="n">
        <v>45892</v>
      </c>
      <c r="D496" t="inlineStr">
        <is>
          <t>GOTLANDS LÄN</t>
        </is>
      </c>
      <c r="E496" t="inlineStr">
        <is>
          <t>GOTLAND</t>
        </is>
      </c>
      <c r="G496" t="n">
        <v>5.9</v>
      </c>
      <c r="H496" t="n">
        <v>0</v>
      </c>
      <c r="I496" t="n">
        <v>0</v>
      </c>
      <c r="J496" t="n">
        <v>0</v>
      </c>
      <c r="K496" t="n">
        <v>0</v>
      </c>
      <c r="L496" t="n">
        <v>0</v>
      </c>
      <c r="M496" t="n">
        <v>0</v>
      </c>
      <c r="N496" t="n">
        <v>0</v>
      </c>
      <c r="O496" t="n">
        <v>0</v>
      </c>
      <c r="P496" t="n">
        <v>0</v>
      </c>
      <c r="Q496" t="n">
        <v>0</v>
      </c>
      <c r="R496" s="2" t="inlineStr"/>
    </row>
    <row r="497" ht="15" customHeight="1">
      <c r="A497" t="inlineStr">
        <is>
          <t>A 58160-2024</t>
        </is>
      </c>
      <c r="B497" s="1" t="n">
        <v>45632.44927083333</v>
      </c>
      <c r="C497" s="1" t="n">
        <v>45892</v>
      </c>
      <c r="D497" t="inlineStr">
        <is>
          <t>GOTLANDS LÄN</t>
        </is>
      </c>
      <c r="E497" t="inlineStr">
        <is>
          <t>GOTLAND</t>
        </is>
      </c>
      <c r="G497" t="n">
        <v>5.6</v>
      </c>
      <c r="H497" t="n">
        <v>0</v>
      </c>
      <c r="I497" t="n">
        <v>0</v>
      </c>
      <c r="J497" t="n">
        <v>0</v>
      </c>
      <c r="K497" t="n">
        <v>0</v>
      </c>
      <c r="L497" t="n">
        <v>0</v>
      </c>
      <c r="M497" t="n">
        <v>0</v>
      </c>
      <c r="N497" t="n">
        <v>0</v>
      </c>
      <c r="O497" t="n">
        <v>0</v>
      </c>
      <c r="P497" t="n">
        <v>0</v>
      </c>
      <c r="Q497" t="n">
        <v>0</v>
      </c>
      <c r="R497" s="2" t="inlineStr"/>
    </row>
    <row r="498" ht="15" customHeight="1">
      <c r="A498" t="inlineStr">
        <is>
          <t>A 61100-2022</t>
        </is>
      </c>
      <c r="B498" s="1" t="n">
        <v>44915</v>
      </c>
      <c r="C498" s="1" t="n">
        <v>45892</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43785-2024</t>
        </is>
      </c>
      <c r="B499" s="1" t="n">
        <v>45570</v>
      </c>
      <c r="C499" s="1" t="n">
        <v>45892</v>
      </c>
      <c r="D499" t="inlineStr">
        <is>
          <t>GOTLANDS LÄN</t>
        </is>
      </c>
      <c r="E499" t="inlineStr">
        <is>
          <t>GOTLAND</t>
        </is>
      </c>
      <c r="G499" t="n">
        <v>12.6</v>
      </c>
      <c r="H499" t="n">
        <v>0</v>
      </c>
      <c r="I499" t="n">
        <v>0</v>
      </c>
      <c r="J499" t="n">
        <v>0</v>
      </c>
      <c r="K499" t="n">
        <v>0</v>
      </c>
      <c r="L499" t="n">
        <v>0</v>
      </c>
      <c r="M499" t="n">
        <v>0</v>
      </c>
      <c r="N499" t="n">
        <v>0</v>
      </c>
      <c r="O499" t="n">
        <v>0</v>
      </c>
      <c r="P499" t="n">
        <v>0</v>
      </c>
      <c r="Q499" t="n">
        <v>0</v>
      </c>
      <c r="R499" s="2" t="inlineStr"/>
    </row>
    <row r="500" ht="15" customHeight="1">
      <c r="A500" t="inlineStr">
        <is>
          <t>A 43790-2024</t>
        </is>
      </c>
      <c r="B500" s="1" t="n">
        <v>45571</v>
      </c>
      <c r="C500" s="1" t="n">
        <v>45892</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581-2023</t>
        </is>
      </c>
      <c r="B501" s="1" t="n">
        <v>44930</v>
      </c>
      <c r="C501" s="1" t="n">
        <v>45892</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10655-2023</t>
        </is>
      </c>
      <c r="B502" s="1" t="n">
        <v>44988.49543981482</v>
      </c>
      <c r="C502" s="1" t="n">
        <v>45892</v>
      </c>
      <c r="D502" t="inlineStr">
        <is>
          <t>GOTLANDS LÄN</t>
        </is>
      </c>
      <c r="E502" t="inlineStr">
        <is>
          <t>GOTLAND</t>
        </is>
      </c>
      <c r="F502" t="inlineStr">
        <is>
          <t>Kyrkan</t>
        </is>
      </c>
      <c r="G502" t="n">
        <v>2</v>
      </c>
      <c r="H502" t="n">
        <v>0</v>
      </c>
      <c r="I502" t="n">
        <v>0</v>
      </c>
      <c r="J502" t="n">
        <v>0</v>
      </c>
      <c r="K502" t="n">
        <v>0</v>
      </c>
      <c r="L502" t="n">
        <v>0</v>
      </c>
      <c r="M502" t="n">
        <v>0</v>
      </c>
      <c r="N502" t="n">
        <v>0</v>
      </c>
      <c r="O502" t="n">
        <v>0</v>
      </c>
      <c r="P502" t="n">
        <v>0</v>
      </c>
      <c r="Q502" t="n">
        <v>0</v>
      </c>
      <c r="R502" s="2" t="inlineStr"/>
    </row>
    <row r="503" ht="15" customHeight="1">
      <c r="A503" t="inlineStr">
        <is>
          <t>A 43229-2023</t>
        </is>
      </c>
      <c r="B503" s="1" t="n">
        <v>45183.46704861111</v>
      </c>
      <c r="C503" s="1" t="n">
        <v>45892</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3930-2025</t>
        </is>
      </c>
      <c r="B504" s="1" t="n">
        <v>45684.45427083333</v>
      </c>
      <c r="C504" s="1" t="n">
        <v>45892</v>
      </c>
      <c r="D504" t="inlineStr">
        <is>
          <t>GOTLANDS LÄN</t>
        </is>
      </c>
      <c r="E504" t="inlineStr">
        <is>
          <t>GOTLAND</t>
        </is>
      </c>
      <c r="G504" t="n">
        <v>5.2</v>
      </c>
      <c r="H504" t="n">
        <v>0</v>
      </c>
      <c r="I504" t="n">
        <v>0</v>
      </c>
      <c r="J504" t="n">
        <v>0</v>
      </c>
      <c r="K504" t="n">
        <v>0</v>
      </c>
      <c r="L504" t="n">
        <v>0</v>
      </c>
      <c r="M504" t="n">
        <v>0</v>
      </c>
      <c r="N504" t="n">
        <v>0</v>
      </c>
      <c r="O504" t="n">
        <v>0</v>
      </c>
      <c r="P504" t="n">
        <v>0</v>
      </c>
      <c r="Q504" t="n">
        <v>0</v>
      </c>
      <c r="R504" s="2" t="inlineStr"/>
    </row>
    <row r="505" ht="15" customHeight="1">
      <c r="A505" t="inlineStr">
        <is>
          <t>A 44649-2021</t>
        </is>
      </c>
      <c r="B505" s="1" t="n">
        <v>44437</v>
      </c>
      <c r="C505" s="1" t="n">
        <v>45892</v>
      </c>
      <c r="D505" t="inlineStr">
        <is>
          <t>GOTLANDS LÄN</t>
        </is>
      </c>
      <c r="E505" t="inlineStr">
        <is>
          <t>GOTLAND</t>
        </is>
      </c>
      <c r="G505" t="n">
        <v>8.1</v>
      </c>
      <c r="H505" t="n">
        <v>0</v>
      </c>
      <c r="I505" t="n">
        <v>0</v>
      </c>
      <c r="J505" t="n">
        <v>0</v>
      </c>
      <c r="K505" t="n">
        <v>0</v>
      </c>
      <c r="L505" t="n">
        <v>0</v>
      </c>
      <c r="M505" t="n">
        <v>0</v>
      </c>
      <c r="N505" t="n">
        <v>0</v>
      </c>
      <c r="O505" t="n">
        <v>0</v>
      </c>
      <c r="P505" t="n">
        <v>0</v>
      </c>
      <c r="Q505" t="n">
        <v>0</v>
      </c>
      <c r="R505" s="2" t="inlineStr"/>
    </row>
    <row r="506" ht="15" customHeight="1">
      <c r="A506" t="inlineStr">
        <is>
          <t>A 8484-2025</t>
        </is>
      </c>
      <c r="B506" s="1" t="n">
        <v>45709</v>
      </c>
      <c r="C506" s="1" t="n">
        <v>45892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41038-2023</t>
        </is>
      </c>
      <c r="B507" s="1" t="n">
        <v>45173.60959490741</v>
      </c>
      <c r="C507" s="1" t="n">
        <v>45892</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30135-2025</t>
        </is>
      </c>
      <c r="B508" s="1" t="n">
        <v>45826</v>
      </c>
      <c r="C508" s="1" t="n">
        <v>45892</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45892</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49962-2023</t>
        </is>
      </c>
      <c r="B510" s="1" t="n">
        <v>45215.38775462963</v>
      </c>
      <c r="C510" s="1" t="n">
        <v>45892</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37591-2023</t>
        </is>
      </c>
      <c r="B511" s="1" t="n">
        <v>45159</v>
      </c>
      <c r="C511" s="1" t="n">
        <v>45892</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24966-2023</t>
        </is>
      </c>
      <c r="B512" s="1" t="n">
        <v>45085</v>
      </c>
      <c r="C512" s="1" t="n">
        <v>45892</v>
      </c>
      <c r="D512" t="inlineStr">
        <is>
          <t>GOTLANDS LÄN</t>
        </is>
      </c>
      <c r="E512" t="inlineStr">
        <is>
          <t>GOTLAND</t>
        </is>
      </c>
      <c r="G512" t="n">
        <v>7</v>
      </c>
      <c r="H512" t="n">
        <v>0</v>
      </c>
      <c r="I512" t="n">
        <v>0</v>
      </c>
      <c r="J512" t="n">
        <v>0</v>
      </c>
      <c r="K512" t="n">
        <v>0</v>
      </c>
      <c r="L512" t="n">
        <v>0</v>
      </c>
      <c r="M512" t="n">
        <v>0</v>
      </c>
      <c r="N512" t="n">
        <v>0</v>
      </c>
      <c r="O512" t="n">
        <v>0</v>
      </c>
      <c r="P512" t="n">
        <v>0</v>
      </c>
      <c r="Q512" t="n">
        <v>0</v>
      </c>
      <c r="R512" s="2" t="inlineStr"/>
    </row>
    <row r="513" ht="15" customHeight="1">
      <c r="A513" t="inlineStr">
        <is>
          <t>A 50744-2024</t>
        </is>
      </c>
      <c r="B513" s="1" t="n">
        <v>45602.4187037037</v>
      </c>
      <c r="C513" s="1" t="n">
        <v>45892</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57652-2023</t>
        </is>
      </c>
      <c r="B514" s="1" t="n">
        <v>45246</v>
      </c>
      <c r="C514" s="1" t="n">
        <v>45892</v>
      </c>
      <c r="D514" t="inlineStr">
        <is>
          <t>GOTLANDS LÄN</t>
        </is>
      </c>
      <c r="E514" t="inlineStr">
        <is>
          <t>GOTLAND</t>
        </is>
      </c>
      <c r="G514" t="n">
        <v>7.2</v>
      </c>
      <c r="H514" t="n">
        <v>0</v>
      </c>
      <c r="I514" t="n">
        <v>0</v>
      </c>
      <c r="J514" t="n">
        <v>0</v>
      </c>
      <c r="K514" t="n">
        <v>0</v>
      </c>
      <c r="L514" t="n">
        <v>0</v>
      </c>
      <c r="M514" t="n">
        <v>0</v>
      </c>
      <c r="N514" t="n">
        <v>0</v>
      </c>
      <c r="O514" t="n">
        <v>0</v>
      </c>
      <c r="P514" t="n">
        <v>0</v>
      </c>
      <c r="Q514" t="n">
        <v>0</v>
      </c>
      <c r="R514" s="2" t="inlineStr"/>
    </row>
    <row r="515" ht="15" customHeight="1">
      <c r="A515" t="inlineStr">
        <is>
          <t>A 16109-2025</t>
        </is>
      </c>
      <c r="B515" s="1" t="n">
        <v>45750</v>
      </c>
      <c r="C515" s="1" t="n">
        <v>45892</v>
      </c>
      <c r="D515" t="inlineStr">
        <is>
          <t>GOTLANDS LÄN</t>
        </is>
      </c>
      <c r="E515" t="inlineStr">
        <is>
          <t>GOTLAND</t>
        </is>
      </c>
      <c r="G515" t="n">
        <v>4.9</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45892</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45244-2024</t>
        </is>
      </c>
      <c r="B517" s="1" t="n">
        <v>45576</v>
      </c>
      <c r="C517" s="1" t="n">
        <v>45892</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32467-2025</t>
        </is>
      </c>
      <c r="B518" s="1" t="n">
        <v>45838.42111111111</v>
      </c>
      <c r="C518" s="1" t="n">
        <v>45892</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57522-2022</t>
        </is>
      </c>
      <c r="B519" s="1" t="n">
        <v>44896</v>
      </c>
      <c r="C519" s="1" t="n">
        <v>45892</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45892</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38787-2023</t>
        </is>
      </c>
      <c r="B521" s="1" t="n">
        <v>45163</v>
      </c>
      <c r="C521" s="1" t="n">
        <v>45892</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32378-2025</t>
        </is>
      </c>
      <c r="B522" s="1" t="n">
        <v>45837</v>
      </c>
      <c r="C522" s="1" t="n">
        <v>45892</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32686-2025</t>
        </is>
      </c>
      <c r="B523" s="1" t="n">
        <v>45838</v>
      </c>
      <c r="C523" s="1" t="n">
        <v>45892</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20660-2025</t>
        </is>
      </c>
      <c r="B524" s="1" t="n">
        <v>45776</v>
      </c>
      <c r="C524" s="1" t="n">
        <v>45892</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7837-2024</t>
        </is>
      </c>
      <c r="B525" s="1" t="n">
        <v>45349.83787037037</v>
      </c>
      <c r="C525" s="1" t="n">
        <v>45892</v>
      </c>
      <c r="D525" t="inlineStr">
        <is>
          <t>GOTLANDS LÄN</t>
        </is>
      </c>
      <c r="E525" t="inlineStr">
        <is>
          <t>GOTLAND</t>
        </is>
      </c>
      <c r="G525" t="n">
        <v>5</v>
      </c>
      <c r="H525" t="n">
        <v>0</v>
      </c>
      <c r="I525" t="n">
        <v>0</v>
      </c>
      <c r="J525" t="n">
        <v>0</v>
      </c>
      <c r="K525" t="n">
        <v>0</v>
      </c>
      <c r="L525" t="n">
        <v>0</v>
      </c>
      <c r="M525" t="n">
        <v>0</v>
      </c>
      <c r="N525" t="n">
        <v>0</v>
      </c>
      <c r="O525" t="n">
        <v>0</v>
      </c>
      <c r="P525" t="n">
        <v>0</v>
      </c>
      <c r="Q525" t="n">
        <v>0</v>
      </c>
      <c r="R525" s="2" t="inlineStr"/>
    </row>
    <row r="526" ht="15" customHeight="1">
      <c r="A526" t="inlineStr">
        <is>
          <t>A 32379-2025</t>
        </is>
      </c>
      <c r="B526" s="1" t="n">
        <v>45837</v>
      </c>
      <c r="C526" s="1" t="n">
        <v>45892</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2714-2023</t>
        </is>
      </c>
      <c r="B527" s="1" t="n">
        <v>44944.54896990741</v>
      </c>
      <c r="C527" s="1" t="n">
        <v>45892</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22897-2023</t>
        </is>
      </c>
      <c r="B528" s="1" t="n">
        <v>45072.55239583334</v>
      </c>
      <c r="C528" s="1" t="n">
        <v>45892</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34142-2024</t>
        </is>
      </c>
      <c r="B529" s="1" t="n">
        <v>45524.36521990741</v>
      </c>
      <c r="C529" s="1" t="n">
        <v>45892</v>
      </c>
      <c r="D529" t="inlineStr">
        <is>
          <t>GOTLANDS LÄN</t>
        </is>
      </c>
      <c r="E529" t="inlineStr">
        <is>
          <t>GOTLAND</t>
        </is>
      </c>
      <c r="G529" t="n">
        <v>6</v>
      </c>
      <c r="H529" t="n">
        <v>0</v>
      </c>
      <c r="I529" t="n">
        <v>0</v>
      </c>
      <c r="J529" t="n">
        <v>0</v>
      </c>
      <c r="K529" t="n">
        <v>0</v>
      </c>
      <c r="L529" t="n">
        <v>0</v>
      </c>
      <c r="M529" t="n">
        <v>0</v>
      </c>
      <c r="N529" t="n">
        <v>0</v>
      </c>
      <c r="O529" t="n">
        <v>0</v>
      </c>
      <c r="P529" t="n">
        <v>0</v>
      </c>
      <c r="Q529" t="n">
        <v>0</v>
      </c>
      <c r="R529" s="2" t="inlineStr"/>
    </row>
    <row r="530" ht="15" customHeight="1">
      <c r="A530" t="inlineStr">
        <is>
          <t>A 4568-2025</t>
        </is>
      </c>
      <c r="B530" s="1" t="n">
        <v>45687</v>
      </c>
      <c r="C530" s="1" t="n">
        <v>45892</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1681-2023</t>
        </is>
      </c>
      <c r="B531" s="1" t="n">
        <v>44938.39715277778</v>
      </c>
      <c r="C531" s="1" t="n">
        <v>45892</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33078-2025</t>
        </is>
      </c>
      <c r="B532" s="1" t="n">
        <v>45840</v>
      </c>
      <c r="C532" s="1" t="n">
        <v>45892</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42338-2023</t>
        </is>
      </c>
      <c r="B533" s="1" t="n">
        <v>45180</v>
      </c>
      <c r="C533" s="1" t="n">
        <v>45892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1394-2023</t>
        </is>
      </c>
      <c r="B534" s="1" t="n">
        <v>44936.72997685185</v>
      </c>
      <c r="C534" s="1" t="n">
        <v>45892</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45892</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11013-2024</t>
        </is>
      </c>
      <c r="B536" s="1" t="n">
        <v>45370</v>
      </c>
      <c r="C536" s="1" t="n">
        <v>45892</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2676-2023</t>
        </is>
      </c>
      <c r="B537" s="1" t="n">
        <v>44944</v>
      </c>
      <c r="C537" s="1" t="n">
        <v>45892</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4387-2023</t>
        </is>
      </c>
      <c r="B538" s="1" t="n">
        <v>44955.73359953704</v>
      </c>
      <c r="C538" s="1" t="n">
        <v>45892</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33007-2025</t>
        </is>
      </c>
      <c r="B539" s="1" t="n">
        <v>45840</v>
      </c>
      <c r="C539" s="1" t="n">
        <v>45892</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33011-2025</t>
        </is>
      </c>
      <c r="B540" s="1" t="n">
        <v>45840</v>
      </c>
      <c r="C540" s="1" t="n">
        <v>45892</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45892</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37728-2024</t>
        </is>
      </c>
      <c r="B542" s="1" t="n">
        <v>45541</v>
      </c>
      <c r="C542" s="1" t="n">
        <v>45892</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45084-2024</t>
        </is>
      </c>
      <c r="B543" s="1" t="n">
        <v>45575</v>
      </c>
      <c r="C543" s="1" t="n">
        <v>45892</v>
      </c>
      <c r="D543" t="inlineStr">
        <is>
          <t>GOTLANDS LÄN</t>
        </is>
      </c>
      <c r="E543" t="inlineStr">
        <is>
          <t>GOTLAND</t>
        </is>
      </c>
      <c r="G543" t="n">
        <v>6.8</v>
      </c>
      <c r="H543" t="n">
        <v>0</v>
      </c>
      <c r="I543" t="n">
        <v>0</v>
      </c>
      <c r="J543" t="n">
        <v>0</v>
      </c>
      <c r="K543" t="n">
        <v>0</v>
      </c>
      <c r="L543" t="n">
        <v>0</v>
      </c>
      <c r="M543" t="n">
        <v>0</v>
      </c>
      <c r="N543" t="n">
        <v>0</v>
      </c>
      <c r="O543" t="n">
        <v>0</v>
      </c>
      <c r="P543" t="n">
        <v>0</v>
      </c>
      <c r="Q543" t="n">
        <v>0</v>
      </c>
      <c r="R543" s="2" t="inlineStr"/>
    </row>
    <row r="544" ht="15" customHeight="1">
      <c r="A544" t="inlineStr">
        <is>
          <t>A 13627-2023</t>
        </is>
      </c>
      <c r="B544" s="1" t="n">
        <v>45006</v>
      </c>
      <c r="C544" s="1" t="n">
        <v>45892</v>
      </c>
      <c r="D544" t="inlineStr">
        <is>
          <t>GOTLANDS LÄN</t>
        </is>
      </c>
      <c r="E544" t="inlineStr">
        <is>
          <t>GOTLAND</t>
        </is>
      </c>
      <c r="G544" t="n">
        <v>10.7</v>
      </c>
      <c r="H544" t="n">
        <v>0</v>
      </c>
      <c r="I544" t="n">
        <v>0</v>
      </c>
      <c r="J544" t="n">
        <v>0</v>
      </c>
      <c r="K544" t="n">
        <v>0</v>
      </c>
      <c r="L544" t="n">
        <v>0</v>
      </c>
      <c r="M544" t="n">
        <v>0</v>
      </c>
      <c r="N544" t="n">
        <v>0</v>
      </c>
      <c r="O544" t="n">
        <v>0</v>
      </c>
      <c r="P544" t="n">
        <v>0</v>
      </c>
      <c r="Q544" t="n">
        <v>0</v>
      </c>
      <c r="R544" s="2" t="inlineStr"/>
    </row>
    <row r="545" ht="15" customHeight="1">
      <c r="A545" t="inlineStr">
        <is>
          <t>A 20356-2022</t>
        </is>
      </c>
      <c r="B545" s="1" t="n">
        <v>44699</v>
      </c>
      <c r="C545" s="1" t="n">
        <v>45892</v>
      </c>
      <c r="D545" t="inlineStr">
        <is>
          <t>GOTLANDS LÄN</t>
        </is>
      </c>
      <c r="E545" t="inlineStr">
        <is>
          <t>GOTLAND</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2241-2025</t>
        </is>
      </c>
      <c r="B546" s="1" t="n">
        <v>45673.48710648148</v>
      </c>
      <c r="C546" s="1" t="n">
        <v>45892</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45892</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4868-2024</t>
        </is>
      </c>
      <c r="B548" s="1" t="n">
        <v>45329</v>
      </c>
      <c r="C548" s="1" t="n">
        <v>45892</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9613-2025</t>
        </is>
      </c>
      <c r="B549" s="1" t="n">
        <v>45715</v>
      </c>
      <c r="C549" s="1" t="n">
        <v>45892</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5386-2023</t>
        </is>
      </c>
      <c r="B550" s="1" t="n">
        <v>44959</v>
      </c>
      <c r="C550" s="1" t="n">
        <v>45892</v>
      </c>
      <c r="D550" t="inlineStr">
        <is>
          <t>GOTLANDS LÄN</t>
        </is>
      </c>
      <c r="E550" t="inlineStr">
        <is>
          <t>GOTLAND</t>
        </is>
      </c>
      <c r="G550" t="n">
        <v>5.4</v>
      </c>
      <c r="H550" t="n">
        <v>0</v>
      </c>
      <c r="I550" t="n">
        <v>0</v>
      </c>
      <c r="J550" t="n">
        <v>0</v>
      </c>
      <c r="K550" t="n">
        <v>0</v>
      </c>
      <c r="L550" t="n">
        <v>0</v>
      </c>
      <c r="M550" t="n">
        <v>0</v>
      </c>
      <c r="N550" t="n">
        <v>0</v>
      </c>
      <c r="O550" t="n">
        <v>0</v>
      </c>
      <c r="P550" t="n">
        <v>0</v>
      </c>
      <c r="Q550" t="n">
        <v>0</v>
      </c>
      <c r="R550" s="2" t="inlineStr"/>
    </row>
    <row r="551" ht="15" customHeight="1">
      <c r="A551" t="inlineStr">
        <is>
          <t>A 38649-2025</t>
        </is>
      </c>
      <c r="B551" s="1" t="n">
        <v>45884</v>
      </c>
      <c r="C551" s="1" t="n">
        <v>45892</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58211-2024</t>
        </is>
      </c>
      <c r="B552" s="1" t="n">
        <v>45632.49292824074</v>
      </c>
      <c r="C552" s="1" t="n">
        <v>45892</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11634-2024</t>
        </is>
      </c>
      <c r="B553" s="1" t="n">
        <v>45373</v>
      </c>
      <c r="C553" s="1" t="n">
        <v>45892</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22275-2023</t>
        </is>
      </c>
      <c r="B554" s="1" t="n">
        <v>45070.39875</v>
      </c>
      <c r="C554" s="1" t="n">
        <v>45892</v>
      </c>
      <c r="D554" t="inlineStr">
        <is>
          <t>GOTLANDS LÄN</t>
        </is>
      </c>
      <c r="E554" t="inlineStr">
        <is>
          <t>GOTLAND</t>
        </is>
      </c>
      <c r="G554" t="n">
        <v>7.2</v>
      </c>
      <c r="H554" t="n">
        <v>0</v>
      </c>
      <c r="I554" t="n">
        <v>0</v>
      </c>
      <c r="J554" t="n">
        <v>0</v>
      </c>
      <c r="K554" t="n">
        <v>0</v>
      </c>
      <c r="L554" t="n">
        <v>0</v>
      </c>
      <c r="M554" t="n">
        <v>0</v>
      </c>
      <c r="N554" t="n">
        <v>0</v>
      </c>
      <c r="O554" t="n">
        <v>0</v>
      </c>
      <c r="P554" t="n">
        <v>0</v>
      </c>
      <c r="Q554" t="n">
        <v>0</v>
      </c>
      <c r="R554" s="2" t="inlineStr"/>
    </row>
    <row r="555" ht="15" customHeight="1">
      <c r="A555" t="inlineStr">
        <is>
          <t>A 5884-2025</t>
        </is>
      </c>
      <c r="B555" s="1" t="n">
        <v>45695.37482638889</v>
      </c>
      <c r="C555" s="1" t="n">
        <v>45892</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5897-2025</t>
        </is>
      </c>
      <c r="B556" s="1" t="n">
        <v>45695.39273148148</v>
      </c>
      <c r="C556" s="1" t="n">
        <v>45892</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5909-2025</t>
        </is>
      </c>
      <c r="B557" s="1" t="n">
        <v>45695.40634259259</v>
      </c>
      <c r="C557" s="1" t="n">
        <v>45892</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14635-2023</t>
        </is>
      </c>
      <c r="B558" s="1" t="n">
        <v>45013.69365740741</v>
      </c>
      <c r="C558" s="1" t="n">
        <v>45892</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45892</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63763-2023</t>
        </is>
      </c>
      <c r="B560" s="1" t="n">
        <v>45278.33944444444</v>
      </c>
      <c r="C560" s="1" t="n">
        <v>45892</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22704-2023</t>
        </is>
      </c>
      <c r="B561" s="1" t="n">
        <v>45071</v>
      </c>
      <c r="C561" s="1" t="n">
        <v>45892</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7635-2025</t>
        </is>
      </c>
      <c r="B562" s="1" t="n">
        <v>45705</v>
      </c>
      <c r="C562" s="1" t="n">
        <v>45892</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7636-2025</t>
        </is>
      </c>
      <c r="B563" s="1" t="n">
        <v>45705.7687962963</v>
      </c>
      <c r="C563" s="1" t="n">
        <v>45892</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7639-2025</t>
        </is>
      </c>
      <c r="B564" s="1" t="n">
        <v>45705.77465277778</v>
      </c>
      <c r="C564" s="1" t="n">
        <v>45892</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61682-2024</t>
        </is>
      </c>
      <c r="B565" s="1" t="n">
        <v>45647.48824074074</v>
      </c>
      <c r="C565" s="1" t="n">
        <v>45892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39278-2025</t>
        </is>
      </c>
      <c r="B566" s="1" t="n">
        <v>45889</v>
      </c>
      <c r="C566" s="1" t="n">
        <v>45892</v>
      </c>
      <c r="D566" t="inlineStr">
        <is>
          <t>GOTLANDS LÄN</t>
        </is>
      </c>
      <c r="E566" t="inlineStr">
        <is>
          <t>GOTLAND</t>
        </is>
      </c>
      <c r="G566" t="n">
        <v>3.7</v>
      </c>
      <c r="H566" t="n">
        <v>0</v>
      </c>
      <c r="I566" t="n">
        <v>0</v>
      </c>
      <c r="J566" t="n">
        <v>0</v>
      </c>
      <c r="K566" t="n">
        <v>0</v>
      </c>
      <c r="L566" t="n">
        <v>0</v>
      </c>
      <c r="M566" t="n">
        <v>0</v>
      </c>
      <c r="N566" t="n">
        <v>0</v>
      </c>
      <c r="O566" t="n">
        <v>0</v>
      </c>
      <c r="P566" t="n">
        <v>0</v>
      </c>
      <c r="Q566" t="n">
        <v>0</v>
      </c>
      <c r="R566" s="2" t="inlineStr"/>
    </row>
    <row r="567" ht="15" customHeight="1">
      <c r="A567" t="inlineStr">
        <is>
          <t>A 15434-2024</t>
        </is>
      </c>
      <c r="B567" s="1" t="n">
        <v>45401.38836805556</v>
      </c>
      <c r="C567" s="1" t="n">
        <v>45892</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17847-2025</t>
        </is>
      </c>
      <c r="B568" s="1" t="n">
        <v>45758</v>
      </c>
      <c r="C568" s="1" t="n">
        <v>45892</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39816-2025</t>
        </is>
      </c>
      <c r="B569" s="1" t="n">
        <v>45891</v>
      </c>
      <c r="C569" s="1" t="n">
        <v>45892</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39814-2025</t>
        </is>
      </c>
      <c r="B570" s="1" t="n">
        <v>45891.52694444444</v>
      </c>
      <c r="C570" s="1" t="n">
        <v>45892</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39849-2025</t>
        </is>
      </c>
      <c r="B571" s="1" t="n">
        <v>45891.58502314815</v>
      </c>
      <c r="C571" s="1" t="n">
        <v>45892</v>
      </c>
      <c r="D571" t="inlineStr">
        <is>
          <t>GOTLANDS LÄN</t>
        </is>
      </c>
      <c r="E571" t="inlineStr">
        <is>
          <t>GOTLAND</t>
        </is>
      </c>
      <c r="G571" t="n">
        <v>6.1</v>
      </c>
      <c r="H571" t="n">
        <v>0</v>
      </c>
      <c r="I571" t="n">
        <v>0</v>
      </c>
      <c r="J571" t="n">
        <v>0</v>
      </c>
      <c r="K571" t="n">
        <v>0</v>
      </c>
      <c r="L571" t="n">
        <v>0</v>
      </c>
      <c r="M571" t="n">
        <v>0</v>
      </c>
      <c r="N571" t="n">
        <v>0</v>
      </c>
      <c r="O571" t="n">
        <v>0</v>
      </c>
      <c r="P571" t="n">
        <v>0</v>
      </c>
      <c r="Q571" t="n">
        <v>0</v>
      </c>
      <c r="R571" s="2" t="inlineStr"/>
    </row>
    <row r="572" ht="15" customHeight="1">
      <c r="A572" t="inlineStr">
        <is>
          <t>A 25866-2022</t>
        </is>
      </c>
      <c r="B572" s="1" t="n">
        <v>44733</v>
      </c>
      <c r="C572" s="1" t="n">
        <v>45892</v>
      </c>
      <c r="D572" t="inlineStr">
        <is>
          <t>GOTLANDS LÄN</t>
        </is>
      </c>
      <c r="E572" t="inlineStr">
        <is>
          <t>GOTLAND</t>
        </is>
      </c>
      <c r="G572" t="n">
        <v>2.9</v>
      </c>
      <c r="H572" t="n">
        <v>0</v>
      </c>
      <c r="I572" t="n">
        <v>0</v>
      </c>
      <c r="J572" t="n">
        <v>0</v>
      </c>
      <c r="K572" t="n">
        <v>0</v>
      </c>
      <c r="L572" t="n">
        <v>0</v>
      </c>
      <c r="M572" t="n">
        <v>0</v>
      </c>
      <c r="N572" t="n">
        <v>0</v>
      </c>
      <c r="O572" t="n">
        <v>0</v>
      </c>
      <c r="P572" t="n">
        <v>0</v>
      </c>
      <c r="Q572" t="n">
        <v>0</v>
      </c>
      <c r="R572" s="2" t="inlineStr"/>
    </row>
    <row r="573" ht="15" customHeight="1">
      <c r="A573" t="inlineStr">
        <is>
          <t>A 7034-2023</t>
        </is>
      </c>
      <c r="B573" s="1" t="n">
        <v>44968.32108796296</v>
      </c>
      <c r="C573" s="1" t="n">
        <v>45892</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7042-2023</t>
        </is>
      </c>
      <c r="B574" s="1" t="n">
        <v>44968</v>
      </c>
      <c r="C574" s="1" t="n">
        <v>45892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45892</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15413-2025</t>
        </is>
      </c>
      <c r="B576" s="1" t="n">
        <v>45747.451875</v>
      </c>
      <c r="C576" s="1" t="n">
        <v>45892</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39819-2025</t>
        </is>
      </c>
      <c r="B577" s="1" t="n">
        <v>45891.53418981482</v>
      </c>
      <c r="C577" s="1" t="n">
        <v>45892</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15001-2025</t>
        </is>
      </c>
      <c r="B578" s="1" t="n">
        <v>45743</v>
      </c>
      <c r="C578" s="1" t="n">
        <v>45892</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39752-2025</t>
        </is>
      </c>
      <c r="B579" s="1" t="n">
        <v>45891</v>
      </c>
      <c r="C579" s="1" t="n">
        <v>45892</v>
      </c>
      <c r="D579" t="inlineStr">
        <is>
          <t>GOTLANDS LÄN</t>
        </is>
      </c>
      <c r="E579" t="inlineStr">
        <is>
          <t>GOTLAND</t>
        </is>
      </c>
      <c r="G579" t="n">
        <v>5.3</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45892</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54074-2022</t>
        </is>
      </c>
      <c r="B581" s="1" t="n">
        <v>44881</v>
      </c>
      <c r="C581" s="1" t="n">
        <v>45892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12209-2024</t>
        </is>
      </c>
      <c r="B582" s="1" t="n">
        <v>45378</v>
      </c>
      <c r="C582" s="1" t="n">
        <v>45892</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12210-2024</t>
        </is>
      </c>
      <c r="B583" s="1" t="n">
        <v>45378</v>
      </c>
      <c r="C583" s="1" t="n">
        <v>45892</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61694-2023</t>
        </is>
      </c>
      <c r="B584" s="1" t="n">
        <v>45264</v>
      </c>
      <c r="C584" s="1" t="n">
        <v>45892</v>
      </c>
      <c r="D584" t="inlineStr">
        <is>
          <t>GOTLANDS LÄN</t>
        </is>
      </c>
      <c r="E584" t="inlineStr">
        <is>
          <t>GOTLAND</t>
        </is>
      </c>
      <c r="G584" t="n">
        <v>4.6</v>
      </c>
      <c r="H584" t="n">
        <v>0</v>
      </c>
      <c r="I584" t="n">
        <v>0</v>
      </c>
      <c r="J584" t="n">
        <v>0</v>
      </c>
      <c r="K584" t="n">
        <v>0</v>
      </c>
      <c r="L584" t="n">
        <v>0</v>
      </c>
      <c r="M584" t="n">
        <v>0</v>
      </c>
      <c r="N584" t="n">
        <v>0</v>
      </c>
      <c r="O584" t="n">
        <v>0</v>
      </c>
      <c r="P584" t="n">
        <v>0</v>
      </c>
      <c r="Q584" t="n">
        <v>0</v>
      </c>
      <c r="R584" s="2" t="inlineStr"/>
    </row>
    <row r="585" ht="15" customHeight="1">
      <c r="A585" t="inlineStr">
        <is>
          <t>A 59986-2022</t>
        </is>
      </c>
      <c r="B585" s="1" t="n">
        <v>44909</v>
      </c>
      <c r="C585" s="1" t="n">
        <v>45892</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45892</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54268-2022</t>
        </is>
      </c>
      <c r="B587" s="1" t="n">
        <v>44882</v>
      </c>
      <c r="C587" s="1" t="n">
        <v>45892</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1446-2025</t>
        </is>
      </c>
      <c r="B588" s="1" t="n">
        <v>45669.86035879629</v>
      </c>
      <c r="C588" s="1" t="n">
        <v>45892</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1462-2025</t>
        </is>
      </c>
      <c r="B589" s="1" t="n">
        <v>45670.36319444444</v>
      </c>
      <c r="C589" s="1" t="n">
        <v>45892</v>
      </c>
      <c r="D589" t="inlineStr">
        <is>
          <t>GOTLANDS LÄN</t>
        </is>
      </c>
      <c r="E589" t="inlineStr">
        <is>
          <t>GOTLAND</t>
        </is>
      </c>
      <c r="G589" t="n">
        <v>2.8</v>
      </c>
      <c r="H589" t="n">
        <v>0</v>
      </c>
      <c r="I589" t="n">
        <v>0</v>
      </c>
      <c r="J589" t="n">
        <v>0</v>
      </c>
      <c r="K589" t="n">
        <v>0</v>
      </c>
      <c r="L589" t="n">
        <v>0</v>
      </c>
      <c r="M589" t="n">
        <v>0</v>
      </c>
      <c r="N589" t="n">
        <v>0</v>
      </c>
      <c r="O589" t="n">
        <v>0</v>
      </c>
      <c r="P589" t="n">
        <v>0</v>
      </c>
      <c r="Q589" t="n">
        <v>0</v>
      </c>
      <c r="R589" s="2" t="inlineStr"/>
    </row>
    <row r="590" ht="15" customHeight="1">
      <c r="A590" t="inlineStr">
        <is>
          <t>A 57685-2022</t>
        </is>
      </c>
      <c r="B590" s="1" t="n">
        <v>44897.4777662037</v>
      </c>
      <c r="C590" s="1" t="n">
        <v>45892</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31802-2024</t>
        </is>
      </c>
      <c r="B591" s="1" t="n">
        <v>45509</v>
      </c>
      <c r="C591" s="1" t="n">
        <v>45892</v>
      </c>
      <c r="D591" t="inlineStr">
        <is>
          <t>GOTLANDS LÄN</t>
        </is>
      </c>
      <c r="E591" t="inlineStr">
        <is>
          <t>GOTLAND</t>
        </is>
      </c>
      <c r="G591" t="n">
        <v>2.8</v>
      </c>
      <c r="H591" t="n">
        <v>0</v>
      </c>
      <c r="I591" t="n">
        <v>0</v>
      </c>
      <c r="J591" t="n">
        <v>0</v>
      </c>
      <c r="K591" t="n">
        <v>0</v>
      </c>
      <c r="L591" t="n">
        <v>0</v>
      </c>
      <c r="M591" t="n">
        <v>0</v>
      </c>
      <c r="N591" t="n">
        <v>0</v>
      </c>
      <c r="O591" t="n">
        <v>0</v>
      </c>
      <c r="P591" t="n">
        <v>0</v>
      </c>
      <c r="Q591" t="n">
        <v>0</v>
      </c>
      <c r="R591" s="2" t="inlineStr"/>
    </row>
    <row r="592" ht="15" customHeight="1">
      <c r="A592" t="inlineStr">
        <is>
          <t>A 811-2023</t>
        </is>
      </c>
      <c r="B592" s="1" t="n">
        <v>44931</v>
      </c>
      <c r="C592" s="1" t="n">
        <v>45892</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1728-2025</t>
        </is>
      </c>
      <c r="B593" s="1" t="n">
        <v>45671.3565162037</v>
      </c>
      <c r="C593" s="1" t="n">
        <v>45892</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20993-2023</t>
        </is>
      </c>
      <c r="B594" s="1" t="n">
        <v>45056</v>
      </c>
      <c r="C594" s="1" t="n">
        <v>45892</v>
      </c>
      <c r="D594" t="inlineStr">
        <is>
          <t>GOTLANDS LÄN</t>
        </is>
      </c>
      <c r="E594" t="inlineStr">
        <is>
          <t>GOTLAND</t>
        </is>
      </c>
      <c r="G594" t="n">
        <v>7.1</v>
      </c>
      <c r="H594" t="n">
        <v>0</v>
      </c>
      <c r="I594" t="n">
        <v>0</v>
      </c>
      <c r="J594" t="n">
        <v>0</v>
      </c>
      <c r="K594" t="n">
        <v>0</v>
      </c>
      <c r="L594" t="n">
        <v>0</v>
      </c>
      <c r="M594" t="n">
        <v>0</v>
      </c>
      <c r="N594" t="n">
        <v>0</v>
      </c>
      <c r="O594" t="n">
        <v>0</v>
      </c>
      <c r="P594" t="n">
        <v>0</v>
      </c>
      <c r="Q594" t="n">
        <v>0</v>
      </c>
      <c r="R594" s="2" t="inlineStr"/>
    </row>
    <row r="595" ht="15" customHeight="1">
      <c r="A595" t="inlineStr">
        <is>
          <t>A 15042-2025</t>
        </is>
      </c>
      <c r="B595" s="1" t="n">
        <v>45743</v>
      </c>
      <c r="C595" s="1" t="n">
        <v>45892</v>
      </c>
      <c r="D595" t="inlineStr">
        <is>
          <t>GOTLANDS LÄN</t>
        </is>
      </c>
      <c r="E595" t="inlineStr">
        <is>
          <t>GOTLAND</t>
        </is>
      </c>
      <c r="G595" t="n">
        <v>8.5</v>
      </c>
      <c r="H595" t="n">
        <v>0</v>
      </c>
      <c r="I595" t="n">
        <v>0</v>
      </c>
      <c r="J595" t="n">
        <v>0</v>
      </c>
      <c r="K595" t="n">
        <v>0</v>
      </c>
      <c r="L595" t="n">
        <v>0</v>
      </c>
      <c r="M595" t="n">
        <v>0</v>
      </c>
      <c r="N595" t="n">
        <v>0</v>
      </c>
      <c r="O595" t="n">
        <v>0</v>
      </c>
      <c r="P595" t="n">
        <v>0</v>
      </c>
      <c r="Q595" t="n">
        <v>0</v>
      </c>
      <c r="R595" s="2" t="inlineStr"/>
    </row>
    <row r="596" ht="15" customHeight="1">
      <c r="A596" t="inlineStr">
        <is>
          <t>A 12327-2025</t>
        </is>
      </c>
      <c r="B596" s="1" t="n">
        <v>45730</v>
      </c>
      <c r="C596" s="1" t="n">
        <v>45892</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5905-2024</t>
        </is>
      </c>
      <c r="B597" s="1" t="n">
        <v>45335.88993055555</v>
      </c>
      <c r="C597" s="1" t="n">
        <v>45892</v>
      </c>
      <c r="D597" t="inlineStr">
        <is>
          <t>GOTLANDS LÄN</t>
        </is>
      </c>
      <c r="E597" t="inlineStr">
        <is>
          <t>GOTLAND</t>
        </is>
      </c>
      <c r="G597" t="n">
        <v>3</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45892</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3431-2025</t>
        </is>
      </c>
      <c r="B599" s="1" t="n">
        <v>45680.42935185185</v>
      </c>
      <c r="C599" s="1" t="n">
        <v>45892</v>
      </c>
      <c r="D599" t="inlineStr">
        <is>
          <t>GOTLANDS LÄN</t>
        </is>
      </c>
      <c r="E599" t="inlineStr">
        <is>
          <t>GOTLAND</t>
        </is>
      </c>
      <c r="G599" t="n">
        <v>4.8</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45892</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45892</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32958-2021</t>
        </is>
      </c>
      <c r="B602" s="1" t="n">
        <v>44376</v>
      </c>
      <c r="C602" s="1" t="n">
        <v>45892</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7858-2025</t>
        </is>
      </c>
      <c r="B603" s="1" t="n">
        <v>45706.68633101852</v>
      </c>
      <c r="C603" s="1" t="n">
        <v>45892</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c r="A604" t="inlineStr">
        <is>
          <t>A 46545-2024</t>
        </is>
      </c>
      <c r="B604" s="1" t="n">
        <v>45582.65831018519</v>
      </c>
      <c r="C604" s="1" t="n">
        <v>45892</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2025-08-23T08:38:31Z</dcterms:created>
  <dcterms:modified xmlns:dcterms="http://purl.org/dc/terms/" xmlns:xsi="http://www.w3.org/2001/XMLSchema-instance" xsi:type="dcterms:W3CDTF">2025-08-23T08:38:32Z</dcterms:modified>
</cp:coreProperties>
</file>