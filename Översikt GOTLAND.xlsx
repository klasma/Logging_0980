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46093</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46093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46093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46093</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61664-2023</t>
        </is>
      </c>
      <c r="B12" s="1" t="n">
        <v>45265</v>
      </c>
      <c r="C12" s="1" t="n">
        <v>46093</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46093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46093</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46093</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46093</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v>
      </c>
      <c r="C17" s="1" t="n">
        <v>46093</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445-2023</t>
        </is>
      </c>
      <c r="B18" s="1" t="n">
        <v>44929</v>
      </c>
      <c r="C18" s="1" t="n">
        <v>46093</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569-2023</t>
        </is>
      </c>
      <c r="B19" s="1" t="n">
        <v>44930</v>
      </c>
      <c r="C19" s="1" t="n">
        <v>46093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46093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46093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62551-2022</t>
        </is>
      </c>
      <c r="B22" s="1" t="n">
        <v>44924</v>
      </c>
      <c r="C22" s="1" t="n">
        <v>46093</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46093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46093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46093</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46093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46093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62132-2023</t>
        </is>
      </c>
      <c r="B28" s="1" t="n">
        <v>45267</v>
      </c>
      <c r="C28" s="1" t="n">
        <v>46093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15629-2024</t>
        </is>
      </c>
      <c r="B29" s="1" t="n">
        <v>45402.78372685185</v>
      </c>
      <c r="C29" s="1" t="n">
        <v>46093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46093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46093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46093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46093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agg.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46093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46093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35141-2022</t>
        </is>
      </c>
      <c r="B36" s="1" t="n">
        <v>44797.53318287037</v>
      </c>
      <c r="C36" s="1" t="n">
        <v>46093</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44204-2022</t>
        </is>
      </c>
      <c r="B37" s="1" t="n">
        <v>44839</v>
      </c>
      <c r="C37" s="1" t="n">
        <v>46093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3324-2023</t>
        </is>
      </c>
      <c r="B38" s="1" t="n">
        <v>44949</v>
      </c>
      <c r="C38" s="1" t="n">
        <v>46093</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63872-2021</t>
        </is>
      </c>
      <c r="B39" s="1" t="n">
        <v>44509</v>
      </c>
      <c r="C39" s="1" t="n">
        <v>46093</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46093</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15850-2025</t>
        </is>
      </c>
      <c r="B41" s="1" t="n">
        <v>45748</v>
      </c>
      <c r="C41" s="1" t="n">
        <v>46093</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46093</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46093</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46093</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46093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46093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14354-2024</t>
        </is>
      </c>
      <c r="B47" s="1" t="n">
        <v>45393</v>
      </c>
      <c r="C47" s="1" t="n">
        <v>46093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45248-2024</t>
        </is>
      </c>
      <c r="B48" s="1" t="n">
        <v>45576</v>
      </c>
      <c r="C48" s="1" t="n">
        <v>46093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46093</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46093</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584-2023</t>
        </is>
      </c>
      <c r="B51" s="1" t="n">
        <v>44930</v>
      </c>
      <c r="C51" s="1" t="n">
        <v>46093</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46093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46093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46093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46093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46093</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7039-2023</t>
        </is>
      </c>
      <c r="B57" s="1" t="n">
        <v>44968</v>
      </c>
      <c r="C57" s="1" t="n">
        <v>46093</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46093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46093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51737-2021</t>
        </is>
      </c>
      <c r="B60" s="1" t="n">
        <v>44462.57368055556</v>
      </c>
      <c r="C60" s="1" t="n">
        <v>46093</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27280-2023</t>
        </is>
      </c>
      <c r="B61" s="1" t="n">
        <v>45096</v>
      </c>
      <c r="C61" s="1" t="n">
        <v>46093</v>
      </c>
      <c r="D61" t="inlineStr">
        <is>
          <t>GOTLANDS LÄN</t>
        </is>
      </c>
      <c r="E61" t="inlineStr">
        <is>
          <t>GOTLAND</t>
        </is>
      </c>
      <c r="G61" t="n">
        <v>2.7</v>
      </c>
      <c r="H61" t="n">
        <v>7</v>
      </c>
      <c r="I61" t="n">
        <v>2</v>
      </c>
      <c r="J61" t="n">
        <v>1</v>
      </c>
      <c r="K61" t="n">
        <v>0</v>
      </c>
      <c r="L61" t="n">
        <v>0</v>
      </c>
      <c r="M61" t="n">
        <v>0</v>
      </c>
      <c r="N61" t="n">
        <v>0</v>
      </c>
      <c r="O61" t="n">
        <v>1</v>
      </c>
      <c r="P61" t="n">
        <v>0</v>
      </c>
      <c r="Q61" t="n">
        <v>7</v>
      </c>
      <c r="R61" s="2" t="inlineStr">
        <is>
          <t>Mindre hackspett
Skogsknipprot
Tvåblad
Brudsporre
Fläcknycklar
Grönvit nattviol
Nattviol</t>
        </is>
      </c>
      <c r="S61">
        <f>HYPERLINK("https://klasma.github.io/Logging_0980/artfynd/A 27280-2023 artfynd.xlsx", "A 27280-2023")</f>
        <v/>
      </c>
      <c r="T61">
        <f>HYPERLINK("https://klasma.github.io/Logging_0980/kartor/A 27280-2023 karta.png", "A 27280-2023")</f>
        <v/>
      </c>
      <c r="V61">
        <f>HYPERLINK("https://klasma.github.io/Logging_0980/klagomål/A 27280-2023 FSC-klagomål.docx", "A 27280-2023")</f>
        <v/>
      </c>
      <c r="W61">
        <f>HYPERLINK("https://klasma.github.io/Logging_0980/klagomålsmail/A 27280-2023 FSC-klagomål mail.docx", "A 27280-2023")</f>
        <v/>
      </c>
      <c r="X61">
        <f>HYPERLINK("https://klasma.github.io/Logging_0980/tillsyn/A 27280-2023 tillsynsbegäran.docx", "A 27280-2023")</f>
        <v/>
      </c>
      <c r="Y61">
        <f>HYPERLINK("https://klasma.github.io/Logging_0980/tillsynsmail/A 27280-2023 tillsynsbegäran mail.docx", "A 27280-2023")</f>
        <v/>
      </c>
      <c r="Z61">
        <f>HYPERLINK("https://klasma.github.io/Logging_0980/fåglar/A 27280-2023 prioriterade fågelarter.docx", "A 27280-2023")</f>
        <v/>
      </c>
    </row>
    <row r="62" ht="15" customHeight="1">
      <c r="A62" t="inlineStr">
        <is>
          <t>A 34142-2024</t>
        </is>
      </c>
      <c r="B62" s="1" t="n">
        <v>45524.36521990741</v>
      </c>
      <c r="C62" s="1" t="n">
        <v>46093</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4984-2025</t>
        </is>
      </c>
      <c r="B63" s="1" t="n">
        <v>45691.29891203704</v>
      </c>
      <c r="C63" s="1" t="n">
        <v>46093</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46093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27168-2022</t>
        </is>
      </c>
      <c r="B65" s="1" t="n">
        <v>44741</v>
      </c>
      <c r="C65" s="1" t="n">
        <v>46093</v>
      </c>
      <c r="D65" t="inlineStr">
        <is>
          <t>GOTLANDS LÄN</t>
        </is>
      </c>
      <c r="E65" t="inlineStr">
        <is>
          <t>GOTLAND</t>
        </is>
      </c>
      <c r="G65" t="n">
        <v>2.2</v>
      </c>
      <c r="H65" t="n">
        <v>4</v>
      </c>
      <c r="I65" t="n">
        <v>2</v>
      </c>
      <c r="J65" t="n">
        <v>2</v>
      </c>
      <c r="K65" t="n">
        <v>1</v>
      </c>
      <c r="L65" t="n">
        <v>0</v>
      </c>
      <c r="M65" t="n">
        <v>0</v>
      </c>
      <c r="N65" t="n">
        <v>0</v>
      </c>
      <c r="O65" t="n">
        <v>3</v>
      </c>
      <c r="P65" t="n">
        <v>1</v>
      </c>
      <c r="Q65" t="n">
        <v>7</v>
      </c>
      <c r="R65" s="2" t="inlineStr">
        <is>
          <t>Gotlandsmåra
Solvända
Svinrot
Purpurknipprot
Vit skogslilja
Brudsporre
Kärrknipprot</t>
        </is>
      </c>
      <c r="S65">
        <f>HYPERLINK("https://klasma.github.io/Logging_0980/artfynd/A 27168-2022 artfynd.xlsx", "A 27168-2022")</f>
        <v/>
      </c>
      <c r="T65">
        <f>HYPERLINK("https://klasma.github.io/Logging_0980/kartor/A 27168-2022 karta.png", "A 27168-2022")</f>
        <v/>
      </c>
      <c r="V65">
        <f>HYPERLINK("https://klasma.github.io/Logging_0980/klagomål/A 27168-2022 FSC-klagomål.docx", "A 27168-2022")</f>
        <v/>
      </c>
      <c r="W65">
        <f>HYPERLINK("https://klasma.github.io/Logging_0980/klagomålsmail/A 27168-2022 FSC-klagomål mail.docx", "A 27168-2022")</f>
        <v/>
      </c>
      <c r="X65">
        <f>HYPERLINK("https://klasma.github.io/Logging_0980/tillsyn/A 27168-2022 tillsynsbegäran.docx", "A 27168-2022")</f>
        <v/>
      </c>
      <c r="Y65">
        <f>HYPERLINK("https://klasma.github.io/Logging_0980/tillsynsmail/A 27168-2022 tillsynsbegäran mail.docx", "A 27168-2022")</f>
        <v/>
      </c>
    </row>
    <row r="66" ht="15" customHeight="1">
      <c r="A66" t="inlineStr">
        <is>
          <t>A 44944-2022</t>
        </is>
      </c>
      <c r="B66" s="1" t="n">
        <v>44841</v>
      </c>
      <c r="C66" s="1" t="n">
        <v>46093</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56687-2025</t>
        </is>
      </c>
      <c r="B67" s="1" t="n">
        <v>45975.84065972222</v>
      </c>
      <c r="C67" s="1" t="n">
        <v>46093</v>
      </c>
      <c r="D67" t="inlineStr">
        <is>
          <t>GOTLANDS LÄN</t>
        </is>
      </c>
      <c r="E67" t="inlineStr">
        <is>
          <t>GOTLAND</t>
        </is>
      </c>
      <c r="G67" t="n">
        <v>2.4</v>
      </c>
      <c r="H67" t="n">
        <v>4</v>
      </c>
      <c r="I67" t="n">
        <v>2</v>
      </c>
      <c r="J67" t="n">
        <v>3</v>
      </c>
      <c r="K67" t="n">
        <v>0</v>
      </c>
      <c r="L67" t="n">
        <v>0</v>
      </c>
      <c r="M67" t="n">
        <v>0</v>
      </c>
      <c r="N67" t="n">
        <v>0</v>
      </c>
      <c r="O67" t="n">
        <v>3</v>
      </c>
      <c r="P67" t="n">
        <v>0</v>
      </c>
      <c r="Q67" t="n">
        <v>7</v>
      </c>
      <c r="R67" s="2" t="inlineStr">
        <is>
          <t>Backtimjan
Dårgräsfjäril
Solvända
Blåmossa
Skogsknipprot
Brudsporre
Nattviol</t>
        </is>
      </c>
      <c r="S67">
        <f>HYPERLINK("https://klasma.github.io/Logging_0980/artfynd/A 56687-2025 artfynd.xlsx", "A 56687-2025")</f>
        <v/>
      </c>
      <c r="T67">
        <f>HYPERLINK("https://klasma.github.io/Logging_0980/kartor/A 56687-2025 karta.png", "A 56687-2025")</f>
        <v/>
      </c>
      <c r="V67">
        <f>HYPERLINK("https://klasma.github.io/Logging_0980/klagomål/A 56687-2025 FSC-klagomål.docx", "A 56687-2025")</f>
        <v/>
      </c>
      <c r="W67">
        <f>HYPERLINK("https://klasma.github.io/Logging_0980/klagomålsmail/A 56687-2025 FSC-klagomål mail.docx", "A 56687-2025")</f>
        <v/>
      </c>
      <c r="X67">
        <f>HYPERLINK("https://klasma.github.io/Logging_0980/tillsyn/A 56687-2025 tillsynsbegäran.docx", "A 56687-2025")</f>
        <v/>
      </c>
      <c r="Y67">
        <f>HYPERLINK("https://klasma.github.io/Logging_0980/tillsynsmail/A 56687-2025 tillsynsbegäran mail.docx", "A 56687-2025")</f>
        <v/>
      </c>
    </row>
    <row r="68" ht="15" customHeight="1">
      <c r="A68" t="inlineStr">
        <is>
          <t>A 10419-2025</t>
        </is>
      </c>
      <c r="B68" s="1" t="n">
        <v>45720</v>
      </c>
      <c r="C68" s="1" t="n">
        <v>46093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46093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16823-2024</t>
        </is>
      </c>
      <c r="B70" s="1" t="n">
        <v>45411</v>
      </c>
      <c r="C70" s="1" t="n">
        <v>46093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2085-2023</t>
        </is>
      </c>
      <c r="B71" s="1" t="n">
        <v>44939</v>
      </c>
      <c r="C71" s="1" t="n">
        <v>46093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46093</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446-2023</t>
        </is>
      </c>
      <c r="B73" s="1" t="n">
        <v>44929</v>
      </c>
      <c r="C73" s="1" t="n">
        <v>46093</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46093</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54527-2023</t>
        </is>
      </c>
      <c r="B75" s="1" t="n">
        <v>45233</v>
      </c>
      <c r="C75" s="1" t="n">
        <v>46093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46093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46093</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46093</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39425-2023</t>
        </is>
      </c>
      <c r="B79" s="1" t="n">
        <v>45166</v>
      </c>
      <c r="C79" s="1" t="n">
        <v>46093</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35293-2025</t>
        </is>
      </c>
      <c r="B80" s="1" t="n">
        <v>45854.39438657407</v>
      </c>
      <c r="C80" s="1" t="n">
        <v>46093</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54055-2022</t>
        </is>
      </c>
      <c r="B81" s="1" t="n">
        <v>44881</v>
      </c>
      <c r="C81" s="1" t="n">
        <v>46093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46093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2213-2023</t>
        </is>
      </c>
      <c r="B83" s="1" t="n">
        <v>44942</v>
      </c>
      <c r="C83" s="1" t="n">
        <v>46093</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46093</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32326-2024</t>
        </is>
      </c>
      <c r="B85" s="1" t="n">
        <v>45512</v>
      </c>
      <c r="C85" s="1" t="n">
        <v>46093</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52245-2025</t>
        </is>
      </c>
      <c r="B86" s="1" t="n">
        <v>45953.47115740741</v>
      </c>
      <c r="C86" s="1" t="n">
        <v>46093</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16375-2025</t>
        </is>
      </c>
      <c r="B87" s="1" t="n">
        <v>45751.41064814815</v>
      </c>
      <c r="C87" s="1" t="n">
        <v>46093</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46093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46093</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5904-2024</t>
        </is>
      </c>
      <c r="B90" s="1" t="n">
        <v>45335</v>
      </c>
      <c r="C90" s="1" t="n">
        <v>46093</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46093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46093</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2485-2025</t>
        </is>
      </c>
      <c r="B93" s="1" t="n">
        <v>45673</v>
      </c>
      <c r="C93" s="1" t="n">
        <v>46093</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46093</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46093</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20833-2024</t>
        </is>
      </c>
      <c r="B96" s="1" t="n">
        <v>45439</v>
      </c>
      <c r="C96" s="1" t="n">
        <v>46093</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54523-2023</t>
        </is>
      </c>
      <c r="B97" s="1" t="n">
        <v>45233</v>
      </c>
      <c r="C97" s="1" t="n">
        <v>46093</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8265-2023</t>
        </is>
      </c>
      <c r="B98" s="1" t="n">
        <v>44974</v>
      </c>
      <c r="C98" s="1" t="n">
        <v>46093</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186-2023</t>
        </is>
      </c>
      <c r="B99" s="1" t="n">
        <v>44928</v>
      </c>
      <c r="C99" s="1" t="n">
        <v>46093</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56717-2024</t>
        </is>
      </c>
      <c r="B100" s="1" t="n">
        <v>45628.3166550926</v>
      </c>
      <c r="C100" s="1" t="n">
        <v>46093</v>
      </c>
      <c r="D100" t="inlineStr">
        <is>
          <t>GOTLANDS LÄN</t>
        </is>
      </c>
      <c r="E100" t="inlineStr">
        <is>
          <t>GOTLAND</t>
        </is>
      </c>
      <c r="G100" t="n">
        <v>9.699999999999999</v>
      </c>
      <c r="H100" t="n">
        <v>0</v>
      </c>
      <c r="I100" t="n">
        <v>2</v>
      </c>
      <c r="J100" t="n">
        <v>2</v>
      </c>
      <c r="K100" t="n">
        <v>0</v>
      </c>
      <c r="L100" t="n">
        <v>0</v>
      </c>
      <c r="M100" t="n">
        <v>0</v>
      </c>
      <c r="N100" t="n">
        <v>0</v>
      </c>
      <c r="O100" t="n">
        <v>2</v>
      </c>
      <c r="P100" t="n">
        <v>0</v>
      </c>
      <c r="Q100" t="n">
        <v>4</v>
      </c>
      <c r="R100" s="2" t="inlineStr">
        <is>
          <t>Ekvaxskivling
Odörspindling
Fjällig taggsvamp s.str.
Kattfotslav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6836-2026</t>
        </is>
      </c>
      <c r="B101" s="1" t="n">
        <v>46057.40902777778</v>
      </c>
      <c r="C101" s="1" t="n">
        <v>46093</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46093</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46093</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44323-2021</t>
        </is>
      </c>
      <c r="B104" s="1" t="n">
        <v>44434</v>
      </c>
      <c r="C104" s="1" t="n">
        <v>46093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46093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46093</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46093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46093</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17982-2023</t>
        </is>
      </c>
      <c r="B109" s="1" t="n">
        <v>45040</v>
      </c>
      <c r="C109" s="1" t="n">
        <v>46093</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17975-2024</t>
        </is>
      </c>
      <c r="B110" s="1" t="n">
        <v>45419.85546296297</v>
      </c>
      <c r="C110" s="1" t="n">
        <v>46093</v>
      </c>
      <c r="D110" t="inlineStr">
        <is>
          <t>GOTLANDS LÄN</t>
        </is>
      </c>
      <c r="E110" t="inlineStr">
        <is>
          <t>GOTLAND</t>
        </is>
      </c>
      <c r="G110" t="n">
        <v>7.9</v>
      </c>
      <c r="H110" t="n">
        <v>0</v>
      </c>
      <c r="I110" t="n">
        <v>1</v>
      </c>
      <c r="J110" t="n">
        <v>1</v>
      </c>
      <c r="K110" t="n">
        <v>0</v>
      </c>
      <c r="L110" t="n">
        <v>1</v>
      </c>
      <c r="M110" t="n">
        <v>0</v>
      </c>
      <c r="N110" t="n">
        <v>0</v>
      </c>
      <c r="O110" t="n">
        <v>2</v>
      </c>
      <c r="P110" t="n">
        <v>1</v>
      </c>
      <c r="Q110" t="n">
        <v>3</v>
      </c>
      <c r="R110" s="2" t="inlineStr">
        <is>
          <t>Ask
Skugglosta
Strävlosta</t>
        </is>
      </c>
      <c r="S110">
        <f>HYPERLINK("https://klasma.github.io/Logging_0980/artfynd/A 17975-2024 artfynd.xlsx", "A 17975-2024")</f>
        <v/>
      </c>
      <c r="T110">
        <f>HYPERLINK("https://klasma.github.io/Logging_0980/kartor/A 17975-2024 karta.png", "A 17975-2024")</f>
        <v/>
      </c>
      <c r="V110">
        <f>HYPERLINK("https://klasma.github.io/Logging_0980/klagomål/A 17975-2024 FSC-klagomål.docx", "A 17975-2024")</f>
        <v/>
      </c>
      <c r="W110">
        <f>HYPERLINK("https://klasma.github.io/Logging_0980/klagomålsmail/A 17975-2024 FSC-klagomål mail.docx", "A 17975-2024")</f>
        <v/>
      </c>
      <c r="X110">
        <f>HYPERLINK("https://klasma.github.io/Logging_0980/tillsyn/A 17975-2024 tillsynsbegäran.docx", "A 17975-2024")</f>
        <v/>
      </c>
      <c r="Y110">
        <f>HYPERLINK("https://klasma.github.io/Logging_0980/tillsynsmail/A 17975-2024 tillsynsbegäran mail.docx", "A 17975-2024")</f>
        <v/>
      </c>
    </row>
    <row r="111" ht="15" customHeight="1">
      <c r="A111" t="inlineStr">
        <is>
          <t>A 13499-2022</t>
        </is>
      </c>
      <c r="B111" s="1" t="n">
        <v>44647.79203703703</v>
      </c>
      <c r="C111" s="1" t="n">
        <v>46093</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20831-2024</t>
        </is>
      </c>
      <c r="B112" s="1" t="n">
        <v>45439</v>
      </c>
      <c r="C112" s="1" t="n">
        <v>46093</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55334-2024</t>
        </is>
      </c>
      <c r="B113" s="1" t="n">
        <v>45621</v>
      </c>
      <c r="C113" s="1" t="n">
        <v>46093</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12315-2024</t>
        </is>
      </c>
      <c r="B114" s="1" t="n">
        <v>45378.6434837963</v>
      </c>
      <c r="C114" s="1" t="n">
        <v>46093</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49709-2025</t>
        </is>
      </c>
      <c r="B115" s="1" t="n">
        <v>45939.68228009259</v>
      </c>
      <c r="C115" s="1" t="n">
        <v>46093</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43013-2022</t>
        </is>
      </c>
      <c r="B116" s="1" t="n">
        <v>44833</v>
      </c>
      <c r="C116" s="1" t="n">
        <v>46093</v>
      </c>
      <c r="D116" t="inlineStr">
        <is>
          <t>GOTLANDS LÄN</t>
        </is>
      </c>
      <c r="E116" t="inlineStr">
        <is>
          <t>GOTLAND</t>
        </is>
      </c>
      <c r="G116" t="n">
        <v>9.300000000000001</v>
      </c>
      <c r="H116" t="n">
        <v>0</v>
      </c>
      <c r="I116" t="n">
        <v>2</v>
      </c>
      <c r="J116" t="n">
        <v>0</v>
      </c>
      <c r="K116" t="n">
        <v>1</v>
      </c>
      <c r="L116" t="n">
        <v>0</v>
      </c>
      <c r="M116" t="n">
        <v>0</v>
      </c>
      <c r="N116" t="n">
        <v>0</v>
      </c>
      <c r="O116" t="n">
        <v>1</v>
      </c>
      <c r="P116" t="n">
        <v>1</v>
      </c>
      <c r="Q116" t="n">
        <v>3</v>
      </c>
      <c r="R116" s="2" t="inlineStr">
        <is>
          <t>Violettfläckig spindling
Anisspindling
Blå slemspindling</t>
        </is>
      </c>
      <c r="S116">
        <f>HYPERLINK("https://klasma.github.io/Logging_0980/artfynd/A 43013-2022 artfynd.xlsx", "A 43013-2022")</f>
        <v/>
      </c>
      <c r="T116">
        <f>HYPERLINK("https://klasma.github.io/Logging_0980/kartor/A 43013-2022 karta.png", "A 43013-2022")</f>
        <v/>
      </c>
      <c r="V116">
        <f>HYPERLINK("https://klasma.github.io/Logging_0980/klagomål/A 43013-2022 FSC-klagomål.docx", "A 43013-2022")</f>
        <v/>
      </c>
      <c r="W116">
        <f>HYPERLINK("https://klasma.github.io/Logging_0980/klagomålsmail/A 43013-2022 FSC-klagomål mail.docx", "A 43013-2022")</f>
        <v/>
      </c>
      <c r="X116">
        <f>HYPERLINK("https://klasma.github.io/Logging_0980/tillsyn/A 43013-2022 tillsynsbegäran.docx", "A 43013-2022")</f>
        <v/>
      </c>
      <c r="Y116">
        <f>HYPERLINK("https://klasma.github.io/Logging_0980/tillsynsmail/A 43013-2022 tillsynsbegäran mail.docx", "A 43013-2022")</f>
        <v/>
      </c>
    </row>
    <row r="117" ht="15" customHeight="1">
      <c r="A117" t="inlineStr">
        <is>
          <t>A 5235-2025</t>
        </is>
      </c>
      <c r="B117" s="1" t="n">
        <v>45692.26797453704</v>
      </c>
      <c r="C117" s="1" t="n">
        <v>46093</v>
      </c>
      <c r="D117" t="inlineStr">
        <is>
          <t>GOTLANDS LÄN</t>
        </is>
      </c>
      <c r="E117" t="inlineStr">
        <is>
          <t>GOTLAND</t>
        </is>
      </c>
      <c r="G117" t="n">
        <v>7.6</v>
      </c>
      <c r="H117" t="n">
        <v>1</v>
      </c>
      <c r="I117" t="n">
        <v>2</v>
      </c>
      <c r="J117" t="n">
        <v>1</v>
      </c>
      <c r="K117" t="n">
        <v>0</v>
      </c>
      <c r="L117" t="n">
        <v>0</v>
      </c>
      <c r="M117" t="n">
        <v>0</v>
      </c>
      <c r="N117" t="n">
        <v>0</v>
      </c>
      <c r="O117" t="n">
        <v>1</v>
      </c>
      <c r="P117" t="n">
        <v>0</v>
      </c>
      <c r="Q117" t="n">
        <v>3</v>
      </c>
      <c r="R117" s="2" t="inlineStr">
        <is>
          <t>Svinrot
Blåmossa
Tvåblad</t>
        </is>
      </c>
      <c r="S117">
        <f>HYPERLINK("https://klasma.github.io/Logging_0980/artfynd/A 5235-2025 artfynd.xlsx", "A 5235-2025")</f>
        <v/>
      </c>
      <c r="T117">
        <f>HYPERLINK("https://klasma.github.io/Logging_0980/kartor/A 5235-2025 karta.png", "A 5235-2025")</f>
        <v/>
      </c>
      <c r="V117">
        <f>HYPERLINK("https://klasma.github.io/Logging_0980/klagomål/A 5235-2025 FSC-klagomål.docx", "A 5235-2025")</f>
        <v/>
      </c>
      <c r="W117">
        <f>HYPERLINK("https://klasma.github.io/Logging_0980/klagomålsmail/A 5235-2025 FSC-klagomål mail.docx", "A 5235-2025")</f>
        <v/>
      </c>
      <c r="X117">
        <f>HYPERLINK("https://klasma.github.io/Logging_0980/tillsyn/A 5235-2025 tillsynsbegäran.docx", "A 5235-2025")</f>
        <v/>
      </c>
      <c r="Y117">
        <f>HYPERLINK("https://klasma.github.io/Logging_0980/tillsynsmail/A 5235-2025 tillsynsbegäran mail.docx", "A 5235-2025")</f>
        <v/>
      </c>
    </row>
    <row r="118" ht="15" customHeight="1">
      <c r="A118" t="inlineStr">
        <is>
          <t>A 53552-2021</t>
        </is>
      </c>
      <c r="B118" s="1" t="n">
        <v>44468</v>
      </c>
      <c r="C118" s="1" t="n">
        <v>46093</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73144-2021</t>
        </is>
      </c>
      <c r="B119" s="1" t="n">
        <v>44550</v>
      </c>
      <c r="C119" s="1" t="n">
        <v>46093</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1520-2026</t>
        </is>
      </c>
      <c r="B120" s="1" t="n">
        <v>46034.35891203704</v>
      </c>
      <c r="C120" s="1" t="n">
        <v>46093</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46093</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46093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46093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46093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20218-2022</t>
        </is>
      </c>
      <c r="B125" s="1" t="n">
        <v>44698</v>
      </c>
      <c r="C125" s="1" t="n">
        <v>46093</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46093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54357-2024</t>
        </is>
      </c>
      <c r="B127" s="1" t="n">
        <v>45617.40662037037</v>
      </c>
      <c r="C127" s="1" t="n">
        <v>46093</v>
      </c>
      <c r="D127" t="inlineStr">
        <is>
          <t>GOTLANDS LÄN</t>
        </is>
      </c>
      <c r="E127" t="inlineStr">
        <is>
          <t>GOTLAND</t>
        </is>
      </c>
      <c r="G127" t="n">
        <v>1.5</v>
      </c>
      <c r="H127" t="n">
        <v>1</v>
      </c>
      <c r="I127" t="n">
        <v>0</v>
      </c>
      <c r="J127" t="n">
        <v>1</v>
      </c>
      <c r="K127" t="n">
        <v>0</v>
      </c>
      <c r="L127" t="n">
        <v>0</v>
      </c>
      <c r="M127" t="n">
        <v>0</v>
      </c>
      <c r="N127" t="n">
        <v>0</v>
      </c>
      <c r="O127" t="n">
        <v>1</v>
      </c>
      <c r="P127" t="n">
        <v>0</v>
      </c>
      <c r="Q127" t="n">
        <v>2</v>
      </c>
      <c r="R127" s="2" t="inlineStr">
        <is>
          <t>Loppstarr
Fläcknycklar</t>
        </is>
      </c>
      <c r="S127">
        <f>HYPERLINK("https://klasma.github.io/Logging_0980/artfynd/A 54357-2024 artfynd.xlsx", "A 54357-2024")</f>
        <v/>
      </c>
      <c r="T127">
        <f>HYPERLINK("https://klasma.github.io/Logging_0980/kartor/A 54357-2024 karta.png", "A 54357-2024")</f>
        <v/>
      </c>
      <c r="V127">
        <f>HYPERLINK("https://klasma.github.io/Logging_0980/klagomål/A 54357-2024 FSC-klagomål.docx", "A 54357-2024")</f>
        <v/>
      </c>
      <c r="W127">
        <f>HYPERLINK("https://klasma.github.io/Logging_0980/klagomålsmail/A 54357-2024 FSC-klagomål mail.docx", "A 54357-2024")</f>
        <v/>
      </c>
      <c r="X127">
        <f>HYPERLINK("https://klasma.github.io/Logging_0980/tillsyn/A 54357-2024 tillsynsbegäran.docx", "A 54357-2024")</f>
        <v/>
      </c>
      <c r="Y127">
        <f>HYPERLINK("https://klasma.github.io/Logging_0980/tillsynsmail/A 54357-2024 tillsynsbegäran mail.docx", "A 54357-2024")</f>
        <v/>
      </c>
    </row>
    <row r="128" ht="15" customHeight="1">
      <c r="A128" t="inlineStr">
        <is>
          <t>A 26077-2024</t>
        </is>
      </c>
      <c r="B128" s="1" t="n">
        <v>45467</v>
      </c>
      <c r="C128" s="1" t="n">
        <v>46093</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7070-2022</t>
        </is>
      </c>
      <c r="B129" s="1" t="n">
        <v>44603</v>
      </c>
      <c r="C129" s="1" t="n">
        <v>46093</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46093</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46093</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46093</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20429-2025</t>
        </is>
      </c>
      <c r="B133" s="1" t="n">
        <v>45775.47728009259</v>
      </c>
      <c r="C133" s="1" t="n">
        <v>46093</v>
      </c>
      <c r="D133" t="inlineStr">
        <is>
          <t>GOTLANDS LÄN</t>
        </is>
      </c>
      <c r="E133" t="inlineStr">
        <is>
          <t>GOTLAND</t>
        </is>
      </c>
      <c r="G133" t="n">
        <v>1.4</v>
      </c>
      <c r="H133" t="n">
        <v>2</v>
      </c>
      <c r="I133" t="n">
        <v>0</v>
      </c>
      <c r="J133" t="n">
        <v>0</v>
      </c>
      <c r="K133" t="n">
        <v>0</v>
      </c>
      <c r="L133" t="n">
        <v>0</v>
      </c>
      <c r="M133" t="n">
        <v>0</v>
      </c>
      <c r="N133" t="n">
        <v>0</v>
      </c>
      <c r="O133" t="n">
        <v>0</v>
      </c>
      <c r="P133" t="n">
        <v>0</v>
      </c>
      <c r="Q133" t="n">
        <v>2</v>
      </c>
      <c r="R133" s="2" t="inlineStr">
        <is>
          <t>Lopplummer (aggregat)
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55649-2024</t>
        </is>
      </c>
      <c r="B134" s="1" t="n">
        <v>45622.63053240741</v>
      </c>
      <c r="C134" s="1" t="n">
        <v>46093</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20838-2024</t>
        </is>
      </c>
      <c r="B135" s="1" t="n">
        <v>45439</v>
      </c>
      <c r="C135" s="1" t="n">
        <v>46093</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46093</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28276-2024</t>
        </is>
      </c>
      <c r="B137" s="1" t="n">
        <v>45477</v>
      </c>
      <c r="C137" s="1" t="n">
        <v>46093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46093</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10274-2026</t>
        </is>
      </c>
      <c r="B139" s="1" t="n">
        <v>46076.58261574074</v>
      </c>
      <c r="C139" s="1" t="n">
        <v>46093</v>
      </c>
      <c r="D139" t="inlineStr">
        <is>
          <t>GOTLANDS LÄN</t>
        </is>
      </c>
      <c r="E139" t="inlineStr">
        <is>
          <t>GOTLAND</t>
        </is>
      </c>
      <c r="G139" t="n">
        <v>9.800000000000001</v>
      </c>
      <c r="H139" t="n">
        <v>1</v>
      </c>
      <c r="I139" t="n">
        <v>0</v>
      </c>
      <c r="J139" t="n">
        <v>0</v>
      </c>
      <c r="K139" t="n">
        <v>1</v>
      </c>
      <c r="L139" t="n">
        <v>0</v>
      </c>
      <c r="M139" t="n">
        <v>0</v>
      </c>
      <c r="N139" t="n">
        <v>0</v>
      </c>
      <c r="O139" t="n">
        <v>1</v>
      </c>
      <c r="P139" t="n">
        <v>1</v>
      </c>
      <c r="Q139" t="n">
        <v>2</v>
      </c>
      <c r="R139" s="2" t="inlineStr">
        <is>
          <t>Gråfingerört
Alvarstånds</t>
        </is>
      </c>
      <c r="S139">
        <f>HYPERLINK("https://klasma.github.io/Logging_0980/artfynd/A 10274-2026 artfynd.xlsx", "A 10274-2026")</f>
        <v/>
      </c>
      <c r="T139">
        <f>HYPERLINK("https://klasma.github.io/Logging_0980/kartor/A 10274-2026 karta.png", "A 10274-2026")</f>
        <v/>
      </c>
      <c r="V139">
        <f>HYPERLINK("https://klasma.github.io/Logging_0980/klagomål/A 10274-2026 FSC-klagomål.docx", "A 10274-2026")</f>
        <v/>
      </c>
      <c r="W139">
        <f>HYPERLINK("https://klasma.github.io/Logging_0980/klagomålsmail/A 10274-2026 FSC-klagomål mail.docx", "A 10274-2026")</f>
        <v/>
      </c>
      <c r="X139">
        <f>HYPERLINK("https://klasma.github.io/Logging_0980/tillsyn/A 10274-2026 tillsynsbegäran.docx", "A 10274-2026")</f>
        <v/>
      </c>
      <c r="Y139">
        <f>HYPERLINK("https://klasma.github.io/Logging_0980/tillsynsmail/A 10274-2026 tillsynsbegäran mail.docx", "A 10274-2026")</f>
        <v/>
      </c>
    </row>
    <row r="140" ht="15" customHeight="1">
      <c r="A140" t="inlineStr">
        <is>
          <t>A 62760-2025</t>
        </is>
      </c>
      <c r="B140" s="1" t="n">
        <v>46008</v>
      </c>
      <c r="C140" s="1" t="n">
        <v>46093</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46093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46093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63576-2021</t>
        </is>
      </c>
      <c r="B143" s="1" t="n">
        <v>44508</v>
      </c>
      <c r="C143" s="1" t="n">
        <v>46093</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34141-2024</t>
        </is>
      </c>
      <c r="B144" s="1" t="n">
        <v>45524.36229166666</v>
      </c>
      <c r="C144" s="1" t="n">
        <v>46093</v>
      </c>
      <c r="D144" t="inlineStr">
        <is>
          <t>GOTLANDS LÄN</t>
        </is>
      </c>
      <c r="E144" t="inlineStr">
        <is>
          <t>GOTLAND</t>
        </is>
      </c>
      <c r="G144" t="n">
        <v>0.9</v>
      </c>
      <c r="H144" t="n">
        <v>0</v>
      </c>
      <c r="I144" t="n">
        <v>1</v>
      </c>
      <c r="J144" t="n">
        <v>0</v>
      </c>
      <c r="K144" t="n">
        <v>0</v>
      </c>
      <c r="L144" t="n">
        <v>0</v>
      </c>
      <c r="M144" t="n">
        <v>0</v>
      </c>
      <c r="N144" t="n">
        <v>0</v>
      </c>
      <c r="O144" t="n">
        <v>0</v>
      </c>
      <c r="P144" t="n">
        <v>0</v>
      </c>
      <c r="Q144" t="n">
        <v>1</v>
      </c>
      <c r="R144" s="2" t="inlineStr">
        <is>
          <t>Strävlosta</t>
        </is>
      </c>
      <c r="S144">
        <f>HYPERLINK("https://klasma.github.io/Logging_0980/artfynd/A 34141-2024 artfynd.xlsx", "A 34141-2024")</f>
        <v/>
      </c>
      <c r="T144">
        <f>HYPERLINK("https://klasma.github.io/Logging_0980/kartor/A 34141-2024 karta.png", "A 34141-2024")</f>
        <v/>
      </c>
      <c r="V144">
        <f>HYPERLINK("https://klasma.github.io/Logging_0980/klagomål/A 34141-2024 FSC-klagomål.docx", "A 34141-2024")</f>
        <v/>
      </c>
      <c r="W144">
        <f>HYPERLINK("https://klasma.github.io/Logging_0980/klagomålsmail/A 34141-2024 FSC-klagomål mail.docx", "A 34141-2024")</f>
        <v/>
      </c>
      <c r="X144">
        <f>HYPERLINK("https://klasma.github.io/Logging_0980/tillsyn/A 34141-2024 tillsynsbegäran.docx", "A 34141-2024")</f>
        <v/>
      </c>
      <c r="Y144">
        <f>HYPERLINK("https://klasma.github.io/Logging_0980/tillsynsmail/A 34141-2024 tillsynsbegäran mail.docx", "A 34141-2024")</f>
        <v/>
      </c>
    </row>
    <row r="145" ht="15" customHeight="1">
      <c r="A145" t="inlineStr">
        <is>
          <t>A 64700-2021</t>
        </is>
      </c>
      <c r="B145" s="1" t="n">
        <v>44511</v>
      </c>
      <c r="C145" s="1" t="n">
        <v>46093</v>
      </c>
      <c r="D145" t="inlineStr">
        <is>
          <t>GOTLANDS LÄN</t>
        </is>
      </c>
      <c r="E145" t="inlineStr">
        <is>
          <t>GOTLAND</t>
        </is>
      </c>
      <c r="F145" t="inlineStr">
        <is>
          <t>Naturvårdsverket</t>
        </is>
      </c>
      <c r="G145" t="n">
        <v>2.4</v>
      </c>
      <c r="H145" t="n">
        <v>1</v>
      </c>
      <c r="I145" t="n">
        <v>0</v>
      </c>
      <c r="J145" t="n">
        <v>0</v>
      </c>
      <c r="K145" t="n">
        <v>1</v>
      </c>
      <c r="L145" t="n">
        <v>0</v>
      </c>
      <c r="M145" t="n">
        <v>0</v>
      </c>
      <c r="N145" t="n">
        <v>0</v>
      </c>
      <c r="O145" t="n">
        <v>1</v>
      </c>
      <c r="P145" t="n">
        <v>1</v>
      </c>
      <c r="Q145" t="n">
        <v>1</v>
      </c>
      <c r="R145" s="2" t="inlineStr">
        <is>
          <t>Kalkdån</t>
        </is>
      </c>
      <c r="S145">
        <f>HYPERLINK("https://klasma.github.io/Logging_0980/artfynd/A 64700-2021 artfynd.xlsx", "A 64700-2021")</f>
        <v/>
      </c>
      <c r="T145">
        <f>HYPERLINK("https://klasma.github.io/Logging_0980/kartor/A 64700-2021 karta.png", "A 64700-2021")</f>
        <v/>
      </c>
      <c r="V145">
        <f>HYPERLINK("https://klasma.github.io/Logging_0980/klagomål/A 64700-2021 FSC-klagomål.docx", "A 64700-2021")</f>
        <v/>
      </c>
      <c r="W145">
        <f>HYPERLINK("https://klasma.github.io/Logging_0980/klagomålsmail/A 64700-2021 FSC-klagomål mail.docx", "A 64700-2021")</f>
        <v/>
      </c>
      <c r="X145">
        <f>HYPERLINK("https://klasma.github.io/Logging_0980/tillsyn/A 64700-2021 tillsynsbegäran.docx", "A 64700-2021")</f>
        <v/>
      </c>
      <c r="Y145">
        <f>HYPERLINK("https://klasma.github.io/Logging_0980/tillsynsmail/A 64700-2021 tillsynsbegäran mail.docx", "A 64700-2021")</f>
        <v/>
      </c>
    </row>
    <row r="146" ht="15" customHeight="1">
      <c r="A146" t="inlineStr">
        <is>
          <t>A 10218-2025</t>
        </is>
      </c>
      <c r="B146" s="1" t="n">
        <v>45720</v>
      </c>
      <c r="C146" s="1" t="n">
        <v>46093</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9862-2024</t>
        </is>
      </c>
      <c r="B147" s="1" t="n">
        <v>45363</v>
      </c>
      <c r="C147" s="1" t="n">
        <v>46093</v>
      </c>
      <c r="D147" t="inlineStr">
        <is>
          <t>GOTLANDS LÄN</t>
        </is>
      </c>
      <c r="E147" t="inlineStr">
        <is>
          <t>GOTLAND</t>
        </is>
      </c>
      <c r="G147" t="n">
        <v>3.5</v>
      </c>
      <c r="H147" t="n">
        <v>1</v>
      </c>
      <c r="I147" t="n">
        <v>0</v>
      </c>
      <c r="J147" t="n">
        <v>0</v>
      </c>
      <c r="K147" t="n">
        <v>0</v>
      </c>
      <c r="L147" t="n">
        <v>0</v>
      </c>
      <c r="M147" t="n">
        <v>0</v>
      </c>
      <c r="N147" t="n">
        <v>0</v>
      </c>
      <c r="O147" t="n">
        <v>0</v>
      </c>
      <c r="P147" t="n">
        <v>0</v>
      </c>
      <c r="Q147" t="n">
        <v>1</v>
      </c>
      <c r="R147" s="2" t="inlineStr">
        <is>
          <t>Nattviol</t>
        </is>
      </c>
      <c r="S147">
        <f>HYPERLINK("https://klasma.github.io/Logging_0980/artfynd/A 9862-2024 artfynd.xlsx", "A 9862-2024")</f>
        <v/>
      </c>
      <c r="T147">
        <f>HYPERLINK("https://klasma.github.io/Logging_0980/kartor/A 9862-2024 karta.png", "A 9862-2024")</f>
        <v/>
      </c>
      <c r="V147">
        <f>HYPERLINK("https://klasma.github.io/Logging_0980/klagomål/A 9862-2024 FSC-klagomål.docx", "A 9862-2024")</f>
        <v/>
      </c>
      <c r="W147">
        <f>HYPERLINK("https://klasma.github.io/Logging_0980/klagomålsmail/A 9862-2024 FSC-klagomål mail.docx", "A 9862-2024")</f>
        <v/>
      </c>
      <c r="X147">
        <f>HYPERLINK("https://klasma.github.io/Logging_0980/tillsyn/A 9862-2024 tillsynsbegäran.docx", "A 9862-2024")</f>
        <v/>
      </c>
      <c r="Y147">
        <f>HYPERLINK("https://klasma.github.io/Logging_0980/tillsynsmail/A 9862-2024 tillsynsbegäran mail.docx", "A 9862-2024")</f>
        <v/>
      </c>
    </row>
    <row r="148" ht="15" customHeight="1">
      <c r="A148" t="inlineStr">
        <is>
          <t>A 12379-2024</t>
        </is>
      </c>
      <c r="B148" s="1" t="n">
        <v>45379.28155092592</v>
      </c>
      <c r="C148" s="1" t="n">
        <v>46093</v>
      </c>
      <c r="D148" t="inlineStr">
        <is>
          <t>GOTLANDS LÄN</t>
        </is>
      </c>
      <c r="E148" t="inlineStr">
        <is>
          <t>GOTLAND</t>
        </is>
      </c>
      <c r="G148" t="n">
        <v>4.4</v>
      </c>
      <c r="H148" t="n">
        <v>0</v>
      </c>
      <c r="I148" t="n">
        <v>0</v>
      </c>
      <c r="J148" t="n">
        <v>1</v>
      </c>
      <c r="K148" t="n">
        <v>0</v>
      </c>
      <c r="L148" t="n">
        <v>0</v>
      </c>
      <c r="M148" t="n">
        <v>0</v>
      </c>
      <c r="N148" t="n">
        <v>0</v>
      </c>
      <c r="O148" t="n">
        <v>1</v>
      </c>
      <c r="P148" t="n">
        <v>0</v>
      </c>
      <c r="Q148" t="n">
        <v>1</v>
      </c>
      <c r="R148" s="2" t="inlineStr">
        <is>
          <t>Svinrot</t>
        </is>
      </c>
      <c r="S148">
        <f>HYPERLINK("https://klasma.github.io/Logging_0980/artfynd/A 12379-2024 artfynd.xlsx", "A 12379-2024")</f>
        <v/>
      </c>
      <c r="T148">
        <f>HYPERLINK("https://klasma.github.io/Logging_0980/kartor/A 12379-2024 karta.png", "A 12379-2024")</f>
        <v/>
      </c>
      <c r="V148">
        <f>HYPERLINK("https://klasma.github.io/Logging_0980/klagomål/A 12379-2024 FSC-klagomål.docx", "A 12379-2024")</f>
        <v/>
      </c>
      <c r="W148">
        <f>HYPERLINK("https://klasma.github.io/Logging_0980/klagomålsmail/A 12379-2024 FSC-klagomål mail.docx", "A 12379-2024")</f>
        <v/>
      </c>
      <c r="X148">
        <f>HYPERLINK("https://klasma.github.io/Logging_0980/tillsyn/A 12379-2024 tillsynsbegäran.docx", "A 12379-2024")</f>
        <v/>
      </c>
      <c r="Y148">
        <f>HYPERLINK("https://klasma.github.io/Logging_0980/tillsynsmail/A 12379-2024 tillsynsbegäran mail.docx", "A 12379-2024")</f>
        <v/>
      </c>
    </row>
    <row r="149" ht="15" customHeight="1">
      <c r="A149" t="inlineStr">
        <is>
          <t>A 27589-2023</t>
        </is>
      </c>
      <c r="B149" s="1" t="n">
        <v>45097</v>
      </c>
      <c r="C149" s="1" t="n">
        <v>46093</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17723-2021</t>
        </is>
      </c>
      <c r="B150" s="1" t="n">
        <v>44300</v>
      </c>
      <c r="C150" s="1" t="n">
        <v>46093</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1477-2024</t>
        </is>
      </c>
      <c r="B151" s="1" t="n">
        <v>45305.37987268518</v>
      </c>
      <c r="C151" s="1" t="n">
        <v>46093</v>
      </c>
      <c r="D151" t="inlineStr">
        <is>
          <t>GOTLANDS LÄN</t>
        </is>
      </c>
      <c r="E151" t="inlineStr">
        <is>
          <t>GOTLAND</t>
        </is>
      </c>
      <c r="G151" t="n">
        <v>6.9</v>
      </c>
      <c r="H151" t="n">
        <v>0</v>
      </c>
      <c r="I151" t="n">
        <v>0</v>
      </c>
      <c r="J151" t="n">
        <v>1</v>
      </c>
      <c r="K151" t="n">
        <v>0</v>
      </c>
      <c r="L151" t="n">
        <v>0</v>
      </c>
      <c r="M151" t="n">
        <v>0</v>
      </c>
      <c r="N151" t="n">
        <v>0</v>
      </c>
      <c r="O151" t="n">
        <v>1</v>
      </c>
      <c r="P151" t="n">
        <v>0</v>
      </c>
      <c r="Q151" t="n">
        <v>1</v>
      </c>
      <c r="R151" s="2" t="inlineStr">
        <is>
          <t>Igelkott</t>
        </is>
      </c>
      <c r="S151">
        <f>HYPERLINK("https://klasma.github.io/Logging_0980/artfynd/A 1477-2024 artfynd.xlsx", "A 1477-2024")</f>
        <v/>
      </c>
      <c r="T151">
        <f>HYPERLINK("https://klasma.github.io/Logging_0980/kartor/A 1477-2024 karta.png", "A 1477-2024")</f>
        <v/>
      </c>
      <c r="V151">
        <f>HYPERLINK("https://klasma.github.io/Logging_0980/klagomål/A 1477-2024 FSC-klagomål.docx", "A 1477-2024")</f>
        <v/>
      </c>
      <c r="W151">
        <f>HYPERLINK("https://klasma.github.io/Logging_0980/klagomålsmail/A 1477-2024 FSC-klagomål mail.docx", "A 1477-2024")</f>
        <v/>
      </c>
      <c r="X151">
        <f>HYPERLINK("https://klasma.github.io/Logging_0980/tillsyn/A 1477-2024 tillsynsbegäran.docx", "A 1477-2024")</f>
        <v/>
      </c>
      <c r="Y151">
        <f>HYPERLINK("https://klasma.github.io/Logging_0980/tillsynsmail/A 1477-2024 tillsynsbegäran mail.docx", "A 1477-2024")</f>
        <v/>
      </c>
    </row>
    <row r="152" ht="15" customHeight="1">
      <c r="A152" t="inlineStr">
        <is>
          <t>A 35574-2024</t>
        </is>
      </c>
      <c r="B152" s="1" t="n">
        <v>45531</v>
      </c>
      <c r="C152" s="1" t="n">
        <v>46093</v>
      </c>
      <c r="D152" t="inlineStr">
        <is>
          <t>GOTLANDS LÄN</t>
        </is>
      </c>
      <c r="E152" t="inlineStr">
        <is>
          <t>GOTLAND</t>
        </is>
      </c>
      <c r="G152" t="n">
        <v>5.7</v>
      </c>
      <c r="H152" t="n">
        <v>0</v>
      </c>
      <c r="I152" t="n">
        <v>1</v>
      </c>
      <c r="J152" t="n">
        <v>0</v>
      </c>
      <c r="K152" t="n">
        <v>0</v>
      </c>
      <c r="L152" t="n">
        <v>0</v>
      </c>
      <c r="M152" t="n">
        <v>0</v>
      </c>
      <c r="N152" t="n">
        <v>0</v>
      </c>
      <c r="O152" t="n">
        <v>0</v>
      </c>
      <c r="P152" t="n">
        <v>0</v>
      </c>
      <c r="Q152" t="n">
        <v>1</v>
      </c>
      <c r="R152" s="2" t="inlineStr">
        <is>
          <t>Murgröna</t>
        </is>
      </c>
      <c r="S152">
        <f>HYPERLINK("https://klasma.github.io/Logging_0980/artfynd/A 35574-2024 artfynd.xlsx", "A 35574-2024")</f>
        <v/>
      </c>
      <c r="T152">
        <f>HYPERLINK("https://klasma.github.io/Logging_0980/kartor/A 35574-2024 karta.png", "A 35574-2024")</f>
        <v/>
      </c>
      <c r="V152">
        <f>HYPERLINK("https://klasma.github.io/Logging_0980/klagomål/A 35574-2024 FSC-klagomål.docx", "A 35574-2024")</f>
        <v/>
      </c>
      <c r="W152">
        <f>HYPERLINK("https://klasma.github.io/Logging_0980/klagomålsmail/A 35574-2024 FSC-klagomål mail.docx", "A 35574-2024")</f>
        <v/>
      </c>
      <c r="X152">
        <f>HYPERLINK("https://klasma.github.io/Logging_0980/tillsyn/A 35574-2024 tillsynsbegäran.docx", "A 35574-2024")</f>
        <v/>
      </c>
      <c r="Y152">
        <f>HYPERLINK("https://klasma.github.io/Logging_0980/tillsynsmail/A 35574-2024 tillsynsbegäran mail.docx", "A 35574-2024")</f>
        <v/>
      </c>
    </row>
    <row r="153" ht="15" customHeight="1">
      <c r="A153" t="inlineStr">
        <is>
          <t>A 7637-2025</t>
        </is>
      </c>
      <c r="B153" s="1" t="n">
        <v>45705.77181712963</v>
      </c>
      <c r="C153" s="1" t="n">
        <v>46093</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44304-2021</t>
        </is>
      </c>
      <c r="B154" s="1" t="n">
        <v>44434</v>
      </c>
      <c r="C154" s="1" t="n">
        <v>46093</v>
      </c>
      <c r="D154" t="inlineStr">
        <is>
          <t>GOTLANDS LÄN</t>
        </is>
      </c>
      <c r="E154" t="inlineStr">
        <is>
          <t>GOTLAND</t>
        </is>
      </c>
      <c r="G154" t="n">
        <v>5.8</v>
      </c>
      <c r="H154" t="n">
        <v>0</v>
      </c>
      <c r="I154" t="n">
        <v>0</v>
      </c>
      <c r="J154" t="n">
        <v>1</v>
      </c>
      <c r="K154" t="n">
        <v>0</v>
      </c>
      <c r="L154" t="n">
        <v>0</v>
      </c>
      <c r="M154" t="n">
        <v>0</v>
      </c>
      <c r="N154" t="n">
        <v>0</v>
      </c>
      <c r="O154" t="n">
        <v>1</v>
      </c>
      <c r="P154" t="n">
        <v>0</v>
      </c>
      <c r="Q154" t="n">
        <v>1</v>
      </c>
      <c r="R154" s="2" t="inlineStr">
        <is>
          <t>Svinrot</t>
        </is>
      </c>
      <c r="S154">
        <f>HYPERLINK("https://klasma.github.io/Logging_0980/artfynd/A 44304-2021 artfynd.xlsx", "A 44304-2021")</f>
        <v/>
      </c>
      <c r="T154">
        <f>HYPERLINK("https://klasma.github.io/Logging_0980/kartor/A 44304-2021 karta.png", "A 44304-2021")</f>
        <v/>
      </c>
      <c r="V154">
        <f>HYPERLINK("https://klasma.github.io/Logging_0980/klagomål/A 44304-2021 FSC-klagomål.docx", "A 44304-2021")</f>
        <v/>
      </c>
      <c r="W154">
        <f>HYPERLINK("https://klasma.github.io/Logging_0980/klagomålsmail/A 44304-2021 FSC-klagomål mail.docx", "A 44304-2021")</f>
        <v/>
      </c>
      <c r="X154">
        <f>HYPERLINK("https://klasma.github.io/Logging_0980/tillsyn/A 44304-2021 tillsynsbegäran.docx", "A 44304-2021")</f>
        <v/>
      </c>
      <c r="Y154">
        <f>HYPERLINK("https://klasma.github.io/Logging_0980/tillsynsmail/A 44304-2021 tillsynsbegäran mail.docx", "A 44304-2021")</f>
        <v/>
      </c>
    </row>
    <row r="155" ht="15" customHeight="1">
      <c r="A155" t="inlineStr">
        <is>
          <t>A 39812-2025</t>
        </is>
      </c>
      <c r="B155" s="1" t="n">
        <v>45891</v>
      </c>
      <c r="C155" s="1" t="n">
        <v>46093</v>
      </c>
      <c r="D155" t="inlineStr">
        <is>
          <t>GOTLANDS LÄN</t>
        </is>
      </c>
      <c r="E155" t="inlineStr">
        <is>
          <t>GOTLAND</t>
        </is>
      </c>
      <c r="G155" t="n">
        <v>6</v>
      </c>
      <c r="H155" t="n">
        <v>1</v>
      </c>
      <c r="I155" t="n">
        <v>0</v>
      </c>
      <c r="J155" t="n">
        <v>0</v>
      </c>
      <c r="K155" t="n">
        <v>0</v>
      </c>
      <c r="L155" t="n">
        <v>1</v>
      </c>
      <c r="M155" t="n">
        <v>0</v>
      </c>
      <c r="N155" t="n">
        <v>0</v>
      </c>
      <c r="O155" t="n">
        <v>1</v>
      </c>
      <c r="P155" t="n">
        <v>1</v>
      </c>
      <c r="Q155" t="n">
        <v>1</v>
      </c>
      <c r="R155" s="2" t="inlineStr">
        <is>
          <t>Nålkörvel</t>
        </is>
      </c>
      <c r="S155">
        <f>HYPERLINK("https://klasma.github.io/Logging_0980/artfynd/A 39812-2025 artfynd.xlsx", "A 39812-2025")</f>
        <v/>
      </c>
      <c r="T155">
        <f>HYPERLINK("https://klasma.github.io/Logging_0980/kartor/A 39812-2025 karta.png", "A 39812-2025")</f>
        <v/>
      </c>
      <c r="V155">
        <f>HYPERLINK("https://klasma.github.io/Logging_0980/klagomål/A 39812-2025 FSC-klagomål.docx", "A 39812-2025")</f>
        <v/>
      </c>
      <c r="W155">
        <f>HYPERLINK("https://klasma.github.io/Logging_0980/klagomålsmail/A 39812-2025 FSC-klagomål mail.docx", "A 39812-2025")</f>
        <v/>
      </c>
      <c r="X155">
        <f>HYPERLINK("https://klasma.github.io/Logging_0980/tillsyn/A 39812-2025 tillsynsbegäran.docx", "A 39812-2025")</f>
        <v/>
      </c>
      <c r="Y155">
        <f>HYPERLINK("https://klasma.github.io/Logging_0980/tillsynsmail/A 39812-2025 tillsynsbegäran mail.docx", "A 39812-2025")</f>
        <v/>
      </c>
    </row>
    <row r="156" ht="15" customHeight="1">
      <c r="A156" t="inlineStr">
        <is>
          <t>A 6303-2024</t>
        </is>
      </c>
      <c r="B156" s="1" t="n">
        <v>45338.35376157407</v>
      </c>
      <c r="C156" s="1" t="n">
        <v>46093</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25977-2024</t>
        </is>
      </c>
      <c r="B157" s="1" t="n">
        <v>45467.69356481481</v>
      </c>
      <c r="C157" s="1" t="n">
        <v>46093</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65927-2021</t>
        </is>
      </c>
      <c r="B158" s="1" t="n">
        <v>44516</v>
      </c>
      <c r="C158" s="1" t="n">
        <v>46093</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34809-2024</t>
        </is>
      </c>
      <c r="B159" s="1" t="n">
        <v>45526</v>
      </c>
      <c r="C159" s="1" t="n">
        <v>46093</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35467-2021</t>
        </is>
      </c>
      <c r="B160" s="1" t="n">
        <v>44385</v>
      </c>
      <c r="C160" s="1" t="n">
        <v>46093</v>
      </c>
      <c r="D160" t="inlineStr">
        <is>
          <t>GOTLANDS LÄN</t>
        </is>
      </c>
      <c r="E160" t="inlineStr">
        <is>
          <t>GOTLAND</t>
        </is>
      </c>
      <c r="G160" t="n">
        <v>12.7</v>
      </c>
      <c r="H160" t="n">
        <v>0</v>
      </c>
      <c r="I160" t="n">
        <v>0</v>
      </c>
      <c r="J160" t="n">
        <v>1</v>
      </c>
      <c r="K160" t="n">
        <v>0</v>
      </c>
      <c r="L160" t="n">
        <v>0</v>
      </c>
      <c r="M160" t="n">
        <v>0</v>
      </c>
      <c r="N160" t="n">
        <v>0</v>
      </c>
      <c r="O160" t="n">
        <v>1</v>
      </c>
      <c r="P160" t="n">
        <v>0</v>
      </c>
      <c r="Q160" t="n">
        <v>1</v>
      </c>
      <c r="R160" s="2" t="inlineStr">
        <is>
          <t>Loppstarr</t>
        </is>
      </c>
      <c r="S160">
        <f>HYPERLINK("https://klasma.github.io/Logging_0980/artfynd/A 35467-2021 artfynd.xlsx", "A 35467-2021")</f>
        <v/>
      </c>
      <c r="T160">
        <f>HYPERLINK("https://klasma.github.io/Logging_0980/kartor/A 35467-2021 karta.png", "A 35467-2021")</f>
        <v/>
      </c>
      <c r="V160">
        <f>HYPERLINK("https://klasma.github.io/Logging_0980/klagomål/A 35467-2021 FSC-klagomål.docx", "A 35467-2021")</f>
        <v/>
      </c>
      <c r="W160">
        <f>HYPERLINK("https://klasma.github.io/Logging_0980/klagomålsmail/A 35467-2021 FSC-klagomål mail.docx", "A 35467-2021")</f>
        <v/>
      </c>
      <c r="X160">
        <f>HYPERLINK("https://klasma.github.io/Logging_0980/tillsyn/A 35467-2021 tillsynsbegäran.docx", "A 35467-2021")</f>
        <v/>
      </c>
      <c r="Y160">
        <f>HYPERLINK("https://klasma.github.io/Logging_0980/tillsynsmail/A 35467-2021 tillsynsbegäran mail.docx", "A 35467-2021")</f>
        <v/>
      </c>
    </row>
    <row r="161" ht="15" customHeight="1">
      <c r="A161" t="inlineStr">
        <is>
          <t>A 61796-2022</t>
        </is>
      </c>
      <c r="B161" s="1" t="n">
        <v>44917</v>
      </c>
      <c r="C161" s="1" t="n">
        <v>46093</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44619-2025</t>
        </is>
      </c>
      <c r="B162" s="1" t="n">
        <v>45917</v>
      </c>
      <c r="C162" s="1" t="n">
        <v>46093</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Ögonpyrola</t>
        </is>
      </c>
      <c r="S162">
        <f>HYPERLINK("https://klasma.github.io/Logging_0980/artfynd/A 44619-2025 artfynd.xlsx", "A 44619-2025")</f>
        <v/>
      </c>
      <c r="T162">
        <f>HYPERLINK("https://klasma.github.io/Logging_0980/kartor/A 44619-2025 karta.png", "A 44619-2025")</f>
        <v/>
      </c>
      <c r="V162">
        <f>HYPERLINK("https://klasma.github.io/Logging_0980/klagomål/A 44619-2025 FSC-klagomål.docx", "A 44619-2025")</f>
        <v/>
      </c>
      <c r="W162">
        <f>HYPERLINK("https://klasma.github.io/Logging_0980/klagomålsmail/A 44619-2025 FSC-klagomål mail.docx", "A 44619-2025")</f>
        <v/>
      </c>
      <c r="X162">
        <f>HYPERLINK("https://klasma.github.io/Logging_0980/tillsyn/A 44619-2025 tillsynsbegäran.docx", "A 44619-2025")</f>
        <v/>
      </c>
      <c r="Y162">
        <f>HYPERLINK("https://klasma.github.io/Logging_0980/tillsynsmail/A 44619-2025 tillsynsbegäran mail.docx", "A 44619-2025")</f>
        <v/>
      </c>
    </row>
    <row r="163" ht="15" customHeight="1">
      <c r="A163" t="inlineStr">
        <is>
          <t>A 15637-2024</t>
        </is>
      </c>
      <c r="B163" s="1" t="n">
        <v>45403.6684837963</v>
      </c>
      <c r="C163" s="1" t="n">
        <v>46093</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49726-2025</t>
        </is>
      </c>
      <c r="B164" s="1" t="n">
        <v>45939.84466435185</v>
      </c>
      <c r="C164" s="1" t="n">
        <v>46093</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61561-2023</t>
        </is>
      </c>
      <c r="B165" s="1" t="n">
        <v>45265</v>
      </c>
      <c r="C165" s="1" t="n">
        <v>46093</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2476-2025</t>
        </is>
      </c>
      <c r="B166" s="1" t="n">
        <v>45673</v>
      </c>
      <c r="C166" s="1" t="n">
        <v>46093</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12924-2025</t>
        </is>
      </c>
      <c r="B167" s="1" t="n">
        <v>45734</v>
      </c>
      <c r="C167" s="1" t="n">
        <v>46093</v>
      </c>
      <c r="D167" t="inlineStr">
        <is>
          <t>GOTLANDS LÄN</t>
        </is>
      </c>
      <c r="E167" t="inlineStr">
        <is>
          <t>GOTLAND</t>
        </is>
      </c>
      <c r="G167" t="n">
        <v>11.7</v>
      </c>
      <c r="H167" t="n">
        <v>0</v>
      </c>
      <c r="I167" t="n">
        <v>0</v>
      </c>
      <c r="J167" t="n">
        <v>0</v>
      </c>
      <c r="K167" t="n">
        <v>1</v>
      </c>
      <c r="L167" t="n">
        <v>0</v>
      </c>
      <c r="M167" t="n">
        <v>0</v>
      </c>
      <c r="N167" t="n">
        <v>0</v>
      </c>
      <c r="O167" t="n">
        <v>1</v>
      </c>
      <c r="P167" t="n">
        <v>1</v>
      </c>
      <c r="Q167" t="n">
        <v>1</v>
      </c>
      <c r="R167" s="2" t="inlineStr">
        <is>
          <t>Gotlandsmåra</t>
        </is>
      </c>
      <c r="S167">
        <f>HYPERLINK("https://klasma.github.io/Logging_0980/artfynd/A 12924-2025 artfynd.xlsx", "A 12924-2025")</f>
        <v/>
      </c>
      <c r="T167">
        <f>HYPERLINK("https://klasma.github.io/Logging_0980/kartor/A 12924-2025 karta.png", "A 12924-2025")</f>
        <v/>
      </c>
      <c r="V167">
        <f>HYPERLINK("https://klasma.github.io/Logging_0980/klagomål/A 12924-2025 FSC-klagomål.docx", "A 12924-2025")</f>
        <v/>
      </c>
      <c r="W167">
        <f>HYPERLINK("https://klasma.github.io/Logging_0980/klagomålsmail/A 12924-2025 FSC-klagomål mail.docx", "A 12924-2025")</f>
        <v/>
      </c>
      <c r="X167">
        <f>HYPERLINK("https://klasma.github.io/Logging_0980/tillsyn/A 12924-2025 tillsynsbegäran.docx", "A 12924-2025")</f>
        <v/>
      </c>
      <c r="Y167">
        <f>HYPERLINK("https://klasma.github.io/Logging_0980/tillsynsmail/A 12924-2025 tillsynsbegäran mail.docx", "A 12924-2025")</f>
        <v/>
      </c>
    </row>
    <row r="168" ht="15" customHeight="1">
      <c r="A168" t="inlineStr">
        <is>
          <t>A 10995-2023</t>
        </is>
      </c>
      <c r="B168" s="1" t="n">
        <v>44986</v>
      </c>
      <c r="C168" s="1" t="n">
        <v>46093</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13939-2021</t>
        </is>
      </c>
      <c r="B169" s="1" t="n">
        <v>44277</v>
      </c>
      <c r="C169" s="1" t="n">
        <v>46093</v>
      </c>
      <c r="D169" t="inlineStr">
        <is>
          <t>GOTLANDS LÄN</t>
        </is>
      </c>
      <c r="E169" t="inlineStr">
        <is>
          <t>GOTLAND</t>
        </is>
      </c>
      <c r="G169" t="n">
        <v>1</v>
      </c>
      <c r="H169" t="n">
        <v>0</v>
      </c>
      <c r="I169" t="n">
        <v>0</v>
      </c>
      <c r="J169" t="n">
        <v>1</v>
      </c>
      <c r="K169" t="n">
        <v>0</v>
      </c>
      <c r="L169" t="n">
        <v>0</v>
      </c>
      <c r="M169" t="n">
        <v>0</v>
      </c>
      <c r="N169" t="n">
        <v>0</v>
      </c>
      <c r="O169" t="n">
        <v>1</v>
      </c>
      <c r="P169" t="n">
        <v>0</v>
      </c>
      <c r="Q169" t="n">
        <v>1</v>
      </c>
      <c r="R169" s="2" t="inlineStr">
        <is>
          <t>Axveronika</t>
        </is>
      </c>
      <c r="S169">
        <f>HYPERLINK("https://klasma.github.io/Logging_0980/artfynd/A 13939-2021 artfynd.xlsx", "A 13939-2021")</f>
        <v/>
      </c>
      <c r="T169">
        <f>HYPERLINK("https://klasma.github.io/Logging_0980/kartor/A 13939-2021 karta.png", "A 13939-2021")</f>
        <v/>
      </c>
      <c r="V169">
        <f>HYPERLINK("https://klasma.github.io/Logging_0980/klagomål/A 13939-2021 FSC-klagomål.docx", "A 13939-2021")</f>
        <v/>
      </c>
      <c r="W169">
        <f>HYPERLINK("https://klasma.github.io/Logging_0980/klagomålsmail/A 13939-2021 FSC-klagomål mail.docx", "A 13939-2021")</f>
        <v/>
      </c>
      <c r="X169">
        <f>HYPERLINK("https://klasma.github.io/Logging_0980/tillsyn/A 13939-2021 tillsynsbegäran.docx", "A 13939-2021")</f>
        <v/>
      </c>
      <c r="Y169">
        <f>HYPERLINK("https://klasma.github.io/Logging_0980/tillsynsmail/A 13939-2021 tillsynsbegäran mail.docx", "A 13939-2021")</f>
        <v/>
      </c>
    </row>
    <row r="170" ht="15" customHeight="1">
      <c r="A170" t="inlineStr">
        <is>
          <t>A 62552-2022</t>
        </is>
      </c>
      <c r="B170" s="1" t="n">
        <v>44924</v>
      </c>
      <c r="C170" s="1" t="n">
        <v>46093</v>
      </c>
      <c r="D170" t="inlineStr">
        <is>
          <t>GOTLANDS LÄN</t>
        </is>
      </c>
      <c r="E170" t="inlineStr">
        <is>
          <t>GOTLAND</t>
        </is>
      </c>
      <c r="G170" t="n">
        <v>1.6</v>
      </c>
      <c r="H170" t="n">
        <v>0</v>
      </c>
      <c r="I170" t="n">
        <v>0</v>
      </c>
      <c r="J170" t="n">
        <v>1</v>
      </c>
      <c r="K170" t="n">
        <v>0</v>
      </c>
      <c r="L170" t="n">
        <v>0</v>
      </c>
      <c r="M170" t="n">
        <v>0</v>
      </c>
      <c r="N170" t="n">
        <v>0</v>
      </c>
      <c r="O170" t="n">
        <v>1</v>
      </c>
      <c r="P170" t="n">
        <v>0</v>
      </c>
      <c r="Q170" t="n">
        <v>1</v>
      </c>
      <c r="R170" s="2" t="inlineStr">
        <is>
          <t>Äggspindling</t>
        </is>
      </c>
      <c r="S170">
        <f>HYPERLINK("https://klasma.github.io/Logging_0980/artfynd/A 62552-2022 artfynd.xlsx", "A 62552-2022")</f>
        <v/>
      </c>
      <c r="T170">
        <f>HYPERLINK("https://klasma.github.io/Logging_0980/kartor/A 62552-2022 karta.png", "A 62552-2022")</f>
        <v/>
      </c>
      <c r="V170">
        <f>HYPERLINK("https://klasma.github.io/Logging_0980/klagomål/A 62552-2022 FSC-klagomål.docx", "A 62552-2022")</f>
        <v/>
      </c>
      <c r="W170">
        <f>HYPERLINK("https://klasma.github.io/Logging_0980/klagomålsmail/A 62552-2022 FSC-klagomål mail.docx", "A 62552-2022")</f>
        <v/>
      </c>
      <c r="X170">
        <f>HYPERLINK("https://klasma.github.io/Logging_0980/tillsyn/A 62552-2022 tillsynsbegäran.docx", "A 62552-2022")</f>
        <v/>
      </c>
      <c r="Y170">
        <f>HYPERLINK("https://klasma.github.io/Logging_0980/tillsynsmail/A 62552-2022 tillsynsbegäran mail.docx", "A 62552-2022")</f>
        <v/>
      </c>
    </row>
    <row r="171" ht="15" customHeight="1">
      <c r="A171" t="inlineStr">
        <is>
          <t>A 44088-2022</t>
        </is>
      </c>
      <c r="B171" s="1" t="n">
        <v>44839</v>
      </c>
      <c r="C171" s="1" t="n">
        <v>46093</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22782-2023</t>
        </is>
      </c>
      <c r="B172" s="1" t="n">
        <v>45072</v>
      </c>
      <c r="C172" s="1" t="n">
        <v>46093</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22883-2024</t>
        </is>
      </c>
      <c r="B173" s="1" t="n">
        <v>45448.66368055555</v>
      </c>
      <c r="C173" s="1" t="n">
        <v>46093</v>
      </c>
      <c r="D173" t="inlineStr">
        <is>
          <t>GOTLANDS LÄN</t>
        </is>
      </c>
      <c r="E173" t="inlineStr">
        <is>
          <t>GOTLAND</t>
        </is>
      </c>
      <c r="G173" t="n">
        <v>0.5</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22883-2024 artfynd.xlsx", "A 22883-2024")</f>
        <v/>
      </c>
      <c r="T173">
        <f>HYPERLINK("https://klasma.github.io/Logging_0980/kartor/A 22883-2024 karta.png", "A 22883-2024")</f>
        <v/>
      </c>
      <c r="V173">
        <f>HYPERLINK("https://klasma.github.io/Logging_0980/klagomål/A 22883-2024 FSC-klagomål.docx", "A 22883-2024")</f>
        <v/>
      </c>
      <c r="W173">
        <f>HYPERLINK("https://klasma.github.io/Logging_0980/klagomålsmail/A 22883-2024 FSC-klagomål mail.docx", "A 22883-2024")</f>
        <v/>
      </c>
      <c r="X173">
        <f>HYPERLINK("https://klasma.github.io/Logging_0980/tillsyn/A 22883-2024 tillsynsbegäran.docx", "A 22883-2024")</f>
        <v/>
      </c>
      <c r="Y173">
        <f>HYPERLINK("https://klasma.github.io/Logging_0980/tillsynsmail/A 22883-2024 tillsynsbegäran mail.docx", "A 22883-2024")</f>
        <v/>
      </c>
    </row>
    <row r="174" ht="15" customHeight="1">
      <c r="A174" t="inlineStr">
        <is>
          <t>A 44308-2021</t>
        </is>
      </c>
      <c r="B174" s="1" t="n">
        <v>44434</v>
      </c>
      <c r="C174" s="1" t="n">
        <v>46093</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Svavelriska</t>
        </is>
      </c>
      <c r="S174">
        <f>HYPERLINK("https://klasma.github.io/Logging_0980/artfynd/A 44308-2021 artfynd.xlsx", "A 44308-2021")</f>
        <v/>
      </c>
      <c r="T174">
        <f>HYPERLINK("https://klasma.github.io/Logging_0980/kartor/A 44308-2021 karta.png", "A 44308-2021")</f>
        <v/>
      </c>
      <c r="V174">
        <f>HYPERLINK("https://klasma.github.io/Logging_0980/klagomål/A 44308-2021 FSC-klagomål.docx", "A 44308-2021")</f>
        <v/>
      </c>
      <c r="W174">
        <f>HYPERLINK("https://klasma.github.io/Logging_0980/klagomålsmail/A 44308-2021 FSC-klagomål mail.docx", "A 44308-2021")</f>
        <v/>
      </c>
      <c r="X174">
        <f>HYPERLINK("https://klasma.github.io/Logging_0980/tillsyn/A 44308-2021 tillsynsbegäran.docx", "A 44308-2021")</f>
        <v/>
      </c>
      <c r="Y174">
        <f>HYPERLINK("https://klasma.github.io/Logging_0980/tillsynsmail/A 44308-2021 tillsynsbegäran mail.docx", "A 44308-2021")</f>
        <v/>
      </c>
    </row>
    <row r="175" ht="15" customHeight="1">
      <c r="A175" t="inlineStr">
        <is>
          <t>A 447-2023</t>
        </is>
      </c>
      <c r="B175" s="1" t="n">
        <v>44929</v>
      </c>
      <c r="C175" s="1" t="n">
        <v>46093</v>
      </c>
      <c r="D175" t="inlineStr">
        <is>
          <t>GOTLANDS LÄN</t>
        </is>
      </c>
      <c r="E175" t="inlineStr">
        <is>
          <t>GOTLAND</t>
        </is>
      </c>
      <c r="G175" t="n">
        <v>5.1</v>
      </c>
      <c r="H175" t="n">
        <v>0</v>
      </c>
      <c r="I175" t="n">
        <v>0</v>
      </c>
      <c r="J175" t="n">
        <v>1</v>
      </c>
      <c r="K175" t="n">
        <v>0</v>
      </c>
      <c r="L175" t="n">
        <v>0</v>
      </c>
      <c r="M175" t="n">
        <v>0</v>
      </c>
      <c r="N175" t="n">
        <v>0</v>
      </c>
      <c r="O175" t="n">
        <v>1</v>
      </c>
      <c r="P175" t="n">
        <v>0</v>
      </c>
      <c r="Q175" t="n">
        <v>1</v>
      </c>
      <c r="R175" s="2" t="inlineStr">
        <is>
          <t>Äggspindling</t>
        </is>
      </c>
      <c r="S175">
        <f>HYPERLINK("https://klasma.github.io/Logging_0980/artfynd/A 447-2023 artfynd.xlsx", "A 447-2023")</f>
        <v/>
      </c>
      <c r="T175">
        <f>HYPERLINK("https://klasma.github.io/Logging_0980/kartor/A 447-2023 karta.png", "A 447-2023")</f>
        <v/>
      </c>
      <c r="V175">
        <f>HYPERLINK("https://klasma.github.io/Logging_0980/klagomål/A 447-2023 FSC-klagomål.docx", "A 447-2023")</f>
        <v/>
      </c>
      <c r="W175">
        <f>HYPERLINK("https://klasma.github.io/Logging_0980/klagomålsmail/A 447-2023 FSC-klagomål mail.docx", "A 447-2023")</f>
        <v/>
      </c>
      <c r="X175">
        <f>HYPERLINK("https://klasma.github.io/Logging_0980/tillsyn/A 447-2023 tillsynsbegäran.docx", "A 447-2023")</f>
        <v/>
      </c>
      <c r="Y175">
        <f>HYPERLINK("https://klasma.github.io/Logging_0980/tillsynsmail/A 447-2023 tillsynsbegäran mail.docx", "A 447-2023")</f>
        <v/>
      </c>
    </row>
    <row r="176" ht="15" customHeight="1">
      <c r="A176" t="inlineStr">
        <is>
          <t>A 947-2023</t>
        </is>
      </c>
      <c r="B176" s="1" t="n">
        <v>44934</v>
      </c>
      <c r="C176" s="1" t="n">
        <v>46093</v>
      </c>
      <c r="D176" t="inlineStr">
        <is>
          <t>GOTLANDS LÄN</t>
        </is>
      </c>
      <c r="E176" t="inlineStr">
        <is>
          <t>GOTLAND</t>
        </is>
      </c>
      <c r="G176" t="n">
        <v>0.7</v>
      </c>
      <c r="H176" t="n">
        <v>1</v>
      </c>
      <c r="I176" t="n">
        <v>0</v>
      </c>
      <c r="J176" t="n">
        <v>0</v>
      </c>
      <c r="K176" t="n">
        <v>1</v>
      </c>
      <c r="L176" t="n">
        <v>0</v>
      </c>
      <c r="M176" t="n">
        <v>0</v>
      </c>
      <c r="N176" t="n">
        <v>0</v>
      </c>
      <c r="O176" t="n">
        <v>1</v>
      </c>
      <c r="P176" t="n">
        <v>1</v>
      </c>
      <c r="Q176" t="n">
        <v>1</v>
      </c>
      <c r="R176" s="2" t="inlineStr">
        <is>
          <t>Garderönn</t>
        </is>
      </c>
      <c r="S176">
        <f>HYPERLINK("https://klasma.github.io/Logging_0980/artfynd/A 947-2023 artfynd.xlsx", "A 947-2023")</f>
        <v/>
      </c>
      <c r="T176">
        <f>HYPERLINK("https://klasma.github.io/Logging_0980/kartor/A 947-2023 karta.png", "A 947-2023")</f>
        <v/>
      </c>
      <c r="V176">
        <f>HYPERLINK("https://klasma.github.io/Logging_0980/klagomål/A 947-2023 FSC-klagomål.docx", "A 947-2023")</f>
        <v/>
      </c>
      <c r="W176">
        <f>HYPERLINK("https://klasma.github.io/Logging_0980/klagomålsmail/A 947-2023 FSC-klagomål mail.docx", "A 947-2023")</f>
        <v/>
      </c>
      <c r="X176">
        <f>HYPERLINK("https://klasma.github.io/Logging_0980/tillsyn/A 947-2023 tillsynsbegäran.docx", "A 947-2023")</f>
        <v/>
      </c>
      <c r="Y176">
        <f>HYPERLINK("https://klasma.github.io/Logging_0980/tillsynsmail/A 947-2023 tillsynsbegäran mail.docx", "A 947-2023")</f>
        <v/>
      </c>
    </row>
    <row r="177" ht="15" customHeight="1">
      <c r="A177" t="inlineStr">
        <is>
          <t>A 49304-2024</t>
        </is>
      </c>
      <c r="B177" s="1" t="n">
        <v>45595.54996527778</v>
      </c>
      <c r="C177" s="1" t="n">
        <v>46093</v>
      </c>
      <c r="D177" t="inlineStr">
        <is>
          <t>GOTLANDS LÄN</t>
        </is>
      </c>
      <c r="E177" t="inlineStr">
        <is>
          <t>GOTLAND</t>
        </is>
      </c>
      <c r="G177" t="n">
        <v>10.8</v>
      </c>
      <c r="H177" t="n">
        <v>0</v>
      </c>
      <c r="I177" t="n">
        <v>0</v>
      </c>
      <c r="J177" t="n">
        <v>1</v>
      </c>
      <c r="K177" t="n">
        <v>0</v>
      </c>
      <c r="L177" t="n">
        <v>0</v>
      </c>
      <c r="M177" t="n">
        <v>0</v>
      </c>
      <c r="N177" t="n">
        <v>0</v>
      </c>
      <c r="O177" t="n">
        <v>1</v>
      </c>
      <c r="P177" t="n">
        <v>0</v>
      </c>
      <c r="Q177" t="n">
        <v>1</v>
      </c>
      <c r="R177" s="2" t="inlineStr">
        <is>
          <t>Åkerranunkel</t>
        </is>
      </c>
      <c r="S177">
        <f>HYPERLINK("https://klasma.github.io/Logging_0980/artfynd/A 49304-2024 artfynd.xlsx", "A 49304-2024")</f>
        <v/>
      </c>
      <c r="T177">
        <f>HYPERLINK("https://klasma.github.io/Logging_0980/kartor/A 49304-2024 karta.png", "A 49304-2024")</f>
        <v/>
      </c>
      <c r="V177">
        <f>HYPERLINK("https://klasma.github.io/Logging_0980/klagomål/A 49304-2024 FSC-klagomål.docx", "A 49304-2024")</f>
        <v/>
      </c>
      <c r="W177">
        <f>HYPERLINK("https://klasma.github.io/Logging_0980/klagomålsmail/A 49304-2024 FSC-klagomål mail.docx", "A 49304-2024")</f>
        <v/>
      </c>
      <c r="X177">
        <f>HYPERLINK("https://klasma.github.io/Logging_0980/tillsyn/A 49304-2024 tillsynsbegäran.docx", "A 49304-2024")</f>
        <v/>
      </c>
      <c r="Y177">
        <f>HYPERLINK("https://klasma.github.io/Logging_0980/tillsynsmail/A 49304-2024 tillsynsbegäran mail.docx", "A 49304-2024")</f>
        <v/>
      </c>
    </row>
    <row r="178" ht="15" customHeight="1">
      <c r="A178" t="inlineStr">
        <is>
          <t>A 24245-2022</t>
        </is>
      </c>
      <c r="B178" s="1" t="n">
        <v>44725</v>
      </c>
      <c r="C178" s="1" t="n">
        <v>46093</v>
      </c>
      <c r="D178" t="inlineStr">
        <is>
          <t>GOTLANDS LÄN</t>
        </is>
      </c>
      <c r="E178" t="inlineStr">
        <is>
          <t>GOTLAND</t>
        </is>
      </c>
      <c r="G178" t="n">
        <v>4.9</v>
      </c>
      <c r="H178" t="n">
        <v>0</v>
      </c>
      <c r="I178" t="n">
        <v>0</v>
      </c>
      <c r="J178" t="n">
        <v>0</v>
      </c>
      <c r="K178" t="n">
        <v>0</v>
      </c>
      <c r="L178" t="n">
        <v>1</v>
      </c>
      <c r="M178" t="n">
        <v>0</v>
      </c>
      <c r="N178" t="n">
        <v>0</v>
      </c>
      <c r="O178" t="n">
        <v>1</v>
      </c>
      <c r="P178" t="n">
        <v>1</v>
      </c>
      <c r="Q178" t="n">
        <v>1</v>
      </c>
      <c r="R178" s="2" t="inlineStr">
        <is>
          <t>Slät taggsvamp</t>
        </is>
      </c>
      <c r="S178">
        <f>HYPERLINK("https://klasma.github.io/Logging_0980/artfynd/A 24245-2022 artfynd.xlsx", "A 24245-2022")</f>
        <v/>
      </c>
      <c r="T178">
        <f>HYPERLINK("https://klasma.github.io/Logging_0980/kartor/A 24245-2022 karta.png", "A 24245-2022")</f>
        <v/>
      </c>
      <c r="V178">
        <f>HYPERLINK("https://klasma.github.io/Logging_0980/klagomål/A 24245-2022 FSC-klagomål.docx", "A 24245-2022")</f>
        <v/>
      </c>
      <c r="W178">
        <f>HYPERLINK("https://klasma.github.io/Logging_0980/klagomålsmail/A 24245-2022 FSC-klagomål mail.docx", "A 24245-2022")</f>
        <v/>
      </c>
      <c r="X178">
        <f>HYPERLINK("https://klasma.github.io/Logging_0980/tillsyn/A 24245-2022 tillsynsbegäran.docx", "A 24245-2022")</f>
        <v/>
      </c>
      <c r="Y178">
        <f>HYPERLINK("https://klasma.github.io/Logging_0980/tillsynsmail/A 24245-2022 tillsynsbegäran mail.docx", "A 24245-2022")</f>
        <v/>
      </c>
    </row>
    <row r="179" ht="15" customHeight="1">
      <c r="A179" t="inlineStr">
        <is>
          <t>A 49847-2023</t>
        </is>
      </c>
      <c r="B179" s="1" t="n">
        <v>45212</v>
      </c>
      <c r="C179" s="1" t="n">
        <v>46093</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46527-2023</t>
        </is>
      </c>
      <c r="B180" s="1" t="n">
        <v>45197</v>
      </c>
      <c r="C180" s="1" t="n">
        <v>46093</v>
      </c>
      <c r="D180" t="inlineStr">
        <is>
          <t>GOTLANDS LÄN</t>
        </is>
      </c>
      <c r="E180" t="inlineStr">
        <is>
          <t>GOTLAND</t>
        </is>
      </c>
      <c r="G180" t="n">
        <v>0.9</v>
      </c>
      <c r="H180" t="n">
        <v>0</v>
      </c>
      <c r="I180" t="n">
        <v>0</v>
      </c>
      <c r="J180" t="n">
        <v>1</v>
      </c>
      <c r="K180" t="n">
        <v>0</v>
      </c>
      <c r="L180" t="n">
        <v>0</v>
      </c>
      <c r="M180" t="n">
        <v>0</v>
      </c>
      <c r="N180" t="n">
        <v>0</v>
      </c>
      <c r="O180" t="n">
        <v>1</v>
      </c>
      <c r="P180" t="n">
        <v>0</v>
      </c>
      <c r="Q180" t="n">
        <v>1</v>
      </c>
      <c r="R180" s="2" t="inlineStr">
        <is>
          <t>Guldgräshoppa</t>
        </is>
      </c>
      <c r="S180">
        <f>HYPERLINK("https://klasma.github.io/Logging_0980/artfynd/A 46527-2023 artfynd.xlsx", "A 46527-2023")</f>
        <v/>
      </c>
      <c r="T180">
        <f>HYPERLINK("https://klasma.github.io/Logging_0980/kartor/A 46527-2023 karta.png", "A 46527-2023")</f>
        <v/>
      </c>
      <c r="V180">
        <f>HYPERLINK("https://klasma.github.io/Logging_0980/klagomål/A 46527-2023 FSC-klagomål.docx", "A 46527-2023")</f>
        <v/>
      </c>
      <c r="W180">
        <f>HYPERLINK("https://klasma.github.io/Logging_0980/klagomålsmail/A 46527-2023 FSC-klagomål mail.docx", "A 46527-2023")</f>
        <v/>
      </c>
      <c r="X180">
        <f>HYPERLINK("https://klasma.github.io/Logging_0980/tillsyn/A 46527-2023 tillsynsbegäran.docx", "A 46527-2023")</f>
        <v/>
      </c>
      <c r="Y180">
        <f>HYPERLINK("https://klasma.github.io/Logging_0980/tillsynsmail/A 46527-2023 tillsynsbegäran mail.docx", "A 46527-2023")</f>
        <v/>
      </c>
    </row>
    <row r="181" ht="15" customHeight="1">
      <c r="A181" t="inlineStr">
        <is>
          <t>A 12324-2025</t>
        </is>
      </c>
      <c r="B181" s="1" t="n">
        <v>45730</v>
      </c>
      <c r="C181" s="1" t="n">
        <v>46093</v>
      </c>
      <c r="D181" t="inlineStr">
        <is>
          <t>GOTLANDS LÄN</t>
        </is>
      </c>
      <c r="E181" t="inlineStr">
        <is>
          <t>GOTLAND</t>
        </is>
      </c>
      <c r="G181" t="n">
        <v>5</v>
      </c>
      <c r="H181" t="n">
        <v>0</v>
      </c>
      <c r="I181" t="n">
        <v>0</v>
      </c>
      <c r="J181" t="n">
        <v>0</v>
      </c>
      <c r="K181" t="n">
        <v>1</v>
      </c>
      <c r="L181" t="n">
        <v>0</v>
      </c>
      <c r="M181" t="n">
        <v>0</v>
      </c>
      <c r="N181" t="n">
        <v>0</v>
      </c>
      <c r="O181" t="n">
        <v>1</v>
      </c>
      <c r="P181" t="n">
        <v>1</v>
      </c>
      <c r="Q181" t="n">
        <v>1</v>
      </c>
      <c r="R181" s="2" t="inlineStr">
        <is>
          <t>Sommarklynne</t>
        </is>
      </c>
      <c r="S181">
        <f>HYPERLINK("https://klasma.github.io/Logging_0980/artfynd/A 12324-2025 artfynd.xlsx", "A 12324-2025")</f>
        <v/>
      </c>
      <c r="T181">
        <f>HYPERLINK("https://klasma.github.io/Logging_0980/kartor/A 12324-2025 karta.png", "A 12324-2025")</f>
        <v/>
      </c>
      <c r="V181">
        <f>HYPERLINK("https://klasma.github.io/Logging_0980/klagomål/A 12324-2025 FSC-klagomål.docx", "A 12324-2025")</f>
        <v/>
      </c>
      <c r="W181">
        <f>HYPERLINK("https://klasma.github.io/Logging_0980/klagomålsmail/A 12324-2025 FSC-klagomål mail.docx", "A 12324-2025")</f>
        <v/>
      </c>
      <c r="X181">
        <f>HYPERLINK("https://klasma.github.io/Logging_0980/tillsyn/A 12324-2025 tillsynsbegäran.docx", "A 12324-2025")</f>
        <v/>
      </c>
      <c r="Y181">
        <f>HYPERLINK("https://klasma.github.io/Logging_0980/tillsynsmail/A 12324-2025 tillsynsbegäran mail.docx", "A 12324-2025")</f>
        <v/>
      </c>
    </row>
    <row r="182" ht="15" customHeight="1">
      <c r="A182" t="inlineStr">
        <is>
          <t>A 37591-2023</t>
        </is>
      </c>
      <c r="B182" s="1" t="n">
        <v>45159</v>
      </c>
      <c r="C182" s="1" t="n">
        <v>46093</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63149-2025</t>
        </is>
      </c>
      <c r="B183" s="1" t="n">
        <v>46010</v>
      </c>
      <c r="C183" s="1" t="n">
        <v>46093</v>
      </c>
      <c r="D183" t="inlineStr">
        <is>
          <t>GOTLANDS LÄN</t>
        </is>
      </c>
      <c r="E183" t="inlineStr">
        <is>
          <t>GOTLAND</t>
        </is>
      </c>
      <c r="G183" t="n">
        <v>4.3</v>
      </c>
      <c r="H183" t="n">
        <v>0</v>
      </c>
      <c r="I183" t="n">
        <v>1</v>
      </c>
      <c r="J183" t="n">
        <v>0</v>
      </c>
      <c r="K183" t="n">
        <v>0</v>
      </c>
      <c r="L183" t="n">
        <v>0</v>
      </c>
      <c r="M183" t="n">
        <v>0</v>
      </c>
      <c r="N183" t="n">
        <v>0</v>
      </c>
      <c r="O183" t="n">
        <v>0</v>
      </c>
      <c r="P183" t="n">
        <v>0</v>
      </c>
      <c r="Q183" t="n">
        <v>1</v>
      </c>
      <c r="R183" s="2" t="inlineStr">
        <is>
          <t>Anisspindling</t>
        </is>
      </c>
      <c r="S183">
        <f>HYPERLINK("https://klasma.github.io/Logging_0980/artfynd/A 63149-2025 artfynd.xlsx", "A 63149-2025")</f>
        <v/>
      </c>
      <c r="T183">
        <f>HYPERLINK("https://klasma.github.io/Logging_0980/kartor/A 63149-2025 karta.png", "A 63149-2025")</f>
        <v/>
      </c>
      <c r="V183">
        <f>HYPERLINK("https://klasma.github.io/Logging_0980/klagomål/A 63149-2025 FSC-klagomål.docx", "A 63149-2025")</f>
        <v/>
      </c>
      <c r="W183">
        <f>HYPERLINK("https://klasma.github.io/Logging_0980/klagomålsmail/A 63149-2025 FSC-klagomål mail.docx", "A 63149-2025")</f>
        <v/>
      </c>
      <c r="X183">
        <f>HYPERLINK("https://klasma.github.io/Logging_0980/tillsyn/A 63149-2025 tillsynsbegäran.docx", "A 63149-2025")</f>
        <v/>
      </c>
      <c r="Y183">
        <f>HYPERLINK("https://klasma.github.io/Logging_0980/tillsynsmail/A 63149-2025 tillsynsbegäran mail.docx", "A 63149-2025")</f>
        <v/>
      </c>
    </row>
    <row r="184" ht="15" customHeight="1">
      <c r="A184" t="inlineStr">
        <is>
          <t>A 21466-2025</t>
        </is>
      </c>
      <c r="B184" s="1" t="n">
        <v>45782</v>
      </c>
      <c r="C184" s="1" t="n">
        <v>46093</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46093</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11708-2026</t>
        </is>
      </c>
      <c r="B186" s="1" t="n">
        <v>46084</v>
      </c>
      <c r="C186" s="1" t="n">
        <v>46093</v>
      </c>
      <c r="D186" t="inlineStr">
        <is>
          <t>GOTLANDS LÄN</t>
        </is>
      </c>
      <c r="E186" t="inlineStr">
        <is>
          <t>GOTLAND</t>
        </is>
      </c>
      <c r="G186" t="n">
        <v>8.4</v>
      </c>
      <c r="H186" t="n">
        <v>1</v>
      </c>
      <c r="I186" t="n">
        <v>0</v>
      </c>
      <c r="J186" t="n">
        <v>1</v>
      </c>
      <c r="K186" t="n">
        <v>0</v>
      </c>
      <c r="L186" t="n">
        <v>0</v>
      </c>
      <c r="M186" t="n">
        <v>0</v>
      </c>
      <c r="N186" t="n">
        <v>0</v>
      </c>
      <c r="O186" t="n">
        <v>1</v>
      </c>
      <c r="P186" t="n">
        <v>0</v>
      </c>
      <c r="Q186" t="n">
        <v>1</v>
      </c>
      <c r="R186" s="2" t="inlineStr">
        <is>
          <t>Bredarun</t>
        </is>
      </c>
      <c r="S186">
        <f>HYPERLINK("https://klasma.github.io/Logging_0980/artfynd/A 11708-2026 artfynd.xlsx", "A 11708-2026")</f>
        <v/>
      </c>
      <c r="T186">
        <f>HYPERLINK("https://klasma.github.io/Logging_0980/kartor/A 11708-2026 karta.png", "A 11708-2026")</f>
        <v/>
      </c>
      <c r="V186">
        <f>HYPERLINK("https://klasma.github.io/Logging_0980/klagomål/A 11708-2026 FSC-klagomål.docx", "A 11708-2026")</f>
        <v/>
      </c>
      <c r="W186">
        <f>HYPERLINK("https://klasma.github.io/Logging_0980/klagomålsmail/A 11708-2026 FSC-klagomål mail.docx", "A 11708-2026")</f>
        <v/>
      </c>
      <c r="X186">
        <f>HYPERLINK("https://klasma.github.io/Logging_0980/tillsyn/A 11708-2026 tillsynsbegäran.docx", "A 11708-2026")</f>
        <v/>
      </c>
      <c r="Y186">
        <f>HYPERLINK("https://klasma.github.io/Logging_0980/tillsynsmail/A 11708-2026 tillsynsbegäran mail.docx", "A 11708-2026")</f>
        <v/>
      </c>
    </row>
    <row r="187" ht="15" customHeight="1">
      <c r="A187" t="inlineStr">
        <is>
          <t>A 26461-2025</t>
        </is>
      </c>
      <c r="B187" s="1" t="n">
        <v>45807.43337962963</v>
      </c>
      <c r="C187" s="1" t="n">
        <v>46093</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10013-2026</t>
        </is>
      </c>
      <c r="B188" s="1" t="n">
        <v>46073</v>
      </c>
      <c r="C188" s="1" t="n">
        <v>46093</v>
      </c>
      <c r="D188" t="inlineStr">
        <is>
          <t>GOTLANDS LÄN</t>
        </is>
      </c>
      <c r="E188" t="inlineStr">
        <is>
          <t>GOTLAND</t>
        </is>
      </c>
      <c r="G188" t="n">
        <v>10.5</v>
      </c>
      <c r="H188" t="n">
        <v>0</v>
      </c>
      <c r="I188" t="n">
        <v>0</v>
      </c>
      <c r="J188" t="n">
        <v>0</v>
      </c>
      <c r="K188" t="n">
        <v>1</v>
      </c>
      <c r="L188" t="n">
        <v>0</v>
      </c>
      <c r="M188" t="n">
        <v>0</v>
      </c>
      <c r="N188" t="n">
        <v>0</v>
      </c>
      <c r="O188" t="n">
        <v>1</v>
      </c>
      <c r="P188" t="n">
        <v>1</v>
      </c>
      <c r="Q188" t="n">
        <v>1</v>
      </c>
      <c r="R188" s="2" t="inlineStr">
        <is>
          <t>Skogskorn</t>
        </is>
      </c>
      <c r="S188">
        <f>HYPERLINK("https://klasma.github.io/Logging_0980/artfynd/A 10013-2026 artfynd.xlsx", "A 10013-2026")</f>
        <v/>
      </c>
      <c r="T188">
        <f>HYPERLINK("https://klasma.github.io/Logging_0980/kartor/A 10013-2026 karta.png", "A 10013-2026")</f>
        <v/>
      </c>
      <c r="V188">
        <f>HYPERLINK("https://klasma.github.io/Logging_0980/klagomål/A 10013-2026 FSC-klagomål.docx", "A 10013-2026")</f>
        <v/>
      </c>
      <c r="W188">
        <f>HYPERLINK("https://klasma.github.io/Logging_0980/klagomålsmail/A 10013-2026 FSC-klagomål mail.docx", "A 10013-2026")</f>
        <v/>
      </c>
      <c r="X188">
        <f>HYPERLINK("https://klasma.github.io/Logging_0980/tillsyn/A 10013-2026 tillsynsbegäran.docx", "A 10013-2026")</f>
        <v/>
      </c>
      <c r="Y188">
        <f>HYPERLINK("https://klasma.github.io/Logging_0980/tillsynsmail/A 10013-2026 tillsynsbegäran mail.docx", "A 10013-2026")</f>
        <v/>
      </c>
    </row>
    <row r="189" ht="15" customHeight="1">
      <c r="A189" t="inlineStr">
        <is>
          <t>A 19901-2021</t>
        </is>
      </c>
      <c r="B189" s="1" t="n">
        <v>44312</v>
      </c>
      <c r="C189" s="1" t="n">
        <v>46093</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46093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46093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46093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46093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46093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46093</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46093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46093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46093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46093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46093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46093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46093</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46093</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46093</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46093</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46093</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46093</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46093</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46093</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46093</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46093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46093</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47369-2021</t>
        </is>
      </c>
      <c r="B213" s="1" t="n">
        <v>44447</v>
      </c>
      <c r="C213" s="1" t="n">
        <v>46093</v>
      </c>
      <c r="D213" t="inlineStr">
        <is>
          <t>GOTLANDS LÄN</t>
        </is>
      </c>
      <c r="E213" t="inlineStr">
        <is>
          <t>GOTLAND</t>
        </is>
      </c>
      <c r="G213" t="n">
        <v>2.3</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46093</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46093</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46093</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46093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46093</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46093</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46093</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46093</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46093</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46093</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46093</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46093</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46093</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44647.78866898148</v>
      </c>
      <c r="C227" s="1" t="n">
        <v>46093</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44647.79513888889</v>
      </c>
      <c r="C228" s="1" t="n">
        <v>46093</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46545-2024</t>
        </is>
      </c>
      <c r="B229" s="1" t="n">
        <v>45582.65831018519</v>
      </c>
      <c r="C229" s="1" t="n">
        <v>46093</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60086-2022</t>
        </is>
      </c>
      <c r="B230" s="1" t="n">
        <v>44909</v>
      </c>
      <c r="C230" s="1" t="n">
        <v>46093</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46093</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28480-2023</t>
        </is>
      </c>
      <c r="B232" s="1" t="n">
        <v>45103</v>
      </c>
      <c r="C232" s="1" t="n">
        <v>46093</v>
      </c>
      <c r="D232" t="inlineStr">
        <is>
          <t>GOTLANDS LÄN</t>
        </is>
      </c>
      <c r="E232" t="inlineStr">
        <is>
          <t>GOTLAND</t>
        </is>
      </c>
      <c r="G232" t="n">
        <v>5.7</v>
      </c>
      <c r="H232" t="n">
        <v>0</v>
      </c>
      <c r="I232" t="n">
        <v>0</v>
      </c>
      <c r="J232" t="n">
        <v>0</v>
      </c>
      <c r="K232" t="n">
        <v>0</v>
      </c>
      <c r="L232" t="n">
        <v>0</v>
      </c>
      <c r="M232" t="n">
        <v>0</v>
      </c>
      <c r="N232" t="n">
        <v>0</v>
      </c>
      <c r="O232" t="n">
        <v>0</v>
      </c>
      <c r="P232" t="n">
        <v>0</v>
      </c>
      <c r="Q232" t="n">
        <v>0</v>
      </c>
      <c r="R232" s="2" t="inlineStr"/>
    </row>
    <row r="233" ht="15" customHeight="1">
      <c r="A233" t="inlineStr">
        <is>
          <t>A 28485-2023</t>
        </is>
      </c>
      <c r="B233" s="1" t="n">
        <v>45103.43731481482</v>
      </c>
      <c r="C233" s="1" t="n">
        <v>46093</v>
      </c>
      <c r="D233" t="inlineStr">
        <is>
          <t>GOTLANDS LÄN</t>
        </is>
      </c>
      <c r="E233" t="inlineStr">
        <is>
          <t>GOTLAND</t>
        </is>
      </c>
      <c r="G233" t="n">
        <v>2.3</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46093</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62915-2021</t>
        </is>
      </c>
      <c r="B235" s="1" t="n">
        <v>44504</v>
      </c>
      <c r="C235" s="1" t="n">
        <v>46093</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44949-2023</t>
        </is>
      </c>
      <c r="B236" s="1" t="n">
        <v>45190.69520833333</v>
      </c>
      <c r="C236" s="1" t="n">
        <v>46093</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37222-2021</t>
        </is>
      </c>
      <c r="B237" s="1" t="n">
        <v>44396</v>
      </c>
      <c r="C237" s="1" t="n">
        <v>46093</v>
      </c>
      <c r="D237" t="inlineStr">
        <is>
          <t>GOTLANDS LÄN</t>
        </is>
      </c>
      <c r="E237" t="inlineStr">
        <is>
          <t>GOTLAND</t>
        </is>
      </c>
      <c r="G237" t="n">
        <v>3</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46093</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46093</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3964-2024</t>
        </is>
      </c>
      <c r="B240" s="1" t="n">
        <v>45322</v>
      </c>
      <c r="C240" s="1" t="n">
        <v>46093</v>
      </c>
      <c r="D240" t="inlineStr">
        <is>
          <t>GOTLANDS LÄN</t>
        </is>
      </c>
      <c r="E240" t="inlineStr">
        <is>
          <t>GOTLAND</t>
        </is>
      </c>
      <c r="G240" t="n">
        <v>1.4</v>
      </c>
      <c r="H240" t="n">
        <v>0</v>
      </c>
      <c r="I240" t="n">
        <v>0</v>
      </c>
      <c r="J240" t="n">
        <v>0</v>
      </c>
      <c r="K240" t="n">
        <v>0</v>
      </c>
      <c r="L240" t="n">
        <v>0</v>
      </c>
      <c r="M240" t="n">
        <v>0</v>
      </c>
      <c r="N240" t="n">
        <v>0</v>
      </c>
      <c r="O240" t="n">
        <v>0</v>
      </c>
      <c r="P240" t="n">
        <v>0</v>
      </c>
      <c r="Q240" t="n">
        <v>0</v>
      </c>
      <c r="R240" s="2" t="inlineStr"/>
    </row>
    <row r="241" ht="15" customHeight="1">
      <c r="A241" t="inlineStr">
        <is>
          <t>A 4868-2024</t>
        </is>
      </c>
      <c r="B241" s="1" t="n">
        <v>45329</v>
      </c>
      <c r="C241" s="1" t="n">
        <v>46093</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45084-2024</t>
        </is>
      </c>
      <c r="B242" s="1" t="n">
        <v>45575</v>
      </c>
      <c r="C242" s="1" t="n">
        <v>46093</v>
      </c>
      <c r="D242" t="inlineStr">
        <is>
          <t>GOTLANDS LÄN</t>
        </is>
      </c>
      <c r="E242" t="inlineStr">
        <is>
          <t>GOTLAND</t>
        </is>
      </c>
      <c r="G242" t="n">
        <v>6.8</v>
      </c>
      <c r="H242" t="n">
        <v>0</v>
      </c>
      <c r="I242" t="n">
        <v>0</v>
      </c>
      <c r="J242" t="n">
        <v>0</v>
      </c>
      <c r="K242" t="n">
        <v>0</v>
      </c>
      <c r="L242" t="n">
        <v>0</v>
      </c>
      <c r="M242" t="n">
        <v>0</v>
      </c>
      <c r="N242" t="n">
        <v>0</v>
      </c>
      <c r="O242" t="n">
        <v>0</v>
      </c>
      <c r="P242" t="n">
        <v>0</v>
      </c>
      <c r="Q242" t="n">
        <v>0</v>
      </c>
      <c r="R242" s="2" t="inlineStr"/>
    </row>
    <row r="243" ht="15" customHeight="1">
      <c r="A243" t="inlineStr">
        <is>
          <t>A 32330-2024</t>
        </is>
      </c>
      <c r="B243" s="1" t="n">
        <v>45512</v>
      </c>
      <c r="C243" s="1" t="n">
        <v>46093</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9613-2025</t>
        </is>
      </c>
      <c r="B244" s="1" t="n">
        <v>45715</v>
      </c>
      <c r="C244" s="1" t="n">
        <v>46093</v>
      </c>
      <c r="D244" t="inlineStr">
        <is>
          <t>GOTLANDS LÄN</t>
        </is>
      </c>
      <c r="E244" t="inlineStr">
        <is>
          <t>GOTLAND</t>
        </is>
      </c>
      <c r="G244" t="n">
        <v>3.5</v>
      </c>
      <c r="H244" t="n">
        <v>0</v>
      </c>
      <c r="I244" t="n">
        <v>0</v>
      </c>
      <c r="J244" t="n">
        <v>0</v>
      </c>
      <c r="K244" t="n">
        <v>0</v>
      </c>
      <c r="L244" t="n">
        <v>0</v>
      </c>
      <c r="M244" t="n">
        <v>0</v>
      </c>
      <c r="N244" t="n">
        <v>0</v>
      </c>
      <c r="O244" t="n">
        <v>0</v>
      </c>
      <c r="P244" t="n">
        <v>0</v>
      </c>
      <c r="Q244" t="n">
        <v>0</v>
      </c>
      <c r="R244" s="2" t="inlineStr"/>
    </row>
    <row r="245" ht="15" customHeight="1">
      <c r="A245" t="inlineStr">
        <is>
          <t>A 15595-2024</t>
        </is>
      </c>
      <c r="B245" s="1" t="n">
        <v>45401.81480324074</v>
      </c>
      <c r="C245" s="1" t="n">
        <v>46093</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5751-2024</t>
        </is>
      </c>
      <c r="B246" s="1" t="n">
        <v>45335.32702546296</v>
      </c>
      <c r="C246" s="1" t="n">
        <v>46093</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5217-2023</t>
        </is>
      </c>
      <c r="B247" s="1" t="n">
        <v>44959.39582175926</v>
      </c>
      <c r="C247" s="1" t="n">
        <v>46093</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1677-2023</t>
        </is>
      </c>
      <c r="B248" s="1" t="n">
        <v>44938</v>
      </c>
      <c r="C248" s="1" t="n">
        <v>46093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24966-2023</t>
        </is>
      </c>
      <c r="B249" s="1" t="n">
        <v>45085</v>
      </c>
      <c r="C249" s="1" t="n">
        <v>46093</v>
      </c>
      <c r="D249" t="inlineStr">
        <is>
          <t>GOTLANDS LÄN</t>
        </is>
      </c>
      <c r="E249" t="inlineStr">
        <is>
          <t>GOTLAND</t>
        </is>
      </c>
      <c r="G249" t="n">
        <v>7</v>
      </c>
      <c r="H249" t="n">
        <v>0</v>
      </c>
      <c r="I249" t="n">
        <v>0</v>
      </c>
      <c r="J249" t="n">
        <v>0</v>
      </c>
      <c r="K249" t="n">
        <v>0</v>
      </c>
      <c r="L249" t="n">
        <v>0</v>
      </c>
      <c r="M249" t="n">
        <v>0</v>
      </c>
      <c r="N249" t="n">
        <v>0</v>
      </c>
      <c r="O249" t="n">
        <v>0</v>
      </c>
      <c r="P249" t="n">
        <v>0</v>
      </c>
      <c r="Q249" t="n">
        <v>0</v>
      </c>
      <c r="R249" s="2" t="inlineStr"/>
    </row>
    <row r="250" ht="15" customHeight="1">
      <c r="A250" t="inlineStr">
        <is>
          <t>A 46189-2022</t>
        </is>
      </c>
      <c r="B250" s="1" t="n">
        <v>44847</v>
      </c>
      <c r="C250" s="1" t="n">
        <v>46093</v>
      </c>
      <c r="D250" t="inlineStr">
        <is>
          <t>GOTLANDS LÄN</t>
        </is>
      </c>
      <c r="E250" t="inlineStr">
        <is>
          <t>GOTLAND</t>
        </is>
      </c>
      <c r="G250" t="n">
        <v>0.4</v>
      </c>
      <c r="H250" t="n">
        <v>0</v>
      </c>
      <c r="I250" t="n">
        <v>0</v>
      </c>
      <c r="J250" t="n">
        <v>0</v>
      </c>
      <c r="K250" t="n">
        <v>0</v>
      </c>
      <c r="L250" t="n">
        <v>0</v>
      </c>
      <c r="M250" t="n">
        <v>0</v>
      </c>
      <c r="N250" t="n">
        <v>0</v>
      </c>
      <c r="O250" t="n">
        <v>0</v>
      </c>
      <c r="P250" t="n">
        <v>0</v>
      </c>
      <c r="Q250" t="n">
        <v>0</v>
      </c>
      <c r="R250" s="2" t="inlineStr"/>
    </row>
    <row r="251" ht="15" customHeight="1">
      <c r="A251" t="inlineStr">
        <is>
          <t>A 45244-2024</t>
        </is>
      </c>
      <c r="B251" s="1" t="n">
        <v>45576</v>
      </c>
      <c r="C251" s="1" t="n">
        <v>46093</v>
      </c>
      <c r="D251" t="inlineStr">
        <is>
          <t>GOTLANDS LÄN</t>
        </is>
      </c>
      <c r="E251" t="inlineStr">
        <is>
          <t>GOTLAND</t>
        </is>
      </c>
      <c r="G251" t="n">
        <v>2.4</v>
      </c>
      <c r="H251" t="n">
        <v>0</v>
      </c>
      <c r="I251" t="n">
        <v>0</v>
      </c>
      <c r="J251" t="n">
        <v>0</v>
      </c>
      <c r="K251" t="n">
        <v>0</v>
      </c>
      <c r="L251" t="n">
        <v>0</v>
      </c>
      <c r="M251" t="n">
        <v>0</v>
      </c>
      <c r="N251" t="n">
        <v>0</v>
      </c>
      <c r="O251" t="n">
        <v>0</v>
      </c>
      <c r="P251" t="n">
        <v>0</v>
      </c>
      <c r="Q251" t="n">
        <v>0</v>
      </c>
      <c r="R251" s="2" t="inlineStr"/>
    </row>
    <row r="252" ht="15" customHeight="1">
      <c r="A252" t="inlineStr">
        <is>
          <t>A 8260-2023</t>
        </is>
      </c>
      <c r="B252" s="1" t="n">
        <v>44974.61608796296</v>
      </c>
      <c r="C252" s="1" t="n">
        <v>46093</v>
      </c>
      <c r="D252" t="inlineStr">
        <is>
          <t>GOTLANDS LÄN</t>
        </is>
      </c>
      <c r="E252" t="inlineStr">
        <is>
          <t>GOTLAND</t>
        </is>
      </c>
      <c r="G252" t="n">
        <v>2.9</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46093</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64969-2023</t>
        </is>
      </c>
      <c r="B254" s="1" t="n">
        <v>45284.54009259259</v>
      </c>
      <c r="C254" s="1" t="n">
        <v>46093</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48843-2024</t>
        </is>
      </c>
      <c r="B255" s="1" t="n">
        <v>45593</v>
      </c>
      <c r="C255" s="1" t="n">
        <v>46093</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22031-2024</t>
        </is>
      </c>
      <c r="B256" s="1" t="n">
        <v>45443.60075231481</v>
      </c>
      <c r="C256" s="1" t="n">
        <v>46093</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17541-2024</t>
        </is>
      </c>
      <c r="B257" s="1" t="n">
        <v>45415</v>
      </c>
      <c r="C257" s="1" t="n">
        <v>46093</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15413-2025</t>
        </is>
      </c>
      <c r="B258" s="1" t="n">
        <v>45747.451875</v>
      </c>
      <c r="C258" s="1" t="n">
        <v>46093</v>
      </c>
      <c r="D258" t="inlineStr">
        <is>
          <t>GOTLANDS LÄN</t>
        </is>
      </c>
      <c r="E258" t="inlineStr">
        <is>
          <t>GOTLAND</t>
        </is>
      </c>
      <c r="G258" t="n">
        <v>0.6</v>
      </c>
      <c r="H258" t="n">
        <v>0</v>
      </c>
      <c r="I258" t="n">
        <v>0</v>
      </c>
      <c r="J258" t="n">
        <v>0</v>
      </c>
      <c r="K258" t="n">
        <v>0</v>
      </c>
      <c r="L258" t="n">
        <v>0</v>
      </c>
      <c r="M258" t="n">
        <v>0</v>
      </c>
      <c r="N258" t="n">
        <v>0</v>
      </c>
      <c r="O258" t="n">
        <v>0</v>
      </c>
      <c r="P258" t="n">
        <v>0</v>
      </c>
      <c r="Q258" t="n">
        <v>0</v>
      </c>
      <c r="R258" s="2" t="inlineStr"/>
    </row>
    <row r="259" ht="15" customHeight="1">
      <c r="A259" t="inlineStr">
        <is>
          <t>A 49314-2024</t>
        </is>
      </c>
      <c r="B259" s="1" t="n">
        <v>45595.55893518519</v>
      </c>
      <c r="C259" s="1" t="n">
        <v>46093</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2241-2025</t>
        </is>
      </c>
      <c r="B260" s="1" t="n">
        <v>45673.48710648148</v>
      </c>
      <c r="C260" s="1" t="n">
        <v>46093</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35123-2025</t>
        </is>
      </c>
      <c r="B261" s="1" t="n">
        <v>45852.614375</v>
      </c>
      <c r="C261" s="1" t="n">
        <v>46093</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44919-2022</t>
        </is>
      </c>
      <c r="B262" s="1" t="n">
        <v>44841</v>
      </c>
      <c r="C262" s="1" t="n">
        <v>46093</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15434-2024</t>
        </is>
      </c>
      <c r="B263" s="1" t="n">
        <v>45401.38836805556</v>
      </c>
      <c r="C263" s="1" t="n">
        <v>46093</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46093</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35096-2025</t>
        </is>
      </c>
      <c r="B265" s="1" t="n">
        <v>45852.54356481481</v>
      </c>
      <c r="C265" s="1" t="n">
        <v>46093</v>
      </c>
      <c r="D265" t="inlineStr">
        <is>
          <t>GOTLANDS LÄN</t>
        </is>
      </c>
      <c r="E265" t="inlineStr">
        <is>
          <t>GOTLAND</t>
        </is>
      </c>
      <c r="F265" t="inlineStr">
        <is>
          <t>Kyrkan</t>
        </is>
      </c>
      <c r="G265" t="n">
        <v>1</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46093</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5943-2024</t>
        </is>
      </c>
      <c r="B267" s="1" t="n">
        <v>45336</v>
      </c>
      <c r="C267" s="1" t="n">
        <v>46093</v>
      </c>
      <c r="D267" t="inlineStr">
        <is>
          <t>GOTLANDS LÄN</t>
        </is>
      </c>
      <c r="E267" t="inlineStr">
        <is>
          <t>GOTLAND</t>
        </is>
      </c>
      <c r="G267" t="n">
        <v>4.3</v>
      </c>
      <c r="H267" t="n">
        <v>0</v>
      </c>
      <c r="I267" t="n">
        <v>0</v>
      </c>
      <c r="J267" t="n">
        <v>0</v>
      </c>
      <c r="K267" t="n">
        <v>0</v>
      </c>
      <c r="L267" t="n">
        <v>0</v>
      </c>
      <c r="M267" t="n">
        <v>0</v>
      </c>
      <c r="N267" t="n">
        <v>0</v>
      </c>
      <c r="O267" t="n">
        <v>0</v>
      </c>
      <c r="P267" t="n">
        <v>0</v>
      </c>
      <c r="Q267" t="n">
        <v>0</v>
      </c>
      <c r="R267" s="2" t="inlineStr"/>
    </row>
    <row r="268" ht="15" customHeight="1">
      <c r="A268" t="inlineStr">
        <is>
          <t>A 54073-2022</t>
        </is>
      </c>
      <c r="B268" s="1" t="n">
        <v>44881.50380787037</v>
      </c>
      <c r="C268" s="1" t="n">
        <v>46093</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16361-2024</t>
        </is>
      </c>
      <c r="B269" s="1" t="n">
        <v>45407</v>
      </c>
      <c r="C269" s="1" t="n">
        <v>46093</v>
      </c>
      <c r="D269" t="inlineStr">
        <is>
          <t>GOTLANDS LÄN</t>
        </is>
      </c>
      <c r="E269" t="inlineStr">
        <is>
          <t>GOTLAND</t>
        </is>
      </c>
      <c r="G269" t="n">
        <v>6</v>
      </c>
      <c r="H269" t="n">
        <v>0</v>
      </c>
      <c r="I269" t="n">
        <v>0</v>
      </c>
      <c r="J269" t="n">
        <v>0</v>
      </c>
      <c r="K269" t="n">
        <v>0</v>
      </c>
      <c r="L269" t="n">
        <v>0</v>
      </c>
      <c r="M269" t="n">
        <v>0</v>
      </c>
      <c r="N269" t="n">
        <v>0</v>
      </c>
      <c r="O269" t="n">
        <v>0</v>
      </c>
      <c r="P269" t="n">
        <v>0</v>
      </c>
      <c r="Q269" t="n">
        <v>0</v>
      </c>
      <c r="R269" s="2" t="inlineStr"/>
    </row>
    <row r="270" ht="15" customHeight="1">
      <c r="A270" t="inlineStr">
        <is>
          <t>A 41038-2023</t>
        </is>
      </c>
      <c r="B270" s="1" t="n">
        <v>45173.60959490741</v>
      </c>
      <c r="C270" s="1" t="n">
        <v>46093</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44649-2021</t>
        </is>
      </c>
      <c r="B271" s="1" t="n">
        <v>44437</v>
      </c>
      <c r="C271" s="1" t="n">
        <v>46093</v>
      </c>
      <c r="D271" t="inlineStr">
        <is>
          <t>GOTLANDS LÄN</t>
        </is>
      </c>
      <c r="E271" t="inlineStr">
        <is>
          <t>GOTLAND</t>
        </is>
      </c>
      <c r="G271" t="n">
        <v>8.1</v>
      </c>
      <c r="H271" t="n">
        <v>0</v>
      </c>
      <c r="I271" t="n">
        <v>0</v>
      </c>
      <c r="J271" t="n">
        <v>0</v>
      </c>
      <c r="K271" t="n">
        <v>0</v>
      </c>
      <c r="L271" t="n">
        <v>0</v>
      </c>
      <c r="M271" t="n">
        <v>0</v>
      </c>
      <c r="N271" t="n">
        <v>0</v>
      </c>
      <c r="O271" t="n">
        <v>0</v>
      </c>
      <c r="P271" t="n">
        <v>0</v>
      </c>
      <c r="Q271" t="n">
        <v>0</v>
      </c>
      <c r="R271" s="2" t="inlineStr"/>
    </row>
    <row r="272" ht="15" customHeight="1">
      <c r="A272" t="inlineStr">
        <is>
          <t>A 18993-2025</t>
        </is>
      </c>
      <c r="B272" s="1" t="n">
        <v>45764</v>
      </c>
      <c r="C272" s="1" t="n">
        <v>46093</v>
      </c>
      <c r="D272" t="inlineStr">
        <is>
          <t>GOTLANDS LÄN</t>
        </is>
      </c>
      <c r="E272" t="inlineStr">
        <is>
          <t>GOTLAND</t>
        </is>
      </c>
      <c r="G272" t="n">
        <v>3</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46093</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30104-2025</t>
        </is>
      </c>
      <c r="B274" s="1" t="n">
        <v>45826.68806712963</v>
      </c>
      <c r="C274" s="1" t="n">
        <v>46093</v>
      </c>
      <c r="D274" t="inlineStr">
        <is>
          <t>GOTLANDS LÄN</t>
        </is>
      </c>
      <c r="E274" t="inlineStr">
        <is>
          <t>GOTLAND</t>
        </is>
      </c>
      <c r="G274" t="n">
        <v>15.4</v>
      </c>
      <c r="H274" t="n">
        <v>0</v>
      </c>
      <c r="I274" t="n">
        <v>0</v>
      </c>
      <c r="J274" t="n">
        <v>0</v>
      </c>
      <c r="K274" t="n">
        <v>0</v>
      </c>
      <c r="L274" t="n">
        <v>0</v>
      </c>
      <c r="M274" t="n">
        <v>0</v>
      </c>
      <c r="N274" t="n">
        <v>0</v>
      </c>
      <c r="O274" t="n">
        <v>0</v>
      </c>
      <c r="P274" t="n">
        <v>0</v>
      </c>
      <c r="Q274" t="n">
        <v>0</v>
      </c>
      <c r="R274" s="2" t="inlineStr"/>
    </row>
    <row r="275" ht="15" customHeight="1">
      <c r="A275" t="inlineStr">
        <is>
          <t>A 17682-2024</t>
        </is>
      </c>
      <c r="B275" s="1" t="n">
        <v>45418.42966435185</v>
      </c>
      <c r="C275" s="1" t="n">
        <v>46093</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57522-2022</t>
        </is>
      </c>
      <c r="B276" s="1" t="n">
        <v>44896</v>
      </c>
      <c r="C276" s="1" t="n">
        <v>46093</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14427-2024</t>
        </is>
      </c>
      <c r="B277" s="1" t="n">
        <v>45394</v>
      </c>
      <c r="C277" s="1" t="n">
        <v>46093</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30135-2025</t>
        </is>
      </c>
      <c r="B278" s="1" t="n">
        <v>45826</v>
      </c>
      <c r="C278" s="1" t="n">
        <v>46093</v>
      </c>
      <c r="D278" t="inlineStr">
        <is>
          <t>GOTLANDS LÄN</t>
        </is>
      </c>
      <c r="E278" t="inlineStr">
        <is>
          <t>GOTLAND</t>
        </is>
      </c>
      <c r="G278" t="n">
        <v>2.7</v>
      </c>
      <c r="H278" t="n">
        <v>0</v>
      </c>
      <c r="I278" t="n">
        <v>0</v>
      </c>
      <c r="J278" t="n">
        <v>0</v>
      </c>
      <c r="K278" t="n">
        <v>0</v>
      </c>
      <c r="L278" t="n">
        <v>0</v>
      </c>
      <c r="M278" t="n">
        <v>0</v>
      </c>
      <c r="N278" t="n">
        <v>0</v>
      </c>
      <c r="O278" t="n">
        <v>0</v>
      </c>
      <c r="P278" t="n">
        <v>0</v>
      </c>
      <c r="Q278" t="n">
        <v>0</v>
      </c>
      <c r="R278" s="2" t="inlineStr"/>
    </row>
    <row r="279" ht="15" customHeight="1">
      <c r="A279" t="inlineStr">
        <is>
          <t>A 35290-2025</t>
        </is>
      </c>
      <c r="B279" s="1" t="n">
        <v>45854.38502314815</v>
      </c>
      <c r="C279" s="1" t="n">
        <v>46093</v>
      </c>
      <c r="D279" t="inlineStr">
        <is>
          <t>GOTLANDS LÄN</t>
        </is>
      </c>
      <c r="E279" t="inlineStr">
        <is>
          <t>GOTLAND</t>
        </is>
      </c>
      <c r="G279" t="n">
        <v>5.4</v>
      </c>
      <c r="H279" t="n">
        <v>0</v>
      </c>
      <c r="I279" t="n">
        <v>0</v>
      </c>
      <c r="J279" t="n">
        <v>0</v>
      </c>
      <c r="K279" t="n">
        <v>0</v>
      </c>
      <c r="L279" t="n">
        <v>0</v>
      </c>
      <c r="M279" t="n">
        <v>0</v>
      </c>
      <c r="N279" t="n">
        <v>0</v>
      </c>
      <c r="O279" t="n">
        <v>0</v>
      </c>
      <c r="P279" t="n">
        <v>0</v>
      </c>
      <c r="Q279" t="n">
        <v>0</v>
      </c>
      <c r="R279" s="2" t="inlineStr"/>
    </row>
    <row r="280" ht="15" customHeight="1">
      <c r="A280" t="inlineStr">
        <is>
          <t>A 32669-2024</t>
        </is>
      </c>
      <c r="B280" s="1" t="n">
        <v>45514</v>
      </c>
      <c r="C280" s="1" t="n">
        <v>46093</v>
      </c>
      <c r="D280" t="inlineStr">
        <is>
          <t>GOTLANDS LÄN</t>
        </is>
      </c>
      <c r="E280" t="inlineStr">
        <is>
          <t>GOTLAND</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12599-2025</t>
        </is>
      </c>
      <c r="B281" s="1" t="n">
        <v>45733.29546296296</v>
      </c>
      <c r="C281" s="1" t="n">
        <v>46093</v>
      </c>
      <c r="D281" t="inlineStr">
        <is>
          <t>GOTLANDS LÄN</t>
        </is>
      </c>
      <c r="E281" t="inlineStr">
        <is>
          <t>GOTLAND</t>
        </is>
      </c>
      <c r="G281" t="n">
        <v>4.7</v>
      </c>
      <c r="H281" t="n">
        <v>0</v>
      </c>
      <c r="I281" t="n">
        <v>0</v>
      </c>
      <c r="J281" t="n">
        <v>0</v>
      </c>
      <c r="K281" t="n">
        <v>0</v>
      </c>
      <c r="L281" t="n">
        <v>0</v>
      </c>
      <c r="M281" t="n">
        <v>0</v>
      </c>
      <c r="N281" t="n">
        <v>0</v>
      </c>
      <c r="O281" t="n">
        <v>0</v>
      </c>
      <c r="P281" t="n">
        <v>0</v>
      </c>
      <c r="Q281" t="n">
        <v>0</v>
      </c>
      <c r="R281" s="2" t="inlineStr"/>
    </row>
    <row r="282" ht="15" customHeight="1">
      <c r="A282" t="inlineStr">
        <is>
          <t>A 35141-2025</t>
        </is>
      </c>
      <c r="B282" s="1" t="n">
        <v>45852.65206018519</v>
      </c>
      <c r="C282" s="1" t="n">
        <v>46093</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35537-2025</t>
        </is>
      </c>
      <c r="B283" s="1" t="n">
        <v>45856</v>
      </c>
      <c r="C283" s="1" t="n">
        <v>46093</v>
      </c>
      <c r="D283" t="inlineStr">
        <is>
          <t>GOTLANDS LÄN</t>
        </is>
      </c>
      <c r="E283" t="inlineStr">
        <is>
          <t>GOTLAND</t>
        </is>
      </c>
      <c r="G283" t="n">
        <v>16.8</v>
      </c>
      <c r="H283" t="n">
        <v>0</v>
      </c>
      <c r="I283" t="n">
        <v>0</v>
      </c>
      <c r="J283" t="n">
        <v>0</v>
      </c>
      <c r="K283" t="n">
        <v>0</v>
      </c>
      <c r="L283" t="n">
        <v>0</v>
      </c>
      <c r="M283" t="n">
        <v>0</v>
      </c>
      <c r="N283" t="n">
        <v>0</v>
      </c>
      <c r="O283" t="n">
        <v>0</v>
      </c>
      <c r="P283" t="n">
        <v>0</v>
      </c>
      <c r="Q283" t="n">
        <v>0</v>
      </c>
      <c r="R283" s="2" t="inlineStr"/>
    </row>
    <row r="284" ht="15" customHeight="1">
      <c r="A284" t="inlineStr">
        <is>
          <t>A 31802-2024</t>
        </is>
      </c>
      <c r="B284" s="1" t="n">
        <v>45509</v>
      </c>
      <c r="C284" s="1" t="n">
        <v>46093</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35142-2025</t>
        </is>
      </c>
      <c r="B285" s="1" t="n">
        <v>45852.65532407408</v>
      </c>
      <c r="C285" s="1" t="n">
        <v>46093</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46093</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8036-2022</t>
        </is>
      </c>
      <c r="B287" s="1" t="n">
        <v>44609.44362268518</v>
      </c>
      <c r="C287" s="1" t="n">
        <v>46093</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12846-2025</t>
        </is>
      </c>
      <c r="B288" s="1" t="n">
        <v>45733.65049768519</v>
      </c>
      <c r="C288" s="1" t="n">
        <v>46093</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63516-2023</t>
        </is>
      </c>
      <c r="B289" s="1" t="n">
        <v>45274</v>
      </c>
      <c r="C289" s="1" t="n">
        <v>46093</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39819-2025</t>
        </is>
      </c>
      <c r="B290" s="1" t="n">
        <v>45891.53418981482</v>
      </c>
      <c r="C290" s="1" t="n">
        <v>46093</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39814-2025</t>
        </is>
      </c>
      <c r="B291" s="1" t="n">
        <v>45891.52694444444</v>
      </c>
      <c r="C291" s="1" t="n">
        <v>46093</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39849-2025</t>
        </is>
      </c>
      <c r="B292" s="1" t="n">
        <v>45891.58502314815</v>
      </c>
      <c r="C292" s="1" t="n">
        <v>46093</v>
      </c>
      <c r="D292" t="inlineStr">
        <is>
          <t>GOTLANDS LÄN</t>
        </is>
      </c>
      <c r="E292" t="inlineStr">
        <is>
          <t>GOTLAND</t>
        </is>
      </c>
      <c r="G292" t="n">
        <v>6.1</v>
      </c>
      <c r="H292" t="n">
        <v>0</v>
      </c>
      <c r="I292" t="n">
        <v>0</v>
      </c>
      <c r="J292" t="n">
        <v>0</v>
      </c>
      <c r="K292" t="n">
        <v>0</v>
      </c>
      <c r="L292" t="n">
        <v>0</v>
      </c>
      <c r="M292" t="n">
        <v>0</v>
      </c>
      <c r="N292" t="n">
        <v>0</v>
      </c>
      <c r="O292" t="n">
        <v>0</v>
      </c>
      <c r="P292" t="n">
        <v>0</v>
      </c>
      <c r="Q292" t="n">
        <v>0</v>
      </c>
      <c r="R292" s="2" t="inlineStr"/>
    </row>
    <row r="293" ht="15" customHeight="1">
      <c r="A293" t="inlineStr">
        <is>
          <t>A 24001-2021</t>
        </is>
      </c>
      <c r="B293" s="1" t="n">
        <v>44335</v>
      </c>
      <c r="C293" s="1" t="n">
        <v>46093</v>
      </c>
      <c r="D293" t="inlineStr">
        <is>
          <t>GOTLANDS LÄN</t>
        </is>
      </c>
      <c r="E293" t="inlineStr">
        <is>
          <t>GOTLAND</t>
        </is>
      </c>
      <c r="G293" t="n">
        <v>3.4</v>
      </c>
      <c r="H293" t="n">
        <v>0</v>
      </c>
      <c r="I293" t="n">
        <v>0</v>
      </c>
      <c r="J293" t="n">
        <v>0</v>
      </c>
      <c r="K293" t="n">
        <v>0</v>
      </c>
      <c r="L293" t="n">
        <v>0</v>
      </c>
      <c r="M293" t="n">
        <v>0</v>
      </c>
      <c r="N293" t="n">
        <v>0</v>
      </c>
      <c r="O293" t="n">
        <v>0</v>
      </c>
      <c r="P293" t="n">
        <v>0</v>
      </c>
      <c r="Q293" t="n">
        <v>0</v>
      </c>
      <c r="R293" s="2" t="inlineStr"/>
    </row>
    <row r="294" ht="15" customHeight="1">
      <c r="A294" t="inlineStr">
        <is>
          <t>A 46949-2024</t>
        </is>
      </c>
      <c r="B294" s="1" t="n">
        <v>45585</v>
      </c>
      <c r="C294" s="1" t="n">
        <v>46093</v>
      </c>
      <c r="D294" t="inlineStr">
        <is>
          <t>GOTLANDS LÄN</t>
        </is>
      </c>
      <c r="E294" t="inlineStr">
        <is>
          <t>GOTLAND</t>
        </is>
      </c>
      <c r="G294" t="n">
        <v>0.6</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46093</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46093</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40103-2025</t>
        </is>
      </c>
      <c r="B297" s="1" t="n">
        <v>45894.4880324074</v>
      </c>
      <c r="C297" s="1" t="n">
        <v>46093</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40373-2025</t>
        </is>
      </c>
      <c r="B298" s="1" t="n">
        <v>45895.51821759259</v>
      </c>
      <c r="C298" s="1" t="n">
        <v>46093</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10650-2022</t>
        </is>
      </c>
      <c r="B299" s="1" t="n">
        <v>44624.57945601852</v>
      </c>
      <c r="C299" s="1" t="n">
        <v>46093</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46093</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40372-2025</t>
        </is>
      </c>
      <c r="B301" s="1" t="n">
        <v>45895.5162037037</v>
      </c>
      <c r="C301" s="1" t="n">
        <v>46093</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30365-2024</t>
        </is>
      </c>
      <c r="B302" s="1" t="n">
        <v>45491.3716087963</v>
      </c>
      <c r="C302" s="1" t="n">
        <v>46093</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1681-2023</t>
        </is>
      </c>
      <c r="B303" s="1" t="n">
        <v>44938.39715277778</v>
      </c>
      <c r="C303" s="1" t="n">
        <v>46093</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39278-2025</t>
        </is>
      </c>
      <c r="B304" s="1" t="n">
        <v>45889</v>
      </c>
      <c r="C304" s="1" t="n">
        <v>46093</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6099-2024</t>
        </is>
      </c>
      <c r="B305" s="1" t="n">
        <v>45337</v>
      </c>
      <c r="C305" s="1" t="n">
        <v>46093</v>
      </c>
      <c r="D305" t="inlineStr">
        <is>
          <t>GOTLANDS LÄN</t>
        </is>
      </c>
      <c r="E305" t="inlineStr">
        <is>
          <t>GOTLAND</t>
        </is>
      </c>
      <c r="G305" t="n">
        <v>12.6</v>
      </c>
      <c r="H305" t="n">
        <v>0</v>
      </c>
      <c r="I305" t="n">
        <v>0</v>
      </c>
      <c r="J305" t="n">
        <v>0</v>
      </c>
      <c r="K305" t="n">
        <v>0</v>
      </c>
      <c r="L305" t="n">
        <v>0</v>
      </c>
      <c r="M305" t="n">
        <v>0</v>
      </c>
      <c r="N305" t="n">
        <v>0</v>
      </c>
      <c r="O305" t="n">
        <v>0</v>
      </c>
      <c r="P305" t="n">
        <v>0</v>
      </c>
      <c r="Q305" t="n">
        <v>0</v>
      </c>
      <c r="R305" s="2" t="inlineStr"/>
    </row>
    <row r="306" ht="15" customHeight="1">
      <c r="A306" t="inlineStr">
        <is>
          <t>A 1273-2023</t>
        </is>
      </c>
      <c r="B306" s="1" t="n">
        <v>44936</v>
      </c>
      <c r="C306" s="1" t="n">
        <v>46093</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11634-2024</t>
        </is>
      </c>
      <c r="B307" s="1" t="n">
        <v>45373</v>
      </c>
      <c r="C307" s="1" t="n">
        <v>46093</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1351-2025</t>
        </is>
      </c>
      <c r="B308" s="1" t="n">
        <v>45667.62246527777</v>
      </c>
      <c r="C308" s="1" t="n">
        <v>46093</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41435-2025</t>
        </is>
      </c>
      <c r="B309" s="1" t="n">
        <v>45901.39974537037</v>
      </c>
      <c r="C309" s="1" t="n">
        <v>46093</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39496-2022</t>
        </is>
      </c>
      <c r="B310" s="1" t="n">
        <v>44818</v>
      </c>
      <c r="C310" s="1" t="n">
        <v>46093</v>
      </c>
      <c r="D310" t="inlineStr">
        <is>
          <t>GOTLANDS LÄN</t>
        </is>
      </c>
      <c r="E310" t="inlineStr">
        <is>
          <t>GOTLAND</t>
        </is>
      </c>
      <c r="G310" t="n">
        <v>2.4</v>
      </c>
      <c r="H310" t="n">
        <v>0</v>
      </c>
      <c r="I310" t="n">
        <v>0</v>
      </c>
      <c r="J310" t="n">
        <v>0</v>
      </c>
      <c r="K310" t="n">
        <v>0</v>
      </c>
      <c r="L310" t="n">
        <v>0</v>
      </c>
      <c r="M310" t="n">
        <v>0</v>
      </c>
      <c r="N310" t="n">
        <v>0</v>
      </c>
      <c r="O310" t="n">
        <v>0</v>
      </c>
      <c r="P310" t="n">
        <v>0</v>
      </c>
      <c r="Q310" t="n">
        <v>0</v>
      </c>
      <c r="R310" s="2" t="inlineStr"/>
    </row>
    <row r="311" ht="15" customHeight="1">
      <c r="A311" t="inlineStr">
        <is>
          <t>A 15216-2025</t>
        </is>
      </c>
      <c r="B311" s="1" t="n">
        <v>45744</v>
      </c>
      <c r="C311" s="1" t="n">
        <v>46093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58780-2024</t>
        </is>
      </c>
      <c r="B312" s="1" t="n">
        <v>45635.84113425926</v>
      </c>
      <c r="C312" s="1" t="n">
        <v>46093</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49874-2024</t>
        </is>
      </c>
      <c r="B313" s="1" t="n">
        <v>45597.49274305555</v>
      </c>
      <c r="C313" s="1" t="n">
        <v>46093</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45692-2023</t>
        </is>
      </c>
      <c r="B314" s="1" t="n">
        <v>45195</v>
      </c>
      <c r="C314" s="1" t="n">
        <v>46093</v>
      </c>
      <c r="D314" t="inlineStr">
        <is>
          <t>GOTLANDS LÄN</t>
        </is>
      </c>
      <c r="E314" t="inlineStr">
        <is>
          <t>GOTLAND</t>
        </is>
      </c>
      <c r="G314" t="n">
        <v>5.3</v>
      </c>
      <c r="H314" t="n">
        <v>0</v>
      </c>
      <c r="I314" t="n">
        <v>0</v>
      </c>
      <c r="J314" t="n">
        <v>0</v>
      </c>
      <c r="K314" t="n">
        <v>0</v>
      </c>
      <c r="L314" t="n">
        <v>0</v>
      </c>
      <c r="M314" t="n">
        <v>0</v>
      </c>
      <c r="N314" t="n">
        <v>0</v>
      </c>
      <c r="O314" t="n">
        <v>0</v>
      </c>
      <c r="P314" t="n">
        <v>0</v>
      </c>
      <c r="Q314" t="n">
        <v>0</v>
      </c>
      <c r="R314" s="2" t="inlineStr"/>
    </row>
    <row r="315" ht="15" customHeight="1">
      <c r="A315" t="inlineStr">
        <is>
          <t>A 33876-2024</t>
        </is>
      </c>
      <c r="B315" s="1" t="n">
        <v>45521.87988425926</v>
      </c>
      <c r="C315" s="1" t="n">
        <v>46093</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42201-2023</t>
        </is>
      </c>
      <c r="B316" s="1" t="n">
        <v>45179</v>
      </c>
      <c r="C316" s="1" t="n">
        <v>46093</v>
      </c>
      <c r="D316" t="inlineStr">
        <is>
          <t>GOTLANDS LÄN</t>
        </is>
      </c>
      <c r="E316" t="inlineStr">
        <is>
          <t>GOTLAND</t>
        </is>
      </c>
      <c r="G316" t="n">
        <v>11.9</v>
      </c>
      <c r="H316" t="n">
        <v>0</v>
      </c>
      <c r="I316" t="n">
        <v>0</v>
      </c>
      <c r="J316" t="n">
        <v>0</v>
      </c>
      <c r="K316" t="n">
        <v>0</v>
      </c>
      <c r="L316" t="n">
        <v>0</v>
      </c>
      <c r="M316" t="n">
        <v>0</v>
      </c>
      <c r="N316" t="n">
        <v>0</v>
      </c>
      <c r="O316" t="n">
        <v>0</v>
      </c>
      <c r="P316" t="n">
        <v>0</v>
      </c>
      <c r="Q316" t="n">
        <v>0</v>
      </c>
      <c r="R316" s="2" t="inlineStr"/>
    </row>
    <row r="317" ht="15" customHeight="1">
      <c r="A317" t="inlineStr">
        <is>
          <t>A 43790-2024</t>
        </is>
      </c>
      <c r="B317" s="1" t="n">
        <v>45571</v>
      </c>
      <c r="C317" s="1" t="n">
        <v>46093</v>
      </c>
      <c r="D317" t="inlineStr">
        <is>
          <t>GOTLANDS LÄN</t>
        </is>
      </c>
      <c r="E317" t="inlineStr">
        <is>
          <t>GOTLAND</t>
        </is>
      </c>
      <c r="G317" t="n">
        <v>3.5</v>
      </c>
      <c r="H317" t="n">
        <v>0</v>
      </c>
      <c r="I317" t="n">
        <v>0</v>
      </c>
      <c r="J317" t="n">
        <v>0</v>
      </c>
      <c r="K317" t="n">
        <v>0</v>
      </c>
      <c r="L317" t="n">
        <v>0</v>
      </c>
      <c r="M317" t="n">
        <v>0</v>
      </c>
      <c r="N317" t="n">
        <v>0</v>
      </c>
      <c r="O317" t="n">
        <v>0</v>
      </c>
      <c r="P317" t="n">
        <v>0</v>
      </c>
      <c r="Q317" t="n">
        <v>0</v>
      </c>
      <c r="R317" s="2" t="inlineStr"/>
    </row>
    <row r="318" ht="15" customHeight="1">
      <c r="A318" t="inlineStr">
        <is>
          <t>A 46400-2023</t>
        </is>
      </c>
      <c r="B318" s="1" t="n">
        <v>45197.49290509259</v>
      </c>
      <c r="C318" s="1" t="n">
        <v>46093</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41551-2025</t>
        </is>
      </c>
      <c r="B319" s="1" t="n">
        <v>45901.58854166666</v>
      </c>
      <c r="C319" s="1" t="n">
        <v>46093</v>
      </c>
      <c r="D319" t="inlineStr">
        <is>
          <t>GOTLANDS LÄN</t>
        </is>
      </c>
      <c r="E319" t="inlineStr">
        <is>
          <t>GOTLAND</t>
        </is>
      </c>
      <c r="G319" t="n">
        <v>5.6</v>
      </c>
      <c r="H319" t="n">
        <v>0</v>
      </c>
      <c r="I319" t="n">
        <v>0</v>
      </c>
      <c r="J319" t="n">
        <v>0</v>
      </c>
      <c r="K319" t="n">
        <v>0</v>
      </c>
      <c r="L319" t="n">
        <v>0</v>
      </c>
      <c r="M319" t="n">
        <v>0</v>
      </c>
      <c r="N319" t="n">
        <v>0</v>
      </c>
      <c r="O319" t="n">
        <v>0</v>
      </c>
      <c r="P319" t="n">
        <v>0</v>
      </c>
      <c r="Q319" t="n">
        <v>0</v>
      </c>
      <c r="R319" s="2" t="inlineStr"/>
    </row>
    <row r="320" ht="15" customHeight="1">
      <c r="A320" t="inlineStr">
        <is>
          <t>A 9875-2025</t>
        </is>
      </c>
      <c r="B320" s="1" t="n">
        <v>45716</v>
      </c>
      <c r="C320" s="1" t="n">
        <v>46093</v>
      </c>
      <c r="D320" t="inlineStr">
        <is>
          <t>GOTLANDS LÄN</t>
        </is>
      </c>
      <c r="E320" t="inlineStr">
        <is>
          <t>GOTLAND</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15001-2025</t>
        </is>
      </c>
      <c r="B321" s="1" t="n">
        <v>45743</v>
      </c>
      <c r="C321" s="1" t="n">
        <v>46093</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46093</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30488-2025</t>
        </is>
      </c>
      <c r="B323" s="1" t="n">
        <v>45830</v>
      </c>
      <c r="C323" s="1" t="n">
        <v>46093</v>
      </c>
      <c r="D323" t="inlineStr">
        <is>
          <t>GOTLANDS LÄN</t>
        </is>
      </c>
      <c r="E323" t="inlineStr">
        <is>
          <t>GOTLAND</t>
        </is>
      </c>
      <c r="F323" t="inlineStr">
        <is>
          <t>Kyrkan</t>
        </is>
      </c>
      <c r="G323" t="n">
        <v>3.9</v>
      </c>
      <c r="H323" t="n">
        <v>0</v>
      </c>
      <c r="I323" t="n">
        <v>0</v>
      </c>
      <c r="J323" t="n">
        <v>0</v>
      </c>
      <c r="K323" t="n">
        <v>0</v>
      </c>
      <c r="L323" t="n">
        <v>0</v>
      </c>
      <c r="M323" t="n">
        <v>0</v>
      </c>
      <c r="N323" t="n">
        <v>0</v>
      </c>
      <c r="O323" t="n">
        <v>0</v>
      </c>
      <c r="P323" t="n">
        <v>0</v>
      </c>
      <c r="Q323" t="n">
        <v>0</v>
      </c>
      <c r="R323" s="2" t="inlineStr"/>
    </row>
    <row r="324" ht="15" customHeight="1">
      <c r="A324" t="inlineStr">
        <is>
          <t>A 61100-2022</t>
        </is>
      </c>
      <c r="B324" s="1" t="n">
        <v>44915</v>
      </c>
      <c r="C324" s="1" t="n">
        <v>46093</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61682-2024</t>
        </is>
      </c>
      <c r="B325" s="1" t="n">
        <v>45647.48824074074</v>
      </c>
      <c r="C325" s="1" t="n">
        <v>46093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21164-2024</t>
        </is>
      </c>
      <c r="B326" s="1" t="n">
        <v>45440</v>
      </c>
      <c r="C326" s="1" t="n">
        <v>46093</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8045-2022</t>
        </is>
      </c>
      <c r="B327" s="1" t="n">
        <v>44609</v>
      </c>
      <c r="C327" s="1" t="n">
        <v>46093</v>
      </c>
      <c r="D327" t="inlineStr">
        <is>
          <t>GOTLANDS LÄN</t>
        </is>
      </c>
      <c r="E327" t="inlineStr">
        <is>
          <t>GOTLAND</t>
        </is>
      </c>
      <c r="G327" t="n">
        <v>7</v>
      </c>
      <c r="H327" t="n">
        <v>0</v>
      </c>
      <c r="I327" t="n">
        <v>0</v>
      </c>
      <c r="J327" t="n">
        <v>0</v>
      </c>
      <c r="K327" t="n">
        <v>0</v>
      </c>
      <c r="L327" t="n">
        <v>0</v>
      </c>
      <c r="M327" t="n">
        <v>0</v>
      </c>
      <c r="N327" t="n">
        <v>0</v>
      </c>
      <c r="O327" t="n">
        <v>0</v>
      </c>
      <c r="P327" t="n">
        <v>0</v>
      </c>
      <c r="Q327" t="n">
        <v>0</v>
      </c>
      <c r="R327" s="2" t="inlineStr"/>
    </row>
    <row r="328" ht="15" customHeight="1">
      <c r="A328" t="inlineStr">
        <is>
          <t>A 17847-2025</t>
        </is>
      </c>
      <c r="B328" s="1" t="n">
        <v>45758</v>
      </c>
      <c r="C328" s="1" t="n">
        <v>46093</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22897-2023</t>
        </is>
      </c>
      <c r="B329" s="1" t="n">
        <v>45072.55239583334</v>
      </c>
      <c r="C329" s="1" t="n">
        <v>46093</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42608-2025</t>
        </is>
      </c>
      <c r="B330" s="1" t="n">
        <v>45905</v>
      </c>
      <c r="C330" s="1" t="n">
        <v>46093</v>
      </c>
      <c r="D330" t="inlineStr">
        <is>
          <t>GOTLANDS LÄN</t>
        </is>
      </c>
      <c r="E330" t="inlineStr">
        <is>
          <t>GOTLAND</t>
        </is>
      </c>
      <c r="G330" t="n">
        <v>1.3</v>
      </c>
      <c r="H330" t="n">
        <v>0</v>
      </c>
      <c r="I330" t="n">
        <v>0</v>
      </c>
      <c r="J330" t="n">
        <v>0</v>
      </c>
      <c r="K330" t="n">
        <v>0</v>
      </c>
      <c r="L330" t="n">
        <v>0</v>
      </c>
      <c r="M330" t="n">
        <v>0</v>
      </c>
      <c r="N330" t="n">
        <v>0</v>
      </c>
      <c r="O330" t="n">
        <v>0</v>
      </c>
      <c r="P330" t="n">
        <v>0</v>
      </c>
      <c r="Q330" t="n">
        <v>0</v>
      </c>
      <c r="R330" s="2" t="inlineStr"/>
    </row>
    <row r="331" ht="15" customHeight="1">
      <c r="A331" t="inlineStr">
        <is>
          <t>A 61897-2024</t>
        </is>
      </c>
      <c r="B331" s="1" t="n">
        <v>45652.75685185185</v>
      </c>
      <c r="C331" s="1" t="n">
        <v>46093</v>
      </c>
      <c r="D331" t="inlineStr">
        <is>
          <t>GOTLANDS LÄN</t>
        </is>
      </c>
      <c r="E331" t="inlineStr">
        <is>
          <t>GOTLAND</t>
        </is>
      </c>
      <c r="G331" t="n">
        <v>6.4</v>
      </c>
      <c r="H331" t="n">
        <v>0</v>
      </c>
      <c r="I331" t="n">
        <v>0</v>
      </c>
      <c r="J331" t="n">
        <v>0</v>
      </c>
      <c r="K331" t="n">
        <v>0</v>
      </c>
      <c r="L331" t="n">
        <v>0</v>
      </c>
      <c r="M331" t="n">
        <v>0</v>
      </c>
      <c r="N331" t="n">
        <v>0</v>
      </c>
      <c r="O331" t="n">
        <v>0</v>
      </c>
      <c r="P331" t="n">
        <v>0</v>
      </c>
      <c r="Q331" t="n">
        <v>0</v>
      </c>
      <c r="R331" s="2" t="inlineStr"/>
    </row>
    <row r="332" ht="15" customHeight="1">
      <c r="A332" t="inlineStr">
        <is>
          <t>A 58388-2022</t>
        </is>
      </c>
      <c r="B332" s="1" t="n">
        <v>44894</v>
      </c>
      <c r="C332" s="1" t="n">
        <v>46093</v>
      </c>
      <c r="D332" t="inlineStr">
        <is>
          <t>GOTLANDS LÄN</t>
        </is>
      </c>
      <c r="E332" t="inlineStr">
        <is>
          <t>GOTLAND</t>
        </is>
      </c>
      <c r="F332" t="inlineStr">
        <is>
          <t>Övriga statliga verk och myndigheter</t>
        </is>
      </c>
      <c r="G332" t="n">
        <v>3.1</v>
      </c>
      <c r="H332" t="n">
        <v>0</v>
      </c>
      <c r="I332" t="n">
        <v>0</v>
      </c>
      <c r="J332" t="n">
        <v>0</v>
      </c>
      <c r="K332" t="n">
        <v>0</v>
      </c>
      <c r="L332" t="n">
        <v>0</v>
      </c>
      <c r="M332" t="n">
        <v>0</v>
      </c>
      <c r="N332" t="n">
        <v>0</v>
      </c>
      <c r="O332" t="n">
        <v>0</v>
      </c>
      <c r="P332" t="n">
        <v>0</v>
      </c>
      <c r="Q332" t="n">
        <v>0</v>
      </c>
      <c r="R332" s="2" t="inlineStr"/>
    </row>
    <row r="333" ht="15" customHeight="1">
      <c r="A333" t="inlineStr">
        <is>
          <t>A 49962-2023</t>
        </is>
      </c>
      <c r="B333" s="1" t="n">
        <v>45215.38775462963</v>
      </c>
      <c r="C333" s="1" t="n">
        <v>46093</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21792-2024</t>
        </is>
      </c>
      <c r="B334" s="1" t="n">
        <v>45442.64326388889</v>
      </c>
      <c r="C334" s="1" t="n">
        <v>46093</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16373-2025</t>
        </is>
      </c>
      <c r="B335" s="1" t="n">
        <v>45751</v>
      </c>
      <c r="C335" s="1" t="n">
        <v>46093</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18742-2025</t>
        </is>
      </c>
      <c r="B336" s="1" t="n">
        <v>45763</v>
      </c>
      <c r="C336" s="1" t="n">
        <v>46093</v>
      </c>
      <c r="D336" t="inlineStr">
        <is>
          <t>GOTLANDS LÄN</t>
        </is>
      </c>
      <c r="E336" t="inlineStr">
        <is>
          <t>GOTLAND</t>
        </is>
      </c>
      <c r="G336" t="n">
        <v>3.4</v>
      </c>
      <c r="H336" t="n">
        <v>0</v>
      </c>
      <c r="I336" t="n">
        <v>0</v>
      </c>
      <c r="J336" t="n">
        <v>0</v>
      </c>
      <c r="K336" t="n">
        <v>0</v>
      </c>
      <c r="L336" t="n">
        <v>0</v>
      </c>
      <c r="M336" t="n">
        <v>0</v>
      </c>
      <c r="N336" t="n">
        <v>0</v>
      </c>
      <c r="O336" t="n">
        <v>0</v>
      </c>
      <c r="P336" t="n">
        <v>0</v>
      </c>
      <c r="Q336" t="n">
        <v>0</v>
      </c>
      <c r="R336" s="2" t="inlineStr"/>
    </row>
    <row r="337" ht="15" customHeight="1">
      <c r="A337" t="inlineStr">
        <is>
          <t>A 20165-2022</t>
        </is>
      </c>
      <c r="B337" s="1" t="n">
        <v>44698.49854166667</v>
      </c>
      <c r="C337" s="1" t="n">
        <v>46093</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40294-2022</t>
        </is>
      </c>
      <c r="B338" s="1" t="n">
        <v>44821</v>
      </c>
      <c r="C338" s="1" t="n">
        <v>46093</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12032-2025</t>
        </is>
      </c>
      <c r="B339" s="1" t="n">
        <v>45728.64472222222</v>
      </c>
      <c r="C339" s="1" t="n">
        <v>46093</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38787-2023</t>
        </is>
      </c>
      <c r="B340" s="1" t="n">
        <v>45163</v>
      </c>
      <c r="C340" s="1" t="n">
        <v>46093</v>
      </c>
      <c r="D340" t="inlineStr">
        <is>
          <t>GOTLANDS LÄN</t>
        </is>
      </c>
      <c r="E340" t="inlineStr">
        <is>
          <t>GOTLAND</t>
        </is>
      </c>
      <c r="G340" t="n">
        <v>0.4</v>
      </c>
      <c r="H340" t="n">
        <v>0</v>
      </c>
      <c r="I340" t="n">
        <v>0</v>
      </c>
      <c r="J340" t="n">
        <v>0</v>
      </c>
      <c r="K340" t="n">
        <v>0</v>
      </c>
      <c r="L340" t="n">
        <v>0</v>
      </c>
      <c r="M340" t="n">
        <v>0</v>
      </c>
      <c r="N340" t="n">
        <v>0</v>
      </c>
      <c r="O340" t="n">
        <v>0</v>
      </c>
      <c r="P340" t="n">
        <v>0</v>
      </c>
      <c r="Q340" t="n">
        <v>0</v>
      </c>
      <c r="R340" s="2" t="inlineStr"/>
    </row>
    <row r="341" ht="15" customHeight="1">
      <c r="A341" t="inlineStr">
        <is>
          <t>A 17688-2024</t>
        </is>
      </c>
      <c r="B341" s="1" t="n">
        <v>45418.43575231481</v>
      </c>
      <c r="C341" s="1" t="n">
        <v>46093</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35129-2025</t>
        </is>
      </c>
      <c r="B342" s="1" t="n">
        <v>45852.63224537037</v>
      </c>
      <c r="C342" s="1" t="n">
        <v>46093</v>
      </c>
      <c r="D342" t="inlineStr">
        <is>
          <t>GOTLANDS LÄN</t>
        </is>
      </c>
      <c r="E342" t="inlineStr">
        <is>
          <t>GOTLAND</t>
        </is>
      </c>
      <c r="G342" t="n">
        <v>3.2</v>
      </c>
      <c r="H342" t="n">
        <v>0</v>
      </c>
      <c r="I342" t="n">
        <v>0</v>
      </c>
      <c r="J342" t="n">
        <v>0</v>
      </c>
      <c r="K342" t="n">
        <v>0</v>
      </c>
      <c r="L342" t="n">
        <v>0</v>
      </c>
      <c r="M342" t="n">
        <v>0</v>
      </c>
      <c r="N342" t="n">
        <v>0</v>
      </c>
      <c r="O342" t="n">
        <v>0</v>
      </c>
      <c r="P342" t="n">
        <v>0</v>
      </c>
      <c r="Q342" t="n">
        <v>0</v>
      </c>
      <c r="R342" s="2" t="inlineStr"/>
    </row>
    <row r="343" ht="15" customHeight="1">
      <c r="A343" t="inlineStr">
        <is>
          <t>A 7837-2024</t>
        </is>
      </c>
      <c r="B343" s="1" t="n">
        <v>45349.83787037037</v>
      </c>
      <c r="C343" s="1" t="n">
        <v>46093</v>
      </c>
      <c r="D343" t="inlineStr">
        <is>
          <t>GOTLANDS LÄN</t>
        </is>
      </c>
      <c r="E343" t="inlineStr">
        <is>
          <t>GOTLAND</t>
        </is>
      </c>
      <c r="G343" t="n">
        <v>5</v>
      </c>
      <c r="H343" t="n">
        <v>0</v>
      </c>
      <c r="I343" t="n">
        <v>0</v>
      </c>
      <c r="J343" t="n">
        <v>0</v>
      </c>
      <c r="K343" t="n">
        <v>0</v>
      </c>
      <c r="L343" t="n">
        <v>0</v>
      </c>
      <c r="M343" t="n">
        <v>0</v>
      </c>
      <c r="N343" t="n">
        <v>0</v>
      </c>
      <c r="O343" t="n">
        <v>0</v>
      </c>
      <c r="P343" t="n">
        <v>0</v>
      </c>
      <c r="Q343" t="n">
        <v>0</v>
      </c>
      <c r="R343" s="2" t="inlineStr"/>
    </row>
    <row r="344" ht="15" customHeight="1">
      <c r="A344" t="inlineStr">
        <is>
          <t>A 10158-2025</t>
        </is>
      </c>
      <c r="B344" s="1" t="n">
        <v>45719</v>
      </c>
      <c r="C344" s="1" t="n">
        <v>46093</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43231-2023</t>
        </is>
      </c>
      <c r="B345" s="1" t="n">
        <v>45183.47025462963</v>
      </c>
      <c r="C345" s="1" t="n">
        <v>46093</v>
      </c>
      <c r="D345" t="inlineStr">
        <is>
          <t>GOTLANDS LÄN</t>
        </is>
      </c>
      <c r="E345" t="inlineStr">
        <is>
          <t>GOTLAND</t>
        </is>
      </c>
      <c r="G345" t="n">
        <v>3.6</v>
      </c>
      <c r="H345" t="n">
        <v>0</v>
      </c>
      <c r="I345" t="n">
        <v>0</v>
      </c>
      <c r="J345" t="n">
        <v>0</v>
      </c>
      <c r="K345" t="n">
        <v>0</v>
      </c>
      <c r="L345" t="n">
        <v>0</v>
      </c>
      <c r="M345" t="n">
        <v>0</v>
      </c>
      <c r="N345" t="n">
        <v>0</v>
      </c>
      <c r="O345" t="n">
        <v>0</v>
      </c>
      <c r="P345" t="n">
        <v>0</v>
      </c>
      <c r="Q345" t="n">
        <v>0</v>
      </c>
      <c r="R345" s="2" t="inlineStr"/>
    </row>
    <row r="346" ht="15" customHeight="1">
      <c r="A346" t="inlineStr">
        <is>
          <t>A 17532-2024</t>
        </is>
      </c>
      <c r="B346" s="1" t="n">
        <v>45415</v>
      </c>
      <c r="C346" s="1" t="n">
        <v>46093</v>
      </c>
      <c r="D346" t="inlineStr">
        <is>
          <t>GOTLANDS LÄN</t>
        </is>
      </c>
      <c r="E346" t="inlineStr">
        <is>
          <t>GOTLAND</t>
        </is>
      </c>
      <c r="G346" t="n">
        <v>4.3</v>
      </c>
      <c r="H346" t="n">
        <v>0</v>
      </c>
      <c r="I346" t="n">
        <v>0</v>
      </c>
      <c r="J346" t="n">
        <v>0</v>
      </c>
      <c r="K346" t="n">
        <v>0</v>
      </c>
      <c r="L346" t="n">
        <v>0</v>
      </c>
      <c r="M346" t="n">
        <v>0</v>
      </c>
      <c r="N346" t="n">
        <v>0</v>
      </c>
      <c r="O346" t="n">
        <v>0</v>
      </c>
      <c r="P346" t="n">
        <v>0</v>
      </c>
      <c r="Q346" t="n">
        <v>0</v>
      </c>
      <c r="R346" s="2" t="inlineStr"/>
    </row>
    <row r="347" ht="15" customHeight="1">
      <c r="A347" t="inlineStr">
        <is>
          <t>A 43911-2025</t>
        </is>
      </c>
      <c r="B347" s="1" t="n">
        <v>45914.3881712963</v>
      </c>
      <c r="C347" s="1" t="n">
        <v>46093</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4568-2025</t>
        </is>
      </c>
      <c r="B348" s="1" t="n">
        <v>45687</v>
      </c>
      <c r="C348" s="1" t="n">
        <v>46093</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44410-2025</t>
        </is>
      </c>
      <c r="B349" s="1" t="n">
        <v>45916.53699074074</v>
      </c>
      <c r="C349" s="1" t="n">
        <v>46093</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46093</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3935-2025</t>
        </is>
      </c>
      <c r="B351" s="1" t="n">
        <v>45684.46070601852</v>
      </c>
      <c r="C351" s="1" t="n">
        <v>46093</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46093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35512-2023</t>
        </is>
      </c>
      <c r="B353" s="1" t="n">
        <v>45147.25623842593</v>
      </c>
      <c r="C353" s="1" t="n">
        <v>46093</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5905-2024</t>
        </is>
      </c>
      <c r="B354" s="1" t="n">
        <v>45335.88993055555</v>
      </c>
      <c r="C354" s="1" t="n">
        <v>46093</v>
      </c>
      <c r="D354" t="inlineStr">
        <is>
          <t>GOTLANDS LÄN</t>
        </is>
      </c>
      <c r="E354" t="inlineStr">
        <is>
          <t>GOTLAND</t>
        </is>
      </c>
      <c r="G354" t="n">
        <v>3</v>
      </c>
      <c r="H354" t="n">
        <v>0</v>
      </c>
      <c r="I354" t="n">
        <v>0</v>
      </c>
      <c r="J354" t="n">
        <v>0</v>
      </c>
      <c r="K354" t="n">
        <v>0</v>
      </c>
      <c r="L354" t="n">
        <v>0</v>
      </c>
      <c r="M354" t="n">
        <v>0</v>
      </c>
      <c r="N354" t="n">
        <v>0</v>
      </c>
      <c r="O354" t="n">
        <v>0</v>
      </c>
      <c r="P354" t="n">
        <v>0</v>
      </c>
      <c r="Q354" t="n">
        <v>0</v>
      </c>
      <c r="R354" s="2" t="inlineStr"/>
    </row>
    <row r="355" ht="15" customHeight="1">
      <c r="A355" t="inlineStr">
        <is>
          <t>A 1291-2023</t>
        </is>
      </c>
      <c r="B355" s="1" t="n">
        <v>44936.47561342592</v>
      </c>
      <c r="C355" s="1" t="n">
        <v>46093</v>
      </c>
      <c r="D355" t="inlineStr">
        <is>
          <t>GOTLANDS LÄN</t>
        </is>
      </c>
      <c r="E355" t="inlineStr">
        <is>
          <t>GOTLAND</t>
        </is>
      </c>
      <c r="G355" t="n">
        <v>7.4</v>
      </c>
      <c r="H355" t="n">
        <v>0</v>
      </c>
      <c r="I355" t="n">
        <v>0</v>
      </c>
      <c r="J355" t="n">
        <v>0</v>
      </c>
      <c r="K355" t="n">
        <v>0</v>
      </c>
      <c r="L355" t="n">
        <v>0</v>
      </c>
      <c r="M355" t="n">
        <v>0</v>
      </c>
      <c r="N355" t="n">
        <v>0</v>
      </c>
      <c r="O355" t="n">
        <v>0</v>
      </c>
      <c r="P355" t="n">
        <v>0</v>
      </c>
      <c r="Q355" t="n">
        <v>0</v>
      </c>
      <c r="R355" s="2" t="inlineStr"/>
    </row>
    <row r="356" ht="15" customHeight="1">
      <c r="A356" t="inlineStr">
        <is>
          <t>A 20225-2025</t>
        </is>
      </c>
      <c r="B356" s="1" t="n">
        <v>45772.65802083333</v>
      </c>
      <c r="C356" s="1" t="n">
        <v>46093</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883-2025</t>
        </is>
      </c>
      <c r="B357" s="1" t="n">
        <v>45665</v>
      </c>
      <c r="C357" s="1" t="n">
        <v>46093</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57652-2023</t>
        </is>
      </c>
      <c r="B358" s="1" t="n">
        <v>45246</v>
      </c>
      <c r="C358" s="1" t="n">
        <v>46093</v>
      </c>
      <c r="D358" t="inlineStr">
        <is>
          <t>GOTLANDS LÄN</t>
        </is>
      </c>
      <c r="E358" t="inlineStr">
        <is>
          <t>GOTLAND</t>
        </is>
      </c>
      <c r="G358" t="n">
        <v>7.2</v>
      </c>
      <c r="H358" t="n">
        <v>0</v>
      </c>
      <c r="I358" t="n">
        <v>0</v>
      </c>
      <c r="J358" t="n">
        <v>0</v>
      </c>
      <c r="K358" t="n">
        <v>0</v>
      </c>
      <c r="L358" t="n">
        <v>0</v>
      </c>
      <c r="M358" t="n">
        <v>0</v>
      </c>
      <c r="N358" t="n">
        <v>0</v>
      </c>
      <c r="O358" t="n">
        <v>0</v>
      </c>
      <c r="P358" t="n">
        <v>0</v>
      </c>
      <c r="Q358" t="n">
        <v>0</v>
      </c>
      <c r="R358" s="2" t="inlineStr"/>
    </row>
    <row r="359" ht="15" customHeight="1">
      <c r="A359" t="inlineStr">
        <is>
          <t>A 49315-2024</t>
        </is>
      </c>
      <c r="B359" s="1" t="n">
        <v>45595</v>
      </c>
      <c r="C359" s="1" t="n">
        <v>46093</v>
      </c>
      <c r="D359" t="inlineStr">
        <is>
          <t>GOTLANDS LÄN</t>
        </is>
      </c>
      <c r="E359" t="inlineStr">
        <is>
          <t>GOTLAND</t>
        </is>
      </c>
      <c r="G359" t="n">
        <v>1.5</v>
      </c>
      <c r="H359" t="n">
        <v>0</v>
      </c>
      <c r="I359" t="n">
        <v>0</v>
      </c>
      <c r="J359" t="n">
        <v>0</v>
      </c>
      <c r="K359" t="n">
        <v>0</v>
      </c>
      <c r="L359" t="n">
        <v>0</v>
      </c>
      <c r="M359" t="n">
        <v>0</v>
      </c>
      <c r="N359" t="n">
        <v>0</v>
      </c>
      <c r="O359" t="n">
        <v>0</v>
      </c>
      <c r="P359" t="n">
        <v>0</v>
      </c>
      <c r="Q359" t="n">
        <v>0</v>
      </c>
      <c r="R359" s="2" t="inlineStr"/>
    </row>
    <row r="360" ht="15" customHeight="1">
      <c r="A360" t="inlineStr">
        <is>
          <t>A 45106-2024</t>
        </is>
      </c>
      <c r="B360" s="1" t="n">
        <v>45575</v>
      </c>
      <c r="C360" s="1" t="n">
        <v>46093</v>
      </c>
      <c r="D360" t="inlineStr">
        <is>
          <t>GOTLANDS LÄN</t>
        </is>
      </c>
      <c r="E360" t="inlineStr">
        <is>
          <t>GOTLAND</t>
        </is>
      </c>
      <c r="G360" t="n">
        <v>10</v>
      </c>
      <c r="H360" t="n">
        <v>0</v>
      </c>
      <c r="I360" t="n">
        <v>0</v>
      </c>
      <c r="J360" t="n">
        <v>0</v>
      </c>
      <c r="K360" t="n">
        <v>0</v>
      </c>
      <c r="L360" t="n">
        <v>0</v>
      </c>
      <c r="M360" t="n">
        <v>0</v>
      </c>
      <c r="N360" t="n">
        <v>0</v>
      </c>
      <c r="O360" t="n">
        <v>0</v>
      </c>
      <c r="P360" t="n">
        <v>0</v>
      </c>
      <c r="Q360" t="n">
        <v>0</v>
      </c>
      <c r="R360" s="2" t="inlineStr"/>
    </row>
    <row r="361" ht="15" customHeight="1">
      <c r="A361" t="inlineStr">
        <is>
          <t>A 45112-2024</t>
        </is>
      </c>
      <c r="B361" s="1" t="n">
        <v>45575</v>
      </c>
      <c r="C361" s="1" t="n">
        <v>46093</v>
      </c>
      <c r="D361" t="inlineStr">
        <is>
          <t>GOTLANDS LÄN</t>
        </is>
      </c>
      <c r="E361" t="inlineStr">
        <is>
          <t>GOTLAND</t>
        </is>
      </c>
      <c r="G361" t="n">
        <v>5.1</v>
      </c>
      <c r="H361" t="n">
        <v>0</v>
      </c>
      <c r="I361" t="n">
        <v>0</v>
      </c>
      <c r="J361" t="n">
        <v>0</v>
      </c>
      <c r="K361" t="n">
        <v>0</v>
      </c>
      <c r="L361" t="n">
        <v>0</v>
      </c>
      <c r="M361" t="n">
        <v>0</v>
      </c>
      <c r="N361" t="n">
        <v>0</v>
      </c>
      <c r="O361" t="n">
        <v>0</v>
      </c>
      <c r="P361" t="n">
        <v>0</v>
      </c>
      <c r="Q361" t="n">
        <v>0</v>
      </c>
      <c r="R361" s="2" t="inlineStr"/>
    </row>
    <row r="362" ht="15" customHeight="1">
      <c r="A362" t="inlineStr">
        <is>
          <t>A 2676-2023</t>
        </is>
      </c>
      <c r="B362" s="1" t="n">
        <v>44944</v>
      </c>
      <c r="C362" s="1" t="n">
        <v>46093</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1066-2024</t>
        </is>
      </c>
      <c r="B363" s="1" t="n">
        <v>45302.285</v>
      </c>
      <c r="C363" s="1" t="n">
        <v>46093</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17144-2025</t>
        </is>
      </c>
      <c r="B364" s="1" t="n">
        <v>45755.9499537037</v>
      </c>
      <c r="C364" s="1" t="n">
        <v>46093</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3150-2025</t>
        </is>
      </c>
      <c r="B365" s="1" t="n">
        <v>45679.28974537037</v>
      </c>
      <c r="C365" s="1" t="n">
        <v>46093</v>
      </c>
      <c r="D365" t="inlineStr">
        <is>
          <t>GOTLANDS LÄN</t>
        </is>
      </c>
      <c r="E365" t="inlineStr">
        <is>
          <t>GOTLAND</t>
        </is>
      </c>
      <c r="G365" t="n">
        <v>2.5</v>
      </c>
      <c r="H365" t="n">
        <v>0</v>
      </c>
      <c r="I365" t="n">
        <v>0</v>
      </c>
      <c r="J365" t="n">
        <v>0</v>
      </c>
      <c r="K365" t="n">
        <v>0</v>
      </c>
      <c r="L365" t="n">
        <v>0</v>
      </c>
      <c r="M365" t="n">
        <v>0</v>
      </c>
      <c r="N365" t="n">
        <v>0</v>
      </c>
      <c r="O365" t="n">
        <v>0</v>
      </c>
      <c r="P365" t="n">
        <v>0</v>
      </c>
      <c r="Q365" t="n">
        <v>0</v>
      </c>
      <c r="R365" s="2" t="inlineStr"/>
    </row>
    <row r="366" ht="15" customHeight="1">
      <c r="A366" t="inlineStr">
        <is>
          <t>A 26391-2025</t>
        </is>
      </c>
      <c r="B366" s="1" t="n">
        <v>45806</v>
      </c>
      <c r="C366" s="1" t="n">
        <v>46093</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8484-2025</t>
        </is>
      </c>
      <c r="B367" s="1" t="n">
        <v>45709</v>
      </c>
      <c r="C367" s="1" t="n">
        <v>46093</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7635-2025</t>
        </is>
      </c>
      <c r="B368" s="1" t="n">
        <v>45705</v>
      </c>
      <c r="C368" s="1" t="n">
        <v>46093</v>
      </c>
      <c r="D368" t="inlineStr">
        <is>
          <t>GOTLANDS LÄN</t>
        </is>
      </c>
      <c r="E368" t="inlineStr">
        <is>
          <t>GOTLAND</t>
        </is>
      </c>
      <c r="G368" t="n">
        <v>0.9</v>
      </c>
      <c r="H368" t="n">
        <v>0</v>
      </c>
      <c r="I368" t="n">
        <v>0</v>
      </c>
      <c r="J368" t="n">
        <v>0</v>
      </c>
      <c r="K368" t="n">
        <v>0</v>
      </c>
      <c r="L368" t="n">
        <v>0</v>
      </c>
      <c r="M368" t="n">
        <v>0</v>
      </c>
      <c r="N368" t="n">
        <v>0</v>
      </c>
      <c r="O368" t="n">
        <v>0</v>
      </c>
      <c r="P368" t="n">
        <v>0</v>
      </c>
      <c r="Q368" t="n">
        <v>0</v>
      </c>
      <c r="R368" s="2" t="inlineStr"/>
    </row>
    <row r="369" ht="15" customHeight="1">
      <c r="A369" t="inlineStr">
        <is>
          <t>A 7636-2025</t>
        </is>
      </c>
      <c r="B369" s="1" t="n">
        <v>45705.7687962963</v>
      </c>
      <c r="C369" s="1" t="n">
        <v>46093</v>
      </c>
      <c r="D369" t="inlineStr">
        <is>
          <t>GOTLANDS LÄN</t>
        </is>
      </c>
      <c r="E369" t="inlineStr">
        <is>
          <t>GOTLAND</t>
        </is>
      </c>
      <c r="G369" t="n">
        <v>0.6</v>
      </c>
      <c r="H369" t="n">
        <v>0</v>
      </c>
      <c r="I369" t="n">
        <v>0</v>
      </c>
      <c r="J369" t="n">
        <v>0</v>
      </c>
      <c r="K369" t="n">
        <v>0</v>
      </c>
      <c r="L369" t="n">
        <v>0</v>
      </c>
      <c r="M369" t="n">
        <v>0</v>
      </c>
      <c r="N369" t="n">
        <v>0</v>
      </c>
      <c r="O369" t="n">
        <v>0</v>
      </c>
      <c r="P369" t="n">
        <v>0</v>
      </c>
      <c r="Q369" t="n">
        <v>0</v>
      </c>
      <c r="R369" s="2" t="inlineStr"/>
    </row>
    <row r="370" ht="15" customHeight="1">
      <c r="A370" t="inlineStr">
        <is>
          <t>A 7639-2025</t>
        </is>
      </c>
      <c r="B370" s="1" t="n">
        <v>45705.77465277778</v>
      </c>
      <c r="C370" s="1" t="n">
        <v>46093</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20356-2022</t>
        </is>
      </c>
      <c r="B371" s="1" t="n">
        <v>44699</v>
      </c>
      <c r="C371" s="1" t="n">
        <v>46093</v>
      </c>
      <c r="D371" t="inlineStr">
        <is>
          <t>GOTLANDS LÄN</t>
        </is>
      </c>
      <c r="E371" t="inlineStr">
        <is>
          <t>GOTLAND</t>
        </is>
      </c>
      <c r="F371" t="inlineStr">
        <is>
          <t>Övriga Aktiebolag</t>
        </is>
      </c>
      <c r="G371" t="n">
        <v>4.4</v>
      </c>
      <c r="H371" t="n">
        <v>0</v>
      </c>
      <c r="I371" t="n">
        <v>0</v>
      </c>
      <c r="J371" t="n">
        <v>0</v>
      </c>
      <c r="K371" t="n">
        <v>0</v>
      </c>
      <c r="L371" t="n">
        <v>0</v>
      </c>
      <c r="M371" t="n">
        <v>0</v>
      </c>
      <c r="N371" t="n">
        <v>0</v>
      </c>
      <c r="O371" t="n">
        <v>0</v>
      </c>
      <c r="P371" t="n">
        <v>0</v>
      </c>
      <c r="Q371" t="n">
        <v>0</v>
      </c>
      <c r="R371" s="2" t="inlineStr"/>
    </row>
    <row r="372" ht="15" customHeight="1">
      <c r="A372" t="inlineStr">
        <is>
          <t>A 48734-2022</t>
        </is>
      </c>
      <c r="B372" s="1" t="n">
        <v>44855</v>
      </c>
      <c r="C372" s="1" t="n">
        <v>46093</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46836-2025</t>
        </is>
      </c>
      <c r="B373" s="1" t="n">
        <v>45928.31511574074</v>
      </c>
      <c r="C373" s="1" t="n">
        <v>46093</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14141-2024</t>
        </is>
      </c>
      <c r="B374" s="1" t="n">
        <v>45392.85193287037</v>
      </c>
      <c r="C374" s="1" t="n">
        <v>46093</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29809-2022</t>
        </is>
      </c>
      <c r="B375" s="1" t="n">
        <v>44755.8713425926</v>
      </c>
      <c r="C375" s="1" t="n">
        <v>46093</v>
      </c>
      <c r="D375" t="inlineStr">
        <is>
          <t>GOTLANDS LÄN</t>
        </is>
      </c>
      <c r="E375" t="inlineStr">
        <is>
          <t>GOTLAND</t>
        </is>
      </c>
      <c r="G375" t="n">
        <v>11.5</v>
      </c>
      <c r="H375" t="n">
        <v>0</v>
      </c>
      <c r="I375" t="n">
        <v>0</v>
      </c>
      <c r="J375" t="n">
        <v>0</v>
      </c>
      <c r="K375" t="n">
        <v>0</v>
      </c>
      <c r="L375" t="n">
        <v>0</v>
      </c>
      <c r="M375" t="n">
        <v>0</v>
      </c>
      <c r="N375" t="n">
        <v>0</v>
      </c>
      <c r="O375" t="n">
        <v>0</v>
      </c>
      <c r="P375" t="n">
        <v>0</v>
      </c>
      <c r="Q375" t="n">
        <v>0</v>
      </c>
      <c r="R375" s="2" t="inlineStr"/>
    </row>
    <row r="376" ht="15" customHeight="1">
      <c r="A376" t="inlineStr">
        <is>
          <t>A 56009-2024</t>
        </is>
      </c>
      <c r="B376" s="1" t="n">
        <v>45623.80864583333</v>
      </c>
      <c r="C376" s="1" t="n">
        <v>46093</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42338-2023</t>
        </is>
      </c>
      <c r="B377" s="1" t="n">
        <v>45180</v>
      </c>
      <c r="C377" s="1" t="n">
        <v>46093</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57685-2022</t>
        </is>
      </c>
      <c r="B378" s="1" t="n">
        <v>44897.4777662037</v>
      </c>
      <c r="C378" s="1" t="n">
        <v>46093</v>
      </c>
      <c r="D378" t="inlineStr">
        <is>
          <t>GOTLANDS LÄN</t>
        </is>
      </c>
      <c r="E378" t="inlineStr">
        <is>
          <t>GOTLAND</t>
        </is>
      </c>
      <c r="G378" t="n">
        <v>3.7</v>
      </c>
      <c r="H378" t="n">
        <v>0</v>
      </c>
      <c r="I378" t="n">
        <v>0</v>
      </c>
      <c r="J378" t="n">
        <v>0</v>
      </c>
      <c r="K378" t="n">
        <v>0</v>
      </c>
      <c r="L378" t="n">
        <v>0</v>
      </c>
      <c r="M378" t="n">
        <v>0</v>
      </c>
      <c r="N378" t="n">
        <v>0</v>
      </c>
      <c r="O378" t="n">
        <v>0</v>
      </c>
      <c r="P378" t="n">
        <v>0</v>
      </c>
      <c r="Q378" t="n">
        <v>0</v>
      </c>
      <c r="R378" s="2" t="inlineStr"/>
    </row>
    <row r="379" ht="15" customHeight="1">
      <c r="A379" t="inlineStr">
        <is>
          <t>A 47637-2025</t>
        </is>
      </c>
      <c r="B379" s="1" t="n">
        <v>45931.49753472222</v>
      </c>
      <c r="C379" s="1" t="n">
        <v>46093</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30815-2023</t>
        </is>
      </c>
      <c r="B380" s="1" t="n">
        <v>45112</v>
      </c>
      <c r="C380" s="1" t="n">
        <v>46093</v>
      </c>
      <c r="D380" t="inlineStr">
        <is>
          <t>GOTLANDS LÄN</t>
        </is>
      </c>
      <c r="E380" t="inlineStr">
        <is>
          <t>GOTLAND</t>
        </is>
      </c>
      <c r="G380" t="n">
        <v>6</v>
      </c>
      <c r="H380" t="n">
        <v>0</v>
      </c>
      <c r="I380" t="n">
        <v>0</v>
      </c>
      <c r="J380" t="n">
        <v>0</v>
      </c>
      <c r="K380" t="n">
        <v>0</v>
      </c>
      <c r="L380" t="n">
        <v>0</v>
      </c>
      <c r="M380" t="n">
        <v>0</v>
      </c>
      <c r="N380" t="n">
        <v>0</v>
      </c>
      <c r="O380" t="n">
        <v>0</v>
      </c>
      <c r="P380" t="n">
        <v>0</v>
      </c>
      <c r="Q380" t="n">
        <v>0</v>
      </c>
      <c r="R380" s="2" t="inlineStr"/>
    </row>
    <row r="381" ht="15" customHeight="1">
      <c r="A381" t="inlineStr">
        <is>
          <t>A 32378-2025</t>
        </is>
      </c>
      <c r="B381" s="1" t="n">
        <v>45837</v>
      </c>
      <c r="C381" s="1" t="n">
        <v>46093</v>
      </c>
      <c r="D381" t="inlineStr">
        <is>
          <t>GOTLANDS LÄN</t>
        </is>
      </c>
      <c r="E381" t="inlineStr">
        <is>
          <t>GOTLAND</t>
        </is>
      </c>
      <c r="G381" t="n">
        <v>4.1</v>
      </c>
      <c r="H381" t="n">
        <v>0</v>
      </c>
      <c r="I381" t="n">
        <v>0</v>
      </c>
      <c r="J381" t="n">
        <v>0</v>
      </c>
      <c r="K381" t="n">
        <v>0</v>
      </c>
      <c r="L381" t="n">
        <v>0</v>
      </c>
      <c r="M381" t="n">
        <v>0</v>
      </c>
      <c r="N381" t="n">
        <v>0</v>
      </c>
      <c r="O381" t="n">
        <v>0</v>
      </c>
      <c r="P381" t="n">
        <v>0</v>
      </c>
      <c r="Q381" t="n">
        <v>0</v>
      </c>
      <c r="R381" s="2" t="inlineStr"/>
    </row>
    <row r="382" ht="15" customHeight="1">
      <c r="A382" t="inlineStr">
        <is>
          <t>A 7034-2023</t>
        </is>
      </c>
      <c r="B382" s="1" t="n">
        <v>44968.32108796296</v>
      </c>
      <c r="C382" s="1" t="n">
        <v>46093</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7042-2023</t>
        </is>
      </c>
      <c r="B383" s="1" t="n">
        <v>44968</v>
      </c>
      <c r="C383" s="1" t="n">
        <v>46093</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23516-2023</t>
        </is>
      </c>
      <c r="B384" s="1" t="n">
        <v>45076.93391203704</v>
      </c>
      <c r="C384" s="1" t="n">
        <v>46093</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64660-2023</t>
        </is>
      </c>
      <c r="B385" s="1" t="n">
        <v>45281.60122685185</v>
      </c>
      <c r="C385" s="1" t="n">
        <v>46093</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63763-2023</t>
        </is>
      </c>
      <c r="B386" s="1" t="n">
        <v>45278.33944444444</v>
      </c>
      <c r="C386" s="1" t="n">
        <v>46093</v>
      </c>
      <c r="D386" t="inlineStr">
        <is>
          <t>GOTLANDS LÄN</t>
        </is>
      </c>
      <c r="E386" t="inlineStr">
        <is>
          <t>GOTLAND</t>
        </is>
      </c>
      <c r="G386" t="n">
        <v>0.5</v>
      </c>
      <c r="H386" t="n">
        <v>0</v>
      </c>
      <c r="I386" t="n">
        <v>0</v>
      </c>
      <c r="J386" t="n">
        <v>0</v>
      </c>
      <c r="K386" t="n">
        <v>0</v>
      </c>
      <c r="L386" t="n">
        <v>0</v>
      </c>
      <c r="M386" t="n">
        <v>0</v>
      </c>
      <c r="N386" t="n">
        <v>0</v>
      </c>
      <c r="O386" t="n">
        <v>0</v>
      </c>
      <c r="P386" t="n">
        <v>0</v>
      </c>
      <c r="Q386" t="n">
        <v>0</v>
      </c>
      <c r="R386" s="2" t="inlineStr"/>
    </row>
    <row r="387" ht="15" customHeight="1">
      <c r="A387" t="inlineStr">
        <is>
          <t>A 35550-2025</t>
        </is>
      </c>
      <c r="B387" s="1" t="n">
        <v>45856.49324074074</v>
      </c>
      <c r="C387" s="1" t="n">
        <v>46093</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47578-2025</t>
        </is>
      </c>
      <c r="B388" s="1" t="n">
        <v>45931</v>
      </c>
      <c r="C388" s="1" t="n">
        <v>46093</v>
      </c>
      <c r="D388" t="inlineStr">
        <is>
          <t>GOTLANDS LÄN</t>
        </is>
      </c>
      <c r="E388" t="inlineStr">
        <is>
          <t>GOTLAND</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63229-2021</t>
        </is>
      </c>
      <c r="B389" s="1" t="n">
        <v>44508.34518518519</v>
      </c>
      <c r="C389" s="1" t="n">
        <v>46093</v>
      </c>
      <c r="D389" t="inlineStr">
        <is>
          <t>GOTLANDS LÄN</t>
        </is>
      </c>
      <c r="E389" t="inlineStr">
        <is>
          <t>GOTLAND</t>
        </is>
      </c>
      <c r="F389" t="inlineStr">
        <is>
          <t>Kyrkan</t>
        </is>
      </c>
      <c r="G389" t="n">
        <v>3.8</v>
      </c>
      <c r="H389" t="n">
        <v>0</v>
      </c>
      <c r="I389" t="n">
        <v>0</v>
      </c>
      <c r="J389" t="n">
        <v>0</v>
      </c>
      <c r="K389" t="n">
        <v>0</v>
      </c>
      <c r="L389" t="n">
        <v>0</v>
      </c>
      <c r="M389" t="n">
        <v>0</v>
      </c>
      <c r="N389" t="n">
        <v>0</v>
      </c>
      <c r="O389" t="n">
        <v>0</v>
      </c>
      <c r="P389" t="n">
        <v>0</v>
      </c>
      <c r="Q389" t="n">
        <v>0</v>
      </c>
      <c r="R389" s="2" t="inlineStr"/>
    </row>
    <row r="390" ht="15" customHeight="1">
      <c r="A390" t="inlineStr">
        <is>
          <t>A 46375-2024</t>
        </is>
      </c>
      <c r="B390" s="1" t="n">
        <v>45582</v>
      </c>
      <c r="C390" s="1" t="n">
        <v>46093</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49724-2025</t>
        </is>
      </c>
      <c r="B391" s="1" t="n">
        <v>45939.83730324074</v>
      </c>
      <c r="C391" s="1" t="n">
        <v>46093</v>
      </c>
      <c r="D391" t="inlineStr">
        <is>
          <t>GOTLANDS LÄN</t>
        </is>
      </c>
      <c r="E391" t="inlineStr">
        <is>
          <t>GOTLAND</t>
        </is>
      </c>
      <c r="F391" t="inlineStr">
        <is>
          <t>Kyrkan</t>
        </is>
      </c>
      <c r="G391" t="n">
        <v>3.1</v>
      </c>
      <c r="H391" t="n">
        <v>0</v>
      </c>
      <c r="I391" t="n">
        <v>0</v>
      </c>
      <c r="J391" t="n">
        <v>0</v>
      </c>
      <c r="K391" t="n">
        <v>0</v>
      </c>
      <c r="L391" t="n">
        <v>0</v>
      </c>
      <c r="M391" t="n">
        <v>0</v>
      </c>
      <c r="N391" t="n">
        <v>0</v>
      </c>
      <c r="O391" t="n">
        <v>0</v>
      </c>
      <c r="P391" t="n">
        <v>0</v>
      </c>
      <c r="Q391" t="n">
        <v>0</v>
      </c>
      <c r="R391" s="2" t="inlineStr"/>
    </row>
    <row r="392" ht="15" customHeight="1">
      <c r="A392" t="inlineStr">
        <is>
          <t>A 49730-2025</t>
        </is>
      </c>
      <c r="B392" s="1" t="n">
        <v>45939.87613425926</v>
      </c>
      <c r="C392" s="1" t="n">
        <v>46093</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581-2023</t>
        </is>
      </c>
      <c r="B393" s="1" t="n">
        <v>44930</v>
      </c>
      <c r="C393" s="1" t="n">
        <v>46093</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61386-2023</t>
        </is>
      </c>
      <c r="B394" s="1" t="n">
        <v>45264</v>
      </c>
      <c r="C394" s="1" t="n">
        <v>46093</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49690-2025</t>
        </is>
      </c>
      <c r="B395" s="1" t="n">
        <v>45939.66730324074</v>
      </c>
      <c r="C395" s="1" t="n">
        <v>46093</v>
      </c>
      <c r="D395" t="inlineStr">
        <is>
          <t>GOTLANDS LÄN</t>
        </is>
      </c>
      <c r="E395" t="inlineStr">
        <is>
          <t>GOTLAND</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46093</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873-2024</t>
        </is>
      </c>
      <c r="B397" s="1" t="n">
        <v>45301</v>
      </c>
      <c r="C397" s="1" t="n">
        <v>46093</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50421-2025</t>
        </is>
      </c>
      <c r="B398" s="1" t="n">
        <v>45944.66049768519</v>
      </c>
      <c r="C398" s="1" t="n">
        <v>46093</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49411-2023</t>
        </is>
      </c>
      <c r="B399" s="1" t="n">
        <v>45205</v>
      </c>
      <c r="C399" s="1" t="n">
        <v>46093</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22275-2023</t>
        </is>
      </c>
      <c r="B400" s="1" t="n">
        <v>45070.39875</v>
      </c>
      <c r="C400" s="1" t="n">
        <v>46093</v>
      </c>
      <c r="D400" t="inlineStr">
        <is>
          <t>GOTLANDS LÄN</t>
        </is>
      </c>
      <c r="E400" t="inlineStr">
        <is>
          <t>GOTLAND</t>
        </is>
      </c>
      <c r="G400" t="n">
        <v>7.2</v>
      </c>
      <c r="H400" t="n">
        <v>0</v>
      </c>
      <c r="I400" t="n">
        <v>0</v>
      </c>
      <c r="J400" t="n">
        <v>0</v>
      </c>
      <c r="K400" t="n">
        <v>0</v>
      </c>
      <c r="L400" t="n">
        <v>0</v>
      </c>
      <c r="M400" t="n">
        <v>0</v>
      </c>
      <c r="N400" t="n">
        <v>0</v>
      </c>
      <c r="O400" t="n">
        <v>0</v>
      </c>
      <c r="P400" t="n">
        <v>0</v>
      </c>
      <c r="Q400" t="n">
        <v>0</v>
      </c>
      <c r="R400" s="2" t="inlineStr"/>
    </row>
    <row r="401" ht="15" customHeight="1">
      <c r="A401" t="inlineStr">
        <is>
          <t>A 12322-2025</t>
        </is>
      </c>
      <c r="B401" s="1" t="n">
        <v>45730</v>
      </c>
      <c r="C401" s="1" t="n">
        <v>46093</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46093</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46093</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1734-2025</t>
        </is>
      </c>
      <c r="B404" s="1" t="n">
        <v>45671.3840625</v>
      </c>
      <c r="C404" s="1" t="n">
        <v>46093</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14797-2024</t>
        </is>
      </c>
      <c r="B405" s="1" t="n">
        <v>45397.87030092593</v>
      </c>
      <c r="C405" s="1" t="n">
        <v>46093</v>
      </c>
      <c r="D405" t="inlineStr">
        <is>
          <t>GOTLANDS LÄN</t>
        </is>
      </c>
      <c r="E405" t="inlineStr">
        <is>
          <t>GOTLAND</t>
        </is>
      </c>
      <c r="G405" t="n">
        <v>8.1</v>
      </c>
      <c r="H405" t="n">
        <v>0</v>
      </c>
      <c r="I405" t="n">
        <v>0</v>
      </c>
      <c r="J405" t="n">
        <v>0</v>
      </c>
      <c r="K405" t="n">
        <v>0</v>
      </c>
      <c r="L405" t="n">
        <v>0</v>
      </c>
      <c r="M405" t="n">
        <v>0</v>
      </c>
      <c r="N405" t="n">
        <v>0</v>
      </c>
      <c r="O405" t="n">
        <v>0</v>
      </c>
      <c r="P405" t="n">
        <v>0</v>
      </c>
      <c r="Q405" t="n">
        <v>0</v>
      </c>
      <c r="R405" s="2" t="inlineStr"/>
    </row>
    <row r="406" ht="15" customHeight="1">
      <c r="A406" t="inlineStr">
        <is>
          <t>A 999-2024</t>
        </is>
      </c>
      <c r="B406" s="1" t="n">
        <v>45301</v>
      </c>
      <c r="C406" s="1" t="n">
        <v>46093</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61596-2023</t>
        </is>
      </c>
      <c r="B407" s="1" t="n">
        <v>45265</v>
      </c>
      <c r="C407" s="1" t="n">
        <v>46093</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20993-2023</t>
        </is>
      </c>
      <c r="B408" s="1" t="n">
        <v>45056</v>
      </c>
      <c r="C408" s="1" t="n">
        <v>46093</v>
      </c>
      <c r="D408" t="inlineStr">
        <is>
          <t>GOTLANDS LÄN</t>
        </is>
      </c>
      <c r="E408" t="inlineStr">
        <is>
          <t>GOTLAND</t>
        </is>
      </c>
      <c r="G408" t="n">
        <v>7.1</v>
      </c>
      <c r="H408" t="n">
        <v>0</v>
      </c>
      <c r="I408" t="n">
        <v>0</v>
      </c>
      <c r="J408" t="n">
        <v>0</v>
      </c>
      <c r="K408" t="n">
        <v>0</v>
      </c>
      <c r="L408" t="n">
        <v>0</v>
      </c>
      <c r="M408" t="n">
        <v>0</v>
      </c>
      <c r="N408" t="n">
        <v>0</v>
      </c>
      <c r="O408" t="n">
        <v>0</v>
      </c>
      <c r="P408" t="n">
        <v>0</v>
      </c>
      <c r="Q408" t="n">
        <v>0</v>
      </c>
      <c r="R408" s="2" t="inlineStr"/>
    </row>
    <row r="409" ht="15" customHeight="1">
      <c r="A409" t="inlineStr">
        <is>
          <t>A 14638-2025</t>
        </is>
      </c>
      <c r="B409" s="1" t="n">
        <v>45742</v>
      </c>
      <c r="C409" s="1" t="n">
        <v>46093</v>
      </c>
      <c r="D409" t="inlineStr">
        <is>
          <t>GOTLANDS LÄN</t>
        </is>
      </c>
      <c r="E409" t="inlineStr">
        <is>
          <t>GOTLAND</t>
        </is>
      </c>
      <c r="G409" t="n">
        <v>13.4</v>
      </c>
      <c r="H409" t="n">
        <v>0</v>
      </c>
      <c r="I409" t="n">
        <v>0</v>
      </c>
      <c r="J409" t="n">
        <v>0</v>
      </c>
      <c r="K409" t="n">
        <v>0</v>
      </c>
      <c r="L409" t="n">
        <v>0</v>
      </c>
      <c r="M409" t="n">
        <v>0</v>
      </c>
      <c r="N409" t="n">
        <v>0</v>
      </c>
      <c r="O409" t="n">
        <v>0</v>
      </c>
      <c r="P409" t="n">
        <v>0</v>
      </c>
      <c r="Q409" t="n">
        <v>0</v>
      </c>
      <c r="R409" s="2" t="inlineStr"/>
    </row>
    <row r="410" ht="15" customHeight="1">
      <c r="A410" t="inlineStr">
        <is>
          <t>A 12596-2023</t>
        </is>
      </c>
      <c r="B410" s="1" t="n">
        <v>45000.43310185185</v>
      </c>
      <c r="C410" s="1" t="n">
        <v>46093</v>
      </c>
      <c r="D410" t="inlineStr">
        <is>
          <t>GOTLANDS LÄN</t>
        </is>
      </c>
      <c r="E410" t="inlineStr">
        <is>
          <t>GOTLAND</t>
        </is>
      </c>
      <c r="G410" t="n">
        <v>4.1</v>
      </c>
      <c r="H410" t="n">
        <v>0</v>
      </c>
      <c r="I410" t="n">
        <v>0</v>
      </c>
      <c r="J410" t="n">
        <v>0</v>
      </c>
      <c r="K410" t="n">
        <v>0</v>
      </c>
      <c r="L410" t="n">
        <v>0</v>
      </c>
      <c r="M410" t="n">
        <v>0</v>
      </c>
      <c r="N410" t="n">
        <v>0</v>
      </c>
      <c r="O410" t="n">
        <v>0</v>
      </c>
      <c r="P410" t="n">
        <v>0</v>
      </c>
      <c r="Q410" t="n">
        <v>0</v>
      </c>
      <c r="R410" s="2" t="inlineStr"/>
    </row>
    <row r="411" ht="15" customHeight="1">
      <c r="A411" t="inlineStr">
        <is>
          <t>A 2125-2025</t>
        </is>
      </c>
      <c r="B411" s="1" t="n">
        <v>45672.64940972222</v>
      </c>
      <c r="C411" s="1" t="n">
        <v>46093</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60675-2021</t>
        </is>
      </c>
      <c r="B412" s="1" t="n">
        <v>44496.64855324074</v>
      </c>
      <c r="C412" s="1" t="n">
        <v>46093</v>
      </c>
      <c r="D412" t="inlineStr">
        <is>
          <t>GOTLANDS LÄN</t>
        </is>
      </c>
      <c r="E412" t="inlineStr">
        <is>
          <t>GOTLAND</t>
        </is>
      </c>
      <c r="G412" t="n">
        <v>4.6</v>
      </c>
      <c r="H412" t="n">
        <v>0</v>
      </c>
      <c r="I412" t="n">
        <v>0</v>
      </c>
      <c r="J412" t="n">
        <v>0</v>
      </c>
      <c r="K412" t="n">
        <v>0</v>
      </c>
      <c r="L412" t="n">
        <v>0</v>
      </c>
      <c r="M412" t="n">
        <v>0</v>
      </c>
      <c r="N412" t="n">
        <v>0</v>
      </c>
      <c r="O412" t="n">
        <v>0</v>
      </c>
      <c r="P412" t="n">
        <v>0</v>
      </c>
      <c r="Q412" t="n">
        <v>0</v>
      </c>
      <c r="R412" s="2" t="inlineStr"/>
    </row>
    <row r="413" ht="15" customHeight="1">
      <c r="A413" t="inlineStr">
        <is>
          <t>A 37728-2024</t>
        </is>
      </c>
      <c r="B413" s="1" t="n">
        <v>45541</v>
      </c>
      <c r="C413" s="1" t="n">
        <v>46093</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12155-2023</t>
        </is>
      </c>
      <c r="B414" s="1" t="n">
        <v>44998.49106481481</v>
      </c>
      <c r="C414" s="1" t="n">
        <v>46093</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51262-2025</t>
        </is>
      </c>
      <c r="B415" s="1" t="n">
        <v>45949.49872685185</v>
      </c>
      <c r="C415" s="1" t="n">
        <v>46093</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457-2023</t>
        </is>
      </c>
      <c r="B416" s="1" t="n">
        <v>44929.87238425926</v>
      </c>
      <c r="C416" s="1" t="n">
        <v>46093</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459-2023</t>
        </is>
      </c>
      <c r="B417" s="1" t="n">
        <v>44929.87423611111</v>
      </c>
      <c r="C417" s="1" t="n">
        <v>46093</v>
      </c>
      <c r="D417" t="inlineStr">
        <is>
          <t>GOTLANDS LÄN</t>
        </is>
      </c>
      <c r="E417" t="inlineStr">
        <is>
          <t>GOTLAND</t>
        </is>
      </c>
      <c r="G417" t="n">
        <v>4.2</v>
      </c>
      <c r="H417" t="n">
        <v>0</v>
      </c>
      <c r="I417" t="n">
        <v>0</v>
      </c>
      <c r="J417" t="n">
        <v>0</v>
      </c>
      <c r="K417" t="n">
        <v>0</v>
      </c>
      <c r="L417" t="n">
        <v>0</v>
      </c>
      <c r="M417" t="n">
        <v>0</v>
      </c>
      <c r="N417" t="n">
        <v>0</v>
      </c>
      <c r="O417" t="n">
        <v>0</v>
      </c>
      <c r="P417" t="n">
        <v>0</v>
      </c>
      <c r="Q417" t="n">
        <v>0</v>
      </c>
      <c r="R417" s="2" t="inlineStr"/>
    </row>
    <row r="418" ht="15" customHeight="1">
      <c r="A418" t="inlineStr">
        <is>
          <t>A 38234-2023</t>
        </is>
      </c>
      <c r="B418" s="1" t="n">
        <v>45161.56663194444</v>
      </c>
      <c r="C418" s="1" t="n">
        <v>46093</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22287-2022</t>
        </is>
      </c>
      <c r="B419" s="1" t="n">
        <v>44712</v>
      </c>
      <c r="C419" s="1" t="n">
        <v>46093</v>
      </c>
      <c r="D419" t="inlineStr">
        <is>
          <t>GOTLANDS LÄN</t>
        </is>
      </c>
      <c r="E419" t="inlineStr">
        <is>
          <t>GOTLAND</t>
        </is>
      </c>
      <c r="G419" t="n">
        <v>6.1</v>
      </c>
      <c r="H419" t="n">
        <v>0</v>
      </c>
      <c r="I419" t="n">
        <v>0</v>
      </c>
      <c r="J419" t="n">
        <v>0</v>
      </c>
      <c r="K419" t="n">
        <v>0</v>
      </c>
      <c r="L419" t="n">
        <v>0</v>
      </c>
      <c r="M419" t="n">
        <v>0</v>
      </c>
      <c r="N419" t="n">
        <v>0</v>
      </c>
      <c r="O419" t="n">
        <v>0</v>
      </c>
      <c r="P419" t="n">
        <v>0</v>
      </c>
      <c r="Q419" t="n">
        <v>0</v>
      </c>
      <c r="R419" s="2" t="inlineStr"/>
    </row>
    <row r="420" ht="15" customHeight="1">
      <c r="A420" t="inlineStr">
        <is>
          <t>A 50744-2024</t>
        </is>
      </c>
      <c r="B420" s="1" t="n">
        <v>45602.4187037037</v>
      </c>
      <c r="C420" s="1" t="n">
        <v>46093</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53934-2024</t>
        </is>
      </c>
      <c r="B421" s="1" t="n">
        <v>45615</v>
      </c>
      <c r="C421" s="1" t="n">
        <v>46093</v>
      </c>
      <c r="D421" t="inlineStr">
        <is>
          <t>GOTLANDS LÄN</t>
        </is>
      </c>
      <c r="E421" t="inlineStr">
        <is>
          <t>GOTLAND</t>
        </is>
      </c>
      <c r="G421" t="n">
        <v>5</v>
      </c>
      <c r="H421" t="n">
        <v>0</v>
      </c>
      <c r="I421" t="n">
        <v>0</v>
      </c>
      <c r="J421" t="n">
        <v>0</v>
      </c>
      <c r="K421" t="n">
        <v>0</v>
      </c>
      <c r="L421" t="n">
        <v>0</v>
      </c>
      <c r="M421" t="n">
        <v>0</v>
      </c>
      <c r="N421" t="n">
        <v>0</v>
      </c>
      <c r="O421" t="n">
        <v>0</v>
      </c>
      <c r="P421" t="n">
        <v>0</v>
      </c>
      <c r="Q421" t="n">
        <v>0</v>
      </c>
      <c r="R421" s="2" t="inlineStr"/>
    </row>
    <row r="422" ht="15" customHeight="1">
      <c r="A422" t="inlineStr">
        <is>
          <t>A 6108-2025</t>
        </is>
      </c>
      <c r="B422" s="1" t="n">
        <v>45698.29880787037</v>
      </c>
      <c r="C422" s="1" t="n">
        <v>46093</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21142-2025</t>
        </is>
      </c>
      <c r="B423" s="1" t="n">
        <v>45779</v>
      </c>
      <c r="C423" s="1" t="n">
        <v>46093</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54074-2022</t>
        </is>
      </c>
      <c r="B424" s="1" t="n">
        <v>44881</v>
      </c>
      <c r="C424" s="1" t="n">
        <v>46093</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52249-2025</t>
        </is>
      </c>
      <c r="B425" s="1" t="n">
        <v>45953.48637731482</v>
      </c>
      <c r="C425" s="1" t="n">
        <v>46093</v>
      </c>
      <c r="D425" t="inlineStr">
        <is>
          <t>GOTLANDS LÄN</t>
        </is>
      </c>
      <c r="E425" t="inlineStr">
        <is>
          <t>GOTLAND</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65249-2023</t>
        </is>
      </c>
      <c r="B426" s="1" t="n">
        <v>45290</v>
      </c>
      <c r="C426" s="1" t="n">
        <v>46093</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52637-2025</t>
        </is>
      </c>
      <c r="B427" s="1" t="n">
        <v>45954.75099537037</v>
      </c>
      <c r="C427" s="1" t="n">
        <v>46093</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17343-2025</t>
        </is>
      </c>
      <c r="B428" s="1" t="n">
        <v>45756.6687037037</v>
      </c>
      <c r="C428" s="1" t="n">
        <v>46093</v>
      </c>
      <c r="D428" t="inlineStr">
        <is>
          <t>GOTLANDS LÄN</t>
        </is>
      </c>
      <c r="E428" t="inlineStr">
        <is>
          <t>GOTLAND</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18938-2025</t>
        </is>
      </c>
      <c r="B429" s="1" t="n">
        <v>45764.49172453704</v>
      </c>
      <c r="C429" s="1" t="n">
        <v>46093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1446-2025</t>
        </is>
      </c>
      <c r="B430" s="1" t="n">
        <v>45669.86035879629</v>
      </c>
      <c r="C430" s="1" t="n">
        <v>46093</v>
      </c>
      <c r="D430" t="inlineStr">
        <is>
          <t>GOTLANDS LÄN</t>
        </is>
      </c>
      <c r="E430" t="inlineStr">
        <is>
          <t>GOTLAND</t>
        </is>
      </c>
      <c r="G430" t="n">
        <v>3.1</v>
      </c>
      <c r="H430" t="n">
        <v>0</v>
      </c>
      <c r="I430" t="n">
        <v>0</v>
      </c>
      <c r="J430" t="n">
        <v>0</v>
      </c>
      <c r="K430" t="n">
        <v>0</v>
      </c>
      <c r="L430" t="n">
        <v>0</v>
      </c>
      <c r="M430" t="n">
        <v>0</v>
      </c>
      <c r="N430" t="n">
        <v>0</v>
      </c>
      <c r="O430" t="n">
        <v>0</v>
      </c>
      <c r="P430" t="n">
        <v>0</v>
      </c>
      <c r="Q430" t="n">
        <v>0</v>
      </c>
      <c r="R430" s="2" t="inlineStr"/>
    </row>
    <row r="431" ht="15" customHeight="1">
      <c r="A431" t="inlineStr">
        <is>
          <t>A 13910-2025</t>
        </is>
      </c>
      <c r="B431" s="1" t="n">
        <v>45737</v>
      </c>
      <c r="C431" s="1" t="n">
        <v>46093</v>
      </c>
      <c r="D431" t="inlineStr">
        <is>
          <t>GOTLANDS LÄN</t>
        </is>
      </c>
      <c r="E431" t="inlineStr">
        <is>
          <t>GOTLAND</t>
        </is>
      </c>
      <c r="F431" t="inlineStr">
        <is>
          <t>Kommuner</t>
        </is>
      </c>
      <c r="G431" t="n">
        <v>3.2</v>
      </c>
      <c r="H431" t="n">
        <v>0</v>
      </c>
      <c r="I431" t="n">
        <v>0</v>
      </c>
      <c r="J431" t="n">
        <v>0</v>
      </c>
      <c r="K431" t="n">
        <v>0</v>
      </c>
      <c r="L431" t="n">
        <v>0</v>
      </c>
      <c r="M431" t="n">
        <v>0</v>
      </c>
      <c r="N431" t="n">
        <v>0</v>
      </c>
      <c r="O431" t="n">
        <v>0</v>
      </c>
      <c r="P431" t="n">
        <v>0</v>
      </c>
      <c r="Q431" t="n">
        <v>0</v>
      </c>
      <c r="R431" s="2" t="inlineStr"/>
    </row>
    <row r="432" ht="15" customHeight="1">
      <c r="A432" t="inlineStr">
        <is>
          <t>A 53569-2025</t>
        </is>
      </c>
      <c r="B432" s="1" t="n">
        <v>45960.41155092593</v>
      </c>
      <c r="C432" s="1" t="n">
        <v>46093</v>
      </c>
      <c r="D432" t="inlineStr">
        <is>
          <t>GOTLANDS LÄN</t>
        </is>
      </c>
      <c r="E432" t="inlineStr">
        <is>
          <t>GOTLAND</t>
        </is>
      </c>
      <c r="F432" t="inlineStr">
        <is>
          <t>Övriga Aktiebolag</t>
        </is>
      </c>
      <c r="G432" t="n">
        <v>11.3</v>
      </c>
      <c r="H432" t="n">
        <v>0</v>
      </c>
      <c r="I432" t="n">
        <v>0</v>
      </c>
      <c r="J432" t="n">
        <v>0</v>
      </c>
      <c r="K432" t="n">
        <v>0</v>
      </c>
      <c r="L432" t="n">
        <v>0</v>
      </c>
      <c r="M432" t="n">
        <v>0</v>
      </c>
      <c r="N432" t="n">
        <v>0</v>
      </c>
      <c r="O432" t="n">
        <v>0</v>
      </c>
      <c r="P432" t="n">
        <v>0</v>
      </c>
      <c r="Q432" t="n">
        <v>0</v>
      </c>
      <c r="R432" s="2" t="inlineStr"/>
    </row>
    <row r="433" ht="15" customHeight="1">
      <c r="A433" t="inlineStr">
        <is>
          <t>A 53577-2025</t>
        </is>
      </c>
      <c r="B433" s="1" t="n">
        <v>45960.42224537037</v>
      </c>
      <c r="C433" s="1" t="n">
        <v>46093</v>
      </c>
      <c r="D433" t="inlineStr">
        <is>
          <t>GOTLANDS LÄN</t>
        </is>
      </c>
      <c r="E433" t="inlineStr">
        <is>
          <t>GOTLAND</t>
        </is>
      </c>
      <c r="F433" t="inlineStr">
        <is>
          <t>Övriga Aktiebolag</t>
        </is>
      </c>
      <c r="G433" t="n">
        <v>3.3</v>
      </c>
      <c r="H433" t="n">
        <v>0</v>
      </c>
      <c r="I433" t="n">
        <v>0</v>
      </c>
      <c r="J433" t="n">
        <v>0</v>
      </c>
      <c r="K433" t="n">
        <v>0</v>
      </c>
      <c r="L433" t="n">
        <v>0</v>
      </c>
      <c r="M433" t="n">
        <v>0</v>
      </c>
      <c r="N433" t="n">
        <v>0</v>
      </c>
      <c r="O433" t="n">
        <v>0</v>
      </c>
      <c r="P433" t="n">
        <v>0</v>
      </c>
      <c r="Q433" t="n">
        <v>0</v>
      </c>
      <c r="R433" s="2" t="inlineStr"/>
    </row>
    <row r="434" ht="15" customHeight="1">
      <c r="A434" t="inlineStr">
        <is>
          <t>A 30489-2025</t>
        </is>
      </c>
      <c r="B434" s="1" t="n">
        <v>45830</v>
      </c>
      <c r="C434" s="1" t="n">
        <v>46093</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46093</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43901-2023</t>
        </is>
      </c>
      <c r="B436" s="1" t="n">
        <v>45187</v>
      </c>
      <c r="C436" s="1" t="n">
        <v>46093</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17780-2022</t>
        </is>
      </c>
      <c r="B437" s="1" t="n">
        <v>44682.82622685185</v>
      </c>
      <c r="C437" s="1" t="n">
        <v>46093</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10746-2025</t>
        </is>
      </c>
      <c r="B438" s="1" t="n">
        <v>45722.42766203704</v>
      </c>
      <c r="C438" s="1" t="n">
        <v>46093</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20307-2025</t>
        </is>
      </c>
      <c r="B439" s="1" t="n">
        <v>45774.95546296296</v>
      </c>
      <c r="C439" s="1" t="n">
        <v>46093</v>
      </c>
      <c r="D439" t="inlineStr">
        <is>
          <t>GOTLANDS LÄN</t>
        </is>
      </c>
      <c r="E439" t="inlineStr">
        <is>
          <t>GOTLAND</t>
        </is>
      </c>
      <c r="G439" t="n">
        <v>6.8</v>
      </c>
      <c r="H439" t="n">
        <v>0</v>
      </c>
      <c r="I439" t="n">
        <v>0</v>
      </c>
      <c r="J439" t="n">
        <v>0</v>
      </c>
      <c r="K439" t="n">
        <v>0</v>
      </c>
      <c r="L439" t="n">
        <v>0</v>
      </c>
      <c r="M439" t="n">
        <v>0</v>
      </c>
      <c r="N439" t="n">
        <v>0</v>
      </c>
      <c r="O439" t="n">
        <v>0</v>
      </c>
      <c r="P439" t="n">
        <v>0</v>
      </c>
      <c r="Q439" t="n">
        <v>0</v>
      </c>
      <c r="R439" s="2" t="inlineStr"/>
    </row>
    <row r="440" ht="15" customHeight="1">
      <c r="A440" t="inlineStr">
        <is>
          <t>A 16501-2023</t>
        </is>
      </c>
      <c r="B440" s="1" t="n">
        <v>45029</v>
      </c>
      <c r="C440" s="1" t="n">
        <v>46093</v>
      </c>
      <c r="D440" t="inlineStr">
        <is>
          <t>GOTLANDS LÄN</t>
        </is>
      </c>
      <c r="E440" t="inlineStr">
        <is>
          <t>GOTLAND</t>
        </is>
      </c>
      <c r="G440" t="n">
        <v>3.1</v>
      </c>
      <c r="H440" t="n">
        <v>0</v>
      </c>
      <c r="I440" t="n">
        <v>0</v>
      </c>
      <c r="J440" t="n">
        <v>0</v>
      </c>
      <c r="K440" t="n">
        <v>0</v>
      </c>
      <c r="L440" t="n">
        <v>0</v>
      </c>
      <c r="M440" t="n">
        <v>0</v>
      </c>
      <c r="N440" t="n">
        <v>0</v>
      </c>
      <c r="O440" t="n">
        <v>0</v>
      </c>
      <c r="P440" t="n">
        <v>0</v>
      </c>
      <c r="Q440" t="n">
        <v>0</v>
      </c>
      <c r="R440" s="2" t="inlineStr"/>
    </row>
    <row r="441" ht="15" customHeight="1">
      <c r="A441" t="inlineStr">
        <is>
          <t>A 59986-2022</t>
        </is>
      </c>
      <c r="B441" s="1" t="n">
        <v>44909</v>
      </c>
      <c r="C441" s="1" t="n">
        <v>46093</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14536-2021</t>
        </is>
      </c>
      <c r="B442" s="1" t="n">
        <v>44279.66168981481</v>
      </c>
      <c r="C442" s="1" t="n">
        <v>46093</v>
      </c>
      <c r="D442" t="inlineStr">
        <is>
          <t>GOTLANDS LÄN</t>
        </is>
      </c>
      <c r="E442" t="inlineStr">
        <is>
          <t>GOTLAND</t>
        </is>
      </c>
      <c r="G442" t="n">
        <v>8.5</v>
      </c>
      <c r="H442" t="n">
        <v>0</v>
      </c>
      <c r="I442" t="n">
        <v>0</v>
      </c>
      <c r="J442" t="n">
        <v>0</v>
      </c>
      <c r="K442" t="n">
        <v>0</v>
      </c>
      <c r="L442" t="n">
        <v>0</v>
      </c>
      <c r="M442" t="n">
        <v>0</v>
      </c>
      <c r="N442" t="n">
        <v>0</v>
      </c>
      <c r="O442" t="n">
        <v>0</v>
      </c>
      <c r="P442" t="n">
        <v>0</v>
      </c>
      <c r="Q442" t="n">
        <v>0</v>
      </c>
      <c r="R442" s="2" t="inlineStr"/>
    </row>
    <row r="443" ht="15" customHeight="1">
      <c r="A443" t="inlineStr">
        <is>
          <t>A 27930-2021</t>
        </is>
      </c>
      <c r="B443" s="1" t="n">
        <v>44354</v>
      </c>
      <c r="C443" s="1" t="n">
        <v>46093</v>
      </c>
      <c r="D443" t="inlineStr">
        <is>
          <t>GOTLANDS LÄN</t>
        </is>
      </c>
      <c r="E443" t="inlineStr">
        <is>
          <t>GOTLAND</t>
        </is>
      </c>
      <c r="G443" t="n">
        <v>2.5</v>
      </c>
      <c r="H443" t="n">
        <v>0</v>
      </c>
      <c r="I443" t="n">
        <v>0</v>
      </c>
      <c r="J443" t="n">
        <v>0</v>
      </c>
      <c r="K443" t="n">
        <v>0</v>
      </c>
      <c r="L443" t="n">
        <v>0</v>
      </c>
      <c r="M443" t="n">
        <v>0</v>
      </c>
      <c r="N443" t="n">
        <v>0</v>
      </c>
      <c r="O443" t="n">
        <v>0</v>
      </c>
      <c r="P443" t="n">
        <v>0</v>
      </c>
      <c r="Q443" t="n">
        <v>0</v>
      </c>
      <c r="R443" s="2" t="inlineStr"/>
    </row>
    <row r="444" ht="15" customHeight="1">
      <c r="A444" t="inlineStr">
        <is>
          <t>A 61962-2024</t>
        </is>
      </c>
      <c r="B444" s="1" t="n">
        <v>45653.54340277778</v>
      </c>
      <c r="C444" s="1" t="n">
        <v>46093</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10492-2023</t>
        </is>
      </c>
      <c r="B445" s="1" t="n">
        <v>44987</v>
      </c>
      <c r="C445" s="1" t="n">
        <v>46093</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11874-2024</t>
        </is>
      </c>
      <c r="B446" s="1" t="n">
        <v>45376.46956018519</v>
      </c>
      <c r="C446" s="1" t="n">
        <v>46093</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5909-2025</t>
        </is>
      </c>
      <c r="B447" s="1" t="n">
        <v>45695.40634259259</v>
      </c>
      <c r="C447" s="1" t="n">
        <v>46093</v>
      </c>
      <c r="D447" t="inlineStr">
        <is>
          <t>GOTLANDS LÄN</t>
        </is>
      </c>
      <c r="E447" t="inlineStr">
        <is>
          <t>GOTLAND</t>
        </is>
      </c>
      <c r="G447" t="n">
        <v>2.9</v>
      </c>
      <c r="H447" t="n">
        <v>0</v>
      </c>
      <c r="I447" t="n">
        <v>0</v>
      </c>
      <c r="J447" t="n">
        <v>0</v>
      </c>
      <c r="K447" t="n">
        <v>0</v>
      </c>
      <c r="L447" t="n">
        <v>0</v>
      </c>
      <c r="M447" t="n">
        <v>0</v>
      </c>
      <c r="N447" t="n">
        <v>0</v>
      </c>
      <c r="O447" t="n">
        <v>0</v>
      </c>
      <c r="P447" t="n">
        <v>0</v>
      </c>
      <c r="Q447" t="n">
        <v>0</v>
      </c>
      <c r="R447" s="2" t="inlineStr"/>
    </row>
    <row r="448" ht="15" customHeight="1">
      <c r="A448" t="inlineStr">
        <is>
          <t>A 10653-2023</t>
        </is>
      </c>
      <c r="B448" s="1" t="n">
        <v>44988.48859953704</v>
      </c>
      <c r="C448" s="1" t="n">
        <v>46093</v>
      </c>
      <c r="D448" t="inlineStr">
        <is>
          <t>GOTLANDS LÄN</t>
        </is>
      </c>
      <c r="E448" t="inlineStr">
        <is>
          <t>GOTLAND</t>
        </is>
      </c>
      <c r="F448" t="inlineStr">
        <is>
          <t>Kyrkan</t>
        </is>
      </c>
      <c r="G448" t="n">
        <v>3</v>
      </c>
      <c r="H448" t="n">
        <v>0</v>
      </c>
      <c r="I448" t="n">
        <v>0</v>
      </c>
      <c r="J448" t="n">
        <v>0</v>
      </c>
      <c r="K448" t="n">
        <v>0</v>
      </c>
      <c r="L448" t="n">
        <v>0</v>
      </c>
      <c r="M448" t="n">
        <v>0</v>
      </c>
      <c r="N448" t="n">
        <v>0</v>
      </c>
      <c r="O448" t="n">
        <v>0</v>
      </c>
      <c r="P448" t="n">
        <v>0</v>
      </c>
      <c r="Q448" t="n">
        <v>0</v>
      </c>
      <c r="R448" s="2" t="inlineStr"/>
    </row>
    <row r="449" ht="15" customHeight="1">
      <c r="A449" t="inlineStr">
        <is>
          <t>A 42041-2024</t>
        </is>
      </c>
      <c r="B449" s="1" t="n">
        <v>45561</v>
      </c>
      <c r="C449" s="1" t="n">
        <v>46093</v>
      </c>
      <c r="D449" t="inlineStr">
        <is>
          <t>GOTLANDS LÄN</t>
        </is>
      </c>
      <c r="E449" t="inlineStr">
        <is>
          <t>GOTLAND</t>
        </is>
      </c>
      <c r="G449" t="n">
        <v>3.2</v>
      </c>
      <c r="H449" t="n">
        <v>0</v>
      </c>
      <c r="I449" t="n">
        <v>0</v>
      </c>
      <c r="J449" t="n">
        <v>0</v>
      </c>
      <c r="K449" t="n">
        <v>0</v>
      </c>
      <c r="L449" t="n">
        <v>0</v>
      </c>
      <c r="M449" t="n">
        <v>0</v>
      </c>
      <c r="N449" t="n">
        <v>0</v>
      </c>
      <c r="O449" t="n">
        <v>0</v>
      </c>
      <c r="P449" t="n">
        <v>0</v>
      </c>
      <c r="Q449" t="n">
        <v>0</v>
      </c>
      <c r="R449" s="2" t="inlineStr"/>
    </row>
    <row r="450" ht="15" customHeight="1">
      <c r="A450" t="inlineStr">
        <is>
          <t>A 61694-2023</t>
        </is>
      </c>
      <c r="B450" s="1" t="n">
        <v>45264</v>
      </c>
      <c r="C450" s="1" t="n">
        <v>46093</v>
      </c>
      <c r="D450" t="inlineStr">
        <is>
          <t>GOTLANDS LÄN</t>
        </is>
      </c>
      <c r="E450" t="inlineStr">
        <is>
          <t>GOTLAND</t>
        </is>
      </c>
      <c r="G450" t="n">
        <v>4.6</v>
      </c>
      <c r="H450" t="n">
        <v>0</v>
      </c>
      <c r="I450" t="n">
        <v>0</v>
      </c>
      <c r="J450" t="n">
        <v>0</v>
      </c>
      <c r="K450" t="n">
        <v>0</v>
      </c>
      <c r="L450" t="n">
        <v>0</v>
      </c>
      <c r="M450" t="n">
        <v>0</v>
      </c>
      <c r="N450" t="n">
        <v>0</v>
      </c>
      <c r="O450" t="n">
        <v>0</v>
      </c>
      <c r="P450" t="n">
        <v>0</v>
      </c>
      <c r="Q450" t="n">
        <v>0</v>
      </c>
      <c r="R450" s="2" t="inlineStr"/>
    </row>
    <row r="451" ht="15" customHeight="1">
      <c r="A451" t="inlineStr">
        <is>
          <t>A 4990-2025</t>
        </is>
      </c>
      <c r="B451" s="1" t="n">
        <v>45691</v>
      </c>
      <c r="C451" s="1" t="n">
        <v>46093</v>
      </c>
      <c r="D451" t="inlineStr">
        <is>
          <t>GOTLANDS LÄN</t>
        </is>
      </c>
      <c r="E451" t="inlineStr">
        <is>
          <t>GOTLAND</t>
        </is>
      </c>
      <c r="G451" t="n">
        <v>7.7</v>
      </c>
      <c r="H451" t="n">
        <v>0</v>
      </c>
      <c r="I451" t="n">
        <v>0</v>
      </c>
      <c r="J451" t="n">
        <v>0</v>
      </c>
      <c r="K451" t="n">
        <v>0</v>
      </c>
      <c r="L451" t="n">
        <v>0</v>
      </c>
      <c r="M451" t="n">
        <v>0</v>
      </c>
      <c r="N451" t="n">
        <v>0</v>
      </c>
      <c r="O451" t="n">
        <v>0</v>
      </c>
      <c r="P451" t="n">
        <v>0</v>
      </c>
      <c r="Q451" t="n">
        <v>0</v>
      </c>
      <c r="R451" s="2" t="inlineStr"/>
    </row>
    <row r="452" ht="15" customHeight="1">
      <c r="A452" t="inlineStr">
        <is>
          <t>A 64555-2023</t>
        </is>
      </c>
      <c r="B452" s="1" t="n">
        <v>45281</v>
      </c>
      <c r="C452" s="1" t="n">
        <v>46093</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64831-2023</t>
        </is>
      </c>
      <c r="B453" s="1" t="n">
        <v>45282.44924768519</v>
      </c>
      <c r="C453" s="1" t="n">
        <v>46093</v>
      </c>
      <c r="D453" t="inlineStr">
        <is>
          <t>GOTLANDS LÄN</t>
        </is>
      </c>
      <c r="E453" t="inlineStr">
        <is>
          <t>GOTLAND</t>
        </is>
      </c>
      <c r="G453" t="n">
        <v>1.9</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46093</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46093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14804-2021</t>
        </is>
      </c>
      <c r="B456" s="1" t="n">
        <v>44280</v>
      </c>
      <c r="C456" s="1" t="n">
        <v>46093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999-2023</t>
        </is>
      </c>
      <c r="B457" s="1" t="n">
        <v>44935</v>
      </c>
      <c r="C457" s="1" t="n">
        <v>46093</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5884-2025</t>
        </is>
      </c>
      <c r="B458" s="1" t="n">
        <v>45695.37482638889</v>
      </c>
      <c r="C458" s="1" t="n">
        <v>46093</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5897-2025</t>
        </is>
      </c>
      <c r="B459" s="1" t="n">
        <v>45695.39273148148</v>
      </c>
      <c r="C459" s="1" t="n">
        <v>46093</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27602-2023</t>
        </is>
      </c>
      <c r="B460" s="1" t="n">
        <v>45097</v>
      </c>
      <c r="C460" s="1" t="n">
        <v>46093</v>
      </c>
      <c r="D460" t="inlineStr">
        <is>
          <t>GOTLANDS LÄN</t>
        </is>
      </c>
      <c r="E460" t="inlineStr">
        <is>
          <t>GOTLAND</t>
        </is>
      </c>
      <c r="G460" t="n">
        <v>2.7</v>
      </c>
      <c r="H460" t="n">
        <v>0</v>
      </c>
      <c r="I460" t="n">
        <v>0</v>
      </c>
      <c r="J460" t="n">
        <v>0</v>
      </c>
      <c r="K460" t="n">
        <v>0</v>
      </c>
      <c r="L460" t="n">
        <v>0</v>
      </c>
      <c r="M460" t="n">
        <v>0</v>
      </c>
      <c r="N460" t="n">
        <v>0</v>
      </c>
      <c r="O460" t="n">
        <v>0</v>
      </c>
      <c r="P460" t="n">
        <v>0</v>
      </c>
      <c r="Q460" t="n">
        <v>0</v>
      </c>
      <c r="R460" s="2" t="inlineStr"/>
    </row>
    <row r="461" ht="15" customHeight="1">
      <c r="A461" t="inlineStr">
        <is>
          <t>A 49693-2023</t>
        </is>
      </c>
      <c r="B461" s="1" t="n">
        <v>45212.38138888889</v>
      </c>
      <c r="C461" s="1" t="n">
        <v>46093</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49697-2023</t>
        </is>
      </c>
      <c r="B462" s="1" t="n">
        <v>45212.38909722222</v>
      </c>
      <c r="C462" s="1" t="n">
        <v>46093</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56799-2025</t>
        </is>
      </c>
      <c r="B463" s="1" t="n">
        <v>45978.43392361111</v>
      </c>
      <c r="C463" s="1" t="n">
        <v>46093</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56688-2025</t>
        </is>
      </c>
      <c r="B464" s="1" t="n">
        <v>45975.84331018518</v>
      </c>
      <c r="C464" s="1" t="n">
        <v>46093</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17901-2023</t>
        </is>
      </c>
      <c r="B465" s="1" t="n">
        <v>45039</v>
      </c>
      <c r="C465" s="1" t="n">
        <v>46093</v>
      </c>
      <c r="D465" t="inlineStr">
        <is>
          <t>GOTLANDS LÄN</t>
        </is>
      </c>
      <c r="E465" t="inlineStr">
        <is>
          <t>GOTLAND</t>
        </is>
      </c>
      <c r="F465" t="inlineStr">
        <is>
          <t>Kyrkan</t>
        </is>
      </c>
      <c r="G465" t="n">
        <v>0.6</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44467.49048611111</v>
      </c>
      <c r="C466" s="1" t="n">
        <v>46093</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4377-2023</t>
        </is>
      </c>
      <c r="B467" s="1" t="n">
        <v>44955.5502662037</v>
      </c>
      <c r="C467" s="1" t="n">
        <v>46093</v>
      </c>
      <c r="D467" t="inlineStr">
        <is>
          <t>GOTLANDS LÄN</t>
        </is>
      </c>
      <c r="E467" t="inlineStr">
        <is>
          <t>GOTLAND</t>
        </is>
      </c>
      <c r="F467" t="inlineStr">
        <is>
          <t>Kyrkan</t>
        </is>
      </c>
      <c r="G467" t="n">
        <v>0.6</v>
      </c>
      <c r="H467" t="n">
        <v>0</v>
      </c>
      <c r="I467" t="n">
        <v>0</v>
      </c>
      <c r="J467" t="n">
        <v>0</v>
      </c>
      <c r="K467" t="n">
        <v>0</v>
      </c>
      <c r="L467" t="n">
        <v>0</v>
      </c>
      <c r="M467" t="n">
        <v>0</v>
      </c>
      <c r="N467" t="n">
        <v>0</v>
      </c>
      <c r="O467" t="n">
        <v>0</v>
      </c>
      <c r="P467" t="n">
        <v>0</v>
      </c>
      <c r="Q467" t="n">
        <v>0</v>
      </c>
      <c r="R467" s="2" t="inlineStr"/>
    </row>
    <row r="468" ht="15" customHeight="1">
      <c r="A468" t="inlineStr">
        <is>
          <t>A 4387-2023</t>
        </is>
      </c>
      <c r="B468" s="1" t="n">
        <v>44955.73359953704</v>
      </c>
      <c r="C468" s="1" t="n">
        <v>46093</v>
      </c>
      <c r="D468" t="inlineStr">
        <is>
          <t>GOTLANDS LÄN</t>
        </is>
      </c>
      <c r="E468" t="inlineStr">
        <is>
          <t>GOTLAND</t>
        </is>
      </c>
      <c r="G468" t="n">
        <v>1.9</v>
      </c>
      <c r="H468" t="n">
        <v>0</v>
      </c>
      <c r="I468" t="n">
        <v>0</v>
      </c>
      <c r="J468" t="n">
        <v>0</v>
      </c>
      <c r="K468" t="n">
        <v>0</v>
      </c>
      <c r="L468" t="n">
        <v>0</v>
      </c>
      <c r="M468" t="n">
        <v>0</v>
      </c>
      <c r="N468" t="n">
        <v>0</v>
      </c>
      <c r="O468" t="n">
        <v>0</v>
      </c>
      <c r="P468" t="n">
        <v>0</v>
      </c>
      <c r="Q468" t="n">
        <v>0</v>
      </c>
      <c r="R468" s="2" t="inlineStr"/>
    </row>
    <row r="469" ht="15" customHeight="1">
      <c r="A469" t="inlineStr">
        <is>
          <t>A 39479-2022</t>
        </is>
      </c>
      <c r="B469" s="1" t="n">
        <v>44818</v>
      </c>
      <c r="C469" s="1" t="n">
        <v>46093</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46396-2023</t>
        </is>
      </c>
      <c r="B470" s="1" t="n">
        <v>45197</v>
      </c>
      <c r="C470" s="1" t="n">
        <v>46093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51963-2024</t>
        </is>
      </c>
      <c r="B471" s="1" t="n">
        <v>45607.64833333333</v>
      </c>
      <c r="C471" s="1" t="n">
        <v>46093</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811-2023</t>
        </is>
      </c>
      <c r="B472" s="1" t="n">
        <v>44931</v>
      </c>
      <c r="C472" s="1" t="n">
        <v>46093</v>
      </c>
      <c r="D472" t="inlineStr">
        <is>
          <t>GOTLANDS LÄN</t>
        </is>
      </c>
      <c r="E472" t="inlineStr">
        <is>
          <t>GOTLAND</t>
        </is>
      </c>
      <c r="G472" t="n">
        <v>0.6</v>
      </c>
      <c r="H472" t="n">
        <v>0</v>
      </c>
      <c r="I472" t="n">
        <v>0</v>
      </c>
      <c r="J472" t="n">
        <v>0</v>
      </c>
      <c r="K472" t="n">
        <v>0</v>
      </c>
      <c r="L472" t="n">
        <v>0</v>
      </c>
      <c r="M472" t="n">
        <v>0</v>
      </c>
      <c r="N472" t="n">
        <v>0</v>
      </c>
      <c r="O472" t="n">
        <v>0</v>
      </c>
      <c r="P472" t="n">
        <v>0</v>
      </c>
      <c r="Q472" t="n">
        <v>0</v>
      </c>
      <c r="R472" s="2" t="inlineStr"/>
    </row>
    <row r="473" ht="15" customHeight="1">
      <c r="A473" t="inlineStr">
        <is>
          <t>A 17724-2024</t>
        </is>
      </c>
      <c r="B473" s="1" t="n">
        <v>45418.55096064815</v>
      </c>
      <c r="C473" s="1" t="n">
        <v>46093</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46093</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34312-2024</t>
        </is>
      </c>
      <c r="B475" s="1" t="n">
        <v>45524.69703703704</v>
      </c>
      <c r="C475" s="1" t="n">
        <v>46093</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26810-2021</t>
        </is>
      </c>
      <c r="B476" s="1" t="n">
        <v>44349.55087962963</v>
      </c>
      <c r="C476" s="1" t="n">
        <v>46093</v>
      </c>
      <c r="D476" t="inlineStr">
        <is>
          <t>GOTLANDS LÄN</t>
        </is>
      </c>
      <c r="E476" t="inlineStr">
        <is>
          <t>GOTLAND</t>
        </is>
      </c>
      <c r="G476" t="n">
        <v>3.5</v>
      </c>
      <c r="H476" t="n">
        <v>0</v>
      </c>
      <c r="I476" t="n">
        <v>0</v>
      </c>
      <c r="J476" t="n">
        <v>0</v>
      </c>
      <c r="K476" t="n">
        <v>0</v>
      </c>
      <c r="L476" t="n">
        <v>0</v>
      </c>
      <c r="M476" t="n">
        <v>0</v>
      </c>
      <c r="N476" t="n">
        <v>0</v>
      </c>
      <c r="O476" t="n">
        <v>0</v>
      </c>
      <c r="P476" t="n">
        <v>0</v>
      </c>
      <c r="Q476" t="n">
        <v>0</v>
      </c>
      <c r="R476" s="2" t="inlineStr"/>
    </row>
    <row r="477" ht="15" customHeight="1">
      <c r="A477" t="inlineStr">
        <is>
          <t>A 5923-2023</t>
        </is>
      </c>
      <c r="B477" s="1" t="n">
        <v>44963.69503472222</v>
      </c>
      <c r="C477" s="1" t="n">
        <v>46093</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33853-2024</t>
        </is>
      </c>
      <c r="B478" s="1" t="n">
        <v>45520.64298611111</v>
      </c>
      <c r="C478" s="1" t="n">
        <v>46093</v>
      </c>
      <c r="D478" t="inlineStr">
        <is>
          <t>GOTLANDS LÄN</t>
        </is>
      </c>
      <c r="E478" t="inlineStr">
        <is>
          <t>GOTLAND</t>
        </is>
      </c>
      <c r="G478" t="n">
        <v>3.9</v>
      </c>
      <c r="H478" t="n">
        <v>0</v>
      </c>
      <c r="I478" t="n">
        <v>0</v>
      </c>
      <c r="J478" t="n">
        <v>0</v>
      </c>
      <c r="K478" t="n">
        <v>0</v>
      </c>
      <c r="L478" t="n">
        <v>0</v>
      </c>
      <c r="M478" t="n">
        <v>0</v>
      </c>
      <c r="N478" t="n">
        <v>0</v>
      </c>
      <c r="O478" t="n">
        <v>0</v>
      </c>
      <c r="P478" t="n">
        <v>0</v>
      </c>
      <c r="Q478" t="n">
        <v>0</v>
      </c>
      <c r="R478" s="2" t="inlineStr"/>
    </row>
    <row r="479" ht="15" customHeight="1">
      <c r="A479" t="inlineStr">
        <is>
          <t>A 18918-2025</t>
        </is>
      </c>
      <c r="B479" s="1" t="n">
        <v>45764</v>
      </c>
      <c r="C479" s="1" t="n">
        <v>46093</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2674-2023</t>
        </is>
      </c>
      <c r="B480" s="1" t="n">
        <v>44944</v>
      </c>
      <c r="C480" s="1" t="n">
        <v>46093</v>
      </c>
      <c r="D480" t="inlineStr">
        <is>
          <t>GOTLANDS LÄN</t>
        </is>
      </c>
      <c r="E480" t="inlineStr">
        <is>
          <t>GOTLAND</t>
        </is>
      </c>
      <c r="G480" t="n">
        <v>2.5</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46093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7638-2025</t>
        </is>
      </c>
      <c r="B482" s="1" t="n">
        <v>45705.77306712963</v>
      </c>
      <c r="C482" s="1" t="n">
        <v>46093</v>
      </c>
      <c r="D482" t="inlineStr">
        <is>
          <t>GOTLANDS LÄN</t>
        </is>
      </c>
      <c r="E482" t="inlineStr">
        <is>
          <t>GOTLAND</t>
        </is>
      </c>
      <c r="G482" t="n">
        <v>2.2</v>
      </c>
      <c r="H482" t="n">
        <v>0</v>
      </c>
      <c r="I482" t="n">
        <v>0</v>
      </c>
      <c r="J482" t="n">
        <v>0</v>
      </c>
      <c r="K482" t="n">
        <v>0</v>
      </c>
      <c r="L482" t="n">
        <v>0</v>
      </c>
      <c r="M482" t="n">
        <v>0</v>
      </c>
      <c r="N482" t="n">
        <v>0</v>
      </c>
      <c r="O482" t="n">
        <v>0</v>
      </c>
      <c r="P482" t="n">
        <v>0</v>
      </c>
      <c r="Q482" t="n">
        <v>0</v>
      </c>
      <c r="R482" s="2" t="inlineStr"/>
    </row>
    <row r="483" ht="15" customHeight="1">
      <c r="A483" t="inlineStr">
        <is>
          <t>A 10655-2023</t>
        </is>
      </c>
      <c r="B483" s="1" t="n">
        <v>44988.49543981482</v>
      </c>
      <c r="C483" s="1" t="n">
        <v>46093</v>
      </c>
      <c r="D483" t="inlineStr">
        <is>
          <t>GOTLANDS LÄN</t>
        </is>
      </c>
      <c r="E483" t="inlineStr">
        <is>
          <t>GOTLAND</t>
        </is>
      </c>
      <c r="F483" t="inlineStr">
        <is>
          <t>Kyrkan</t>
        </is>
      </c>
      <c r="G483" t="n">
        <v>2</v>
      </c>
      <c r="H483" t="n">
        <v>0</v>
      </c>
      <c r="I483" t="n">
        <v>0</v>
      </c>
      <c r="J483" t="n">
        <v>0</v>
      </c>
      <c r="K483" t="n">
        <v>0</v>
      </c>
      <c r="L483" t="n">
        <v>0</v>
      </c>
      <c r="M483" t="n">
        <v>0</v>
      </c>
      <c r="N483" t="n">
        <v>0</v>
      </c>
      <c r="O483" t="n">
        <v>0</v>
      </c>
      <c r="P483" t="n">
        <v>0</v>
      </c>
      <c r="Q483" t="n">
        <v>0</v>
      </c>
      <c r="R483" s="2" t="inlineStr"/>
    </row>
    <row r="484" ht="15" customHeight="1">
      <c r="A484" t="inlineStr">
        <is>
          <t>A 50482-2024</t>
        </is>
      </c>
      <c r="B484" s="1" t="n">
        <v>45601.48114583334</v>
      </c>
      <c r="C484" s="1" t="n">
        <v>46093</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46093</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1394-2023</t>
        </is>
      </c>
      <c r="B486" s="1" t="n">
        <v>44936.72997685185</v>
      </c>
      <c r="C486" s="1" t="n">
        <v>46093</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26891-2024</t>
        </is>
      </c>
      <c r="B487" s="1" t="n">
        <v>45470.65540509259</v>
      </c>
      <c r="C487" s="1" t="n">
        <v>46093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42007-2023</t>
        </is>
      </c>
      <c r="B488" s="1" t="n">
        <v>45177</v>
      </c>
      <c r="C488" s="1" t="n">
        <v>46093</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9887-2025</t>
        </is>
      </c>
      <c r="B489" s="1" t="n">
        <v>45716</v>
      </c>
      <c r="C489" s="1" t="n">
        <v>46093</v>
      </c>
      <c r="D489" t="inlineStr">
        <is>
          <t>GOTLANDS LÄN</t>
        </is>
      </c>
      <c r="E489" t="inlineStr">
        <is>
          <t>GOTLAND</t>
        </is>
      </c>
      <c r="G489" t="n">
        <v>7.5</v>
      </c>
      <c r="H489" t="n">
        <v>0</v>
      </c>
      <c r="I489" t="n">
        <v>0</v>
      </c>
      <c r="J489" t="n">
        <v>0</v>
      </c>
      <c r="K489" t="n">
        <v>0</v>
      </c>
      <c r="L489" t="n">
        <v>0</v>
      </c>
      <c r="M489" t="n">
        <v>0</v>
      </c>
      <c r="N489" t="n">
        <v>0</v>
      </c>
      <c r="O489" t="n">
        <v>0</v>
      </c>
      <c r="P489" t="n">
        <v>0</v>
      </c>
      <c r="Q489" t="n">
        <v>0</v>
      </c>
      <c r="R489" s="2" t="inlineStr"/>
    </row>
    <row r="490" ht="15" customHeight="1">
      <c r="A490" t="inlineStr">
        <is>
          <t>A 58230-2024</t>
        </is>
      </c>
      <c r="B490" s="1" t="n">
        <v>45632.51625</v>
      </c>
      <c r="C490" s="1" t="n">
        <v>46093</v>
      </c>
      <c r="D490" t="inlineStr">
        <is>
          <t>GOTLANDS LÄN</t>
        </is>
      </c>
      <c r="E490" t="inlineStr">
        <is>
          <t>GOTLAND</t>
        </is>
      </c>
      <c r="G490" t="n">
        <v>7.3</v>
      </c>
      <c r="H490" t="n">
        <v>0</v>
      </c>
      <c r="I490" t="n">
        <v>0</v>
      </c>
      <c r="J490" t="n">
        <v>0</v>
      </c>
      <c r="K490" t="n">
        <v>0</v>
      </c>
      <c r="L490" t="n">
        <v>0</v>
      </c>
      <c r="M490" t="n">
        <v>0</v>
      </c>
      <c r="N490" t="n">
        <v>0</v>
      </c>
      <c r="O490" t="n">
        <v>0</v>
      </c>
      <c r="P490" t="n">
        <v>0</v>
      </c>
      <c r="Q490" t="n">
        <v>0</v>
      </c>
      <c r="R490" s="2" t="inlineStr"/>
    </row>
    <row r="491" ht="15" customHeight="1">
      <c r="A491" t="inlineStr">
        <is>
          <t>A 1462-2025</t>
        </is>
      </c>
      <c r="B491" s="1" t="n">
        <v>45670.36319444444</v>
      </c>
      <c r="C491" s="1" t="n">
        <v>46093</v>
      </c>
      <c r="D491" t="inlineStr">
        <is>
          <t>GOTLANDS LÄN</t>
        </is>
      </c>
      <c r="E491" t="inlineStr">
        <is>
          <t>GOTLAND</t>
        </is>
      </c>
      <c r="G491" t="n">
        <v>2.8</v>
      </c>
      <c r="H491" t="n">
        <v>0</v>
      </c>
      <c r="I491" t="n">
        <v>0</v>
      </c>
      <c r="J491" t="n">
        <v>0</v>
      </c>
      <c r="K491" t="n">
        <v>0</v>
      </c>
      <c r="L491" t="n">
        <v>0</v>
      </c>
      <c r="M491" t="n">
        <v>0</v>
      </c>
      <c r="N491" t="n">
        <v>0</v>
      </c>
      <c r="O491" t="n">
        <v>0</v>
      </c>
      <c r="P491" t="n">
        <v>0</v>
      </c>
      <c r="Q491" t="n">
        <v>0</v>
      </c>
      <c r="R491" s="2" t="inlineStr"/>
    </row>
    <row r="492" ht="15" customHeight="1">
      <c r="A492" t="inlineStr">
        <is>
          <t>A 59197-2025</t>
        </is>
      </c>
      <c r="B492" s="1" t="n">
        <v>45988.59846064815</v>
      </c>
      <c r="C492" s="1" t="n">
        <v>46093</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38165-2023</t>
        </is>
      </c>
      <c r="B493" s="1" t="n">
        <v>45161</v>
      </c>
      <c r="C493" s="1" t="n">
        <v>46093</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27596-2023</t>
        </is>
      </c>
      <c r="B494" s="1" t="n">
        <v>45097</v>
      </c>
      <c r="C494" s="1" t="n">
        <v>46093</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25129-2023</t>
        </is>
      </c>
      <c r="B495" s="1" t="n">
        <v>45086.44261574074</v>
      </c>
      <c r="C495" s="1" t="n">
        <v>46093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24192-2023</t>
        </is>
      </c>
      <c r="B496" s="1" t="n">
        <v>45079</v>
      </c>
      <c r="C496" s="1" t="n">
        <v>46093</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24825-2024</t>
        </is>
      </c>
      <c r="B497" s="1" t="n">
        <v>45461</v>
      </c>
      <c r="C497" s="1" t="n">
        <v>46093</v>
      </c>
      <c r="D497" t="inlineStr">
        <is>
          <t>GOTLANDS LÄN</t>
        </is>
      </c>
      <c r="E497" t="inlineStr">
        <is>
          <t>GOTLAND</t>
        </is>
      </c>
      <c r="G497" t="n">
        <v>1.3</v>
      </c>
      <c r="H497" t="n">
        <v>0</v>
      </c>
      <c r="I497" t="n">
        <v>0</v>
      </c>
      <c r="J497" t="n">
        <v>0</v>
      </c>
      <c r="K497" t="n">
        <v>0</v>
      </c>
      <c r="L497" t="n">
        <v>0</v>
      </c>
      <c r="M497" t="n">
        <v>0</v>
      </c>
      <c r="N497" t="n">
        <v>0</v>
      </c>
      <c r="O497" t="n">
        <v>0</v>
      </c>
      <c r="P497" t="n">
        <v>0</v>
      </c>
      <c r="Q497" t="n">
        <v>0</v>
      </c>
      <c r="R497" s="2" t="inlineStr"/>
    </row>
    <row r="498" ht="15" customHeight="1">
      <c r="A498" t="inlineStr">
        <is>
          <t>A 6696-2023</t>
        </is>
      </c>
      <c r="B498" s="1" t="n">
        <v>44966.66425925926</v>
      </c>
      <c r="C498" s="1" t="n">
        <v>46093</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44705.38832175926</v>
      </c>
      <c r="C499" s="1" t="n">
        <v>46093</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456-2023</t>
        </is>
      </c>
      <c r="B500" s="1" t="n">
        <v>44929.87122685185</v>
      </c>
      <c r="C500" s="1" t="n">
        <v>46093</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2714-2023</t>
        </is>
      </c>
      <c r="B501" s="1" t="n">
        <v>44944.54896990741</v>
      </c>
      <c r="C501" s="1" t="n">
        <v>46093</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5386-2023</t>
        </is>
      </c>
      <c r="B502" s="1" t="n">
        <v>44959</v>
      </c>
      <c r="C502" s="1" t="n">
        <v>46093</v>
      </c>
      <c r="D502" t="inlineStr">
        <is>
          <t>GOTLANDS LÄN</t>
        </is>
      </c>
      <c r="E502" t="inlineStr">
        <is>
          <t>GOTLAND</t>
        </is>
      </c>
      <c r="G502" t="n">
        <v>5.4</v>
      </c>
      <c r="H502" t="n">
        <v>0</v>
      </c>
      <c r="I502" t="n">
        <v>0</v>
      </c>
      <c r="J502" t="n">
        <v>0</v>
      </c>
      <c r="K502" t="n">
        <v>0</v>
      </c>
      <c r="L502" t="n">
        <v>0</v>
      </c>
      <c r="M502" t="n">
        <v>0</v>
      </c>
      <c r="N502" t="n">
        <v>0</v>
      </c>
      <c r="O502" t="n">
        <v>0</v>
      </c>
      <c r="P502" t="n">
        <v>0</v>
      </c>
      <c r="Q502" t="n">
        <v>0</v>
      </c>
      <c r="R502" s="2" t="inlineStr"/>
    </row>
    <row r="503" ht="15" customHeight="1">
      <c r="A503" t="inlineStr">
        <is>
          <t>A 4421-2024</t>
        </is>
      </c>
      <c r="B503" s="1" t="n">
        <v>45327.45173611111</v>
      </c>
      <c r="C503" s="1" t="n">
        <v>46093</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7026-2023</t>
        </is>
      </c>
      <c r="B504" s="1" t="n">
        <v>44968.30340277778</v>
      </c>
      <c r="C504" s="1" t="n">
        <v>46093</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20855-2023</t>
        </is>
      </c>
      <c r="B505" s="1" t="n">
        <v>45058.82172453704</v>
      </c>
      <c r="C505" s="1" t="n">
        <v>46093</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36319-2025</t>
        </is>
      </c>
      <c r="B506" s="1" t="n">
        <v>45868</v>
      </c>
      <c r="C506" s="1" t="n">
        <v>46093</v>
      </c>
      <c r="D506" t="inlineStr">
        <is>
          <t>GOTLANDS LÄN</t>
        </is>
      </c>
      <c r="E506" t="inlineStr">
        <is>
          <t>GOTLAND</t>
        </is>
      </c>
      <c r="G506" t="n">
        <v>2.9</v>
      </c>
      <c r="H506" t="n">
        <v>0</v>
      </c>
      <c r="I506" t="n">
        <v>0</v>
      </c>
      <c r="J506" t="n">
        <v>0</v>
      </c>
      <c r="K506" t="n">
        <v>0</v>
      </c>
      <c r="L506" t="n">
        <v>0</v>
      </c>
      <c r="M506" t="n">
        <v>0</v>
      </c>
      <c r="N506" t="n">
        <v>0</v>
      </c>
      <c r="O506" t="n">
        <v>0</v>
      </c>
      <c r="P506" t="n">
        <v>0</v>
      </c>
      <c r="Q506" t="n">
        <v>0</v>
      </c>
      <c r="R506" s="2" t="inlineStr"/>
    </row>
    <row r="507" ht="15" customHeight="1">
      <c r="A507" t="inlineStr">
        <is>
          <t>A 51782-2023</t>
        </is>
      </c>
      <c r="B507" s="1" t="n">
        <v>45222.80952546297</v>
      </c>
      <c r="C507" s="1" t="n">
        <v>46093</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46093</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1000-2024</t>
        </is>
      </c>
      <c r="B509" s="1" t="n">
        <v>45301.63371527778</v>
      </c>
      <c r="C509" s="1" t="n">
        <v>46093</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1010-2024</t>
        </is>
      </c>
      <c r="B510" s="1" t="n">
        <v>45301</v>
      </c>
      <c r="C510" s="1" t="n">
        <v>46093</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57534-2022</t>
        </is>
      </c>
      <c r="B511" s="1" t="n">
        <v>44896</v>
      </c>
      <c r="C511" s="1" t="n">
        <v>46093</v>
      </c>
      <c r="D511" t="inlineStr">
        <is>
          <t>GOTLANDS LÄN</t>
        </is>
      </c>
      <c r="E511" t="inlineStr">
        <is>
          <t>GOTLAND</t>
        </is>
      </c>
      <c r="G511" t="n">
        <v>0.6</v>
      </c>
      <c r="H511" t="n">
        <v>0</v>
      </c>
      <c r="I511" t="n">
        <v>0</v>
      </c>
      <c r="J511" t="n">
        <v>0</v>
      </c>
      <c r="K511" t="n">
        <v>0</v>
      </c>
      <c r="L511" t="n">
        <v>0</v>
      </c>
      <c r="M511" t="n">
        <v>0</v>
      </c>
      <c r="N511" t="n">
        <v>0</v>
      </c>
      <c r="O511" t="n">
        <v>0</v>
      </c>
      <c r="P511" t="n">
        <v>0</v>
      </c>
      <c r="Q511" t="n">
        <v>0</v>
      </c>
      <c r="R511" s="2" t="inlineStr"/>
    </row>
    <row r="512" ht="15" customHeight="1">
      <c r="A512" t="inlineStr">
        <is>
          <t>A 25866-2022</t>
        </is>
      </c>
      <c r="B512" s="1" t="n">
        <v>44733</v>
      </c>
      <c r="C512" s="1" t="n">
        <v>46093</v>
      </c>
      <c r="D512" t="inlineStr">
        <is>
          <t>GOTLANDS LÄN</t>
        </is>
      </c>
      <c r="E512" t="inlineStr">
        <is>
          <t>GOTLAND</t>
        </is>
      </c>
      <c r="G512" t="n">
        <v>2.9</v>
      </c>
      <c r="H512" t="n">
        <v>0</v>
      </c>
      <c r="I512" t="n">
        <v>0</v>
      </c>
      <c r="J512" t="n">
        <v>0</v>
      </c>
      <c r="K512" t="n">
        <v>0</v>
      </c>
      <c r="L512" t="n">
        <v>0</v>
      </c>
      <c r="M512" t="n">
        <v>0</v>
      </c>
      <c r="N512" t="n">
        <v>0</v>
      </c>
      <c r="O512" t="n">
        <v>0</v>
      </c>
      <c r="P512" t="n">
        <v>0</v>
      </c>
      <c r="Q512" t="n">
        <v>0</v>
      </c>
      <c r="R512" s="2" t="inlineStr"/>
    </row>
    <row r="513" ht="15" customHeight="1">
      <c r="A513" t="inlineStr">
        <is>
          <t>A 43229-2023</t>
        </is>
      </c>
      <c r="B513" s="1" t="n">
        <v>45183.46704861111</v>
      </c>
      <c r="C513" s="1" t="n">
        <v>46093</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1175-2025</t>
        </is>
      </c>
      <c r="B514" s="1" t="n">
        <v>45667.34449074074</v>
      </c>
      <c r="C514" s="1" t="n">
        <v>46093</v>
      </c>
      <c r="D514" t="inlineStr">
        <is>
          <t>GOTLANDS LÄN</t>
        </is>
      </c>
      <c r="E514" t="inlineStr">
        <is>
          <t>GOTLAND</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46093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22899-2023</t>
        </is>
      </c>
      <c r="B516" s="1" t="n">
        <v>45072</v>
      </c>
      <c r="C516" s="1" t="n">
        <v>46093</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23978-2023</t>
        </is>
      </c>
      <c r="B517" s="1" t="n">
        <v>45078</v>
      </c>
      <c r="C517" s="1" t="n">
        <v>46093</v>
      </c>
      <c r="D517" t="inlineStr">
        <is>
          <t>GOTLANDS LÄN</t>
        </is>
      </c>
      <c r="E517" t="inlineStr">
        <is>
          <t>GOTLAND</t>
        </is>
      </c>
      <c r="F517" t="inlineStr">
        <is>
          <t>Naturvårdsverket</t>
        </is>
      </c>
      <c r="G517" t="n">
        <v>1.7</v>
      </c>
      <c r="H517" t="n">
        <v>0</v>
      </c>
      <c r="I517" t="n">
        <v>0</v>
      </c>
      <c r="J517" t="n">
        <v>0</v>
      </c>
      <c r="K517" t="n">
        <v>0</v>
      </c>
      <c r="L517" t="n">
        <v>0</v>
      </c>
      <c r="M517" t="n">
        <v>0</v>
      </c>
      <c r="N517" t="n">
        <v>0</v>
      </c>
      <c r="O517" t="n">
        <v>0</v>
      </c>
      <c r="P517" t="n">
        <v>0</v>
      </c>
      <c r="Q517" t="n">
        <v>0</v>
      </c>
      <c r="R517" s="2" t="inlineStr"/>
    </row>
    <row r="518" ht="15" customHeight="1">
      <c r="A518" t="inlineStr">
        <is>
          <t>A 47762-2023</t>
        </is>
      </c>
      <c r="B518" s="1" t="n">
        <v>45203.86256944444</v>
      </c>
      <c r="C518" s="1" t="n">
        <v>46093</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34407-2023</t>
        </is>
      </c>
      <c r="B519" s="1" t="n">
        <v>45132</v>
      </c>
      <c r="C519" s="1" t="n">
        <v>46093</v>
      </c>
      <c r="D519" t="inlineStr">
        <is>
          <t>GOTLANDS LÄN</t>
        </is>
      </c>
      <c r="E519" t="inlineStr">
        <is>
          <t>GOTLAND</t>
        </is>
      </c>
      <c r="G519" t="n">
        <v>4.4</v>
      </c>
      <c r="H519" t="n">
        <v>0</v>
      </c>
      <c r="I519" t="n">
        <v>0</v>
      </c>
      <c r="J519" t="n">
        <v>0</v>
      </c>
      <c r="K519" t="n">
        <v>0</v>
      </c>
      <c r="L519" t="n">
        <v>0</v>
      </c>
      <c r="M519" t="n">
        <v>0</v>
      </c>
      <c r="N519" t="n">
        <v>0</v>
      </c>
      <c r="O519" t="n">
        <v>0</v>
      </c>
      <c r="P519" t="n">
        <v>0</v>
      </c>
      <c r="Q519" t="n">
        <v>0</v>
      </c>
      <c r="R519" s="2" t="inlineStr"/>
    </row>
    <row r="520" ht="15" customHeight="1">
      <c r="A520" t="inlineStr">
        <is>
          <t>A 11013-2024</t>
        </is>
      </c>
      <c r="B520" s="1" t="n">
        <v>45370</v>
      </c>
      <c r="C520" s="1" t="n">
        <v>46093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27694-2024</t>
        </is>
      </c>
      <c r="B521" s="1" t="n">
        <v>45475</v>
      </c>
      <c r="C521" s="1" t="n">
        <v>46093</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15083-2025</t>
        </is>
      </c>
      <c r="B522" s="1" t="n">
        <v>45743</v>
      </c>
      <c r="C522" s="1" t="n">
        <v>46093</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13037-2025</t>
        </is>
      </c>
      <c r="B523" s="1" t="n">
        <v>45734</v>
      </c>
      <c r="C523" s="1" t="n">
        <v>46093</v>
      </c>
      <c r="D523" t="inlineStr">
        <is>
          <t>GOTLANDS LÄN</t>
        </is>
      </c>
      <c r="E523" t="inlineStr">
        <is>
          <t>GOTLAND</t>
        </is>
      </c>
      <c r="G523" t="n">
        <v>9.5</v>
      </c>
      <c r="H523" t="n">
        <v>0</v>
      </c>
      <c r="I523" t="n">
        <v>0</v>
      </c>
      <c r="J523" t="n">
        <v>0</v>
      </c>
      <c r="K523" t="n">
        <v>0</v>
      </c>
      <c r="L523" t="n">
        <v>0</v>
      </c>
      <c r="M523" t="n">
        <v>0</v>
      </c>
      <c r="N523" t="n">
        <v>0</v>
      </c>
      <c r="O523" t="n">
        <v>0</v>
      </c>
      <c r="P523" t="n">
        <v>0</v>
      </c>
      <c r="Q523" t="n">
        <v>0</v>
      </c>
      <c r="R523" s="2" t="inlineStr"/>
    </row>
    <row r="524" ht="15" customHeight="1">
      <c r="A524" t="inlineStr">
        <is>
          <t>A 458-2023</t>
        </is>
      </c>
      <c r="B524" s="1" t="n">
        <v>44929</v>
      </c>
      <c r="C524" s="1" t="n">
        <v>46093</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44839.51599537037</v>
      </c>
      <c r="C525" s="1" t="n">
        <v>46093</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58132-2023</t>
        </is>
      </c>
      <c r="B526" s="1" t="n">
        <v>45250</v>
      </c>
      <c r="C526" s="1" t="n">
        <v>46093</v>
      </c>
      <c r="D526" t="inlineStr">
        <is>
          <t>GOTLANDS LÄN</t>
        </is>
      </c>
      <c r="E526" t="inlineStr">
        <is>
          <t>GOTLAND</t>
        </is>
      </c>
      <c r="G526" t="n">
        <v>3.1</v>
      </c>
      <c r="H526" t="n">
        <v>0</v>
      </c>
      <c r="I526" t="n">
        <v>0</v>
      </c>
      <c r="J526" t="n">
        <v>0</v>
      </c>
      <c r="K526" t="n">
        <v>0</v>
      </c>
      <c r="L526" t="n">
        <v>0</v>
      </c>
      <c r="M526" t="n">
        <v>0</v>
      </c>
      <c r="N526" t="n">
        <v>0</v>
      </c>
      <c r="O526" t="n">
        <v>0</v>
      </c>
      <c r="P526" t="n">
        <v>0</v>
      </c>
      <c r="Q526" t="n">
        <v>0</v>
      </c>
      <c r="R526" s="2" t="inlineStr"/>
    </row>
    <row r="527" ht="15" customHeight="1">
      <c r="A527" t="inlineStr">
        <is>
          <t>A 49884-2023</t>
        </is>
      </c>
      <c r="B527" s="1" t="n">
        <v>45213</v>
      </c>
      <c r="C527" s="1" t="n">
        <v>46093</v>
      </c>
      <c r="D527" t="inlineStr">
        <is>
          <t>GOTLANDS LÄN</t>
        </is>
      </c>
      <c r="E527" t="inlineStr">
        <is>
          <t>GOTLAND</t>
        </is>
      </c>
      <c r="G527" t="n">
        <v>8.9</v>
      </c>
      <c r="H527" t="n">
        <v>0</v>
      </c>
      <c r="I527" t="n">
        <v>0</v>
      </c>
      <c r="J527" t="n">
        <v>0</v>
      </c>
      <c r="K527" t="n">
        <v>0</v>
      </c>
      <c r="L527" t="n">
        <v>0</v>
      </c>
      <c r="M527" t="n">
        <v>0</v>
      </c>
      <c r="N527" t="n">
        <v>0</v>
      </c>
      <c r="O527" t="n">
        <v>0</v>
      </c>
      <c r="P527" t="n">
        <v>0</v>
      </c>
      <c r="Q527" t="n">
        <v>0</v>
      </c>
      <c r="R527" s="2" t="inlineStr"/>
    </row>
    <row r="528" ht="15" customHeight="1">
      <c r="A528" t="inlineStr">
        <is>
          <t>A 62066-2025</t>
        </is>
      </c>
      <c r="B528" s="1" t="n">
        <v>46006.34738425926</v>
      </c>
      <c r="C528" s="1" t="n">
        <v>46093</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62103-2025</t>
        </is>
      </c>
      <c r="B529" s="1" t="n">
        <v>46006</v>
      </c>
      <c r="C529" s="1" t="n">
        <v>46093</v>
      </c>
      <c r="D529" t="inlineStr">
        <is>
          <t>GOTLANDS LÄN</t>
        </is>
      </c>
      <c r="E529" t="inlineStr">
        <is>
          <t>GOTLAND</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876-2024</t>
        </is>
      </c>
      <c r="B530" s="1" t="n">
        <v>45301</v>
      </c>
      <c r="C530" s="1" t="n">
        <v>46093</v>
      </c>
      <c r="D530" t="inlineStr">
        <is>
          <t>GOTLANDS LÄN</t>
        </is>
      </c>
      <c r="E530" t="inlineStr">
        <is>
          <t>GOTLAND</t>
        </is>
      </c>
      <c r="G530" t="n">
        <v>5.3</v>
      </c>
      <c r="H530" t="n">
        <v>0</v>
      </c>
      <c r="I530" t="n">
        <v>0</v>
      </c>
      <c r="J530" t="n">
        <v>0</v>
      </c>
      <c r="K530" t="n">
        <v>0</v>
      </c>
      <c r="L530" t="n">
        <v>0</v>
      </c>
      <c r="M530" t="n">
        <v>0</v>
      </c>
      <c r="N530" t="n">
        <v>0</v>
      </c>
      <c r="O530" t="n">
        <v>0</v>
      </c>
      <c r="P530" t="n">
        <v>0</v>
      </c>
      <c r="Q530" t="n">
        <v>0</v>
      </c>
      <c r="R530" s="2" t="inlineStr"/>
    </row>
    <row r="531" ht="15" customHeight="1">
      <c r="A531" t="inlineStr">
        <is>
          <t>A 22704-2023</t>
        </is>
      </c>
      <c r="B531" s="1" t="n">
        <v>45071</v>
      </c>
      <c r="C531" s="1" t="n">
        <v>46093</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28425-2023</t>
        </is>
      </c>
      <c r="B532" s="1" t="n">
        <v>45102</v>
      </c>
      <c r="C532" s="1" t="n">
        <v>46093</v>
      </c>
      <c r="D532" t="inlineStr">
        <is>
          <t>GOTLANDS LÄN</t>
        </is>
      </c>
      <c r="E532" t="inlineStr">
        <is>
          <t>GOTLAND</t>
        </is>
      </c>
      <c r="G532" t="n">
        <v>0.5</v>
      </c>
      <c r="H532" t="n">
        <v>0</v>
      </c>
      <c r="I532" t="n">
        <v>0</v>
      </c>
      <c r="J532" t="n">
        <v>0</v>
      </c>
      <c r="K532" t="n">
        <v>0</v>
      </c>
      <c r="L532" t="n">
        <v>0</v>
      </c>
      <c r="M532" t="n">
        <v>0</v>
      </c>
      <c r="N532" t="n">
        <v>0</v>
      </c>
      <c r="O532" t="n">
        <v>0</v>
      </c>
      <c r="P532" t="n">
        <v>0</v>
      </c>
      <c r="Q532" t="n">
        <v>0</v>
      </c>
      <c r="R532" s="2" t="inlineStr"/>
    </row>
    <row r="533" ht="15" customHeight="1">
      <c r="A533" t="inlineStr">
        <is>
          <t>A 58476-2022</t>
        </is>
      </c>
      <c r="B533" s="1" t="n">
        <v>44902</v>
      </c>
      <c r="C533" s="1" t="n">
        <v>46093</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47147-2025</t>
        </is>
      </c>
      <c r="B534" s="1" t="n">
        <v>45929</v>
      </c>
      <c r="C534" s="1" t="n">
        <v>46093</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43200-2023</t>
        </is>
      </c>
      <c r="B535" s="1" t="n">
        <v>45183</v>
      </c>
      <c r="C535" s="1" t="n">
        <v>46093</v>
      </c>
      <c r="D535" t="inlineStr">
        <is>
          <t>GOTLANDS LÄN</t>
        </is>
      </c>
      <c r="E535" t="inlineStr">
        <is>
          <t>GOTLAND</t>
        </is>
      </c>
      <c r="G535" t="n">
        <v>0.5</v>
      </c>
      <c r="H535" t="n">
        <v>0</v>
      </c>
      <c r="I535" t="n">
        <v>0</v>
      </c>
      <c r="J535" t="n">
        <v>0</v>
      </c>
      <c r="K535" t="n">
        <v>0</v>
      </c>
      <c r="L535" t="n">
        <v>0</v>
      </c>
      <c r="M535" t="n">
        <v>0</v>
      </c>
      <c r="N535" t="n">
        <v>0</v>
      </c>
      <c r="O535" t="n">
        <v>0</v>
      </c>
      <c r="P535" t="n">
        <v>0</v>
      </c>
      <c r="Q535" t="n">
        <v>0</v>
      </c>
      <c r="R535" s="2" t="inlineStr"/>
    </row>
    <row r="536" ht="15" customHeight="1">
      <c r="A536" t="inlineStr">
        <is>
          <t>A 43223-2023</t>
        </is>
      </c>
      <c r="B536" s="1" t="n">
        <v>45183.45642361111</v>
      </c>
      <c r="C536" s="1" t="n">
        <v>46093</v>
      </c>
      <c r="D536" t="inlineStr">
        <is>
          <t>GOTLANDS LÄN</t>
        </is>
      </c>
      <c r="E536" t="inlineStr">
        <is>
          <t>GOTLAND</t>
        </is>
      </c>
      <c r="G536" t="n">
        <v>1.8</v>
      </c>
      <c r="H536" t="n">
        <v>0</v>
      </c>
      <c r="I536" t="n">
        <v>0</v>
      </c>
      <c r="J536" t="n">
        <v>0</v>
      </c>
      <c r="K536" t="n">
        <v>0</v>
      </c>
      <c r="L536" t="n">
        <v>0</v>
      </c>
      <c r="M536" t="n">
        <v>0</v>
      </c>
      <c r="N536" t="n">
        <v>0</v>
      </c>
      <c r="O536" t="n">
        <v>0</v>
      </c>
      <c r="P536" t="n">
        <v>0</v>
      </c>
      <c r="Q536" t="n">
        <v>0</v>
      </c>
      <c r="R536" s="2" t="inlineStr"/>
    </row>
    <row r="537" ht="15" customHeight="1">
      <c r="A537" t="inlineStr">
        <is>
          <t>A 12327-2025</t>
        </is>
      </c>
      <c r="B537" s="1" t="n">
        <v>45730</v>
      </c>
      <c r="C537" s="1" t="n">
        <v>46093</v>
      </c>
      <c r="D537" t="inlineStr">
        <is>
          <t>GOTLANDS LÄN</t>
        </is>
      </c>
      <c r="E537" t="inlineStr">
        <is>
          <t>GOTLAND</t>
        </is>
      </c>
      <c r="G537" t="n">
        <v>1.8</v>
      </c>
      <c r="H537" t="n">
        <v>0</v>
      </c>
      <c r="I537" t="n">
        <v>0</v>
      </c>
      <c r="J537" t="n">
        <v>0</v>
      </c>
      <c r="K537" t="n">
        <v>0</v>
      </c>
      <c r="L537" t="n">
        <v>0</v>
      </c>
      <c r="M537" t="n">
        <v>0</v>
      </c>
      <c r="N537" t="n">
        <v>0</v>
      </c>
      <c r="O537" t="n">
        <v>0</v>
      </c>
      <c r="P537" t="n">
        <v>0</v>
      </c>
      <c r="Q537" t="n">
        <v>0</v>
      </c>
      <c r="R537" s="2" t="inlineStr"/>
    </row>
    <row r="538" ht="15" customHeight="1">
      <c r="A538" t="inlineStr">
        <is>
          <t>A 3431-2025</t>
        </is>
      </c>
      <c r="B538" s="1" t="n">
        <v>45680.42935185185</v>
      </c>
      <c r="C538" s="1" t="n">
        <v>46093</v>
      </c>
      <c r="D538" t="inlineStr">
        <is>
          <t>GOTLANDS LÄN</t>
        </is>
      </c>
      <c r="E538" t="inlineStr">
        <is>
          <t>GOTLAND</t>
        </is>
      </c>
      <c r="G538" t="n">
        <v>4.8</v>
      </c>
      <c r="H538" t="n">
        <v>0</v>
      </c>
      <c r="I538" t="n">
        <v>0</v>
      </c>
      <c r="J538" t="n">
        <v>0</v>
      </c>
      <c r="K538" t="n">
        <v>0</v>
      </c>
      <c r="L538" t="n">
        <v>0</v>
      </c>
      <c r="M538" t="n">
        <v>0</v>
      </c>
      <c r="N538" t="n">
        <v>0</v>
      </c>
      <c r="O538" t="n">
        <v>0</v>
      </c>
      <c r="P538" t="n">
        <v>0</v>
      </c>
      <c r="Q538" t="n">
        <v>0</v>
      </c>
      <c r="R538" s="2" t="inlineStr"/>
    </row>
    <row r="539" ht="15" customHeight="1">
      <c r="A539" t="inlineStr">
        <is>
          <t>A 12209-2024</t>
        </is>
      </c>
      <c r="B539" s="1" t="n">
        <v>45378</v>
      </c>
      <c r="C539" s="1" t="n">
        <v>46093</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12210-2024</t>
        </is>
      </c>
      <c r="B540" s="1" t="n">
        <v>45378</v>
      </c>
      <c r="C540" s="1" t="n">
        <v>46093</v>
      </c>
      <c r="D540" t="inlineStr">
        <is>
          <t>GOTLANDS LÄN</t>
        </is>
      </c>
      <c r="E540" t="inlineStr">
        <is>
          <t>GOTLAND</t>
        </is>
      </c>
      <c r="G540" t="n">
        <v>4.1</v>
      </c>
      <c r="H540" t="n">
        <v>0</v>
      </c>
      <c r="I540" t="n">
        <v>0</v>
      </c>
      <c r="J540" t="n">
        <v>0</v>
      </c>
      <c r="K540" t="n">
        <v>0</v>
      </c>
      <c r="L540" t="n">
        <v>0</v>
      </c>
      <c r="M540" t="n">
        <v>0</v>
      </c>
      <c r="N540" t="n">
        <v>0</v>
      </c>
      <c r="O540" t="n">
        <v>0</v>
      </c>
      <c r="P540" t="n">
        <v>0</v>
      </c>
      <c r="Q540" t="n">
        <v>0</v>
      </c>
      <c r="R540" s="2" t="inlineStr"/>
    </row>
    <row r="541" ht="15" customHeight="1">
      <c r="A541" t="inlineStr">
        <is>
          <t>A 5863-2026</t>
        </is>
      </c>
      <c r="B541" s="1" t="n">
        <v>46052.36697916667</v>
      </c>
      <c r="C541" s="1" t="n">
        <v>46093</v>
      </c>
      <c r="D541" t="inlineStr">
        <is>
          <t>GOTLANDS LÄN</t>
        </is>
      </c>
      <c r="E541" t="inlineStr">
        <is>
          <t>GOTLAND</t>
        </is>
      </c>
      <c r="G541" t="n">
        <v>1.8</v>
      </c>
      <c r="H541" t="n">
        <v>0</v>
      </c>
      <c r="I541" t="n">
        <v>0</v>
      </c>
      <c r="J541" t="n">
        <v>0</v>
      </c>
      <c r="K541" t="n">
        <v>0</v>
      </c>
      <c r="L541" t="n">
        <v>0</v>
      </c>
      <c r="M541" t="n">
        <v>0</v>
      </c>
      <c r="N541" t="n">
        <v>0</v>
      </c>
      <c r="O541" t="n">
        <v>0</v>
      </c>
      <c r="P541" t="n">
        <v>0</v>
      </c>
      <c r="Q541" t="n">
        <v>0</v>
      </c>
      <c r="R541" s="2" t="inlineStr"/>
    </row>
    <row r="542" ht="15" customHeight="1">
      <c r="A542" t="inlineStr">
        <is>
          <t>A 1364-2025</t>
        </is>
      </c>
      <c r="B542" s="1" t="n">
        <v>45667.63929398148</v>
      </c>
      <c r="C542" s="1" t="n">
        <v>46093</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15042-2025</t>
        </is>
      </c>
      <c r="B543" s="1" t="n">
        <v>45743</v>
      </c>
      <c r="C543" s="1" t="n">
        <v>46093</v>
      </c>
      <c r="D543" t="inlineStr">
        <is>
          <t>GOTLANDS LÄN</t>
        </is>
      </c>
      <c r="E543" t="inlineStr">
        <is>
          <t>GOTLAND</t>
        </is>
      </c>
      <c r="G543" t="n">
        <v>8.5</v>
      </c>
      <c r="H543" t="n">
        <v>0</v>
      </c>
      <c r="I543" t="n">
        <v>0</v>
      </c>
      <c r="J543" t="n">
        <v>0</v>
      </c>
      <c r="K543" t="n">
        <v>0</v>
      </c>
      <c r="L543" t="n">
        <v>0</v>
      </c>
      <c r="M543" t="n">
        <v>0</v>
      </c>
      <c r="N543" t="n">
        <v>0</v>
      </c>
      <c r="O543" t="n">
        <v>0</v>
      </c>
      <c r="P543" t="n">
        <v>0</v>
      </c>
      <c r="Q543" t="n">
        <v>0</v>
      </c>
      <c r="R543" s="2" t="inlineStr"/>
    </row>
    <row r="544" ht="15" customHeight="1">
      <c r="A544" t="inlineStr">
        <is>
          <t>A 63002-2025</t>
        </is>
      </c>
      <c r="B544" s="1" t="n">
        <v>46009.56564814815</v>
      </c>
      <c r="C544" s="1" t="n">
        <v>46093</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6218-2026</t>
        </is>
      </c>
      <c r="B545" s="1" t="n">
        <v>46055.42859953704</v>
      </c>
      <c r="C545" s="1" t="n">
        <v>46093</v>
      </c>
      <c r="D545" t="inlineStr">
        <is>
          <t>GOTLANDS LÄN</t>
        </is>
      </c>
      <c r="E545" t="inlineStr">
        <is>
          <t>GOTLAND</t>
        </is>
      </c>
      <c r="G545" t="n">
        <v>4.3</v>
      </c>
      <c r="H545" t="n">
        <v>0</v>
      </c>
      <c r="I545" t="n">
        <v>0</v>
      </c>
      <c r="J545" t="n">
        <v>0</v>
      </c>
      <c r="K545" t="n">
        <v>0</v>
      </c>
      <c r="L545" t="n">
        <v>0</v>
      </c>
      <c r="M545" t="n">
        <v>0</v>
      </c>
      <c r="N545" t="n">
        <v>0</v>
      </c>
      <c r="O545" t="n">
        <v>0</v>
      </c>
      <c r="P545" t="n">
        <v>0</v>
      </c>
      <c r="Q545" t="n">
        <v>0</v>
      </c>
      <c r="R545" s="2" t="inlineStr"/>
    </row>
    <row r="546" ht="15" customHeight="1">
      <c r="A546" t="inlineStr">
        <is>
          <t>A 2180-2025</t>
        </is>
      </c>
      <c r="B546" s="1" t="n">
        <v>45673</v>
      </c>
      <c r="C546" s="1" t="n">
        <v>46093</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15436-2025</t>
        </is>
      </c>
      <c r="B547" s="1" t="n">
        <v>45747.47462962963</v>
      </c>
      <c r="C547" s="1" t="n">
        <v>46093</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49257-2024</t>
        </is>
      </c>
      <c r="B548" s="1" t="n">
        <v>45595.47627314815</v>
      </c>
      <c r="C548" s="1" t="n">
        <v>46093</v>
      </c>
      <c r="D548" t="inlineStr">
        <is>
          <t>GOTLANDS LÄN</t>
        </is>
      </c>
      <c r="E548" t="inlineStr">
        <is>
          <t>GOTLAND</t>
        </is>
      </c>
      <c r="G548" t="n">
        <v>6.3</v>
      </c>
      <c r="H548" t="n">
        <v>0</v>
      </c>
      <c r="I548" t="n">
        <v>0</v>
      </c>
      <c r="J548" t="n">
        <v>0</v>
      </c>
      <c r="K548" t="n">
        <v>0</v>
      </c>
      <c r="L548" t="n">
        <v>0</v>
      </c>
      <c r="M548" t="n">
        <v>0</v>
      </c>
      <c r="N548" t="n">
        <v>0</v>
      </c>
      <c r="O548" t="n">
        <v>0</v>
      </c>
      <c r="P548" t="n">
        <v>0</v>
      </c>
      <c r="Q548" t="n">
        <v>0</v>
      </c>
      <c r="R548" s="2" t="inlineStr"/>
    </row>
    <row r="549" ht="15" customHeight="1">
      <c r="A549" t="inlineStr">
        <is>
          <t>A 37202-2024</t>
        </is>
      </c>
      <c r="B549" s="1" t="n">
        <v>45539.67310185185</v>
      </c>
      <c r="C549" s="1" t="n">
        <v>46093</v>
      </c>
      <c r="D549" t="inlineStr">
        <is>
          <t>GOTLANDS LÄN</t>
        </is>
      </c>
      <c r="E549" t="inlineStr">
        <is>
          <t>GOTLAND</t>
        </is>
      </c>
      <c r="G549" t="n">
        <v>0.3</v>
      </c>
      <c r="H549" t="n">
        <v>0</v>
      </c>
      <c r="I549" t="n">
        <v>0</v>
      </c>
      <c r="J549" t="n">
        <v>0</v>
      </c>
      <c r="K549" t="n">
        <v>0</v>
      </c>
      <c r="L549" t="n">
        <v>0</v>
      </c>
      <c r="M549" t="n">
        <v>0</v>
      </c>
      <c r="N549" t="n">
        <v>0</v>
      </c>
      <c r="O549" t="n">
        <v>0</v>
      </c>
      <c r="P549" t="n">
        <v>0</v>
      </c>
      <c r="Q549" t="n">
        <v>0</v>
      </c>
      <c r="R549" s="2" t="inlineStr"/>
    </row>
    <row r="550" ht="15" customHeight="1">
      <c r="A550" t="inlineStr">
        <is>
          <t>A 54584-2025</t>
        </is>
      </c>
      <c r="B550" s="1" t="n">
        <v>45965.71788194445</v>
      </c>
      <c r="C550" s="1" t="n">
        <v>46093</v>
      </c>
      <c r="D550" t="inlineStr">
        <is>
          <t>GOTLANDS LÄN</t>
        </is>
      </c>
      <c r="E550" t="inlineStr">
        <is>
          <t>GOTLAND</t>
        </is>
      </c>
      <c r="G550" t="n">
        <v>3.5</v>
      </c>
      <c r="H550" t="n">
        <v>0</v>
      </c>
      <c r="I550" t="n">
        <v>0</v>
      </c>
      <c r="J550" t="n">
        <v>0</v>
      </c>
      <c r="K550" t="n">
        <v>0</v>
      </c>
      <c r="L550" t="n">
        <v>0</v>
      </c>
      <c r="M550" t="n">
        <v>0</v>
      </c>
      <c r="N550" t="n">
        <v>0</v>
      </c>
      <c r="O550" t="n">
        <v>0</v>
      </c>
      <c r="P550" t="n">
        <v>0</v>
      </c>
      <c r="Q550" t="n">
        <v>0</v>
      </c>
      <c r="R550" s="2" t="inlineStr"/>
    </row>
    <row r="551" ht="15" customHeight="1">
      <c r="A551" t="inlineStr">
        <is>
          <t>A 6207-2026</t>
        </is>
      </c>
      <c r="B551" s="1" t="n">
        <v>46055.42083333333</v>
      </c>
      <c r="C551" s="1" t="n">
        <v>46093</v>
      </c>
      <c r="D551" t="inlineStr">
        <is>
          <t>GOTLANDS LÄN</t>
        </is>
      </c>
      <c r="E551" t="inlineStr">
        <is>
          <t>GOTLAND</t>
        </is>
      </c>
      <c r="G551" t="n">
        <v>7.6</v>
      </c>
      <c r="H551" t="n">
        <v>0</v>
      </c>
      <c r="I551" t="n">
        <v>0</v>
      </c>
      <c r="J551" t="n">
        <v>0</v>
      </c>
      <c r="K551" t="n">
        <v>0</v>
      </c>
      <c r="L551" t="n">
        <v>0</v>
      </c>
      <c r="M551" t="n">
        <v>0</v>
      </c>
      <c r="N551" t="n">
        <v>0</v>
      </c>
      <c r="O551" t="n">
        <v>0</v>
      </c>
      <c r="P551" t="n">
        <v>0</v>
      </c>
      <c r="Q551" t="n">
        <v>0</v>
      </c>
      <c r="R551" s="2" t="inlineStr"/>
    </row>
    <row r="552" ht="15" customHeight="1">
      <c r="A552" t="inlineStr">
        <is>
          <t>A 56115-2023</t>
        </is>
      </c>
      <c r="B552" s="1" t="n">
        <v>45236</v>
      </c>
      <c r="C552" s="1" t="n">
        <v>46093</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6960-2026</t>
        </is>
      </c>
      <c r="B553" s="1" t="n">
        <v>46057.58105324074</v>
      </c>
      <c r="C553" s="1" t="n">
        <v>46093</v>
      </c>
      <c r="D553" t="inlineStr">
        <is>
          <t>GOTLANDS LÄN</t>
        </is>
      </c>
      <c r="E553" t="inlineStr">
        <is>
          <t>GOTLAND</t>
        </is>
      </c>
      <c r="F553" t="inlineStr">
        <is>
          <t>Kyrkan</t>
        </is>
      </c>
      <c r="G553" t="n">
        <v>2.4</v>
      </c>
      <c r="H553" t="n">
        <v>0</v>
      </c>
      <c r="I553" t="n">
        <v>0</v>
      </c>
      <c r="J553" t="n">
        <v>0</v>
      </c>
      <c r="K553" t="n">
        <v>0</v>
      </c>
      <c r="L553" t="n">
        <v>0</v>
      </c>
      <c r="M553" t="n">
        <v>0</v>
      </c>
      <c r="N553" t="n">
        <v>0</v>
      </c>
      <c r="O553" t="n">
        <v>0</v>
      </c>
      <c r="P553" t="n">
        <v>0</v>
      </c>
      <c r="Q553" t="n">
        <v>0</v>
      </c>
      <c r="R553" s="2" t="inlineStr"/>
    </row>
    <row r="554" ht="15" customHeight="1">
      <c r="A554" t="inlineStr">
        <is>
          <t>A 6959-2026</t>
        </is>
      </c>
      <c r="B554" s="1" t="n">
        <v>46057.580625</v>
      </c>
      <c r="C554" s="1" t="n">
        <v>46093</v>
      </c>
      <c r="D554" t="inlineStr">
        <is>
          <t>GOTLANDS LÄN</t>
        </is>
      </c>
      <c r="E554" t="inlineStr">
        <is>
          <t>GOTLAND</t>
        </is>
      </c>
      <c r="F554" t="inlineStr">
        <is>
          <t>Kyrkan</t>
        </is>
      </c>
      <c r="G554" t="n">
        <v>1.2</v>
      </c>
      <c r="H554" t="n">
        <v>0</v>
      </c>
      <c r="I554" t="n">
        <v>0</v>
      </c>
      <c r="J554" t="n">
        <v>0</v>
      </c>
      <c r="K554" t="n">
        <v>0</v>
      </c>
      <c r="L554" t="n">
        <v>0</v>
      </c>
      <c r="M554" t="n">
        <v>0</v>
      </c>
      <c r="N554" t="n">
        <v>0</v>
      </c>
      <c r="O554" t="n">
        <v>0</v>
      </c>
      <c r="P554" t="n">
        <v>0</v>
      </c>
      <c r="Q554" t="n">
        <v>0</v>
      </c>
      <c r="R554" s="2" t="inlineStr"/>
    </row>
    <row r="555" ht="15" customHeight="1">
      <c r="A555" t="inlineStr">
        <is>
          <t>A 2774-2024</t>
        </is>
      </c>
      <c r="B555" s="1" t="n">
        <v>45314.62375</v>
      </c>
      <c r="C555" s="1" t="n">
        <v>46093</v>
      </c>
      <c r="D555" t="inlineStr">
        <is>
          <t>GOTLANDS LÄN</t>
        </is>
      </c>
      <c r="E555" t="inlineStr">
        <is>
          <t>GOTLAND</t>
        </is>
      </c>
      <c r="G555" t="n">
        <v>1</v>
      </c>
      <c r="H555" t="n">
        <v>0</v>
      </c>
      <c r="I555" t="n">
        <v>0</v>
      </c>
      <c r="J555" t="n">
        <v>0</v>
      </c>
      <c r="K555" t="n">
        <v>0</v>
      </c>
      <c r="L555" t="n">
        <v>0</v>
      </c>
      <c r="M555" t="n">
        <v>0</v>
      </c>
      <c r="N555" t="n">
        <v>0</v>
      </c>
      <c r="O555" t="n">
        <v>0</v>
      </c>
      <c r="P555" t="n">
        <v>0</v>
      </c>
      <c r="Q555" t="n">
        <v>0</v>
      </c>
      <c r="R555" s="2" t="inlineStr"/>
    </row>
    <row r="556" ht="15" customHeight="1">
      <c r="A556" t="inlineStr">
        <is>
          <t>A 38649-2025</t>
        </is>
      </c>
      <c r="B556" s="1" t="n">
        <v>45884</v>
      </c>
      <c r="C556" s="1" t="n">
        <v>46093</v>
      </c>
      <c r="D556" t="inlineStr">
        <is>
          <t>GOTLANDS LÄN</t>
        </is>
      </c>
      <c r="E556" t="inlineStr">
        <is>
          <t>GOTLAND</t>
        </is>
      </c>
      <c r="G556" t="n">
        <v>1.5</v>
      </c>
      <c r="H556" t="n">
        <v>0</v>
      </c>
      <c r="I556" t="n">
        <v>0</v>
      </c>
      <c r="J556" t="n">
        <v>0</v>
      </c>
      <c r="K556" t="n">
        <v>0</v>
      </c>
      <c r="L556" t="n">
        <v>0</v>
      </c>
      <c r="M556" t="n">
        <v>0</v>
      </c>
      <c r="N556" t="n">
        <v>0</v>
      </c>
      <c r="O556" t="n">
        <v>0</v>
      </c>
      <c r="P556" t="n">
        <v>0</v>
      </c>
      <c r="Q556" t="n">
        <v>0</v>
      </c>
      <c r="R556" s="2" t="inlineStr"/>
    </row>
    <row r="557" ht="15" customHeight="1">
      <c r="A557" t="inlineStr">
        <is>
          <t>A 61078-2025</t>
        </is>
      </c>
      <c r="B557" s="1" t="n">
        <v>46000</v>
      </c>
      <c r="C557" s="1" t="n">
        <v>46093</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7625-2026</t>
        </is>
      </c>
      <c r="B558" s="1" t="n">
        <v>46062.35135416667</v>
      </c>
      <c r="C558" s="1" t="n">
        <v>46093</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7627-2026</t>
        </is>
      </c>
      <c r="B559" s="1" t="n">
        <v>46062.35465277778</v>
      </c>
      <c r="C559" s="1" t="n">
        <v>46093</v>
      </c>
      <c r="D559" t="inlineStr">
        <is>
          <t>GOTLANDS LÄN</t>
        </is>
      </c>
      <c r="E559" t="inlineStr">
        <is>
          <t>GOTLAND</t>
        </is>
      </c>
      <c r="G559" t="n">
        <v>1.1</v>
      </c>
      <c r="H559" t="n">
        <v>0</v>
      </c>
      <c r="I559" t="n">
        <v>0</v>
      </c>
      <c r="J559" t="n">
        <v>0</v>
      </c>
      <c r="K559" t="n">
        <v>0</v>
      </c>
      <c r="L559" t="n">
        <v>0</v>
      </c>
      <c r="M559" t="n">
        <v>0</v>
      </c>
      <c r="N559" t="n">
        <v>0</v>
      </c>
      <c r="O559" t="n">
        <v>0</v>
      </c>
      <c r="P559" t="n">
        <v>0</v>
      </c>
      <c r="Q559" t="n">
        <v>0</v>
      </c>
      <c r="R559" s="2" t="inlineStr"/>
    </row>
    <row r="560" ht="15" customHeight="1">
      <c r="A560" t="inlineStr">
        <is>
          <t>A 60709-2023</t>
        </is>
      </c>
      <c r="B560" s="1" t="n">
        <v>45260</v>
      </c>
      <c r="C560" s="1" t="n">
        <v>46093</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64208-2021</t>
        </is>
      </c>
      <c r="B561" s="1" t="n">
        <v>44510</v>
      </c>
      <c r="C561" s="1" t="n">
        <v>46093</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39764-2022</t>
        </is>
      </c>
      <c r="B562" s="1" t="n">
        <v>44819</v>
      </c>
      <c r="C562" s="1" t="n">
        <v>46093</v>
      </c>
      <c r="D562" t="inlineStr">
        <is>
          <t>GOTLANDS LÄN</t>
        </is>
      </c>
      <c r="E562" t="inlineStr">
        <is>
          <t>GOTLAND</t>
        </is>
      </c>
      <c r="F562" t="inlineStr">
        <is>
          <t>Kyrkan</t>
        </is>
      </c>
      <c r="G562" t="n">
        <v>3.7</v>
      </c>
      <c r="H562" t="n">
        <v>0</v>
      </c>
      <c r="I562" t="n">
        <v>0</v>
      </c>
      <c r="J562" t="n">
        <v>0</v>
      </c>
      <c r="K562" t="n">
        <v>0</v>
      </c>
      <c r="L562" t="n">
        <v>0</v>
      </c>
      <c r="M562" t="n">
        <v>0</v>
      </c>
      <c r="N562" t="n">
        <v>0</v>
      </c>
      <c r="O562" t="n">
        <v>0</v>
      </c>
      <c r="P562" t="n">
        <v>0</v>
      </c>
      <c r="Q562" t="n">
        <v>0</v>
      </c>
      <c r="R562" s="2" t="inlineStr"/>
    </row>
    <row r="563" ht="15" customHeight="1">
      <c r="A563" t="inlineStr">
        <is>
          <t>A 58211-2024</t>
        </is>
      </c>
      <c r="B563" s="1" t="n">
        <v>45632.49292824074</v>
      </c>
      <c r="C563" s="1" t="n">
        <v>46093</v>
      </c>
      <c r="D563" t="inlineStr">
        <is>
          <t>GOTLANDS LÄN</t>
        </is>
      </c>
      <c r="E563" t="inlineStr">
        <is>
          <t>GOTLAND</t>
        </is>
      </c>
      <c r="G563" t="n">
        <v>5.4</v>
      </c>
      <c r="H563" t="n">
        <v>0</v>
      </c>
      <c r="I563" t="n">
        <v>0</v>
      </c>
      <c r="J563" t="n">
        <v>0</v>
      </c>
      <c r="K563" t="n">
        <v>0</v>
      </c>
      <c r="L563" t="n">
        <v>0</v>
      </c>
      <c r="M563" t="n">
        <v>0</v>
      </c>
      <c r="N563" t="n">
        <v>0</v>
      </c>
      <c r="O563" t="n">
        <v>0</v>
      </c>
      <c r="P563" t="n">
        <v>0</v>
      </c>
      <c r="Q563" t="n">
        <v>0</v>
      </c>
      <c r="R563" s="2" t="inlineStr"/>
    </row>
    <row r="564" ht="15" customHeight="1">
      <c r="A564" t="inlineStr">
        <is>
          <t>A 30956-2024</t>
        </is>
      </c>
      <c r="B564" s="1" t="n">
        <v>45499.42527777778</v>
      </c>
      <c r="C564" s="1" t="n">
        <v>46093</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30892-2024</t>
        </is>
      </c>
      <c r="B565" s="1" t="n">
        <v>45491</v>
      </c>
      <c r="C565" s="1" t="n">
        <v>46093</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14635-2023</t>
        </is>
      </c>
      <c r="B566" s="1" t="n">
        <v>45013.69365740741</v>
      </c>
      <c r="C566" s="1" t="n">
        <v>46093</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59469-2024</t>
        </is>
      </c>
      <c r="B567" s="1" t="n">
        <v>45638</v>
      </c>
      <c r="C567" s="1" t="n">
        <v>46093</v>
      </c>
      <c r="D567" t="inlineStr">
        <is>
          <t>GOTLANDS LÄN</t>
        </is>
      </c>
      <c r="E567" t="inlineStr">
        <is>
          <t>GOTLAND</t>
        </is>
      </c>
      <c r="G567" t="n">
        <v>0.4</v>
      </c>
      <c r="H567" t="n">
        <v>0</v>
      </c>
      <c r="I567" t="n">
        <v>0</v>
      </c>
      <c r="J567" t="n">
        <v>0</v>
      </c>
      <c r="K567" t="n">
        <v>0</v>
      </c>
      <c r="L567" t="n">
        <v>0</v>
      </c>
      <c r="M567" t="n">
        <v>0</v>
      </c>
      <c r="N567" t="n">
        <v>0</v>
      </c>
      <c r="O567" t="n">
        <v>0</v>
      </c>
      <c r="P567" t="n">
        <v>0</v>
      </c>
      <c r="Q567" t="n">
        <v>0</v>
      </c>
      <c r="R567" s="2" t="inlineStr"/>
    </row>
    <row r="568" ht="15" customHeight="1">
      <c r="A568" t="inlineStr">
        <is>
          <t>A 7858-2025</t>
        </is>
      </c>
      <c r="B568" s="1" t="n">
        <v>45706.68633101852</v>
      </c>
      <c r="C568" s="1" t="n">
        <v>46093</v>
      </c>
      <c r="D568" t="inlineStr">
        <is>
          <t>GOTLANDS LÄN</t>
        </is>
      </c>
      <c r="E568" t="inlineStr">
        <is>
          <t>GOTLAND</t>
        </is>
      </c>
      <c r="G568" t="n">
        <v>3</v>
      </c>
      <c r="H568" t="n">
        <v>0</v>
      </c>
      <c r="I568" t="n">
        <v>0</v>
      </c>
      <c r="J568" t="n">
        <v>0</v>
      </c>
      <c r="K568" t="n">
        <v>0</v>
      </c>
      <c r="L568" t="n">
        <v>0</v>
      </c>
      <c r="M568" t="n">
        <v>0</v>
      </c>
      <c r="N568" t="n">
        <v>0</v>
      </c>
      <c r="O568" t="n">
        <v>0</v>
      </c>
      <c r="P568" t="n">
        <v>0</v>
      </c>
      <c r="Q568" t="n">
        <v>0</v>
      </c>
      <c r="R568" s="2" t="inlineStr"/>
    </row>
    <row r="569" ht="15" customHeight="1">
      <c r="A569" t="inlineStr">
        <is>
          <t>A 36-2026</t>
        </is>
      </c>
      <c r="B569" s="1" t="n">
        <v>46024.38886574074</v>
      </c>
      <c r="C569" s="1" t="n">
        <v>46093</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53935-2024</t>
        </is>
      </c>
      <c r="B570" s="1" t="n">
        <v>45615</v>
      </c>
      <c r="C570" s="1" t="n">
        <v>46093</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18223-2025</t>
        </is>
      </c>
      <c r="B571" s="1" t="n">
        <v>45761</v>
      </c>
      <c r="C571" s="1" t="n">
        <v>46093</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4420-2025</t>
        </is>
      </c>
      <c r="B572" s="1" t="n">
        <v>45686.47157407407</v>
      </c>
      <c r="C572" s="1" t="n">
        <v>46093</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62674-2025</t>
        </is>
      </c>
      <c r="B573" s="1" t="n">
        <v>46008</v>
      </c>
      <c r="C573" s="1" t="n">
        <v>46093</v>
      </c>
      <c r="D573" t="inlineStr">
        <is>
          <t>GOTLANDS LÄN</t>
        </is>
      </c>
      <c r="E573" t="inlineStr">
        <is>
          <t>GOTLAND</t>
        </is>
      </c>
      <c r="G573" t="n">
        <v>5</v>
      </c>
      <c r="H573" t="n">
        <v>0</v>
      </c>
      <c r="I573" t="n">
        <v>0</v>
      </c>
      <c r="J573" t="n">
        <v>0</v>
      </c>
      <c r="K573" t="n">
        <v>0</v>
      </c>
      <c r="L573" t="n">
        <v>0</v>
      </c>
      <c r="M573" t="n">
        <v>0</v>
      </c>
      <c r="N573" t="n">
        <v>0</v>
      </c>
      <c r="O573" t="n">
        <v>0</v>
      </c>
      <c r="P573" t="n">
        <v>0</v>
      </c>
      <c r="Q573" t="n">
        <v>0</v>
      </c>
      <c r="R573" s="2" t="inlineStr"/>
    </row>
    <row r="574" ht="15" customHeight="1">
      <c r="A574" t="inlineStr">
        <is>
          <t>A 5891-2025</t>
        </is>
      </c>
      <c r="B574" s="1" t="n">
        <v>45695.38327546296</v>
      </c>
      <c r="C574" s="1" t="n">
        <v>46093</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7835-2024</t>
        </is>
      </c>
      <c r="B575" s="1" t="n">
        <v>45349.83138888889</v>
      </c>
      <c r="C575" s="1" t="n">
        <v>46093</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9543-2026</t>
        </is>
      </c>
      <c r="B576" s="1" t="n">
        <v>46071.62486111111</v>
      </c>
      <c r="C576" s="1" t="n">
        <v>46093</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9521-2026</t>
        </is>
      </c>
      <c r="B577" s="1" t="n">
        <v>46071.59969907408</v>
      </c>
      <c r="C577" s="1" t="n">
        <v>46093</v>
      </c>
      <c r="D577" t="inlineStr">
        <is>
          <t>GOTLANDS LÄN</t>
        </is>
      </c>
      <c r="E577" t="inlineStr">
        <is>
          <t>GOTLAND</t>
        </is>
      </c>
      <c r="G577" t="n">
        <v>3.9</v>
      </c>
      <c r="H577" t="n">
        <v>0</v>
      </c>
      <c r="I577" t="n">
        <v>0</v>
      </c>
      <c r="J577" t="n">
        <v>0</v>
      </c>
      <c r="K577" t="n">
        <v>0</v>
      </c>
      <c r="L577" t="n">
        <v>0</v>
      </c>
      <c r="M577" t="n">
        <v>0</v>
      </c>
      <c r="N577" t="n">
        <v>0</v>
      </c>
      <c r="O577" t="n">
        <v>0</v>
      </c>
      <c r="P577" t="n">
        <v>0</v>
      </c>
      <c r="Q577" t="n">
        <v>0</v>
      </c>
      <c r="R577" s="2" t="inlineStr"/>
    </row>
    <row r="578" ht="15" customHeight="1">
      <c r="A578" t="inlineStr">
        <is>
          <t>A 9524-2026</t>
        </is>
      </c>
      <c r="B578" s="1" t="n">
        <v>46071.60108796296</v>
      </c>
      <c r="C578" s="1" t="n">
        <v>46093</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20794-2025</t>
        </is>
      </c>
      <c r="B579" s="1" t="n">
        <v>45776</v>
      </c>
      <c r="C579" s="1" t="n">
        <v>46093</v>
      </c>
      <c r="D579" t="inlineStr">
        <is>
          <t>GOTLANDS LÄN</t>
        </is>
      </c>
      <c r="E579" t="inlineStr">
        <is>
          <t>GOTLAND</t>
        </is>
      </c>
      <c r="G579" t="n">
        <v>6</v>
      </c>
      <c r="H579" t="n">
        <v>0</v>
      </c>
      <c r="I579" t="n">
        <v>0</v>
      </c>
      <c r="J579" t="n">
        <v>0</v>
      </c>
      <c r="K579" t="n">
        <v>0</v>
      </c>
      <c r="L579" t="n">
        <v>0</v>
      </c>
      <c r="M579" t="n">
        <v>0</v>
      </c>
      <c r="N579" t="n">
        <v>0</v>
      </c>
      <c r="O579" t="n">
        <v>0</v>
      </c>
      <c r="P579" t="n">
        <v>0</v>
      </c>
      <c r="Q579" t="n">
        <v>0</v>
      </c>
      <c r="R579" s="2" t="inlineStr"/>
    </row>
    <row r="580" ht="15" customHeight="1">
      <c r="A580" t="inlineStr">
        <is>
          <t>A 20805-2025</t>
        </is>
      </c>
      <c r="B580" s="1" t="n">
        <v>45776</v>
      </c>
      <c r="C580" s="1" t="n">
        <v>46093</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9518-2026</t>
        </is>
      </c>
      <c r="B581" s="1" t="n">
        <v>46071.59653935185</v>
      </c>
      <c r="C581" s="1" t="n">
        <v>46093</v>
      </c>
      <c r="D581" t="inlineStr">
        <is>
          <t>GOTLANDS LÄN</t>
        </is>
      </c>
      <c r="E581" t="inlineStr">
        <is>
          <t>GOTLAND</t>
        </is>
      </c>
      <c r="G581" t="n">
        <v>6.2</v>
      </c>
      <c r="H581" t="n">
        <v>0</v>
      </c>
      <c r="I581" t="n">
        <v>0</v>
      </c>
      <c r="J581" t="n">
        <v>0</v>
      </c>
      <c r="K581" t="n">
        <v>0</v>
      </c>
      <c r="L581" t="n">
        <v>0</v>
      </c>
      <c r="M581" t="n">
        <v>0</v>
      </c>
      <c r="N581" t="n">
        <v>0</v>
      </c>
      <c r="O581" t="n">
        <v>0</v>
      </c>
      <c r="P581" t="n">
        <v>0</v>
      </c>
      <c r="Q581" t="n">
        <v>0</v>
      </c>
      <c r="R581" s="2" t="inlineStr"/>
    </row>
    <row r="582" ht="15" customHeight="1">
      <c r="A582" t="inlineStr">
        <is>
          <t>A 9519-2026</t>
        </is>
      </c>
      <c r="B582" s="1" t="n">
        <v>46071.59820601852</v>
      </c>
      <c r="C582" s="1" t="n">
        <v>46093</v>
      </c>
      <c r="D582" t="inlineStr">
        <is>
          <t>GOTLANDS LÄN</t>
        </is>
      </c>
      <c r="E582" t="inlineStr">
        <is>
          <t>GOTLAND</t>
        </is>
      </c>
      <c r="G582" t="n">
        <v>4</v>
      </c>
      <c r="H582" t="n">
        <v>0</v>
      </c>
      <c r="I582" t="n">
        <v>0</v>
      </c>
      <c r="J582" t="n">
        <v>0</v>
      </c>
      <c r="K582" t="n">
        <v>0</v>
      </c>
      <c r="L582" t="n">
        <v>0</v>
      </c>
      <c r="M582" t="n">
        <v>0</v>
      </c>
      <c r="N582" t="n">
        <v>0</v>
      </c>
      <c r="O582" t="n">
        <v>0</v>
      </c>
      <c r="P582" t="n">
        <v>0</v>
      </c>
      <c r="Q582" t="n">
        <v>0</v>
      </c>
      <c r="R582" s="2" t="inlineStr"/>
    </row>
    <row r="583" ht="15" customHeight="1">
      <c r="A583" t="inlineStr">
        <is>
          <t>A 9540-2026</t>
        </is>
      </c>
      <c r="B583" s="1" t="n">
        <v>46071.61961805556</v>
      </c>
      <c r="C583" s="1" t="n">
        <v>46093</v>
      </c>
      <c r="D583" t="inlineStr">
        <is>
          <t>GOTLANDS LÄN</t>
        </is>
      </c>
      <c r="E583" t="inlineStr">
        <is>
          <t>GOTLAND</t>
        </is>
      </c>
      <c r="G583" t="n">
        <v>2.8</v>
      </c>
      <c r="H583" t="n">
        <v>0</v>
      </c>
      <c r="I583" t="n">
        <v>0</v>
      </c>
      <c r="J583" t="n">
        <v>0</v>
      </c>
      <c r="K583" t="n">
        <v>0</v>
      </c>
      <c r="L583" t="n">
        <v>0</v>
      </c>
      <c r="M583" t="n">
        <v>0</v>
      </c>
      <c r="N583" t="n">
        <v>0</v>
      </c>
      <c r="O583" t="n">
        <v>0</v>
      </c>
      <c r="P583" t="n">
        <v>0</v>
      </c>
      <c r="Q583" t="n">
        <v>0</v>
      </c>
      <c r="R583" s="2" t="inlineStr"/>
    </row>
    <row r="584" ht="15" customHeight="1">
      <c r="A584" t="inlineStr">
        <is>
          <t>A 9504-2026</t>
        </is>
      </c>
      <c r="B584" s="1" t="n">
        <v>46071.57730324074</v>
      </c>
      <c r="C584" s="1" t="n">
        <v>46093</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63105-2025</t>
        </is>
      </c>
      <c r="B585" s="1" t="n">
        <v>46009</v>
      </c>
      <c r="C585" s="1" t="n">
        <v>46093</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63152-2025</t>
        </is>
      </c>
      <c r="B586" s="1" t="n">
        <v>46010</v>
      </c>
      <c r="C586" s="1" t="n">
        <v>46093</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21389-2025</t>
        </is>
      </c>
      <c r="B587" s="1" t="n">
        <v>45782</v>
      </c>
      <c r="C587" s="1" t="n">
        <v>46093</v>
      </c>
      <c r="D587" t="inlineStr">
        <is>
          <t>GOTLANDS LÄN</t>
        </is>
      </c>
      <c r="E587" t="inlineStr">
        <is>
          <t>GOTLAND</t>
        </is>
      </c>
      <c r="G587" t="n">
        <v>4.1</v>
      </c>
      <c r="H587" t="n">
        <v>0</v>
      </c>
      <c r="I587" t="n">
        <v>0</v>
      </c>
      <c r="J587" t="n">
        <v>0</v>
      </c>
      <c r="K587" t="n">
        <v>0</v>
      </c>
      <c r="L587" t="n">
        <v>0</v>
      </c>
      <c r="M587" t="n">
        <v>0</v>
      </c>
      <c r="N587" t="n">
        <v>0</v>
      </c>
      <c r="O587" t="n">
        <v>0</v>
      </c>
      <c r="P587" t="n">
        <v>0</v>
      </c>
      <c r="Q587" t="n">
        <v>0</v>
      </c>
      <c r="R587" s="2" t="inlineStr"/>
    </row>
    <row r="588" ht="15" customHeight="1">
      <c r="A588" t="inlineStr">
        <is>
          <t>A 9901-2026</t>
        </is>
      </c>
      <c r="B588" s="1" t="n">
        <v>46073.40391203704</v>
      </c>
      <c r="C588" s="1" t="n">
        <v>46093</v>
      </c>
      <c r="D588" t="inlineStr">
        <is>
          <t>GOTLANDS LÄN</t>
        </is>
      </c>
      <c r="E588" t="inlineStr">
        <is>
          <t>GOTLAND</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21651-2025</t>
        </is>
      </c>
      <c r="B589" s="1" t="n">
        <v>45783</v>
      </c>
      <c r="C589" s="1" t="n">
        <v>46093</v>
      </c>
      <c r="D589" t="inlineStr">
        <is>
          <t>GOTLANDS LÄN</t>
        </is>
      </c>
      <c r="E589" t="inlineStr">
        <is>
          <t>GOTLAND</t>
        </is>
      </c>
      <c r="G589" t="n">
        <v>4.2</v>
      </c>
      <c r="H589" t="n">
        <v>0</v>
      </c>
      <c r="I589" t="n">
        <v>0</v>
      </c>
      <c r="J589" t="n">
        <v>0</v>
      </c>
      <c r="K589" t="n">
        <v>0</v>
      </c>
      <c r="L589" t="n">
        <v>0</v>
      </c>
      <c r="M589" t="n">
        <v>0</v>
      </c>
      <c r="N589" t="n">
        <v>0</v>
      </c>
      <c r="O589" t="n">
        <v>0</v>
      </c>
      <c r="P589" t="n">
        <v>0</v>
      </c>
      <c r="Q589" t="n">
        <v>0</v>
      </c>
      <c r="R589" s="2" t="inlineStr"/>
    </row>
    <row r="590" ht="15" customHeight="1">
      <c r="A590" t="inlineStr">
        <is>
          <t>A 1355-2026</t>
        </is>
      </c>
      <c r="B590" s="1" t="n">
        <v>46031.59909722222</v>
      </c>
      <c r="C590" s="1" t="n">
        <v>46093</v>
      </c>
      <c r="D590" t="inlineStr">
        <is>
          <t>GOTLANDS LÄN</t>
        </is>
      </c>
      <c r="E590" t="inlineStr">
        <is>
          <t>GOTLAND</t>
        </is>
      </c>
      <c r="G590" t="n">
        <v>3.1</v>
      </c>
      <c r="H590" t="n">
        <v>0</v>
      </c>
      <c r="I590" t="n">
        <v>0</v>
      </c>
      <c r="J590" t="n">
        <v>0</v>
      </c>
      <c r="K590" t="n">
        <v>0</v>
      </c>
      <c r="L590" t="n">
        <v>0</v>
      </c>
      <c r="M590" t="n">
        <v>0</v>
      </c>
      <c r="N590" t="n">
        <v>0</v>
      </c>
      <c r="O590" t="n">
        <v>0</v>
      </c>
      <c r="P590" t="n">
        <v>0</v>
      </c>
      <c r="Q590" t="n">
        <v>0</v>
      </c>
      <c r="R590" s="2" t="inlineStr"/>
    </row>
    <row r="591" ht="15" customHeight="1">
      <c r="A591" t="inlineStr">
        <is>
          <t>A 10486-2026</t>
        </is>
      </c>
      <c r="B591" s="1" t="n">
        <v>46077.51425925926</v>
      </c>
      <c r="C591" s="1" t="n">
        <v>46093</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62836-2025</t>
        </is>
      </c>
      <c r="B592" s="1" t="n">
        <v>46008</v>
      </c>
      <c r="C592" s="1" t="n">
        <v>46093</v>
      </c>
      <c r="D592" t="inlineStr">
        <is>
          <t>GOTLANDS LÄN</t>
        </is>
      </c>
      <c r="E592" t="inlineStr">
        <is>
          <t>GOTLAND</t>
        </is>
      </c>
      <c r="G592" t="n">
        <v>6.5</v>
      </c>
      <c r="H592" t="n">
        <v>0</v>
      </c>
      <c r="I592" t="n">
        <v>0</v>
      </c>
      <c r="J592" t="n">
        <v>0</v>
      </c>
      <c r="K592" t="n">
        <v>0</v>
      </c>
      <c r="L592" t="n">
        <v>0</v>
      </c>
      <c r="M592" t="n">
        <v>0</v>
      </c>
      <c r="N592" t="n">
        <v>0</v>
      </c>
      <c r="O592" t="n">
        <v>0</v>
      </c>
      <c r="P592" t="n">
        <v>0</v>
      </c>
      <c r="Q592" t="n">
        <v>0</v>
      </c>
      <c r="R592" s="2" t="inlineStr"/>
    </row>
    <row r="593" ht="15" customHeight="1">
      <c r="A593" t="inlineStr">
        <is>
          <t>A 2135-2026</t>
        </is>
      </c>
      <c r="B593" s="1" t="n">
        <v>46036</v>
      </c>
      <c r="C593" s="1" t="n">
        <v>46093</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10284-2026</t>
        </is>
      </c>
      <c r="B594" s="1" t="n">
        <v>46076</v>
      </c>
      <c r="C594" s="1" t="n">
        <v>46093</v>
      </c>
      <c r="D594" t="inlineStr">
        <is>
          <t>GOTLANDS LÄN</t>
        </is>
      </c>
      <c r="E594" t="inlineStr">
        <is>
          <t>GOTLAND</t>
        </is>
      </c>
      <c r="G594" t="n">
        <v>5.2</v>
      </c>
      <c r="H594" t="n">
        <v>0</v>
      </c>
      <c r="I594" t="n">
        <v>0</v>
      </c>
      <c r="J594" t="n">
        <v>0</v>
      </c>
      <c r="K594" t="n">
        <v>0</v>
      </c>
      <c r="L594" t="n">
        <v>0</v>
      </c>
      <c r="M594" t="n">
        <v>0</v>
      </c>
      <c r="N594" t="n">
        <v>0</v>
      </c>
      <c r="O594" t="n">
        <v>0</v>
      </c>
      <c r="P594" t="n">
        <v>0</v>
      </c>
      <c r="Q594" t="n">
        <v>0</v>
      </c>
      <c r="R594" s="2" t="inlineStr"/>
    </row>
    <row r="595" ht="15" customHeight="1">
      <c r="A595" t="inlineStr">
        <is>
          <t>A 1898-2026</t>
        </is>
      </c>
      <c r="B595" s="1" t="n">
        <v>46035.52024305556</v>
      </c>
      <c r="C595" s="1" t="n">
        <v>46093</v>
      </c>
      <c r="D595" t="inlineStr">
        <is>
          <t>GOTLANDS LÄN</t>
        </is>
      </c>
      <c r="E595" t="inlineStr">
        <is>
          <t>GOTLAND</t>
        </is>
      </c>
      <c r="G595" t="n">
        <v>3.7</v>
      </c>
      <c r="H595" t="n">
        <v>0</v>
      </c>
      <c r="I595" t="n">
        <v>0</v>
      </c>
      <c r="J595" t="n">
        <v>0</v>
      </c>
      <c r="K595" t="n">
        <v>0</v>
      </c>
      <c r="L595" t="n">
        <v>0</v>
      </c>
      <c r="M595" t="n">
        <v>0</v>
      </c>
      <c r="N595" t="n">
        <v>0</v>
      </c>
      <c r="O595" t="n">
        <v>0</v>
      </c>
      <c r="P595" t="n">
        <v>0</v>
      </c>
      <c r="Q595" t="n">
        <v>0</v>
      </c>
      <c r="R595" s="2" t="inlineStr"/>
    </row>
    <row r="596" ht="15" customHeight="1">
      <c r="A596" t="inlineStr">
        <is>
          <t>A 57356-2023</t>
        </is>
      </c>
      <c r="B596" s="1" t="n">
        <v>45240</v>
      </c>
      <c r="C596" s="1" t="n">
        <v>46093</v>
      </c>
      <c r="D596" t="inlineStr">
        <is>
          <t>GOTLANDS LÄN</t>
        </is>
      </c>
      <c r="E596" t="inlineStr">
        <is>
          <t>GOTLAND</t>
        </is>
      </c>
      <c r="G596" t="n">
        <v>6.4</v>
      </c>
      <c r="H596" t="n">
        <v>0</v>
      </c>
      <c r="I596" t="n">
        <v>0</v>
      </c>
      <c r="J596" t="n">
        <v>0</v>
      </c>
      <c r="K596" t="n">
        <v>0</v>
      </c>
      <c r="L596" t="n">
        <v>0</v>
      </c>
      <c r="M596" t="n">
        <v>0</v>
      </c>
      <c r="N596" t="n">
        <v>0</v>
      </c>
      <c r="O596" t="n">
        <v>0</v>
      </c>
      <c r="P596" t="n">
        <v>0</v>
      </c>
      <c r="Q596" t="n">
        <v>0</v>
      </c>
      <c r="R596" s="2" t="inlineStr"/>
    </row>
    <row r="597" ht="15" customHeight="1">
      <c r="A597" t="inlineStr">
        <is>
          <t>A 2134-2026</t>
        </is>
      </c>
      <c r="B597" s="1" t="n">
        <v>46036</v>
      </c>
      <c r="C597" s="1" t="n">
        <v>46093</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10656-2024</t>
        </is>
      </c>
      <c r="B598" s="1" t="n">
        <v>45368</v>
      </c>
      <c r="C598" s="1" t="n">
        <v>46093</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28506-2023</t>
        </is>
      </c>
      <c r="B599" s="1" t="n">
        <v>45103</v>
      </c>
      <c r="C599" s="1" t="n">
        <v>46093</v>
      </c>
      <c r="D599" t="inlineStr">
        <is>
          <t>GOTLANDS LÄN</t>
        </is>
      </c>
      <c r="E599" t="inlineStr">
        <is>
          <t>GOTLAND</t>
        </is>
      </c>
      <c r="G599" t="n">
        <v>3.2</v>
      </c>
      <c r="H599" t="n">
        <v>0</v>
      </c>
      <c r="I599" t="n">
        <v>0</v>
      </c>
      <c r="J599" t="n">
        <v>0</v>
      </c>
      <c r="K599" t="n">
        <v>0</v>
      </c>
      <c r="L599" t="n">
        <v>0</v>
      </c>
      <c r="M599" t="n">
        <v>0</v>
      </c>
      <c r="N599" t="n">
        <v>0</v>
      </c>
      <c r="O599" t="n">
        <v>0</v>
      </c>
      <c r="P599" t="n">
        <v>0</v>
      </c>
      <c r="Q599" t="n">
        <v>0</v>
      </c>
      <c r="R599" s="2" t="inlineStr"/>
    </row>
    <row r="600" ht="15" customHeight="1">
      <c r="A600" t="inlineStr">
        <is>
          <t>A 21420-2024</t>
        </is>
      </c>
      <c r="B600" s="1" t="n">
        <v>45441.38293981482</v>
      </c>
      <c r="C600" s="1" t="n">
        <v>46093</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23188-2025</t>
        </is>
      </c>
      <c r="B601" s="1" t="n">
        <v>45791</v>
      </c>
      <c r="C601" s="1" t="n">
        <v>46093</v>
      </c>
      <c r="D601" t="inlineStr">
        <is>
          <t>GOTLANDS LÄN</t>
        </is>
      </c>
      <c r="E601" t="inlineStr">
        <is>
          <t>GOTLAND</t>
        </is>
      </c>
      <c r="G601" t="n">
        <v>6.2</v>
      </c>
      <c r="H601" t="n">
        <v>0</v>
      </c>
      <c r="I601" t="n">
        <v>0</v>
      </c>
      <c r="J601" t="n">
        <v>0</v>
      </c>
      <c r="K601" t="n">
        <v>0</v>
      </c>
      <c r="L601" t="n">
        <v>0</v>
      </c>
      <c r="M601" t="n">
        <v>0</v>
      </c>
      <c r="N601" t="n">
        <v>0</v>
      </c>
      <c r="O601" t="n">
        <v>0</v>
      </c>
      <c r="P601" t="n">
        <v>0</v>
      </c>
      <c r="Q601" t="n">
        <v>0</v>
      </c>
      <c r="R601" s="2" t="inlineStr"/>
    </row>
    <row r="602" ht="15" customHeight="1">
      <c r="A602" t="inlineStr">
        <is>
          <t>A 2415-2026</t>
        </is>
      </c>
      <c r="B602" s="1" t="n">
        <v>46036.76203703704</v>
      </c>
      <c r="C602" s="1" t="n">
        <v>46093</v>
      </c>
      <c r="D602" t="inlineStr">
        <is>
          <t>GOTLANDS LÄN</t>
        </is>
      </c>
      <c r="E602" t="inlineStr">
        <is>
          <t>GOTLAND</t>
        </is>
      </c>
      <c r="G602" t="n">
        <v>6.9</v>
      </c>
      <c r="H602" t="n">
        <v>0</v>
      </c>
      <c r="I602" t="n">
        <v>0</v>
      </c>
      <c r="J602" t="n">
        <v>0</v>
      </c>
      <c r="K602" t="n">
        <v>0</v>
      </c>
      <c r="L602" t="n">
        <v>0</v>
      </c>
      <c r="M602" t="n">
        <v>0</v>
      </c>
      <c r="N602" t="n">
        <v>0</v>
      </c>
      <c r="O602" t="n">
        <v>0</v>
      </c>
      <c r="P602" t="n">
        <v>0</v>
      </c>
      <c r="Q602" t="n">
        <v>0</v>
      </c>
      <c r="R602" s="2" t="inlineStr"/>
    </row>
    <row r="603" ht="15" customHeight="1">
      <c r="A603" t="inlineStr">
        <is>
          <t>A 23473-2025</t>
        </is>
      </c>
      <c r="B603" s="1" t="n">
        <v>45792</v>
      </c>
      <c r="C603" s="1" t="n">
        <v>46093</v>
      </c>
      <c r="D603" t="inlineStr">
        <is>
          <t>GOTLANDS LÄN</t>
        </is>
      </c>
      <c r="E603" t="inlineStr">
        <is>
          <t>GOTLAND</t>
        </is>
      </c>
      <c r="G603" t="n">
        <v>3.6</v>
      </c>
      <c r="H603" t="n">
        <v>0</v>
      </c>
      <c r="I603" t="n">
        <v>0</v>
      </c>
      <c r="J603" t="n">
        <v>0</v>
      </c>
      <c r="K603" t="n">
        <v>0</v>
      </c>
      <c r="L603" t="n">
        <v>0</v>
      </c>
      <c r="M603" t="n">
        <v>0</v>
      </c>
      <c r="N603" t="n">
        <v>0</v>
      </c>
      <c r="O603" t="n">
        <v>0</v>
      </c>
      <c r="P603" t="n">
        <v>0</v>
      </c>
      <c r="Q603" t="n">
        <v>0</v>
      </c>
      <c r="R603" s="2" t="inlineStr"/>
    </row>
    <row r="604" ht="15" customHeight="1">
      <c r="A604" t="inlineStr">
        <is>
          <t>A 23856-2025</t>
        </is>
      </c>
      <c r="B604" s="1" t="n">
        <v>45793</v>
      </c>
      <c r="C604" s="1" t="n">
        <v>46093</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11414-2026</t>
        </is>
      </c>
      <c r="B605" s="1" t="n">
        <v>46083.46336805556</v>
      </c>
      <c r="C605" s="1" t="n">
        <v>46093</v>
      </c>
      <c r="D605" t="inlineStr">
        <is>
          <t>GOTLANDS LÄN</t>
        </is>
      </c>
      <c r="E605" t="inlineStr">
        <is>
          <t>GOTLAND</t>
        </is>
      </c>
      <c r="G605" t="n">
        <v>4.9</v>
      </c>
      <c r="H605" t="n">
        <v>0</v>
      </c>
      <c r="I605" t="n">
        <v>0</v>
      </c>
      <c r="J605" t="n">
        <v>0</v>
      </c>
      <c r="K605" t="n">
        <v>0</v>
      </c>
      <c r="L605" t="n">
        <v>0</v>
      </c>
      <c r="M605" t="n">
        <v>0</v>
      </c>
      <c r="N605" t="n">
        <v>0</v>
      </c>
      <c r="O605" t="n">
        <v>0</v>
      </c>
      <c r="P605" t="n">
        <v>0</v>
      </c>
      <c r="Q605" t="n">
        <v>0</v>
      </c>
      <c r="R605" s="2" t="inlineStr"/>
    </row>
    <row r="606" ht="15" customHeight="1">
      <c r="A606" t="inlineStr">
        <is>
          <t>A 15073-2025</t>
        </is>
      </c>
      <c r="B606" s="1" t="n">
        <v>45743</v>
      </c>
      <c r="C606" s="1" t="n">
        <v>46093</v>
      </c>
      <c r="D606" t="inlineStr">
        <is>
          <t>GOTLANDS LÄN</t>
        </is>
      </c>
      <c r="E606" t="inlineStr">
        <is>
          <t>GOTLAND</t>
        </is>
      </c>
      <c r="G606" t="n">
        <v>12.1</v>
      </c>
      <c r="H606" t="n">
        <v>0</v>
      </c>
      <c r="I606" t="n">
        <v>0</v>
      </c>
      <c r="J606" t="n">
        <v>0</v>
      </c>
      <c r="K606" t="n">
        <v>0</v>
      </c>
      <c r="L606" t="n">
        <v>0</v>
      </c>
      <c r="M606" t="n">
        <v>0</v>
      </c>
      <c r="N606" t="n">
        <v>0</v>
      </c>
      <c r="O606" t="n">
        <v>0</v>
      </c>
      <c r="P606" t="n">
        <v>0</v>
      </c>
      <c r="Q606" t="n">
        <v>0</v>
      </c>
      <c r="R606" s="2" t="inlineStr"/>
    </row>
    <row r="607" ht="15" customHeight="1">
      <c r="A607" t="inlineStr">
        <is>
          <t>A 11424-2026</t>
        </is>
      </c>
      <c r="B607" s="1" t="n">
        <v>46083.48068287037</v>
      </c>
      <c r="C607" s="1" t="n">
        <v>46093</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6749-2025</t>
        </is>
      </c>
      <c r="B608" s="1" t="n">
        <v>45700</v>
      </c>
      <c r="C608" s="1" t="n">
        <v>46093</v>
      </c>
      <c r="D608" t="inlineStr">
        <is>
          <t>GOTLANDS LÄN</t>
        </is>
      </c>
      <c r="E608" t="inlineStr">
        <is>
          <t>GOTLAND</t>
        </is>
      </c>
      <c r="G608" t="n">
        <v>4.5</v>
      </c>
      <c r="H608" t="n">
        <v>0</v>
      </c>
      <c r="I608" t="n">
        <v>0</v>
      </c>
      <c r="J608" t="n">
        <v>0</v>
      </c>
      <c r="K608" t="n">
        <v>0</v>
      </c>
      <c r="L608" t="n">
        <v>0</v>
      </c>
      <c r="M608" t="n">
        <v>0</v>
      </c>
      <c r="N608" t="n">
        <v>0</v>
      </c>
      <c r="O608" t="n">
        <v>0</v>
      </c>
      <c r="P608" t="n">
        <v>0</v>
      </c>
      <c r="Q608" t="n">
        <v>0</v>
      </c>
      <c r="R608" s="2" t="inlineStr"/>
    </row>
    <row r="609" ht="15" customHeight="1">
      <c r="A609" t="inlineStr">
        <is>
          <t>A 23698-2025</t>
        </is>
      </c>
      <c r="B609" s="1" t="n">
        <v>45793</v>
      </c>
      <c r="C609" s="1" t="n">
        <v>46093</v>
      </c>
      <c r="D609" t="inlineStr">
        <is>
          <t>GOTLANDS LÄN</t>
        </is>
      </c>
      <c r="E609" t="inlineStr">
        <is>
          <t>GOTLAND</t>
        </is>
      </c>
      <c r="G609" t="n">
        <v>0.8</v>
      </c>
      <c r="H609" t="n">
        <v>0</v>
      </c>
      <c r="I609" t="n">
        <v>0</v>
      </c>
      <c r="J609" t="n">
        <v>0</v>
      </c>
      <c r="K609" t="n">
        <v>0</v>
      </c>
      <c r="L609" t="n">
        <v>0</v>
      </c>
      <c r="M609" t="n">
        <v>0</v>
      </c>
      <c r="N609" t="n">
        <v>0</v>
      </c>
      <c r="O609" t="n">
        <v>0</v>
      </c>
      <c r="P609" t="n">
        <v>0</v>
      </c>
      <c r="Q609" t="n">
        <v>0</v>
      </c>
      <c r="R609" s="2" t="inlineStr"/>
    </row>
    <row r="610" ht="15" customHeight="1">
      <c r="A610" t="inlineStr">
        <is>
          <t>A 53587-2025</t>
        </is>
      </c>
      <c r="B610" s="1" t="n">
        <v>45960.43681712963</v>
      </c>
      <c r="C610" s="1" t="n">
        <v>46093</v>
      </c>
      <c r="D610" t="inlineStr">
        <is>
          <t>GOTLANDS LÄN</t>
        </is>
      </c>
      <c r="E610" t="inlineStr">
        <is>
          <t>GOTLAND</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46093</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53561-2025</t>
        </is>
      </c>
      <c r="B612" s="1" t="n">
        <v>45960.4059375</v>
      </c>
      <c r="C612" s="1" t="n">
        <v>46093</v>
      </c>
      <c r="D612" t="inlineStr">
        <is>
          <t>GOTLANDS LÄN</t>
        </is>
      </c>
      <c r="E612" t="inlineStr">
        <is>
          <t>GOTLAND</t>
        </is>
      </c>
      <c r="F612" t="inlineStr">
        <is>
          <t>Övriga Aktiebolag</t>
        </is>
      </c>
      <c r="G612" t="n">
        <v>2.4</v>
      </c>
      <c r="H612" t="n">
        <v>0</v>
      </c>
      <c r="I612" t="n">
        <v>0</v>
      </c>
      <c r="J612" t="n">
        <v>0</v>
      </c>
      <c r="K612" t="n">
        <v>0</v>
      </c>
      <c r="L612" t="n">
        <v>0</v>
      </c>
      <c r="M612" t="n">
        <v>0</v>
      </c>
      <c r="N612" t="n">
        <v>0</v>
      </c>
      <c r="O612" t="n">
        <v>0</v>
      </c>
      <c r="P612" t="n">
        <v>0</v>
      </c>
      <c r="Q612" t="n">
        <v>0</v>
      </c>
      <c r="R612" s="2" t="inlineStr"/>
    </row>
    <row r="613" ht="15" customHeight="1">
      <c r="A613" t="inlineStr">
        <is>
          <t>A 3253-2026</t>
        </is>
      </c>
      <c r="B613" s="1" t="n">
        <v>46041.58902777778</v>
      </c>
      <c r="C613" s="1" t="n">
        <v>46093</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11982-2026</t>
        </is>
      </c>
      <c r="B614" s="1" t="n">
        <v>46085.6434375</v>
      </c>
      <c r="C614" s="1" t="n">
        <v>46093</v>
      </c>
      <c r="D614" t="inlineStr">
        <is>
          <t>GOTLANDS LÄN</t>
        </is>
      </c>
      <c r="E614" t="inlineStr">
        <is>
          <t>GOTLAND</t>
        </is>
      </c>
      <c r="G614" t="n">
        <v>2.2</v>
      </c>
      <c r="H614" t="n">
        <v>0</v>
      </c>
      <c r="I614" t="n">
        <v>0</v>
      </c>
      <c r="J614" t="n">
        <v>0</v>
      </c>
      <c r="K614" t="n">
        <v>0</v>
      </c>
      <c r="L614" t="n">
        <v>0</v>
      </c>
      <c r="M614" t="n">
        <v>0</v>
      </c>
      <c r="N614" t="n">
        <v>0</v>
      </c>
      <c r="O614" t="n">
        <v>0</v>
      </c>
      <c r="P614" t="n">
        <v>0</v>
      </c>
      <c r="Q614" t="n">
        <v>0</v>
      </c>
      <c r="R614" s="2" t="inlineStr"/>
    </row>
    <row r="615" ht="15" customHeight="1">
      <c r="A615" t="inlineStr">
        <is>
          <t>A 5462-2025</t>
        </is>
      </c>
      <c r="B615" s="1" t="n">
        <v>45693.29331018519</v>
      </c>
      <c r="C615" s="1" t="n">
        <v>46093</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12135-2026</t>
        </is>
      </c>
      <c r="B616" s="1" t="n">
        <v>46086</v>
      </c>
      <c r="C616" s="1" t="n">
        <v>46093</v>
      </c>
      <c r="D616" t="inlineStr">
        <is>
          <t>GOTLANDS LÄN</t>
        </is>
      </c>
      <c r="E616" t="inlineStr">
        <is>
          <t>GOTLAND</t>
        </is>
      </c>
      <c r="G616" t="n">
        <v>3</v>
      </c>
      <c r="H616" t="n">
        <v>0</v>
      </c>
      <c r="I616" t="n">
        <v>0</v>
      </c>
      <c r="J616" t="n">
        <v>0</v>
      </c>
      <c r="K616" t="n">
        <v>0</v>
      </c>
      <c r="L616" t="n">
        <v>0</v>
      </c>
      <c r="M616" t="n">
        <v>0</v>
      </c>
      <c r="N616" t="n">
        <v>0</v>
      </c>
      <c r="O616" t="n">
        <v>0</v>
      </c>
      <c r="P616" t="n">
        <v>0</v>
      </c>
      <c r="Q616" t="n">
        <v>0</v>
      </c>
      <c r="R616" s="2" t="inlineStr"/>
    </row>
    <row r="617" ht="15" customHeight="1">
      <c r="A617" t="inlineStr">
        <is>
          <t>A 25796-2025</t>
        </is>
      </c>
      <c r="B617" s="1" t="n">
        <v>45804.39543981481</v>
      </c>
      <c r="C617" s="1" t="n">
        <v>46093</v>
      </c>
      <c r="D617" t="inlineStr">
        <is>
          <t>GOTLANDS LÄN</t>
        </is>
      </c>
      <c r="E617" t="inlineStr">
        <is>
          <t>GOTLAND</t>
        </is>
      </c>
      <c r="G617" t="n">
        <v>2</v>
      </c>
      <c r="H617" t="n">
        <v>0</v>
      </c>
      <c r="I617" t="n">
        <v>0</v>
      </c>
      <c r="J617" t="n">
        <v>0</v>
      </c>
      <c r="K617" t="n">
        <v>0</v>
      </c>
      <c r="L617" t="n">
        <v>0</v>
      </c>
      <c r="M617" t="n">
        <v>0</v>
      </c>
      <c r="N617" t="n">
        <v>0</v>
      </c>
      <c r="O617" t="n">
        <v>0</v>
      </c>
      <c r="P617" t="n">
        <v>0</v>
      </c>
      <c r="Q617" t="n">
        <v>0</v>
      </c>
      <c r="R617" s="2" t="inlineStr"/>
    </row>
    <row r="618" ht="15" customHeight="1">
      <c r="A618" t="inlineStr">
        <is>
          <t>A 4646-2026</t>
        </is>
      </c>
      <c r="B618" s="1" t="n">
        <v>46048.40357638889</v>
      </c>
      <c r="C618" s="1" t="n">
        <v>46093</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63000-2025</t>
        </is>
      </c>
      <c r="B619" s="1" t="n">
        <v>46009</v>
      </c>
      <c r="C619" s="1" t="n">
        <v>46093</v>
      </c>
      <c r="D619" t="inlineStr">
        <is>
          <t>GOTLANDS LÄN</t>
        </is>
      </c>
      <c r="E619" t="inlineStr">
        <is>
          <t>GOTLAND</t>
        </is>
      </c>
      <c r="F619" t="inlineStr">
        <is>
          <t>Övriga Aktiebolag</t>
        </is>
      </c>
      <c r="G619" t="n">
        <v>1.7</v>
      </c>
      <c r="H619" t="n">
        <v>0</v>
      </c>
      <c r="I619" t="n">
        <v>0</v>
      </c>
      <c r="J619" t="n">
        <v>0</v>
      </c>
      <c r="K619" t="n">
        <v>0</v>
      </c>
      <c r="L619" t="n">
        <v>0</v>
      </c>
      <c r="M619" t="n">
        <v>0</v>
      </c>
      <c r="N619" t="n">
        <v>0</v>
      </c>
      <c r="O619" t="n">
        <v>0</v>
      </c>
      <c r="P619" t="n">
        <v>0</v>
      </c>
      <c r="Q619" t="n">
        <v>0</v>
      </c>
      <c r="R619" s="2" t="inlineStr"/>
    </row>
    <row r="620" ht="15" customHeight="1">
      <c r="A620" t="inlineStr">
        <is>
          <t>A 4662-2026</t>
        </is>
      </c>
      <c r="B620" s="1" t="n">
        <v>46048.40949074074</v>
      </c>
      <c r="C620" s="1" t="n">
        <v>46093</v>
      </c>
      <c r="D620" t="inlineStr">
        <is>
          <t>GOTLANDS LÄN</t>
        </is>
      </c>
      <c r="E620" t="inlineStr">
        <is>
          <t>GOTLAND</t>
        </is>
      </c>
      <c r="G620" t="n">
        <v>7.6</v>
      </c>
      <c r="H620" t="n">
        <v>0</v>
      </c>
      <c r="I620" t="n">
        <v>0</v>
      </c>
      <c r="J620" t="n">
        <v>0</v>
      </c>
      <c r="K620" t="n">
        <v>0</v>
      </c>
      <c r="L620" t="n">
        <v>0</v>
      </c>
      <c r="M620" t="n">
        <v>0</v>
      </c>
      <c r="N620" t="n">
        <v>0</v>
      </c>
      <c r="O620" t="n">
        <v>0</v>
      </c>
      <c r="P620" t="n">
        <v>0</v>
      </c>
      <c r="Q620" t="n">
        <v>0</v>
      </c>
      <c r="R620" s="2" t="inlineStr"/>
    </row>
    <row r="621" ht="15" customHeight="1">
      <c r="A621" t="inlineStr">
        <is>
          <t>A 62751-2025</t>
        </is>
      </c>
      <c r="B621" s="1" t="n">
        <v>46008</v>
      </c>
      <c r="C621" s="1" t="n">
        <v>46093</v>
      </c>
      <c r="D621" t="inlineStr">
        <is>
          <t>GOTLANDS LÄN</t>
        </is>
      </c>
      <c r="E621" t="inlineStr">
        <is>
          <t>GOTLAND</t>
        </is>
      </c>
      <c r="F621" t="inlineStr">
        <is>
          <t>Övriga Aktiebolag</t>
        </is>
      </c>
      <c r="G621" t="n">
        <v>7.8</v>
      </c>
      <c r="H621" t="n">
        <v>0</v>
      </c>
      <c r="I621" t="n">
        <v>0</v>
      </c>
      <c r="J621" t="n">
        <v>0</v>
      </c>
      <c r="K621" t="n">
        <v>0</v>
      </c>
      <c r="L621" t="n">
        <v>0</v>
      </c>
      <c r="M621" t="n">
        <v>0</v>
      </c>
      <c r="N621" t="n">
        <v>0</v>
      </c>
      <c r="O621" t="n">
        <v>0</v>
      </c>
      <c r="P621" t="n">
        <v>0</v>
      </c>
      <c r="Q621" t="n">
        <v>0</v>
      </c>
      <c r="R621" s="2" t="inlineStr"/>
    </row>
    <row r="622" ht="15" customHeight="1">
      <c r="A622" t="inlineStr">
        <is>
          <t>A 4639-2026</t>
        </is>
      </c>
      <c r="B622" s="1" t="n">
        <v>46048.39880787037</v>
      </c>
      <c r="C622" s="1" t="n">
        <v>46093</v>
      </c>
      <c r="D622" t="inlineStr">
        <is>
          <t>GOTLANDS LÄN</t>
        </is>
      </c>
      <c r="E622" t="inlineStr">
        <is>
          <t>GOTLAND</t>
        </is>
      </c>
      <c r="G622" t="n">
        <v>0.8</v>
      </c>
      <c r="H622" t="n">
        <v>0</v>
      </c>
      <c r="I622" t="n">
        <v>0</v>
      </c>
      <c r="J622" t="n">
        <v>0</v>
      </c>
      <c r="K622" t="n">
        <v>0</v>
      </c>
      <c r="L622" t="n">
        <v>0</v>
      </c>
      <c r="M622" t="n">
        <v>0</v>
      </c>
      <c r="N622" t="n">
        <v>0</v>
      </c>
      <c r="O622" t="n">
        <v>0</v>
      </c>
      <c r="P622" t="n">
        <v>0</v>
      </c>
      <c r="Q622" t="n">
        <v>0</v>
      </c>
      <c r="R622" s="2" t="inlineStr"/>
    </row>
    <row r="623" ht="15" customHeight="1">
      <c r="A623" t="inlineStr">
        <is>
          <t>A 1839-2026</t>
        </is>
      </c>
      <c r="B623" s="1" t="n">
        <v>46035.3942824074</v>
      </c>
      <c r="C623" s="1" t="n">
        <v>46093</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60384-2025</t>
        </is>
      </c>
      <c r="B624" s="1" t="n">
        <v>45995</v>
      </c>
      <c r="C624" s="1" t="n">
        <v>46093</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4634-2026</t>
        </is>
      </c>
      <c r="B625" s="1" t="n">
        <v>46048.39304398148</v>
      </c>
      <c r="C625" s="1" t="n">
        <v>46093</v>
      </c>
      <c r="D625" t="inlineStr">
        <is>
          <t>GOTLANDS LÄN</t>
        </is>
      </c>
      <c r="E625" t="inlineStr">
        <is>
          <t>GOTLAND</t>
        </is>
      </c>
      <c r="G625" t="n">
        <v>7.8</v>
      </c>
      <c r="H625" t="n">
        <v>0</v>
      </c>
      <c r="I625" t="n">
        <v>0</v>
      </c>
      <c r="J625" t="n">
        <v>0</v>
      </c>
      <c r="K625" t="n">
        <v>0</v>
      </c>
      <c r="L625" t="n">
        <v>0</v>
      </c>
      <c r="M625" t="n">
        <v>0</v>
      </c>
      <c r="N625" t="n">
        <v>0</v>
      </c>
      <c r="O625" t="n">
        <v>0</v>
      </c>
      <c r="P625" t="n">
        <v>0</v>
      </c>
      <c r="Q625" t="n">
        <v>0</v>
      </c>
      <c r="R625" s="2" t="inlineStr"/>
    </row>
    <row r="626" ht="15" customHeight="1">
      <c r="A626" t="inlineStr">
        <is>
          <t>A 4670-2026</t>
        </is>
      </c>
      <c r="B626" s="1" t="n">
        <v>46048.41733796296</v>
      </c>
      <c r="C626" s="1" t="n">
        <v>46093</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26457-2025</t>
        </is>
      </c>
      <c r="B627" s="1" t="n">
        <v>45807.42773148148</v>
      </c>
      <c r="C627" s="1" t="n">
        <v>46093</v>
      </c>
      <c r="D627" t="inlineStr">
        <is>
          <t>GOTLANDS LÄN</t>
        </is>
      </c>
      <c r="E627" t="inlineStr">
        <is>
          <t>GOTLAND</t>
        </is>
      </c>
      <c r="G627" t="n">
        <v>5.7</v>
      </c>
      <c r="H627" t="n">
        <v>0</v>
      </c>
      <c r="I627" t="n">
        <v>0</v>
      </c>
      <c r="J627" t="n">
        <v>0</v>
      </c>
      <c r="K627" t="n">
        <v>0</v>
      </c>
      <c r="L627" t="n">
        <v>0</v>
      </c>
      <c r="M627" t="n">
        <v>0</v>
      </c>
      <c r="N627" t="n">
        <v>0</v>
      </c>
      <c r="O627" t="n">
        <v>0</v>
      </c>
      <c r="P627" t="n">
        <v>0</v>
      </c>
      <c r="Q627" t="n">
        <v>0</v>
      </c>
      <c r="R627" s="2" t="inlineStr"/>
    </row>
    <row r="628" ht="15" customHeight="1">
      <c r="A628" t="inlineStr">
        <is>
          <t>A 26467-2025</t>
        </is>
      </c>
      <c r="B628" s="1" t="n">
        <v>45807.44640046296</v>
      </c>
      <c r="C628" s="1" t="n">
        <v>46093</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62754-2025</t>
        </is>
      </c>
      <c r="B629" s="1" t="n">
        <v>46008</v>
      </c>
      <c r="C629" s="1" t="n">
        <v>46093</v>
      </c>
      <c r="D629" t="inlineStr">
        <is>
          <t>GOTLANDS LÄN</t>
        </is>
      </c>
      <c r="E629" t="inlineStr">
        <is>
          <t>GOTLAND</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46093</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26660-2025</t>
        </is>
      </c>
      <c r="B631" s="1" t="n">
        <v>45810.39737268518</v>
      </c>
      <c r="C631" s="1" t="n">
        <v>46093</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1854-2026</t>
        </is>
      </c>
      <c r="B632" s="1" t="n">
        <v>46035.4171875</v>
      </c>
      <c r="C632" s="1" t="n">
        <v>46093</v>
      </c>
      <c r="D632" t="inlineStr">
        <is>
          <t>GOTLANDS LÄN</t>
        </is>
      </c>
      <c r="E632" t="inlineStr">
        <is>
          <t>GOTLAND</t>
        </is>
      </c>
      <c r="G632" t="n">
        <v>3</v>
      </c>
      <c r="H632" t="n">
        <v>0</v>
      </c>
      <c r="I632" t="n">
        <v>0</v>
      </c>
      <c r="J632" t="n">
        <v>0</v>
      </c>
      <c r="K632" t="n">
        <v>0</v>
      </c>
      <c r="L632" t="n">
        <v>0</v>
      </c>
      <c r="M632" t="n">
        <v>0</v>
      </c>
      <c r="N632" t="n">
        <v>0</v>
      </c>
      <c r="O632" t="n">
        <v>0</v>
      </c>
      <c r="P632" t="n">
        <v>0</v>
      </c>
      <c r="Q632" t="n">
        <v>0</v>
      </c>
      <c r="R632" s="2" t="inlineStr"/>
    </row>
    <row r="633" ht="15" customHeight="1">
      <c r="A633" t="inlineStr">
        <is>
          <t>A 27371-2025</t>
        </is>
      </c>
      <c r="B633" s="1" t="n">
        <v>45812</v>
      </c>
      <c r="C633" s="1" t="n">
        <v>46093</v>
      </c>
      <c r="D633" t="inlineStr">
        <is>
          <t>GOTLANDS LÄN</t>
        </is>
      </c>
      <c r="E633" t="inlineStr">
        <is>
          <t>GOTLAND</t>
        </is>
      </c>
      <c r="G633" t="n">
        <v>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46093</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6739-2025</t>
        </is>
      </c>
      <c r="B635" s="1" t="n">
        <v>45700</v>
      </c>
      <c r="C635" s="1" t="n">
        <v>46093</v>
      </c>
      <c r="D635" t="inlineStr">
        <is>
          <t>GOTLANDS LÄN</t>
        </is>
      </c>
      <c r="E635" t="inlineStr">
        <is>
          <t>GOTLAND</t>
        </is>
      </c>
      <c r="G635" t="n">
        <v>4.5</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46093</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46093</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46093</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29196-2025</t>
        </is>
      </c>
      <c r="B639" s="1" t="n">
        <v>45822</v>
      </c>
      <c r="C639" s="1" t="n">
        <v>46093</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29207-2025</t>
        </is>
      </c>
      <c r="B640" s="1" t="n">
        <v>45823</v>
      </c>
      <c r="C640" s="1" t="n">
        <v>46093</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46093</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58160-2024</t>
        </is>
      </c>
      <c r="B642" s="1" t="n">
        <v>45632.44927083333</v>
      </c>
      <c r="C642" s="1" t="n">
        <v>46093</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row r="643" ht="15" customHeight="1">
      <c r="A643" t="inlineStr">
        <is>
          <t>A 32379-2025</t>
        </is>
      </c>
      <c r="B643" s="1" t="n">
        <v>45837</v>
      </c>
      <c r="C643" s="1" t="n">
        <v>46093</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32467-2025</t>
        </is>
      </c>
      <c r="B644" s="1" t="n">
        <v>45838.42111111111</v>
      </c>
      <c r="C644" s="1" t="n">
        <v>46093</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ht="15" customHeight="1">
      <c r="A645" t="inlineStr">
        <is>
          <t>A 16109-2025</t>
        </is>
      </c>
      <c r="B645" s="1" t="n">
        <v>45750</v>
      </c>
      <c r="C645" s="1" t="n">
        <v>46093</v>
      </c>
      <c r="D645" t="inlineStr">
        <is>
          <t>GOTLANDS LÄN</t>
        </is>
      </c>
      <c r="E645" t="inlineStr">
        <is>
          <t>GOTLAND</t>
        </is>
      </c>
      <c r="G645" t="n">
        <v>4.9</v>
      </c>
      <c r="H645" t="n">
        <v>0</v>
      </c>
      <c r="I645" t="n">
        <v>0</v>
      </c>
      <c r="J645" t="n">
        <v>0</v>
      </c>
      <c r="K645" t="n">
        <v>0</v>
      </c>
      <c r="L645" t="n">
        <v>0</v>
      </c>
      <c r="M645" t="n">
        <v>0</v>
      </c>
      <c r="N645" t="n">
        <v>0</v>
      </c>
      <c r="O645" t="n">
        <v>0</v>
      </c>
      <c r="P645" t="n">
        <v>0</v>
      </c>
      <c r="Q645" t="n">
        <v>0</v>
      </c>
      <c r="R645" s="2" t="inlineStr"/>
    </row>
    <row r="646">
      <c r="A646" t="inlineStr">
        <is>
          <t>A 33007-2025</t>
        </is>
      </c>
      <c r="B646" s="1" t="n">
        <v>45840</v>
      </c>
      <c r="C646" s="1" t="n">
        <v>46093</v>
      </c>
      <c r="D646" t="inlineStr">
        <is>
          <t>GOTLANDS LÄN</t>
        </is>
      </c>
      <c r="E646" t="inlineStr">
        <is>
          <t>GOTLAND</t>
        </is>
      </c>
      <c r="G646" t="n">
        <v>4.9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2026-03-12T11:15:17Z</dcterms:created>
  <dcterms:modified xmlns:dcterms="http://purl.org/dc/terms/" xmlns:xsi="http://www.w3.org/2001/XMLSchema-instance" xsi:type="dcterms:W3CDTF">2026-03-12T11:15:17Z</dcterms:modified>
</cp:coreProperties>
</file>