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46265</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46265</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46265</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46265</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46265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46265</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46265</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46265</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46265</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46265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46265</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46265</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46265</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46265</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46265</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17766-2024</t>
        </is>
      </c>
      <c r="B48" t="inlineStr">
        <is>
          <t>avverkningsanmälan</t>
        </is>
      </c>
      <c r="C48" t="inlineStr">
        <is>
          <t>Föryngringsavverkning</t>
        </is>
      </c>
      <c r="D48" s="1" t="n">
        <v>45418</v>
      </c>
      <c r="E48" s="1" t="n">
        <v>46265</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46265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46265</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46265</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46265</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46265</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22404-2024</t>
        </is>
      </c>
      <c r="B57" t="inlineStr">
        <is>
          <t>avverkningsanmälan</t>
        </is>
      </c>
      <c r="C57" t="inlineStr">
        <is>
          <t>Avverkning för annat ändamål</t>
        </is>
      </c>
      <c r="D57" s="1" t="n">
        <v>45446</v>
      </c>
      <c r="E57" s="1" t="n">
        <v>46265</v>
      </c>
      <c r="F57" t="inlineStr">
        <is>
          <t>GOTLANDS LÄN</t>
        </is>
      </c>
      <c r="G57" t="inlineStr">
        <is>
          <t>GOTLAND</t>
        </is>
      </c>
      <c r="I57" t="n">
        <v>11.4</v>
      </c>
      <c r="J57" t="n">
        <v>3</v>
      </c>
      <c r="K57" t="n">
        <v>5</v>
      </c>
      <c r="L57" t="n">
        <v>2</v>
      </c>
      <c r="M57" t="n">
        <v>3</v>
      </c>
      <c r="N57" t="n">
        <v>0</v>
      </c>
      <c r="O57" t="n">
        <v>0</v>
      </c>
      <c r="P57" t="n">
        <v>0</v>
      </c>
      <c r="Q57" t="n">
        <v>5</v>
      </c>
      <c r="R57" t="n">
        <v>3</v>
      </c>
      <c r="S57" t="n">
        <v>10</v>
      </c>
      <c r="T57" t="n">
        <v>10</v>
      </c>
      <c r="U57" t="n">
        <v>3</v>
      </c>
      <c r="V57" s="2" t="inlineStr">
        <is>
          <t>Blåfotad fagerspindling
Bullspindling
Vit taggsvamp
Barrfagerspindling
Blå slemspindling
Flugblomster
Purpurknipprot
Rödgul trumpetsvamp
Svavelriska
Tvåblad</t>
        </is>
      </c>
      <c r="W57">
        <f>HYPERLINK("https://klasma.github.io/Logging_0980/artfynd/A 22404-2024 artfynd.xlsx", "A 22404-2024")</f>
        <v/>
      </c>
      <c r="X57">
        <f>HYPERLINK("https://klasma.github.io/Logging_0980/kartor/A 22404-2024 karta.png", "A 22404-2024")</f>
        <v/>
      </c>
      <c r="Y57">
        <f>HYPERLINK("https://klasma.github.io/Logging_0980/kartor_geotiff/A 22404-2024 georefererad karta.tif", "A 22404-2024")</f>
        <v/>
      </c>
      <c r="AA57">
        <f>HYPERLINK("https://klasma.github.io/Logging_0980/klagomål/A 22404-2024 FSC-klagomål.docx", "A 22404-2024")</f>
        <v/>
      </c>
      <c r="AB57">
        <f>HYPERLINK("https://klasma.github.io/Logging_0980/klagomålsmail/A 22404-2024 FSC-klagomål mail.docx", "A 22404-2024")</f>
        <v/>
      </c>
      <c r="AC57">
        <f>HYPERLINK("https://klasma.github.io/Logging_0980/tillsyn/A 22404-2024 tillsynsbegäran.docx", "A 22404-2024")</f>
        <v/>
      </c>
      <c r="AD57">
        <f>HYPERLINK("https://klasma.github.io/Logging_0980/tillsynsmail/A 22404-2024 tillsynsbegäran mail.docx", "A 22404-2024")</f>
        <v/>
      </c>
    </row>
    <row r="58" ht="15" customHeight="1">
      <c r="A58" t="inlineStr">
        <is>
          <t>A 4984-2025</t>
        </is>
      </c>
      <c r="B58" t="inlineStr">
        <is>
          <t>avverkningsanmälan</t>
        </is>
      </c>
      <c r="C58" t="inlineStr">
        <is>
          <t>Föryngringsavverkning</t>
        </is>
      </c>
      <c r="D58" s="1" t="n">
        <v>45691</v>
      </c>
      <c r="E58" s="1" t="n">
        <v>46265</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46265</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46265</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46265</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55649-2024</t>
        </is>
      </c>
      <c r="B62" t="inlineStr">
        <is>
          <t>avverkningsanmälan</t>
        </is>
      </c>
      <c r="C62" t="inlineStr">
        <is>
          <t>Föryngringsavverkning</t>
        </is>
      </c>
      <c r="D62" s="1" t="n">
        <v>45622</v>
      </c>
      <c r="E62" s="1" t="n">
        <v>46265</v>
      </c>
      <c r="F62" t="inlineStr">
        <is>
          <t>GOTLANDS LÄN</t>
        </is>
      </c>
      <c r="G62" t="inlineStr">
        <is>
          <t>GOTLAND</t>
        </is>
      </c>
      <c r="I62" t="n">
        <v>4.6</v>
      </c>
      <c r="J62" t="n">
        <v>3</v>
      </c>
      <c r="K62" t="n">
        <v>1</v>
      </c>
      <c r="L62" t="n">
        <v>6</v>
      </c>
      <c r="M62" t="n">
        <v>0</v>
      </c>
      <c r="N62" t="n">
        <v>0</v>
      </c>
      <c r="O62" t="n">
        <v>0</v>
      </c>
      <c r="P62" t="n">
        <v>0</v>
      </c>
      <c r="Q62" t="n">
        <v>6</v>
      </c>
      <c r="R62" t="n">
        <v>0</v>
      </c>
      <c r="S62" t="n">
        <v>10</v>
      </c>
      <c r="T62" t="n">
        <v>20</v>
      </c>
      <c r="U62" t="n">
        <v>0</v>
      </c>
      <c r="V62" s="2" t="inlineStr">
        <is>
          <t>Backtimjan
Jordtistel
Jungfrulin
Solvända
Svinrot
Ängsnätfjäril
Guldlockmossa
Blåsippa
Sankt pers nycklar
Gullviva</t>
        </is>
      </c>
      <c r="W62">
        <f>HYPERLINK("https://klasma.github.io/Logging_0980/artfynd/A 55649-2024 artfynd.xlsx", "A 55649-2024")</f>
        <v/>
      </c>
      <c r="X62">
        <f>HYPERLINK("https://klasma.github.io/Logging_0980/kartor/A 55649-2024 karta.png", "A 55649-2024")</f>
        <v/>
      </c>
      <c r="Y62">
        <f>HYPERLINK("https://klasma.github.io/Logging_0980/kartor_geotiff/A 55649-2024 georefererad karta.tif", "A 55649-2024")</f>
        <v/>
      </c>
      <c r="AA62">
        <f>HYPERLINK("https://klasma.github.io/Logging_0980/klagomål/A 55649-2024 FSC-klagomål.docx", "A 55649-2024")</f>
        <v/>
      </c>
      <c r="AB62">
        <f>HYPERLINK("https://klasma.github.io/Logging_0980/klagomålsmail/A 55649-2024 FSC-klagomål mail.docx", "A 55649-2024")</f>
        <v/>
      </c>
      <c r="AC62">
        <f>HYPERLINK("https://klasma.github.io/Logging_0980/tillsyn/A 55649-2024 tillsynsbegäran.docx", "A 55649-2024")</f>
        <v/>
      </c>
      <c r="AD62">
        <f>HYPERLINK("https://klasma.github.io/Logging_0980/tillsynsmail/A 55649-2024 tillsynsbegäran mail.docx", "A 55649-2024")</f>
        <v/>
      </c>
    </row>
    <row r="63" ht="15" customHeight="1">
      <c r="A63" t="inlineStr">
        <is>
          <t>A 186-2023</t>
        </is>
      </c>
      <c r="B63" t="inlineStr">
        <is>
          <t>avverkningsanmälan</t>
        </is>
      </c>
      <c r="C63" t="inlineStr">
        <is>
          <t>Föryngringsavverkning</t>
        </is>
      </c>
      <c r="D63" s="1" t="n">
        <v>44928</v>
      </c>
      <c r="E63" s="1" t="n">
        <v>46265</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32326-2024</t>
        </is>
      </c>
      <c r="B64" t="inlineStr">
        <is>
          <t>avverkningsanmälan</t>
        </is>
      </c>
      <c r="C64" t="inlineStr">
        <is>
          <t>Föryngringsavverkning</t>
        </is>
      </c>
      <c r="D64" s="1" t="n">
        <v>45512</v>
      </c>
      <c r="E64" s="1" t="n">
        <v>46265</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1769-2022</t>
        </is>
      </c>
      <c r="B65" t="inlineStr">
        <is>
          <t>avverkningsanmälan</t>
        </is>
      </c>
      <c r="C65" t="inlineStr">
        <is>
          <t>Föryngringsavverkning</t>
        </is>
      </c>
      <c r="D65" s="1" t="n">
        <v>44574</v>
      </c>
      <c r="E65" s="1" t="n">
        <v>46265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46265</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46265</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46265</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46265</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46265</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46265</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46265</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46265</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6836-2026</t>
        </is>
      </c>
      <c r="B76" t="inlineStr">
        <is>
          <t>avverkningsanmälan</t>
        </is>
      </c>
      <c r="C76" t="inlineStr">
        <is>
          <t>Föryngringsavverkning</t>
        </is>
      </c>
      <c r="D76" s="1" t="n">
        <v>46057</v>
      </c>
      <c r="E76" s="1" t="n">
        <v>46265</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57773-2025</t>
        </is>
      </c>
      <c r="B77" t="inlineStr">
        <is>
          <t>avverkningsanmälan</t>
        </is>
      </c>
      <c r="C77" t="inlineStr">
        <is>
          <t>Föryngringsavverkning</t>
        </is>
      </c>
      <c r="D77" s="1" t="n">
        <v>45981</v>
      </c>
      <c r="E77" s="1" t="n">
        <v>46265</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27170-2026</t>
        </is>
      </c>
      <c r="B78" t="inlineStr">
        <is>
          <t>avverkningsanmälan</t>
        </is>
      </c>
      <c r="C78" t="inlineStr">
        <is>
          <t>Föryngringsavverkning</t>
        </is>
      </c>
      <c r="D78" s="1" t="n">
        <v>46188</v>
      </c>
      <c r="E78" s="1" t="n">
        <v>46265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46265</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10419-2025</t>
        </is>
      </c>
      <c r="B81" t="inlineStr">
        <is>
          <t>avverkningsanmälan</t>
        </is>
      </c>
      <c r="C81" t="inlineStr">
        <is>
          <t>Avverkning för att bevara och utveckla /försöksver</t>
        </is>
      </c>
      <c r="D81" s="1" t="n">
        <v>45720</v>
      </c>
      <c r="E81" s="1" t="n">
        <v>46265</v>
      </c>
      <c r="F81" t="inlineStr">
        <is>
          <t>GOTLANDS LÄN</t>
        </is>
      </c>
      <c r="G81" t="inlineStr">
        <is>
          <t>GOTLAND</t>
        </is>
      </c>
      <c r="I81" t="n">
        <v>1.2</v>
      </c>
      <c r="J81" t="n">
        <v>0</v>
      </c>
      <c r="K81" t="n">
        <v>2</v>
      </c>
      <c r="L81" t="n">
        <v>3</v>
      </c>
      <c r="M81" t="n">
        <v>2</v>
      </c>
      <c r="N81" t="n">
        <v>0</v>
      </c>
      <c r="O81" t="n">
        <v>0</v>
      </c>
      <c r="P81" t="n">
        <v>0</v>
      </c>
      <c r="Q81" t="n">
        <v>5</v>
      </c>
      <c r="R81" t="n">
        <v>2</v>
      </c>
      <c r="S81" t="n">
        <v>7</v>
      </c>
      <c r="T81" t="n">
        <v>16</v>
      </c>
      <c r="U81" t="n">
        <v>0</v>
      </c>
      <c r="V81" s="2" t="inlineStr">
        <is>
          <t>Mörkfjällig olivspindling
Violettfläckig spindling
Blå slemspindling
Fjällig taggsvamp s.str.
Kryddspindling
Anisspindling
Olivspindling</t>
        </is>
      </c>
      <c r="W81">
        <f>HYPERLINK("https://klasma.github.io/Logging_0980/artfynd/A 10419-2025 artfynd.xlsx", "A 10419-2025")</f>
        <v/>
      </c>
      <c r="X81">
        <f>HYPERLINK("https://klasma.github.io/Logging_0980/kartor/A 10419-2025 karta.png", "A 10419-2025")</f>
        <v/>
      </c>
      <c r="Y81">
        <f>HYPERLINK("https://klasma.github.io/Logging_0980/kartor_geotiff/A 10419-2025 georefererad karta.tif", "A 10419-2025")</f>
        <v/>
      </c>
      <c r="AA81">
        <f>HYPERLINK("https://klasma.github.io/Logging_0980/klagomål/A 10419-2025 FSC-klagomål.docx", "A 10419-2025")</f>
        <v/>
      </c>
      <c r="AB81">
        <f>HYPERLINK("https://klasma.github.io/Logging_0980/klagomålsmail/A 10419-2025 FSC-klagomål mail.docx", "A 10419-2025")</f>
        <v/>
      </c>
      <c r="AC81">
        <f>HYPERLINK("https://klasma.github.io/Logging_0980/tillsyn/A 10419-2025 tillsynsbegäran.docx", "A 10419-2025")</f>
        <v/>
      </c>
      <c r="AD81">
        <f>HYPERLINK("https://klasma.github.io/Logging_0980/tillsynsmail/A 10419-2025 tillsynsbegäran mail.docx", "A 10419-2025")</f>
        <v/>
      </c>
    </row>
    <row r="82" ht="15" customHeight="1">
      <c r="A82" t="inlineStr">
        <is>
          <t>A 6159-2023</t>
        </is>
      </c>
      <c r="B82" t="inlineStr">
        <is>
          <t>avverkningsanmälan</t>
        </is>
      </c>
      <c r="C82" t="inlineStr">
        <is>
          <t>Föryngringsavverkning</t>
        </is>
      </c>
      <c r="D82" s="1" t="n">
        <v>44964</v>
      </c>
      <c r="E82" s="1" t="n">
        <v>46265</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2085-2023</t>
        </is>
      </c>
      <c r="B83" t="inlineStr">
        <is>
          <t>avverkningsanmälan</t>
        </is>
      </c>
      <c r="C83" t="inlineStr">
        <is>
          <t>Föryngringsavverkning</t>
        </is>
      </c>
      <c r="D83" s="1" t="n">
        <v>44939</v>
      </c>
      <c r="E83" s="1" t="n">
        <v>46265</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46265</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46265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46265</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63152-2025</t>
        </is>
      </c>
      <c r="B87" t="inlineStr">
        <is>
          <t>avverkningsanmälan</t>
        </is>
      </c>
      <c r="C87" t="inlineStr">
        <is>
          <t>Föryngringsavverkning</t>
        </is>
      </c>
      <c r="D87" s="1" t="n">
        <v>46010</v>
      </c>
      <c r="E87" s="1" t="n">
        <v>46265</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46265</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46265</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46265</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46265</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43200-2023</t>
        </is>
      </c>
      <c r="B92" t="inlineStr">
        <is>
          <t>avverkningsanmälan</t>
        </is>
      </c>
      <c r="C92" t="inlineStr">
        <is>
          <t>Föryngringsavverkning</t>
        </is>
      </c>
      <c r="D92" s="1" t="n">
        <v>45183</v>
      </c>
      <c r="E92" s="1" t="n">
        <v>46265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46265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46265</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46265</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46265</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46265</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46265</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46265</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39425-2023</t>
        </is>
      </c>
      <c r="B100" t="inlineStr">
        <is>
          <t>avverkningsanmälan</t>
        </is>
      </c>
      <c r="C100" t="inlineStr">
        <is>
          <t>Avverkning för annat ändamål</t>
        </is>
      </c>
      <c r="D100" s="1" t="n">
        <v>45166</v>
      </c>
      <c r="E100" s="1" t="n">
        <v>46265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46265</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46265</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46265</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46265</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46265</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46265</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54523-2023</t>
        </is>
      </c>
      <c r="B107" t="inlineStr">
        <is>
          <t>avverkningsanmälan</t>
        </is>
      </c>
      <c r="C107" t="inlineStr">
        <is>
          <t>Föryngringsavverkning</t>
        </is>
      </c>
      <c r="D107" s="1" t="n">
        <v>45233</v>
      </c>
      <c r="E107" s="1" t="n">
        <v>46265</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5235-2025</t>
        </is>
      </c>
      <c r="B108" t="inlineStr">
        <is>
          <t>avverkningsanmälan</t>
        </is>
      </c>
      <c r="C108" t="inlineStr">
        <is>
          <t>Föryngringsavverkning</t>
        </is>
      </c>
      <c r="D108" s="1" t="n">
        <v>45692</v>
      </c>
      <c r="E108" s="1" t="n">
        <v>46265</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2485-2025</t>
        </is>
      </c>
      <c r="B109" t="inlineStr">
        <is>
          <t>avverkningsanmälan</t>
        </is>
      </c>
      <c r="C109" t="inlineStr">
        <is>
          <t>Föryngringsavverkning</t>
        </is>
      </c>
      <c r="D109" s="1" t="n">
        <v>45673</v>
      </c>
      <c r="E109" s="1" t="n">
        <v>46265</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t="n">
        <v>84</v>
      </c>
      <c r="V109" s="2" t="inlineStr">
        <is>
          <t>Gotlandsmåra
Skogskorn
Nästrot
Skogsknipprot</t>
        </is>
      </c>
      <c r="W109">
        <f>HYPERLINK("https://klasma.github.io/Logging_0980/artfynd/A 2485-2025 artfynd.xlsx", "A 2485-2025")</f>
        <v/>
      </c>
      <c r="X109">
        <f>HYPERLINK("https://klasma.github.io/Logging_0980/kartor/A 2485-2025 karta.png", "A 2485-2025")</f>
        <v/>
      </c>
      <c r="Y109">
        <f>HYPERLINK("https://klasma.github.io/Logging_0980/kartor_geotiff/A 2485-2025 georefererad karta.tif", "A 2485-2025")</f>
        <v/>
      </c>
      <c r="AA109">
        <f>HYPERLINK("https://klasma.github.io/Logging_0980/klagomål/A 2485-2025 FSC-klagomål.docx", "A 2485-2025")</f>
        <v/>
      </c>
      <c r="AB109">
        <f>HYPERLINK("https://klasma.github.io/Logging_0980/klagomålsmail/A 2485-2025 FSC-klagomål mail.docx", "A 2485-2025")</f>
        <v/>
      </c>
      <c r="AC109">
        <f>HYPERLINK("https://klasma.github.io/Logging_0980/tillsyn/A 2485-2025 tillsynsbegäran.docx", "A 2485-2025")</f>
        <v/>
      </c>
      <c r="AD109">
        <f>HYPERLINK("https://klasma.github.io/Logging_0980/tillsynsmail/A 2485-2025 tillsynsbegäran mail.docx", "A 2485-2025")</f>
        <v/>
      </c>
    </row>
    <row r="110" ht="15" customHeight="1">
      <c r="A110" t="inlineStr">
        <is>
          <t>A 16997-2026</t>
        </is>
      </c>
      <c r="B110" t="inlineStr">
        <is>
          <t>avverkningsanmälan</t>
        </is>
      </c>
      <c r="C110" t="inlineStr">
        <is>
          <t>Föryngringsavverkning</t>
        </is>
      </c>
      <c r="D110" s="1" t="n">
        <v>46114</v>
      </c>
      <c r="E110" s="1" t="n">
        <v>46265</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46265</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61386-2023</t>
        </is>
      </c>
      <c r="B112" t="inlineStr">
        <is>
          <t>avverkningsanmälan</t>
        </is>
      </c>
      <c r="C112" t="inlineStr">
        <is>
          <t>Avverkning för annat ändamål</t>
        </is>
      </c>
      <c r="D112" s="1" t="n">
        <v>45264</v>
      </c>
      <c r="E112" s="1" t="n">
        <v>46265</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56717-2024</t>
        </is>
      </c>
      <c r="B113" t="inlineStr">
        <is>
          <t>avverkningsanmälan</t>
        </is>
      </c>
      <c r="C113" t="inlineStr">
        <is>
          <t>Föryngringsavverkning</t>
        </is>
      </c>
      <c r="D113" s="1" t="n">
        <v>45628</v>
      </c>
      <c r="E113" s="1" t="n">
        <v>46265</v>
      </c>
      <c r="F113" t="inlineStr">
        <is>
          <t>GOTLANDS LÄN</t>
        </is>
      </c>
      <c r="G113" t="inlineStr">
        <is>
          <t>GOTLAND</t>
        </is>
      </c>
      <c r="I113" t="n">
        <v>9.699999999999999</v>
      </c>
      <c r="J113" t="n">
        <v>0</v>
      </c>
      <c r="K113" t="n">
        <v>1</v>
      </c>
      <c r="L113" t="n">
        <v>3</v>
      </c>
      <c r="M113" t="n">
        <v>0</v>
      </c>
      <c r="N113" t="n">
        <v>0</v>
      </c>
      <c r="O113" t="n">
        <v>0</v>
      </c>
      <c r="P113" t="n">
        <v>0</v>
      </c>
      <c r="Q113" t="n">
        <v>3</v>
      </c>
      <c r="R113" t="n">
        <v>0</v>
      </c>
      <c r="S113" t="n">
        <v>4</v>
      </c>
      <c r="T113" t="n">
        <v>5</v>
      </c>
      <c r="U113" t="n">
        <v>0</v>
      </c>
      <c r="V113" s="2" t="inlineStr">
        <is>
          <t>Fjällig taggsvamp s.str.
Kattfotslav
Odörspindling
Havstulpanlav</t>
        </is>
      </c>
      <c r="W113">
        <f>HYPERLINK("https://klasma.github.io/Logging_0980/artfynd/A 56717-2024 artfynd.xlsx", "A 56717-2024")</f>
        <v/>
      </c>
      <c r="X113">
        <f>HYPERLINK("https://klasma.github.io/Logging_0980/kartor/A 56717-2024 karta.png", "A 56717-2024")</f>
        <v/>
      </c>
      <c r="Y113">
        <f>HYPERLINK("https://klasma.github.io/Logging_0980/kartor_geotiff/A 56717-2024 georefererad karta.tif", "A 56717-2024")</f>
        <v/>
      </c>
      <c r="AA113">
        <f>HYPERLINK("https://klasma.github.io/Logging_0980/klagomål/A 56717-2024 FSC-klagomål.docx", "A 56717-2024")</f>
        <v/>
      </c>
      <c r="AB113">
        <f>HYPERLINK("https://klasma.github.io/Logging_0980/klagomålsmail/A 56717-2024 FSC-klagomål mail.docx", "A 56717-2024")</f>
        <v/>
      </c>
      <c r="AC113">
        <f>HYPERLINK("https://klasma.github.io/Logging_0980/tillsyn/A 56717-2024 tillsynsbegäran.docx", "A 56717-2024")</f>
        <v/>
      </c>
      <c r="AD113">
        <f>HYPERLINK("https://klasma.github.io/Logging_0980/tillsynsmail/A 56717-2024 tillsynsbegäran mail.docx", "A 56717-2024")</f>
        <v/>
      </c>
    </row>
    <row r="114" ht="15" customHeight="1">
      <c r="A114" t="inlineStr">
        <is>
          <t>A 37591-2023</t>
        </is>
      </c>
      <c r="B114" t="inlineStr">
        <is>
          <t>avverkningsanmälan</t>
        </is>
      </c>
      <c r="C114" t="inlineStr">
        <is>
          <t>Föryngringsavverkning</t>
        </is>
      </c>
      <c r="D114" s="1" t="n">
        <v>45159</v>
      </c>
      <c r="E114" s="1" t="n">
        <v>46265</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46265</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46265</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7625-2026</t>
        </is>
      </c>
      <c r="B117" t="inlineStr">
        <is>
          <t>avverkningsanmälan</t>
        </is>
      </c>
      <c r="C117" t="inlineStr">
        <is>
          <t>Föryngringsavverkning</t>
        </is>
      </c>
      <c r="D117" s="1" t="n">
        <v>46062</v>
      </c>
      <c r="E117" s="1" t="n">
        <v>46265</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10440-2024</t>
        </is>
      </c>
      <c r="B118" t="inlineStr">
        <is>
          <t>avverkningsanmälan</t>
        </is>
      </c>
      <c r="C118" t="inlineStr">
        <is>
          <t>Föryngringsavverkning</t>
        </is>
      </c>
      <c r="D118" s="1" t="n">
        <v>45366</v>
      </c>
      <c r="E118" s="1" t="n">
        <v>46265</v>
      </c>
      <c r="F118" t="inlineStr">
        <is>
          <t>GOTLANDS LÄN</t>
        </is>
      </c>
      <c r="G118" t="inlineStr">
        <is>
          <t>GOTLAND</t>
        </is>
      </c>
      <c r="I118" t="n">
        <v>2.5</v>
      </c>
      <c r="J118" t="n">
        <v>2</v>
      </c>
      <c r="K118" t="n">
        <v>1</v>
      </c>
      <c r="L118" t="n">
        <v>1</v>
      </c>
      <c r="M118" t="n">
        <v>0</v>
      </c>
      <c r="N118" t="n">
        <v>0</v>
      </c>
      <c r="O118" t="n">
        <v>0</v>
      </c>
      <c r="P118" t="n">
        <v>0</v>
      </c>
      <c r="Q118" t="n">
        <v>1</v>
      </c>
      <c r="R118" t="n">
        <v>0</v>
      </c>
      <c r="S118" t="n">
        <v>3</v>
      </c>
      <c r="T118" t="n">
        <v>5</v>
      </c>
      <c r="U118" t="n">
        <v>5</v>
      </c>
      <c r="V118" s="2" t="inlineStr">
        <is>
          <t>Mindre hackspett
Blåmossa
Blåsippa</t>
        </is>
      </c>
      <c r="W118">
        <f>HYPERLINK("https://klasma.github.io/Logging_0980/artfynd/A 10440-2024 artfynd.xlsx", "A 10440-2024")</f>
        <v/>
      </c>
      <c r="X118">
        <f>HYPERLINK("https://klasma.github.io/Logging_0980/kartor/A 10440-2024 karta.png", "A 10440-2024")</f>
        <v/>
      </c>
      <c r="Y118">
        <f>HYPERLINK("https://klasma.github.io/Logging_0980/kartor_geotiff/A 10440-2024 georefererad karta.tif", "A 10440-2024")</f>
        <v/>
      </c>
      <c r="AA118">
        <f>HYPERLINK("https://klasma.github.io/Logging_0980/klagomål/A 10440-2024 FSC-klagomål.docx", "A 10440-2024")</f>
        <v/>
      </c>
      <c r="AB118">
        <f>HYPERLINK("https://klasma.github.io/Logging_0980/klagomålsmail/A 10440-2024 FSC-klagomål mail.docx", "A 10440-2024")</f>
        <v/>
      </c>
      <c r="AC118">
        <f>HYPERLINK("https://klasma.github.io/Logging_0980/tillsyn/A 10440-2024 tillsynsbegäran.docx", "A 10440-2024")</f>
        <v/>
      </c>
      <c r="AD118">
        <f>HYPERLINK("https://klasma.github.io/Logging_0980/tillsynsmail/A 10440-2024 tillsynsbegäran mail.docx", "A 10440-2024")</f>
        <v/>
      </c>
      <c r="AE118">
        <f>HYPERLINK("https://klasma.github.io/Logging_0980/fåglar/A 10440-2024 prioriterade fågelarter.docx", "A 10440-2024")</f>
        <v/>
      </c>
    </row>
    <row r="119" ht="15" customHeight="1">
      <c r="A119" t="inlineStr">
        <is>
          <t>A 65927-2021</t>
        </is>
      </c>
      <c r="B119" t="inlineStr">
        <is>
          <t>avverkningsanmälan</t>
        </is>
      </c>
      <c r="C119" t="inlineStr">
        <is>
          <t>Föryngringsavverkning</t>
        </is>
      </c>
      <c r="D119" s="1" t="n">
        <v>44516</v>
      </c>
      <c r="E119" s="1" t="n">
        <v>46265</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46265</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46265</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46265</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46265</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46265</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35574-2024</t>
        </is>
      </c>
      <c r="B125" t="inlineStr">
        <is>
          <t>avverkningsanmälan</t>
        </is>
      </c>
      <c r="C125" t="inlineStr">
        <is>
          <t>Föryngringsavverkning</t>
        </is>
      </c>
      <c r="D125" s="1" t="n">
        <v>45531</v>
      </c>
      <c r="E125" s="1" t="n">
        <v>46265</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t="n">
        <v>1</v>
      </c>
      <c r="V125" s="2" t="inlineStr">
        <is>
          <t>Svinrot
Kambräken
Murgröna</t>
        </is>
      </c>
      <c r="W125">
        <f>HYPERLINK("https://klasma.github.io/Logging_0980/artfynd/A 35574-2024 artfynd.xlsx", "A 35574-2024")</f>
        <v/>
      </c>
      <c r="X125">
        <f>HYPERLINK("https://klasma.github.io/Logging_0980/kartor/A 35574-2024 karta.png", "A 35574-2024")</f>
        <v/>
      </c>
      <c r="Y125">
        <f>HYPERLINK("https://klasma.github.io/Logging_0980/kartor_geotiff/A 35574-2024 georefererad karta.tif", "A 35574-2024")</f>
        <v/>
      </c>
      <c r="AA125">
        <f>HYPERLINK("https://klasma.github.io/Logging_0980/klagomål/A 35574-2024 FSC-klagomål.docx", "A 35574-2024")</f>
        <v/>
      </c>
      <c r="AB125">
        <f>HYPERLINK("https://klasma.github.io/Logging_0980/klagomålsmail/A 35574-2024 FSC-klagomål mail.docx", "A 35574-2024")</f>
        <v/>
      </c>
      <c r="AC125">
        <f>HYPERLINK("https://klasma.github.io/Logging_0980/tillsyn/A 35574-2024 tillsynsbegäran.docx", "A 35574-2024")</f>
        <v/>
      </c>
      <c r="AD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46265</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46265</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13499-2022</t>
        </is>
      </c>
      <c r="B128" t="inlineStr">
        <is>
          <t>avverkningsanmälan</t>
        </is>
      </c>
      <c r="C128" t="inlineStr">
        <is>
          <t>Föryngringsavverkning</t>
        </is>
      </c>
      <c r="D128" s="1" t="n">
        <v>44647</v>
      </c>
      <c r="E128" s="1" t="n">
        <v>46265</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46265</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46265</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12315-2024</t>
        </is>
      </c>
      <c r="B131" t="inlineStr">
        <is>
          <t>avverkningsanmälan</t>
        </is>
      </c>
      <c r="C131" t="inlineStr">
        <is>
          <t>Föryngringsavverkning</t>
        </is>
      </c>
      <c r="D131" s="1" t="n">
        <v>45378</v>
      </c>
      <c r="E131" s="1" t="n">
        <v>46265</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49411-2023</t>
        </is>
      </c>
      <c r="B132" t="inlineStr">
        <is>
          <t>avverkningsanmälan</t>
        </is>
      </c>
      <c r="C132" t="inlineStr">
        <is>
          <t>Föryngringsavverkning</t>
        </is>
      </c>
      <c r="D132" s="1" t="n">
        <v>45205</v>
      </c>
      <c r="E132" s="1" t="n">
        <v>46265</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61561-2023</t>
        </is>
      </c>
      <c r="B133" t="inlineStr">
        <is>
          <t>avverkningsanmälan</t>
        </is>
      </c>
      <c r="C133" t="inlineStr">
        <is>
          <t>Föryngringsavverkning</t>
        </is>
      </c>
      <c r="D133" s="1" t="n">
        <v>45265</v>
      </c>
      <c r="E133" s="1" t="n">
        <v>46265</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17975-2024</t>
        </is>
      </c>
      <c r="B134" t="inlineStr">
        <is>
          <t>avverkningsanmälan</t>
        </is>
      </c>
      <c r="C134" t="inlineStr">
        <is>
          <t>Föryngringsavverkning</t>
        </is>
      </c>
      <c r="D134" s="1" t="n">
        <v>45419</v>
      </c>
      <c r="E134" s="1" t="n">
        <v>46265</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46265</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46265</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46265</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46265</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46265</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1010-2024</t>
        </is>
      </c>
      <c r="B143" t="inlineStr">
        <is>
          <t>avverkningsanmälan</t>
        </is>
      </c>
      <c r="C143" t="inlineStr">
        <is>
          <t>Föryngringsavverkning</t>
        </is>
      </c>
      <c r="D143" s="1" t="n">
        <v>45301</v>
      </c>
      <c r="E143" s="1" t="n">
        <v>46265</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27589-2023</t>
        </is>
      </c>
      <c r="B144" t="inlineStr">
        <is>
          <t>avverkningsanmälan</t>
        </is>
      </c>
      <c r="C144" t="inlineStr">
        <is>
          <t>Avverkning för annat ändamål</t>
        </is>
      </c>
      <c r="D144" s="1" t="n">
        <v>45097</v>
      </c>
      <c r="E144" s="1" t="n">
        <v>46265</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62760-2025</t>
        </is>
      </c>
      <c r="B145" t="inlineStr">
        <is>
          <t>avverkningsanmälan</t>
        </is>
      </c>
      <c r="C145" t="inlineStr">
        <is>
          <t>Föryngringsavverkning</t>
        </is>
      </c>
      <c r="D145" s="1" t="n">
        <v>46008</v>
      </c>
      <c r="E145" s="1" t="n">
        <v>46265</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46265</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8036-2022</t>
        </is>
      </c>
      <c r="B147" t="inlineStr">
        <is>
          <t>avverkningsanmälan</t>
        </is>
      </c>
      <c r="C147" t="inlineStr">
        <is>
          <t>Föryngringsavverkning</t>
        </is>
      </c>
      <c r="D147" s="1" t="n">
        <v>44609</v>
      </c>
      <c r="E147" s="1" t="n">
        <v>46265</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46265</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46265</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28276-2024</t>
        </is>
      </c>
      <c r="B150" t="inlineStr">
        <is>
          <t>avverkningsanmälan</t>
        </is>
      </c>
      <c r="C150" t="inlineStr">
        <is>
          <t>Avverkning för annat ändamål</t>
        </is>
      </c>
      <c r="D150" s="1" t="n">
        <v>45477</v>
      </c>
      <c r="E150" s="1" t="n">
        <v>46265</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A 883-2025</t>
        </is>
      </c>
      <c r="B151" t="inlineStr">
        <is>
          <t>avverkningsanmälan</t>
        </is>
      </c>
      <c r="C151" t="inlineStr">
        <is>
          <t>Föryngringsavverkning</t>
        </is>
      </c>
      <c r="D151" s="1" t="n">
        <v>45665</v>
      </c>
      <c r="E151" s="1" t="n">
        <v>46265</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46265</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46265</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46265</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46265</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46265</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46265</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5751-2024</t>
        </is>
      </c>
      <c r="B161" t="inlineStr">
        <is>
          <t>avverkningsanmälan</t>
        </is>
      </c>
      <c r="C161" t="inlineStr">
        <is>
          <t>Avverkning för att bevara och utveckla /försöksver</t>
        </is>
      </c>
      <c r="D161" s="1" t="n">
        <v>45335</v>
      </c>
      <c r="E161" s="1" t="n">
        <v>46265</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46189-2022</t>
        </is>
      </c>
      <c r="B162" t="inlineStr">
        <is>
          <t>avverkningsanmälan</t>
        </is>
      </c>
      <c r="C162" t="inlineStr">
        <is>
          <t>Avverkning för annat ändamål</t>
        </is>
      </c>
      <c r="D162" s="1" t="n">
        <v>44847</v>
      </c>
      <c r="E162" s="1" t="n">
        <v>46265</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46265</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46265</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46265</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46265</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46265</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29809-2022</t>
        </is>
      </c>
      <c r="B168" t="inlineStr">
        <is>
          <t>avverkningsanmälan</t>
        </is>
      </c>
      <c r="C168" t="inlineStr">
        <is>
          <t>Föryngringsavverkning</t>
        </is>
      </c>
      <c r="D168" s="1" t="n">
        <v>44755</v>
      </c>
      <c r="E168" s="1" t="n">
        <v>46265</v>
      </c>
      <c r="F168" t="inlineStr">
        <is>
          <t>GOTLANDS LÄN</t>
        </is>
      </c>
      <c r="G168" t="inlineStr">
        <is>
          <t>GOTLAND</t>
        </is>
      </c>
      <c r="I168" t="n">
        <v>11.5</v>
      </c>
      <c r="J168" t="n">
        <v>1</v>
      </c>
      <c r="K168" t="n">
        <v>0</v>
      </c>
      <c r="L168" t="n">
        <v>1</v>
      </c>
      <c r="M168" t="n">
        <v>0</v>
      </c>
      <c r="N168" t="n">
        <v>0</v>
      </c>
      <c r="O168" t="n">
        <v>0</v>
      </c>
      <c r="P168" t="n">
        <v>0</v>
      </c>
      <c r="Q168" t="n">
        <v>1</v>
      </c>
      <c r="R168" t="n">
        <v>0</v>
      </c>
      <c r="S168" t="n">
        <v>1</v>
      </c>
      <c r="T168" t="n">
        <v>1</v>
      </c>
      <c r="U168" t="n">
        <v>1</v>
      </c>
      <c r="V168" s="2" t="inlineStr">
        <is>
          <t>Dårgräsfjäril</t>
        </is>
      </c>
      <c r="W168">
        <f>HYPERLINK("https://klasma.github.io/Logging_0980/artfynd/A 29809-2022 artfynd.xlsx", "A 29809-2022")</f>
        <v/>
      </c>
      <c r="X168">
        <f>HYPERLINK("https://klasma.github.io/Logging_0980/kartor/A 29809-2022 karta.png", "A 29809-2022")</f>
        <v/>
      </c>
      <c r="Y168">
        <f>HYPERLINK("https://klasma.github.io/Logging_0980/kartor_geotiff/A 29809-2022 georefererad karta.tif", "A 29809-2022")</f>
        <v/>
      </c>
      <c r="AA168">
        <f>HYPERLINK("https://klasma.github.io/Logging_0980/klagomål/A 29809-2022 FSC-klagomål.docx", "A 29809-2022")</f>
        <v/>
      </c>
      <c r="AB168">
        <f>HYPERLINK("https://klasma.github.io/Logging_0980/klagomålsmail/A 29809-2022 FSC-klagomål mail.docx", "A 29809-2022")</f>
        <v/>
      </c>
      <c r="AC168">
        <f>HYPERLINK("https://klasma.github.io/Logging_0980/tillsyn/A 29809-2022 tillsynsbegäran.docx", "A 29809-2022")</f>
        <v/>
      </c>
      <c r="AD168">
        <f>HYPERLINK("https://klasma.github.io/Logging_0980/tillsynsmail/A 29809-2022 tillsynsbegäran mail.docx", "A 29809-2022")</f>
        <v/>
      </c>
    </row>
    <row r="169" ht="15" customHeight="1">
      <c r="A169" t="inlineStr">
        <is>
          <t>A 34141-2024</t>
        </is>
      </c>
      <c r="B169" t="inlineStr">
        <is>
          <t>avverkningsanmälan</t>
        </is>
      </c>
      <c r="C169" t="inlineStr">
        <is>
          <t>Föryngringsavverkning</t>
        </is>
      </c>
      <c r="D169" s="1" t="n">
        <v>45524</v>
      </c>
      <c r="E169" s="1" t="n">
        <v>46265</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46265</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15637-2024</t>
        </is>
      </c>
      <c r="B171" t="inlineStr">
        <is>
          <t>avverkningsanmälan</t>
        </is>
      </c>
      <c r="C171" t="inlineStr">
        <is>
          <t>Föryngringsavverkning</t>
        </is>
      </c>
      <c r="D171" s="1" t="n">
        <v>45403</v>
      </c>
      <c r="E171" s="1" t="n">
        <v>46265</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46265</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30104-2025</t>
        </is>
      </c>
      <c r="B173" t="inlineStr">
        <is>
          <t>avverkningsanmälan</t>
        </is>
      </c>
      <c r="C173" t="inlineStr">
        <is>
          <t>Föryngringsavverkning</t>
        </is>
      </c>
      <c r="D173" s="1" t="n">
        <v>45826</v>
      </c>
      <c r="E173" s="1" t="n">
        <v>46265</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63229-2021</t>
        </is>
      </c>
      <c r="B174" t="inlineStr">
        <is>
          <t>avverkningsanmälan</t>
        </is>
      </c>
      <c r="C174" t="inlineStr">
        <is>
          <t>Föryngringsavverkning</t>
        </is>
      </c>
      <c r="D174" s="1" t="n">
        <v>44508</v>
      </c>
      <c r="E174" s="1" t="n">
        <v>46265</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46265</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46265</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46265</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46265</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46265</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46265</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46265</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46265</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46265</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46265</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46265</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46265</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46265</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46265</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6303-2024</t>
        </is>
      </c>
      <c r="B189" t="inlineStr">
        <is>
          <t>avverkningsanmälan</t>
        </is>
      </c>
      <c r="C189" t="inlineStr">
        <is>
          <t>Föryngringsavverkning</t>
        </is>
      </c>
      <c r="D189" s="1" t="n">
        <v>45338</v>
      </c>
      <c r="E189" s="1" t="n">
        <v>46265</v>
      </c>
      <c r="F189" t="inlineStr">
        <is>
          <t>GOTLANDS LÄN</t>
        </is>
      </c>
      <c r="G189" t="inlineStr">
        <is>
          <t>GOTLAND</t>
        </is>
      </c>
      <c r="I189" t="n">
        <v>0.6</v>
      </c>
      <c r="J189" t="n">
        <v>0</v>
      </c>
      <c r="K189" t="n">
        <v>1</v>
      </c>
      <c r="L189" t="n">
        <v>0</v>
      </c>
      <c r="M189" t="n">
        <v>0</v>
      </c>
      <c r="N189" t="n">
        <v>0</v>
      </c>
      <c r="O189" t="n">
        <v>0</v>
      </c>
      <c r="P189" t="n">
        <v>0</v>
      </c>
      <c r="Q189" t="n">
        <v>0</v>
      </c>
      <c r="R189" t="n">
        <v>0</v>
      </c>
      <c r="S189" t="n">
        <v>1</v>
      </c>
      <c r="T189" t="n">
        <v>1</v>
      </c>
      <c r="U189" t="n">
        <v>1</v>
      </c>
      <c r="V189" s="2" t="inlineStr">
        <is>
          <t>Strävlosta</t>
        </is>
      </c>
      <c r="W189">
        <f>HYPERLINK("https://klasma.github.io/Logging_0980/artfynd/A 6303-2024 artfynd.xlsx", "A 6303-2024")</f>
        <v/>
      </c>
      <c r="X189">
        <f>HYPERLINK("https://klasma.github.io/Logging_0980/kartor/A 6303-2024 karta.png", "A 6303-2024")</f>
        <v/>
      </c>
      <c r="Y189">
        <f>HYPERLINK("https://klasma.github.io/Logging_0980/kartor_geotiff/A 6303-2024 georefererad karta.tif", "A 6303-2024")</f>
        <v/>
      </c>
      <c r="AA189">
        <f>HYPERLINK("https://klasma.github.io/Logging_0980/klagomål/A 6303-2024 FSC-klagomål.docx", "A 6303-2024")</f>
        <v/>
      </c>
      <c r="AB189">
        <f>HYPERLINK("https://klasma.github.io/Logging_0980/klagomålsmail/A 6303-2024 FSC-klagomål mail.docx", "A 6303-2024")</f>
        <v/>
      </c>
      <c r="AC189">
        <f>HYPERLINK("https://klasma.github.io/Logging_0980/tillsyn/A 6303-2024 tillsynsbegäran.docx", "A 6303-2024")</f>
        <v/>
      </c>
      <c r="AD189">
        <f>HYPERLINK("https://klasma.github.io/Logging_0980/tillsynsmail/A 6303-2024 tillsynsbegäran mail.docx", "A 6303-2024")</f>
        <v/>
      </c>
    </row>
    <row r="190" ht="15" customHeight="1">
      <c r="A190" t="inlineStr">
        <is>
          <t>A 13482-2026</t>
        </is>
      </c>
      <c r="B190" t="inlineStr">
        <is>
          <t>avverkningsanmälan</t>
        </is>
      </c>
      <c r="C190" t="inlineStr">
        <is>
          <t>Föryngringsavverkning</t>
        </is>
      </c>
      <c r="D190" s="1" t="n">
        <v>46094</v>
      </c>
      <c r="E190" s="1" t="n">
        <v>46265</v>
      </c>
      <c r="F190" t="inlineStr">
        <is>
          <t>GOTLANDS LÄN</t>
        </is>
      </c>
      <c r="G190" t="inlineStr">
        <is>
          <t>GOTLAND</t>
        </is>
      </c>
      <c r="I190" t="n">
        <v>1.7</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HYPERLINK("https://klasma.github.io/Logging_0980/artfynd/A 13482-2026 artfynd.xlsx", "A 13482-2026")</f>
        <v/>
      </c>
      <c r="X190">
        <f>HYPERLINK("https://klasma.github.io/Logging_0980/kartor/A 13482-2026 karta.png", "A 13482-2026")</f>
        <v/>
      </c>
      <c r="Y190">
        <f>HYPERLINK("https://klasma.github.io/Logging_0980/kartor_geotiff/A 13482-2026 georefererad karta.tif", "A 13482-2026")</f>
        <v/>
      </c>
      <c r="AA190">
        <f>HYPERLINK("https://klasma.github.io/Logging_0980/klagomål/A 13482-2026 FSC-klagomål.docx", "A 13482-2026")</f>
        <v/>
      </c>
      <c r="AB190">
        <f>HYPERLINK("https://klasma.github.io/Logging_0980/klagomålsmail/A 13482-2026 FSC-klagomål mail.docx", "A 13482-2026")</f>
        <v/>
      </c>
      <c r="AC190">
        <f>HYPERLINK("https://klasma.github.io/Logging_0980/tillsyn/A 13482-2026 tillsynsbegäran.docx", "A 13482-2026")</f>
        <v/>
      </c>
      <c r="AD190">
        <f>HYPERLINK("https://klasma.github.io/Logging_0980/tillsynsmail/A 13482-2026 tillsynsbegäran mail.docx", "A 13482-2026")</f>
        <v/>
      </c>
      <c r="AE190">
        <f>HYPERLINK("https://klasma.github.io/Logging_0980/fåglar/A 13482-2026 prioriterade fågelarter.docx", "A 13482-2026")</f>
        <v/>
      </c>
    </row>
    <row r="191" ht="15" customHeight="1">
      <c r="A191" t="inlineStr">
        <is>
          <t>A 4662-2026</t>
        </is>
      </c>
      <c r="B191" t="inlineStr">
        <is>
          <t>avverkningsanmälan</t>
        </is>
      </c>
      <c r="C191" t="inlineStr">
        <is>
          <t>Föryngringsavverkning</t>
        </is>
      </c>
      <c r="D191" s="1" t="n">
        <v>46048</v>
      </c>
      <c r="E191" s="1" t="n">
        <v>46265</v>
      </c>
      <c r="F191" t="inlineStr">
        <is>
          <t>GOTLANDS LÄN</t>
        </is>
      </c>
      <c r="G191" t="inlineStr">
        <is>
          <t>GOTLAND</t>
        </is>
      </c>
      <c r="I191" t="n">
        <v>7.6</v>
      </c>
      <c r="J191" t="n">
        <v>0</v>
      </c>
      <c r="K191" t="n">
        <v>0</v>
      </c>
      <c r="L191" t="n">
        <v>0</v>
      </c>
      <c r="M191" t="n">
        <v>1</v>
      </c>
      <c r="N191" t="n">
        <v>0</v>
      </c>
      <c r="O191" t="n">
        <v>0</v>
      </c>
      <c r="P191" t="n">
        <v>0</v>
      </c>
      <c r="Q191" t="n">
        <v>1</v>
      </c>
      <c r="R191" t="n">
        <v>1</v>
      </c>
      <c r="S191" t="n">
        <v>1</v>
      </c>
      <c r="T191" t="n">
        <v>1</v>
      </c>
      <c r="U191" t="n">
        <v>0</v>
      </c>
      <c r="V191" s="2" t="inlineStr">
        <is>
          <t>Strandviol</t>
        </is>
      </c>
      <c r="W191">
        <f>HYPERLINK("https://klasma.github.io/Logging_0980/artfynd/A 4662-2026 artfynd.xlsx", "A 4662-2026")</f>
        <v/>
      </c>
      <c r="X191">
        <f>HYPERLINK("https://klasma.github.io/Logging_0980/kartor/A 4662-2026 karta.png", "A 4662-2026")</f>
        <v/>
      </c>
      <c r="Y191">
        <f>HYPERLINK("https://klasma.github.io/Logging_0980/kartor_geotiff/A 4662-2026 georefererad karta.tif", "A 4662-2026")</f>
        <v/>
      </c>
      <c r="AA191">
        <f>HYPERLINK("https://klasma.github.io/Logging_0980/klagomål/A 4662-2026 FSC-klagomål.docx", "A 4662-2026")</f>
        <v/>
      </c>
      <c r="AB191">
        <f>HYPERLINK("https://klasma.github.io/Logging_0980/klagomålsmail/A 4662-2026 FSC-klagomål mail.docx", "A 4662-2026")</f>
        <v/>
      </c>
      <c r="AC191">
        <f>HYPERLINK("https://klasma.github.io/Logging_0980/tillsyn/A 4662-2026 tillsynsbegäran.docx", "A 4662-2026")</f>
        <v/>
      </c>
      <c r="AD191">
        <f>HYPERLINK("https://klasma.github.io/Logging_0980/tillsynsmail/A 4662-2026 tillsynsbegäran mail.docx", "A 4662-2026")</f>
        <v/>
      </c>
    </row>
    <row r="192" ht="15" customHeight="1">
      <c r="A192" t="inlineStr">
        <is>
          <t>A 17854-2026</t>
        </is>
      </c>
      <c r="B192" t="inlineStr">
        <is>
          <t>avverkningsanmälan</t>
        </is>
      </c>
      <c r="C192" t="inlineStr">
        <is>
          <t>Föryngringsavverkning</t>
        </is>
      </c>
      <c r="D192" s="1" t="n">
        <v>46121</v>
      </c>
      <c r="E192" s="1" t="n">
        <v>46265</v>
      </c>
      <c r="F192" t="inlineStr">
        <is>
          <t>GOTLANDS LÄN</t>
        </is>
      </c>
      <c r="G192" t="inlineStr">
        <is>
          <t>GOTLAND</t>
        </is>
      </c>
      <c r="I192" t="n">
        <v>6.6</v>
      </c>
      <c r="J192" t="n">
        <v>0</v>
      </c>
      <c r="K192" t="n">
        <v>0</v>
      </c>
      <c r="L192" t="n">
        <v>1</v>
      </c>
      <c r="M192" t="n">
        <v>0</v>
      </c>
      <c r="N192" t="n">
        <v>0</v>
      </c>
      <c r="O192" t="n">
        <v>0</v>
      </c>
      <c r="P192" t="n">
        <v>0</v>
      </c>
      <c r="Q192" t="n">
        <v>1</v>
      </c>
      <c r="R192" t="n">
        <v>0</v>
      </c>
      <c r="S192" t="n">
        <v>1</v>
      </c>
      <c r="T192" t="n">
        <v>1</v>
      </c>
      <c r="U192" t="n">
        <v>0</v>
      </c>
      <c r="V192" s="2" t="inlineStr">
        <is>
          <t>Blå slemspindling</t>
        </is>
      </c>
      <c r="W192">
        <f>HYPERLINK("https://klasma.github.io/Logging_0980/artfynd/A 17854-2026 artfynd.xlsx", "A 17854-2026")</f>
        <v/>
      </c>
      <c r="X192">
        <f>HYPERLINK("https://klasma.github.io/Logging_0980/kartor/A 17854-2026 karta.png", "A 17854-2026")</f>
        <v/>
      </c>
      <c r="Y192">
        <f>HYPERLINK("https://klasma.github.io/Logging_0980/kartor_geotiff/A 17854-2026 georefererad karta.tif", "A 17854-2026")</f>
        <v/>
      </c>
      <c r="AA192">
        <f>HYPERLINK("https://klasma.github.io/Logging_0980/klagomål/A 17854-2026 FSC-klagomål.docx", "A 17854-2026")</f>
        <v/>
      </c>
      <c r="AB192">
        <f>HYPERLINK("https://klasma.github.io/Logging_0980/klagomålsmail/A 17854-2026 FSC-klagomål mail.docx", "A 17854-2026")</f>
        <v/>
      </c>
      <c r="AC192">
        <f>HYPERLINK("https://klasma.github.io/Logging_0980/tillsyn/A 17854-2026 tillsynsbegäran.docx", "A 17854-2026")</f>
        <v/>
      </c>
      <c r="AD192">
        <f>HYPERLINK("https://klasma.github.io/Logging_0980/tillsynsmail/A 17854-2026 tillsynsbegäran mail.docx", "A 17854-2026")</f>
        <v/>
      </c>
    </row>
    <row r="193" ht="15" customHeight="1">
      <c r="A193" t="inlineStr">
        <is>
          <t>A 40294-2022</t>
        </is>
      </c>
      <c r="B193" t="inlineStr">
        <is>
          <t>avverkningsanmälan</t>
        </is>
      </c>
      <c r="C193" t="inlineStr">
        <is>
          <t>Föryngringsavverkning</t>
        </is>
      </c>
      <c r="D193" s="1" t="n">
        <v>44821</v>
      </c>
      <c r="E193" s="1" t="n">
        <v>46265</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46265</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46265</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22782-2023</t>
        </is>
      </c>
      <c r="B196" t="inlineStr">
        <is>
          <t>avverkningsanmälan</t>
        </is>
      </c>
      <c r="C196" t="inlineStr">
        <is>
          <t>Föryngringsavverkning</t>
        </is>
      </c>
      <c r="D196" s="1" t="n">
        <v>45072</v>
      </c>
      <c r="E196" s="1" t="n">
        <v>46265</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46265</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46265</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57534-2022</t>
        </is>
      </c>
      <c r="B199" t="inlineStr">
        <is>
          <t>avverkningsanmälan</t>
        </is>
      </c>
      <c r="C199" t="inlineStr">
        <is>
          <t>Föryngringsavverkning</t>
        </is>
      </c>
      <c r="D199" s="1" t="n">
        <v>44896</v>
      </c>
      <c r="E199" s="1" t="n">
        <v>46265</v>
      </c>
      <c r="F199" t="inlineStr">
        <is>
          <t>GOTLANDS LÄN</t>
        </is>
      </c>
      <c r="G199" t="inlineStr">
        <is>
          <t>GOTLAND</t>
        </is>
      </c>
      <c r="I199" t="n">
        <v>0.6</v>
      </c>
      <c r="J199" t="n">
        <v>0</v>
      </c>
      <c r="K199" t="n">
        <v>1</v>
      </c>
      <c r="L199" t="n">
        <v>0</v>
      </c>
      <c r="M199" t="n">
        <v>0</v>
      </c>
      <c r="N199" t="n">
        <v>0</v>
      </c>
      <c r="O199" t="n">
        <v>0</v>
      </c>
      <c r="P199" t="n">
        <v>0</v>
      </c>
      <c r="Q199" t="n">
        <v>0</v>
      </c>
      <c r="R199" t="n">
        <v>0</v>
      </c>
      <c r="S199" t="n">
        <v>1</v>
      </c>
      <c r="T199" t="n">
        <v>1</v>
      </c>
      <c r="U199" t="n">
        <v>1</v>
      </c>
      <c r="V199" s="2" t="inlineStr">
        <is>
          <t>Myskmadra</t>
        </is>
      </c>
      <c r="W199">
        <f>HYPERLINK("https://klasma.github.io/Logging_0980/artfynd/A 57534-2022 artfynd.xlsx", "A 57534-2022")</f>
        <v/>
      </c>
      <c r="X199">
        <f>HYPERLINK("https://klasma.github.io/Logging_0980/kartor/A 57534-2022 karta.png", "A 57534-2022")</f>
        <v/>
      </c>
      <c r="Y199">
        <f>HYPERLINK("https://klasma.github.io/Logging_0980/kartor_geotiff/A 57534-2022 georefererad karta.tif", "A 57534-2022")</f>
        <v/>
      </c>
      <c r="AA199">
        <f>HYPERLINK("https://klasma.github.io/Logging_0980/klagomål/A 57534-2022 FSC-klagomål.docx", "A 57534-2022")</f>
        <v/>
      </c>
      <c r="AB199">
        <f>HYPERLINK("https://klasma.github.io/Logging_0980/klagomålsmail/A 57534-2022 FSC-klagomål mail.docx", "A 57534-2022")</f>
        <v/>
      </c>
      <c r="AC199">
        <f>HYPERLINK("https://klasma.github.io/Logging_0980/tillsyn/A 57534-2022 tillsynsbegäran.docx", "A 57534-2022")</f>
        <v/>
      </c>
      <c r="AD199">
        <f>HYPERLINK("https://klasma.github.io/Logging_0980/tillsynsmail/A 57534-2022 tillsynsbegäran mail.docx", "A 57534-2022")</f>
        <v/>
      </c>
    </row>
    <row r="200" ht="15" customHeight="1">
      <c r="A200" t="inlineStr">
        <is>
          <t>A 24245-2022</t>
        </is>
      </c>
      <c r="B200" t="inlineStr">
        <is>
          <t>avverkningsanmälan</t>
        </is>
      </c>
      <c r="C200" t="inlineStr">
        <is>
          <t>Föryngringsavverkning</t>
        </is>
      </c>
      <c r="D200" s="1" t="n">
        <v>44725</v>
      </c>
      <c r="E200" s="1" t="n">
        <v>46265</v>
      </c>
      <c r="F200" t="inlineStr">
        <is>
          <t>GOTLANDS LÄN</t>
        </is>
      </c>
      <c r="G200" t="inlineStr">
        <is>
          <t>GOTLAND</t>
        </is>
      </c>
      <c r="I200" t="n">
        <v>4.9</v>
      </c>
      <c r="J200" t="n">
        <v>0</v>
      </c>
      <c r="K200" t="n">
        <v>0</v>
      </c>
      <c r="L200" t="n">
        <v>0</v>
      </c>
      <c r="M200" t="n">
        <v>0</v>
      </c>
      <c r="N200" t="n">
        <v>1</v>
      </c>
      <c r="O200" t="n">
        <v>0</v>
      </c>
      <c r="P200" t="n">
        <v>0</v>
      </c>
      <c r="Q200" t="n">
        <v>1</v>
      </c>
      <c r="R200" t="n">
        <v>1</v>
      </c>
      <c r="S200" t="n">
        <v>1</v>
      </c>
      <c r="T200" t="n">
        <v>2</v>
      </c>
      <c r="U200" t="n">
        <v>0</v>
      </c>
      <c r="V200" s="2" t="inlineStr">
        <is>
          <t>Slät taggsvamp</t>
        </is>
      </c>
      <c r="W200">
        <f>HYPERLINK("https://klasma.github.io/Logging_0980/artfynd/A 24245-2022 artfynd.xlsx", "A 24245-2022")</f>
        <v/>
      </c>
      <c r="X200">
        <f>HYPERLINK("https://klasma.github.io/Logging_0980/kartor/A 24245-2022 karta.png", "A 24245-2022")</f>
        <v/>
      </c>
      <c r="Y200">
        <f>HYPERLINK("https://klasma.github.io/Logging_0980/kartor_geotiff/A 24245-2022 georefererad karta.tif", "A 24245-2022")</f>
        <v/>
      </c>
      <c r="AA200">
        <f>HYPERLINK("https://klasma.github.io/Logging_0980/klagomål/A 24245-2022 FSC-klagomål.docx", "A 24245-2022")</f>
        <v/>
      </c>
      <c r="AB200">
        <f>HYPERLINK("https://klasma.github.io/Logging_0980/klagomålsmail/A 24245-2022 FSC-klagomål mail.docx", "A 24245-2022")</f>
        <v/>
      </c>
      <c r="AC200">
        <f>HYPERLINK("https://klasma.github.io/Logging_0980/tillsyn/A 24245-2022 tillsynsbegäran.docx", "A 24245-2022")</f>
        <v/>
      </c>
      <c r="AD200">
        <f>HYPERLINK("https://klasma.github.io/Logging_0980/tillsynsmail/A 24245-2022 tillsynsbegäran mail.docx", "A 24245-2022")</f>
        <v/>
      </c>
    </row>
    <row r="201" ht="15" customHeight="1">
      <c r="A201" t="inlineStr">
        <is>
          <t>A 49847-2023</t>
        </is>
      </c>
      <c r="B201" t="inlineStr">
        <is>
          <t>avverkningsanmälan</t>
        </is>
      </c>
      <c r="C201" t="inlineStr">
        <is>
          <t>Föryngringsavverkning</t>
        </is>
      </c>
      <c r="D201" s="1" t="n">
        <v>45212</v>
      </c>
      <c r="E201" s="1" t="n">
        <v>46265</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46265</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21396-2026</t>
        </is>
      </c>
      <c r="B203" t="inlineStr">
        <is>
          <t>avverkningsanmälan</t>
        </is>
      </c>
      <c r="C203" t="inlineStr">
        <is>
          <t>Föryngringsavverkning</t>
        </is>
      </c>
      <c r="D203" s="1" t="n">
        <v>46148</v>
      </c>
      <c r="E203" s="1" t="n">
        <v>46265</v>
      </c>
      <c r="F203" t="inlineStr">
        <is>
          <t>GOTLANDS LÄN</t>
        </is>
      </c>
      <c r="G203" t="inlineStr">
        <is>
          <t>GOTLAND</t>
        </is>
      </c>
      <c r="I203" t="n">
        <v>6.1</v>
      </c>
      <c r="J203" t="n">
        <v>0</v>
      </c>
      <c r="K203" t="n">
        <v>0</v>
      </c>
      <c r="L203" t="n">
        <v>0</v>
      </c>
      <c r="M203" t="n">
        <v>1</v>
      </c>
      <c r="N203" t="n">
        <v>0</v>
      </c>
      <c r="O203" t="n">
        <v>0</v>
      </c>
      <c r="P203" t="n">
        <v>0</v>
      </c>
      <c r="Q203" t="n">
        <v>1</v>
      </c>
      <c r="R203" t="n">
        <v>1</v>
      </c>
      <c r="S203" t="n">
        <v>1</v>
      </c>
      <c r="T203" t="n">
        <v>1</v>
      </c>
      <c r="U203" t="n">
        <v>0</v>
      </c>
      <c r="V203" s="2" t="inlineStr">
        <is>
          <t>Oxhorndyvel</t>
        </is>
      </c>
      <c r="W203">
        <f>HYPERLINK("https://klasma.github.io/Logging_0980/artfynd/A 21396-2026 artfynd.xlsx", "A 21396-2026")</f>
        <v/>
      </c>
      <c r="X203">
        <f>HYPERLINK("https://klasma.github.io/Logging_0980/kartor/A 21396-2026 karta.png", "A 21396-2026")</f>
        <v/>
      </c>
      <c r="Y203">
        <f>HYPERLINK("https://klasma.github.io/Logging_0980/kartor_geotiff/A 21396-2026 georefererad karta.tif", "A 21396-2026")</f>
        <v/>
      </c>
      <c r="AA203">
        <f>HYPERLINK("https://klasma.github.io/Logging_0980/klagomål/A 21396-2026 FSC-klagomål.docx", "A 21396-2026")</f>
        <v/>
      </c>
      <c r="AB203">
        <f>HYPERLINK("https://klasma.github.io/Logging_0980/klagomålsmail/A 21396-2026 FSC-klagomål mail.docx", "A 21396-2026")</f>
        <v/>
      </c>
      <c r="AC203">
        <f>HYPERLINK("https://klasma.github.io/Logging_0980/tillsyn/A 21396-2026 tillsynsbegäran.docx", "A 21396-2026")</f>
        <v/>
      </c>
      <c r="AD203">
        <f>HYPERLINK("https://klasma.github.io/Logging_0980/tillsynsmail/A 21396-2026 tillsynsbegäran mail.docx", "A 21396-2026")</f>
        <v/>
      </c>
    </row>
    <row r="204" ht="15" customHeight="1">
      <c r="A204" t="inlineStr">
        <is>
          <t>A 11982-2026</t>
        </is>
      </c>
      <c r="B204" t="inlineStr">
        <is>
          <t>avverkningsanmälan</t>
        </is>
      </c>
      <c r="C204" t="inlineStr">
        <is>
          <t>Föryngringsavverkning</t>
        </is>
      </c>
      <c r="D204" s="1" t="n">
        <v>46085</v>
      </c>
      <c r="E204" s="1" t="n">
        <v>46265</v>
      </c>
      <c r="F204" t="inlineStr">
        <is>
          <t>GOTLANDS LÄN</t>
        </is>
      </c>
      <c r="G204" t="inlineStr">
        <is>
          <t>GOTLAND</t>
        </is>
      </c>
      <c r="I204" t="n">
        <v>2.2</v>
      </c>
      <c r="J204" t="n">
        <v>0</v>
      </c>
      <c r="K204" t="n">
        <v>0</v>
      </c>
      <c r="L204" t="n">
        <v>1</v>
      </c>
      <c r="M204" t="n">
        <v>0</v>
      </c>
      <c r="N204" t="n">
        <v>0</v>
      </c>
      <c r="O204" t="n">
        <v>0</v>
      </c>
      <c r="P204" t="n">
        <v>0</v>
      </c>
      <c r="Q204" t="n">
        <v>1</v>
      </c>
      <c r="R204" t="n">
        <v>0</v>
      </c>
      <c r="S204" t="n">
        <v>1</v>
      </c>
      <c r="T204" t="n">
        <v>1</v>
      </c>
      <c r="U204" t="n">
        <v>0</v>
      </c>
      <c r="V204" s="2" t="inlineStr">
        <is>
          <t>Småtörel</t>
        </is>
      </c>
      <c r="W204">
        <f>HYPERLINK("https://klasma.github.io/Logging_0980/artfynd/A 11982-2026 artfynd.xlsx", "A 11982-2026")</f>
        <v/>
      </c>
      <c r="X204">
        <f>HYPERLINK("https://klasma.github.io/Logging_0980/kartor/A 11982-2026 karta.png", "A 11982-2026")</f>
        <v/>
      </c>
      <c r="Y204">
        <f>HYPERLINK("https://klasma.github.io/Logging_0980/kartor_geotiff/A 11982-2026 georefererad karta.tif", "A 11982-2026")</f>
        <v/>
      </c>
      <c r="AA204">
        <f>HYPERLINK("https://klasma.github.io/Logging_0980/klagomål/A 11982-2026 FSC-klagomål.docx", "A 11982-2026")</f>
        <v/>
      </c>
      <c r="AB204">
        <f>HYPERLINK("https://klasma.github.io/Logging_0980/klagomålsmail/A 11982-2026 FSC-klagomål mail.docx", "A 11982-2026")</f>
        <v/>
      </c>
      <c r="AC204">
        <f>HYPERLINK("https://klasma.github.io/Logging_0980/tillsyn/A 11982-2026 tillsynsbegäran.docx", "A 11982-2026")</f>
        <v/>
      </c>
      <c r="AD204">
        <f>HYPERLINK("https://klasma.github.io/Logging_0980/tillsynsmail/A 11982-2026 tillsynsbegäran mail.docx", "A 11982-2026")</f>
        <v/>
      </c>
    </row>
    <row r="205" ht="15" customHeight="1">
      <c r="A205" t="inlineStr">
        <is>
          <t>A 18036-2026</t>
        </is>
      </c>
      <c r="B205" t="inlineStr">
        <is>
          <t>avverkningsanmälan</t>
        </is>
      </c>
      <c r="C205" t="inlineStr">
        <is>
          <t>Föryngringsavverkning</t>
        </is>
      </c>
      <c r="D205" s="1" t="n">
        <v>46125</v>
      </c>
      <c r="E205" s="1" t="n">
        <v>46265</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46265</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46265</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46265</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46265</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46265</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46265</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46265</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46265</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46265</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46265</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46265</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46265</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46265</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46265</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46265</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46265</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46265</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46265</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46265</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46265</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46265</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46265</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46265</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46265</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46265</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46265</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46265</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46265</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21389-2025</t>
        </is>
      </c>
      <c r="B235" t="inlineStr">
        <is>
          <t>avverkningsanmälan</t>
        </is>
      </c>
      <c r="C235" t="inlineStr">
        <is>
          <t>Föryngringsavverkning</t>
        </is>
      </c>
      <c r="D235" s="1" t="n">
        <v>45782</v>
      </c>
      <c r="E235" s="1" t="n">
        <v>46265</v>
      </c>
      <c r="F235" t="inlineStr">
        <is>
          <t>GOTLANDS LÄN</t>
        </is>
      </c>
      <c r="G235" t="inlineStr">
        <is>
          <t>GOTLAND</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20356-2022</t>
        </is>
      </c>
      <c r="B236" t="inlineStr">
        <is>
          <t>avverkningsanmälan</t>
        </is>
      </c>
      <c r="C236" t="inlineStr">
        <is>
          <t>Avverkning för annat ändamål</t>
        </is>
      </c>
      <c r="D236" s="1" t="n">
        <v>44699</v>
      </c>
      <c r="E236" s="1" t="n">
        <v>46265</v>
      </c>
      <c r="F236" t="inlineStr">
        <is>
          <t>GOTLANDS LÄN</t>
        </is>
      </c>
      <c r="G236" t="inlineStr">
        <is>
          <t>GOTLAND</t>
        </is>
      </c>
      <c r="H236" t="inlineStr">
        <is>
          <t>Övriga Aktiebolag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46265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46265</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48503-2023</t>
        </is>
      </c>
      <c r="B239" t="inlineStr">
        <is>
          <t>avverkningsanmälan</t>
        </is>
      </c>
      <c r="C239" t="inlineStr">
        <is>
          <t>Föryngringsavverkning</t>
        </is>
      </c>
      <c r="D239" s="1" t="n">
        <v>45207</v>
      </c>
      <c r="E239" s="1" t="n">
        <v>46265</v>
      </c>
      <c r="F239" t="inlineStr">
        <is>
          <t>GOTLANDS LÄN</t>
        </is>
      </c>
      <c r="G239" t="inlineStr">
        <is>
          <t>GOTLAND</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46265</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57356-2023</t>
        </is>
      </c>
      <c r="B241" t="inlineStr">
        <is>
          <t>avverkningsanmälan</t>
        </is>
      </c>
      <c r="C241" t="inlineStr">
        <is>
          <t>Föryngringsavverkning</t>
        </is>
      </c>
      <c r="D241" s="1" t="n">
        <v>45240</v>
      </c>
      <c r="E241" s="1" t="n">
        <v>46265</v>
      </c>
      <c r="F241" t="inlineStr">
        <is>
          <t>GOTLANDS LÄN</t>
        </is>
      </c>
      <c r="G241" t="inlineStr">
        <is>
          <t>GOTLAND</t>
        </is>
      </c>
      <c r="I241" t="n">
        <v>6.4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10656-2024</t>
        </is>
      </c>
      <c r="B242" t="inlineStr">
        <is>
          <t>avverkningsanmälan</t>
        </is>
      </c>
      <c r="C242" t="inlineStr">
        <is>
          <t>Föryngringsavverkning</t>
        </is>
      </c>
      <c r="D242" s="1" t="n">
        <v>45368</v>
      </c>
      <c r="E242" s="1" t="n">
        <v>46265</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44649-2021</t>
        </is>
      </c>
      <c r="B243" t="inlineStr">
        <is>
          <t>avverkningsanmälan</t>
        </is>
      </c>
      <c r="C243" t="inlineStr">
        <is>
          <t>Föryngringsavverkning</t>
        </is>
      </c>
      <c r="D243" s="1" t="n">
        <v>44437</v>
      </c>
      <c r="E243" s="1" t="n">
        <v>46265</v>
      </c>
      <c r="F243" t="inlineStr">
        <is>
          <t>GOTLANDS LÄN</t>
        </is>
      </c>
      <c r="G243" t="inlineStr">
        <is>
          <t>GOTLAND</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12599-2025</t>
        </is>
      </c>
      <c r="B244" t="inlineStr">
        <is>
          <t>avverkningsanmälan</t>
        </is>
      </c>
      <c r="C244" t="inlineStr">
        <is>
          <t>Föryngringsavverkning</t>
        </is>
      </c>
      <c r="D244" s="1" t="n">
        <v>45733</v>
      </c>
      <c r="E244" s="1" t="n">
        <v>46265</v>
      </c>
      <c r="F244" t="inlineStr">
        <is>
          <t>GOTLANDS LÄN</t>
        </is>
      </c>
      <c r="G244" t="inlineStr">
        <is>
          <t>GOTLAND</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9947-2024</t>
        </is>
      </c>
      <c r="B245" t="inlineStr">
        <is>
          <t>avverkningsanmälan</t>
        </is>
      </c>
      <c r="C245" t="inlineStr">
        <is>
          <t>Föryngringsavverkning</t>
        </is>
      </c>
      <c r="D245" s="1" t="n">
        <v>45363</v>
      </c>
      <c r="E245" s="1" t="n">
        <v>46265</v>
      </c>
      <c r="F245" t="inlineStr">
        <is>
          <t>GOTLANDS LÄN</t>
        </is>
      </c>
      <c r="G245" t="inlineStr">
        <is>
          <t>GOTLAND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28506-2023</t>
        </is>
      </c>
      <c r="B246" t="inlineStr">
        <is>
          <t>avverkningsanmälan</t>
        </is>
      </c>
      <c r="C246" t="inlineStr">
        <is>
          <t>Avverkning för annat ändamål</t>
        </is>
      </c>
      <c r="D246" s="1" t="n">
        <v>45103</v>
      </c>
      <c r="E246" s="1" t="n">
        <v>46265</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21420-2024</t>
        </is>
      </c>
      <c r="B247" t="inlineStr">
        <is>
          <t>avverkningsanmälan</t>
        </is>
      </c>
      <c r="C247" t="inlineStr">
        <is>
          <t>Föryngringsavverkning</t>
        </is>
      </c>
      <c r="D247" s="1" t="n">
        <v>45441</v>
      </c>
      <c r="E247" s="1" t="n">
        <v>46265</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46265</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46265</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23188-2025</t>
        </is>
      </c>
      <c r="B250" t="inlineStr">
        <is>
          <t>avverkningsanmälan</t>
        </is>
      </c>
      <c r="C250" t="inlineStr">
        <is>
          <t>Avverkning för annat ändamål</t>
        </is>
      </c>
      <c r="D250" s="1" t="n">
        <v>45791</v>
      </c>
      <c r="E250" s="1" t="n">
        <v>46265</v>
      </c>
      <c r="F250" t="inlineStr">
        <is>
          <t>GOTLANDS LÄN</t>
        </is>
      </c>
      <c r="G250" t="inlineStr">
        <is>
          <t>GOTLAND</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17682-2024</t>
        </is>
      </c>
      <c r="B251" t="inlineStr">
        <is>
          <t>avverkningsanmälan</t>
        </is>
      </c>
      <c r="C251" t="inlineStr">
        <is>
          <t>Föryngringsavverkning</t>
        </is>
      </c>
      <c r="D251" s="1" t="n">
        <v>45418</v>
      </c>
      <c r="E251" s="1" t="n">
        <v>46265</v>
      </c>
      <c r="F251" t="inlineStr">
        <is>
          <t>GOTLANDS LÄN</t>
        </is>
      </c>
      <c r="G251" t="inlineStr">
        <is>
          <t>GOTLAND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57522-2022</t>
        </is>
      </c>
      <c r="B252" t="inlineStr">
        <is>
          <t>avverkningsanmälan</t>
        </is>
      </c>
      <c r="C252" t="inlineStr">
        <is>
          <t>Föryngringsavverkning</t>
        </is>
      </c>
      <c r="D252" s="1" t="n">
        <v>44896</v>
      </c>
      <c r="E252" s="1" t="n">
        <v>46265</v>
      </c>
      <c r="F252" t="inlineStr">
        <is>
          <t>GOTLANDS LÄN</t>
        </is>
      </c>
      <c r="G252" t="inlineStr">
        <is>
          <t>GOTLAND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46265</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46265</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40372-2025</t>
        </is>
      </c>
      <c r="B255" t="inlineStr">
        <is>
          <t>avverkningsanmälan</t>
        </is>
      </c>
      <c r="C255" t="inlineStr">
        <is>
          <t>Föryngringsavverkning</t>
        </is>
      </c>
      <c r="D255" s="1" t="n">
        <v>45895</v>
      </c>
      <c r="E255" s="1" t="n">
        <v>46265</v>
      </c>
      <c r="F255" t="inlineStr">
        <is>
          <t>GOTLANDS LÄN</t>
        </is>
      </c>
      <c r="G255" t="inlineStr">
        <is>
          <t>GOTLAND</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63516-2023</t>
        </is>
      </c>
      <c r="B256" t="inlineStr">
        <is>
          <t>avverkningsanmälan</t>
        </is>
      </c>
      <c r="C256" t="inlineStr">
        <is>
          <t>Föryngringsavverkning</t>
        </is>
      </c>
      <c r="D256" s="1" t="n">
        <v>45274</v>
      </c>
      <c r="E256" s="1" t="n">
        <v>46265</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15073-2025</t>
        </is>
      </c>
      <c r="B257" t="inlineStr">
        <is>
          <t>avverkningsanmälan</t>
        </is>
      </c>
      <c r="C257" t="inlineStr">
        <is>
          <t>Avverkning för annat ändamål</t>
        </is>
      </c>
      <c r="D257" s="1" t="n">
        <v>45743</v>
      </c>
      <c r="E257" s="1" t="n">
        <v>46265</v>
      </c>
      <c r="F257" t="inlineStr">
        <is>
          <t>GOTLANDS LÄN</t>
        </is>
      </c>
      <c r="G257" t="inlineStr">
        <is>
          <t>GOTLAND</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6749-2025</t>
        </is>
      </c>
      <c r="B258" t="inlineStr">
        <is>
          <t>avverkningsanmälan</t>
        </is>
      </c>
      <c r="C258" t="inlineStr">
        <is>
          <t>Föryngringsavverkning</t>
        </is>
      </c>
      <c r="D258" s="1" t="n">
        <v>45700</v>
      </c>
      <c r="E258" s="1" t="n">
        <v>46265</v>
      </c>
      <c r="F258" t="inlineStr">
        <is>
          <t>GOTLANDS LÄN</t>
        </is>
      </c>
      <c r="G258" t="inlineStr">
        <is>
          <t>GOTLAND</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46265</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46265</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46265</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46265</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56799-2025</t>
        </is>
      </c>
      <c r="B263" t="inlineStr">
        <is>
          <t>avverkningsanmälan</t>
        </is>
      </c>
      <c r="C263" t="inlineStr">
        <is>
          <t>Föryngringsavverkning</t>
        </is>
      </c>
      <c r="D263" s="1" t="n">
        <v>45978</v>
      </c>
      <c r="E263" s="1" t="n">
        <v>46265</v>
      </c>
      <c r="F263" t="inlineStr">
        <is>
          <t>GOTLANDS LÄN</t>
        </is>
      </c>
      <c r="G263" t="inlineStr">
        <is>
          <t>GOTLAND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43951-2025</t>
        </is>
      </c>
      <c r="B264" t="inlineStr">
        <is>
          <t>avverkningsanmälan</t>
        </is>
      </c>
      <c r="C264" t="inlineStr">
        <is>
          <t>Föryngringsavverkning</t>
        </is>
      </c>
      <c r="D264" s="1" t="n">
        <v>45915</v>
      </c>
      <c r="E264" s="1" t="n">
        <v>46265</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58780-2024</t>
        </is>
      </c>
      <c r="B265" t="inlineStr">
        <is>
          <t>avverkningsanmälan</t>
        </is>
      </c>
      <c r="C265" t="inlineStr">
        <is>
          <t>Föryngringsavverkning</t>
        </is>
      </c>
      <c r="D265" s="1" t="n">
        <v>45635</v>
      </c>
      <c r="E265" s="1" t="n">
        <v>46265</v>
      </c>
      <c r="F265" t="inlineStr">
        <is>
          <t>GOTLANDS LÄN</t>
        </is>
      </c>
      <c r="G265" t="inlineStr">
        <is>
          <t>GOTLAND</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33876-2024</t>
        </is>
      </c>
      <c r="B266" t="inlineStr">
        <is>
          <t>avverkningsanmälan</t>
        </is>
      </c>
      <c r="C266" t="inlineStr">
        <is>
          <t>Föryngringsavverkning</t>
        </is>
      </c>
      <c r="D266" s="1" t="n">
        <v>45521</v>
      </c>
      <c r="E266" s="1" t="n">
        <v>46265</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28285-2024</t>
        </is>
      </c>
      <c r="B267" t="inlineStr">
        <is>
          <t>avverkningsanmälan</t>
        </is>
      </c>
      <c r="C267" t="inlineStr">
        <is>
          <t>Avverkning för annat ändamål</t>
        </is>
      </c>
      <c r="D267" s="1" t="n">
        <v>45477</v>
      </c>
      <c r="E267" s="1" t="n">
        <v>46265</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5462-2025</t>
        </is>
      </c>
      <c r="B268" t="inlineStr">
        <is>
          <t>avverkningsanmälan</t>
        </is>
      </c>
      <c r="C268" t="inlineStr">
        <is>
          <t>Föryngringsavverkning</t>
        </is>
      </c>
      <c r="D268" s="1" t="n">
        <v>45693</v>
      </c>
      <c r="E268" s="1" t="n">
        <v>46265</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46265</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26391-2025</t>
        </is>
      </c>
      <c r="B270" t="inlineStr">
        <is>
          <t>avverkningsanmälan</t>
        </is>
      </c>
      <c r="C270" t="inlineStr">
        <is>
          <t>Avverkning för annat ändamål</t>
        </is>
      </c>
      <c r="D270" s="1" t="n">
        <v>45806</v>
      </c>
      <c r="E270" s="1" t="n">
        <v>46265</v>
      </c>
      <c r="F270" t="inlineStr">
        <is>
          <t>GOTLANDS LÄN</t>
        </is>
      </c>
      <c r="G270" t="inlineStr">
        <is>
          <t>GOTLAND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46265</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46265</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7850-2025</t>
        </is>
      </c>
      <c r="B273" t="inlineStr">
        <is>
          <t>avverkningsanmälan</t>
        </is>
      </c>
      <c r="C273" t="inlineStr">
        <is>
          <t>Föryngringsavverkning</t>
        </is>
      </c>
      <c r="D273" s="1" t="n">
        <v>45706</v>
      </c>
      <c r="E273" s="1" t="n">
        <v>46265</v>
      </c>
      <c r="F273" t="inlineStr">
        <is>
          <t>GOTLANDS LÄN</t>
        </is>
      </c>
      <c r="G273" t="inlineStr">
        <is>
          <t>GOTLAND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46265</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8444-2025</t>
        </is>
      </c>
      <c r="B275" t="inlineStr">
        <is>
          <t>avverkningsanmälan</t>
        </is>
      </c>
      <c r="C275" t="inlineStr">
        <is>
          <t>Föryngringsavverkning</t>
        </is>
      </c>
      <c r="D275" s="1" t="n">
        <v>45709</v>
      </c>
      <c r="E275" s="1" t="n">
        <v>46265</v>
      </c>
      <c r="F275" t="inlineStr">
        <is>
          <t>GOTLANDS LÄN</t>
        </is>
      </c>
      <c r="G275" t="inlineStr">
        <is>
          <t>GOTLAND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47578-2025</t>
        </is>
      </c>
      <c r="B276" t="inlineStr">
        <is>
          <t>avverkningsanmälan</t>
        </is>
      </c>
      <c r="C276" t="inlineStr">
        <is>
          <t>Avverkning för annat ändamål</t>
        </is>
      </c>
      <c r="D276" s="1" t="n">
        <v>45931</v>
      </c>
      <c r="E276" s="1" t="n">
        <v>46265</v>
      </c>
      <c r="F276" t="inlineStr">
        <is>
          <t>GOTLANDS LÄN</t>
        </is>
      </c>
      <c r="G276" t="inlineStr">
        <is>
          <t>GOTLAND</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46265</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49730-2025</t>
        </is>
      </c>
      <c r="B278" t="inlineStr">
        <is>
          <t>avverkningsanmälan</t>
        </is>
      </c>
      <c r="C278" t="inlineStr">
        <is>
          <t>Föryngringsavverkning</t>
        </is>
      </c>
      <c r="D278" s="1" t="n">
        <v>45939</v>
      </c>
      <c r="E278" s="1" t="n">
        <v>46265</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46265</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49690-2025</t>
        </is>
      </c>
      <c r="B280" t="inlineStr">
        <is>
          <t>avverkningsanmälan</t>
        </is>
      </c>
      <c r="C280" t="inlineStr">
        <is>
          <t>Föryngringsavverkning</t>
        </is>
      </c>
      <c r="D280" s="1" t="n">
        <v>45939</v>
      </c>
      <c r="E280" s="1" t="n">
        <v>46265</v>
      </c>
      <c r="F280" t="inlineStr">
        <is>
          <t>GOTLANDS LÄN</t>
        </is>
      </c>
      <c r="G280" t="inlineStr">
        <is>
          <t>GOTLAND</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36319-2025</t>
        </is>
      </c>
      <c r="B281" t="inlineStr">
        <is>
          <t>avverkningsanmälan</t>
        </is>
      </c>
      <c r="C281" t="inlineStr">
        <is>
          <t>Föryngringsavverkning</t>
        </is>
      </c>
      <c r="D281" s="1" t="n">
        <v>45868</v>
      </c>
      <c r="E281" s="1" t="n">
        <v>46265</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29196-2025</t>
        </is>
      </c>
      <c r="B282" t="inlineStr">
        <is>
          <t>avverkningsanmälan</t>
        </is>
      </c>
      <c r="C282" t="inlineStr">
        <is>
          <t>Föryngringsavverkning</t>
        </is>
      </c>
      <c r="D282" s="1" t="n">
        <v>45822</v>
      </c>
      <c r="E282" s="1" t="n">
        <v>46265</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46265</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46265</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30061-2025</t>
        </is>
      </c>
      <c r="B285" t="inlineStr">
        <is>
          <t>avverkningsanmälan</t>
        </is>
      </c>
      <c r="C285" t="inlineStr">
        <is>
          <t>Föryngringsavverkning</t>
        </is>
      </c>
      <c r="D285" s="1" t="n">
        <v>45826</v>
      </c>
      <c r="E285" s="1" t="n">
        <v>46265</v>
      </c>
      <c r="F285" t="inlineStr">
        <is>
          <t>GOTLANDS LÄN</t>
        </is>
      </c>
      <c r="G285" t="inlineStr">
        <is>
          <t>GOTLAND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46265</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58160-2024</t>
        </is>
      </c>
      <c r="B287" t="inlineStr">
        <is>
          <t>avverkningsanmälan</t>
        </is>
      </c>
      <c r="C287" t="inlineStr">
        <is>
          <t>Föryngringsavverkning</t>
        </is>
      </c>
      <c r="D287" s="1" t="n">
        <v>45632</v>
      </c>
      <c r="E287" s="1" t="n">
        <v>46265</v>
      </c>
      <c r="F287" t="inlineStr">
        <is>
          <t>GOTLANDS LÄN</t>
        </is>
      </c>
      <c r="G287" t="inlineStr">
        <is>
          <t>GOTLAND</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57652-2023</t>
        </is>
      </c>
      <c r="B288" t="inlineStr">
        <is>
          <t>avverkningsanmälan</t>
        </is>
      </c>
      <c r="C288" t="inlineStr">
        <is>
          <t>Avverkning för annat ändamål</t>
        </is>
      </c>
      <c r="D288" s="1" t="n">
        <v>45246</v>
      </c>
      <c r="E288" s="1" t="n">
        <v>46265</v>
      </c>
      <c r="F288" t="inlineStr">
        <is>
          <t>GOTLANDS LÄN</t>
        </is>
      </c>
      <c r="G288" t="inlineStr">
        <is>
          <t>GOTLAND</t>
        </is>
      </c>
      <c r="I288" t="n">
        <v>7.2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49315-2024</t>
        </is>
      </c>
      <c r="B289" t="inlineStr">
        <is>
          <t>avverkningsanmälan</t>
        </is>
      </c>
      <c r="C289" t="inlineStr">
        <is>
          <t>Avverkning för annat ändamål</t>
        </is>
      </c>
      <c r="D289" s="1" t="n">
        <v>45595</v>
      </c>
      <c r="E289" s="1" t="n">
        <v>46265</v>
      </c>
      <c r="F289" t="inlineStr">
        <is>
          <t>GOTLANDS LÄN</t>
        </is>
      </c>
      <c r="G289" t="inlineStr">
        <is>
          <t>GOTLAND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2676-2023</t>
        </is>
      </c>
      <c r="B290" t="inlineStr">
        <is>
          <t>avverkningsanmälan</t>
        </is>
      </c>
      <c r="C290" t="inlineStr">
        <is>
          <t>Avverkning för annat ändamål</t>
        </is>
      </c>
      <c r="D290" s="1" t="n">
        <v>44944</v>
      </c>
      <c r="E290" s="1" t="n">
        <v>46265</v>
      </c>
      <c r="F290" t="inlineStr">
        <is>
          <t>GOTLANDS LÄN</t>
        </is>
      </c>
      <c r="G290" t="inlineStr">
        <is>
          <t>GOTLAND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8484-2025</t>
        </is>
      </c>
      <c r="B291" t="inlineStr">
        <is>
          <t>avverkningsanmälan</t>
        </is>
      </c>
      <c r="C291" t="inlineStr">
        <is>
          <t>Avverkning för annat ändamål</t>
        </is>
      </c>
      <c r="D291" s="1" t="n">
        <v>45709</v>
      </c>
      <c r="E291" s="1" t="n">
        <v>46265</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7636-2025</t>
        </is>
      </c>
      <c r="B292" t="inlineStr">
        <is>
          <t>avverkningsanmälan</t>
        </is>
      </c>
      <c r="C292" t="inlineStr">
        <is>
          <t>Föryngringsavverkning</t>
        </is>
      </c>
      <c r="D292" s="1" t="n">
        <v>45705</v>
      </c>
      <c r="E292" s="1" t="n">
        <v>46265</v>
      </c>
      <c r="F292" t="inlineStr">
        <is>
          <t>GOTLANDS LÄN</t>
        </is>
      </c>
      <c r="G292" t="inlineStr">
        <is>
          <t>GOTLAND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7639-2025</t>
        </is>
      </c>
      <c r="B293" t="inlineStr">
        <is>
          <t>avverkningsanmälan</t>
        </is>
      </c>
      <c r="C293" t="inlineStr">
        <is>
          <t>Föryngringsavverkning</t>
        </is>
      </c>
      <c r="D293" s="1" t="n">
        <v>45705</v>
      </c>
      <c r="E293" s="1" t="n">
        <v>46265</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46265</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46265</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48734-2022</t>
        </is>
      </c>
      <c r="B296" t="inlineStr">
        <is>
          <t>avverkningsanmälan</t>
        </is>
      </c>
      <c r="C296" t="inlineStr">
        <is>
          <t>Föryngringsavverkning</t>
        </is>
      </c>
      <c r="D296" s="1" t="n">
        <v>44855</v>
      </c>
      <c r="E296" s="1" t="n">
        <v>46265</v>
      </c>
      <c r="F296" t="inlineStr">
        <is>
          <t>GOTLANDS LÄN</t>
        </is>
      </c>
      <c r="G296" t="inlineStr">
        <is>
          <t>GOTLAND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57685-2022</t>
        </is>
      </c>
      <c r="B297" t="inlineStr">
        <is>
          <t>avverkningsanmälan</t>
        </is>
      </c>
      <c r="C297" t="inlineStr">
        <is>
          <t>Föryngringsavverkning</t>
        </is>
      </c>
      <c r="D297" s="1" t="n">
        <v>44897</v>
      </c>
      <c r="E297" s="1" t="n">
        <v>46265</v>
      </c>
      <c r="F297" t="inlineStr">
        <is>
          <t>GOTLANDS LÄN</t>
        </is>
      </c>
      <c r="G297" t="inlineStr">
        <is>
          <t>GOTLAND</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30815-2023</t>
        </is>
      </c>
      <c r="B298" t="inlineStr">
        <is>
          <t>avverkningsanmälan</t>
        </is>
      </c>
      <c r="C298" t="inlineStr">
        <is>
          <t>Avverkning för annat ändamål</t>
        </is>
      </c>
      <c r="D298" s="1" t="n">
        <v>45112</v>
      </c>
      <c r="E298" s="1" t="n">
        <v>46265</v>
      </c>
      <c r="F298" t="inlineStr">
        <is>
          <t>GOTLANDS LÄN</t>
        </is>
      </c>
      <c r="G298" t="inlineStr">
        <is>
          <t>GOTLAND</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35123-2025</t>
        </is>
      </c>
      <c r="B299" t="inlineStr">
        <is>
          <t>avverkningsanmälan</t>
        </is>
      </c>
      <c r="C299" t="inlineStr">
        <is>
          <t>Föryngringsavverkning</t>
        </is>
      </c>
      <c r="D299" s="1" t="n">
        <v>45852</v>
      </c>
      <c r="E299" s="1" t="n">
        <v>46265</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7034-2023</t>
        </is>
      </c>
      <c r="B300" t="inlineStr">
        <is>
          <t>avverkningsanmälan</t>
        </is>
      </c>
      <c r="C300" t="inlineStr">
        <is>
          <t>Föryngringsavverkning</t>
        </is>
      </c>
      <c r="D300" s="1" t="n">
        <v>44968</v>
      </c>
      <c r="E300" s="1" t="n">
        <v>46265</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23516-2023</t>
        </is>
      </c>
      <c r="B301" t="inlineStr">
        <is>
          <t>avverkningsanmälan</t>
        </is>
      </c>
      <c r="C301" t="inlineStr">
        <is>
          <t>Föryngringsavverkning</t>
        </is>
      </c>
      <c r="D301" s="1" t="n">
        <v>45076</v>
      </c>
      <c r="E301" s="1" t="n">
        <v>46265</v>
      </c>
      <c r="F301" t="inlineStr">
        <is>
          <t>GOTLANDS LÄN</t>
        </is>
      </c>
      <c r="G301" t="inlineStr">
        <is>
          <t>GOTLAND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64660-2023</t>
        </is>
      </c>
      <c r="B302" t="inlineStr">
        <is>
          <t>avverkningsanmälan</t>
        </is>
      </c>
      <c r="C302" t="inlineStr">
        <is>
          <t>Föryngringsavverkning</t>
        </is>
      </c>
      <c r="D302" s="1" t="n">
        <v>45281</v>
      </c>
      <c r="E302" s="1" t="n">
        <v>46265</v>
      </c>
      <c r="F302" t="inlineStr">
        <is>
          <t>GOTLANDS LÄN</t>
        </is>
      </c>
      <c r="G302" t="inlineStr">
        <is>
          <t>GOTLAND</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32669-2024</t>
        </is>
      </c>
      <c r="B303" t="inlineStr">
        <is>
          <t>avverkningsanmälan</t>
        </is>
      </c>
      <c r="C303" t="inlineStr">
        <is>
          <t>Föryngringsavverkning</t>
        </is>
      </c>
      <c r="D303" s="1" t="n">
        <v>45514</v>
      </c>
      <c r="E303" s="1" t="n">
        <v>46265</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63763-2023</t>
        </is>
      </c>
      <c r="B304" t="inlineStr">
        <is>
          <t>avverkningsanmälan</t>
        </is>
      </c>
      <c r="C304" t="inlineStr">
        <is>
          <t>Föryngringsavverkning</t>
        </is>
      </c>
      <c r="D304" s="1" t="n">
        <v>45278</v>
      </c>
      <c r="E304" s="1" t="n">
        <v>46265</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15216-2025</t>
        </is>
      </c>
      <c r="B305" t="inlineStr">
        <is>
          <t>avverkningsanmälan</t>
        </is>
      </c>
      <c r="C305" t="inlineStr">
        <is>
          <t>Föryngringsavverkning</t>
        </is>
      </c>
      <c r="D305" s="1" t="n">
        <v>45744</v>
      </c>
      <c r="E305" s="1" t="n">
        <v>46265</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46265</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15001-2025</t>
        </is>
      </c>
      <c r="B307" t="inlineStr">
        <is>
          <t>avverkningsanmälan</t>
        </is>
      </c>
      <c r="C307" t="inlineStr">
        <is>
          <t>Föryngringsavverkning</t>
        </is>
      </c>
      <c r="D307" s="1" t="n">
        <v>45743</v>
      </c>
      <c r="E307" s="1" t="n">
        <v>46265</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46265</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17847-2025</t>
        </is>
      </c>
      <c r="B309" t="inlineStr">
        <is>
          <t>avverkningsanmälan</t>
        </is>
      </c>
      <c r="C309" t="inlineStr">
        <is>
          <t>Föryngringsavverkning</t>
        </is>
      </c>
      <c r="D309" s="1" t="n">
        <v>45758</v>
      </c>
      <c r="E309" s="1" t="n">
        <v>46265</v>
      </c>
      <c r="F309" t="inlineStr">
        <is>
          <t>GOTLANDS LÄN</t>
        </is>
      </c>
      <c r="G309" t="inlineStr">
        <is>
          <t>GOTLAND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18742-2025</t>
        </is>
      </c>
      <c r="B310" t="inlineStr">
        <is>
          <t>avverkningsanmälan</t>
        </is>
      </c>
      <c r="C310" t="inlineStr">
        <is>
          <t>Avverkning för annat ändamål</t>
        </is>
      </c>
      <c r="D310" s="1" t="n">
        <v>45763</v>
      </c>
      <c r="E310" s="1" t="n">
        <v>46265</v>
      </c>
      <c r="F310" t="inlineStr">
        <is>
          <t>GOTLANDS LÄN</t>
        </is>
      </c>
      <c r="G310" t="inlineStr">
        <is>
          <t>GOTLAND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35129-2025</t>
        </is>
      </c>
      <c r="B311" t="inlineStr">
        <is>
          <t>avverkningsanmälan</t>
        </is>
      </c>
      <c r="C311" t="inlineStr">
        <is>
          <t>Föryngringsavverkning</t>
        </is>
      </c>
      <c r="D311" s="1" t="n">
        <v>45852</v>
      </c>
      <c r="E311" s="1" t="n">
        <v>46265</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6108-2025</t>
        </is>
      </c>
      <c r="B312" t="inlineStr">
        <is>
          <t>avverkningsanmälan</t>
        </is>
      </c>
      <c r="C312" t="inlineStr">
        <is>
          <t>Föryngringsavverkning</t>
        </is>
      </c>
      <c r="D312" s="1" t="n">
        <v>45698</v>
      </c>
      <c r="E312" s="1" t="n">
        <v>46265</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21142-2025</t>
        </is>
      </c>
      <c r="B313" t="inlineStr">
        <is>
          <t>avverkningsanmälan</t>
        </is>
      </c>
      <c r="C313" t="inlineStr">
        <is>
          <t>Föryngringsavverkning</t>
        </is>
      </c>
      <c r="D313" s="1" t="n">
        <v>45779</v>
      </c>
      <c r="E313" s="1" t="n">
        <v>46265</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1734-2025</t>
        </is>
      </c>
      <c r="B314" t="inlineStr">
        <is>
          <t>avverkningsanmälan</t>
        </is>
      </c>
      <c r="C314" t="inlineStr">
        <is>
          <t>Föryngringsavverkning</t>
        </is>
      </c>
      <c r="D314" s="1" t="n">
        <v>45671</v>
      </c>
      <c r="E314" s="1" t="n">
        <v>46265</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20993-2023</t>
        </is>
      </c>
      <c r="B315" t="inlineStr">
        <is>
          <t>avverkningsanmälan</t>
        </is>
      </c>
      <c r="C315" t="inlineStr">
        <is>
          <t>Föryngringsavverkning</t>
        </is>
      </c>
      <c r="D315" s="1" t="n">
        <v>45056</v>
      </c>
      <c r="E315" s="1" t="n">
        <v>46265</v>
      </c>
      <c r="F315" t="inlineStr">
        <is>
          <t>GOTLANDS LÄN</t>
        </is>
      </c>
      <c r="G315" t="inlineStr">
        <is>
          <t>GOTLAND</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46265</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18938-2025</t>
        </is>
      </c>
      <c r="B317" t="inlineStr">
        <is>
          <t>avverkningsanmälan</t>
        </is>
      </c>
      <c r="C317" t="inlineStr">
        <is>
          <t>Föryngringsavverkning</t>
        </is>
      </c>
      <c r="D317" s="1" t="n">
        <v>45764</v>
      </c>
      <c r="E317" s="1" t="n">
        <v>46265</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20307-2025</t>
        </is>
      </c>
      <c r="B318" t="inlineStr">
        <is>
          <t>avverkningsanmälan</t>
        </is>
      </c>
      <c r="C318" t="inlineStr">
        <is>
          <t>Föryngringsavverkning</t>
        </is>
      </c>
      <c r="D318" s="1" t="n">
        <v>45774</v>
      </c>
      <c r="E318" s="1" t="n">
        <v>46265</v>
      </c>
      <c r="F318" t="inlineStr">
        <is>
          <t>GOTLANDS LÄN</t>
        </is>
      </c>
      <c r="G318" t="inlineStr">
        <is>
          <t>GOTLAND</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12596-2023</t>
        </is>
      </c>
      <c r="B319" t="inlineStr">
        <is>
          <t>avverkningsanmälan</t>
        </is>
      </c>
      <c r="C319" t="inlineStr">
        <is>
          <t>Föryngringsavverkning</t>
        </is>
      </c>
      <c r="D319" s="1" t="n">
        <v>45000</v>
      </c>
      <c r="E319" s="1" t="n">
        <v>46265</v>
      </c>
      <c r="F319" t="inlineStr">
        <is>
          <t>GOTLANDS LÄN</t>
        </is>
      </c>
      <c r="G319" t="inlineStr">
        <is>
          <t>GOTLAND</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2125-2025</t>
        </is>
      </c>
      <c r="B320" t="inlineStr">
        <is>
          <t>avverkningsanmälan</t>
        </is>
      </c>
      <c r="C320" t="inlineStr">
        <is>
          <t>Föryngringsavverkning</t>
        </is>
      </c>
      <c r="D320" s="1" t="n">
        <v>45672</v>
      </c>
      <c r="E320" s="1" t="n">
        <v>46265</v>
      </c>
      <c r="F320" t="inlineStr">
        <is>
          <t>GOTLANDS LÄN</t>
        </is>
      </c>
      <c r="G320" t="inlineStr">
        <is>
          <t>GOTLAND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12155-2023</t>
        </is>
      </c>
      <c r="B321" t="inlineStr">
        <is>
          <t>avverkningsanmälan</t>
        </is>
      </c>
      <c r="C321" t="inlineStr">
        <is>
          <t>Föryngringsavverkning</t>
        </is>
      </c>
      <c r="D321" s="1" t="n">
        <v>44998</v>
      </c>
      <c r="E321" s="1" t="n">
        <v>46265</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457-2023</t>
        </is>
      </c>
      <c r="B322" t="inlineStr">
        <is>
          <t>avverkningsanmälan</t>
        </is>
      </c>
      <c r="C322" t="inlineStr">
        <is>
          <t>Föryngringsavverkning</t>
        </is>
      </c>
      <c r="D322" s="1" t="n">
        <v>44929</v>
      </c>
      <c r="E322" s="1" t="n">
        <v>46265</v>
      </c>
      <c r="F322" t="inlineStr">
        <is>
          <t>GOTLANDS LÄN</t>
        </is>
      </c>
      <c r="G322" t="inlineStr">
        <is>
          <t>GOTLAND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459-2023</t>
        </is>
      </c>
      <c r="B323" t="inlineStr">
        <is>
          <t>avverkningsanmälan</t>
        </is>
      </c>
      <c r="C323" t="inlineStr">
        <is>
          <t>Föryngringsavverkning</t>
        </is>
      </c>
      <c r="D323" s="1" t="n">
        <v>44929</v>
      </c>
      <c r="E323" s="1" t="n">
        <v>46265</v>
      </c>
      <c r="F323" t="inlineStr">
        <is>
          <t>GOTLANDS LÄN</t>
        </is>
      </c>
      <c r="G323" t="inlineStr">
        <is>
          <t>GOTLAND</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38234-2023</t>
        </is>
      </c>
      <c r="B324" t="inlineStr">
        <is>
          <t>avverkningsanmälan</t>
        </is>
      </c>
      <c r="C324" t="inlineStr">
        <is>
          <t>Föryngringsavverkning</t>
        </is>
      </c>
      <c r="D324" s="1" t="n">
        <v>45161</v>
      </c>
      <c r="E324" s="1" t="n">
        <v>46265</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50744-2024</t>
        </is>
      </c>
      <c r="B325" t="inlineStr">
        <is>
          <t>avverkningsanmälan</t>
        </is>
      </c>
      <c r="C325" t="inlineStr">
        <is>
          <t>Föryngringsavverkning</t>
        </is>
      </c>
      <c r="D325" s="1" t="n">
        <v>45602</v>
      </c>
      <c r="E325" s="1" t="n">
        <v>46265</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1446-2025</t>
        </is>
      </c>
      <c r="B326" t="inlineStr">
        <is>
          <t>avverkningsanmälan</t>
        </is>
      </c>
      <c r="C326" t="inlineStr">
        <is>
          <t>Föryngringsavverkning</t>
        </is>
      </c>
      <c r="D326" s="1" t="n">
        <v>45669</v>
      </c>
      <c r="E326" s="1" t="n">
        <v>46265</v>
      </c>
      <c r="F326" t="inlineStr">
        <is>
          <t>GOTLANDS LÄN</t>
        </is>
      </c>
      <c r="G326" t="inlineStr">
        <is>
          <t>GOTLAND</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43901-2023</t>
        </is>
      </c>
      <c r="B327" t="inlineStr">
        <is>
          <t>avverkningsanmälan</t>
        </is>
      </c>
      <c r="C327" t="inlineStr">
        <is>
          <t>Föryngringsavverkning</t>
        </is>
      </c>
      <c r="D327" s="1" t="n">
        <v>45187</v>
      </c>
      <c r="E327" s="1" t="n">
        <v>46265</v>
      </c>
      <c r="F327" t="inlineStr">
        <is>
          <t>GOTLANDS LÄN</t>
        </is>
      </c>
      <c r="G327" t="inlineStr">
        <is>
          <t>GOTLAND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46265</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16501-2023</t>
        </is>
      </c>
      <c r="B329" t="inlineStr">
        <is>
          <t>avverkningsanmälan</t>
        </is>
      </c>
      <c r="C329" t="inlineStr">
        <is>
          <t>Avverkning för att bevara och utveckla /försöksver</t>
        </is>
      </c>
      <c r="D329" s="1" t="n">
        <v>45029</v>
      </c>
      <c r="E329" s="1" t="n">
        <v>46265</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46265</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46265</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46265</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63002-2025</t>
        </is>
      </c>
      <c r="B333" t="inlineStr">
        <is>
          <t>avverkningsanmälan</t>
        </is>
      </c>
      <c r="C333" t="inlineStr">
        <is>
          <t>Föryngringsavverkning</t>
        </is>
      </c>
      <c r="D333" s="1" t="n">
        <v>46009</v>
      </c>
      <c r="E333" s="1" t="n">
        <v>46265</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4990-2025</t>
        </is>
      </c>
      <c r="B334" t="inlineStr">
        <is>
          <t>avverkningsanmälan</t>
        </is>
      </c>
      <c r="C334" t="inlineStr">
        <is>
          <t>Föryngringsavverkning</t>
        </is>
      </c>
      <c r="D334" s="1" t="n">
        <v>45691</v>
      </c>
      <c r="E334" s="1" t="n">
        <v>46265</v>
      </c>
      <c r="F334" t="inlineStr">
        <is>
          <t>GOTLANDS LÄN</t>
        </is>
      </c>
      <c r="G334" t="inlineStr">
        <is>
          <t>GOTLAND</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61078-2025</t>
        </is>
      </c>
      <c r="B335" t="inlineStr">
        <is>
          <t>avverkningsanmälan</t>
        </is>
      </c>
      <c r="C335" t="inlineStr">
        <is>
          <t>Föryngringsavverkning</t>
        </is>
      </c>
      <c r="D335" s="1" t="n">
        <v>46000</v>
      </c>
      <c r="E335" s="1" t="n">
        <v>46265</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43081-2022</t>
        </is>
      </c>
      <c r="B336" t="inlineStr">
        <is>
          <t>avverkningsanmälan</t>
        </is>
      </c>
      <c r="C336" t="inlineStr">
        <is>
          <t>Föryngringsavverkning</t>
        </is>
      </c>
      <c r="D336" s="1" t="n">
        <v>44833</v>
      </c>
      <c r="E336" s="1" t="n">
        <v>46265</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5884-2025</t>
        </is>
      </c>
      <c r="B337" t="inlineStr">
        <is>
          <t>avverkningsanmälan</t>
        </is>
      </c>
      <c r="C337" t="inlineStr">
        <is>
          <t>Föryngringsavverkning</t>
        </is>
      </c>
      <c r="D337" s="1" t="n">
        <v>45695</v>
      </c>
      <c r="E337" s="1" t="n">
        <v>46265</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5897-2025</t>
        </is>
      </c>
      <c r="B338" t="inlineStr">
        <is>
          <t>avverkningsanmälan</t>
        </is>
      </c>
      <c r="C338" t="inlineStr">
        <is>
          <t>Föryngringsavverkning</t>
        </is>
      </c>
      <c r="D338" s="1" t="n">
        <v>45695</v>
      </c>
      <c r="E338" s="1" t="n">
        <v>46265</v>
      </c>
      <c r="F338" t="inlineStr">
        <is>
          <t>GOTLANDS LÄN</t>
        </is>
      </c>
      <c r="G338" t="inlineStr">
        <is>
          <t>GOTLAND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36-2026</t>
        </is>
      </c>
      <c r="B339" t="inlineStr">
        <is>
          <t>avverkningsanmälan</t>
        </is>
      </c>
      <c r="C339" t="inlineStr">
        <is>
          <t>Föryngringsavverkning</t>
        </is>
      </c>
      <c r="D339" s="1" t="n">
        <v>46024</v>
      </c>
      <c r="E339" s="1" t="n">
        <v>46265</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49697-2023</t>
        </is>
      </c>
      <c r="B340" t="inlineStr">
        <is>
          <t>avverkningsanmälan</t>
        </is>
      </c>
      <c r="C340" t="inlineStr">
        <is>
          <t>Föryngringsavverkning</t>
        </is>
      </c>
      <c r="D340" s="1" t="n">
        <v>45212</v>
      </c>
      <c r="E340" s="1" t="n">
        <v>46265</v>
      </c>
      <c r="F340" t="inlineStr">
        <is>
          <t>GOTLANDS LÄN</t>
        </is>
      </c>
      <c r="G340" t="inlineStr">
        <is>
          <t>GOTLAND</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17901-2023</t>
        </is>
      </c>
      <c r="B341" t="inlineStr">
        <is>
          <t>avverkningsanmälan</t>
        </is>
      </c>
      <c r="C341" t="inlineStr">
        <is>
          <t>Föryngringsavverkning</t>
        </is>
      </c>
      <c r="D341" s="1" t="n">
        <v>45039</v>
      </c>
      <c r="E341" s="1" t="n">
        <v>46265</v>
      </c>
      <c r="F341" t="inlineStr">
        <is>
          <t>GOTLANDS LÄN</t>
        </is>
      </c>
      <c r="G341" t="inlineStr">
        <is>
          <t>GOTLAND</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52892-2021</t>
        </is>
      </c>
      <c r="B342" t="inlineStr">
        <is>
          <t>avverkningsanmälan</t>
        </is>
      </c>
      <c r="C342" t="inlineStr">
        <is>
          <t>Föryngringsavverkning</t>
        </is>
      </c>
      <c r="D342" s="1" t="n">
        <v>44467</v>
      </c>
      <c r="E342" s="1" t="n">
        <v>46265</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46265</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17724-2024</t>
        </is>
      </c>
      <c r="B344" t="inlineStr">
        <is>
          <t>avverkningsanmälan</t>
        </is>
      </c>
      <c r="C344" t="inlineStr">
        <is>
          <t>Föryngringsavverkning</t>
        </is>
      </c>
      <c r="D344" s="1" t="n">
        <v>45418</v>
      </c>
      <c r="E344" s="1" t="n">
        <v>46265</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46265</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50482-2024</t>
        </is>
      </c>
      <c r="B346" t="inlineStr">
        <is>
          <t>avverkningsanmälan</t>
        </is>
      </c>
      <c r="C346" t="inlineStr">
        <is>
          <t>Föryngringsavverkning</t>
        </is>
      </c>
      <c r="D346" s="1" t="n">
        <v>45601</v>
      </c>
      <c r="E346" s="1" t="n">
        <v>46265</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2415-2026</t>
        </is>
      </c>
      <c r="B347" t="inlineStr">
        <is>
          <t>avverkningsanmälan</t>
        </is>
      </c>
      <c r="C347" t="inlineStr">
        <is>
          <t>Föryngringsavverkning</t>
        </is>
      </c>
      <c r="D347" s="1" t="n">
        <v>46036</v>
      </c>
      <c r="E347" s="1" t="n">
        <v>46265</v>
      </c>
      <c r="F347" t="inlineStr">
        <is>
          <t>GOTLANDS LÄN</t>
        </is>
      </c>
      <c r="G347" t="inlineStr">
        <is>
          <t>GOTLAND</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46265</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46265</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4646-2026</t>
        </is>
      </c>
      <c r="B350" t="inlineStr">
        <is>
          <t>avverkningsanmälan</t>
        </is>
      </c>
      <c r="C350" t="inlineStr">
        <is>
          <t>Föryngringsavverkning</t>
        </is>
      </c>
      <c r="D350" s="1" t="n">
        <v>46048</v>
      </c>
      <c r="E350" s="1" t="n">
        <v>46265</v>
      </c>
      <c r="F350" t="inlineStr">
        <is>
          <t>GOTLANDS LÄN</t>
        </is>
      </c>
      <c r="G350" t="inlineStr">
        <is>
          <t>GOTLAND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4634-2026</t>
        </is>
      </c>
      <c r="B351" t="inlineStr">
        <is>
          <t>avverkningsanmälan</t>
        </is>
      </c>
      <c r="C351" t="inlineStr">
        <is>
          <t>Föryngringsavverkning</t>
        </is>
      </c>
      <c r="D351" s="1" t="n">
        <v>46048</v>
      </c>
      <c r="E351" s="1" t="n">
        <v>46265</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25129-2023</t>
        </is>
      </c>
      <c r="B352" t="inlineStr">
        <is>
          <t>avverkningsanmälan</t>
        </is>
      </c>
      <c r="C352" t="inlineStr">
        <is>
          <t>Föryngringsavverkning</t>
        </is>
      </c>
      <c r="D352" s="1" t="n">
        <v>45086</v>
      </c>
      <c r="E352" s="1" t="n">
        <v>46265</v>
      </c>
      <c r="F352" t="inlineStr">
        <is>
          <t>GOTLANDS LÄN</t>
        </is>
      </c>
      <c r="G352" t="inlineStr">
        <is>
          <t>GOTLAND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24192-2023</t>
        </is>
      </c>
      <c r="B353" t="inlineStr">
        <is>
          <t>avverkningsanmälan</t>
        </is>
      </c>
      <c r="C353" t="inlineStr">
        <is>
          <t>Föryngringsavverkning</t>
        </is>
      </c>
      <c r="D353" s="1" t="n">
        <v>45079</v>
      </c>
      <c r="E353" s="1" t="n">
        <v>46265</v>
      </c>
      <c r="F353" t="inlineStr">
        <is>
          <t>GOTLANDS LÄN</t>
        </is>
      </c>
      <c r="G353" t="inlineStr">
        <is>
          <t>GOTLAND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4670-2026</t>
        </is>
      </c>
      <c r="B354" t="inlineStr">
        <is>
          <t>avverkningsanmälan</t>
        </is>
      </c>
      <c r="C354" t="inlineStr">
        <is>
          <t>Föryngringsavverkning</t>
        </is>
      </c>
      <c r="D354" s="1" t="n">
        <v>46048</v>
      </c>
      <c r="E354" s="1" t="n">
        <v>46265</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46265</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46265</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46265</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1000-2024</t>
        </is>
      </c>
      <c r="B358" t="inlineStr">
        <is>
          <t>avverkningsanmälan</t>
        </is>
      </c>
      <c r="C358" t="inlineStr">
        <is>
          <t>Föryngringsavverkning</t>
        </is>
      </c>
      <c r="D358" s="1" t="n">
        <v>45301</v>
      </c>
      <c r="E358" s="1" t="n">
        <v>46265</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47762-2023</t>
        </is>
      </c>
      <c r="B359" t="inlineStr">
        <is>
          <t>avverkningsanmälan</t>
        </is>
      </c>
      <c r="C359" t="inlineStr">
        <is>
          <t>Föryngringsavverkning</t>
        </is>
      </c>
      <c r="D359" s="1" t="n">
        <v>45203</v>
      </c>
      <c r="E359" s="1" t="n">
        <v>46265</v>
      </c>
      <c r="F359" t="inlineStr">
        <is>
          <t>GOTLANDS LÄN</t>
        </is>
      </c>
      <c r="G359" t="inlineStr">
        <is>
          <t>GOTLAND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46265</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46265</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44949-2023</t>
        </is>
      </c>
      <c r="B362" t="inlineStr">
        <is>
          <t>avverkningsanmälan</t>
        </is>
      </c>
      <c r="C362" t="inlineStr">
        <is>
          <t>Föryngringsavverkning</t>
        </is>
      </c>
      <c r="D362" s="1" t="n">
        <v>45190</v>
      </c>
      <c r="E362" s="1" t="n">
        <v>46265</v>
      </c>
      <c r="F362" t="inlineStr">
        <is>
          <t>GOTLANDS LÄN</t>
        </is>
      </c>
      <c r="G362" t="inlineStr">
        <is>
          <t>GOTLAND</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7627-2026</t>
        </is>
      </c>
      <c r="B363" t="inlineStr">
        <is>
          <t>avverkningsanmälan</t>
        </is>
      </c>
      <c r="C363" t="inlineStr">
        <is>
          <t>Föryngringsavverkning</t>
        </is>
      </c>
      <c r="D363" s="1" t="n">
        <v>46062</v>
      </c>
      <c r="E363" s="1" t="n">
        <v>46265</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46265</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46265</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2135-2026</t>
        </is>
      </c>
      <c r="B366" t="inlineStr">
        <is>
          <t>avverkningsanmälan</t>
        </is>
      </c>
      <c r="C366" t="inlineStr">
        <is>
          <t>Avverkning för annat ändamål</t>
        </is>
      </c>
      <c r="D366" s="1" t="n">
        <v>46036</v>
      </c>
      <c r="E366" s="1" t="n">
        <v>46265</v>
      </c>
      <c r="F366" t="inlineStr">
        <is>
          <t>GOTLANDS LÄN</t>
        </is>
      </c>
      <c r="G366" t="inlineStr">
        <is>
          <t>GOTLAND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46265</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46265</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46265</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46265</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46265</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17541-2024</t>
        </is>
      </c>
      <c r="B372" t="inlineStr">
        <is>
          <t>avverkningsanmälan</t>
        </is>
      </c>
      <c r="C372" t="inlineStr">
        <is>
          <t>Föryngringsavverkning</t>
        </is>
      </c>
      <c r="D372" s="1" t="n">
        <v>45415</v>
      </c>
      <c r="E372" s="1" t="n">
        <v>46265</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9518-2026</t>
        </is>
      </c>
      <c r="B373" t="inlineStr">
        <is>
          <t>avverkningsanmälan</t>
        </is>
      </c>
      <c r="C373" t="inlineStr">
        <is>
          <t>Föryngringsavverkning</t>
        </is>
      </c>
      <c r="D373" s="1" t="n">
        <v>46071</v>
      </c>
      <c r="E373" s="1" t="n">
        <v>46265</v>
      </c>
      <c r="F373" t="inlineStr">
        <is>
          <t>GOTLANDS LÄN</t>
        </is>
      </c>
      <c r="G373" t="inlineStr">
        <is>
          <t>GOTLAND</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9519-2026</t>
        </is>
      </c>
      <c r="B374" t="inlineStr">
        <is>
          <t>avverkningsanmälan</t>
        </is>
      </c>
      <c r="C374" t="inlineStr">
        <is>
          <t>Föryngringsavverkning</t>
        </is>
      </c>
      <c r="D374" s="1" t="n">
        <v>46071</v>
      </c>
      <c r="E374" s="1" t="n">
        <v>46265</v>
      </c>
      <c r="F374" t="inlineStr">
        <is>
          <t>GOTLANDS LÄN</t>
        </is>
      </c>
      <c r="G374" t="inlineStr">
        <is>
          <t>GOTLAND</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46265</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9521-2026</t>
        </is>
      </c>
      <c r="B376" t="inlineStr">
        <is>
          <t>avverkningsanmälan</t>
        </is>
      </c>
      <c r="C376" t="inlineStr">
        <is>
          <t>Föryngringsavverkning</t>
        </is>
      </c>
      <c r="D376" s="1" t="n">
        <v>46071</v>
      </c>
      <c r="E376" s="1" t="n">
        <v>46265</v>
      </c>
      <c r="F376" t="inlineStr">
        <is>
          <t>GOTLANDS LÄN</t>
        </is>
      </c>
      <c r="G376" t="inlineStr">
        <is>
          <t>GOTLAND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9524-2026</t>
        </is>
      </c>
      <c r="B377" t="inlineStr">
        <is>
          <t>avverkningsanmälan</t>
        </is>
      </c>
      <c r="C377" t="inlineStr">
        <is>
          <t>Föryngringsavverkning</t>
        </is>
      </c>
      <c r="D377" s="1" t="n">
        <v>46071</v>
      </c>
      <c r="E377" s="1" t="n">
        <v>46265</v>
      </c>
      <c r="F377" t="inlineStr">
        <is>
          <t>GOTLANDS LÄN</t>
        </is>
      </c>
      <c r="G377" t="inlineStr">
        <is>
          <t>GOTLAND</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9543-2026</t>
        </is>
      </c>
      <c r="B378" t="inlineStr">
        <is>
          <t>avverkningsanmälan</t>
        </is>
      </c>
      <c r="C378" t="inlineStr">
        <is>
          <t>Föryngringsavverkning</t>
        </is>
      </c>
      <c r="D378" s="1" t="n">
        <v>46071</v>
      </c>
      <c r="E378" s="1" t="n">
        <v>46265</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10284-2026</t>
        </is>
      </c>
      <c r="B379" t="inlineStr">
        <is>
          <t>avverkningsanmälan</t>
        </is>
      </c>
      <c r="C379" t="inlineStr">
        <is>
          <t>Avverkning för annat ändamål</t>
        </is>
      </c>
      <c r="D379" s="1" t="n">
        <v>46076</v>
      </c>
      <c r="E379" s="1" t="n">
        <v>46265</v>
      </c>
      <c r="F379" t="inlineStr">
        <is>
          <t>GOTLANDS LÄN</t>
        </is>
      </c>
      <c r="G379" t="inlineStr">
        <is>
          <t>GOTLAND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15434-2024</t>
        </is>
      </c>
      <c r="B380" t="inlineStr">
        <is>
          <t>avverkningsanmälan</t>
        </is>
      </c>
      <c r="C380" t="inlineStr">
        <is>
          <t>Föryngringsavverkning</t>
        </is>
      </c>
      <c r="D380" s="1" t="n">
        <v>45401</v>
      </c>
      <c r="E380" s="1" t="n">
        <v>46265</v>
      </c>
      <c r="F380" t="inlineStr">
        <is>
          <t>GOTLANDS LÄN</t>
        </is>
      </c>
      <c r="G380" t="inlineStr">
        <is>
          <t>GOTLAND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46265</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11424-2026</t>
        </is>
      </c>
      <c r="B382" t="inlineStr">
        <is>
          <t>avverkningsanmälan</t>
        </is>
      </c>
      <c r="C382" t="inlineStr">
        <is>
          <t>Föryngringsavverkning</t>
        </is>
      </c>
      <c r="D382" s="1" t="n">
        <v>46083</v>
      </c>
      <c r="E382" s="1" t="n">
        <v>46265</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46265</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46265</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3067-2026</t>
        </is>
      </c>
      <c r="B385" t="inlineStr">
        <is>
          <t>avverkningsanmälan</t>
        </is>
      </c>
      <c r="C385" t="inlineStr">
        <is>
          <t>Föryngringsavverkning</t>
        </is>
      </c>
      <c r="D385" s="1" t="n">
        <v>46040</v>
      </c>
      <c r="E385" s="1" t="n">
        <v>46265</v>
      </c>
      <c r="F385" t="inlineStr">
        <is>
          <t>GOTLANDS LÄN</t>
        </is>
      </c>
      <c r="G385" t="inlineStr">
        <is>
          <t>GOTLAND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41038-2023</t>
        </is>
      </c>
      <c r="B386" t="inlineStr">
        <is>
          <t>avverkningsanmälan</t>
        </is>
      </c>
      <c r="C386" t="inlineStr">
        <is>
          <t>Föryngringsavverkning</t>
        </is>
      </c>
      <c r="D386" s="1" t="n">
        <v>45173</v>
      </c>
      <c r="E386" s="1" t="n">
        <v>46265</v>
      </c>
      <c r="F386" t="inlineStr">
        <is>
          <t>GOTLANDS LÄN</t>
        </is>
      </c>
      <c r="G386" t="inlineStr">
        <is>
          <t>GOTLAND</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14427-2024</t>
        </is>
      </c>
      <c r="B387" t="inlineStr">
        <is>
          <t>avverkningsanmälan</t>
        </is>
      </c>
      <c r="C387" t="inlineStr">
        <is>
          <t>Avverkning för att bevara och utveckla /försöksver</t>
        </is>
      </c>
      <c r="D387" s="1" t="n">
        <v>45394</v>
      </c>
      <c r="E387" s="1" t="n">
        <v>46265</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46265</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46265</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42201-2023</t>
        </is>
      </c>
      <c r="B390" t="inlineStr">
        <is>
          <t>avverkningsanmälan</t>
        </is>
      </c>
      <c r="C390" t="inlineStr">
        <is>
          <t>Föryngringsavverkning</t>
        </is>
      </c>
      <c r="D390" s="1" t="n">
        <v>45179</v>
      </c>
      <c r="E390" s="1" t="n">
        <v>46265</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46949-2024</t>
        </is>
      </c>
      <c r="B391" t="inlineStr">
        <is>
          <t>avverkningsanmälan</t>
        </is>
      </c>
      <c r="C391" t="inlineStr">
        <is>
          <t>Föryngringsavverkning</t>
        </is>
      </c>
      <c r="D391" s="1" t="n">
        <v>45585</v>
      </c>
      <c r="E391" s="1" t="n">
        <v>46265</v>
      </c>
      <c r="F391" t="inlineStr">
        <is>
          <t>GOTLANDS LÄN</t>
        </is>
      </c>
      <c r="G391" t="inlineStr">
        <is>
          <t>GOTLAND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10650-2022</t>
        </is>
      </c>
      <c r="B392" t="inlineStr">
        <is>
          <t>avverkningsanmälan</t>
        </is>
      </c>
      <c r="C392" t="inlineStr">
        <is>
          <t>Föryngringsavverkning</t>
        </is>
      </c>
      <c r="D392" s="1" t="n">
        <v>44624</v>
      </c>
      <c r="E392" s="1" t="n">
        <v>46265</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63000-2025</t>
        </is>
      </c>
      <c r="B393" t="inlineStr">
        <is>
          <t>avverkningsanmälan</t>
        </is>
      </c>
      <c r="C393" t="inlineStr">
        <is>
          <t>Föryngringsavverkning</t>
        </is>
      </c>
      <c r="D393" s="1" t="n">
        <v>46009</v>
      </c>
      <c r="E393" s="1" t="n">
        <v>46265</v>
      </c>
      <c r="F393" t="inlineStr">
        <is>
          <t>GOTLANDS LÄN</t>
        </is>
      </c>
      <c r="G393" t="inlineStr">
        <is>
          <t>GOTLAND</t>
        </is>
      </c>
      <c r="H393" t="inlineStr">
        <is>
          <t>Övriga Aktiebolag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13486-2026</t>
        </is>
      </c>
      <c r="B394" t="inlineStr">
        <is>
          <t>avverkningsanmälan</t>
        </is>
      </c>
      <c r="C394" t="inlineStr">
        <is>
          <t>Föryngringsavverkning</t>
        </is>
      </c>
      <c r="D394" s="1" t="n">
        <v>46094</v>
      </c>
      <c r="E394" s="1" t="n">
        <v>46265</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62751-2025</t>
        </is>
      </c>
      <c r="B395" t="inlineStr">
        <is>
          <t>avverkningsanmälan</t>
        </is>
      </c>
      <c r="C395" t="inlineStr">
        <is>
          <t>Föryngringsavverkning</t>
        </is>
      </c>
      <c r="D395" s="1" t="n">
        <v>46008</v>
      </c>
      <c r="E395" s="1" t="n">
        <v>46265</v>
      </c>
      <c r="F395" t="inlineStr">
        <is>
          <t>GOTLANDS LÄN</t>
        </is>
      </c>
      <c r="G395" t="inlineStr">
        <is>
          <t>GOTLAND</t>
        </is>
      </c>
      <c r="H395" t="inlineStr">
        <is>
          <t>Övriga Aktiebolag</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1351-2025</t>
        </is>
      </c>
      <c r="B396" t="inlineStr">
        <is>
          <t>avverkningsanmälan</t>
        </is>
      </c>
      <c r="C396" t="inlineStr">
        <is>
          <t>Föryngringsavverkning</t>
        </is>
      </c>
      <c r="D396" s="1" t="n">
        <v>45667</v>
      </c>
      <c r="E396" s="1" t="n">
        <v>46265</v>
      </c>
      <c r="F396" t="inlineStr">
        <is>
          <t>GOTLANDS LÄN</t>
        </is>
      </c>
      <c r="G396" t="inlineStr">
        <is>
          <t>GOTLAND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39496-2022</t>
        </is>
      </c>
      <c r="B397" t="inlineStr">
        <is>
          <t>avverkningsanmälan</t>
        </is>
      </c>
      <c r="C397" t="inlineStr">
        <is>
          <t>Föryngringsavverkning</t>
        </is>
      </c>
      <c r="D397" s="1" t="n">
        <v>44818</v>
      </c>
      <c r="E397" s="1" t="n">
        <v>46265</v>
      </c>
      <c r="F397" t="inlineStr">
        <is>
          <t>GOTLANDS LÄN</t>
        </is>
      </c>
      <c r="G397" t="inlineStr">
        <is>
          <t>GOTLAND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49874-2024</t>
        </is>
      </c>
      <c r="B398" t="inlineStr">
        <is>
          <t>avverkningsanmälan</t>
        </is>
      </c>
      <c r="C398" t="inlineStr">
        <is>
          <t>Föryngringsavverkning</t>
        </is>
      </c>
      <c r="D398" s="1" t="n">
        <v>45597</v>
      </c>
      <c r="E398" s="1" t="n">
        <v>46265</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46400-2023</t>
        </is>
      </c>
      <c r="B399" t="inlineStr">
        <is>
          <t>avverkningsanmälan</t>
        </is>
      </c>
      <c r="C399" t="inlineStr">
        <is>
          <t>Föryngringsavverkning</t>
        </is>
      </c>
      <c r="D399" s="1" t="n">
        <v>45197</v>
      </c>
      <c r="E399" s="1" t="n">
        <v>46265</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46265</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46265</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46265</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16993-2026</t>
        </is>
      </c>
      <c r="B403" t="inlineStr">
        <is>
          <t>avverkningsanmälan</t>
        </is>
      </c>
      <c r="C403" t="inlineStr">
        <is>
          <t>Föryngringsavverkning</t>
        </is>
      </c>
      <c r="D403" s="1" t="n">
        <v>46114</v>
      </c>
      <c r="E403" s="1" t="n">
        <v>46265</v>
      </c>
      <c r="F403" t="inlineStr">
        <is>
          <t>GOTLANDS LÄN</t>
        </is>
      </c>
      <c r="G403" t="inlineStr">
        <is>
          <t>GOTLAND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46265</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20165-2022</t>
        </is>
      </c>
      <c r="B405" t="inlineStr">
        <is>
          <t>avverkningsanmälan</t>
        </is>
      </c>
      <c r="C405" t="inlineStr">
        <is>
          <t>Föryngringsavverkning</t>
        </is>
      </c>
      <c r="D405" s="1" t="n">
        <v>44698</v>
      </c>
      <c r="E405" s="1" t="n">
        <v>46265</v>
      </c>
      <c r="F405" t="inlineStr">
        <is>
          <t>GOTLANDS LÄN</t>
        </is>
      </c>
      <c r="G405" t="inlineStr">
        <is>
          <t>GOTLAND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12032-2025</t>
        </is>
      </c>
      <c r="B406" t="inlineStr">
        <is>
          <t>avverkningsanmälan</t>
        </is>
      </c>
      <c r="C406" t="inlineStr">
        <is>
          <t>Föryngringsavverkning</t>
        </is>
      </c>
      <c r="D406" s="1" t="n">
        <v>45728</v>
      </c>
      <c r="E406" s="1" t="n">
        <v>46265</v>
      </c>
      <c r="F406" t="inlineStr">
        <is>
          <t>GOTLANDS LÄN</t>
        </is>
      </c>
      <c r="G406" t="inlineStr">
        <is>
          <t>GOTLAND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38787-2023</t>
        </is>
      </c>
      <c r="B407" t="inlineStr">
        <is>
          <t>avverkningsanmälan</t>
        </is>
      </c>
      <c r="C407" t="inlineStr">
        <is>
          <t>Föryngringsavverkning</t>
        </is>
      </c>
      <c r="D407" s="1" t="n">
        <v>45163</v>
      </c>
      <c r="E407" s="1" t="n">
        <v>46265</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18804-2026</t>
        </is>
      </c>
      <c r="B408" t="inlineStr">
        <is>
          <t>avverkningsanmälan</t>
        </is>
      </c>
      <c r="C408" t="inlineStr">
        <is>
          <t>Föryngringsavverkning</t>
        </is>
      </c>
      <c r="D408" s="1" t="n">
        <v>46128</v>
      </c>
      <c r="E408" s="1" t="n">
        <v>46265</v>
      </c>
      <c r="F408" t="inlineStr">
        <is>
          <t>GOTLANDS LÄN</t>
        </is>
      </c>
      <c r="G408" t="inlineStr">
        <is>
          <t>GOTLAND</t>
        </is>
      </c>
      <c r="H408" t="inlineStr">
        <is>
          <t>Kyrkan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46265</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17532-2024</t>
        </is>
      </c>
      <c r="B410" t="inlineStr">
        <is>
          <t>avverkningsanmälan</t>
        </is>
      </c>
      <c r="C410" t="inlineStr">
        <is>
          <t>Föryngringsavverkning</t>
        </is>
      </c>
      <c r="D410" s="1" t="n">
        <v>45415</v>
      </c>
      <c r="E410" s="1" t="n">
        <v>46265</v>
      </c>
      <c r="F410" t="inlineStr">
        <is>
          <t>GOTLANDS LÄN</t>
        </is>
      </c>
      <c r="G410" t="inlineStr">
        <is>
          <t>GOTLAND</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26467-2025</t>
        </is>
      </c>
      <c r="B411" t="inlineStr">
        <is>
          <t>avverkningsanmälan</t>
        </is>
      </c>
      <c r="C411" t="inlineStr">
        <is>
          <t>Föryngringsavverkning</t>
        </is>
      </c>
      <c r="D411" s="1" t="n">
        <v>45807</v>
      </c>
      <c r="E411" s="1" t="n">
        <v>46265</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29207-2025</t>
        </is>
      </c>
      <c r="B412" t="inlineStr">
        <is>
          <t>avverkningsanmälan</t>
        </is>
      </c>
      <c r="C412" t="inlineStr">
        <is>
          <t>Föryngringsavverkning</t>
        </is>
      </c>
      <c r="D412" s="1" t="n">
        <v>45823</v>
      </c>
      <c r="E412" s="1" t="n">
        <v>46265</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25796-2025</t>
        </is>
      </c>
      <c r="B413" t="inlineStr">
        <is>
          <t>avverkningsanmälan</t>
        </is>
      </c>
      <c r="C413" t="inlineStr">
        <is>
          <t>Föryngringsavverkning</t>
        </is>
      </c>
      <c r="D413" s="1" t="n">
        <v>45804</v>
      </c>
      <c r="E413" s="1" t="n">
        <v>46265</v>
      </c>
      <c r="F413" t="inlineStr">
        <is>
          <t>GOTLANDS LÄN</t>
        </is>
      </c>
      <c r="G413" t="inlineStr">
        <is>
          <t>GOTLAND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2180-2025</t>
        </is>
      </c>
      <c r="B414" t="inlineStr">
        <is>
          <t>avverkningsanmälan</t>
        </is>
      </c>
      <c r="C414" t="inlineStr">
        <is>
          <t>Föryngringsavverkning</t>
        </is>
      </c>
      <c r="D414" s="1" t="n">
        <v>45673</v>
      </c>
      <c r="E414" s="1" t="n">
        <v>46265</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62754-2025</t>
        </is>
      </c>
      <c r="B415" t="inlineStr">
        <is>
          <t>avverkningsanmälan</t>
        </is>
      </c>
      <c r="C415" t="inlineStr">
        <is>
          <t>Föryngringsavverkning</t>
        </is>
      </c>
      <c r="D415" s="1" t="n">
        <v>46008</v>
      </c>
      <c r="E415" s="1" t="n">
        <v>46265</v>
      </c>
      <c r="F415" t="inlineStr">
        <is>
          <t>GOTLANDS LÄN</t>
        </is>
      </c>
      <c r="G415" t="inlineStr">
        <is>
          <t>GOTLAND</t>
        </is>
      </c>
      <c r="H415" t="inlineStr">
        <is>
          <t>Övriga Aktiebolag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20225-2025</t>
        </is>
      </c>
      <c r="B416" t="inlineStr">
        <is>
          <t>avverkningsanmälan</t>
        </is>
      </c>
      <c r="C416" t="inlineStr">
        <is>
          <t>Föryngringsavverkning</t>
        </is>
      </c>
      <c r="D416" s="1" t="n">
        <v>45772</v>
      </c>
      <c r="E416" s="1" t="n">
        <v>46265</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32379-2025</t>
        </is>
      </c>
      <c r="B417" t="inlineStr">
        <is>
          <t>avverkningsanmälan</t>
        </is>
      </c>
      <c r="C417" t="inlineStr">
        <is>
          <t>Föryngringsavverkning</t>
        </is>
      </c>
      <c r="D417" s="1" t="n">
        <v>45837</v>
      </c>
      <c r="E417" s="1" t="n">
        <v>46265</v>
      </c>
      <c r="F417" t="inlineStr">
        <is>
          <t>GOTLANDS LÄN</t>
        </is>
      </c>
      <c r="G417" t="inlineStr">
        <is>
          <t>GOTLAND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45112-2024</t>
        </is>
      </c>
      <c r="B418" t="inlineStr">
        <is>
          <t>avverkningsanmälan</t>
        </is>
      </c>
      <c r="C418" t="inlineStr">
        <is>
          <t>Föryngringsavverkning</t>
        </is>
      </c>
      <c r="D418" s="1" t="n">
        <v>45575</v>
      </c>
      <c r="E418" s="1" t="n">
        <v>46265</v>
      </c>
      <c r="F418" t="inlineStr">
        <is>
          <t>GOTLANDS LÄN</t>
        </is>
      </c>
      <c r="G418" t="inlineStr">
        <is>
          <t>GOTLAND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1854-2026</t>
        </is>
      </c>
      <c r="B419" t="inlineStr">
        <is>
          <t>avverkningsanmälan</t>
        </is>
      </c>
      <c r="C419" t="inlineStr">
        <is>
          <t>Föryngringsavverkning</t>
        </is>
      </c>
      <c r="D419" s="1" t="n">
        <v>46035</v>
      </c>
      <c r="E419" s="1" t="n">
        <v>46265</v>
      </c>
      <c r="F419" t="inlineStr">
        <is>
          <t>GOTLANDS LÄN</t>
        </is>
      </c>
      <c r="G419" t="inlineStr">
        <is>
          <t>GOTLAND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13910-2025</t>
        </is>
      </c>
      <c r="B420" t="inlineStr">
        <is>
          <t>avverkningsanmälan</t>
        </is>
      </c>
      <c r="C420" t="inlineStr">
        <is>
          <t>Föryngringsavverkning</t>
        </is>
      </c>
      <c r="D420" s="1" t="n">
        <v>45737</v>
      </c>
      <c r="E420" s="1" t="n">
        <v>46265</v>
      </c>
      <c r="F420" t="inlineStr">
        <is>
          <t>GOTLANDS LÄN</t>
        </is>
      </c>
      <c r="G420" t="inlineStr">
        <is>
          <t>GOTLAND</t>
        </is>
      </c>
      <c r="H420" t="inlineStr">
        <is>
          <t>Kommuner</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42338-2023</t>
        </is>
      </c>
      <c r="B421" t="inlineStr">
        <is>
          <t>avverkningsanmälan</t>
        </is>
      </c>
      <c r="C421" t="inlineStr">
        <is>
          <t>Föryngringsavverkning</t>
        </is>
      </c>
      <c r="D421" s="1" t="n">
        <v>45180</v>
      </c>
      <c r="E421" s="1" t="n">
        <v>46265</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6959-2026</t>
        </is>
      </c>
      <c r="B422" t="inlineStr">
        <is>
          <t>avverkningsanmälan</t>
        </is>
      </c>
      <c r="C422" t="inlineStr">
        <is>
          <t>Föryngringsavverkning</t>
        </is>
      </c>
      <c r="D422" s="1" t="n">
        <v>46057</v>
      </c>
      <c r="E422" s="1" t="n">
        <v>46265</v>
      </c>
      <c r="F422" t="inlineStr">
        <is>
          <t>GOTLANDS LÄN</t>
        </is>
      </c>
      <c r="G422" t="inlineStr">
        <is>
          <t>GOTLAND</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873-2024</t>
        </is>
      </c>
      <c r="B423" t="inlineStr">
        <is>
          <t>avverkningsanmälan</t>
        </is>
      </c>
      <c r="C423" t="inlineStr">
        <is>
          <t>Avverkning för annat ändamål</t>
        </is>
      </c>
      <c r="D423" s="1" t="n">
        <v>45301</v>
      </c>
      <c r="E423" s="1" t="n">
        <v>46265</v>
      </c>
      <c r="F423" t="inlineStr">
        <is>
          <t>GOTLANDS LÄN</t>
        </is>
      </c>
      <c r="G423" t="inlineStr">
        <is>
          <t>GOTLAND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22275-2023</t>
        </is>
      </c>
      <c r="B424" t="inlineStr">
        <is>
          <t>avverkningsanmälan</t>
        </is>
      </c>
      <c r="C424" t="inlineStr">
        <is>
          <t>Föryngringsavverkning</t>
        </is>
      </c>
      <c r="D424" s="1" t="n">
        <v>45070</v>
      </c>
      <c r="E424" s="1" t="n">
        <v>46265</v>
      </c>
      <c r="F424" t="inlineStr">
        <is>
          <t>GOTLANDS LÄN</t>
        </is>
      </c>
      <c r="G424" t="inlineStr">
        <is>
          <t>GOTLAND</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12322-2025</t>
        </is>
      </c>
      <c r="B425" t="inlineStr">
        <is>
          <t>avverkningsanmälan</t>
        </is>
      </c>
      <c r="C425" t="inlineStr">
        <is>
          <t>Föryngringsavverkning</t>
        </is>
      </c>
      <c r="D425" s="1" t="n">
        <v>45730</v>
      </c>
      <c r="E425" s="1" t="n">
        <v>46265</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38165-2023</t>
        </is>
      </c>
      <c r="B426" t="inlineStr">
        <is>
          <t>avverkningsanmälan</t>
        </is>
      </c>
      <c r="C426" t="inlineStr">
        <is>
          <t>Föryngringsavverkning</t>
        </is>
      </c>
      <c r="D426" s="1" t="n">
        <v>45161</v>
      </c>
      <c r="E426" s="1" t="n">
        <v>46265</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14797-2024</t>
        </is>
      </c>
      <c r="B427" t="inlineStr">
        <is>
          <t>avverkningsanmälan</t>
        </is>
      </c>
      <c r="C427" t="inlineStr">
        <is>
          <t>Föryngringsavverkning</t>
        </is>
      </c>
      <c r="D427" s="1" t="n">
        <v>45397</v>
      </c>
      <c r="E427" s="1" t="n">
        <v>46265</v>
      </c>
      <c r="F427" t="inlineStr">
        <is>
          <t>GOTLANDS LÄN</t>
        </is>
      </c>
      <c r="G427" t="inlineStr">
        <is>
          <t>GOTLAND</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999-2024</t>
        </is>
      </c>
      <c r="B428" t="inlineStr">
        <is>
          <t>avverkningsanmälan</t>
        </is>
      </c>
      <c r="C428" t="inlineStr">
        <is>
          <t>Föryngringsavverkning</t>
        </is>
      </c>
      <c r="D428" s="1" t="n">
        <v>45301</v>
      </c>
      <c r="E428" s="1" t="n">
        <v>46265</v>
      </c>
      <c r="F428" t="inlineStr">
        <is>
          <t>GOTLANDS LÄN</t>
        </is>
      </c>
      <c r="G428" t="inlineStr">
        <is>
          <t>GOTLAND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61596-2023</t>
        </is>
      </c>
      <c r="B429" t="inlineStr">
        <is>
          <t>avverkningsanmälan</t>
        </is>
      </c>
      <c r="C429" t="inlineStr">
        <is>
          <t>Föryngringsavverkning</t>
        </is>
      </c>
      <c r="D429" s="1" t="n">
        <v>45265</v>
      </c>
      <c r="E429" s="1" t="n">
        <v>46265</v>
      </c>
      <c r="F429" t="inlineStr">
        <is>
          <t>GOTLANDS LÄN</t>
        </is>
      </c>
      <c r="G429" t="inlineStr">
        <is>
          <t>GOTLAND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60675-2021</t>
        </is>
      </c>
      <c r="B430" t="inlineStr">
        <is>
          <t>avverkningsanmälan</t>
        </is>
      </c>
      <c r="C430" t="inlineStr">
        <is>
          <t>Föryngringsavverkning</t>
        </is>
      </c>
      <c r="D430" s="1" t="n">
        <v>44496</v>
      </c>
      <c r="E430" s="1" t="n">
        <v>46265</v>
      </c>
      <c r="F430" t="inlineStr">
        <is>
          <t>GOTLANDS LÄN</t>
        </is>
      </c>
      <c r="G430" t="inlineStr">
        <is>
          <t>GOTLAND</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37728-2024</t>
        </is>
      </c>
      <c r="B431" t="inlineStr">
        <is>
          <t>avverkningsanmälan</t>
        </is>
      </c>
      <c r="C431" t="inlineStr">
        <is>
          <t>Föryngringsavverkning</t>
        </is>
      </c>
      <c r="D431" s="1" t="n">
        <v>45541</v>
      </c>
      <c r="E431" s="1" t="n">
        <v>46265</v>
      </c>
      <c r="F431" t="inlineStr">
        <is>
          <t>GOTLANDS LÄN</t>
        </is>
      </c>
      <c r="G431" t="inlineStr">
        <is>
          <t>GOTLAND</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35537-2025</t>
        </is>
      </c>
      <c r="B432" t="inlineStr">
        <is>
          <t>avverkningsanmälan</t>
        </is>
      </c>
      <c r="C432" t="inlineStr">
        <is>
          <t>Föryngringsavverkning</t>
        </is>
      </c>
      <c r="D432" s="1" t="n">
        <v>45856</v>
      </c>
      <c r="E432" s="1" t="n">
        <v>46265</v>
      </c>
      <c r="F432" t="inlineStr">
        <is>
          <t>GOTLANDS LÄN</t>
        </is>
      </c>
      <c r="G432" t="inlineStr">
        <is>
          <t>GOTLAND</t>
        </is>
      </c>
      <c r="I432" t="n">
        <v>16.8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22287-2022</t>
        </is>
      </c>
      <c r="B433" t="inlineStr">
        <is>
          <t>avverkningsanmälan</t>
        </is>
      </c>
      <c r="C433" t="inlineStr">
        <is>
          <t>Avverkning för annat ändamål</t>
        </is>
      </c>
      <c r="D433" s="1" t="n">
        <v>44712</v>
      </c>
      <c r="E433" s="1" t="n">
        <v>46265</v>
      </c>
      <c r="F433" t="inlineStr">
        <is>
          <t>GOTLANDS LÄN</t>
        </is>
      </c>
      <c r="G433" t="inlineStr">
        <is>
          <t>GOTLAND</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54074-2022</t>
        </is>
      </c>
      <c r="B434" t="inlineStr">
        <is>
          <t>avverkningsanmälan</t>
        </is>
      </c>
      <c r="C434" t="inlineStr">
        <is>
          <t>Föryngringsavverkning</t>
        </is>
      </c>
      <c r="D434" s="1" t="n">
        <v>44881</v>
      </c>
      <c r="E434" s="1" t="n">
        <v>46265</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65249-2023</t>
        </is>
      </c>
      <c r="B435" t="inlineStr">
        <is>
          <t>avverkningsanmälan</t>
        </is>
      </c>
      <c r="C435" t="inlineStr">
        <is>
          <t>Föryngringsavverkning</t>
        </is>
      </c>
      <c r="D435" s="1" t="n">
        <v>45290</v>
      </c>
      <c r="E435" s="1" t="n">
        <v>46265</v>
      </c>
      <c r="F435" t="inlineStr">
        <is>
          <t>GOTLANDS LÄN</t>
        </is>
      </c>
      <c r="G435" t="inlineStr">
        <is>
          <t>GOTLAND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17780-2022</t>
        </is>
      </c>
      <c r="B436" t="inlineStr">
        <is>
          <t>avverkningsanmälan</t>
        </is>
      </c>
      <c r="C436" t="inlineStr">
        <is>
          <t>Föryngringsavverkning</t>
        </is>
      </c>
      <c r="D436" s="1" t="n">
        <v>44682</v>
      </c>
      <c r="E436" s="1" t="n">
        <v>46265</v>
      </c>
      <c r="F436" t="inlineStr">
        <is>
          <t>GOTLANDS LÄN</t>
        </is>
      </c>
      <c r="G436" t="inlineStr">
        <is>
          <t>GOTLAND</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59986-2022</t>
        </is>
      </c>
      <c r="B437" t="inlineStr">
        <is>
          <t>avverkningsanmälan</t>
        </is>
      </c>
      <c r="C437" t="inlineStr">
        <is>
          <t>Avverkning för annat ändamål</t>
        </is>
      </c>
      <c r="D437" s="1" t="n">
        <v>44909</v>
      </c>
      <c r="E437" s="1" t="n">
        <v>46265</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46265</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42041-2024</t>
        </is>
      </c>
      <c r="B439" t="inlineStr">
        <is>
          <t>avverkningsanmälan</t>
        </is>
      </c>
      <c r="C439" t="inlineStr">
        <is>
          <t>Föryngringsavverkning</t>
        </is>
      </c>
      <c r="D439" s="1" t="n">
        <v>45561</v>
      </c>
      <c r="E439" s="1" t="n">
        <v>46265</v>
      </c>
      <c r="F439" t="inlineStr">
        <is>
          <t>GOTLANDS LÄN</t>
        </is>
      </c>
      <c r="G439" t="inlineStr">
        <is>
          <t>GOTLAND</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61694-2023</t>
        </is>
      </c>
      <c r="B440" t="inlineStr">
        <is>
          <t>avverkningsanmälan</t>
        </is>
      </c>
      <c r="C440" t="inlineStr">
        <is>
          <t>Föryngringsavverkning</t>
        </is>
      </c>
      <c r="D440" s="1" t="n">
        <v>45264</v>
      </c>
      <c r="E440" s="1" t="n">
        <v>46265</v>
      </c>
      <c r="F440" t="inlineStr">
        <is>
          <t>GOTLANDS LÄN</t>
        </is>
      </c>
      <c r="G440" t="inlineStr">
        <is>
          <t>GOTLAND</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46265</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46265</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46265</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46265</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46265</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46265</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46265</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46389-2021</t>
        </is>
      </c>
      <c r="B448" t="inlineStr">
        <is>
          <t>avverkningsanmälan</t>
        </is>
      </c>
      <c r="C448" t="inlineStr">
        <is>
          <t>Föryngringsavverkning</t>
        </is>
      </c>
      <c r="D448" s="1" t="n">
        <v>44443</v>
      </c>
      <c r="E448" s="1" t="n">
        <v>46265</v>
      </c>
      <c r="F448" t="inlineStr">
        <is>
          <t>GOTLANDS LÄN</t>
        </is>
      </c>
      <c r="G448" t="inlineStr">
        <is>
          <t>GOTLAND</t>
        </is>
      </c>
      <c r="H448" t="inlineStr">
        <is>
          <t>Kyrkan</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5923-2023</t>
        </is>
      </c>
      <c r="B449" t="inlineStr">
        <is>
          <t>avverkningsanmälan</t>
        </is>
      </c>
      <c r="C449" t="inlineStr">
        <is>
          <t>Föryngringsavverkning</t>
        </is>
      </c>
      <c r="D449" s="1" t="n">
        <v>44963</v>
      </c>
      <c r="E449" s="1" t="n">
        <v>46265</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18918-2025</t>
        </is>
      </c>
      <c r="B450" t="inlineStr">
        <is>
          <t>avverkningsanmälan</t>
        </is>
      </c>
      <c r="C450" t="inlineStr">
        <is>
          <t>Avverkning för annat ändamål</t>
        </is>
      </c>
      <c r="D450" s="1" t="n">
        <v>45764</v>
      </c>
      <c r="E450" s="1" t="n">
        <v>46265</v>
      </c>
      <c r="F450" t="inlineStr">
        <is>
          <t>GOTLANDS LÄN</t>
        </is>
      </c>
      <c r="G450" t="inlineStr">
        <is>
          <t>GOTLAND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46265</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46265</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46265</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46265</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46265</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46265</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46265</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46265</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46265</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46265</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46265</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4421-2024</t>
        </is>
      </c>
      <c r="B462" t="inlineStr">
        <is>
          <t>avverkningsanmälan</t>
        </is>
      </c>
      <c r="C462" t="inlineStr">
        <is>
          <t>Föryngringsavverkning</t>
        </is>
      </c>
      <c r="D462" s="1" t="n">
        <v>45327</v>
      </c>
      <c r="E462" s="1" t="n">
        <v>46265</v>
      </c>
      <c r="F462" t="inlineStr">
        <is>
          <t>GOTLANDS LÄN</t>
        </is>
      </c>
      <c r="G462" t="inlineStr">
        <is>
          <t>GOTLAND</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51782-2023</t>
        </is>
      </c>
      <c r="B463" t="inlineStr">
        <is>
          <t>avverkningsanmälan</t>
        </is>
      </c>
      <c r="C463" t="inlineStr">
        <is>
          <t>Föryngringsavverkning</t>
        </is>
      </c>
      <c r="D463" s="1" t="n">
        <v>45222</v>
      </c>
      <c r="E463" s="1" t="n">
        <v>46265</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54268-2022</t>
        </is>
      </c>
      <c r="B464" t="inlineStr">
        <is>
          <t>avverkningsanmälan</t>
        </is>
      </c>
      <c r="C464" t="inlineStr">
        <is>
          <t>Föryngringsavverkning</t>
        </is>
      </c>
      <c r="D464" s="1" t="n">
        <v>44882</v>
      </c>
      <c r="E464" s="1" t="n">
        <v>46265</v>
      </c>
      <c r="F464" t="inlineStr">
        <is>
          <t>GOTLANDS LÄN</t>
        </is>
      </c>
      <c r="G464" t="inlineStr">
        <is>
          <t>GOTLAND</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25866-2022</t>
        </is>
      </c>
      <c r="B465" t="inlineStr">
        <is>
          <t>avverkningsanmälan</t>
        </is>
      </c>
      <c r="C465" t="inlineStr">
        <is>
          <t>Föryngringsavverkning</t>
        </is>
      </c>
      <c r="D465" s="1" t="n">
        <v>44733</v>
      </c>
      <c r="E465" s="1" t="n">
        <v>46265</v>
      </c>
      <c r="F465" t="inlineStr">
        <is>
          <t>GOTLANDS LÄN</t>
        </is>
      </c>
      <c r="G465" t="inlineStr">
        <is>
          <t>GOTLAND</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43229-2023</t>
        </is>
      </c>
      <c r="B466" t="inlineStr">
        <is>
          <t>avverkningsanmälan</t>
        </is>
      </c>
      <c r="C466" t="inlineStr">
        <is>
          <t>Föryngringsavverkning</t>
        </is>
      </c>
      <c r="D466" s="1" t="n">
        <v>45183</v>
      </c>
      <c r="E466" s="1" t="n">
        <v>46265</v>
      </c>
      <c r="F466" t="inlineStr">
        <is>
          <t>GOTLANDS LÄN</t>
        </is>
      </c>
      <c r="G466" t="inlineStr">
        <is>
          <t>GOTLAND</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27095-2022</t>
        </is>
      </c>
      <c r="B467" t="inlineStr">
        <is>
          <t>avverkningsanmälan</t>
        </is>
      </c>
      <c r="C467" t="inlineStr">
        <is>
          <t>Avverkning för annat ändamål</t>
        </is>
      </c>
      <c r="D467" s="1" t="n">
        <v>44741</v>
      </c>
      <c r="E467" s="1" t="n">
        <v>46265</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46265</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23978-2023</t>
        </is>
      </c>
      <c r="B469" t="inlineStr">
        <is>
          <t>avverkningsanmälan</t>
        </is>
      </c>
      <c r="C469" t="inlineStr">
        <is>
          <t>Föryngringsavverkning</t>
        </is>
      </c>
      <c r="D469" s="1" t="n">
        <v>45078</v>
      </c>
      <c r="E469" s="1" t="n">
        <v>46265</v>
      </c>
      <c r="F469" t="inlineStr">
        <is>
          <t>GOTLANDS LÄN</t>
        </is>
      </c>
      <c r="G469" t="inlineStr">
        <is>
          <t>GOTLAND</t>
        </is>
      </c>
      <c r="H469" t="inlineStr">
        <is>
          <t>Naturvårdsverket</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34407-2023</t>
        </is>
      </c>
      <c r="B470" t="inlineStr">
        <is>
          <t>avverkningsanmälan</t>
        </is>
      </c>
      <c r="C470" t="inlineStr">
        <is>
          <t>Föryngringsavverkning</t>
        </is>
      </c>
      <c r="D470" s="1" t="n">
        <v>45132</v>
      </c>
      <c r="E470" s="1" t="n">
        <v>46265</v>
      </c>
      <c r="F470" t="inlineStr">
        <is>
          <t>GOTLANDS LÄN</t>
        </is>
      </c>
      <c r="G470" t="inlineStr">
        <is>
          <t>GOTLAND</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11013-2024</t>
        </is>
      </c>
      <c r="B471" t="inlineStr">
        <is>
          <t>avverkningsanmälan</t>
        </is>
      </c>
      <c r="C471" t="inlineStr">
        <is>
          <t>Föryngringsavverkning</t>
        </is>
      </c>
      <c r="D471" s="1" t="n">
        <v>45370</v>
      </c>
      <c r="E471" s="1" t="n">
        <v>46265</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27694-2024</t>
        </is>
      </c>
      <c r="B472" t="inlineStr">
        <is>
          <t>avverkningsanmälan</t>
        </is>
      </c>
      <c r="C472" t="inlineStr">
        <is>
          <t>Föryngringsavverkning</t>
        </is>
      </c>
      <c r="D472" s="1" t="n">
        <v>45475</v>
      </c>
      <c r="E472" s="1" t="n">
        <v>46265</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15083-2025</t>
        </is>
      </c>
      <c r="B473" t="inlineStr">
        <is>
          <t>avverkningsanmälan</t>
        </is>
      </c>
      <c r="C473" t="inlineStr">
        <is>
          <t>Avverkning för annat ändamål</t>
        </is>
      </c>
      <c r="D473" s="1" t="n">
        <v>45743</v>
      </c>
      <c r="E473" s="1" t="n">
        <v>46265</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13037-2025</t>
        </is>
      </c>
      <c r="B474" t="inlineStr">
        <is>
          <t>avverkningsanmälan</t>
        </is>
      </c>
      <c r="C474" t="inlineStr">
        <is>
          <t>Avverkning för att bevara och utveckla /försöksver</t>
        </is>
      </c>
      <c r="D474" s="1" t="n">
        <v>45734</v>
      </c>
      <c r="E474" s="1" t="n">
        <v>46265</v>
      </c>
      <c r="F474" t="inlineStr">
        <is>
          <t>GOTLANDS LÄN</t>
        </is>
      </c>
      <c r="G474" t="inlineStr">
        <is>
          <t>GOTLAND</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44228-2022</t>
        </is>
      </c>
      <c r="B475" t="inlineStr">
        <is>
          <t>avverkningsanmälan</t>
        </is>
      </c>
      <c r="C475" t="inlineStr">
        <is>
          <t>Föryngringsavverkning</t>
        </is>
      </c>
      <c r="D475" s="1" t="n">
        <v>44839</v>
      </c>
      <c r="E475" s="1" t="n">
        <v>46265</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58132-2023</t>
        </is>
      </c>
      <c r="B476" t="inlineStr">
        <is>
          <t>avverkningsanmälan</t>
        </is>
      </c>
      <c r="C476" t="inlineStr">
        <is>
          <t>Föryngringsavverkning</t>
        </is>
      </c>
      <c r="D476" s="1" t="n">
        <v>45250</v>
      </c>
      <c r="E476" s="1" t="n">
        <v>46265</v>
      </c>
      <c r="F476" t="inlineStr">
        <is>
          <t>GOTLANDS LÄN</t>
        </is>
      </c>
      <c r="G476" t="inlineStr">
        <is>
          <t>GOTLAND</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49884-2023</t>
        </is>
      </c>
      <c r="B477" t="inlineStr">
        <is>
          <t>avverkningsanmälan</t>
        </is>
      </c>
      <c r="C477" t="inlineStr">
        <is>
          <t>Föryngringsavverkning</t>
        </is>
      </c>
      <c r="D477" s="1" t="n">
        <v>45213</v>
      </c>
      <c r="E477" s="1" t="n">
        <v>46265</v>
      </c>
      <c r="F477" t="inlineStr">
        <is>
          <t>GOTLANDS LÄN</t>
        </is>
      </c>
      <c r="G477" t="inlineStr">
        <is>
          <t>GOTLAND</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876-2024</t>
        </is>
      </c>
      <c r="B478" t="inlineStr">
        <is>
          <t>avverkningsanmälan</t>
        </is>
      </c>
      <c r="C478" t="inlineStr">
        <is>
          <t>Avverkning för annat ändamål</t>
        </is>
      </c>
      <c r="D478" s="1" t="n">
        <v>45301</v>
      </c>
      <c r="E478" s="1" t="n">
        <v>46265</v>
      </c>
      <c r="F478" t="inlineStr">
        <is>
          <t>GOTLANDS LÄN</t>
        </is>
      </c>
      <c r="G478" t="inlineStr">
        <is>
          <t>GOTLAND</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22704-2023</t>
        </is>
      </c>
      <c r="B479" t="inlineStr">
        <is>
          <t>avverkningsanmälan</t>
        </is>
      </c>
      <c r="C479" t="inlineStr">
        <is>
          <t>Föryngringsavverkning</t>
        </is>
      </c>
      <c r="D479" s="1" t="n">
        <v>45071</v>
      </c>
      <c r="E479" s="1" t="n">
        <v>46265</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28425-2023</t>
        </is>
      </c>
      <c r="B480" t="inlineStr">
        <is>
          <t>avverkningsanmälan</t>
        </is>
      </c>
      <c r="C480" t="inlineStr">
        <is>
          <t>Föryngringsavverkning</t>
        </is>
      </c>
      <c r="D480" s="1" t="n">
        <v>45102</v>
      </c>
      <c r="E480" s="1" t="n">
        <v>46265</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43223-2023</t>
        </is>
      </c>
      <c r="B481" t="inlineStr">
        <is>
          <t>avverkningsanmälan</t>
        </is>
      </c>
      <c r="C481" t="inlineStr">
        <is>
          <t>Föryngringsavverkning</t>
        </is>
      </c>
      <c r="D481" s="1" t="n">
        <v>45183</v>
      </c>
      <c r="E481" s="1" t="n">
        <v>46265</v>
      </c>
      <c r="F481" t="inlineStr">
        <is>
          <t>GOTLANDS LÄN</t>
        </is>
      </c>
      <c r="G481" t="inlineStr">
        <is>
          <t>GOTLAND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3431-2025</t>
        </is>
      </c>
      <c r="B482" t="inlineStr">
        <is>
          <t>avverkningsanmälan</t>
        </is>
      </c>
      <c r="C482" t="inlineStr">
        <is>
          <t>Föryngringsavverkning</t>
        </is>
      </c>
      <c r="D482" s="1" t="n">
        <v>45680</v>
      </c>
      <c r="E482" s="1" t="n">
        <v>46265</v>
      </c>
      <c r="F482" t="inlineStr">
        <is>
          <t>GOTLANDS LÄN</t>
        </is>
      </c>
      <c r="G482" t="inlineStr">
        <is>
          <t>GOTLAND</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37202-2024</t>
        </is>
      </c>
      <c r="B483" t="inlineStr">
        <is>
          <t>avverkningsanmälan</t>
        </is>
      </c>
      <c r="C483" t="inlineStr">
        <is>
          <t>Föryngringsavverkning</t>
        </is>
      </c>
      <c r="D483" s="1" t="n">
        <v>45539</v>
      </c>
      <c r="E483" s="1" t="n">
        <v>46265</v>
      </c>
      <c r="F483" t="inlineStr">
        <is>
          <t>GOTLANDS LÄN</t>
        </is>
      </c>
      <c r="G483" t="inlineStr">
        <is>
          <t>GOTLAND</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46527-2023</t>
        </is>
      </c>
      <c r="B484" t="inlineStr">
        <is>
          <t>avverkningsanmälan</t>
        </is>
      </c>
      <c r="C484" t="inlineStr">
        <is>
          <t>Avverkning för annat ändamål</t>
        </is>
      </c>
      <c r="D484" s="1" t="n">
        <v>45197</v>
      </c>
      <c r="E484" s="1" t="n">
        <v>46265</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46265</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60709-2023</t>
        </is>
      </c>
      <c r="B486" t="inlineStr">
        <is>
          <t>avverkningsanmälan</t>
        </is>
      </c>
      <c r="C486" t="inlineStr">
        <is>
          <t>Föryngringsavverkning</t>
        </is>
      </c>
      <c r="D486" s="1" t="n">
        <v>45260</v>
      </c>
      <c r="E486" s="1" t="n">
        <v>46265</v>
      </c>
      <c r="F486" t="inlineStr">
        <is>
          <t>GOTLANDS LÄN</t>
        </is>
      </c>
      <c r="G486" t="inlineStr">
        <is>
          <t>GOTLAND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22275-2026</t>
        </is>
      </c>
      <c r="B487" t="inlineStr">
        <is>
          <t>avverkningsanmälan</t>
        </is>
      </c>
      <c r="C487" t="inlineStr">
        <is>
          <t>Föryngringsavverkning</t>
        </is>
      </c>
      <c r="D487" s="1" t="n">
        <v>46154</v>
      </c>
      <c r="E487" s="1" t="n">
        <v>46265</v>
      </c>
      <c r="F487" t="inlineStr">
        <is>
          <t>GOTLANDS LÄN</t>
        </is>
      </c>
      <c r="G487" t="inlineStr">
        <is>
          <t>GOTLAND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22281-2026</t>
        </is>
      </c>
      <c r="B488" t="inlineStr">
        <is>
          <t>avverkningsanmälan</t>
        </is>
      </c>
      <c r="C488" t="inlineStr">
        <is>
          <t>Avverkning för annat ändamål</t>
        </is>
      </c>
      <c r="D488" s="1" t="n">
        <v>46154</v>
      </c>
      <c r="E488" s="1" t="n">
        <v>46265</v>
      </c>
      <c r="F488" t="inlineStr">
        <is>
          <t>GOTLANDS LÄN</t>
        </is>
      </c>
      <c r="G488" t="inlineStr">
        <is>
          <t>GOTLAND</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39764-2022</t>
        </is>
      </c>
      <c r="B489" t="inlineStr">
        <is>
          <t>avverkningsanmälan</t>
        </is>
      </c>
      <c r="C489" t="inlineStr">
        <is>
          <t>Föryngringsavverkning</t>
        </is>
      </c>
      <c r="D489" s="1" t="n">
        <v>44819</v>
      </c>
      <c r="E489" s="1" t="n">
        <v>46265</v>
      </c>
      <c r="F489" t="inlineStr">
        <is>
          <t>GOTLANDS LÄN</t>
        </is>
      </c>
      <c r="G489" t="inlineStr">
        <is>
          <t>GOTLAND</t>
        </is>
      </c>
      <c r="H489" t="inlineStr">
        <is>
          <t>Kyrkan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22348-2026</t>
        </is>
      </c>
      <c r="B490" t="inlineStr">
        <is>
          <t>avverkningsanmälan</t>
        </is>
      </c>
      <c r="C490" t="inlineStr">
        <is>
          <t>Föryngringsavverkning</t>
        </is>
      </c>
      <c r="D490" s="1" t="n">
        <v>46154</v>
      </c>
      <c r="E490" s="1" t="n">
        <v>46265</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22351-2026</t>
        </is>
      </c>
      <c r="B491" t="inlineStr">
        <is>
          <t>avverkningsanmälan</t>
        </is>
      </c>
      <c r="C491" t="inlineStr">
        <is>
          <t>Föryngringsavverkning</t>
        </is>
      </c>
      <c r="D491" s="1" t="n">
        <v>46154</v>
      </c>
      <c r="E491" s="1" t="n">
        <v>46265</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30956-2024</t>
        </is>
      </c>
      <c r="B492" t="inlineStr">
        <is>
          <t>avverkningsanmälan</t>
        </is>
      </c>
      <c r="C492" t="inlineStr">
        <is>
          <t>Föryngringsavverkning</t>
        </is>
      </c>
      <c r="D492" s="1" t="n">
        <v>45499</v>
      </c>
      <c r="E492" s="1" t="n">
        <v>46265</v>
      </c>
      <c r="F492" t="inlineStr">
        <is>
          <t>GOTLANDS LÄN</t>
        </is>
      </c>
      <c r="G492" t="inlineStr">
        <is>
          <t>GOTLAND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30892-2024</t>
        </is>
      </c>
      <c r="B493" t="inlineStr">
        <is>
          <t>avverkningsanmälan</t>
        </is>
      </c>
      <c r="C493" t="inlineStr">
        <is>
          <t>Föryngringsavverkning</t>
        </is>
      </c>
      <c r="D493" s="1" t="n">
        <v>45491</v>
      </c>
      <c r="E493" s="1" t="n">
        <v>46265</v>
      </c>
      <c r="F493" t="inlineStr">
        <is>
          <t>GOTLANDS LÄN</t>
        </is>
      </c>
      <c r="G493" t="inlineStr">
        <is>
          <t>GOTLAND</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14635-2023</t>
        </is>
      </c>
      <c r="B494" t="inlineStr">
        <is>
          <t>avverkningsanmälan</t>
        </is>
      </c>
      <c r="C494" t="inlineStr">
        <is>
          <t>Föryngringsavverkning</t>
        </is>
      </c>
      <c r="D494" s="1" t="n">
        <v>45013</v>
      </c>
      <c r="E494" s="1" t="n">
        <v>46265</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59469-2024</t>
        </is>
      </c>
      <c r="B495" t="inlineStr">
        <is>
          <t>avverkningsanmälan</t>
        </is>
      </c>
      <c r="C495" t="inlineStr">
        <is>
          <t>Föryngringsavverkning</t>
        </is>
      </c>
      <c r="D495" s="1" t="n">
        <v>45638</v>
      </c>
      <c r="E495" s="1" t="n">
        <v>46265</v>
      </c>
      <c r="F495" t="inlineStr">
        <is>
          <t>GOTLANDS LÄN</t>
        </is>
      </c>
      <c r="G495" t="inlineStr">
        <is>
          <t>GOTLAND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7858-2025</t>
        </is>
      </c>
      <c r="B496" t="inlineStr">
        <is>
          <t>avverkningsanmälan</t>
        </is>
      </c>
      <c r="C496" t="inlineStr">
        <is>
          <t>Föryngringsavverkning</t>
        </is>
      </c>
      <c r="D496" s="1" t="n">
        <v>45706</v>
      </c>
      <c r="E496" s="1" t="n">
        <v>46265</v>
      </c>
      <c r="F496" t="inlineStr">
        <is>
          <t>GOTLANDS LÄN</t>
        </is>
      </c>
      <c r="G496" t="inlineStr">
        <is>
          <t>GOTLAND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53935-2024</t>
        </is>
      </c>
      <c r="B497" t="inlineStr">
        <is>
          <t>avverkningsanmälan</t>
        </is>
      </c>
      <c r="C497" t="inlineStr">
        <is>
          <t>Föryngringsavverkning</t>
        </is>
      </c>
      <c r="D497" s="1" t="n">
        <v>45615</v>
      </c>
      <c r="E497" s="1" t="n">
        <v>46265</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4420-2025</t>
        </is>
      </c>
      <c r="B498" t="inlineStr">
        <is>
          <t>avverkningsanmälan</t>
        </is>
      </c>
      <c r="C498" t="inlineStr">
        <is>
          <t>Föryngringsavverkning</t>
        </is>
      </c>
      <c r="D498" s="1" t="n">
        <v>45686</v>
      </c>
      <c r="E498" s="1" t="n">
        <v>46265</v>
      </c>
      <c r="F498" t="inlineStr">
        <is>
          <t>GOTLANDS LÄN</t>
        </is>
      </c>
      <c r="G498" t="inlineStr">
        <is>
          <t>GOTLAND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46265</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7835-2024</t>
        </is>
      </c>
      <c r="B500" t="inlineStr">
        <is>
          <t>avverkningsanmälan</t>
        </is>
      </c>
      <c r="C500" t="inlineStr">
        <is>
          <t>Föryngringsavverkning</t>
        </is>
      </c>
      <c r="D500" s="1" t="n">
        <v>45349</v>
      </c>
      <c r="E500" s="1" t="n">
        <v>46265</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35096-2025</t>
        </is>
      </c>
      <c r="B501" t="inlineStr">
        <is>
          <t>avverkningsanmälan</t>
        </is>
      </c>
      <c r="C501" t="inlineStr">
        <is>
          <t>Föryngringsavverkning</t>
        </is>
      </c>
      <c r="D501" s="1" t="n">
        <v>45852</v>
      </c>
      <c r="E501" s="1" t="n">
        <v>46265</v>
      </c>
      <c r="F501" t="inlineStr">
        <is>
          <t>GOTLANDS LÄN</t>
        </is>
      </c>
      <c r="G501" t="inlineStr">
        <is>
          <t>GOTLAND</t>
        </is>
      </c>
      <c r="H501" t="inlineStr">
        <is>
          <t>Kyrkan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22887-2026</t>
        </is>
      </c>
      <c r="B502" t="inlineStr">
        <is>
          <t>avverkningsanmälan</t>
        </is>
      </c>
      <c r="C502" t="inlineStr">
        <is>
          <t>Avverkning för att bevara och utveckla /försöksver</t>
        </is>
      </c>
      <c r="D502" s="1" t="n">
        <v>46160</v>
      </c>
      <c r="E502" s="1" t="n">
        <v>46265</v>
      </c>
      <c r="F502" t="inlineStr">
        <is>
          <t>GOTLANDS LÄN</t>
        </is>
      </c>
      <c r="G502" t="inlineStr">
        <is>
          <t>GOTLAND</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23103-2026</t>
        </is>
      </c>
      <c r="B503" t="inlineStr">
        <is>
          <t>avverkningsanmälan</t>
        </is>
      </c>
      <c r="C503" t="inlineStr">
        <is>
          <t>Föryngringsavverkning</t>
        </is>
      </c>
      <c r="D503" s="1" t="n">
        <v>46161</v>
      </c>
      <c r="E503" s="1" t="n">
        <v>46265</v>
      </c>
      <c r="F503" t="inlineStr">
        <is>
          <t>GOTLANDS LÄN</t>
        </is>
      </c>
      <c r="G503" t="inlineStr">
        <is>
          <t>GOTLAND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46265</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24448-2026</t>
        </is>
      </c>
      <c r="B505" t="inlineStr">
        <is>
          <t>avverkningsanmälan</t>
        </is>
      </c>
      <c r="C505" t="inlineStr">
        <is>
          <t>Föryngringsavverkning</t>
        </is>
      </c>
      <c r="D505" s="1" t="n">
        <v>46170</v>
      </c>
      <c r="E505" s="1" t="n">
        <v>46265</v>
      </c>
      <c r="F505" t="inlineStr">
        <is>
          <t>GOTLANDS LÄN</t>
        </is>
      </c>
      <c r="G505" t="inlineStr">
        <is>
          <t>GOTLAND</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31695-2026</t>
        </is>
      </c>
      <c r="B506" t="inlineStr">
        <is>
          <t>avverkningsanmälan</t>
        </is>
      </c>
      <c r="C506" t="inlineStr">
        <is>
          <t>Föryngringsavverkning</t>
        </is>
      </c>
      <c r="D506" s="1" t="n">
        <v>46226</v>
      </c>
      <c r="E506" s="1" t="n">
        <v>46265</v>
      </c>
      <c r="F506" t="inlineStr">
        <is>
          <t>GOTLANDS LÄN</t>
        </is>
      </c>
      <c r="G506" t="inlineStr">
        <is>
          <t>GOTLAND</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27354-2026</t>
        </is>
      </c>
      <c r="B507" t="inlineStr">
        <is>
          <t>avverkningsanmälan</t>
        </is>
      </c>
      <c r="C507" t="inlineStr">
        <is>
          <t>Föryngringsavverkning</t>
        </is>
      </c>
      <c r="D507" s="1" t="n">
        <v>46184</v>
      </c>
      <c r="E507" s="1" t="n">
        <v>46265</v>
      </c>
      <c r="F507" t="inlineStr">
        <is>
          <t>GOTLANDS LÄN</t>
        </is>
      </c>
      <c r="G507" t="inlineStr">
        <is>
          <t>GOTLAND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31693-2026</t>
        </is>
      </c>
      <c r="B508" t="inlineStr">
        <is>
          <t>avverkningsanmälan</t>
        </is>
      </c>
      <c r="C508" t="inlineStr">
        <is>
          <t>Föryngringsavverkning</t>
        </is>
      </c>
      <c r="D508" s="1" t="n">
        <v>46226</v>
      </c>
      <c r="E508" s="1" t="n">
        <v>46265</v>
      </c>
      <c r="F508" t="inlineStr">
        <is>
          <t>GOTLANDS LÄN</t>
        </is>
      </c>
      <c r="G508" t="inlineStr">
        <is>
          <t>GOTLAND</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46265</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27346-2026</t>
        </is>
      </c>
      <c r="B510" t="inlineStr">
        <is>
          <t>avverkningsanmälan</t>
        </is>
      </c>
      <c r="C510" t="inlineStr">
        <is>
          <t>Föryngringsavverkning</t>
        </is>
      </c>
      <c r="D510" s="1" t="n">
        <v>46188</v>
      </c>
      <c r="E510" s="1" t="n">
        <v>46265</v>
      </c>
      <c r="F510" t="inlineStr">
        <is>
          <t>GOTLANDS LÄN</t>
        </is>
      </c>
      <c r="G510" t="inlineStr">
        <is>
          <t>GOTLAND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27341-2026</t>
        </is>
      </c>
      <c r="B511" t="inlineStr">
        <is>
          <t>avverkningsanmälan</t>
        </is>
      </c>
      <c r="C511" t="inlineStr">
        <is>
          <t>Föryngringsavverkning</t>
        </is>
      </c>
      <c r="D511" s="1" t="n">
        <v>46188</v>
      </c>
      <c r="E511" s="1" t="n">
        <v>46265</v>
      </c>
      <c r="F511" t="inlineStr">
        <is>
          <t>GOTLANDS LÄN</t>
        </is>
      </c>
      <c r="G511" t="inlineStr">
        <is>
          <t>GOTLAND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32239-2026</t>
        </is>
      </c>
      <c r="B512" t="inlineStr">
        <is>
          <t>avverkningsanmälan</t>
        </is>
      </c>
      <c r="C512" t="inlineStr">
        <is>
          <t>Föryngringsavverkning</t>
        </is>
      </c>
      <c r="D512" s="1" t="n">
        <v>46237</v>
      </c>
      <c r="E512" s="1" t="n">
        <v>46265</v>
      </c>
      <c r="F512" t="inlineStr">
        <is>
          <t>GOTLANDS LÄN</t>
        </is>
      </c>
      <c r="G512" t="inlineStr">
        <is>
          <t>GOTLAND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28012-2026</t>
        </is>
      </c>
      <c r="B513" t="inlineStr">
        <is>
          <t>avverkningsanmälan</t>
        </is>
      </c>
      <c r="C513" t="inlineStr">
        <is>
          <t>Föryngringsavverkning</t>
        </is>
      </c>
      <c r="D513" s="1" t="n">
        <v>46195</v>
      </c>
      <c r="E513" s="1" t="n">
        <v>46265</v>
      </c>
      <c r="F513" t="inlineStr">
        <is>
          <t>GOTLANDS LÄN</t>
        </is>
      </c>
      <c r="G513" t="inlineStr">
        <is>
          <t>GOTLAND</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32553-2026</t>
        </is>
      </c>
      <c r="B514" t="inlineStr">
        <is>
          <t>avverkningsanmälan</t>
        </is>
      </c>
      <c r="C514" t="inlineStr">
        <is>
          <t>Föryngringsavverkning</t>
        </is>
      </c>
      <c r="D514" s="1" t="n">
        <v>46239</v>
      </c>
      <c r="E514" s="1" t="n">
        <v>46265</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46265</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28839-2026</t>
        </is>
      </c>
      <c r="B516" t="inlineStr">
        <is>
          <t>avverkningsanmälan</t>
        </is>
      </c>
      <c r="C516" t="inlineStr">
        <is>
          <t>Föryngringsavverkning</t>
        </is>
      </c>
      <c r="D516" s="1" t="n">
        <v>46198</v>
      </c>
      <c r="E516" s="1" t="n">
        <v>46265</v>
      </c>
      <c r="F516" t="inlineStr">
        <is>
          <t>GOTLANDS LÄN</t>
        </is>
      </c>
      <c r="G516" t="inlineStr">
        <is>
          <t>GOTLAND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28843-2026</t>
        </is>
      </c>
      <c r="B517" t="inlineStr">
        <is>
          <t>avverkningsanmälan</t>
        </is>
      </c>
      <c r="C517" t="inlineStr">
        <is>
          <t>Föryngringsavverkning</t>
        </is>
      </c>
      <c r="D517" s="1" t="n">
        <v>46198</v>
      </c>
      <c r="E517" s="1" t="n">
        <v>46265</v>
      </c>
      <c r="F517" t="inlineStr">
        <is>
          <t>GOTLANDS LÄN</t>
        </is>
      </c>
      <c r="G517" t="inlineStr">
        <is>
          <t>GOTLAND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29370-2026</t>
        </is>
      </c>
      <c r="B518" t="inlineStr">
        <is>
          <t>avverkningsanmälan</t>
        </is>
      </c>
      <c r="C518" t="inlineStr">
        <is>
          <t>Föryngringsavverkning</t>
        </is>
      </c>
      <c r="D518" s="1" t="n">
        <v>46203</v>
      </c>
      <c r="E518" s="1" t="n">
        <v>46265</v>
      </c>
      <c r="F518" t="inlineStr">
        <is>
          <t>GOTLANDS LÄN</t>
        </is>
      </c>
      <c r="G518" t="inlineStr">
        <is>
          <t>GOTLAND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32698-2026</t>
        </is>
      </c>
      <c r="B519" t="inlineStr">
        <is>
          <t>avverkningsanmälan</t>
        </is>
      </c>
      <c r="C519" t="inlineStr">
        <is>
          <t>Föryngringsavverkning</t>
        </is>
      </c>
      <c r="D519" s="1" t="n">
        <v>46240</v>
      </c>
      <c r="E519" s="1" t="n">
        <v>46265</v>
      </c>
      <c r="F519" t="inlineStr">
        <is>
          <t>GOTLANDS LÄN</t>
        </is>
      </c>
      <c r="G519" t="inlineStr">
        <is>
          <t>GOTLAND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30925-2026</t>
        </is>
      </c>
      <c r="B520" t="inlineStr">
        <is>
          <t>avverkningsanmälan</t>
        </is>
      </c>
      <c r="C520" t="inlineStr">
        <is>
          <t>Föryngringsavverkning</t>
        </is>
      </c>
      <c r="D520" s="1" t="n">
        <v>46213</v>
      </c>
      <c r="E520" s="1" t="n">
        <v>46265</v>
      </c>
      <c r="F520" t="inlineStr">
        <is>
          <t>GOTLANDS LÄN</t>
        </is>
      </c>
      <c r="G520" t="inlineStr">
        <is>
          <t>GOTLAND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30926-2026</t>
        </is>
      </c>
      <c r="B521" t="inlineStr">
        <is>
          <t>avverkningsanmälan</t>
        </is>
      </c>
      <c r="C521" t="inlineStr">
        <is>
          <t>Föryngringsavverkning</t>
        </is>
      </c>
      <c r="D521" s="1" t="n">
        <v>46213</v>
      </c>
      <c r="E521" s="1" t="n">
        <v>46265</v>
      </c>
      <c r="F521" t="inlineStr">
        <is>
          <t>GOTLANDS LÄN</t>
        </is>
      </c>
      <c r="G521" t="inlineStr">
        <is>
          <t>GOTLAND</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62836-2025</t>
        </is>
      </c>
      <c r="B522" t="inlineStr">
        <is>
          <t>avverkningsanmälan</t>
        </is>
      </c>
      <c r="C522" t="inlineStr">
        <is>
          <t>Föryngringsavverkning</t>
        </is>
      </c>
      <c r="D522" s="1" t="n">
        <v>46008</v>
      </c>
      <c r="E522" s="1" t="n">
        <v>46265</v>
      </c>
      <c r="F522" t="inlineStr">
        <is>
          <t>GOTLANDS LÄN</t>
        </is>
      </c>
      <c r="G522" t="inlineStr">
        <is>
          <t>GOTLAND</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31287-2026</t>
        </is>
      </c>
      <c r="B523" t="inlineStr">
        <is>
          <t>avverkningsanmälan</t>
        </is>
      </c>
      <c r="C523" t="inlineStr">
        <is>
          <t>Föryngringsavverkning</t>
        </is>
      </c>
      <c r="D523" s="1" t="n">
        <v>46218</v>
      </c>
      <c r="E523" s="1" t="n">
        <v>46265</v>
      </c>
      <c r="F523" t="inlineStr">
        <is>
          <t>GOTLANDS LÄN</t>
        </is>
      </c>
      <c r="G523" t="inlineStr">
        <is>
          <t>GOTLAND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35127-2026</t>
        </is>
      </c>
      <c r="B524" t="inlineStr">
        <is>
          <t>avverkningsanmälan</t>
        </is>
      </c>
      <c r="C524" t="inlineStr">
        <is>
          <t>Föryngringsavverkning</t>
        </is>
      </c>
      <c r="D524" s="1" t="n">
        <v>46260</v>
      </c>
      <c r="E524" s="1" t="n">
        <v>46265</v>
      </c>
      <c r="F524" t="inlineStr">
        <is>
          <t>GOTLANDS LÄN</t>
        </is>
      </c>
      <c r="G524" t="inlineStr">
        <is>
          <t>GOTLAND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1331-2024</t>
        </is>
      </c>
      <c r="B525" t="inlineStr">
        <is>
          <t>samrådsanmälan</t>
        </is>
      </c>
      <c r="C525" t="inlineStr">
        <is>
          <t>Annan skogsbruksåtgärd</t>
        </is>
      </c>
      <c r="D525" s="1" t="n">
        <v>45406</v>
      </c>
      <c r="E525" s="1" t="n">
        <v>46265</v>
      </c>
      <c r="F525" t="inlineStr">
        <is>
          <t>GOTLANDS LÄN</t>
        </is>
      </c>
      <c r="G525" t="inlineStr">
        <is>
          <t>GOTLAND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537-2024</t>
        </is>
      </c>
      <c r="B526" t="inlineStr">
        <is>
          <t>samrådsanmälan</t>
        </is>
      </c>
      <c r="C526" t="inlineStr">
        <is>
          <t>Annan skogsbruksåtgärd</t>
        </is>
      </c>
      <c r="D526" s="1" t="n">
        <v>45350</v>
      </c>
      <c r="E526" s="1" t="n">
        <v>46265</v>
      </c>
      <c r="F526" t="inlineStr">
        <is>
          <t>GOTLANDS LÄN</t>
        </is>
      </c>
      <c r="G526" t="inlineStr">
        <is>
          <t>GOTLAND</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3545-2023</t>
        </is>
      </c>
      <c r="B527" t="inlineStr">
        <is>
          <t>samrådsanmälan</t>
        </is>
      </c>
      <c r="C527" t="inlineStr">
        <is>
          <t>Annan skogsbruksåtgärd</t>
        </is>
      </c>
      <c r="D527" s="1" t="n">
        <v>45209</v>
      </c>
      <c r="E527" s="1" t="n">
        <v>46265</v>
      </c>
      <c r="F527" t="inlineStr">
        <is>
          <t>GOTLANDS LÄN</t>
        </is>
      </c>
      <c r="G527" t="inlineStr">
        <is>
          <t>GOTLAND</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5746-2022</t>
        </is>
      </c>
      <c r="B528" t="inlineStr">
        <is>
          <t>samrådsanmälan</t>
        </is>
      </c>
      <c r="C528" t="inlineStr">
        <is>
          <t>Annan skogsbruksåtgärd</t>
        </is>
      </c>
      <c r="D528" s="1" t="n">
        <v>44846</v>
      </c>
      <c r="E528" s="1" t="n">
        <v>46265</v>
      </c>
      <c r="F528" t="inlineStr">
        <is>
          <t>GOTLANDS LÄN</t>
        </is>
      </c>
      <c r="G528" t="inlineStr">
        <is>
          <t>GOTLAND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1077-2024</t>
        </is>
      </c>
      <c r="B529" t="inlineStr">
        <is>
          <t>samrådsanmälan</t>
        </is>
      </c>
      <c r="C529" t="inlineStr">
        <is>
          <t>Annan skogsbruksåtgärd</t>
        </is>
      </c>
      <c r="D529" s="1" t="n">
        <v>45390</v>
      </c>
      <c r="E529" s="1" t="n">
        <v>46265</v>
      </c>
      <c r="F529" t="inlineStr">
        <is>
          <t>GOTLANDS LÄN</t>
        </is>
      </c>
      <c r="G529" t="inlineStr">
        <is>
          <t>GOTLAND</t>
        </is>
      </c>
      <c r="I529" t="n">
        <v>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3900-2023</t>
        </is>
      </c>
      <c r="B530" t="inlineStr">
        <is>
          <t>samrådsanmälan</t>
        </is>
      </c>
      <c r="C530" t="inlineStr">
        <is>
          <t>Annan skogsbruksåtgärd</t>
        </is>
      </c>
      <c r="D530" s="1" t="n">
        <v>45237</v>
      </c>
      <c r="E530" s="1" t="n">
        <v>46265</v>
      </c>
      <c r="F530" t="inlineStr">
        <is>
          <t>GOTLANDS LÄN</t>
        </is>
      </c>
      <c r="G530" t="inlineStr">
        <is>
          <t>GOTLAND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5133-2024</t>
        </is>
      </c>
      <c r="B531" t="inlineStr">
        <is>
          <t>samrådsanmälan</t>
        </is>
      </c>
      <c r="C531" t="inlineStr">
        <is>
          <t>Annan skogsbruksåtgärd</t>
        </is>
      </c>
      <c r="D531" s="1" t="n">
        <v>45645</v>
      </c>
      <c r="E531" s="1" t="n">
        <v>46265</v>
      </c>
      <c r="F531" t="inlineStr">
        <is>
          <t>GOTLANDS LÄN</t>
        </is>
      </c>
      <c r="G531" t="inlineStr">
        <is>
          <t>GOTLAND</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1436-2025</t>
        </is>
      </c>
      <c r="B532" t="inlineStr">
        <is>
          <t>samrådsanmälan</t>
        </is>
      </c>
      <c r="C532" t="inlineStr">
        <is>
          <t>Annan skogsbruksåtgärd</t>
        </is>
      </c>
      <c r="D532" s="1" t="n">
        <v>45784</v>
      </c>
      <c r="E532" s="1" t="n">
        <v>46265</v>
      </c>
      <c r="F532" t="inlineStr">
        <is>
          <t>GOTLANDS LÄN</t>
        </is>
      </c>
      <c r="G532" t="inlineStr">
        <is>
          <t>GOTLAND</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2281-2025</t>
        </is>
      </c>
      <c r="B533" t="inlineStr">
        <is>
          <t>samrådsanmälan</t>
        </is>
      </c>
      <c r="C533" t="inlineStr">
        <is>
          <t>Annan skogsbruksåtgärd</t>
        </is>
      </c>
      <c r="D533" s="1" t="n">
        <v>45876</v>
      </c>
      <c r="E533" s="1" t="n">
        <v>46265</v>
      </c>
      <c r="F533" t="inlineStr">
        <is>
          <t>GOTLANDS LÄN</t>
        </is>
      </c>
      <c r="G533" t="inlineStr">
        <is>
          <t>GOTLAND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1192-2026</t>
        </is>
      </c>
      <c r="B534" t="inlineStr">
        <is>
          <t>samrådsanmälan</t>
        </is>
      </c>
      <c r="C534" t="inlineStr">
        <is>
          <t>Annan skogsbruksåtgärd</t>
        </is>
      </c>
      <c r="D534" s="1" t="n">
        <v>46139</v>
      </c>
      <c r="E534" s="1" t="n">
        <v>46265</v>
      </c>
      <c r="F534" t="inlineStr">
        <is>
          <t>GOTLANDS LÄN</t>
        </is>
      </c>
      <c r="G534" t="inlineStr">
        <is>
          <t>GOTLAND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752-2025</t>
        </is>
      </c>
      <c r="B535" t="inlineStr">
        <is>
          <t>samrådsanmälan</t>
        </is>
      </c>
      <c r="C535" t="inlineStr">
        <is>
          <t>Annan skogsbruksåtgärd</t>
        </is>
      </c>
      <c r="D535" s="1" t="n">
        <v>45726</v>
      </c>
      <c r="E535" s="1" t="n">
        <v>46265</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row r="536">
      <c r="A536" t="inlineStr">
        <is>
          <t>S 1330-2026</t>
        </is>
      </c>
      <c r="B536" t="inlineStr">
        <is>
          <t>samrådsanmälan</t>
        </is>
      </c>
      <c r="C536" t="inlineStr">
        <is>
          <t>Annan skogsbruksåtgärd</t>
        </is>
      </c>
      <c r="D536" s="1" t="n">
        <v>46149</v>
      </c>
      <c r="E536" s="1" t="n">
        <v>46265</v>
      </c>
      <c r="F536" t="inlineStr">
        <is>
          <t>GOTLANDS LÄN</t>
        </is>
      </c>
      <c r="G536" t="inlineStr">
        <is>
          <t>GOTLAND</t>
        </is>
      </c>
      <c r="I536" t="n">
        <v>7.5</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2026-08-31T10:00:06Z</dcterms:created>
  <dcterms:modified xmlns:dcterms="http://purl.org/dc/terms/" xmlns:xsi="http://www.w3.org/2001/XMLSchema-instance" xsi:type="dcterms:W3CDTF">2026-08-31T10:00:06Z</dcterms:modified>
</cp:coreProperties>
</file>