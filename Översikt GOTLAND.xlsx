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46029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46029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46029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46029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46029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46029</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46029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46029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46029</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46029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46029</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46029</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46029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46029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46029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46029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46029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46029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46029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46029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46029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46029</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46029</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46029</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46029</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46029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46029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46029</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46029</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46029</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46029</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46029</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46029</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445-2023</t>
        </is>
      </c>
      <c r="B36" s="1" t="n">
        <v>44929</v>
      </c>
      <c r="C36" s="1" t="n">
        <v>46029</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44204-2022</t>
        </is>
      </c>
      <c r="B37" s="1" t="n">
        <v>44839</v>
      </c>
      <c r="C37" s="1" t="n">
        <v>46029</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46029</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46029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46029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46029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46029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46029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46029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46029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46029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46029</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46029</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46029</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46029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46029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46029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46029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46029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46029</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46029</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46029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46029</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46029</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46029</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46029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46029</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46029</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46029</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46029</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46029</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56687-2025</t>
        </is>
      </c>
      <c r="B67" s="1" t="n">
        <v>45975.84065972222</v>
      </c>
      <c r="C67" s="1" t="n">
        <v>46029</v>
      </c>
      <c r="D67" t="inlineStr">
        <is>
          <t>GOTLANDS LÄN</t>
        </is>
      </c>
      <c r="E67" t="inlineStr">
        <is>
          <t>GOTLAND</t>
        </is>
      </c>
      <c r="G67" t="n">
        <v>2.4</v>
      </c>
      <c r="H67" t="n">
        <v>4</v>
      </c>
      <c r="I67" t="n">
        <v>2</v>
      </c>
      <c r="J67" t="n">
        <v>3</v>
      </c>
      <c r="K67" t="n">
        <v>0</v>
      </c>
      <c r="L67" t="n">
        <v>0</v>
      </c>
      <c r="M67" t="n">
        <v>0</v>
      </c>
      <c r="N67" t="n">
        <v>0</v>
      </c>
      <c r="O67" t="n">
        <v>3</v>
      </c>
      <c r="P67" t="n">
        <v>0</v>
      </c>
      <c r="Q67" t="n">
        <v>7</v>
      </c>
      <c r="R67" s="2" t="inlineStr">
        <is>
          <t>Backtimjan
Dårgräsfjäril
Solvända
Blåmossa
Skogsknipprot
Brudsporre
Nattviol</t>
        </is>
      </c>
      <c r="S67">
        <f>HYPERLINK("https://klasma.github.io/Logging_0980/artfynd/A 56687-2025 artfynd.xlsx", "A 56687-2025")</f>
        <v/>
      </c>
      <c r="T67">
        <f>HYPERLINK("https://klasma.github.io/Logging_0980/kartor/A 56687-2025 karta.png", "A 56687-2025")</f>
        <v/>
      </c>
      <c r="V67">
        <f>HYPERLINK("https://klasma.github.io/Logging_0980/klagomål/A 56687-2025 FSC-klagomål.docx", "A 56687-2025")</f>
        <v/>
      </c>
      <c r="W67">
        <f>HYPERLINK("https://klasma.github.io/Logging_0980/klagomålsmail/A 56687-2025 FSC-klagomål mail.docx", "A 56687-2025")</f>
        <v/>
      </c>
      <c r="X67">
        <f>HYPERLINK("https://klasma.github.io/Logging_0980/tillsyn/A 56687-2025 tillsynsbegäran.docx", "A 56687-2025")</f>
        <v/>
      </c>
      <c r="Y67">
        <f>HYPERLINK("https://klasma.github.io/Logging_0980/tillsynsmail/A 56687-2025 tillsynsbegäran mail.docx", "A 56687-2025")</f>
        <v/>
      </c>
    </row>
    <row r="68" ht="15" customHeight="1">
      <c r="A68" t="inlineStr">
        <is>
          <t>A 27168-2022</t>
        </is>
      </c>
      <c r="B68" s="1" t="n">
        <v>44741</v>
      </c>
      <c r="C68" s="1" t="n">
        <v>46029</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46029</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46029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46029</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46029</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46029</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46029</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46029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46029</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57773-2025</t>
        </is>
      </c>
      <c r="B77" s="1" t="n">
        <v>45981.56349537037</v>
      </c>
      <c r="C77" s="1" t="n">
        <v>46029</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46029</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46029</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46029</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46029</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46029</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46029</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39425-2023</t>
        </is>
      </c>
      <c r="B84" s="1" t="n">
        <v>45166</v>
      </c>
      <c r="C84" s="1" t="n">
        <v>46029</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52245-2025</t>
        </is>
      </c>
      <c r="B85" s="1" t="n">
        <v>45953.47115740741</v>
      </c>
      <c r="C85" s="1" t="n">
        <v>46029</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46029</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46029</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46029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46029</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46029</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46029</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46029</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46029</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40099-2025</t>
        </is>
      </c>
      <c r="B94" s="1" t="n">
        <v>45894.48462962963</v>
      </c>
      <c r="C94" s="1" t="n">
        <v>46029</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46029</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44933-2022</t>
        </is>
      </c>
      <c r="B96" s="1" t="n">
        <v>44841</v>
      </c>
      <c r="C96" s="1" t="n">
        <v>46029</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2485-2025</t>
        </is>
      </c>
      <c r="B97" s="1" t="n">
        <v>45673</v>
      </c>
      <c r="C97" s="1" t="n">
        <v>46029</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57463-2025</t>
        </is>
      </c>
      <c r="B98" s="1" t="n">
        <v>45980.54174768519</v>
      </c>
      <c r="C98" s="1" t="n">
        <v>46029</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52309-2025</t>
        </is>
      </c>
      <c r="B99" s="1" t="n">
        <v>45953.64381944444</v>
      </c>
      <c r="C99" s="1" t="n">
        <v>46029</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52250-2025</t>
        </is>
      </c>
      <c r="B100" s="1" t="n">
        <v>45953.48998842593</v>
      </c>
      <c r="C100" s="1" t="n">
        <v>46029</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8265-2023</t>
        </is>
      </c>
      <c r="B101" s="1" t="n">
        <v>44974</v>
      </c>
      <c r="C101" s="1" t="n">
        <v>46029</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46029</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46029</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46029</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46029</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46029</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46029</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46029</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46029</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46029</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46029</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46029</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46029</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55334-2024</t>
        </is>
      </c>
      <c r="B114" s="1" t="n">
        <v>45621</v>
      </c>
      <c r="C114" s="1" t="n">
        <v>46029</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53552-2021</t>
        </is>
      </c>
      <c r="B115" s="1" t="n">
        <v>44468</v>
      </c>
      <c r="C115" s="1" t="n">
        <v>46029</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49709-2025</t>
        </is>
      </c>
      <c r="B116" s="1" t="n">
        <v>45939.68228009259</v>
      </c>
      <c r="C116" s="1" t="n">
        <v>46029</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46029</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46029</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46029</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46029</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46029</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46029</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46029</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46029</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46029</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46029</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46029</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46029</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46029</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46029</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63162-2025</t>
        </is>
      </c>
      <c r="B131" s="1" t="n">
        <v>46010.37629629629</v>
      </c>
      <c r="C131" s="1" t="n">
        <v>46029</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7070-2022</t>
        </is>
      </c>
      <c r="B132" s="1" t="n">
        <v>44603</v>
      </c>
      <c r="C132" s="1" t="n">
        <v>46029</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62760-2025</t>
        </is>
      </c>
      <c r="B133" s="1" t="n">
        <v>46008.59275462963</v>
      </c>
      <c r="C133" s="1" t="n">
        <v>46029</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43219-2023</t>
        </is>
      </c>
      <c r="B134" s="1" t="n">
        <v>45183</v>
      </c>
      <c r="C134" s="1" t="n">
        <v>46029</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46029</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46029</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46029</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46029</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46029</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46029</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46029</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46029</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46029</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46029</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46029</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44304-2021</t>
        </is>
      </c>
      <c r="B146" s="1" t="n">
        <v>44434</v>
      </c>
      <c r="C146" s="1" t="n">
        <v>46029</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25977-2024</t>
        </is>
      </c>
      <c r="B147" s="1" t="n">
        <v>45467.69356481481</v>
      </c>
      <c r="C147" s="1" t="n">
        <v>46029</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26461-2025</t>
        </is>
      </c>
      <c r="B148" s="1" t="n">
        <v>45807.43337962963</v>
      </c>
      <c r="C148" s="1" t="n">
        <v>46029</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65927-2021</t>
        </is>
      </c>
      <c r="B149" s="1" t="n">
        <v>44516</v>
      </c>
      <c r="C149" s="1" t="n">
        <v>46029</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39812-2025</t>
        </is>
      </c>
      <c r="B150" s="1" t="n">
        <v>45891</v>
      </c>
      <c r="C150" s="1" t="n">
        <v>46029</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61796-2022</t>
        </is>
      </c>
      <c r="B151" s="1" t="n">
        <v>44917</v>
      </c>
      <c r="C151" s="1" t="n">
        <v>46029</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15637-2024</t>
        </is>
      </c>
      <c r="B152" s="1" t="n">
        <v>45403.6684837963</v>
      </c>
      <c r="C152" s="1" t="n">
        <v>46029</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34141-2024</t>
        </is>
      </c>
      <c r="B153" s="1" t="n">
        <v>45524.36229166666</v>
      </c>
      <c r="C153" s="1" t="n">
        <v>46029</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46029</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2476-2025</t>
        </is>
      </c>
      <c r="B155" s="1" t="n">
        <v>45673</v>
      </c>
      <c r="C155" s="1" t="n">
        <v>46029</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35467-2021</t>
        </is>
      </c>
      <c r="B156" s="1" t="n">
        <v>44385</v>
      </c>
      <c r="C156" s="1" t="n">
        <v>46029</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10995-2023</t>
        </is>
      </c>
      <c r="B157" s="1" t="n">
        <v>44986</v>
      </c>
      <c r="C157" s="1" t="n">
        <v>46029</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12924-2025</t>
        </is>
      </c>
      <c r="B158" s="1" t="n">
        <v>45734</v>
      </c>
      <c r="C158" s="1" t="n">
        <v>46029</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44619-2025</t>
        </is>
      </c>
      <c r="B159" s="1" t="n">
        <v>45917</v>
      </c>
      <c r="C159" s="1" t="n">
        <v>46029</v>
      </c>
      <c r="D159" t="inlineStr">
        <is>
          <t>GOTLANDS LÄN</t>
        </is>
      </c>
      <c r="E159" t="inlineStr">
        <is>
          <t>GOTLAND</t>
        </is>
      </c>
      <c r="G159" t="n">
        <v>4.3</v>
      </c>
      <c r="H159" t="n">
        <v>0</v>
      </c>
      <c r="I159" t="n">
        <v>1</v>
      </c>
      <c r="J159" t="n">
        <v>0</v>
      </c>
      <c r="K159" t="n">
        <v>0</v>
      </c>
      <c r="L159" t="n">
        <v>0</v>
      </c>
      <c r="M159" t="n">
        <v>0</v>
      </c>
      <c r="N159" t="n">
        <v>0</v>
      </c>
      <c r="O159" t="n">
        <v>0</v>
      </c>
      <c r="P159" t="n">
        <v>0</v>
      </c>
      <c r="Q159" t="n">
        <v>1</v>
      </c>
      <c r="R159" s="2" t="inlineStr">
        <is>
          <t>Ögonpyrola</t>
        </is>
      </c>
      <c r="S159">
        <f>HYPERLINK("https://klasma.github.io/Logging_0980/artfynd/A 44619-2025 artfynd.xlsx", "A 44619-2025")</f>
        <v/>
      </c>
      <c r="T159">
        <f>HYPERLINK("https://klasma.github.io/Logging_0980/kartor/A 44619-2025 karta.png", "A 44619-2025")</f>
        <v/>
      </c>
      <c r="V159">
        <f>HYPERLINK("https://klasma.github.io/Logging_0980/klagomål/A 44619-2025 FSC-klagomål.docx", "A 44619-2025")</f>
        <v/>
      </c>
      <c r="W159">
        <f>HYPERLINK("https://klasma.github.io/Logging_0980/klagomålsmail/A 44619-2025 FSC-klagomål mail.docx", "A 44619-2025")</f>
        <v/>
      </c>
      <c r="X159">
        <f>HYPERLINK("https://klasma.github.io/Logging_0980/tillsyn/A 44619-2025 tillsynsbegäran.docx", "A 44619-2025")</f>
        <v/>
      </c>
      <c r="Y159">
        <f>HYPERLINK("https://klasma.github.io/Logging_0980/tillsynsmail/A 44619-2025 tillsynsbegäran mail.docx", "A 44619-2025")</f>
        <v/>
      </c>
    </row>
    <row r="160" ht="15" customHeight="1">
      <c r="A160" t="inlineStr">
        <is>
          <t>A 13939-2021</t>
        </is>
      </c>
      <c r="B160" s="1" t="n">
        <v>44277</v>
      </c>
      <c r="C160" s="1" t="n">
        <v>46029</v>
      </c>
      <c r="D160" t="inlineStr">
        <is>
          <t>GOTLANDS LÄN</t>
        </is>
      </c>
      <c r="E160" t="inlineStr">
        <is>
          <t>GOTLAND</t>
        </is>
      </c>
      <c r="G160" t="n">
        <v>1</v>
      </c>
      <c r="H160" t="n">
        <v>0</v>
      </c>
      <c r="I160" t="n">
        <v>0</v>
      </c>
      <c r="J160" t="n">
        <v>1</v>
      </c>
      <c r="K160" t="n">
        <v>0</v>
      </c>
      <c r="L160" t="n">
        <v>0</v>
      </c>
      <c r="M160" t="n">
        <v>0</v>
      </c>
      <c r="N160" t="n">
        <v>0</v>
      </c>
      <c r="O160" t="n">
        <v>1</v>
      </c>
      <c r="P160" t="n">
        <v>0</v>
      </c>
      <c r="Q160" t="n">
        <v>1</v>
      </c>
      <c r="R160" s="2" t="inlineStr">
        <is>
          <t>Axveronika</t>
        </is>
      </c>
      <c r="S160">
        <f>HYPERLINK("https://klasma.github.io/Logging_0980/artfynd/A 13939-2021 artfynd.xlsx", "A 13939-2021")</f>
        <v/>
      </c>
      <c r="T160">
        <f>HYPERLINK("https://klasma.github.io/Logging_0980/kartor/A 13939-2021 karta.png", "A 13939-2021")</f>
        <v/>
      </c>
      <c r="V160">
        <f>HYPERLINK("https://klasma.github.io/Logging_0980/klagomål/A 13939-2021 FSC-klagomål.docx", "A 13939-2021")</f>
        <v/>
      </c>
      <c r="W160">
        <f>HYPERLINK("https://klasma.github.io/Logging_0980/klagomålsmail/A 13939-2021 FSC-klagomål mail.docx", "A 13939-2021")</f>
        <v/>
      </c>
      <c r="X160">
        <f>HYPERLINK("https://klasma.github.io/Logging_0980/tillsyn/A 13939-2021 tillsynsbegäran.docx", "A 13939-2021")</f>
        <v/>
      </c>
      <c r="Y160">
        <f>HYPERLINK("https://klasma.github.io/Logging_0980/tillsynsmail/A 13939-2021 tillsynsbegäran mail.docx", "A 13939-2021")</f>
        <v/>
      </c>
    </row>
    <row r="161" ht="15" customHeight="1">
      <c r="A161" t="inlineStr">
        <is>
          <t>A 62552-2022</t>
        </is>
      </c>
      <c r="B161" s="1" t="n">
        <v>44924</v>
      </c>
      <c r="C161" s="1" t="n">
        <v>46029</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44088-2022</t>
        </is>
      </c>
      <c r="B162" s="1" t="n">
        <v>44839</v>
      </c>
      <c r="C162" s="1" t="n">
        <v>46029</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Strävlosta</t>
        </is>
      </c>
      <c r="S162">
        <f>HYPERLINK("https://klasma.github.io/Logging_0980/artfynd/A 44088-2022 artfynd.xlsx", "A 44088-2022")</f>
        <v/>
      </c>
      <c r="T162">
        <f>HYPERLINK("https://klasma.github.io/Logging_0980/kartor/A 44088-2022 karta.png", "A 44088-2022")</f>
        <v/>
      </c>
      <c r="V162">
        <f>HYPERLINK("https://klasma.github.io/Logging_0980/klagomål/A 44088-2022 FSC-klagomål.docx", "A 44088-2022")</f>
        <v/>
      </c>
      <c r="W162">
        <f>HYPERLINK("https://klasma.github.io/Logging_0980/klagomålsmail/A 44088-2022 FSC-klagomål mail.docx", "A 44088-2022")</f>
        <v/>
      </c>
      <c r="X162">
        <f>HYPERLINK("https://klasma.github.io/Logging_0980/tillsyn/A 44088-2022 tillsynsbegäran.docx", "A 44088-2022")</f>
        <v/>
      </c>
      <c r="Y162">
        <f>HYPERLINK("https://klasma.github.io/Logging_0980/tillsynsmail/A 44088-2022 tillsynsbegäran mail.docx", "A 44088-2022")</f>
        <v/>
      </c>
    </row>
    <row r="163" ht="15" customHeight="1">
      <c r="A163" t="inlineStr">
        <is>
          <t>A 44308-2021</t>
        </is>
      </c>
      <c r="B163" s="1" t="n">
        <v>44434</v>
      </c>
      <c r="C163" s="1" t="n">
        <v>46029</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49726-2025</t>
        </is>
      </c>
      <c r="B164" s="1" t="n">
        <v>45939.84466435185</v>
      </c>
      <c r="C164" s="1" t="n">
        <v>46029</v>
      </c>
      <c r="D164" t="inlineStr">
        <is>
          <t>GOTLANDS LÄN</t>
        </is>
      </c>
      <c r="E164" t="inlineStr">
        <is>
          <t>GOTLAND</t>
        </is>
      </c>
      <c r="F164" t="inlineStr">
        <is>
          <t>Kyrkan</t>
        </is>
      </c>
      <c r="G164" t="n">
        <v>5.4</v>
      </c>
      <c r="H164" t="n">
        <v>0</v>
      </c>
      <c r="I164" t="n">
        <v>0</v>
      </c>
      <c r="J164" t="n">
        <v>1</v>
      </c>
      <c r="K164" t="n">
        <v>0</v>
      </c>
      <c r="L164" t="n">
        <v>0</v>
      </c>
      <c r="M164" t="n">
        <v>0</v>
      </c>
      <c r="N164" t="n">
        <v>0</v>
      </c>
      <c r="O164" t="n">
        <v>1</v>
      </c>
      <c r="P164" t="n">
        <v>0</v>
      </c>
      <c r="Q164" t="n">
        <v>1</v>
      </c>
      <c r="R164" s="2" t="inlineStr">
        <is>
          <t>Odörspindling</t>
        </is>
      </c>
      <c r="S164">
        <f>HYPERLINK("https://klasma.github.io/Logging_0980/artfynd/A 49726-2025 artfynd.xlsx", "A 49726-2025")</f>
        <v/>
      </c>
      <c r="T164">
        <f>HYPERLINK("https://klasma.github.io/Logging_0980/kartor/A 49726-2025 karta.png", "A 49726-2025")</f>
        <v/>
      </c>
      <c r="V164">
        <f>HYPERLINK("https://klasma.github.io/Logging_0980/klagomål/A 49726-2025 FSC-klagomål.docx", "A 49726-2025")</f>
        <v/>
      </c>
      <c r="W164">
        <f>HYPERLINK("https://klasma.github.io/Logging_0980/klagomålsmail/A 49726-2025 FSC-klagomål mail.docx", "A 49726-2025")</f>
        <v/>
      </c>
      <c r="X164">
        <f>HYPERLINK("https://klasma.github.io/Logging_0980/tillsyn/A 49726-2025 tillsynsbegäran.docx", "A 49726-2025")</f>
        <v/>
      </c>
      <c r="Y164">
        <f>HYPERLINK("https://klasma.github.io/Logging_0980/tillsynsmail/A 49726-2025 tillsynsbegäran mail.docx", "A 49726-2025")</f>
        <v/>
      </c>
    </row>
    <row r="165" ht="15" customHeight="1">
      <c r="A165" t="inlineStr">
        <is>
          <t>A 20429-2025</t>
        </is>
      </c>
      <c r="B165" s="1" t="n">
        <v>45775.47728009259</v>
      </c>
      <c r="C165" s="1" t="n">
        <v>46029</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447-2023</t>
        </is>
      </c>
      <c r="B166" s="1" t="n">
        <v>44929</v>
      </c>
      <c r="C166" s="1" t="n">
        <v>46029</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46029</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46029</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46029</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46029</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46029</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46029</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46029</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46029</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46029</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63149-2025</t>
        </is>
      </c>
      <c r="B176" s="1" t="n">
        <v>46010.35664351852</v>
      </c>
      <c r="C176" s="1" t="n">
        <v>46029</v>
      </c>
      <c r="D176" t="inlineStr">
        <is>
          <t>GOTLANDS LÄN</t>
        </is>
      </c>
      <c r="E176" t="inlineStr">
        <is>
          <t>GOTLAND</t>
        </is>
      </c>
      <c r="G176" t="n">
        <v>4.3</v>
      </c>
      <c r="H176" t="n">
        <v>0</v>
      </c>
      <c r="I176" t="n">
        <v>1</v>
      </c>
      <c r="J176" t="n">
        <v>0</v>
      </c>
      <c r="K176" t="n">
        <v>0</v>
      </c>
      <c r="L176" t="n">
        <v>0</v>
      </c>
      <c r="M176" t="n">
        <v>0</v>
      </c>
      <c r="N176" t="n">
        <v>0</v>
      </c>
      <c r="O176" t="n">
        <v>0</v>
      </c>
      <c r="P176" t="n">
        <v>0</v>
      </c>
      <c r="Q176" t="n">
        <v>1</v>
      </c>
      <c r="R176" s="2" t="inlineStr">
        <is>
          <t>Anisspindling</t>
        </is>
      </c>
      <c r="S176">
        <f>HYPERLINK("https://klasma.github.io/Logging_0980/artfynd/A 63149-2025 artfynd.xlsx", "A 63149-2025")</f>
        <v/>
      </c>
      <c r="T176">
        <f>HYPERLINK("https://klasma.github.io/Logging_0980/kartor/A 63149-2025 karta.png", "A 63149-2025")</f>
        <v/>
      </c>
      <c r="V176">
        <f>HYPERLINK("https://klasma.github.io/Logging_0980/klagomål/A 63149-2025 FSC-klagomål.docx", "A 63149-2025")</f>
        <v/>
      </c>
      <c r="W176">
        <f>HYPERLINK("https://klasma.github.io/Logging_0980/klagomålsmail/A 63149-2025 FSC-klagomål mail.docx", "A 63149-2025")</f>
        <v/>
      </c>
      <c r="X176">
        <f>HYPERLINK("https://klasma.github.io/Logging_0980/tillsyn/A 63149-2025 tillsynsbegäran.docx", "A 63149-2025")</f>
        <v/>
      </c>
      <c r="Y176">
        <f>HYPERLINK("https://klasma.github.io/Logging_0980/tillsynsmail/A 63149-2025 tillsynsbegäran mail.docx", "A 63149-2025")</f>
        <v/>
      </c>
    </row>
    <row r="177" ht="15" customHeight="1">
      <c r="A177" t="inlineStr">
        <is>
          <t>A 34809-2024</t>
        </is>
      </c>
      <c r="B177" s="1" t="n">
        <v>45526</v>
      </c>
      <c r="C177" s="1" t="n">
        <v>46029</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46029</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22782-2023</t>
        </is>
      </c>
      <c r="B179" s="1" t="n">
        <v>45072</v>
      </c>
      <c r="C179" s="1" t="n">
        <v>46029</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46029</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46029</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46029</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46029</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46029</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46029</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46029</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46029</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46029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46029</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46029</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46029</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46029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46029</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46029</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46029</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46029</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46029</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46029</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46029</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46029</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46029</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46029</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46029</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46029</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46029</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46029</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46029</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46029</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46029</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46029</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46029</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46029</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46029</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46029</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46029</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46029</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46029</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46029</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46029</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46029</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46029</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46029</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46029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46029</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46029</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46029</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46029</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46029</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46029</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46029</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46029</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46029</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46029</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46029</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46029</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46029</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46029</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46029</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30282-2022</t>
        </is>
      </c>
      <c r="B239" s="1" t="n">
        <v>44760</v>
      </c>
      <c r="C239" s="1" t="n">
        <v>46029</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46029</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32330-2024</t>
        </is>
      </c>
      <c r="B241" s="1" t="n">
        <v>45512</v>
      </c>
      <c r="C241" s="1" t="n">
        <v>46029</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9613-2025</t>
        </is>
      </c>
      <c r="B242" s="1" t="n">
        <v>45715</v>
      </c>
      <c r="C242" s="1" t="n">
        <v>46029</v>
      </c>
      <c r="D242" t="inlineStr">
        <is>
          <t>GOTLANDS LÄN</t>
        </is>
      </c>
      <c r="E242" t="inlineStr">
        <is>
          <t>GOTLAND</t>
        </is>
      </c>
      <c r="G242" t="n">
        <v>3.5</v>
      </c>
      <c r="H242" t="n">
        <v>0</v>
      </c>
      <c r="I242" t="n">
        <v>0</v>
      </c>
      <c r="J242" t="n">
        <v>0</v>
      </c>
      <c r="K242" t="n">
        <v>0</v>
      </c>
      <c r="L242" t="n">
        <v>0</v>
      </c>
      <c r="M242" t="n">
        <v>0</v>
      </c>
      <c r="N242" t="n">
        <v>0</v>
      </c>
      <c r="O242" t="n">
        <v>0</v>
      </c>
      <c r="P242" t="n">
        <v>0</v>
      </c>
      <c r="Q242" t="n">
        <v>0</v>
      </c>
      <c r="R242" s="2" t="inlineStr"/>
    </row>
    <row r="243" ht="15" customHeight="1">
      <c r="A243" t="inlineStr">
        <is>
          <t>A 5751-2024</t>
        </is>
      </c>
      <c r="B243" s="1" t="n">
        <v>45335.32702546296</v>
      </c>
      <c r="C243" s="1" t="n">
        <v>46029</v>
      </c>
      <c r="D243" t="inlineStr">
        <is>
          <t>GOTLANDS LÄN</t>
        </is>
      </c>
      <c r="E243" t="inlineStr">
        <is>
          <t>GOTLAND</t>
        </is>
      </c>
      <c r="G243" t="n">
        <v>4.2</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46029</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46029</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22031-2024</t>
        </is>
      </c>
      <c r="B246" s="1" t="n">
        <v>45443.60075231481</v>
      </c>
      <c r="C246" s="1" t="n">
        <v>46029</v>
      </c>
      <c r="D246" t="inlineStr">
        <is>
          <t>GOTLANDS LÄN</t>
        </is>
      </c>
      <c r="E246" t="inlineStr">
        <is>
          <t>GOTLAND</t>
        </is>
      </c>
      <c r="G246" t="n">
        <v>2.3</v>
      </c>
      <c r="H246" t="n">
        <v>0</v>
      </c>
      <c r="I246" t="n">
        <v>0</v>
      </c>
      <c r="J246" t="n">
        <v>0</v>
      </c>
      <c r="K246" t="n">
        <v>0</v>
      </c>
      <c r="L246" t="n">
        <v>0</v>
      </c>
      <c r="M246" t="n">
        <v>0</v>
      </c>
      <c r="N246" t="n">
        <v>0</v>
      </c>
      <c r="O246" t="n">
        <v>0</v>
      </c>
      <c r="P246" t="n">
        <v>0</v>
      </c>
      <c r="Q246" t="n">
        <v>0</v>
      </c>
      <c r="R246" s="2" t="inlineStr"/>
    </row>
    <row r="247" ht="15" customHeight="1">
      <c r="A247" t="inlineStr">
        <is>
          <t>A 46189-2022</t>
        </is>
      </c>
      <c r="B247" s="1" t="n">
        <v>44847</v>
      </c>
      <c r="C247" s="1" t="n">
        <v>46029</v>
      </c>
      <c r="D247" t="inlineStr">
        <is>
          <t>GOTLANDS LÄN</t>
        </is>
      </c>
      <c r="E247" t="inlineStr">
        <is>
          <t>GOTLAND</t>
        </is>
      </c>
      <c r="G247" t="n">
        <v>0.4</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46029</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44919-2022</t>
        </is>
      </c>
      <c r="B249" s="1" t="n">
        <v>44841</v>
      </c>
      <c r="C249" s="1" t="n">
        <v>46029</v>
      </c>
      <c r="D249" t="inlineStr">
        <is>
          <t>GOTLANDS LÄN</t>
        </is>
      </c>
      <c r="E249" t="inlineStr">
        <is>
          <t>GOTLAND</t>
        </is>
      </c>
      <c r="G249" t="n">
        <v>2.2</v>
      </c>
      <c r="H249" t="n">
        <v>0</v>
      </c>
      <c r="I249" t="n">
        <v>0</v>
      </c>
      <c r="J249" t="n">
        <v>0</v>
      </c>
      <c r="K249" t="n">
        <v>0</v>
      </c>
      <c r="L249" t="n">
        <v>0</v>
      </c>
      <c r="M249" t="n">
        <v>0</v>
      </c>
      <c r="N249" t="n">
        <v>0</v>
      </c>
      <c r="O249" t="n">
        <v>0</v>
      </c>
      <c r="P249" t="n">
        <v>0</v>
      </c>
      <c r="Q249" t="n">
        <v>0</v>
      </c>
      <c r="R249" s="2" t="inlineStr"/>
    </row>
    <row r="250" ht="15" customHeight="1">
      <c r="A250" t="inlineStr">
        <is>
          <t>A 65901-2021</t>
        </is>
      </c>
      <c r="B250" s="1" t="n">
        <v>44516</v>
      </c>
      <c r="C250" s="1" t="n">
        <v>46029</v>
      </c>
      <c r="D250" t="inlineStr">
        <is>
          <t>GOTLANDS LÄN</t>
        </is>
      </c>
      <c r="E250" t="inlineStr">
        <is>
          <t>GOTLAND</t>
        </is>
      </c>
      <c r="G250" t="n">
        <v>4.9</v>
      </c>
      <c r="H250" t="n">
        <v>0</v>
      </c>
      <c r="I250" t="n">
        <v>0</v>
      </c>
      <c r="J250" t="n">
        <v>0</v>
      </c>
      <c r="K250" t="n">
        <v>0</v>
      </c>
      <c r="L250" t="n">
        <v>0</v>
      </c>
      <c r="M250" t="n">
        <v>0</v>
      </c>
      <c r="N250" t="n">
        <v>0</v>
      </c>
      <c r="O250" t="n">
        <v>0</v>
      </c>
      <c r="P250" t="n">
        <v>0</v>
      </c>
      <c r="Q250" t="n">
        <v>0</v>
      </c>
      <c r="R250" s="2" t="inlineStr"/>
    </row>
    <row r="251" ht="15" customHeight="1">
      <c r="A251" t="inlineStr">
        <is>
          <t>A 48503-2023</t>
        </is>
      </c>
      <c r="B251" s="1" t="n">
        <v>45207</v>
      </c>
      <c r="C251" s="1" t="n">
        <v>46029</v>
      </c>
      <c r="D251" t="inlineStr">
        <is>
          <t>GOTLANDS LÄN</t>
        </is>
      </c>
      <c r="E251" t="inlineStr">
        <is>
          <t>GOTLAND</t>
        </is>
      </c>
      <c r="G251" t="n">
        <v>1.6</v>
      </c>
      <c r="H251" t="n">
        <v>0</v>
      </c>
      <c r="I251" t="n">
        <v>0</v>
      </c>
      <c r="J251" t="n">
        <v>0</v>
      </c>
      <c r="K251" t="n">
        <v>0</v>
      </c>
      <c r="L251" t="n">
        <v>0</v>
      </c>
      <c r="M251" t="n">
        <v>0</v>
      </c>
      <c r="N251" t="n">
        <v>0</v>
      </c>
      <c r="O251" t="n">
        <v>0</v>
      </c>
      <c r="P251" t="n">
        <v>0</v>
      </c>
      <c r="Q251" t="n">
        <v>0</v>
      </c>
      <c r="R251" s="2" t="inlineStr"/>
    </row>
    <row r="252" ht="15" customHeight="1">
      <c r="A252" t="inlineStr">
        <is>
          <t>A 44649-2021</t>
        </is>
      </c>
      <c r="B252" s="1" t="n">
        <v>44437</v>
      </c>
      <c r="C252" s="1" t="n">
        <v>46029</v>
      </c>
      <c r="D252" t="inlineStr">
        <is>
          <t>GOTLANDS LÄN</t>
        </is>
      </c>
      <c r="E252" t="inlineStr">
        <is>
          <t>GOTLAND</t>
        </is>
      </c>
      <c r="G252" t="n">
        <v>8.1</v>
      </c>
      <c r="H252" t="n">
        <v>0</v>
      </c>
      <c r="I252" t="n">
        <v>0</v>
      </c>
      <c r="J252" t="n">
        <v>0</v>
      </c>
      <c r="K252" t="n">
        <v>0</v>
      </c>
      <c r="L252" t="n">
        <v>0</v>
      </c>
      <c r="M252" t="n">
        <v>0</v>
      </c>
      <c r="N252" t="n">
        <v>0</v>
      </c>
      <c r="O252" t="n">
        <v>0</v>
      </c>
      <c r="P252" t="n">
        <v>0</v>
      </c>
      <c r="Q252" t="n">
        <v>0</v>
      </c>
      <c r="R252" s="2" t="inlineStr"/>
    </row>
    <row r="253" ht="15" customHeight="1">
      <c r="A253" t="inlineStr">
        <is>
          <t>A 9947-2024</t>
        </is>
      </c>
      <c r="B253" s="1" t="n">
        <v>45363</v>
      </c>
      <c r="C253" s="1" t="n">
        <v>46029</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46029</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17682-2024</t>
        </is>
      </c>
      <c r="B255" s="1" t="n">
        <v>45418.42966435185</v>
      </c>
      <c r="C255" s="1" t="n">
        <v>46029</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57522-2022</t>
        </is>
      </c>
      <c r="B256" s="1" t="n">
        <v>44896</v>
      </c>
      <c r="C256" s="1" t="n">
        <v>46029</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63516-2023</t>
        </is>
      </c>
      <c r="B257" s="1" t="n">
        <v>45274</v>
      </c>
      <c r="C257" s="1" t="n">
        <v>46029</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20356-2022</t>
        </is>
      </c>
      <c r="B258" s="1" t="n">
        <v>44699</v>
      </c>
      <c r="C258" s="1" t="n">
        <v>46029</v>
      </c>
      <c r="D258" t="inlineStr">
        <is>
          <t>GOTLANDS LÄN</t>
        </is>
      </c>
      <c r="E258" t="inlineStr">
        <is>
          <t>GOTLAND</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24001-2021</t>
        </is>
      </c>
      <c r="B259" s="1" t="n">
        <v>44335</v>
      </c>
      <c r="C259" s="1" t="n">
        <v>46029</v>
      </c>
      <c r="D259" t="inlineStr">
        <is>
          <t>GOTLANDS LÄN</t>
        </is>
      </c>
      <c r="E259" t="inlineStr">
        <is>
          <t>GOTLAND</t>
        </is>
      </c>
      <c r="G259" t="n">
        <v>3.4</v>
      </c>
      <c r="H259" t="n">
        <v>0</v>
      </c>
      <c r="I259" t="n">
        <v>0</v>
      </c>
      <c r="J259" t="n">
        <v>0</v>
      </c>
      <c r="K259" t="n">
        <v>0</v>
      </c>
      <c r="L259" t="n">
        <v>0</v>
      </c>
      <c r="M259" t="n">
        <v>0</v>
      </c>
      <c r="N259" t="n">
        <v>0</v>
      </c>
      <c r="O259" t="n">
        <v>0</v>
      </c>
      <c r="P259" t="n">
        <v>0</v>
      </c>
      <c r="Q259" t="n">
        <v>0</v>
      </c>
      <c r="R259" s="2" t="inlineStr"/>
    </row>
    <row r="260" ht="15" customHeight="1">
      <c r="A260" t="inlineStr">
        <is>
          <t>A 30365-2024</t>
        </is>
      </c>
      <c r="B260" s="1" t="n">
        <v>45491.3716087963</v>
      </c>
      <c r="C260" s="1" t="n">
        <v>46029</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1681-2023</t>
        </is>
      </c>
      <c r="B261" s="1" t="n">
        <v>44938.39715277778</v>
      </c>
      <c r="C261" s="1" t="n">
        <v>46029</v>
      </c>
      <c r="D261" t="inlineStr">
        <is>
          <t>GOTLANDS LÄN</t>
        </is>
      </c>
      <c r="E261" t="inlineStr">
        <is>
          <t>GOTLAND</t>
        </is>
      </c>
      <c r="G261" t="n">
        <v>2.4</v>
      </c>
      <c r="H261" t="n">
        <v>0</v>
      </c>
      <c r="I261" t="n">
        <v>0</v>
      </c>
      <c r="J261" t="n">
        <v>0</v>
      </c>
      <c r="K261" t="n">
        <v>0</v>
      </c>
      <c r="L261" t="n">
        <v>0</v>
      </c>
      <c r="M261" t="n">
        <v>0</v>
      </c>
      <c r="N261" t="n">
        <v>0</v>
      </c>
      <c r="O261" t="n">
        <v>0</v>
      </c>
      <c r="P261" t="n">
        <v>0</v>
      </c>
      <c r="Q261" t="n">
        <v>0</v>
      </c>
      <c r="R261" s="2" t="inlineStr"/>
    </row>
    <row r="262" ht="15" customHeight="1">
      <c r="A262" t="inlineStr">
        <is>
          <t>A 5462-2025</t>
        </is>
      </c>
      <c r="B262" s="1" t="n">
        <v>45693.29331018519</v>
      </c>
      <c r="C262" s="1" t="n">
        <v>46029</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18993-2025</t>
        </is>
      </c>
      <c r="B263" s="1" t="n">
        <v>45764</v>
      </c>
      <c r="C263" s="1" t="n">
        <v>46029</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6099-2024</t>
        </is>
      </c>
      <c r="B264" s="1" t="n">
        <v>45337</v>
      </c>
      <c r="C264" s="1" t="n">
        <v>46029</v>
      </c>
      <c r="D264" t="inlineStr">
        <is>
          <t>GOTLANDS LÄN</t>
        </is>
      </c>
      <c r="E264" t="inlineStr">
        <is>
          <t>GOTLAND</t>
        </is>
      </c>
      <c r="G264" t="n">
        <v>12.6</v>
      </c>
      <c r="H264" t="n">
        <v>0</v>
      </c>
      <c r="I264" t="n">
        <v>0</v>
      </c>
      <c r="J264" t="n">
        <v>0</v>
      </c>
      <c r="K264" t="n">
        <v>0</v>
      </c>
      <c r="L264" t="n">
        <v>0</v>
      </c>
      <c r="M264" t="n">
        <v>0</v>
      </c>
      <c r="N264" t="n">
        <v>0</v>
      </c>
      <c r="O264" t="n">
        <v>0</v>
      </c>
      <c r="P264" t="n">
        <v>0</v>
      </c>
      <c r="Q264" t="n">
        <v>0</v>
      </c>
      <c r="R264" s="2" t="inlineStr"/>
    </row>
    <row r="265" ht="15" customHeight="1">
      <c r="A265" t="inlineStr">
        <is>
          <t>A 1273-2023</t>
        </is>
      </c>
      <c r="B265" s="1" t="n">
        <v>44936</v>
      </c>
      <c r="C265" s="1" t="n">
        <v>46029</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25796-2025</t>
        </is>
      </c>
      <c r="B266" s="1" t="n">
        <v>45804.39543981481</v>
      </c>
      <c r="C266" s="1" t="n">
        <v>46029</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58780-2024</t>
        </is>
      </c>
      <c r="B267" s="1" t="n">
        <v>45635.84113425926</v>
      </c>
      <c r="C267" s="1" t="n">
        <v>46029</v>
      </c>
      <c r="D267" t="inlineStr">
        <is>
          <t>GOTLANDS LÄN</t>
        </is>
      </c>
      <c r="E267" t="inlineStr">
        <is>
          <t>GOTLAND</t>
        </is>
      </c>
      <c r="G267" t="n">
        <v>2.6</v>
      </c>
      <c r="H267" t="n">
        <v>0</v>
      </c>
      <c r="I267" t="n">
        <v>0</v>
      </c>
      <c r="J267" t="n">
        <v>0</v>
      </c>
      <c r="K267" t="n">
        <v>0</v>
      </c>
      <c r="L267" t="n">
        <v>0</v>
      </c>
      <c r="M267" t="n">
        <v>0</v>
      </c>
      <c r="N267" t="n">
        <v>0</v>
      </c>
      <c r="O267" t="n">
        <v>0</v>
      </c>
      <c r="P267" t="n">
        <v>0</v>
      </c>
      <c r="Q267" t="n">
        <v>0</v>
      </c>
      <c r="R267" s="2" t="inlineStr"/>
    </row>
    <row r="268" ht="15" customHeight="1">
      <c r="A268" t="inlineStr">
        <is>
          <t>A 45692-2023</t>
        </is>
      </c>
      <c r="B268" s="1" t="n">
        <v>45195</v>
      </c>
      <c r="C268" s="1" t="n">
        <v>46029</v>
      </c>
      <c r="D268" t="inlineStr">
        <is>
          <t>GOTLANDS LÄN</t>
        </is>
      </c>
      <c r="E268" t="inlineStr">
        <is>
          <t>GOTLAND</t>
        </is>
      </c>
      <c r="G268" t="n">
        <v>5.3</v>
      </c>
      <c r="H268" t="n">
        <v>0</v>
      </c>
      <c r="I268" t="n">
        <v>0</v>
      </c>
      <c r="J268" t="n">
        <v>0</v>
      </c>
      <c r="K268" t="n">
        <v>0</v>
      </c>
      <c r="L268" t="n">
        <v>0</v>
      </c>
      <c r="M268" t="n">
        <v>0</v>
      </c>
      <c r="N268" t="n">
        <v>0</v>
      </c>
      <c r="O268" t="n">
        <v>0</v>
      </c>
      <c r="P268" t="n">
        <v>0</v>
      </c>
      <c r="Q268" t="n">
        <v>0</v>
      </c>
      <c r="R268" s="2" t="inlineStr"/>
    </row>
    <row r="269" ht="15" customHeight="1">
      <c r="A269" t="inlineStr">
        <is>
          <t>A 30135-2025</t>
        </is>
      </c>
      <c r="B269" s="1" t="n">
        <v>45826</v>
      </c>
      <c r="C269" s="1" t="n">
        <v>46029</v>
      </c>
      <c r="D269" t="inlineStr">
        <is>
          <t>GOTLANDS LÄN</t>
        </is>
      </c>
      <c r="E269" t="inlineStr">
        <is>
          <t>GOTLAND</t>
        </is>
      </c>
      <c r="G269" t="n">
        <v>2.7</v>
      </c>
      <c r="H269" t="n">
        <v>0</v>
      </c>
      <c r="I269" t="n">
        <v>0</v>
      </c>
      <c r="J269" t="n">
        <v>0</v>
      </c>
      <c r="K269" t="n">
        <v>0</v>
      </c>
      <c r="L269" t="n">
        <v>0</v>
      </c>
      <c r="M269" t="n">
        <v>0</v>
      </c>
      <c r="N269" t="n">
        <v>0</v>
      </c>
      <c r="O269" t="n">
        <v>0</v>
      </c>
      <c r="P269" t="n">
        <v>0</v>
      </c>
      <c r="Q269" t="n">
        <v>0</v>
      </c>
      <c r="R269" s="2" t="inlineStr"/>
    </row>
    <row r="270" ht="15" customHeight="1">
      <c r="A270" t="inlineStr">
        <is>
          <t>A 33876-2024</t>
        </is>
      </c>
      <c r="B270" s="1" t="n">
        <v>45521.87988425926</v>
      </c>
      <c r="C270" s="1" t="n">
        <v>46029</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12599-2025</t>
        </is>
      </c>
      <c r="B271" s="1" t="n">
        <v>45733.29546296296</v>
      </c>
      <c r="C271" s="1" t="n">
        <v>46029</v>
      </c>
      <c r="D271" t="inlineStr">
        <is>
          <t>GOTLANDS LÄN</t>
        </is>
      </c>
      <c r="E271" t="inlineStr">
        <is>
          <t>GOTLAND</t>
        </is>
      </c>
      <c r="G271" t="n">
        <v>4.7</v>
      </c>
      <c r="H271" t="n">
        <v>0</v>
      </c>
      <c r="I271" t="n">
        <v>0</v>
      </c>
      <c r="J271" t="n">
        <v>0</v>
      </c>
      <c r="K271" t="n">
        <v>0</v>
      </c>
      <c r="L271" t="n">
        <v>0</v>
      </c>
      <c r="M271" t="n">
        <v>0</v>
      </c>
      <c r="N271" t="n">
        <v>0</v>
      </c>
      <c r="O271" t="n">
        <v>0</v>
      </c>
      <c r="P271" t="n">
        <v>0</v>
      </c>
      <c r="Q271" t="n">
        <v>0</v>
      </c>
      <c r="R271" s="2" t="inlineStr"/>
    </row>
    <row r="272" ht="15" customHeight="1">
      <c r="A272" t="inlineStr">
        <is>
          <t>A 28285-2024</t>
        </is>
      </c>
      <c r="B272" s="1" t="n">
        <v>45477</v>
      </c>
      <c r="C272" s="1" t="n">
        <v>46029</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35141-2025</t>
        </is>
      </c>
      <c r="B273" s="1" t="n">
        <v>45852.65206018519</v>
      </c>
      <c r="C273" s="1" t="n">
        <v>46029</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61100-2022</t>
        </is>
      </c>
      <c r="B274" s="1" t="n">
        <v>44915</v>
      </c>
      <c r="C274" s="1" t="n">
        <v>46029</v>
      </c>
      <c r="D274" t="inlineStr">
        <is>
          <t>GOTLANDS LÄN</t>
        </is>
      </c>
      <c r="E274" t="inlineStr">
        <is>
          <t>GOTLAND</t>
        </is>
      </c>
      <c r="G274" t="n">
        <v>1.4</v>
      </c>
      <c r="H274" t="n">
        <v>0</v>
      </c>
      <c r="I274" t="n">
        <v>0</v>
      </c>
      <c r="J274" t="n">
        <v>0</v>
      </c>
      <c r="K274" t="n">
        <v>0</v>
      </c>
      <c r="L274" t="n">
        <v>0</v>
      </c>
      <c r="M274" t="n">
        <v>0</v>
      </c>
      <c r="N274" t="n">
        <v>0</v>
      </c>
      <c r="O274" t="n">
        <v>0</v>
      </c>
      <c r="P274" t="n">
        <v>0</v>
      </c>
      <c r="Q274" t="n">
        <v>0</v>
      </c>
      <c r="R274" s="2" t="inlineStr"/>
    </row>
    <row r="275" ht="15" customHeight="1">
      <c r="A275" t="inlineStr">
        <is>
          <t>A 61682-2024</t>
        </is>
      </c>
      <c r="B275" s="1" t="n">
        <v>45647.48824074074</v>
      </c>
      <c r="C275" s="1" t="n">
        <v>46029</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46029</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26457-2025</t>
        </is>
      </c>
      <c r="B277" s="1" t="n">
        <v>45807.42773148148</v>
      </c>
      <c r="C277" s="1" t="n">
        <v>46029</v>
      </c>
      <c r="D277" t="inlineStr">
        <is>
          <t>GOTLANDS LÄN</t>
        </is>
      </c>
      <c r="E277" t="inlineStr">
        <is>
          <t>GOTLAND</t>
        </is>
      </c>
      <c r="G277" t="n">
        <v>5.7</v>
      </c>
      <c r="H277" t="n">
        <v>0</v>
      </c>
      <c r="I277" t="n">
        <v>0</v>
      </c>
      <c r="J277" t="n">
        <v>0</v>
      </c>
      <c r="K277" t="n">
        <v>0</v>
      </c>
      <c r="L277" t="n">
        <v>0</v>
      </c>
      <c r="M277" t="n">
        <v>0</v>
      </c>
      <c r="N277" t="n">
        <v>0</v>
      </c>
      <c r="O277" t="n">
        <v>0</v>
      </c>
      <c r="P277" t="n">
        <v>0</v>
      </c>
      <c r="Q277" t="n">
        <v>0</v>
      </c>
      <c r="R277" s="2" t="inlineStr"/>
    </row>
    <row r="278" ht="15" customHeight="1">
      <c r="A278" t="inlineStr">
        <is>
          <t>A 26467-2025</t>
        </is>
      </c>
      <c r="B278" s="1" t="n">
        <v>45807.44640046296</v>
      </c>
      <c r="C278" s="1" t="n">
        <v>46029</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26465-2025</t>
        </is>
      </c>
      <c r="B279" s="1" t="n">
        <v>45807.44377314814</v>
      </c>
      <c r="C279" s="1" t="n">
        <v>46029</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26660-2025</t>
        </is>
      </c>
      <c r="B280" s="1" t="n">
        <v>45810.39737268518</v>
      </c>
      <c r="C280" s="1" t="n">
        <v>46029</v>
      </c>
      <c r="D280" t="inlineStr">
        <is>
          <t>GOTLANDS LÄN</t>
        </is>
      </c>
      <c r="E280" t="inlineStr">
        <is>
          <t>GOTLAND</t>
        </is>
      </c>
      <c r="G280" t="n">
        <v>1.8</v>
      </c>
      <c r="H280" t="n">
        <v>0</v>
      </c>
      <c r="I280" t="n">
        <v>0</v>
      </c>
      <c r="J280" t="n">
        <v>0</v>
      </c>
      <c r="K280" t="n">
        <v>0</v>
      </c>
      <c r="L280" t="n">
        <v>0</v>
      </c>
      <c r="M280" t="n">
        <v>0</v>
      </c>
      <c r="N280" t="n">
        <v>0</v>
      </c>
      <c r="O280" t="n">
        <v>0</v>
      </c>
      <c r="P280" t="n">
        <v>0</v>
      </c>
      <c r="Q280" t="n">
        <v>0</v>
      </c>
      <c r="R280" s="2" t="inlineStr"/>
    </row>
    <row r="281" ht="15" customHeight="1">
      <c r="A281" t="inlineStr">
        <is>
          <t>A 58388-2022</t>
        </is>
      </c>
      <c r="B281" s="1" t="n">
        <v>44894</v>
      </c>
      <c r="C281" s="1" t="n">
        <v>46029</v>
      </c>
      <c r="D281" t="inlineStr">
        <is>
          <t>GOTLANDS LÄN</t>
        </is>
      </c>
      <c r="E281" t="inlineStr">
        <is>
          <t>GOTLAND</t>
        </is>
      </c>
      <c r="F281" t="inlineStr">
        <is>
          <t>Övriga statliga verk och myndigheter</t>
        </is>
      </c>
      <c r="G281" t="n">
        <v>3.1</v>
      </c>
      <c r="H281" t="n">
        <v>0</v>
      </c>
      <c r="I281" t="n">
        <v>0</v>
      </c>
      <c r="J281" t="n">
        <v>0</v>
      </c>
      <c r="K281" t="n">
        <v>0</v>
      </c>
      <c r="L281" t="n">
        <v>0</v>
      </c>
      <c r="M281" t="n">
        <v>0</v>
      </c>
      <c r="N281" t="n">
        <v>0</v>
      </c>
      <c r="O281" t="n">
        <v>0</v>
      </c>
      <c r="P281" t="n">
        <v>0</v>
      </c>
      <c r="Q281" t="n">
        <v>0</v>
      </c>
      <c r="R281" s="2" t="inlineStr"/>
    </row>
    <row r="282" ht="15" customHeight="1">
      <c r="A282" t="inlineStr">
        <is>
          <t>A 21792-2024</t>
        </is>
      </c>
      <c r="B282" s="1" t="n">
        <v>45442.64326388889</v>
      </c>
      <c r="C282" s="1" t="n">
        <v>46029</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27371-2025</t>
        </is>
      </c>
      <c r="B283" s="1" t="n">
        <v>45812</v>
      </c>
      <c r="C283" s="1" t="n">
        <v>46029</v>
      </c>
      <c r="D283" t="inlineStr">
        <is>
          <t>GOTLANDS LÄN</t>
        </is>
      </c>
      <c r="E283" t="inlineStr">
        <is>
          <t>GOTLAND</t>
        </is>
      </c>
      <c r="G283" t="n">
        <v>8</v>
      </c>
      <c r="H283" t="n">
        <v>0</v>
      </c>
      <c r="I283" t="n">
        <v>0</v>
      </c>
      <c r="J283" t="n">
        <v>0</v>
      </c>
      <c r="K283" t="n">
        <v>0</v>
      </c>
      <c r="L283" t="n">
        <v>0</v>
      </c>
      <c r="M283" t="n">
        <v>0</v>
      </c>
      <c r="N283" t="n">
        <v>0</v>
      </c>
      <c r="O283" t="n">
        <v>0</v>
      </c>
      <c r="P283" t="n">
        <v>0</v>
      </c>
      <c r="Q283" t="n">
        <v>0</v>
      </c>
      <c r="R283" s="2" t="inlineStr"/>
    </row>
    <row r="284" ht="15" customHeight="1">
      <c r="A284" t="inlineStr">
        <is>
          <t>A 27355-2025</t>
        </is>
      </c>
      <c r="B284" s="1" t="n">
        <v>45812</v>
      </c>
      <c r="C284" s="1" t="n">
        <v>46029</v>
      </c>
      <c r="D284" t="inlineStr">
        <is>
          <t>GOTLANDS LÄN</t>
        </is>
      </c>
      <c r="E284" t="inlineStr">
        <is>
          <t>GOTLAND</t>
        </is>
      </c>
      <c r="G284" t="n">
        <v>1.1</v>
      </c>
      <c r="H284" t="n">
        <v>0</v>
      </c>
      <c r="I284" t="n">
        <v>0</v>
      </c>
      <c r="J284" t="n">
        <v>0</v>
      </c>
      <c r="K284" t="n">
        <v>0</v>
      </c>
      <c r="L284" t="n">
        <v>0</v>
      </c>
      <c r="M284" t="n">
        <v>0</v>
      </c>
      <c r="N284" t="n">
        <v>0</v>
      </c>
      <c r="O284" t="n">
        <v>0</v>
      </c>
      <c r="P284" t="n">
        <v>0</v>
      </c>
      <c r="Q284" t="n">
        <v>0</v>
      </c>
      <c r="R284" s="2" t="inlineStr"/>
    </row>
    <row r="285" ht="15" customHeight="1">
      <c r="A285" t="inlineStr">
        <is>
          <t>A 39819-2025</t>
        </is>
      </c>
      <c r="B285" s="1" t="n">
        <v>45891.53418981482</v>
      </c>
      <c r="C285" s="1" t="n">
        <v>46029</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6739-2025</t>
        </is>
      </c>
      <c r="B286" s="1" t="n">
        <v>45700</v>
      </c>
      <c r="C286" s="1" t="n">
        <v>46029</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7850-2025</t>
        </is>
      </c>
      <c r="B287" s="1" t="n">
        <v>45706</v>
      </c>
      <c r="C287" s="1" t="n">
        <v>46029</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39814-2025</t>
        </is>
      </c>
      <c r="B288" s="1" t="n">
        <v>45891.52694444444</v>
      </c>
      <c r="C288" s="1" t="n">
        <v>46029</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17688-2024</t>
        </is>
      </c>
      <c r="B289" s="1" t="n">
        <v>45418.43575231481</v>
      </c>
      <c r="C289" s="1" t="n">
        <v>46029</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7837-2024</t>
        </is>
      </c>
      <c r="B290" s="1" t="n">
        <v>45349.83787037037</v>
      </c>
      <c r="C290" s="1" t="n">
        <v>46029</v>
      </c>
      <c r="D290" t="inlineStr">
        <is>
          <t>GOTLANDS LÄN</t>
        </is>
      </c>
      <c r="E290" t="inlineStr">
        <is>
          <t>GOTLAND</t>
        </is>
      </c>
      <c r="G290" t="n">
        <v>5</v>
      </c>
      <c r="H290" t="n">
        <v>0</v>
      </c>
      <c r="I290" t="n">
        <v>0</v>
      </c>
      <c r="J290" t="n">
        <v>0</v>
      </c>
      <c r="K290" t="n">
        <v>0</v>
      </c>
      <c r="L290" t="n">
        <v>0</v>
      </c>
      <c r="M290" t="n">
        <v>0</v>
      </c>
      <c r="N290" t="n">
        <v>0</v>
      </c>
      <c r="O290" t="n">
        <v>0</v>
      </c>
      <c r="P290" t="n">
        <v>0</v>
      </c>
      <c r="Q290" t="n">
        <v>0</v>
      </c>
      <c r="R290" s="2" t="inlineStr"/>
    </row>
    <row r="291" ht="15" customHeight="1">
      <c r="A291" t="inlineStr">
        <is>
          <t>A 8444-2025</t>
        </is>
      </c>
      <c r="B291" s="1" t="n">
        <v>45709</v>
      </c>
      <c r="C291" s="1" t="n">
        <v>46029</v>
      </c>
      <c r="D291" t="inlineStr">
        <is>
          <t>GOTLANDS LÄN</t>
        </is>
      </c>
      <c r="E291" t="inlineStr">
        <is>
          <t>GOTLAND</t>
        </is>
      </c>
      <c r="G291" t="n">
        <v>5.2</v>
      </c>
      <c r="H291" t="n">
        <v>0</v>
      </c>
      <c r="I291" t="n">
        <v>0</v>
      </c>
      <c r="J291" t="n">
        <v>0</v>
      </c>
      <c r="K291" t="n">
        <v>0</v>
      </c>
      <c r="L291" t="n">
        <v>0</v>
      </c>
      <c r="M291" t="n">
        <v>0</v>
      </c>
      <c r="N291" t="n">
        <v>0</v>
      </c>
      <c r="O291" t="n">
        <v>0</v>
      </c>
      <c r="P291" t="n">
        <v>0</v>
      </c>
      <c r="Q291" t="n">
        <v>0</v>
      </c>
      <c r="R291" s="2" t="inlineStr"/>
    </row>
    <row r="292" ht="15" customHeight="1">
      <c r="A292" t="inlineStr">
        <is>
          <t>A 39849-2025</t>
        </is>
      </c>
      <c r="B292" s="1" t="n">
        <v>45891.58502314815</v>
      </c>
      <c r="C292" s="1" t="n">
        <v>46029</v>
      </c>
      <c r="D292" t="inlineStr">
        <is>
          <t>GOTLANDS LÄN</t>
        </is>
      </c>
      <c r="E292" t="inlineStr">
        <is>
          <t>GOTLAND</t>
        </is>
      </c>
      <c r="G292" t="n">
        <v>6.1</v>
      </c>
      <c r="H292" t="n">
        <v>0</v>
      </c>
      <c r="I292" t="n">
        <v>0</v>
      </c>
      <c r="J292" t="n">
        <v>0</v>
      </c>
      <c r="K292" t="n">
        <v>0</v>
      </c>
      <c r="L292" t="n">
        <v>0</v>
      </c>
      <c r="M292" t="n">
        <v>0</v>
      </c>
      <c r="N292" t="n">
        <v>0</v>
      </c>
      <c r="O292" t="n">
        <v>0</v>
      </c>
      <c r="P292" t="n">
        <v>0</v>
      </c>
      <c r="Q292" t="n">
        <v>0</v>
      </c>
      <c r="R292" s="2" t="inlineStr"/>
    </row>
    <row r="293" ht="15" customHeight="1">
      <c r="A293" t="inlineStr">
        <is>
          <t>A 39752-2025</t>
        </is>
      </c>
      <c r="B293" s="1" t="n">
        <v>45891</v>
      </c>
      <c r="C293" s="1" t="n">
        <v>46029</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4568-2025</t>
        </is>
      </c>
      <c r="B294" s="1" t="n">
        <v>45687</v>
      </c>
      <c r="C294" s="1" t="n">
        <v>46029</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38649-2025</t>
        </is>
      </c>
      <c r="B295" s="1" t="n">
        <v>45884</v>
      </c>
      <c r="C295" s="1" t="n">
        <v>46029</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39816-2025</t>
        </is>
      </c>
      <c r="B296" s="1" t="n">
        <v>45891</v>
      </c>
      <c r="C296" s="1" t="n">
        <v>46029</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40103-2025</t>
        </is>
      </c>
      <c r="B297" s="1" t="n">
        <v>45894.4880324074</v>
      </c>
      <c r="C297" s="1" t="n">
        <v>46029</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40373-2025</t>
        </is>
      </c>
      <c r="B298" s="1" t="n">
        <v>45895.51821759259</v>
      </c>
      <c r="C298" s="1" t="n">
        <v>46029</v>
      </c>
      <c r="D298" t="inlineStr">
        <is>
          <t>GOTLANDS LÄN</t>
        </is>
      </c>
      <c r="E298" t="inlineStr">
        <is>
          <t>GOTLAND</t>
        </is>
      </c>
      <c r="G298" t="n">
        <v>0.6</v>
      </c>
      <c r="H298" t="n">
        <v>0</v>
      </c>
      <c r="I298" t="n">
        <v>0</v>
      </c>
      <c r="J298" t="n">
        <v>0</v>
      </c>
      <c r="K298" t="n">
        <v>0</v>
      </c>
      <c r="L298" t="n">
        <v>0</v>
      </c>
      <c r="M298" t="n">
        <v>0</v>
      </c>
      <c r="N298" t="n">
        <v>0</v>
      </c>
      <c r="O298" t="n">
        <v>0</v>
      </c>
      <c r="P298" t="n">
        <v>0</v>
      </c>
      <c r="Q298" t="n">
        <v>0</v>
      </c>
      <c r="R298" s="2" t="inlineStr"/>
    </row>
    <row r="299" ht="15" customHeight="1">
      <c r="A299" t="inlineStr">
        <is>
          <t>A 40499-2025</t>
        </is>
      </c>
      <c r="B299" s="1" t="n">
        <v>45896.32517361111</v>
      </c>
      <c r="C299" s="1" t="n">
        <v>46029</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40372-2025</t>
        </is>
      </c>
      <c r="B300" s="1" t="n">
        <v>45895.5162037037</v>
      </c>
      <c r="C300" s="1" t="n">
        <v>46029</v>
      </c>
      <c r="D300" t="inlineStr">
        <is>
          <t>GOTLANDS LÄN</t>
        </is>
      </c>
      <c r="E300" t="inlineStr">
        <is>
          <t>GOTLAND</t>
        </is>
      </c>
      <c r="G300" t="n">
        <v>3.3</v>
      </c>
      <c r="H300" t="n">
        <v>0</v>
      </c>
      <c r="I300" t="n">
        <v>0</v>
      </c>
      <c r="J300" t="n">
        <v>0</v>
      </c>
      <c r="K300" t="n">
        <v>0</v>
      </c>
      <c r="L300" t="n">
        <v>0</v>
      </c>
      <c r="M300" t="n">
        <v>0</v>
      </c>
      <c r="N300" t="n">
        <v>0</v>
      </c>
      <c r="O300" t="n">
        <v>0</v>
      </c>
      <c r="P300" t="n">
        <v>0</v>
      </c>
      <c r="Q300" t="n">
        <v>0</v>
      </c>
      <c r="R300" s="2" t="inlineStr"/>
    </row>
    <row r="301" ht="15" customHeight="1">
      <c r="A301" t="inlineStr">
        <is>
          <t>A 19905-2025</t>
        </is>
      </c>
      <c r="B301" s="1" t="n">
        <v>45771</v>
      </c>
      <c r="C301" s="1" t="n">
        <v>46029</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29196-2025</t>
        </is>
      </c>
      <c r="B302" s="1" t="n">
        <v>45822</v>
      </c>
      <c r="C302" s="1" t="n">
        <v>46029</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35512-2023</t>
        </is>
      </c>
      <c r="B303" s="1" t="n">
        <v>45147.25623842593</v>
      </c>
      <c r="C303" s="1" t="n">
        <v>46029</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46029</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29207-2025</t>
        </is>
      </c>
      <c r="B305" s="1" t="n">
        <v>45823</v>
      </c>
      <c r="C305" s="1" t="n">
        <v>46029</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1291-2023</t>
        </is>
      </c>
      <c r="B306" s="1" t="n">
        <v>44936.47561342592</v>
      </c>
      <c r="C306" s="1" t="n">
        <v>46029</v>
      </c>
      <c r="D306" t="inlineStr">
        <is>
          <t>GOTLANDS LÄN</t>
        </is>
      </c>
      <c r="E306" t="inlineStr">
        <is>
          <t>GOTLAND</t>
        </is>
      </c>
      <c r="G306" t="n">
        <v>7.4</v>
      </c>
      <c r="H306" t="n">
        <v>0</v>
      </c>
      <c r="I306" t="n">
        <v>0</v>
      </c>
      <c r="J306" t="n">
        <v>0</v>
      </c>
      <c r="K306" t="n">
        <v>0</v>
      </c>
      <c r="L306" t="n">
        <v>0</v>
      </c>
      <c r="M306" t="n">
        <v>0</v>
      </c>
      <c r="N306" t="n">
        <v>0</v>
      </c>
      <c r="O306" t="n">
        <v>0</v>
      </c>
      <c r="P306" t="n">
        <v>0</v>
      </c>
      <c r="Q306" t="n">
        <v>0</v>
      </c>
      <c r="R306" s="2" t="inlineStr"/>
    </row>
    <row r="307" ht="15" customHeight="1">
      <c r="A307" t="inlineStr">
        <is>
          <t>A 30061-2025</t>
        </is>
      </c>
      <c r="B307" s="1" t="n">
        <v>45826.61488425926</v>
      </c>
      <c r="C307" s="1" t="n">
        <v>46029</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57652-2023</t>
        </is>
      </c>
      <c r="B308" s="1" t="n">
        <v>45246</v>
      </c>
      <c r="C308" s="1" t="n">
        <v>46029</v>
      </c>
      <c r="D308" t="inlineStr">
        <is>
          <t>GOTLANDS LÄN</t>
        </is>
      </c>
      <c r="E308" t="inlineStr">
        <is>
          <t>GOTLAND</t>
        </is>
      </c>
      <c r="G308" t="n">
        <v>7.2</v>
      </c>
      <c r="H308" t="n">
        <v>0</v>
      </c>
      <c r="I308" t="n">
        <v>0</v>
      </c>
      <c r="J308" t="n">
        <v>0</v>
      </c>
      <c r="K308" t="n">
        <v>0</v>
      </c>
      <c r="L308" t="n">
        <v>0</v>
      </c>
      <c r="M308" t="n">
        <v>0</v>
      </c>
      <c r="N308" t="n">
        <v>0</v>
      </c>
      <c r="O308" t="n">
        <v>0</v>
      </c>
      <c r="P308" t="n">
        <v>0</v>
      </c>
      <c r="Q308" t="n">
        <v>0</v>
      </c>
      <c r="R308" s="2" t="inlineStr"/>
    </row>
    <row r="309" ht="15" customHeight="1">
      <c r="A309" t="inlineStr">
        <is>
          <t>A 39278-2025</t>
        </is>
      </c>
      <c r="B309" s="1" t="n">
        <v>45889</v>
      </c>
      <c r="C309" s="1" t="n">
        <v>46029</v>
      </c>
      <c r="D309" t="inlineStr">
        <is>
          <t>GOTLANDS LÄN</t>
        </is>
      </c>
      <c r="E309" t="inlineStr">
        <is>
          <t>GOTLAND</t>
        </is>
      </c>
      <c r="G309" t="n">
        <v>3.7</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46029</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49315-2024</t>
        </is>
      </c>
      <c r="B311" s="1" t="n">
        <v>45595</v>
      </c>
      <c r="C311" s="1" t="n">
        <v>46029</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45106-2024</t>
        </is>
      </c>
      <c r="B312" s="1" t="n">
        <v>45575</v>
      </c>
      <c r="C312" s="1" t="n">
        <v>46029</v>
      </c>
      <c r="D312" t="inlineStr">
        <is>
          <t>GOTLANDS LÄN</t>
        </is>
      </c>
      <c r="E312" t="inlineStr">
        <is>
          <t>GOTLAND</t>
        </is>
      </c>
      <c r="G312" t="n">
        <v>10</v>
      </c>
      <c r="H312" t="n">
        <v>0</v>
      </c>
      <c r="I312" t="n">
        <v>0</v>
      </c>
      <c r="J312" t="n">
        <v>0</v>
      </c>
      <c r="K312" t="n">
        <v>0</v>
      </c>
      <c r="L312" t="n">
        <v>0</v>
      </c>
      <c r="M312" t="n">
        <v>0</v>
      </c>
      <c r="N312" t="n">
        <v>0</v>
      </c>
      <c r="O312" t="n">
        <v>0</v>
      </c>
      <c r="P312" t="n">
        <v>0</v>
      </c>
      <c r="Q312" t="n">
        <v>0</v>
      </c>
      <c r="R312" s="2" t="inlineStr"/>
    </row>
    <row r="313" ht="15" customHeight="1">
      <c r="A313" t="inlineStr">
        <is>
          <t>A 45112-2024</t>
        </is>
      </c>
      <c r="B313" s="1" t="n">
        <v>45575</v>
      </c>
      <c r="C313" s="1" t="n">
        <v>46029</v>
      </c>
      <c r="D313" t="inlineStr">
        <is>
          <t>GOTLANDS LÄN</t>
        </is>
      </c>
      <c r="E313" t="inlineStr">
        <is>
          <t>GOTLAND</t>
        </is>
      </c>
      <c r="G313" t="n">
        <v>5.1</v>
      </c>
      <c r="H313" t="n">
        <v>0</v>
      </c>
      <c r="I313" t="n">
        <v>0</v>
      </c>
      <c r="J313" t="n">
        <v>0</v>
      </c>
      <c r="K313" t="n">
        <v>0</v>
      </c>
      <c r="L313" t="n">
        <v>0</v>
      </c>
      <c r="M313" t="n">
        <v>0</v>
      </c>
      <c r="N313" t="n">
        <v>0</v>
      </c>
      <c r="O313" t="n">
        <v>0</v>
      </c>
      <c r="P313" t="n">
        <v>0</v>
      </c>
      <c r="Q313" t="n">
        <v>0</v>
      </c>
      <c r="R313" s="2" t="inlineStr"/>
    </row>
    <row r="314" ht="15" customHeight="1">
      <c r="A314" t="inlineStr">
        <is>
          <t>A 2676-2023</t>
        </is>
      </c>
      <c r="B314" s="1" t="n">
        <v>44944</v>
      </c>
      <c r="C314" s="1" t="n">
        <v>46029</v>
      </c>
      <c r="D314" t="inlineStr">
        <is>
          <t>GOTLANDS LÄN</t>
        </is>
      </c>
      <c r="E314" t="inlineStr">
        <is>
          <t>GOTLAND</t>
        </is>
      </c>
      <c r="G314" t="n">
        <v>0.7</v>
      </c>
      <c r="H314" t="n">
        <v>0</v>
      </c>
      <c r="I314" t="n">
        <v>0</v>
      </c>
      <c r="J314" t="n">
        <v>0</v>
      </c>
      <c r="K314" t="n">
        <v>0</v>
      </c>
      <c r="L314" t="n">
        <v>0</v>
      </c>
      <c r="M314" t="n">
        <v>0</v>
      </c>
      <c r="N314" t="n">
        <v>0</v>
      </c>
      <c r="O314" t="n">
        <v>0</v>
      </c>
      <c r="P314" t="n">
        <v>0</v>
      </c>
      <c r="Q314" t="n">
        <v>0</v>
      </c>
      <c r="R314" s="2" t="inlineStr"/>
    </row>
    <row r="315" ht="15" customHeight="1">
      <c r="A315" t="inlineStr">
        <is>
          <t>A 3150-2025</t>
        </is>
      </c>
      <c r="B315" s="1" t="n">
        <v>45679.28974537037</v>
      </c>
      <c r="C315" s="1" t="n">
        <v>46029</v>
      </c>
      <c r="D315" t="inlineStr">
        <is>
          <t>GOTLANDS LÄN</t>
        </is>
      </c>
      <c r="E315" t="inlineStr">
        <is>
          <t>GOTLAND</t>
        </is>
      </c>
      <c r="G315" t="n">
        <v>2.5</v>
      </c>
      <c r="H315" t="n">
        <v>0</v>
      </c>
      <c r="I315" t="n">
        <v>0</v>
      </c>
      <c r="J315" t="n">
        <v>0</v>
      </c>
      <c r="K315" t="n">
        <v>0</v>
      </c>
      <c r="L315" t="n">
        <v>0</v>
      </c>
      <c r="M315" t="n">
        <v>0</v>
      </c>
      <c r="N315" t="n">
        <v>0</v>
      </c>
      <c r="O315" t="n">
        <v>0</v>
      </c>
      <c r="P315" t="n">
        <v>0</v>
      </c>
      <c r="Q315" t="n">
        <v>0</v>
      </c>
      <c r="R315" s="2" t="inlineStr"/>
    </row>
    <row r="316" ht="15" customHeight="1">
      <c r="A316" t="inlineStr">
        <is>
          <t>A 8484-2025</t>
        </is>
      </c>
      <c r="B316" s="1" t="n">
        <v>45709</v>
      </c>
      <c r="C316" s="1" t="n">
        <v>46029</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7635-2025</t>
        </is>
      </c>
      <c r="B317" s="1" t="n">
        <v>45705</v>
      </c>
      <c r="C317" s="1" t="n">
        <v>46029</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7636-2025</t>
        </is>
      </c>
      <c r="B318" s="1" t="n">
        <v>45705.7687962963</v>
      </c>
      <c r="C318" s="1" t="n">
        <v>46029</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7639-2025</t>
        </is>
      </c>
      <c r="B319" s="1" t="n">
        <v>45705.77465277778</v>
      </c>
      <c r="C319" s="1" t="n">
        <v>46029</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20356-2022</t>
        </is>
      </c>
      <c r="B320" s="1" t="n">
        <v>44699</v>
      </c>
      <c r="C320" s="1" t="n">
        <v>46029</v>
      </c>
      <c r="D320" t="inlineStr">
        <is>
          <t>GOTLANDS LÄN</t>
        </is>
      </c>
      <c r="E320" t="inlineStr">
        <is>
          <t>GOTLAND</t>
        </is>
      </c>
      <c r="F320" t="inlineStr">
        <is>
          <t>Övriga Aktiebolag</t>
        </is>
      </c>
      <c r="G320" t="n">
        <v>4.4</v>
      </c>
      <c r="H320" t="n">
        <v>0</v>
      </c>
      <c r="I320" t="n">
        <v>0</v>
      </c>
      <c r="J320" t="n">
        <v>0</v>
      </c>
      <c r="K320" t="n">
        <v>0</v>
      </c>
      <c r="L320" t="n">
        <v>0</v>
      </c>
      <c r="M320" t="n">
        <v>0</v>
      </c>
      <c r="N320" t="n">
        <v>0</v>
      </c>
      <c r="O320" t="n">
        <v>0</v>
      </c>
      <c r="P320" t="n">
        <v>0</v>
      </c>
      <c r="Q320" t="n">
        <v>0</v>
      </c>
      <c r="R320" s="2" t="inlineStr"/>
    </row>
    <row r="321" ht="15" customHeight="1">
      <c r="A321" t="inlineStr">
        <is>
          <t>A 48734-2022</t>
        </is>
      </c>
      <c r="B321" s="1" t="n">
        <v>44855</v>
      </c>
      <c r="C321" s="1" t="n">
        <v>46029</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14141-2024</t>
        </is>
      </c>
      <c r="B322" s="1" t="n">
        <v>45392.85193287037</v>
      </c>
      <c r="C322" s="1" t="n">
        <v>46029</v>
      </c>
      <c r="D322" t="inlineStr">
        <is>
          <t>GOTLANDS LÄN</t>
        </is>
      </c>
      <c r="E322" t="inlineStr">
        <is>
          <t>GOTLAND</t>
        </is>
      </c>
      <c r="G322" t="n">
        <v>5.3</v>
      </c>
      <c r="H322" t="n">
        <v>0</v>
      </c>
      <c r="I322" t="n">
        <v>0</v>
      </c>
      <c r="J322" t="n">
        <v>0</v>
      </c>
      <c r="K322" t="n">
        <v>0</v>
      </c>
      <c r="L322" t="n">
        <v>0</v>
      </c>
      <c r="M322" t="n">
        <v>0</v>
      </c>
      <c r="N322" t="n">
        <v>0</v>
      </c>
      <c r="O322" t="n">
        <v>0</v>
      </c>
      <c r="P322" t="n">
        <v>0</v>
      </c>
      <c r="Q322" t="n">
        <v>0</v>
      </c>
      <c r="R322" s="2" t="inlineStr"/>
    </row>
    <row r="323" ht="15" customHeight="1">
      <c r="A323" t="inlineStr">
        <is>
          <t>A 41435-2025</t>
        </is>
      </c>
      <c r="B323" s="1" t="n">
        <v>45901.39974537037</v>
      </c>
      <c r="C323" s="1" t="n">
        <v>46029</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29809-2022</t>
        </is>
      </c>
      <c r="B324" s="1" t="n">
        <v>44755.8713425926</v>
      </c>
      <c r="C324" s="1" t="n">
        <v>46029</v>
      </c>
      <c r="D324" t="inlineStr">
        <is>
          <t>GOTLANDS LÄN</t>
        </is>
      </c>
      <c r="E324" t="inlineStr">
        <is>
          <t>GOTLAND</t>
        </is>
      </c>
      <c r="G324" t="n">
        <v>11.5</v>
      </c>
      <c r="H324" t="n">
        <v>0</v>
      </c>
      <c r="I324" t="n">
        <v>0</v>
      </c>
      <c r="J324" t="n">
        <v>0</v>
      </c>
      <c r="K324" t="n">
        <v>0</v>
      </c>
      <c r="L324" t="n">
        <v>0</v>
      </c>
      <c r="M324" t="n">
        <v>0</v>
      </c>
      <c r="N324" t="n">
        <v>0</v>
      </c>
      <c r="O324" t="n">
        <v>0</v>
      </c>
      <c r="P324" t="n">
        <v>0</v>
      </c>
      <c r="Q324" t="n">
        <v>0</v>
      </c>
      <c r="R324" s="2" t="inlineStr"/>
    </row>
    <row r="325" ht="15" customHeight="1">
      <c r="A325" t="inlineStr">
        <is>
          <t>A 32379-2025</t>
        </is>
      </c>
      <c r="B325" s="1" t="n">
        <v>45837</v>
      </c>
      <c r="C325" s="1" t="n">
        <v>46029</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32467-2025</t>
        </is>
      </c>
      <c r="B326" s="1" t="n">
        <v>45838.42111111111</v>
      </c>
      <c r="C326" s="1" t="n">
        <v>46029</v>
      </c>
      <c r="D326" t="inlineStr">
        <is>
          <t>GOTLANDS LÄN</t>
        </is>
      </c>
      <c r="E326" t="inlineStr">
        <is>
          <t>GOTLAND</t>
        </is>
      </c>
      <c r="G326" t="n">
        <v>4.3</v>
      </c>
      <c r="H326" t="n">
        <v>0</v>
      </c>
      <c r="I326" t="n">
        <v>0</v>
      </c>
      <c r="J326" t="n">
        <v>0</v>
      </c>
      <c r="K326" t="n">
        <v>0</v>
      </c>
      <c r="L326" t="n">
        <v>0</v>
      </c>
      <c r="M326" t="n">
        <v>0</v>
      </c>
      <c r="N326" t="n">
        <v>0</v>
      </c>
      <c r="O326" t="n">
        <v>0</v>
      </c>
      <c r="P326" t="n">
        <v>0</v>
      </c>
      <c r="Q326" t="n">
        <v>0</v>
      </c>
      <c r="R326" s="2" t="inlineStr"/>
    </row>
    <row r="327" ht="15" customHeight="1">
      <c r="A327" t="inlineStr">
        <is>
          <t>A 16109-2025</t>
        </is>
      </c>
      <c r="B327" s="1" t="n">
        <v>45750</v>
      </c>
      <c r="C327" s="1" t="n">
        <v>46029</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41551-2025</t>
        </is>
      </c>
      <c r="B328" s="1" t="n">
        <v>45901.58854166666</v>
      </c>
      <c r="C328" s="1" t="n">
        <v>46029</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57685-2022</t>
        </is>
      </c>
      <c r="B329" s="1" t="n">
        <v>44897.4777662037</v>
      </c>
      <c r="C329" s="1" t="n">
        <v>46029</v>
      </c>
      <c r="D329" t="inlineStr">
        <is>
          <t>GOTLANDS LÄN</t>
        </is>
      </c>
      <c r="E329" t="inlineStr">
        <is>
          <t>GOTLAND</t>
        </is>
      </c>
      <c r="G329" t="n">
        <v>3.7</v>
      </c>
      <c r="H329" t="n">
        <v>0</v>
      </c>
      <c r="I329" t="n">
        <v>0</v>
      </c>
      <c r="J329" t="n">
        <v>0</v>
      </c>
      <c r="K329" t="n">
        <v>0</v>
      </c>
      <c r="L329" t="n">
        <v>0</v>
      </c>
      <c r="M329" t="n">
        <v>0</v>
      </c>
      <c r="N329" t="n">
        <v>0</v>
      </c>
      <c r="O329" t="n">
        <v>0</v>
      </c>
      <c r="P329" t="n">
        <v>0</v>
      </c>
      <c r="Q329" t="n">
        <v>0</v>
      </c>
      <c r="R329" s="2" t="inlineStr"/>
    </row>
    <row r="330" ht="15" customHeight="1">
      <c r="A330" t="inlineStr">
        <is>
          <t>A 33007-2025</t>
        </is>
      </c>
      <c r="B330" s="1" t="n">
        <v>45840</v>
      </c>
      <c r="C330" s="1" t="n">
        <v>46029</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30815-2023</t>
        </is>
      </c>
      <c r="B331" s="1" t="n">
        <v>45112</v>
      </c>
      <c r="C331" s="1" t="n">
        <v>46029</v>
      </c>
      <c r="D331" t="inlineStr">
        <is>
          <t>GOTLANDS LÄN</t>
        </is>
      </c>
      <c r="E331" t="inlineStr">
        <is>
          <t>GOTLAND</t>
        </is>
      </c>
      <c r="G331" t="n">
        <v>6</v>
      </c>
      <c r="H331" t="n">
        <v>0</v>
      </c>
      <c r="I331" t="n">
        <v>0</v>
      </c>
      <c r="J331" t="n">
        <v>0</v>
      </c>
      <c r="K331" t="n">
        <v>0</v>
      </c>
      <c r="L331" t="n">
        <v>0</v>
      </c>
      <c r="M331" t="n">
        <v>0</v>
      </c>
      <c r="N331" t="n">
        <v>0</v>
      </c>
      <c r="O331" t="n">
        <v>0</v>
      </c>
      <c r="P331" t="n">
        <v>0</v>
      </c>
      <c r="Q331" t="n">
        <v>0</v>
      </c>
      <c r="R331" s="2" t="inlineStr"/>
    </row>
    <row r="332" ht="15" customHeight="1">
      <c r="A332" t="inlineStr">
        <is>
          <t>A 7034-2023</t>
        </is>
      </c>
      <c r="B332" s="1" t="n">
        <v>44968.32108796296</v>
      </c>
      <c r="C332" s="1" t="n">
        <v>46029</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7042-2023</t>
        </is>
      </c>
      <c r="B333" s="1" t="n">
        <v>44968</v>
      </c>
      <c r="C333" s="1" t="n">
        <v>46029</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23516-2023</t>
        </is>
      </c>
      <c r="B334" s="1" t="n">
        <v>45076.93391203704</v>
      </c>
      <c r="C334" s="1" t="n">
        <v>46029</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64660-2023</t>
        </is>
      </c>
      <c r="B335" s="1" t="n">
        <v>45281.60122685185</v>
      </c>
      <c r="C335" s="1" t="n">
        <v>46029</v>
      </c>
      <c r="D335" t="inlineStr">
        <is>
          <t>GOTLANDS LÄN</t>
        </is>
      </c>
      <c r="E335" t="inlineStr">
        <is>
          <t>GOTLAND</t>
        </is>
      </c>
      <c r="G335" t="n">
        <v>6.3</v>
      </c>
      <c r="H335" t="n">
        <v>0</v>
      </c>
      <c r="I335" t="n">
        <v>0</v>
      </c>
      <c r="J335" t="n">
        <v>0</v>
      </c>
      <c r="K335" t="n">
        <v>0</v>
      </c>
      <c r="L335" t="n">
        <v>0</v>
      </c>
      <c r="M335" t="n">
        <v>0</v>
      </c>
      <c r="N335" t="n">
        <v>0</v>
      </c>
      <c r="O335" t="n">
        <v>0</v>
      </c>
      <c r="P335" t="n">
        <v>0</v>
      </c>
      <c r="Q335" t="n">
        <v>0</v>
      </c>
      <c r="R335" s="2" t="inlineStr"/>
    </row>
    <row r="336" ht="15" customHeight="1">
      <c r="A336" t="inlineStr">
        <is>
          <t>A 63763-2023</t>
        </is>
      </c>
      <c r="B336" s="1" t="n">
        <v>45278.33944444444</v>
      </c>
      <c r="C336" s="1" t="n">
        <v>46029</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63229-2021</t>
        </is>
      </c>
      <c r="B337" s="1" t="n">
        <v>44508.34518518519</v>
      </c>
      <c r="C337" s="1" t="n">
        <v>46029</v>
      </c>
      <c r="D337" t="inlineStr">
        <is>
          <t>GOTLANDS LÄN</t>
        </is>
      </c>
      <c r="E337" t="inlineStr">
        <is>
          <t>GOTLAND</t>
        </is>
      </c>
      <c r="F337" t="inlineStr">
        <is>
          <t>Kyrkan</t>
        </is>
      </c>
      <c r="G337" t="n">
        <v>3.8</v>
      </c>
      <c r="H337" t="n">
        <v>0</v>
      </c>
      <c r="I337" t="n">
        <v>0</v>
      </c>
      <c r="J337" t="n">
        <v>0</v>
      </c>
      <c r="K337" t="n">
        <v>0</v>
      </c>
      <c r="L337" t="n">
        <v>0</v>
      </c>
      <c r="M337" t="n">
        <v>0</v>
      </c>
      <c r="N337" t="n">
        <v>0</v>
      </c>
      <c r="O337" t="n">
        <v>0</v>
      </c>
      <c r="P337" t="n">
        <v>0</v>
      </c>
      <c r="Q337" t="n">
        <v>0</v>
      </c>
      <c r="R337" s="2" t="inlineStr"/>
    </row>
    <row r="338" ht="15" customHeight="1">
      <c r="A338" t="inlineStr">
        <is>
          <t>A 46375-2024</t>
        </is>
      </c>
      <c r="B338" s="1" t="n">
        <v>45582</v>
      </c>
      <c r="C338" s="1" t="n">
        <v>46029</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15413-2025</t>
        </is>
      </c>
      <c r="B339" s="1" t="n">
        <v>45747.451875</v>
      </c>
      <c r="C339" s="1" t="n">
        <v>46029</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42608-2025</t>
        </is>
      </c>
      <c r="B340" s="1" t="n">
        <v>45905</v>
      </c>
      <c r="C340" s="1" t="n">
        <v>46029</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35123-2025</t>
        </is>
      </c>
      <c r="B341" s="1" t="n">
        <v>45852.614375</v>
      </c>
      <c r="C341" s="1" t="n">
        <v>46029</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35096-2025</t>
        </is>
      </c>
      <c r="B342" s="1" t="n">
        <v>45852.54356481481</v>
      </c>
      <c r="C342" s="1" t="n">
        <v>46029</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30104-2025</t>
        </is>
      </c>
      <c r="B343" s="1" t="n">
        <v>45826.68806712963</v>
      </c>
      <c r="C343" s="1" t="n">
        <v>46029</v>
      </c>
      <c r="D343" t="inlineStr">
        <is>
          <t>GOTLANDS LÄN</t>
        </is>
      </c>
      <c r="E343" t="inlineStr">
        <is>
          <t>GOTLAND</t>
        </is>
      </c>
      <c r="G343" t="n">
        <v>15.4</v>
      </c>
      <c r="H343" t="n">
        <v>0</v>
      </c>
      <c r="I343" t="n">
        <v>0</v>
      </c>
      <c r="J343" t="n">
        <v>0</v>
      </c>
      <c r="K343" t="n">
        <v>0</v>
      </c>
      <c r="L343" t="n">
        <v>0</v>
      </c>
      <c r="M343" t="n">
        <v>0</v>
      </c>
      <c r="N343" t="n">
        <v>0</v>
      </c>
      <c r="O343" t="n">
        <v>0</v>
      </c>
      <c r="P343" t="n">
        <v>0</v>
      </c>
      <c r="Q343" t="n">
        <v>0</v>
      </c>
      <c r="R343" s="2" t="inlineStr"/>
    </row>
    <row r="344" ht="15" customHeight="1">
      <c r="A344" t="inlineStr">
        <is>
          <t>A 35290-2025</t>
        </is>
      </c>
      <c r="B344" s="1" t="n">
        <v>45854.38502314815</v>
      </c>
      <c r="C344" s="1" t="n">
        <v>46029</v>
      </c>
      <c r="D344" t="inlineStr">
        <is>
          <t>GOTLANDS LÄN</t>
        </is>
      </c>
      <c r="E344" t="inlineStr">
        <is>
          <t>GOTLAND</t>
        </is>
      </c>
      <c r="G344" t="n">
        <v>5.4</v>
      </c>
      <c r="H344" t="n">
        <v>0</v>
      </c>
      <c r="I344" t="n">
        <v>0</v>
      </c>
      <c r="J344" t="n">
        <v>0</v>
      </c>
      <c r="K344" t="n">
        <v>0</v>
      </c>
      <c r="L344" t="n">
        <v>0</v>
      </c>
      <c r="M344" t="n">
        <v>0</v>
      </c>
      <c r="N344" t="n">
        <v>0</v>
      </c>
      <c r="O344" t="n">
        <v>0</v>
      </c>
      <c r="P344" t="n">
        <v>0</v>
      </c>
      <c r="Q344" t="n">
        <v>0</v>
      </c>
      <c r="R344" s="2" t="inlineStr"/>
    </row>
    <row r="345" ht="15" customHeight="1">
      <c r="A345" t="inlineStr">
        <is>
          <t>A 32669-2024</t>
        </is>
      </c>
      <c r="B345" s="1" t="n">
        <v>45514</v>
      </c>
      <c r="C345" s="1" t="n">
        <v>46029</v>
      </c>
      <c r="D345" t="inlineStr">
        <is>
          <t>GOTLANDS LÄN</t>
        </is>
      </c>
      <c r="E345" t="inlineStr">
        <is>
          <t>GOTLAND</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35537-2025</t>
        </is>
      </c>
      <c r="B346" s="1" t="n">
        <v>45856</v>
      </c>
      <c r="C346" s="1" t="n">
        <v>46029</v>
      </c>
      <c r="D346" t="inlineStr">
        <is>
          <t>GOTLANDS LÄN</t>
        </is>
      </c>
      <c r="E346" t="inlineStr">
        <is>
          <t>GOTLAND</t>
        </is>
      </c>
      <c r="G346" t="n">
        <v>16.8</v>
      </c>
      <c r="H346" t="n">
        <v>0</v>
      </c>
      <c r="I346" t="n">
        <v>0</v>
      </c>
      <c r="J346" t="n">
        <v>0</v>
      </c>
      <c r="K346" t="n">
        <v>0</v>
      </c>
      <c r="L346" t="n">
        <v>0</v>
      </c>
      <c r="M346" t="n">
        <v>0</v>
      </c>
      <c r="N346" t="n">
        <v>0</v>
      </c>
      <c r="O346" t="n">
        <v>0</v>
      </c>
      <c r="P346" t="n">
        <v>0</v>
      </c>
      <c r="Q346" t="n">
        <v>0</v>
      </c>
      <c r="R346" s="2" t="inlineStr"/>
    </row>
    <row r="347" ht="15" customHeight="1">
      <c r="A347" t="inlineStr">
        <is>
          <t>A 16373-2025</t>
        </is>
      </c>
      <c r="B347" s="1" t="n">
        <v>45751</v>
      </c>
      <c r="C347" s="1" t="n">
        <v>46029</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1734-2025</t>
        </is>
      </c>
      <c r="B348" s="1" t="n">
        <v>45671.3840625</v>
      </c>
      <c r="C348" s="1" t="n">
        <v>46029</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20993-2023</t>
        </is>
      </c>
      <c r="B349" s="1" t="n">
        <v>45056</v>
      </c>
      <c r="C349" s="1" t="n">
        <v>46029</v>
      </c>
      <c r="D349" t="inlineStr">
        <is>
          <t>GOTLANDS LÄN</t>
        </is>
      </c>
      <c r="E349" t="inlineStr">
        <is>
          <t>GOTLAND</t>
        </is>
      </c>
      <c r="G349" t="n">
        <v>7.1</v>
      </c>
      <c r="H349" t="n">
        <v>0</v>
      </c>
      <c r="I349" t="n">
        <v>0</v>
      </c>
      <c r="J349" t="n">
        <v>0</v>
      </c>
      <c r="K349" t="n">
        <v>0</v>
      </c>
      <c r="L349" t="n">
        <v>0</v>
      </c>
      <c r="M349" t="n">
        <v>0</v>
      </c>
      <c r="N349" t="n">
        <v>0</v>
      </c>
      <c r="O349" t="n">
        <v>0</v>
      </c>
      <c r="P349" t="n">
        <v>0</v>
      </c>
      <c r="Q349" t="n">
        <v>0</v>
      </c>
      <c r="R349" s="2" t="inlineStr"/>
    </row>
    <row r="350" ht="15" customHeight="1">
      <c r="A350" t="inlineStr">
        <is>
          <t>A 15216-2025</t>
        </is>
      </c>
      <c r="B350" s="1" t="n">
        <v>45744</v>
      </c>
      <c r="C350" s="1" t="n">
        <v>46029</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43790-2024</t>
        </is>
      </c>
      <c r="B351" s="1" t="n">
        <v>45571</v>
      </c>
      <c r="C351" s="1" t="n">
        <v>46029</v>
      </c>
      <c r="D351" t="inlineStr">
        <is>
          <t>GOTLANDS LÄN</t>
        </is>
      </c>
      <c r="E351" t="inlineStr">
        <is>
          <t>GOTLAND</t>
        </is>
      </c>
      <c r="G351" t="n">
        <v>3.5</v>
      </c>
      <c r="H351" t="n">
        <v>0</v>
      </c>
      <c r="I351" t="n">
        <v>0</v>
      </c>
      <c r="J351" t="n">
        <v>0</v>
      </c>
      <c r="K351" t="n">
        <v>0</v>
      </c>
      <c r="L351" t="n">
        <v>0</v>
      </c>
      <c r="M351" t="n">
        <v>0</v>
      </c>
      <c r="N351" t="n">
        <v>0</v>
      </c>
      <c r="O351" t="n">
        <v>0</v>
      </c>
      <c r="P351" t="n">
        <v>0</v>
      </c>
      <c r="Q351" t="n">
        <v>0</v>
      </c>
      <c r="R351" s="2" t="inlineStr"/>
    </row>
    <row r="352" ht="15" customHeight="1">
      <c r="A352" t="inlineStr">
        <is>
          <t>A 15001-2025</t>
        </is>
      </c>
      <c r="B352" s="1" t="n">
        <v>45743</v>
      </c>
      <c r="C352" s="1" t="n">
        <v>46029</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30488-2025</t>
        </is>
      </c>
      <c r="B353" s="1" t="n">
        <v>45830</v>
      </c>
      <c r="C353" s="1" t="n">
        <v>46029</v>
      </c>
      <c r="D353" t="inlineStr">
        <is>
          <t>GOTLANDS LÄN</t>
        </is>
      </c>
      <c r="E353" t="inlineStr">
        <is>
          <t>GOTLAND</t>
        </is>
      </c>
      <c r="F353" t="inlineStr">
        <is>
          <t>Kyrkan</t>
        </is>
      </c>
      <c r="G353" t="n">
        <v>3.9</v>
      </c>
      <c r="H353" t="n">
        <v>0</v>
      </c>
      <c r="I353" t="n">
        <v>0</v>
      </c>
      <c r="J353" t="n">
        <v>0</v>
      </c>
      <c r="K353" t="n">
        <v>0</v>
      </c>
      <c r="L353" t="n">
        <v>0</v>
      </c>
      <c r="M353" t="n">
        <v>0</v>
      </c>
      <c r="N353" t="n">
        <v>0</v>
      </c>
      <c r="O353" t="n">
        <v>0</v>
      </c>
      <c r="P353" t="n">
        <v>0</v>
      </c>
      <c r="Q353" t="n">
        <v>0</v>
      </c>
      <c r="R353" s="2" t="inlineStr"/>
    </row>
    <row r="354" ht="15" customHeight="1">
      <c r="A354" t="inlineStr">
        <is>
          <t>A 17847-2025</t>
        </is>
      </c>
      <c r="B354" s="1" t="n">
        <v>45758</v>
      </c>
      <c r="C354" s="1" t="n">
        <v>46029</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12596-2023</t>
        </is>
      </c>
      <c r="B355" s="1" t="n">
        <v>45000.43310185185</v>
      </c>
      <c r="C355" s="1" t="n">
        <v>46029</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18742-2025</t>
        </is>
      </c>
      <c r="B356" s="1" t="n">
        <v>45763</v>
      </c>
      <c r="C356" s="1" t="n">
        <v>46029</v>
      </c>
      <c r="D356" t="inlineStr">
        <is>
          <t>GOTLANDS LÄN</t>
        </is>
      </c>
      <c r="E356" t="inlineStr">
        <is>
          <t>GOTLAND</t>
        </is>
      </c>
      <c r="G356" t="n">
        <v>3.4</v>
      </c>
      <c r="H356" t="n">
        <v>0</v>
      </c>
      <c r="I356" t="n">
        <v>0</v>
      </c>
      <c r="J356" t="n">
        <v>0</v>
      </c>
      <c r="K356" t="n">
        <v>0</v>
      </c>
      <c r="L356" t="n">
        <v>0</v>
      </c>
      <c r="M356" t="n">
        <v>0</v>
      </c>
      <c r="N356" t="n">
        <v>0</v>
      </c>
      <c r="O356" t="n">
        <v>0</v>
      </c>
      <c r="P356" t="n">
        <v>0</v>
      </c>
      <c r="Q356" t="n">
        <v>0</v>
      </c>
      <c r="R356" s="2" t="inlineStr"/>
    </row>
    <row r="357" ht="15" customHeight="1">
      <c r="A357" t="inlineStr">
        <is>
          <t>A 36319-2025</t>
        </is>
      </c>
      <c r="B357" s="1" t="n">
        <v>45868</v>
      </c>
      <c r="C357" s="1" t="n">
        <v>46029</v>
      </c>
      <c r="D357" t="inlineStr">
        <is>
          <t>GOTLANDS LÄN</t>
        </is>
      </c>
      <c r="E357" t="inlineStr">
        <is>
          <t>GOTLAND</t>
        </is>
      </c>
      <c r="G357" t="n">
        <v>2.9</v>
      </c>
      <c r="H357" t="n">
        <v>0</v>
      </c>
      <c r="I357" t="n">
        <v>0</v>
      </c>
      <c r="J357" t="n">
        <v>0</v>
      </c>
      <c r="K357" t="n">
        <v>0</v>
      </c>
      <c r="L357" t="n">
        <v>0</v>
      </c>
      <c r="M357" t="n">
        <v>0</v>
      </c>
      <c r="N357" t="n">
        <v>0</v>
      </c>
      <c r="O357" t="n">
        <v>0</v>
      </c>
      <c r="P357" t="n">
        <v>0</v>
      </c>
      <c r="Q357" t="n">
        <v>0</v>
      </c>
      <c r="R357" s="2" t="inlineStr"/>
    </row>
    <row r="358" ht="15" customHeight="1">
      <c r="A358" t="inlineStr">
        <is>
          <t>A 2125-2025</t>
        </is>
      </c>
      <c r="B358" s="1" t="n">
        <v>45672.64940972222</v>
      </c>
      <c r="C358" s="1" t="n">
        <v>46029</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35129-2025</t>
        </is>
      </c>
      <c r="B359" s="1" t="n">
        <v>45852.63224537037</v>
      </c>
      <c r="C359" s="1" t="n">
        <v>46029</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12155-2023</t>
        </is>
      </c>
      <c r="B360" s="1" t="n">
        <v>44998.49106481481</v>
      </c>
      <c r="C360" s="1" t="n">
        <v>46029</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457-2023</t>
        </is>
      </c>
      <c r="B361" s="1" t="n">
        <v>44929.87238425926</v>
      </c>
      <c r="C361" s="1" t="n">
        <v>46029</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459-2023</t>
        </is>
      </c>
      <c r="B362" s="1" t="n">
        <v>44929.87423611111</v>
      </c>
      <c r="C362" s="1" t="n">
        <v>46029</v>
      </c>
      <c r="D362" t="inlineStr">
        <is>
          <t>GOTLANDS LÄN</t>
        </is>
      </c>
      <c r="E362" t="inlineStr">
        <is>
          <t>GOTLAND</t>
        </is>
      </c>
      <c r="G362" t="n">
        <v>4.2</v>
      </c>
      <c r="H362" t="n">
        <v>0</v>
      </c>
      <c r="I362" t="n">
        <v>0</v>
      </c>
      <c r="J362" t="n">
        <v>0</v>
      </c>
      <c r="K362" t="n">
        <v>0</v>
      </c>
      <c r="L362" t="n">
        <v>0</v>
      </c>
      <c r="M362" t="n">
        <v>0</v>
      </c>
      <c r="N362" t="n">
        <v>0</v>
      </c>
      <c r="O362" t="n">
        <v>0</v>
      </c>
      <c r="P362" t="n">
        <v>0</v>
      </c>
      <c r="Q362" t="n">
        <v>0</v>
      </c>
      <c r="R362" s="2" t="inlineStr"/>
    </row>
    <row r="363" ht="15" customHeight="1">
      <c r="A363" t="inlineStr">
        <is>
          <t>A 38234-2023</t>
        </is>
      </c>
      <c r="B363" s="1" t="n">
        <v>45161.56663194444</v>
      </c>
      <c r="C363" s="1" t="n">
        <v>46029</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10158-2025</t>
        </is>
      </c>
      <c r="B364" s="1" t="n">
        <v>45719</v>
      </c>
      <c r="C364" s="1" t="n">
        <v>46029</v>
      </c>
      <c r="D364" t="inlineStr">
        <is>
          <t>GOTLANDS LÄN</t>
        </is>
      </c>
      <c r="E364" t="inlineStr">
        <is>
          <t>GOTLAND</t>
        </is>
      </c>
      <c r="G364" t="n">
        <v>3.5</v>
      </c>
      <c r="H364" t="n">
        <v>0</v>
      </c>
      <c r="I364" t="n">
        <v>0</v>
      </c>
      <c r="J364" t="n">
        <v>0</v>
      </c>
      <c r="K364" t="n">
        <v>0</v>
      </c>
      <c r="L364" t="n">
        <v>0</v>
      </c>
      <c r="M364" t="n">
        <v>0</v>
      </c>
      <c r="N364" t="n">
        <v>0</v>
      </c>
      <c r="O364" t="n">
        <v>0</v>
      </c>
      <c r="P364" t="n">
        <v>0</v>
      </c>
      <c r="Q364" t="n">
        <v>0</v>
      </c>
      <c r="R364" s="2" t="inlineStr"/>
    </row>
    <row r="365" ht="15" customHeight="1">
      <c r="A365" t="inlineStr">
        <is>
          <t>A 50744-2024</t>
        </is>
      </c>
      <c r="B365" s="1" t="n">
        <v>45602.4187037037</v>
      </c>
      <c r="C365" s="1" t="n">
        <v>46029</v>
      </c>
      <c r="D365" t="inlineStr">
        <is>
          <t>GOTLANDS LÄN</t>
        </is>
      </c>
      <c r="E365" t="inlineStr">
        <is>
          <t>GOTLAND</t>
        </is>
      </c>
      <c r="G365" t="n">
        <v>3.2</v>
      </c>
      <c r="H365" t="n">
        <v>0</v>
      </c>
      <c r="I365" t="n">
        <v>0</v>
      </c>
      <c r="J365" t="n">
        <v>0</v>
      </c>
      <c r="K365" t="n">
        <v>0</v>
      </c>
      <c r="L365" t="n">
        <v>0</v>
      </c>
      <c r="M365" t="n">
        <v>0</v>
      </c>
      <c r="N365" t="n">
        <v>0</v>
      </c>
      <c r="O365" t="n">
        <v>0</v>
      </c>
      <c r="P365" t="n">
        <v>0</v>
      </c>
      <c r="Q365" t="n">
        <v>0</v>
      </c>
      <c r="R365" s="2" t="inlineStr"/>
    </row>
    <row r="366" ht="15" customHeight="1">
      <c r="A366" t="inlineStr">
        <is>
          <t>A 53934-2024</t>
        </is>
      </c>
      <c r="B366" s="1" t="n">
        <v>45615</v>
      </c>
      <c r="C366" s="1" t="n">
        <v>46029</v>
      </c>
      <c r="D366" t="inlineStr">
        <is>
          <t>GOTLANDS LÄN</t>
        </is>
      </c>
      <c r="E366" t="inlineStr">
        <is>
          <t>GOTLAND</t>
        </is>
      </c>
      <c r="G366" t="n">
        <v>5</v>
      </c>
      <c r="H366" t="n">
        <v>0</v>
      </c>
      <c r="I366" t="n">
        <v>0</v>
      </c>
      <c r="J366" t="n">
        <v>0</v>
      </c>
      <c r="K366" t="n">
        <v>0</v>
      </c>
      <c r="L366" t="n">
        <v>0</v>
      </c>
      <c r="M366" t="n">
        <v>0</v>
      </c>
      <c r="N366" t="n">
        <v>0</v>
      </c>
      <c r="O366" t="n">
        <v>0</v>
      </c>
      <c r="P366" t="n">
        <v>0</v>
      </c>
      <c r="Q366" t="n">
        <v>0</v>
      </c>
      <c r="R366" s="2" t="inlineStr"/>
    </row>
    <row r="367" ht="15" customHeight="1">
      <c r="A367" t="inlineStr">
        <is>
          <t>A 43911-2025</t>
        </is>
      </c>
      <c r="B367" s="1" t="n">
        <v>45914.3881712963</v>
      </c>
      <c r="C367" s="1" t="n">
        <v>46029</v>
      </c>
      <c r="D367" t="inlineStr">
        <is>
          <t>GOTLANDS LÄN</t>
        </is>
      </c>
      <c r="E367" t="inlineStr">
        <is>
          <t>GOTLAND</t>
        </is>
      </c>
      <c r="G367" t="n">
        <v>1.9</v>
      </c>
      <c r="H367" t="n">
        <v>0</v>
      </c>
      <c r="I367" t="n">
        <v>0</v>
      </c>
      <c r="J367" t="n">
        <v>0</v>
      </c>
      <c r="K367" t="n">
        <v>0</v>
      </c>
      <c r="L367" t="n">
        <v>0</v>
      </c>
      <c r="M367" t="n">
        <v>0</v>
      </c>
      <c r="N367" t="n">
        <v>0</v>
      </c>
      <c r="O367" t="n">
        <v>0</v>
      </c>
      <c r="P367" t="n">
        <v>0</v>
      </c>
      <c r="Q367" t="n">
        <v>0</v>
      </c>
      <c r="R367" s="2" t="inlineStr"/>
    </row>
    <row r="368" ht="15" customHeight="1">
      <c r="A368" t="inlineStr">
        <is>
          <t>A 44410-2025</t>
        </is>
      </c>
      <c r="B368" s="1" t="n">
        <v>45916.53699074074</v>
      </c>
      <c r="C368" s="1" t="n">
        <v>46029</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43951-2025</t>
        </is>
      </c>
      <c r="B369" s="1" t="n">
        <v>45915.38119212963</v>
      </c>
      <c r="C369" s="1" t="n">
        <v>46029</v>
      </c>
      <c r="D369" t="inlineStr">
        <is>
          <t>GOTLANDS LÄN</t>
        </is>
      </c>
      <c r="E369" t="inlineStr">
        <is>
          <t>GOTLAND</t>
        </is>
      </c>
      <c r="G369" t="n">
        <v>4.4</v>
      </c>
      <c r="H369" t="n">
        <v>0</v>
      </c>
      <c r="I369" t="n">
        <v>0</v>
      </c>
      <c r="J369" t="n">
        <v>0</v>
      </c>
      <c r="K369" t="n">
        <v>0</v>
      </c>
      <c r="L369" t="n">
        <v>0</v>
      </c>
      <c r="M369" t="n">
        <v>0</v>
      </c>
      <c r="N369" t="n">
        <v>0</v>
      </c>
      <c r="O369" t="n">
        <v>0</v>
      </c>
      <c r="P369" t="n">
        <v>0</v>
      </c>
      <c r="Q369" t="n">
        <v>0</v>
      </c>
      <c r="R369" s="2" t="inlineStr"/>
    </row>
    <row r="370" ht="15" customHeight="1">
      <c r="A370" t="inlineStr">
        <is>
          <t>A 44405-2025</t>
        </is>
      </c>
      <c r="B370" s="1" t="n">
        <v>45916.52405092592</v>
      </c>
      <c r="C370" s="1" t="n">
        <v>46029</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1446-2025</t>
        </is>
      </c>
      <c r="B371" s="1" t="n">
        <v>45669.86035879629</v>
      </c>
      <c r="C371" s="1" t="n">
        <v>46029</v>
      </c>
      <c r="D371" t="inlineStr">
        <is>
          <t>GOTLANDS LÄN</t>
        </is>
      </c>
      <c r="E371" t="inlineStr">
        <is>
          <t>GOTLAND</t>
        </is>
      </c>
      <c r="G371" t="n">
        <v>3.1</v>
      </c>
      <c r="H371" t="n">
        <v>0</v>
      </c>
      <c r="I371" t="n">
        <v>0</v>
      </c>
      <c r="J371" t="n">
        <v>0</v>
      </c>
      <c r="K371" t="n">
        <v>0</v>
      </c>
      <c r="L371" t="n">
        <v>0</v>
      </c>
      <c r="M371" t="n">
        <v>0</v>
      </c>
      <c r="N371" t="n">
        <v>0</v>
      </c>
      <c r="O371" t="n">
        <v>0</v>
      </c>
      <c r="P371" t="n">
        <v>0</v>
      </c>
      <c r="Q371" t="n">
        <v>0</v>
      </c>
      <c r="R371" s="2" t="inlineStr"/>
    </row>
    <row r="372" ht="15" customHeight="1">
      <c r="A372" t="inlineStr">
        <is>
          <t>A 6108-2025</t>
        </is>
      </c>
      <c r="B372" s="1" t="n">
        <v>45698.29880787037</v>
      </c>
      <c r="C372" s="1" t="n">
        <v>46029</v>
      </c>
      <c r="D372" t="inlineStr">
        <is>
          <t>GOTLANDS LÄN</t>
        </is>
      </c>
      <c r="E372" t="inlineStr">
        <is>
          <t>GOTLAND</t>
        </is>
      </c>
      <c r="G372" t="n">
        <v>2.8</v>
      </c>
      <c r="H372" t="n">
        <v>0</v>
      </c>
      <c r="I372" t="n">
        <v>0</v>
      </c>
      <c r="J372" t="n">
        <v>0</v>
      </c>
      <c r="K372" t="n">
        <v>0</v>
      </c>
      <c r="L372" t="n">
        <v>0</v>
      </c>
      <c r="M372" t="n">
        <v>0</v>
      </c>
      <c r="N372" t="n">
        <v>0</v>
      </c>
      <c r="O372" t="n">
        <v>0</v>
      </c>
      <c r="P372" t="n">
        <v>0</v>
      </c>
      <c r="Q372" t="n">
        <v>0</v>
      </c>
      <c r="R372" s="2" t="inlineStr"/>
    </row>
    <row r="373" ht="15" customHeight="1">
      <c r="A373" t="inlineStr">
        <is>
          <t>A 21142-2025</t>
        </is>
      </c>
      <c r="B373" s="1" t="n">
        <v>45779</v>
      </c>
      <c r="C373" s="1" t="n">
        <v>46029</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17343-2025</t>
        </is>
      </c>
      <c r="B374" s="1" t="n">
        <v>45756.6687037037</v>
      </c>
      <c r="C374" s="1" t="n">
        <v>46029</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18938-2025</t>
        </is>
      </c>
      <c r="B375" s="1" t="n">
        <v>45764.49172453704</v>
      </c>
      <c r="C375" s="1" t="n">
        <v>46029</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31264-2021</t>
        </is>
      </c>
      <c r="B376" s="1" t="n">
        <v>44368</v>
      </c>
      <c r="C376" s="1" t="n">
        <v>46029</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43901-2023</t>
        </is>
      </c>
      <c r="B377" s="1" t="n">
        <v>45187</v>
      </c>
      <c r="C377" s="1" t="n">
        <v>46029</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46029</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10746-2025</t>
        </is>
      </c>
      <c r="B379" s="1" t="n">
        <v>45722.42766203704</v>
      </c>
      <c r="C379" s="1" t="n">
        <v>46029</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46029</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16501-2023</t>
        </is>
      </c>
      <c r="B381" s="1" t="n">
        <v>45029</v>
      </c>
      <c r="C381" s="1" t="n">
        <v>46029</v>
      </c>
      <c r="D381" t="inlineStr">
        <is>
          <t>GOTLANDS LÄN</t>
        </is>
      </c>
      <c r="E381" t="inlineStr">
        <is>
          <t>GOTLAND</t>
        </is>
      </c>
      <c r="G381" t="n">
        <v>3.1</v>
      </c>
      <c r="H381" t="n">
        <v>0</v>
      </c>
      <c r="I381" t="n">
        <v>0</v>
      </c>
      <c r="J381" t="n">
        <v>0</v>
      </c>
      <c r="K381" t="n">
        <v>0</v>
      </c>
      <c r="L381" t="n">
        <v>0</v>
      </c>
      <c r="M381" t="n">
        <v>0</v>
      </c>
      <c r="N381" t="n">
        <v>0</v>
      </c>
      <c r="O381" t="n">
        <v>0</v>
      </c>
      <c r="P381" t="n">
        <v>0</v>
      </c>
      <c r="Q381" t="n">
        <v>0</v>
      </c>
      <c r="R381" s="2" t="inlineStr"/>
    </row>
    <row r="382" ht="15" customHeight="1">
      <c r="A382" t="inlineStr">
        <is>
          <t>A 2292-2021</t>
        </is>
      </c>
      <c r="B382" s="1" t="n">
        <v>44212</v>
      </c>
      <c r="C382" s="1" t="n">
        <v>46029</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27930-2021</t>
        </is>
      </c>
      <c r="B383" s="1" t="n">
        <v>44354</v>
      </c>
      <c r="C383" s="1" t="n">
        <v>46029</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61962-2024</t>
        </is>
      </c>
      <c r="B384" s="1" t="n">
        <v>45653.54340277778</v>
      </c>
      <c r="C384" s="1" t="n">
        <v>46029</v>
      </c>
      <c r="D384" t="inlineStr">
        <is>
          <t>GOTLANDS LÄN</t>
        </is>
      </c>
      <c r="E384" t="inlineStr">
        <is>
          <t>GOTLAND</t>
        </is>
      </c>
      <c r="G384" t="n">
        <v>0.7</v>
      </c>
      <c r="H384" t="n">
        <v>0</v>
      </c>
      <c r="I384" t="n">
        <v>0</v>
      </c>
      <c r="J384" t="n">
        <v>0</v>
      </c>
      <c r="K384" t="n">
        <v>0</v>
      </c>
      <c r="L384" t="n">
        <v>0</v>
      </c>
      <c r="M384" t="n">
        <v>0</v>
      </c>
      <c r="N384" t="n">
        <v>0</v>
      </c>
      <c r="O384" t="n">
        <v>0</v>
      </c>
      <c r="P384" t="n">
        <v>0</v>
      </c>
      <c r="Q384" t="n">
        <v>0</v>
      </c>
      <c r="R384" s="2" t="inlineStr"/>
    </row>
    <row r="385" ht="15" customHeight="1">
      <c r="A385" t="inlineStr">
        <is>
          <t>A 10492-2023</t>
        </is>
      </c>
      <c r="B385" s="1" t="n">
        <v>44987</v>
      </c>
      <c r="C385" s="1" t="n">
        <v>46029</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26391-2025</t>
        </is>
      </c>
      <c r="B386" s="1" t="n">
        <v>45806</v>
      </c>
      <c r="C386" s="1" t="n">
        <v>46029</v>
      </c>
      <c r="D386" t="inlineStr">
        <is>
          <t>GOTLANDS LÄN</t>
        </is>
      </c>
      <c r="E386" t="inlineStr">
        <is>
          <t>GOTLAND</t>
        </is>
      </c>
      <c r="G386" t="n">
        <v>2</v>
      </c>
      <c r="H386" t="n">
        <v>0</v>
      </c>
      <c r="I386" t="n">
        <v>0</v>
      </c>
      <c r="J386" t="n">
        <v>0</v>
      </c>
      <c r="K386" t="n">
        <v>0</v>
      </c>
      <c r="L386" t="n">
        <v>0</v>
      </c>
      <c r="M386" t="n">
        <v>0</v>
      </c>
      <c r="N386" t="n">
        <v>0</v>
      </c>
      <c r="O386" t="n">
        <v>0</v>
      </c>
      <c r="P386" t="n">
        <v>0</v>
      </c>
      <c r="Q386" t="n">
        <v>0</v>
      </c>
      <c r="R386" s="2" t="inlineStr"/>
    </row>
    <row r="387" ht="15" customHeight="1">
      <c r="A387" t="inlineStr">
        <is>
          <t>A 5909-2025</t>
        </is>
      </c>
      <c r="B387" s="1" t="n">
        <v>45695.40634259259</v>
      </c>
      <c r="C387" s="1" t="n">
        <v>46029</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10653-2023</t>
        </is>
      </c>
      <c r="B388" s="1" t="n">
        <v>44988.48859953704</v>
      </c>
      <c r="C388" s="1" t="n">
        <v>46029</v>
      </c>
      <c r="D388" t="inlineStr">
        <is>
          <t>GOTLANDS LÄN</t>
        </is>
      </c>
      <c r="E388" t="inlineStr">
        <is>
          <t>GOTLAND</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4990-2025</t>
        </is>
      </c>
      <c r="B389" s="1" t="n">
        <v>45691</v>
      </c>
      <c r="C389" s="1" t="n">
        <v>46029</v>
      </c>
      <c r="D389" t="inlineStr">
        <is>
          <t>GOTLANDS LÄN</t>
        </is>
      </c>
      <c r="E389" t="inlineStr">
        <is>
          <t>GOTLAND</t>
        </is>
      </c>
      <c r="G389" t="n">
        <v>7.7</v>
      </c>
      <c r="H389" t="n">
        <v>0</v>
      </c>
      <c r="I389" t="n">
        <v>0</v>
      </c>
      <c r="J389" t="n">
        <v>0</v>
      </c>
      <c r="K389" t="n">
        <v>0</v>
      </c>
      <c r="L389" t="n">
        <v>0</v>
      </c>
      <c r="M389" t="n">
        <v>0</v>
      </c>
      <c r="N389" t="n">
        <v>0</v>
      </c>
      <c r="O389" t="n">
        <v>0</v>
      </c>
      <c r="P389" t="n">
        <v>0</v>
      </c>
      <c r="Q389" t="n">
        <v>0</v>
      </c>
      <c r="R389" s="2" t="inlineStr"/>
    </row>
    <row r="390" ht="15" customHeight="1">
      <c r="A390" t="inlineStr">
        <is>
          <t>A 46836-2025</t>
        </is>
      </c>
      <c r="B390" s="1" t="n">
        <v>45928.31511574074</v>
      </c>
      <c r="C390" s="1" t="n">
        <v>46029</v>
      </c>
      <c r="D390" t="inlineStr">
        <is>
          <t>GOTLANDS LÄN</t>
        </is>
      </c>
      <c r="E390" t="inlineStr">
        <is>
          <t>GOTLAND</t>
        </is>
      </c>
      <c r="G390" t="n">
        <v>2.8</v>
      </c>
      <c r="H390" t="n">
        <v>0</v>
      </c>
      <c r="I390" t="n">
        <v>0</v>
      </c>
      <c r="J390" t="n">
        <v>0</v>
      </c>
      <c r="K390" t="n">
        <v>0</v>
      </c>
      <c r="L390" t="n">
        <v>0</v>
      </c>
      <c r="M390" t="n">
        <v>0</v>
      </c>
      <c r="N390" t="n">
        <v>0</v>
      </c>
      <c r="O390" t="n">
        <v>0</v>
      </c>
      <c r="P390" t="n">
        <v>0</v>
      </c>
      <c r="Q390" t="n">
        <v>0</v>
      </c>
      <c r="R390" s="2" t="inlineStr"/>
    </row>
    <row r="391" ht="15" customHeight="1">
      <c r="A391" t="inlineStr">
        <is>
          <t>A 43081-2022</t>
        </is>
      </c>
      <c r="B391" s="1" t="n">
        <v>44833</v>
      </c>
      <c r="C391" s="1" t="n">
        <v>46029</v>
      </c>
      <c r="D391" t="inlineStr">
        <is>
          <t>GOTLANDS LÄN</t>
        </is>
      </c>
      <c r="E391" t="inlineStr">
        <is>
          <t>GOTLAND</t>
        </is>
      </c>
      <c r="G391" t="n">
        <v>6.8</v>
      </c>
      <c r="H391" t="n">
        <v>0</v>
      </c>
      <c r="I391" t="n">
        <v>0</v>
      </c>
      <c r="J391" t="n">
        <v>0</v>
      </c>
      <c r="K391" t="n">
        <v>0</v>
      </c>
      <c r="L391" t="n">
        <v>0</v>
      </c>
      <c r="M391" t="n">
        <v>0</v>
      </c>
      <c r="N391" t="n">
        <v>0</v>
      </c>
      <c r="O391" t="n">
        <v>0</v>
      </c>
      <c r="P391" t="n">
        <v>0</v>
      </c>
      <c r="Q391" t="n">
        <v>0</v>
      </c>
      <c r="R391" s="2" t="inlineStr"/>
    </row>
    <row r="392" ht="15" customHeight="1">
      <c r="A392" t="inlineStr">
        <is>
          <t>A 32958-2021</t>
        </is>
      </c>
      <c r="B392" s="1" t="n">
        <v>44376</v>
      </c>
      <c r="C392" s="1" t="n">
        <v>46029</v>
      </c>
      <c r="D392" t="inlineStr">
        <is>
          <t>GOTLANDS LÄN</t>
        </is>
      </c>
      <c r="E392" t="inlineStr">
        <is>
          <t>GOTLAND</t>
        </is>
      </c>
      <c r="G392" t="n">
        <v>2.2</v>
      </c>
      <c r="H392" t="n">
        <v>0</v>
      </c>
      <c r="I392" t="n">
        <v>0</v>
      </c>
      <c r="J392" t="n">
        <v>0</v>
      </c>
      <c r="K392" t="n">
        <v>0</v>
      </c>
      <c r="L392" t="n">
        <v>0</v>
      </c>
      <c r="M392" t="n">
        <v>0</v>
      </c>
      <c r="N392" t="n">
        <v>0</v>
      </c>
      <c r="O392" t="n">
        <v>0</v>
      </c>
      <c r="P392" t="n">
        <v>0</v>
      </c>
      <c r="Q392" t="n">
        <v>0</v>
      </c>
      <c r="R392" s="2" t="inlineStr"/>
    </row>
    <row r="393" ht="15" customHeight="1">
      <c r="A393" t="inlineStr">
        <is>
          <t>A 5884-2025</t>
        </is>
      </c>
      <c r="B393" s="1" t="n">
        <v>45695.37482638889</v>
      </c>
      <c r="C393" s="1" t="n">
        <v>46029</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5897-2025</t>
        </is>
      </c>
      <c r="B394" s="1" t="n">
        <v>45695.39273148148</v>
      </c>
      <c r="C394" s="1" t="n">
        <v>46029</v>
      </c>
      <c r="D394" t="inlineStr">
        <is>
          <t>GOTLANDS LÄN</t>
        </is>
      </c>
      <c r="E394" t="inlineStr">
        <is>
          <t>GOTLAND</t>
        </is>
      </c>
      <c r="G394" t="n">
        <v>3.7</v>
      </c>
      <c r="H394" t="n">
        <v>0</v>
      </c>
      <c r="I394" t="n">
        <v>0</v>
      </c>
      <c r="J394" t="n">
        <v>0</v>
      </c>
      <c r="K394" t="n">
        <v>0</v>
      </c>
      <c r="L394" t="n">
        <v>0</v>
      </c>
      <c r="M394" t="n">
        <v>0</v>
      </c>
      <c r="N394" t="n">
        <v>0</v>
      </c>
      <c r="O394" t="n">
        <v>0</v>
      </c>
      <c r="P394" t="n">
        <v>0</v>
      </c>
      <c r="Q394" t="n">
        <v>0</v>
      </c>
      <c r="R394" s="2" t="inlineStr"/>
    </row>
    <row r="395" ht="15" customHeight="1">
      <c r="A395" t="inlineStr">
        <is>
          <t>A 49693-2023</t>
        </is>
      </c>
      <c r="B395" s="1" t="n">
        <v>45212.38138888889</v>
      </c>
      <c r="C395" s="1" t="n">
        <v>46029</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49697-2023</t>
        </is>
      </c>
      <c r="B396" s="1" t="n">
        <v>45212.38909722222</v>
      </c>
      <c r="C396" s="1" t="n">
        <v>46029</v>
      </c>
      <c r="D396" t="inlineStr">
        <is>
          <t>GOTLANDS LÄN</t>
        </is>
      </c>
      <c r="E396" t="inlineStr">
        <is>
          <t>GOTLAND</t>
        </is>
      </c>
      <c r="G396" t="n">
        <v>4.4</v>
      </c>
      <c r="H396" t="n">
        <v>0</v>
      </c>
      <c r="I396" t="n">
        <v>0</v>
      </c>
      <c r="J396" t="n">
        <v>0</v>
      </c>
      <c r="K396" t="n">
        <v>0</v>
      </c>
      <c r="L396" t="n">
        <v>0</v>
      </c>
      <c r="M396" t="n">
        <v>0</v>
      </c>
      <c r="N396" t="n">
        <v>0</v>
      </c>
      <c r="O396" t="n">
        <v>0</v>
      </c>
      <c r="P396" t="n">
        <v>0</v>
      </c>
      <c r="Q396" t="n">
        <v>0</v>
      </c>
      <c r="R396" s="2" t="inlineStr"/>
    </row>
    <row r="397" ht="15" customHeight="1">
      <c r="A397" t="inlineStr">
        <is>
          <t>A 47637-2025</t>
        </is>
      </c>
      <c r="B397" s="1" t="n">
        <v>45931.49753472222</v>
      </c>
      <c r="C397" s="1" t="n">
        <v>46029</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17901-2023</t>
        </is>
      </c>
      <c r="B398" s="1" t="n">
        <v>45039</v>
      </c>
      <c r="C398" s="1" t="n">
        <v>46029</v>
      </c>
      <c r="D398" t="inlineStr">
        <is>
          <t>GOTLANDS LÄN</t>
        </is>
      </c>
      <c r="E398" t="inlineStr">
        <is>
          <t>GOTLAND</t>
        </is>
      </c>
      <c r="F398" t="inlineStr">
        <is>
          <t>Kyrkan</t>
        </is>
      </c>
      <c r="G398" t="n">
        <v>0.6</v>
      </c>
      <c r="H398" t="n">
        <v>0</v>
      </c>
      <c r="I398" t="n">
        <v>0</v>
      </c>
      <c r="J398" t="n">
        <v>0</v>
      </c>
      <c r="K398" t="n">
        <v>0</v>
      </c>
      <c r="L398" t="n">
        <v>0</v>
      </c>
      <c r="M398" t="n">
        <v>0</v>
      </c>
      <c r="N398" t="n">
        <v>0</v>
      </c>
      <c r="O398" t="n">
        <v>0</v>
      </c>
      <c r="P398" t="n">
        <v>0</v>
      </c>
      <c r="Q398" t="n">
        <v>0</v>
      </c>
      <c r="R398" s="2" t="inlineStr"/>
    </row>
    <row r="399" ht="15" customHeight="1">
      <c r="A399" t="inlineStr">
        <is>
          <t>A 52892-2021</t>
        </is>
      </c>
      <c r="B399" s="1" t="n">
        <v>44467.49048611111</v>
      </c>
      <c r="C399" s="1" t="n">
        <v>46029</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32378-2025</t>
        </is>
      </c>
      <c r="B400" s="1" t="n">
        <v>45837</v>
      </c>
      <c r="C400" s="1" t="n">
        <v>46029</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46396-2023</t>
        </is>
      </c>
      <c r="B401" s="1" t="n">
        <v>45197</v>
      </c>
      <c r="C401" s="1" t="n">
        <v>46029</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35550-2025</t>
        </is>
      </c>
      <c r="B402" s="1" t="n">
        <v>45856.49324074074</v>
      </c>
      <c r="C402" s="1" t="n">
        <v>46029</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17724-2024</t>
        </is>
      </c>
      <c r="B403" s="1" t="n">
        <v>45418.55096064815</v>
      </c>
      <c r="C403" s="1" t="n">
        <v>46029</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34312-2024</t>
        </is>
      </c>
      <c r="B404" s="1" t="n">
        <v>45524.69703703704</v>
      </c>
      <c r="C404" s="1" t="n">
        <v>46029</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47578-2025</t>
        </is>
      </c>
      <c r="B405" s="1" t="n">
        <v>45931</v>
      </c>
      <c r="C405" s="1" t="n">
        <v>46029</v>
      </c>
      <c r="D405" t="inlineStr">
        <is>
          <t>GOTLANDS LÄN</t>
        </is>
      </c>
      <c r="E405" t="inlineStr">
        <is>
          <t>GOTLAND</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49724-2025</t>
        </is>
      </c>
      <c r="B406" s="1" t="n">
        <v>45939.83730324074</v>
      </c>
      <c r="C406" s="1" t="n">
        <v>46029</v>
      </c>
      <c r="D406" t="inlineStr">
        <is>
          <t>GOTLANDS LÄN</t>
        </is>
      </c>
      <c r="E406" t="inlineStr">
        <is>
          <t>GOTLAND</t>
        </is>
      </c>
      <c r="F406" t="inlineStr">
        <is>
          <t>Kyrkan</t>
        </is>
      </c>
      <c r="G406" t="n">
        <v>3.1</v>
      </c>
      <c r="H406" t="n">
        <v>0</v>
      </c>
      <c r="I406" t="n">
        <v>0</v>
      </c>
      <c r="J406" t="n">
        <v>0</v>
      </c>
      <c r="K406" t="n">
        <v>0</v>
      </c>
      <c r="L406" t="n">
        <v>0</v>
      </c>
      <c r="M406" t="n">
        <v>0</v>
      </c>
      <c r="N406" t="n">
        <v>0</v>
      </c>
      <c r="O406" t="n">
        <v>0</v>
      </c>
      <c r="P406" t="n">
        <v>0</v>
      </c>
      <c r="Q406" t="n">
        <v>0</v>
      </c>
      <c r="R406" s="2" t="inlineStr"/>
    </row>
    <row r="407" ht="15" customHeight="1">
      <c r="A407" t="inlineStr">
        <is>
          <t>A 49730-2025</t>
        </is>
      </c>
      <c r="B407" s="1" t="n">
        <v>45939.87613425926</v>
      </c>
      <c r="C407" s="1" t="n">
        <v>46029</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69112-2021</t>
        </is>
      </c>
      <c r="B408" s="1" t="n">
        <v>44530</v>
      </c>
      <c r="C408" s="1" t="n">
        <v>46029</v>
      </c>
      <c r="D408" t="inlineStr">
        <is>
          <t>GOTLANDS LÄN</t>
        </is>
      </c>
      <c r="E408" t="inlineStr">
        <is>
          <t>GOTLAND</t>
        </is>
      </c>
      <c r="G408" t="n">
        <v>4.2</v>
      </c>
      <c r="H408" t="n">
        <v>0</v>
      </c>
      <c r="I408" t="n">
        <v>0</v>
      </c>
      <c r="J408" t="n">
        <v>0</v>
      </c>
      <c r="K408" t="n">
        <v>0</v>
      </c>
      <c r="L408" t="n">
        <v>0</v>
      </c>
      <c r="M408" t="n">
        <v>0</v>
      </c>
      <c r="N408" t="n">
        <v>0</v>
      </c>
      <c r="O408" t="n">
        <v>0</v>
      </c>
      <c r="P408" t="n">
        <v>0</v>
      </c>
      <c r="Q408" t="n">
        <v>0</v>
      </c>
      <c r="R408" s="2" t="inlineStr"/>
    </row>
    <row r="409" ht="15" customHeight="1">
      <c r="A409" t="inlineStr">
        <is>
          <t>A 49690-2025</t>
        </is>
      </c>
      <c r="B409" s="1" t="n">
        <v>45939.66730324074</v>
      </c>
      <c r="C409" s="1" t="n">
        <v>46029</v>
      </c>
      <c r="D409" t="inlineStr">
        <is>
          <t>GOTLANDS LÄN</t>
        </is>
      </c>
      <c r="E409" t="inlineStr">
        <is>
          <t>GOTLAND</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33011-2025</t>
        </is>
      </c>
      <c r="B410" s="1" t="n">
        <v>45840</v>
      </c>
      <c r="C410" s="1" t="n">
        <v>46029</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7638-2025</t>
        </is>
      </c>
      <c r="B411" s="1" t="n">
        <v>45705.77306712963</v>
      </c>
      <c r="C411" s="1" t="n">
        <v>46029</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50482-2024</t>
        </is>
      </c>
      <c r="B412" s="1" t="n">
        <v>45601.48114583334</v>
      </c>
      <c r="C412" s="1" t="n">
        <v>46029</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1394-2023</t>
        </is>
      </c>
      <c r="B413" s="1" t="n">
        <v>44936.72997685185</v>
      </c>
      <c r="C413" s="1" t="n">
        <v>46029</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50421-2025</t>
        </is>
      </c>
      <c r="B414" s="1" t="n">
        <v>45944.66049768519</v>
      </c>
      <c r="C414" s="1" t="n">
        <v>46029</v>
      </c>
      <c r="D414" t="inlineStr">
        <is>
          <t>GOTLANDS LÄN</t>
        </is>
      </c>
      <c r="E414" t="inlineStr">
        <is>
          <t>GOTLAND</t>
        </is>
      </c>
      <c r="G414" t="n">
        <v>3.9</v>
      </c>
      <c r="H414" t="n">
        <v>0</v>
      </c>
      <c r="I414" t="n">
        <v>0</v>
      </c>
      <c r="J414" t="n">
        <v>0</v>
      </c>
      <c r="K414" t="n">
        <v>0</v>
      </c>
      <c r="L414" t="n">
        <v>0</v>
      </c>
      <c r="M414" t="n">
        <v>0</v>
      </c>
      <c r="N414" t="n">
        <v>0</v>
      </c>
      <c r="O414" t="n">
        <v>0</v>
      </c>
      <c r="P414" t="n">
        <v>0</v>
      </c>
      <c r="Q414" t="n">
        <v>0</v>
      </c>
      <c r="R414" s="2" t="inlineStr"/>
    </row>
    <row r="415" ht="15" customHeight="1">
      <c r="A415" t="inlineStr">
        <is>
          <t>A 58230-2024</t>
        </is>
      </c>
      <c r="B415" s="1" t="n">
        <v>45632.51625</v>
      </c>
      <c r="C415" s="1" t="n">
        <v>46029</v>
      </c>
      <c r="D415" t="inlineStr">
        <is>
          <t>GOTLANDS LÄN</t>
        </is>
      </c>
      <c r="E415" t="inlineStr">
        <is>
          <t>GOTLAND</t>
        </is>
      </c>
      <c r="G415" t="n">
        <v>7.3</v>
      </c>
      <c r="H415" t="n">
        <v>0</v>
      </c>
      <c r="I415" t="n">
        <v>0</v>
      </c>
      <c r="J415" t="n">
        <v>0</v>
      </c>
      <c r="K415" t="n">
        <v>0</v>
      </c>
      <c r="L415" t="n">
        <v>0</v>
      </c>
      <c r="M415" t="n">
        <v>0</v>
      </c>
      <c r="N415" t="n">
        <v>0</v>
      </c>
      <c r="O415" t="n">
        <v>0</v>
      </c>
      <c r="P415" t="n">
        <v>0</v>
      </c>
      <c r="Q415" t="n">
        <v>0</v>
      </c>
      <c r="R415" s="2" t="inlineStr"/>
    </row>
    <row r="416" ht="15" customHeight="1">
      <c r="A416" t="inlineStr">
        <is>
          <t>A 1462-2025</t>
        </is>
      </c>
      <c r="B416" s="1" t="n">
        <v>45670.36319444444</v>
      </c>
      <c r="C416" s="1" t="n">
        <v>46029</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50431-2025</t>
        </is>
      </c>
      <c r="B417" s="1" t="n">
        <v>45944.68453703704</v>
      </c>
      <c r="C417" s="1" t="n">
        <v>46029</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50928-2025</t>
        </is>
      </c>
      <c r="B418" s="1" t="n">
        <v>45946.67896990741</v>
      </c>
      <c r="C418" s="1" t="n">
        <v>46029</v>
      </c>
      <c r="D418" t="inlineStr">
        <is>
          <t>GOTLANDS LÄN</t>
        </is>
      </c>
      <c r="E418" t="inlineStr">
        <is>
          <t>GOTLAND</t>
        </is>
      </c>
      <c r="G418" t="n">
        <v>1.3</v>
      </c>
      <c r="H418" t="n">
        <v>0</v>
      </c>
      <c r="I418" t="n">
        <v>0</v>
      </c>
      <c r="J418" t="n">
        <v>0</v>
      </c>
      <c r="K418" t="n">
        <v>0</v>
      </c>
      <c r="L418" t="n">
        <v>0</v>
      </c>
      <c r="M418" t="n">
        <v>0</v>
      </c>
      <c r="N418" t="n">
        <v>0</v>
      </c>
      <c r="O418" t="n">
        <v>0</v>
      </c>
      <c r="P418" t="n">
        <v>0</v>
      </c>
      <c r="Q418" t="n">
        <v>0</v>
      </c>
      <c r="R418" s="2" t="inlineStr"/>
    </row>
    <row r="419" ht="15" customHeight="1">
      <c r="A419" t="inlineStr">
        <is>
          <t>A 25129-2023</t>
        </is>
      </c>
      <c r="B419" s="1" t="n">
        <v>45086.44261574074</v>
      </c>
      <c r="C419" s="1" t="n">
        <v>46029</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24192-2023</t>
        </is>
      </c>
      <c r="B420" s="1" t="n">
        <v>45079</v>
      </c>
      <c r="C420" s="1" t="n">
        <v>46029</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5386-2023</t>
        </is>
      </c>
      <c r="B421" s="1" t="n">
        <v>44959</v>
      </c>
      <c r="C421" s="1" t="n">
        <v>46029</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59197-2025</t>
        </is>
      </c>
      <c r="B422" s="1" t="n">
        <v>45988.59846064815</v>
      </c>
      <c r="C422" s="1" t="n">
        <v>46029</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7026-2023</t>
        </is>
      </c>
      <c r="B423" s="1" t="n">
        <v>44968.30340277778</v>
      </c>
      <c r="C423" s="1" t="n">
        <v>46029</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20855-2023</t>
        </is>
      </c>
      <c r="B424" s="1" t="n">
        <v>45058.82172453704</v>
      </c>
      <c r="C424" s="1" t="n">
        <v>46029</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1000-2024</t>
        </is>
      </c>
      <c r="B425" s="1" t="n">
        <v>45301.63371527778</v>
      </c>
      <c r="C425" s="1" t="n">
        <v>46029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1010-2024</t>
        </is>
      </c>
      <c r="B426" s="1" t="n">
        <v>45301</v>
      </c>
      <c r="C426" s="1" t="n">
        <v>46029</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47762-2023</t>
        </is>
      </c>
      <c r="B427" s="1" t="n">
        <v>45203.86256944444</v>
      </c>
      <c r="C427" s="1" t="n">
        <v>46029</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46545-2024</t>
        </is>
      </c>
      <c r="B428" s="1" t="n">
        <v>45582.65831018519</v>
      </c>
      <c r="C428" s="1" t="n">
        <v>46029</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51262-2025</t>
        </is>
      </c>
      <c r="B429" s="1" t="n">
        <v>45949.49872685185</v>
      </c>
      <c r="C429" s="1" t="n">
        <v>46029</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60086-2022</t>
        </is>
      </c>
      <c r="B430" s="1" t="n">
        <v>44909</v>
      </c>
      <c r="C430" s="1" t="n">
        <v>46029</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28480-2023</t>
        </is>
      </c>
      <c r="B431" s="1" t="n">
        <v>45103</v>
      </c>
      <c r="C431" s="1" t="n">
        <v>46029</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28485-2023</t>
        </is>
      </c>
      <c r="B432" s="1" t="n">
        <v>45103.43731481482</v>
      </c>
      <c r="C432" s="1" t="n">
        <v>46029</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62915-2021</t>
        </is>
      </c>
      <c r="B433" s="1" t="n">
        <v>44504</v>
      </c>
      <c r="C433" s="1" t="n">
        <v>46029</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44949-2023</t>
        </is>
      </c>
      <c r="B434" s="1" t="n">
        <v>45190.69520833333</v>
      </c>
      <c r="C434" s="1" t="n">
        <v>46029</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37222-2021</t>
        </is>
      </c>
      <c r="B435" s="1" t="n">
        <v>44396</v>
      </c>
      <c r="C435" s="1" t="n">
        <v>46029</v>
      </c>
      <c r="D435" t="inlineStr">
        <is>
          <t>GOTLANDS LÄN</t>
        </is>
      </c>
      <c r="E435" t="inlineStr">
        <is>
          <t>GOTLAND</t>
        </is>
      </c>
      <c r="G435" t="n">
        <v>3</v>
      </c>
      <c r="H435" t="n">
        <v>0</v>
      </c>
      <c r="I435" t="n">
        <v>0</v>
      </c>
      <c r="J435" t="n">
        <v>0</v>
      </c>
      <c r="K435" t="n">
        <v>0</v>
      </c>
      <c r="L435" t="n">
        <v>0</v>
      </c>
      <c r="M435" t="n">
        <v>0</v>
      </c>
      <c r="N435" t="n">
        <v>0</v>
      </c>
      <c r="O435" t="n">
        <v>0</v>
      </c>
      <c r="P435" t="n">
        <v>0</v>
      </c>
      <c r="Q435" t="n">
        <v>0</v>
      </c>
      <c r="R435" s="2" t="inlineStr"/>
    </row>
    <row r="436" ht="15" customHeight="1">
      <c r="A436" t="inlineStr">
        <is>
          <t>A 3964-2024</t>
        </is>
      </c>
      <c r="B436" s="1" t="n">
        <v>45322</v>
      </c>
      <c r="C436" s="1" t="n">
        <v>46029</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45084-2024</t>
        </is>
      </c>
      <c r="B437" s="1" t="n">
        <v>45575</v>
      </c>
      <c r="C437" s="1" t="n">
        <v>46029</v>
      </c>
      <c r="D437" t="inlineStr">
        <is>
          <t>GOTLANDS LÄN</t>
        </is>
      </c>
      <c r="E437" t="inlineStr">
        <is>
          <t>GOTLAND</t>
        </is>
      </c>
      <c r="G437" t="n">
        <v>6.8</v>
      </c>
      <c r="H437" t="n">
        <v>0</v>
      </c>
      <c r="I437" t="n">
        <v>0</v>
      </c>
      <c r="J437" t="n">
        <v>0</v>
      </c>
      <c r="K437" t="n">
        <v>0</v>
      </c>
      <c r="L437" t="n">
        <v>0</v>
      </c>
      <c r="M437" t="n">
        <v>0</v>
      </c>
      <c r="N437" t="n">
        <v>0</v>
      </c>
      <c r="O437" t="n">
        <v>0</v>
      </c>
      <c r="P437" t="n">
        <v>0</v>
      </c>
      <c r="Q437" t="n">
        <v>0</v>
      </c>
      <c r="R437" s="2" t="inlineStr"/>
    </row>
    <row r="438" ht="15" customHeight="1">
      <c r="A438" t="inlineStr">
        <is>
          <t>A 52249-2025</t>
        </is>
      </c>
      <c r="B438" s="1" t="n">
        <v>45953.48637731482</v>
      </c>
      <c r="C438" s="1" t="n">
        <v>46029</v>
      </c>
      <c r="D438" t="inlineStr">
        <is>
          <t>GOTLANDS LÄN</t>
        </is>
      </c>
      <c r="E438" t="inlineStr">
        <is>
          <t>GOTLAND</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5217-2023</t>
        </is>
      </c>
      <c r="B439" s="1" t="n">
        <v>44959.39582175926</v>
      </c>
      <c r="C439" s="1" t="n">
        <v>46029</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1677-2023</t>
        </is>
      </c>
      <c r="B440" s="1" t="n">
        <v>44938</v>
      </c>
      <c r="C440" s="1" t="n">
        <v>46029</v>
      </c>
      <c r="D440" t="inlineStr">
        <is>
          <t>GOTLANDS LÄN</t>
        </is>
      </c>
      <c r="E440" t="inlineStr">
        <is>
          <t>GOTLAND</t>
        </is>
      </c>
      <c r="G440" t="n">
        <v>1.6</v>
      </c>
      <c r="H440" t="n">
        <v>0</v>
      </c>
      <c r="I440" t="n">
        <v>0</v>
      </c>
      <c r="J440" t="n">
        <v>0</v>
      </c>
      <c r="K440" t="n">
        <v>0</v>
      </c>
      <c r="L440" t="n">
        <v>0</v>
      </c>
      <c r="M440" t="n">
        <v>0</v>
      </c>
      <c r="N440" t="n">
        <v>0</v>
      </c>
      <c r="O440" t="n">
        <v>0</v>
      </c>
      <c r="P440" t="n">
        <v>0</v>
      </c>
      <c r="Q440" t="n">
        <v>0</v>
      </c>
      <c r="R440" s="2" t="inlineStr"/>
    </row>
    <row r="441" ht="15" customHeight="1">
      <c r="A441" t="inlineStr">
        <is>
          <t>A 52637-2025</t>
        </is>
      </c>
      <c r="B441" s="1" t="n">
        <v>45954.75099537037</v>
      </c>
      <c r="C441" s="1" t="n">
        <v>46029</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45244-2024</t>
        </is>
      </c>
      <c r="B442" s="1" t="n">
        <v>45576</v>
      </c>
      <c r="C442" s="1" t="n">
        <v>46029</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8260-2023</t>
        </is>
      </c>
      <c r="B443" s="1" t="n">
        <v>44974.61608796296</v>
      </c>
      <c r="C443" s="1" t="n">
        <v>46029</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64969-2023</t>
        </is>
      </c>
      <c r="B444" s="1" t="n">
        <v>45284.54009259259</v>
      </c>
      <c r="C444" s="1" t="n">
        <v>46029</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48843-2024</t>
        </is>
      </c>
      <c r="B445" s="1" t="n">
        <v>45593</v>
      </c>
      <c r="C445" s="1" t="n">
        <v>46029</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17541-2024</t>
        </is>
      </c>
      <c r="B446" s="1" t="n">
        <v>45415</v>
      </c>
      <c r="C446" s="1" t="n">
        <v>46029</v>
      </c>
      <c r="D446" t="inlineStr">
        <is>
          <t>GOTLANDS LÄN</t>
        </is>
      </c>
      <c r="E446" t="inlineStr">
        <is>
          <t>GOTLAND</t>
        </is>
      </c>
      <c r="G446" t="n">
        <v>2.6</v>
      </c>
      <c r="H446" t="n">
        <v>0</v>
      </c>
      <c r="I446" t="n">
        <v>0</v>
      </c>
      <c r="J446" t="n">
        <v>0</v>
      </c>
      <c r="K446" t="n">
        <v>0</v>
      </c>
      <c r="L446" t="n">
        <v>0</v>
      </c>
      <c r="M446" t="n">
        <v>0</v>
      </c>
      <c r="N446" t="n">
        <v>0</v>
      </c>
      <c r="O446" t="n">
        <v>0</v>
      </c>
      <c r="P446" t="n">
        <v>0</v>
      </c>
      <c r="Q446" t="n">
        <v>0</v>
      </c>
      <c r="R446" s="2" t="inlineStr"/>
    </row>
    <row r="447" ht="15" customHeight="1">
      <c r="A447" t="inlineStr">
        <is>
          <t>A 2241-2025</t>
        </is>
      </c>
      <c r="B447" s="1" t="n">
        <v>45673.48710648148</v>
      </c>
      <c r="C447" s="1" t="n">
        <v>46029</v>
      </c>
      <c r="D447" t="inlineStr">
        <is>
          <t>GOTLANDS LÄN</t>
        </is>
      </c>
      <c r="E447" t="inlineStr">
        <is>
          <t>GOTLAND</t>
        </is>
      </c>
      <c r="G447" t="n">
        <v>1</v>
      </c>
      <c r="H447" t="n">
        <v>0</v>
      </c>
      <c r="I447" t="n">
        <v>0</v>
      </c>
      <c r="J447" t="n">
        <v>0</v>
      </c>
      <c r="K447" t="n">
        <v>0</v>
      </c>
      <c r="L447" t="n">
        <v>0</v>
      </c>
      <c r="M447" t="n">
        <v>0</v>
      </c>
      <c r="N447" t="n">
        <v>0</v>
      </c>
      <c r="O447" t="n">
        <v>0</v>
      </c>
      <c r="P447" t="n">
        <v>0</v>
      </c>
      <c r="Q447" t="n">
        <v>0</v>
      </c>
      <c r="R447" s="2" t="inlineStr"/>
    </row>
    <row r="448" ht="15" customHeight="1">
      <c r="A448" t="inlineStr">
        <is>
          <t>A 53569-2025</t>
        </is>
      </c>
      <c r="B448" s="1" t="n">
        <v>45960.41155092593</v>
      </c>
      <c r="C448" s="1" t="n">
        <v>46029</v>
      </c>
      <c r="D448" t="inlineStr">
        <is>
          <t>GOTLANDS LÄN</t>
        </is>
      </c>
      <c r="E448" t="inlineStr">
        <is>
          <t>GOTLAND</t>
        </is>
      </c>
      <c r="F448" t="inlineStr">
        <is>
          <t>Övriga Aktiebolag</t>
        </is>
      </c>
      <c r="G448" t="n">
        <v>11.3</v>
      </c>
      <c r="H448" t="n">
        <v>0</v>
      </c>
      <c r="I448" t="n">
        <v>0</v>
      </c>
      <c r="J448" t="n">
        <v>0</v>
      </c>
      <c r="K448" t="n">
        <v>0</v>
      </c>
      <c r="L448" t="n">
        <v>0</v>
      </c>
      <c r="M448" t="n">
        <v>0</v>
      </c>
      <c r="N448" t="n">
        <v>0</v>
      </c>
      <c r="O448" t="n">
        <v>0</v>
      </c>
      <c r="P448" t="n">
        <v>0</v>
      </c>
      <c r="Q448" t="n">
        <v>0</v>
      </c>
      <c r="R448" s="2" t="inlineStr"/>
    </row>
    <row r="449" ht="15" customHeight="1">
      <c r="A449" t="inlineStr">
        <is>
          <t>A 53577-2025</t>
        </is>
      </c>
      <c r="B449" s="1" t="n">
        <v>45960.42224537037</v>
      </c>
      <c r="C449" s="1" t="n">
        <v>46029</v>
      </c>
      <c r="D449" t="inlineStr">
        <is>
          <t>GOTLANDS LÄN</t>
        </is>
      </c>
      <c r="E449" t="inlineStr">
        <is>
          <t>GOTLAND</t>
        </is>
      </c>
      <c r="F449" t="inlineStr">
        <is>
          <t>Övriga Aktiebolag</t>
        </is>
      </c>
      <c r="G449" t="n">
        <v>3.3</v>
      </c>
      <c r="H449" t="n">
        <v>0</v>
      </c>
      <c r="I449" t="n">
        <v>0</v>
      </c>
      <c r="J449" t="n">
        <v>0</v>
      </c>
      <c r="K449" t="n">
        <v>0</v>
      </c>
      <c r="L449" t="n">
        <v>0</v>
      </c>
      <c r="M449" t="n">
        <v>0</v>
      </c>
      <c r="N449" t="n">
        <v>0</v>
      </c>
      <c r="O449" t="n">
        <v>0</v>
      </c>
      <c r="P449" t="n">
        <v>0</v>
      </c>
      <c r="Q449" t="n">
        <v>0</v>
      </c>
      <c r="R449" s="2" t="inlineStr"/>
    </row>
    <row r="450" ht="15" customHeight="1">
      <c r="A450" t="inlineStr">
        <is>
          <t>A 53587-2025</t>
        </is>
      </c>
      <c r="B450" s="1" t="n">
        <v>45960.43681712963</v>
      </c>
      <c r="C450" s="1" t="n">
        <v>46029</v>
      </c>
      <c r="D450" t="inlineStr">
        <is>
          <t>GOTLANDS LÄN</t>
        </is>
      </c>
      <c r="E450" t="inlineStr">
        <is>
          <t>GOTLAND</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15434-2024</t>
        </is>
      </c>
      <c r="B451" s="1" t="n">
        <v>45401.38836805556</v>
      </c>
      <c r="C451" s="1" t="n">
        <v>46029</v>
      </c>
      <c r="D451" t="inlineStr">
        <is>
          <t>GOTLANDS LÄN</t>
        </is>
      </c>
      <c r="E451" t="inlineStr">
        <is>
          <t>GOTLAND</t>
        </is>
      </c>
      <c r="G451" t="n">
        <v>2.5</v>
      </c>
      <c r="H451" t="n">
        <v>0</v>
      </c>
      <c r="I451" t="n">
        <v>0</v>
      </c>
      <c r="J451" t="n">
        <v>0</v>
      </c>
      <c r="K451" t="n">
        <v>0</v>
      </c>
      <c r="L451" t="n">
        <v>0</v>
      </c>
      <c r="M451" t="n">
        <v>0</v>
      </c>
      <c r="N451" t="n">
        <v>0</v>
      </c>
      <c r="O451" t="n">
        <v>0</v>
      </c>
      <c r="P451" t="n">
        <v>0</v>
      </c>
      <c r="Q451" t="n">
        <v>0</v>
      </c>
      <c r="R451" s="2" t="inlineStr"/>
    </row>
    <row r="452" ht="15" customHeight="1">
      <c r="A452" t="inlineStr">
        <is>
          <t>A 5943-2024</t>
        </is>
      </c>
      <c r="B452" s="1" t="n">
        <v>45336</v>
      </c>
      <c r="C452" s="1" t="n">
        <v>46029</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54073-2022</t>
        </is>
      </c>
      <c r="B453" s="1" t="n">
        <v>44881.50380787037</v>
      </c>
      <c r="C453" s="1" t="n">
        <v>46029</v>
      </c>
      <c r="D453" t="inlineStr">
        <is>
          <t>GOTLANDS LÄN</t>
        </is>
      </c>
      <c r="E453" t="inlineStr">
        <is>
          <t>GOTLAND</t>
        </is>
      </c>
      <c r="G453" t="n">
        <v>3.8</v>
      </c>
      <c r="H453" t="n">
        <v>0</v>
      </c>
      <c r="I453" t="n">
        <v>0</v>
      </c>
      <c r="J453" t="n">
        <v>0</v>
      </c>
      <c r="K453" t="n">
        <v>0</v>
      </c>
      <c r="L453" t="n">
        <v>0</v>
      </c>
      <c r="M453" t="n">
        <v>0</v>
      </c>
      <c r="N453" t="n">
        <v>0</v>
      </c>
      <c r="O453" t="n">
        <v>0</v>
      </c>
      <c r="P453" t="n">
        <v>0</v>
      </c>
      <c r="Q453" t="n">
        <v>0</v>
      </c>
      <c r="R453" s="2" t="inlineStr"/>
    </row>
    <row r="454" ht="15" customHeight="1">
      <c r="A454" t="inlineStr">
        <is>
          <t>A 62066-2025</t>
        </is>
      </c>
      <c r="B454" s="1" t="n">
        <v>46006.34738425926</v>
      </c>
      <c r="C454" s="1" t="n">
        <v>46029</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53561-2025</t>
        </is>
      </c>
      <c r="B455" s="1" t="n">
        <v>45960.4059375</v>
      </c>
      <c r="C455" s="1" t="n">
        <v>46029</v>
      </c>
      <c r="D455" t="inlineStr">
        <is>
          <t>GOTLANDS LÄN</t>
        </is>
      </c>
      <c r="E455" t="inlineStr">
        <is>
          <t>GOTLAND</t>
        </is>
      </c>
      <c r="F455" t="inlineStr">
        <is>
          <t>Övriga Aktiebolag</t>
        </is>
      </c>
      <c r="G455" t="n">
        <v>2.4</v>
      </c>
      <c r="H455" t="n">
        <v>0</v>
      </c>
      <c r="I455" t="n">
        <v>0</v>
      </c>
      <c r="J455" t="n">
        <v>0</v>
      </c>
      <c r="K455" t="n">
        <v>0</v>
      </c>
      <c r="L455" t="n">
        <v>0</v>
      </c>
      <c r="M455" t="n">
        <v>0</v>
      </c>
      <c r="N455" t="n">
        <v>0</v>
      </c>
      <c r="O455" t="n">
        <v>0</v>
      </c>
      <c r="P455" t="n">
        <v>0</v>
      </c>
      <c r="Q455" t="n">
        <v>0</v>
      </c>
      <c r="R455" s="2" t="inlineStr"/>
    </row>
    <row r="456" ht="15" customHeight="1">
      <c r="A456" t="inlineStr">
        <is>
          <t>A 60384-2025</t>
        </is>
      </c>
      <c r="B456" s="1" t="n">
        <v>45995.37947916667</v>
      </c>
      <c r="C456" s="1" t="n">
        <v>46029</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16361-2024</t>
        </is>
      </c>
      <c r="B457" s="1" t="n">
        <v>45407</v>
      </c>
      <c r="C457" s="1" t="n">
        <v>46029</v>
      </c>
      <c r="D457" t="inlineStr">
        <is>
          <t>GOTLANDS LÄN</t>
        </is>
      </c>
      <c r="E457" t="inlineStr">
        <is>
          <t>GOTLAND</t>
        </is>
      </c>
      <c r="G457" t="n">
        <v>6</v>
      </c>
      <c r="H457" t="n">
        <v>0</v>
      </c>
      <c r="I457" t="n">
        <v>0</v>
      </c>
      <c r="J457" t="n">
        <v>0</v>
      </c>
      <c r="K457" t="n">
        <v>0</v>
      </c>
      <c r="L457" t="n">
        <v>0</v>
      </c>
      <c r="M457" t="n">
        <v>0</v>
      </c>
      <c r="N457" t="n">
        <v>0</v>
      </c>
      <c r="O457" t="n">
        <v>0</v>
      </c>
      <c r="P457" t="n">
        <v>0</v>
      </c>
      <c r="Q457" t="n">
        <v>0</v>
      </c>
      <c r="R457" s="2" t="inlineStr"/>
    </row>
    <row r="458" ht="15" customHeight="1">
      <c r="A458" t="inlineStr">
        <is>
          <t>A 62103-2025</t>
        </is>
      </c>
      <c r="B458" s="1" t="n">
        <v>46006.41638888889</v>
      </c>
      <c r="C458" s="1" t="n">
        <v>46029</v>
      </c>
      <c r="D458" t="inlineStr">
        <is>
          <t>GOTLANDS LÄN</t>
        </is>
      </c>
      <c r="E458" t="inlineStr">
        <is>
          <t>GOTLAND</t>
        </is>
      </c>
      <c r="F458" t="inlineStr">
        <is>
          <t>Övriga Aktiebolag</t>
        </is>
      </c>
      <c r="G458" t="n">
        <v>1.7</v>
      </c>
      <c r="H458" t="n">
        <v>0</v>
      </c>
      <c r="I458" t="n">
        <v>0</v>
      </c>
      <c r="J458" t="n">
        <v>0</v>
      </c>
      <c r="K458" t="n">
        <v>0</v>
      </c>
      <c r="L458" t="n">
        <v>0</v>
      </c>
      <c r="M458" t="n">
        <v>0</v>
      </c>
      <c r="N458" t="n">
        <v>0</v>
      </c>
      <c r="O458" t="n">
        <v>0</v>
      </c>
      <c r="P458" t="n">
        <v>0</v>
      </c>
      <c r="Q458" t="n">
        <v>0</v>
      </c>
      <c r="R458" s="2" t="inlineStr"/>
    </row>
    <row r="459" ht="15" customHeight="1">
      <c r="A459" t="inlineStr">
        <is>
          <t>A 41038-2023</t>
        </is>
      </c>
      <c r="B459" s="1" t="n">
        <v>45173.60959490741</v>
      </c>
      <c r="C459" s="1" t="n">
        <v>46029</v>
      </c>
      <c r="D459" t="inlineStr">
        <is>
          <t>GOTLANDS LÄN</t>
        </is>
      </c>
      <c r="E459" t="inlineStr">
        <is>
          <t>GOTLAND</t>
        </is>
      </c>
      <c r="G459" t="n">
        <v>2.7</v>
      </c>
      <c r="H459" t="n">
        <v>0</v>
      </c>
      <c r="I459" t="n">
        <v>0</v>
      </c>
      <c r="J459" t="n">
        <v>0</v>
      </c>
      <c r="K459" t="n">
        <v>0</v>
      </c>
      <c r="L459" t="n">
        <v>0</v>
      </c>
      <c r="M459" t="n">
        <v>0</v>
      </c>
      <c r="N459" t="n">
        <v>0</v>
      </c>
      <c r="O459" t="n">
        <v>0</v>
      </c>
      <c r="P459" t="n">
        <v>0</v>
      </c>
      <c r="Q459" t="n">
        <v>0</v>
      </c>
      <c r="R459" s="2" t="inlineStr"/>
    </row>
    <row r="460" ht="15" customHeight="1">
      <c r="A460" t="inlineStr">
        <is>
          <t>A 14427-2024</t>
        </is>
      </c>
      <c r="B460" s="1" t="n">
        <v>45394</v>
      </c>
      <c r="C460" s="1" t="n">
        <v>46029</v>
      </c>
      <c r="D460" t="inlineStr">
        <is>
          <t>GOTLANDS LÄN</t>
        </is>
      </c>
      <c r="E460" t="inlineStr">
        <is>
          <t>GOTLAND</t>
        </is>
      </c>
      <c r="G460" t="n">
        <v>1.3</v>
      </c>
      <c r="H460" t="n">
        <v>0</v>
      </c>
      <c r="I460" t="n">
        <v>0</v>
      </c>
      <c r="J460" t="n">
        <v>0</v>
      </c>
      <c r="K460" t="n">
        <v>0</v>
      </c>
      <c r="L460" t="n">
        <v>0</v>
      </c>
      <c r="M460" t="n">
        <v>0</v>
      </c>
      <c r="N460" t="n">
        <v>0</v>
      </c>
      <c r="O460" t="n">
        <v>0</v>
      </c>
      <c r="P460" t="n">
        <v>0</v>
      </c>
      <c r="Q460" t="n">
        <v>0</v>
      </c>
      <c r="R460" s="2" t="inlineStr"/>
    </row>
    <row r="461" ht="15" customHeight="1">
      <c r="A461" t="inlineStr">
        <is>
          <t>A 31802-2024</t>
        </is>
      </c>
      <c r="B461" s="1" t="n">
        <v>45509</v>
      </c>
      <c r="C461" s="1" t="n">
        <v>46029</v>
      </c>
      <c r="D461" t="inlineStr">
        <is>
          <t>GOTLANDS LÄN</t>
        </is>
      </c>
      <c r="E461" t="inlineStr">
        <is>
          <t>GOTLAND</t>
        </is>
      </c>
      <c r="G461" t="n">
        <v>2.8</v>
      </c>
      <c r="H461" t="n">
        <v>0</v>
      </c>
      <c r="I461" t="n">
        <v>0</v>
      </c>
      <c r="J461" t="n">
        <v>0</v>
      </c>
      <c r="K461" t="n">
        <v>0</v>
      </c>
      <c r="L461" t="n">
        <v>0</v>
      </c>
      <c r="M461" t="n">
        <v>0</v>
      </c>
      <c r="N461" t="n">
        <v>0</v>
      </c>
      <c r="O461" t="n">
        <v>0</v>
      </c>
      <c r="P461" t="n">
        <v>0</v>
      </c>
      <c r="Q461" t="n">
        <v>0</v>
      </c>
      <c r="R461" s="2" t="inlineStr"/>
    </row>
    <row r="462" ht="15" customHeight="1">
      <c r="A462" t="inlineStr">
        <is>
          <t>A 54584-2025</t>
        </is>
      </c>
      <c r="B462" s="1" t="n">
        <v>45965.71788194445</v>
      </c>
      <c r="C462" s="1" t="n">
        <v>46029</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44609.44362268518</v>
      </c>
      <c r="C463" s="1" t="n">
        <v>46029</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12846-2025</t>
        </is>
      </c>
      <c r="B464" s="1" t="n">
        <v>45733.65049768519</v>
      </c>
      <c r="C464" s="1" t="n">
        <v>46029</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61078-2025</t>
        </is>
      </c>
      <c r="B465" s="1" t="n">
        <v>46000</v>
      </c>
      <c r="C465" s="1" t="n">
        <v>46029</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46949-2024</t>
        </is>
      </c>
      <c r="B466" s="1" t="n">
        <v>45585</v>
      </c>
      <c r="C466" s="1" t="n">
        <v>46029</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10650-2022</t>
        </is>
      </c>
      <c r="B467" s="1" t="n">
        <v>44624.57945601852</v>
      </c>
      <c r="C467" s="1" t="n">
        <v>46029</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63002-2025</t>
        </is>
      </c>
      <c r="B468" s="1" t="n">
        <v>46009.56564814815</v>
      </c>
      <c r="C468" s="1" t="n">
        <v>46029</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11634-2024</t>
        </is>
      </c>
      <c r="B469" s="1" t="n">
        <v>45373</v>
      </c>
      <c r="C469" s="1" t="n">
        <v>46029</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1351-2025</t>
        </is>
      </c>
      <c r="B470" s="1" t="n">
        <v>45667.62246527777</v>
      </c>
      <c r="C470" s="1" t="n">
        <v>46029</v>
      </c>
      <c r="D470" t="inlineStr">
        <is>
          <t>GOTLANDS LÄN</t>
        </is>
      </c>
      <c r="E470" t="inlineStr">
        <is>
          <t>GOTLAND</t>
        </is>
      </c>
      <c r="G470" t="n">
        <v>1.3</v>
      </c>
      <c r="H470" t="n">
        <v>0</v>
      </c>
      <c r="I470" t="n">
        <v>0</v>
      </c>
      <c r="J470" t="n">
        <v>0</v>
      </c>
      <c r="K470" t="n">
        <v>0</v>
      </c>
      <c r="L470" t="n">
        <v>0</v>
      </c>
      <c r="M470" t="n">
        <v>0</v>
      </c>
      <c r="N470" t="n">
        <v>0</v>
      </c>
      <c r="O470" t="n">
        <v>0</v>
      </c>
      <c r="P470" t="n">
        <v>0</v>
      </c>
      <c r="Q470" t="n">
        <v>0</v>
      </c>
      <c r="R470" s="2" t="inlineStr"/>
    </row>
    <row r="471" ht="15" customHeight="1">
      <c r="A471" t="inlineStr">
        <is>
          <t>A 39496-2022</t>
        </is>
      </c>
      <c r="B471" s="1" t="n">
        <v>44818</v>
      </c>
      <c r="C471" s="1" t="n">
        <v>46029</v>
      </c>
      <c r="D471" t="inlineStr">
        <is>
          <t>GOTLANDS LÄN</t>
        </is>
      </c>
      <c r="E471" t="inlineStr">
        <is>
          <t>GOTLAND</t>
        </is>
      </c>
      <c r="G471" t="n">
        <v>2.4</v>
      </c>
      <c r="H471" t="n">
        <v>0</v>
      </c>
      <c r="I471" t="n">
        <v>0</v>
      </c>
      <c r="J471" t="n">
        <v>0</v>
      </c>
      <c r="K471" t="n">
        <v>0</v>
      </c>
      <c r="L471" t="n">
        <v>0</v>
      </c>
      <c r="M471" t="n">
        <v>0</v>
      </c>
      <c r="N471" t="n">
        <v>0</v>
      </c>
      <c r="O471" t="n">
        <v>0</v>
      </c>
      <c r="P471" t="n">
        <v>0</v>
      </c>
      <c r="Q471" t="n">
        <v>0</v>
      </c>
      <c r="R471" s="2" t="inlineStr"/>
    </row>
    <row r="472" ht="15" customHeight="1">
      <c r="A472" t="inlineStr">
        <is>
          <t>A 61080-2025</t>
        </is>
      </c>
      <c r="B472" s="1" t="n">
        <v>46000</v>
      </c>
      <c r="C472" s="1" t="n">
        <v>46029</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49874-2024</t>
        </is>
      </c>
      <c r="B473" s="1" t="n">
        <v>45597.49274305555</v>
      </c>
      <c r="C473" s="1" t="n">
        <v>46029</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42201-2023</t>
        </is>
      </c>
      <c r="B474" s="1" t="n">
        <v>45179</v>
      </c>
      <c r="C474" s="1" t="n">
        <v>46029</v>
      </c>
      <c r="D474" t="inlineStr">
        <is>
          <t>GOTLANDS LÄN</t>
        </is>
      </c>
      <c r="E474" t="inlineStr">
        <is>
          <t>GOTLAND</t>
        </is>
      </c>
      <c r="G474" t="n">
        <v>11.9</v>
      </c>
      <c r="H474" t="n">
        <v>0</v>
      </c>
      <c r="I474" t="n">
        <v>0</v>
      </c>
      <c r="J474" t="n">
        <v>0</v>
      </c>
      <c r="K474" t="n">
        <v>0</v>
      </c>
      <c r="L474" t="n">
        <v>0</v>
      </c>
      <c r="M474" t="n">
        <v>0</v>
      </c>
      <c r="N474" t="n">
        <v>0</v>
      </c>
      <c r="O474" t="n">
        <v>0</v>
      </c>
      <c r="P474" t="n">
        <v>0</v>
      </c>
      <c r="Q474" t="n">
        <v>0</v>
      </c>
      <c r="R474" s="2" t="inlineStr"/>
    </row>
    <row r="475" ht="15" customHeight="1">
      <c r="A475" t="inlineStr">
        <is>
          <t>A 46400-2023</t>
        </is>
      </c>
      <c r="B475" s="1" t="n">
        <v>45197.49290509259</v>
      </c>
      <c r="C475" s="1" t="n">
        <v>46029</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9875-2025</t>
        </is>
      </c>
      <c r="B476" s="1" t="n">
        <v>45716</v>
      </c>
      <c r="C476" s="1" t="n">
        <v>46029</v>
      </c>
      <c r="D476" t="inlineStr">
        <is>
          <t>GOTLANDS LÄN</t>
        </is>
      </c>
      <c r="E476" t="inlineStr">
        <is>
          <t>GOTLAND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21164-2024</t>
        </is>
      </c>
      <c r="B477" s="1" t="n">
        <v>45440</v>
      </c>
      <c r="C477" s="1" t="n">
        <v>46029</v>
      </c>
      <c r="D477" t="inlineStr">
        <is>
          <t>GOTLANDS LÄN</t>
        </is>
      </c>
      <c r="E477" t="inlineStr">
        <is>
          <t>GOTLAND</t>
        </is>
      </c>
      <c r="G477" t="n">
        <v>6.3</v>
      </c>
      <c r="H477" t="n">
        <v>0</v>
      </c>
      <c r="I477" t="n">
        <v>0</v>
      </c>
      <c r="J477" t="n">
        <v>0</v>
      </c>
      <c r="K477" t="n">
        <v>0</v>
      </c>
      <c r="L477" t="n">
        <v>0</v>
      </c>
      <c r="M477" t="n">
        <v>0</v>
      </c>
      <c r="N477" t="n">
        <v>0</v>
      </c>
      <c r="O477" t="n">
        <v>0</v>
      </c>
      <c r="P477" t="n">
        <v>0</v>
      </c>
      <c r="Q477" t="n">
        <v>0</v>
      </c>
      <c r="R477" s="2" t="inlineStr"/>
    </row>
    <row r="478" ht="15" customHeight="1">
      <c r="A478" t="inlineStr">
        <is>
          <t>A 8045-2022</t>
        </is>
      </c>
      <c r="B478" s="1" t="n">
        <v>44609</v>
      </c>
      <c r="C478" s="1" t="n">
        <v>46029</v>
      </c>
      <c r="D478" t="inlineStr">
        <is>
          <t>GOTLANDS LÄN</t>
        </is>
      </c>
      <c r="E478" t="inlineStr">
        <is>
          <t>GOTLAND</t>
        </is>
      </c>
      <c r="G478" t="n">
        <v>7</v>
      </c>
      <c r="H478" t="n">
        <v>0</v>
      </c>
      <c r="I478" t="n">
        <v>0</v>
      </c>
      <c r="J478" t="n">
        <v>0</v>
      </c>
      <c r="K478" t="n">
        <v>0</v>
      </c>
      <c r="L478" t="n">
        <v>0</v>
      </c>
      <c r="M478" t="n">
        <v>0</v>
      </c>
      <c r="N478" t="n">
        <v>0</v>
      </c>
      <c r="O478" t="n">
        <v>0</v>
      </c>
      <c r="P478" t="n">
        <v>0</v>
      </c>
      <c r="Q478" t="n">
        <v>0</v>
      </c>
      <c r="R478" s="2" t="inlineStr"/>
    </row>
    <row r="479" ht="15" customHeight="1">
      <c r="A479" t="inlineStr">
        <is>
          <t>A 63152-2025</t>
        </is>
      </c>
      <c r="B479" s="1" t="n">
        <v>46010.35789351852</v>
      </c>
      <c r="C479" s="1" t="n">
        <v>46029</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62751-2025</t>
        </is>
      </c>
      <c r="B480" s="1" t="n">
        <v>46008.58076388889</v>
      </c>
      <c r="C480" s="1" t="n">
        <v>46029</v>
      </c>
      <c r="D480" t="inlineStr">
        <is>
          <t>GOTLANDS LÄN</t>
        </is>
      </c>
      <c r="E480" t="inlineStr">
        <is>
          <t>GOTLAND</t>
        </is>
      </c>
      <c r="F480" t="inlineStr">
        <is>
          <t>Övriga Aktiebolag</t>
        </is>
      </c>
      <c r="G480" t="n">
        <v>7.8</v>
      </c>
      <c r="H480" t="n">
        <v>0</v>
      </c>
      <c r="I480" t="n">
        <v>0</v>
      </c>
      <c r="J480" t="n">
        <v>0</v>
      </c>
      <c r="K480" t="n">
        <v>0</v>
      </c>
      <c r="L480" t="n">
        <v>0</v>
      </c>
      <c r="M480" t="n">
        <v>0</v>
      </c>
      <c r="N480" t="n">
        <v>0</v>
      </c>
      <c r="O480" t="n">
        <v>0</v>
      </c>
      <c r="P480" t="n">
        <v>0</v>
      </c>
      <c r="Q480" t="n">
        <v>0</v>
      </c>
      <c r="R480" s="2" t="inlineStr"/>
    </row>
    <row r="481" ht="15" customHeight="1">
      <c r="A481" t="inlineStr">
        <is>
          <t>A 22897-2023</t>
        </is>
      </c>
      <c r="B481" s="1" t="n">
        <v>45072.55239583334</v>
      </c>
      <c r="C481" s="1" t="n">
        <v>46029</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56799-2025</t>
        </is>
      </c>
      <c r="B482" s="1" t="n">
        <v>45978.43392361111</v>
      </c>
      <c r="C482" s="1" t="n">
        <v>46029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62674-2025</t>
        </is>
      </c>
      <c r="B483" s="1" t="n">
        <v>46008.44890046296</v>
      </c>
      <c r="C483" s="1" t="n">
        <v>46029</v>
      </c>
      <c r="D483" t="inlineStr">
        <is>
          <t>GOTLANDS LÄN</t>
        </is>
      </c>
      <c r="E483" t="inlineStr">
        <is>
          <t>GOTLAND</t>
        </is>
      </c>
      <c r="G483" t="n">
        <v>5</v>
      </c>
      <c r="H483" t="n">
        <v>0</v>
      </c>
      <c r="I483" t="n">
        <v>0</v>
      </c>
      <c r="J483" t="n">
        <v>0</v>
      </c>
      <c r="K483" t="n">
        <v>0</v>
      </c>
      <c r="L483" t="n">
        <v>0</v>
      </c>
      <c r="M483" t="n">
        <v>0</v>
      </c>
      <c r="N483" t="n">
        <v>0</v>
      </c>
      <c r="O483" t="n">
        <v>0</v>
      </c>
      <c r="P483" t="n">
        <v>0</v>
      </c>
      <c r="Q483" t="n">
        <v>0</v>
      </c>
      <c r="R483" s="2" t="inlineStr"/>
    </row>
    <row r="484" ht="15" customHeight="1">
      <c r="A484" t="inlineStr">
        <is>
          <t>A 63105-2025</t>
        </is>
      </c>
      <c r="B484" s="1" t="n">
        <v>46009.70571759259</v>
      </c>
      <c r="C484" s="1" t="n">
        <v>46029</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62754-2025</t>
        </is>
      </c>
      <c r="B485" s="1" t="n">
        <v>46008.58765046296</v>
      </c>
      <c r="C485" s="1" t="n">
        <v>46029</v>
      </c>
      <c r="D485" t="inlineStr">
        <is>
          <t>GOTLANDS LÄN</t>
        </is>
      </c>
      <c r="E485" t="inlineStr">
        <is>
          <t>GOTLAND</t>
        </is>
      </c>
      <c r="F485" t="inlineStr">
        <is>
          <t>Övriga Aktiebolag</t>
        </is>
      </c>
      <c r="G485" t="n">
        <v>2.9</v>
      </c>
      <c r="H485" t="n">
        <v>0</v>
      </c>
      <c r="I485" t="n">
        <v>0</v>
      </c>
      <c r="J485" t="n">
        <v>0</v>
      </c>
      <c r="K485" t="n">
        <v>0</v>
      </c>
      <c r="L485" t="n">
        <v>0</v>
      </c>
      <c r="M485" t="n">
        <v>0</v>
      </c>
      <c r="N485" t="n">
        <v>0</v>
      </c>
      <c r="O485" t="n">
        <v>0</v>
      </c>
      <c r="P485" t="n">
        <v>0</v>
      </c>
      <c r="Q485" t="n">
        <v>0</v>
      </c>
      <c r="R485" s="2" t="inlineStr"/>
    </row>
    <row r="486" ht="15" customHeight="1">
      <c r="A486" t="inlineStr">
        <is>
          <t>A 63000-2025</t>
        </is>
      </c>
      <c r="B486" s="1" t="n">
        <v>46009.56434027778</v>
      </c>
      <c r="C486" s="1" t="n">
        <v>46029</v>
      </c>
      <c r="D486" t="inlineStr">
        <is>
          <t>GOTLANDS LÄN</t>
        </is>
      </c>
      <c r="E486" t="inlineStr">
        <is>
          <t>GOTLAND</t>
        </is>
      </c>
      <c r="F486" t="inlineStr">
        <is>
          <t>Övriga Aktiebolag</t>
        </is>
      </c>
      <c r="G486" t="n">
        <v>1.7</v>
      </c>
      <c r="H486" t="n">
        <v>0</v>
      </c>
      <c r="I486" t="n">
        <v>0</v>
      </c>
      <c r="J486" t="n">
        <v>0</v>
      </c>
      <c r="K486" t="n">
        <v>0</v>
      </c>
      <c r="L486" t="n">
        <v>0</v>
      </c>
      <c r="M486" t="n">
        <v>0</v>
      </c>
      <c r="N486" t="n">
        <v>0</v>
      </c>
      <c r="O486" t="n">
        <v>0</v>
      </c>
      <c r="P486" t="n">
        <v>0</v>
      </c>
      <c r="Q486" t="n">
        <v>0</v>
      </c>
      <c r="R486" s="2" t="inlineStr"/>
    </row>
    <row r="487" ht="15" customHeight="1">
      <c r="A487" t="inlineStr">
        <is>
          <t>A 61897-2024</t>
        </is>
      </c>
      <c r="B487" s="1" t="n">
        <v>45652.75685185185</v>
      </c>
      <c r="C487" s="1" t="n">
        <v>46029</v>
      </c>
      <c r="D487" t="inlineStr">
        <is>
          <t>GOTLANDS LÄN</t>
        </is>
      </c>
      <c r="E487" t="inlineStr">
        <is>
          <t>GOTLAND</t>
        </is>
      </c>
      <c r="G487" t="n">
        <v>6.4</v>
      </c>
      <c r="H487" t="n">
        <v>0</v>
      </c>
      <c r="I487" t="n">
        <v>0</v>
      </c>
      <c r="J487" t="n">
        <v>0</v>
      </c>
      <c r="K487" t="n">
        <v>0</v>
      </c>
      <c r="L487" t="n">
        <v>0</v>
      </c>
      <c r="M487" t="n">
        <v>0</v>
      </c>
      <c r="N487" t="n">
        <v>0</v>
      </c>
      <c r="O487" t="n">
        <v>0</v>
      </c>
      <c r="P487" t="n">
        <v>0</v>
      </c>
      <c r="Q487" t="n">
        <v>0</v>
      </c>
      <c r="R487" s="2" t="inlineStr"/>
    </row>
    <row r="488" ht="15" customHeight="1">
      <c r="A488" t="inlineStr">
        <is>
          <t>A 62836-2025</t>
        </is>
      </c>
      <c r="B488" s="1" t="n">
        <v>46008</v>
      </c>
      <c r="C488" s="1" t="n">
        <v>46029</v>
      </c>
      <c r="D488" t="inlineStr">
        <is>
          <t>GOTLANDS LÄN</t>
        </is>
      </c>
      <c r="E488" t="inlineStr">
        <is>
          <t>GOTLAND</t>
        </is>
      </c>
      <c r="G488" t="n">
        <v>6.5</v>
      </c>
      <c r="H488" t="n">
        <v>0</v>
      </c>
      <c r="I488" t="n">
        <v>0</v>
      </c>
      <c r="J488" t="n">
        <v>0</v>
      </c>
      <c r="K488" t="n">
        <v>0</v>
      </c>
      <c r="L488" t="n">
        <v>0</v>
      </c>
      <c r="M488" t="n">
        <v>0</v>
      </c>
      <c r="N488" t="n">
        <v>0</v>
      </c>
      <c r="O488" t="n">
        <v>0</v>
      </c>
      <c r="P488" t="n">
        <v>0</v>
      </c>
      <c r="Q488" t="n">
        <v>0</v>
      </c>
      <c r="R488" s="2" t="inlineStr"/>
    </row>
    <row r="489" ht="15" customHeight="1">
      <c r="A489" t="inlineStr">
        <is>
          <t>A 56688-2025</t>
        </is>
      </c>
      <c r="B489" s="1" t="n">
        <v>45975.84331018518</v>
      </c>
      <c r="C489" s="1" t="n">
        <v>46029</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49962-2023</t>
        </is>
      </c>
      <c r="B490" s="1" t="n">
        <v>45215.38775462963</v>
      </c>
      <c r="C490" s="1" t="n">
        <v>46029</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20165-2022</t>
        </is>
      </c>
      <c r="B491" s="1" t="n">
        <v>44698.49854166667</v>
      </c>
      <c r="C491" s="1" t="n">
        <v>46029</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40294-2022</t>
        </is>
      </c>
      <c r="B492" s="1" t="n">
        <v>44821</v>
      </c>
      <c r="C492" s="1" t="n">
        <v>46029</v>
      </c>
      <c r="D492" t="inlineStr">
        <is>
          <t>GOTLANDS LÄN</t>
        </is>
      </c>
      <c r="E492" t="inlineStr">
        <is>
          <t>GOTLAND</t>
        </is>
      </c>
      <c r="G492" t="n">
        <v>1.6</v>
      </c>
      <c r="H492" t="n">
        <v>0</v>
      </c>
      <c r="I492" t="n">
        <v>0</v>
      </c>
      <c r="J492" t="n">
        <v>0</v>
      </c>
      <c r="K492" t="n">
        <v>0</v>
      </c>
      <c r="L492" t="n">
        <v>0</v>
      </c>
      <c r="M492" t="n">
        <v>0</v>
      </c>
      <c r="N492" t="n">
        <v>0</v>
      </c>
      <c r="O492" t="n">
        <v>0</v>
      </c>
      <c r="P492" t="n">
        <v>0</v>
      </c>
      <c r="Q492" t="n">
        <v>0</v>
      </c>
      <c r="R492" s="2" t="inlineStr"/>
    </row>
    <row r="493" ht="15" customHeight="1">
      <c r="A493" t="inlineStr">
        <is>
          <t>A 12032-2025</t>
        </is>
      </c>
      <c r="B493" s="1" t="n">
        <v>45728.64472222222</v>
      </c>
      <c r="C493" s="1" t="n">
        <v>46029</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38787-2023</t>
        </is>
      </c>
      <c r="B494" s="1" t="n">
        <v>45163</v>
      </c>
      <c r="C494" s="1" t="n">
        <v>46029</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43231-2023</t>
        </is>
      </c>
      <c r="B495" s="1" t="n">
        <v>45183.47025462963</v>
      </c>
      <c r="C495" s="1" t="n">
        <v>46029</v>
      </c>
      <c r="D495" t="inlineStr">
        <is>
          <t>GOTLANDS LÄN</t>
        </is>
      </c>
      <c r="E495" t="inlineStr">
        <is>
          <t>GOTLAND</t>
        </is>
      </c>
      <c r="G495" t="n">
        <v>3.6</v>
      </c>
      <c r="H495" t="n">
        <v>0</v>
      </c>
      <c r="I495" t="n">
        <v>0</v>
      </c>
      <c r="J495" t="n">
        <v>0</v>
      </c>
      <c r="K495" t="n">
        <v>0</v>
      </c>
      <c r="L495" t="n">
        <v>0</v>
      </c>
      <c r="M495" t="n">
        <v>0</v>
      </c>
      <c r="N495" t="n">
        <v>0</v>
      </c>
      <c r="O495" t="n">
        <v>0</v>
      </c>
      <c r="P495" t="n">
        <v>0</v>
      </c>
      <c r="Q495" t="n">
        <v>0</v>
      </c>
      <c r="R495" s="2" t="inlineStr"/>
    </row>
    <row r="496" ht="15" customHeight="1">
      <c r="A496" t="inlineStr">
        <is>
          <t>A 17532-2024</t>
        </is>
      </c>
      <c r="B496" s="1" t="n">
        <v>45415</v>
      </c>
      <c r="C496" s="1" t="n">
        <v>46029</v>
      </c>
      <c r="D496" t="inlineStr">
        <is>
          <t>GOTLANDS LÄN</t>
        </is>
      </c>
      <c r="E496" t="inlineStr">
        <is>
          <t>GOTLAND</t>
        </is>
      </c>
      <c r="G496" t="n">
        <v>4.3</v>
      </c>
      <c r="H496" t="n">
        <v>0</v>
      </c>
      <c r="I496" t="n">
        <v>0</v>
      </c>
      <c r="J496" t="n">
        <v>0</v>
      </c>
      <c r="K496" t="n">
        <v>0</v>
      </c>
      <c r="L496" t="n">
        <v>0</v>
      </c>
      <c r="M496" t="n">
        <v>0</v>
      </c>
      <c r="N496" t="n">
        <v>0</v>
      </c>
      <c r="O496" t="n">
        <v>0</v>
      </c>
      <c r="P496" t="n">
        <v>0</v>
      </c>
      <c r="Q496" t="n">
        <v>0</v>
      </c>
      <c r="R496" s="2" t="inlineStr"/>
    </row>
    <row r="497" ht="15" customHeight="1">
      <c r="A497" t="inlineStr">
        <is>
          <t>A 3935-2025</t>
        </is>
      </c>
      <c r="B497" s="1" t="n">
        <v>45684.46070601852</v>
      </c>
      <c r="C497" s="1" t="n">
        <v>46029</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36-2026</t>
        </is>
      </c>
      <c r="B498" s="1" t="n">
        <v>46024.38886574074</v>
      </c>
      <c r="C498" s="1" t="n">
        <v>46029</v>
      </c>
      <c r="D498" t="inlineStr">
        <is>
          <t>GOTLANDS LÄN</t>
        </is>
      </c>
      <c r="E498" t="inlineStr">
        <is>
          <t>GOTLAND</t>
        </is>
      </c>
      <c r="G498" t="n">
        <v>1</v>
      </c>
      <c r="H498" t="n">
        <v>0</v>
      </c>
      <c r="I498" t="n">
        <v>0</v>
      </c>
      <c r="J498" t="n">
        <v>0</v>
      </c>
      <c r="K498" t="n">
        <v>0</v>
      </c>
      <c r="L498" t="n">
        <v>0</v>
      </c>
      <c r="M498" t="n">
        <v>0</v>
      </c>
      <c r="N498" t="n">
        <v>0</v>
      </c>
      <c r="O498" t="n">
        <v>0</v>
      </c>
      <c r="P498" t="n">
        <v>0</v>
      </c>
      <c r="Q498" t="n">
        <v>0</v>
      </c>
      <c r="R498" s="2" t="inlineStr"/>
    </row>
    <row r="499" ht="15" customHeight="1">
      <c r="A499" t="inlineStr">
        <is>
          <t>A 47147-2025</t>
        </is>
      </c>
      <c r="B499" s="1" t="n">
        <v>45929</v>
      </c>
      <c r="C499" s="1" t="n">
        <v>46029</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20225-2025</t>
        </is>
      </c>
      <c r="B500" s="1" t="n">
        <v>45772.65802083333</v>
      </c>
      <c r="C500" s="1" t="n">
        <v>46029</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883-2025</t>
        </is>
      </c>
      <c r="B501" s="1" t="n">
        <v>45665</v>
      </c>
      <c r="C501" s="1" t="n">
        <v>46029</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1066-2024</t>
        </is>
      </c>
      <c r="B502" s="1" t="n">
        <v>45302.285</v>
      </c>
      <c r="C502" s="1" t="n">
        <v>46029</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17144-2025</t>
        </is>
      </c>
      <c r="B503" s="1" t="n">
        <v>45755.9499537037</v>
      </c>
      <c r="C503" s="1" t="n">
        <v>46029</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56009-2024</t>
        </is>
      </c>
      <c r="B504" s="1" t="n">
        <v>45623.80864583333</v>
      </c>
      <c r="C504" s="1" t="n">
        <v>46029</v>
      </c>
      <c r="D504" t="inlineStr">
        <is>
          <t>GOTLANDS LÄN</t>
        </is>
      </c>
      <c r="E504" t="inlineStr">
        <is>
          <t>GOTLAND</t>
        </is>
      </c>
      <c r="G504" t="n">
        <v>2.8</v>
      </c>
      <c r="H504" t="n">
        <v>0</v>
      </c>
      <c r="I504" t="n">
        <v>0</v>
      </c>
      <c r="J504" t="n">
        <v>0</v>
      </c>
      <c r="K504" t="n">
        <v>0</v>
      </c>
      <c r="L504" t="n">
        <v>0</v>
      </c>
      <c r="M504" t="n">
        <v>0</v>
      </c>
      <c r="N504" t="n">
        <v>0</v>
      </c>
      <c r="O504" t="n">
        <v>0</v>
      </c>
      <c r="P504" t="n">
        <v>0</v>
      </c>
      <c r="Q504" t="n">
        <v>0</v>
      </c>
      <c r="R504" s="2" t="inlineStr"/>
    </row>
    <row r="505" ht="15" customHeight="1">
      <c r="A505" t="inlineStr">
        <is>
          <t>A 42338-2023</t>
        </is>
      </c>
      <c r="B505" s="1" t="n">
        <v>45180</v>
      </c>
      <c r="C505" s="1" t="n">
        <v>46029</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581-2023</t>
        </is>
      </c>
      <c r="B506" s="1" t="n">
        <v>44930</v>
      </c>
      <c r="C506" s="1" t="n">
        <v>46029</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61386-2023</t>
        </is>
      </c>
      <c r="B507" s="1" t="n">
        <v>45264</v>
      </c>
      <c r="C507" s="1" t="n">
        <v>46029</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873-2024</t>
        </is>
      </c>
      <c r="B508" s="1" t="n">
        <v>45301</v>
      </c>
      <c r="C508" s="1" t="n">
        <v>46029</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49411-2023</t>
        </is>
      </c>
      <c r="B509" s="1" t="n">
        <v>45205</v>
      </c>
      <c r="C509" s="1" t="n">
        <v>46029</v>
      </c>
      <c r="D509" t="inlineStr">
        <is>
          <t>GOTLANDS LÄN</t>
        </is>
      </c>
      <c r="E509" t="inlineStr">
        <is>
          <t>GOTLAND</t>
        </is>
      </c>
      <c r="G509" t="n">
        <v>2</v>
      </c>
      <c r="H509" t="n">
        <v>0</v>
      </c>
      <c r="I509" t="n">
        <v>0</v>
      </c>
      <c r="J509" t="n">
        <v>0</v>
      </c>
      <c r="K509" t="n">
        <v>0</v>
      </c>
      <c r="L509" t="n">
        <v>0</v>
      </c>
      <c r="M509" t="n">
        <v>0</v>
      </c>
      <c r="N509" t="n">
        <v>0</v>
      </c>
      <c r="O509" t="n">
        <v>0</v>
      </c>
      <c r="P509" t="n">
        <v>0</v>
      </c>
      <c r="Q509" t="n">
        <v>0</v>
      </c>
      <c r="R509" s="2" t="inlineStr"/>
    </row>
    <row r="510" ht="15" customHeight="1">
      <c r="A510" t="inlineStr">
        <is>
          <t>A 22275-2023</t>
        </is>
      </c>
      <c r="B510" s="1" t="n">
        <v>45070.39875</v>
      </c>
      <c r="C510" s="1" t="n">
        <v>46029</v>
      </c>
      <c r="D510" t="inlineStr">
        <is>
          <t>GOTLANDS LÄN</t>
        </is>
      </c>
      <c r="E510" t="inlineStr">
        <is>
          <t>GOTLAND</t>
        </is>
      </c>
      <c r="G510" t="n">
        <v>7.2</v>
      </c>
      <c r="H510" t="n">
        <v>0</v>
      </c>
      <c r="I510" t="n">
        <v>0</v>
      </c>
      <c r="J510" t="n">
        <v>0</v>
      </c>
      <c r="K510" t="n">
        <v>0</v>
      </c>
      <c r="L510" t="n">
        <v>0</v>
      </c>
      <c r="M510" t="n">
        <v>0</v>
      </c>
      <c r="N510" t="n">
        <v>0</v>
      </c>
      <c r="O510" t="n">
        <v>0</v>
      </c>
      <c r="P510" t="n">
        <v>0</v>
      </c>
      <c r="Q510" t="n">
        <v>0</v>
      </c>
      <c r="R510" s="2" t="inlineStr"/>
    </row>
    <row r="511" ht="15" customHeight="1">
      <c r="A511" t="inlineStr">
        <is>
          <t>A 12322-2025</t>
        </is>
      </c>
      <c r="B511" s="1" t="n">
        <v>45730</v>
      </c>
      <c r="C511" s="1" t="n">
        <v>46029</v>
      </c>
      <c r="D511" t="inlineStr">
        <is>
          <t>GOTLANDS LÄN</t>
        </is>
      </c>
      <c r="E511" t="inlineStr">
        <is>
          <t>GOTLAND</t>
        </is>
      </c>
      <c r="G511" t="n">
        <v>1.4</v>
      </c>
      <c r="H511" t="n">
        <v>0</v>
      </c>
      <c r="I511" t="n">
        <v>0</v>
      </c>
      <c r="J511" t="n">
        <v>0</v>
      </c>
      <c r="K511" t="n">
        <v>0</v>
      </c>
      <c r="L511" t="n">
        <v>0</v>
      </c>
      <c r="M511" t="n">
        <v>0</v>
      </c>
      <c r="N511" t="n">
        <v>0</v>
      </c>
      <c r="O511" t="n">
        <v>0</v>
      </c>
      <c r="P511" t="n">
        <v>0</v>
      </c>
      <c r="Q511" t="n">
        <v>0</v>
      </c>
      <c r="R511" s="2" t="inlineStr"/>
    </row>
    <row r="512" ht="15" customHeight="1">
      <c r="A512" t="inlineStr">
        <is>
          <t>A 14797-2024</t>
        </is>
      </c>
      <c r="B512" s="1" t="n">
        <v>45397.87030092593</v>
      </c>
      <c r="C512" s="1" t="n">
        <v>46029</v>
      </c>
      <c r="D512" t="inlineStr">
        <is>
          <t>GOTLANDS LÄN</t>
        </is>
      </c>
      <c r="E512" t="inlineStr">
        <is>
          <t>GOTLAND</t>
        </is>
      </c>
      <c r="G512" t="n">
        <v>8.1</v>
      </c>
      <c r="H512" t="n">
        <v>0</v>
      </c>
      <c r="I512" t="n">
        <v>0</v>
      </c>
      <c r="J512" t="n">
        <v>0</v>
      </c>
      <c r="K512" t="n">
        <v>0</v>
      </c>
      <c r="L512" t="n">
        <v>0</v>
      </c>
      <c r="M512" t="n">
        <v>0</v>
      </c>
      <c r="N512" t="n">
        <v>0</v>
      </c>
      <c r="O512" t="n">
        <v>0</v>
      </c>
      <c r="P512" t="n">
        <v>0</v>
      </c>
      <c r="Q512" t="n">
        <v>0</v>
      </c>
      <c r="R512" s="2" t="inlineStr"/>
    </row>
    <row r="513" ht="15" customHeight="1">
      <c r="A513" t="inlineStr">
        <is>
          <t>A 999-2024</t>
        </is>
      </c>
      <c r="B513" s="1" t="n">
        <v>45301</v>
      </c>
      <c r="C513" s="1" t="n">
        <v>46029</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61596-2023</t>
        </is>
      </c>
      <c r="B514" s="1" t="n">
        <v>45265</v>
      </c>
      <c r="C514" s="1" t="n">
        <v>46029</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14638-2025</t>
        </is>
      </c>
      <c r="B515" s="1" t="n">
        <v>45742</v>
      </c>
      <c r="C515" s="1" t="n">
        <v>46029</v>
      </c>
      <c r="D515" t="inlineStr">
        <is>
          <t>GOTLANDS LÄN</t>
        </is>
      </c>
      <c r="E515" t="inlineStr">
        <is>
          <t>GOTLAND</t>
        </is>
      </c>
      <c r="G515" t="n">
        <v>13.4</v>
      </c>
      <c r="H515" t="n">
        <v>0</v>
      </c>
      <c r="I515" t="n">
        <v>0</v>
      </c>
      <c r="J515" t="n">
        <v>0</v>
      </c>
      <c r="K515" t="n">
        <v>0</v>
      </c>
      <c r="L515" t="n">
        <v>0</v>
      </c>
      <c r="M515" t="n">
        <v>0</v>
      </c>
      <c r="N515" t="n">
        <v>0</v>
      </c>
      <c r="O515" t="n">
        <v>0</v>
      </c>
      <c r="P515" t="n">
        <v>0</v>
      </c>
      <c r="Q515" t="n">
        <v>0</v>
      </c>
      <c r="R515" s="2" t="inlineStr"/>
    </row>
    <row r="516" ht="15" customHeight="1">
      <c r="A516" t="inlineStr">
        <is>
          <t>A 60675-2021</t>
        </is>
      </c>
      <c r="B516" s="1" t="n">
        <v>44496.64855324074</v>
      </c>
      <c r="C516" s="1" t="n">
        <v>46029</v>
      </c>
      <c r="D516" t="inlineStr">
        <is>
          <t>GOTLANDS LÄN</t>
        </is>
      </c>
      <c r="E516" t="inlineStr">
        <is>
          <t>GOTLAND</t>
        </is>
      </c>
      <c r="G516" t="n">
        <v>4.6</v>
      </c>
      <c r="H516" t="n">
        <v>0</v>
      </c>
      <c r="I516" t="n">
        <v>0</v>
      </c>
      <c r="J516" t="n">
        <v>0</v>
      </c>
      <c r="K516" t="n">
        <v>0</v>
      </c>
      <c r="L516" t="n">
        <v>0</v>
      </c>
      <c r="M516" t="n">
        <v>0</v>
      </c>
      <c r="N516" t="n">
        <v>0</v>
      </c>
      <c r="O516" t="n">
        <v>0</v>
      </c>
      <c r="P516" t="n">
        <v>0</v>
      </c>
      <c r="Q516" t="n">
        <v>0</v>
      </c>
      <c r="R516" s="2" t="inlineStr"/>
    </row>
    <row r="517" ht="15" customHeight="1">
      <c r="A517" t="inlineStr">
        <is>
          <t>A 37728-2024</t>
        </is>
      </c>
      <c r="B517" s="1" t="n">
        <v>45541</v>
      </c>
      <c r="C517" s="1" t="n">
        <v>46029</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22287-2022</t>
        </is>
      </c>
      <c r="B518" s="1" t="n">
        <v>44712</v>
      </c>
      <c r="C518" s="1" t="n">
        <v>46029</v>
      </c>
      <c r="D518" t="inlineStr">
        <is>
          <t>GOTLANDS LÄN</t>
        </is>
      </c>
      <c r="E518" t="inlineStr">
        <is>
          <t>GOTLAND</t>
        </is>
      </c>
      <c r="G518" t="n">
        <v>6.1</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46029</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65249-2023</t>
        </is>
      </c>
      <c r="B520" s="1" t="n">
        <v>45290</v>
      </c>
      <c r="C520" s="1" t="n">
        <v>46029</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13910-2025</t>
        </is>
      </c>
      <c r="B521" s="1" t="n">
        <v>45737</v>
      </c>
      <c r="C521" s="1" t="n">
        <v>46029</v>
      </c>
      <c r="D521" t="inlineStr">
        <is>
          <t>GOTLANDS LÄN</t>
        </is>
      </c>
      <c r="E521" t="inlineStr">
        <is>
          <t>GOTLAND</t>
        </is>
      </c>
      <c r="F521" t="inlineStr">
        <is>
          <t>Kommuner</t>
        </is>
      </c>
      <c r="G521" t="n">
        <v>3.2</v>
      </c>
      <c r="H521" t="n">
        <v>0</v>
      </c>
      <c r="I521" t="n">
        <v>0</v>
      </c>
      <c r="J521" t="n">
        <v>0</v>
      </c>
      <c r="K521" t="n">
        <v>0</v>
      </c>
      <c r="L521" t="n">
        <v>0</v>
      </c>
      <c r="M521" t="n">
        <v>0</v>
      </c>
      <c r="N521" t="n">
        <v>0</v>
      </c>
      <c r="O521" t="n">
        <v>0</v>
      </c>
      <c r="P521" t="n">
        <v>0</v>
      </c>
      <c r="Q521" t="n">
        <v>0</v>
      </c>
      <c r="R521" s="2" t="inlineStr"/>
    </row>
    <row r="522" ht="15" customHeight="1">
      <c r="A522" t="inlineStr">
        <is>
          <t>A 17780-2022</t>
        </is>
      </c>
      <c r="B522" s="1" t="n">
        <v>44682.82622685185</v>
      </c>
      <c r="C522" s="1" t="n">
        <v>46029</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59986-2022</t>
        </is>
      </c>
      <c r="B523" s="1" t="n">
        <v>44909</v>
      </c>
      <c r="C523" s="1" t="n">
        <v>46029</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14536-2021</t>
        </is>
      </c>
      <c r="B524" s="1" t="n">
        <v>44279.66168981481</v>
      </c>
      <c r="C524" s="1" t="n">
        <v>46029</v>
      </c>
      <c r="D524" t="inlineStr">
        <is>
          <t>GOTLANDS LÄN</t>
        </is>
      </c>
      <c r="E524" t="inlineStr">
        <is>
          <t>GOTLAND</t>
        </is>
      </c>
      <c r="G524" t="n">
        <v>8.5</v>
      </c>
      <c r="H524" t="n">
        <v>0</v>
      </c>
      <c r="I524" t="n">
        <v>0</v>
      </c>
      <c r="J524" t="n">
        <v>0</v>
      </c>
      <c r="K524" t="n">
        <v>0</v>
      </c>
      <c r="L524" t="n">
        <v>0</v>
      </c>
      <c r="M524" t="n">
        <v>0</v>
      </c>
      <c r="N524" t="n">
        <v>0</v>
      </c>
      <c r="O524" t="n">
        <v>0</v>
      </c>
      <c r="P524" t="n">
        <v>0</v>
      </c>
      <c r="Q524" t="n">
        <v>0</v>
      </c>
      <c r="R524" s="2" t="inlineStr"/>
    </row>
    <row r="525" ht="15" customHeight="1">
      <c r="A525" t="inlineStr">
        <is>
          <t>A 11874-2024</t>
        </is>
      </c>
      <c r="B525" s="1" t="n">
        <v>45376.46956018519</v>
      </c>
      <c r="C525" s="1" t="n">
        <v>46029</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42041-2024</t>
        </is>
      </c>
      <c r="B526" s="1" t="n">
        <v>45561</v>
      </c>
      <c r="C526" s="1" t="n">
        <v>46029</v>
      </c>
      <c r="D526" t="inlineStr">
        <is>
          <t>GOTLANDS LÄN</t>
        </is>
      </c>
      <c r="E526" t="inlineStr">
        <is>
          <t>GOTLAND</t>
        </is>
      </c>
      <c r="G526" t="n">
        <v>3.2</v>
      </c>
      <c r="H526" t="n">
        <v>0</v>
      </c>
      <c r="I526" t="n">
        <v>0</v>
      </c>
      <c r="J526" t="n">
        <v>0</v>
      </c>
      <c r="K526" t="n">
        <v>0</v>
      </c>
      <c r="L526" t="n">
        <v>0</v>
      </c>
      <c r="M526" t="n">
        <v>0</v>
      </c>
      <c r="N526" t="n">
        <v>0</v>
      </c>
      <c r="O526" t="n">
        <v>0</v>
      </c>
      <c r="P526" t="n">
        <v>0</v>
      </c>
      <c r="Q526" t="n">
        <v>0</v>
      </c>
      <c r="R526" s="2" t="inlineStr"/>
    </row>
    <row r="527" ht="15" customHeight="1">
      <c r="A527" t="inlineStr">
        <is>
          <t>A 61694-2023</t>
        </is>
      </c>
      <c r="B527" s="1" t="n">
        <v>45264</v>
      </c>
      <c r="C527" s="1" t="n">
        <v>46029</v>
      </c>
      <c r="D527" t="inlineStr">
        <is>
          <t>GOTLANDS LÄN</t>
        </is>
      </c>
      <c r="E527" t="inlineStr">
        <is>
          <t>GOTLAND</t>
        </is>
      </c>
      <c r="G527" t="n">
        <v>4.6</v>
      </c>
      <c r="H527" t="n">
        <v>0</v>
      </c>
      <c r="I527" t="n">
        <v>0</v>
      </c>
      <c r="J527" t="n">
        <v>0</v>
      </c>
      <c r="K527" t="n">
        <v>0</v>
      </c>
      <c r="L527" t="n">
        <v>0</v>
      </c>
      <c r="M527" t="n">
        <v>0</v>
      </c>
      <c r="N527" t="n">
        <v>0</v>
      </c>
      <c r="O527" t="n">
        <v>0</v>
      </c>
      <c r="P527" t="n">
        <v>0</v>
      </c>
      <c r="Q527" t="n">
        <v>0</v>
      </c>
      <c r="R527" s="2" t="inlineStr"/>
    </row>
    <row r="528" ht="15" customHeight="1">
      <c r="A528" t="inlineStr">
        <is>
          <t>A 64555-2023</t>
        </is>
      </c>
      <c r="B528" s="1" t="n">
        <v>45281</v>
      </c>
      <c r="C528" s="1" t="n">
        <v>46029</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64831-2023</t>
        </is>
      </c>
      <c r="B529" s="1" t="n">
        <v>45282.44924768519</v>
      </c>
      <c r="C529" s="1" t="n">
        <v>46029</v>
      </c>
      <c r="D529" t="inlineStr">
        <is>
          <t>GOTLANDS LÄN</t>
        </is>
      </c>
      <c r="E529" t="inlineStr">
        <is>
          <t>GOTLAND</t>
        </is>
      </c>
      <c r="G529" t="n">
        <v>1.9</v>
      </c>
      <c r="H529" t="n">
        <v>0</v>
      </c>
      <c r="I529" t="n">
        <v>0</v>
      </c>
      <c r="J529" t="n">
        <v>0</v>
      </c>
      <c r="K529" t="n">
        <v>0</v>
      </c>
      <c r="L529" t="n">
        <v>0</v>
      </c>
      <c r="M529" t="n">
        <v>0</v>
      </c>
      <c r="N529" t="n">
        <v>0</v>
      </c>
      <c r="O529" t="n">
        <v>0</v>
      </c>
      <c r="P529" t="n">
        <v>0</v>
      </c>
      <c r="Q529" t="n">
        <v>0</v>
      </c>
      <c r="R529" s="2" t="inlineStr"/>
    </row>
    <row r="530" ht="15" customHeight="1">
      <c r="A530" t="inlineStr">
        <is>
          <t>A 14804-2021</t>
        </is>
      </c>
      <c r="B530" s="1" t="n">
        <v>44280</v>
      </c>
      <c r="C530" s="1" t="n">
        <v>46029</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999-2023</t>
        </is>
      </c>
      <c r="B531" s="1" t="n">
        <v>44935</v>
      </c>
      <c r="C531" s="1" t="n">
        <v>46029</v>
      </c>
      <c r="D531" t="inlineStr">
        <is>
          <t>GOTLANDS LÄN</t>
        </is>
      </c>
      <c r="E531" t="inlineStr">
        <is>
          <t>GOTLAND</t>
        </is>
      </c>
      <c r="G531" t="n">
        <v>4.7</v>
      </c>
      <c r="H531" t="n">
        <v>0</v>
      </c>
      <c r="I531" t="n">
        <v>0</v>
      </c>
      <c r="J531" t="n">
        <v>0</v>
      </c>
      <c r="K531" t="n">
        <v>0</v>
      </c>
      <c r="L531" t="n">
        <v>0</v>
      </c>
      <c r="M531" t="n">
        <v>0</v>
      </c>
      <c r="N531" t="n">
        <v>0</v>
      </c>
      <c r="O531" t="n">
        <v>0</v>
      </c>
      <c r="P531" t="n">
        <v>0</v>
      </c>
      <c r="Q531" t="n">
        <v>0</v>
      </c>
      <c r="R531" s="2" t="inlineStr"/>
    </row>
    <row r="532" ht="15" customHeight="1">
      <c r="A532" t="inlineStr">
        <is>
          <t>A 27602-2023</t>
        </is>
      </c>
      <c r="B532" s="1" t="n">
        <v>45097</v>
      </c>
      <c r="C532" s="1" t="n">
        <v>46029</v>
      </c>
      <c r="D532" t="inlineStr">
        <is>
          <t>GOTLANDS LÄN</t>
        </is>
      </c>
      <c r="E532" t="inlineStr">
        <is>
          <t>GOTLAND</t>
        </is>
      </c>
      <c r="G532" t="n">
        <v>2.7</v>
      </c>
      <c r="H532" t="n">
        <v>0</v>
      </c>
      <c r="I532" t="n">
        <v>0</v>
      </c>
      <c r="J532" t="n">
        <v>0</v>
      </c>
      <c r="K532" t="n">
        <v>0</v>
      </c>
      <c r="L532" t="n">
        <v>0</v>
      </c>
      <c r="M532" t="n">
        <v>0</v>
      </c>
      <c r="N532" t="n">
        <v>0</v>
      </c>
      <c r="O532" t="n">
        <v>0</v>
      </c>
      <c r="P532" t="n">
        <v>0</v>
      </c>
      <c r="Q532" t="n">
        <v>0</v>
      </c>
      <c r="R532" s="2" t="inlineStr"/>
    </row>
    <row r="533" ht="15" customHeight="1">
      <c r="A533" t="inlineStr">
        <is>
          <t>A 4377-2023</t>
        </is>
      </c>
      <c r="B533" s="1" t="n">
        <v>44955.5502662037</v>
      </c>
      <c r="C533" s="1" t="n">
        <v>46029</v>
      </c>
      <c r="D533" t="inlineStr">
        <is>
          <t>GOTLANDS LÄN</t>
        </is>
      </c>
      <c r="E533" t="inlineStr">
        <is>
          <t>GOTLAND</t>
        </is>
      </c>
      <c r="F533" t="inlineStr">
        <is>
          <t>Kyrkan</t>
        </is>
      </c>
      <c r="G533" t="n">
        <v>0.6</v>
      </c>
      <c r="H533" t="n">
        <v>0</v>
      </c>
      <c r="I533" t="n">
        <v>0</v>
      </c>
      <c r="J533" t="n">
        <v>0</v>
      </c>
      <c r="K533" t="n">
        <v>0</v>
      </c>
      <c r="L533" t="n">
        <v>0</v>
      </c>
      <c r="M533" t="n">
        <v>0</v>
      </c>
      <c r="N533" t="n">
        <v>0</v>
      </c>
      <c r="O533" t="n">
        <v>0</v>
      </c>
      <c r="P533" t="n">
        <v>0</v>
      </c>
      <c r="Q533" t="n">
        <v>0</v>
      </c>
      <c r="R533" s="2" t="inlineStr"/>
    </row>
    <row r="534" ht="15" customHeight="1">
      <c r="A534" t="inlineStr">
        <is>
          <t>A 4387-2023</t>
        </is>
      </c>
      <c r="B534" s="1" t="n">
        <v>44955.73359953704</v>
      </c>
      <c r="C534" s="1" t="n">
        <v>46029</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39479-2022</t>
        </is>
      </c>
      <c r="B535" s="1" t="n">
        <v>44818</v>
      </c>
      <c r="C535" s="1" t="n">
        <v>46029</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51963-2024</t>
        </is>
      </c>
      <c r="B536" s="1" t="n">
        <v>45607.64833333333</v>
      </c>
      <c r="C536" s="1" t="n">
        <v>46029</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811-2023</t>
        </is>
      </c>
      <c r="B537" s="1" t="n">
        <v>44931</v>
      </c>
      <c r="C537" s="1" t="n">
        <v>46029</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46389-2021</t>
        </is>
      </c>
      <c r="B538" s="1" t="n">
        <v>44443</v>
      </c>
      <c r="C538" s="1" t="n">
        <v>46029</v>
      </c>
      <c r="D538" t="inlineStr">
        <is>
          <t>GOTLANDS LÄN</t>
        </is>
      </c>
      <c r="E538" t="inlineStr">
        <is>
          <t>GOTLAND</t>
        </is>
      </c>
      <c r="F538" t="inlineStr">
        <is>
          <t>Kyrkan</t>
        </is>
      </c>
      <c r="G538" t="n">
        <v>2.1</v>
      </c>
      <c r="H538" t="n">
        <v>0</v>
      </c>
      <c r="I538" t="n">
        <v>0</v>
      </c>
      <c r="J538" t="n">
        <v>0</v>
      </c>
      <c r="K538" t="n">
        <v>0</v>
      </c>
      <c r="L538" t="n">
        <v>0</v>
      </c>
      <c r="M538" t="n">
        <v>0</v>
      </c>
      <c r="N538" t="n">
        <v>0</v>
      </c>
      <c r="O538" t="n">
        <v>0</v>
      </c>
      <c r="P538" t="n">
        <v>0</v>
      </c>
      <c r="Q538" t="n">
        <v>0</v>
      </c>
      <c r="R538" s="2" t="inlineStr"/>
    </row>
    <row r="539" ht="15" customHeight="1">
      <c r="A539" t="inlineStr">
        <is>
          <t>A 26810-2021</t>
        </is>
      </c>
      <c r="B539" s="1" t="n">
        <v>44349.55087962963</v>
      </c>
      <c r="C539" s="1" t="n">
        <v>46029</v>
      </c>
      <c r="D539" t="inlineStr">
        <is>
          <t>GOTLANDS LÄN</t>
        </is>
      </c>
      <c r="E539" t="inlineStr">
        <is>
          <t>GOTLAND</t>
        </is>
      </c>
      <c r="G539" t="n">
        <v>3.5</v>
      </c>
      <c r="H539" t="n">
        <v>0</v>
      </c>
      <c r="I539" t="n">
        <v>0</v>
      </c>
      <c r="J539" t="n">
        <v>0</v>
      </c>
      <c r="K539" t="n">
        <v>0</v>
      </c>
      <c r="L539" t="n">
        <v>0</v>
      </c>
      <c r="M539" t="n">
        <v>0</v>
      </c>
      <c r="N539" t="n">
        <v>0</v>
      </c>
      <c r="O539" t="n">
        <v>0</v>
      </c>
      <c r="P539" t="n">
        <v>0</v>
      </c>
      <c r="Q539" t="n">
        <v>0</v>
      </c>
      <c r="R539" s="2" t="inlineStr"/>
    </row>
    <row r="540" ht="15" customHeight="1">
      <c r="A540" t="inlineStr">
        <is>
          <t>A 5923-2023</t>
        </is>
      </c>
      <c r="B540" s="1" t="n">
        <v>44963.69503472222</v>
      </c>
      <c r="C540" s="1" t="n">
        <v>46029</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33853-2024</t>
        </is>
      </c>
      <c r="B541" s="1" t="n">
        <v>45520.64298611111</v>
      </c>
      <c r="C541" s="1" t="n">
        <v>46029</v>
      </c>
      <c r="D541" t="inlineStr">
        <is>
          <t>GOTLANDS LÄN</t>
        </is>
      </c>
      <c r="E541" t="inlineStr">
        <is>
          <t>GOTLAND</t>
        </is>
      </c>
      <c r="G541" t="n">
        <v>3.9</v>
      </c>
      <c r="H541" t="n">
        <v>0</v>
      </c>
      <c r="I541" t="n">
        <v>0</v>
      </c>
      <c r="J541" t="n">
        <v>0</v>
      </c>
      <c r="K541" t="n">
        <v>0</v>
      </c>
      <c r="L541" t="n">
        <v>0</v>
      </c>
      <c r="M541" t="n">
        <v>0</v>
      </c>
      <c r="N541" t="n">
        <v>0</v>
      </c>
      <c r="O541" t="n">
        <v>0</v>
      </c>
      <c r="P541" t="n">
        <v>0</v>
      </c>
      <c r="Q541" t="n">
        <v>0</v>
      </c>
      <c r="R541" s="2" t="inlineStr"/>
    </row>
    <row r="542" ht="15" customHeight="1">
      <c r="A542" t="inlineStr">
        <is>
          <t>A 18918-2025</t>
        </is>
      </c>
      <c r="B542" s="1" t="n">
        <v>45764</v>
      </c>
      <c r="C542" s="1" t="n">
        <v>46029</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2674-2023</t>
        </is>
      </c>
      <c r="B543" s="1" t="n">
        <v>44944</v>
      </c>
      <c r="C543" s="1" t="n">
        <v>46029</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10655-2023</t>
        </is>
      </c>
      <c r="B544" s="1" t="n">
        <v>44988.49543981482</v>
      </c>
      <c r="C544" s="1" t="n">
        <v>46029</v>
      </c>
      <c r="D544" t="inlineStr">
        <is>
          <t>GOTLANDS LÄN</t>
        </is>
      </c>
      <c r="E544" t="inlineStr">
        <is>
          <t>GOTLAND</t>
        </is>
      </c>
      <c r="F544" t="inlineStr">
        <is>
          <t>Kyrkan</t>
        </is>
      </c>
      <c r="G544" t="n">
        <v>2</v>
      </c>
      <c r="H544" t="n">
        <v>0</v>
      </c>
      <c r="I544" t="n">
        <v>0</v>
      </c>
      <c r="J544" t="n">
        <v>0</v>
      </c>
      <c r="K544" t="n">
        <v>0</v>
      </c>
      <c r="L544" t="n">
        <v>0</v>
      </c>
      <c r="M544" t="n">
        <v>0</v>
      </c>
      <c r="N544" t="n">
        <v>0</v>
      </c>
      <c r="O544" t="n">
        <v>0</v>
      </c>
      <c r="P544" t="n">
        <v>0</v>
      </c>
      <c r="Q544" t="n">
        <v>0</v>
      </c>
      <c r="R544" s="2" t="inlineStr"/>
    </row>
    <row r="545" ht="15" customHeight="1">
      <c r="A545" t="inlineStr">
        <is>
          <t>A 2719-2023</t>
        </is>
      </c>
      <c r="B545" s="1" t="n">
        <v>44944.55361111111</v>
      </c>
      <c r="C545" s="1" t="n">
        <v>46029</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26891-2024</t>
        </is>
      </c>
      <c r="B546" s="1" t="n">
        <v>45470.65540509259</v>
      </c>
      <c r="C546" s="1" t="n">
        <v>46029</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42007-2023</t>
        </is>
      </c>
      <c r="B547" s="1" t="n">
        <v>45177</v>
      </c>
      <c r="C547" s="1" t="n">
        <v>46029</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9887-2025</t>
        </is>
      </c>
      <c r="B548" s="1" t="n">
        <v>45716</v>
      </c>
      <c r="C548" s="1" t="n">
        <v>46029</v>
      </c>
      <c r="D548" t="inlineStr">
        <is>
          <t>GOTLANDS LÄN</t>
        </is>
      </c>
      <c r="E548" t="inlineStr">
        <is>
          <t>GOTLAND</t>
        </is>
      </c>
      <c r="G548" t="n">
        <v>7.5</v>
      </c>
      <c r="H548" t="n">
        <v>0</v>
      </c>
      <c r="I548" t="n">
        <v>0</v>
      </c>
      <c r="J548" t="n">
        <v>0</v>
      </c>
      <c r="K548" t="n">
        <v>0</v>
      </c>
      <c r="L548" t="n">
        <v>0</v>
      </c>
      <c r="M548" t="n">
        <v>0</v>
      </c>
      <c r="N548" t="n">
        <v>0</v>
      </c>
      <c r="O548" t="n">
        <v>0</v>
      </c>
      <c r="P548" t="n">
        <v>0</v>
      </c>
      <c r="Q548" t="n">
        <v>0</v>
      </c>
      <c r="R548" s="2" t="inlineStr"/>
    </row>
    <row r="549" ht="15" customHeight="1">
      <c r="A549" t="inlineStr">
        <is>
          <t>A 38165-2023</t>
        </is>
      </c>
      <c r="B549" s="1" t="n">
        <v>45161</v>
      </c>
      <c r="C549" s="1" t="n">
        <v>46029</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27596-2023</t>
        </is>
      </c>
      <c r="B550" s="1" t="n">
        <v>45097</v>
      </c>
      <c r="C550" s="1" t="n">
        <v>46029</v>
      </c>
      <c r="D550" t="inlineStr">
        <is>
          <t>GOTLANDS LÄN</t>
        </is>
      </c>
      <c r="E550" t="inlineStr">
        <is>
          <t>GOTLAND</t>
        </is>
      </c>
      <c r="G550" t="n">
        <v>3.6</v>
      </c>
      <c r="H550" t="n">
        <v>0</v>
      </c>
      <c r="I550" t="n">
        <v>0</v>
      </c>
      <c r="J550" t="n">
        <v>0</v>
      </c>
      <c r="K550" t="n">
        <v>0</v>
      </c>
      <c r="L550" t="n">
        <v>0</v>
      </c>
      <c r="M550" t="n">
        <v>0</v>
      </c>
      <c r="N550" t="n">
        <v>0</v>
      </c>
      <c r="O550" t="n">
        <v>0</v>
      </c>
      <c r="P550" t="n">
        <v>0</v>
      </c>
      <c r="Q550" t="n">
        <v>0</v>
      </c>
      <c r="R550" s="2" t="inlineStr"/>
    </row>
    <row r="551" ht="15" customHeight="1">
      <c r="A551" t="inlineStr">
        <is>
          <t>A 24825-2024</t>
        </is>
      </c>
      <c r="B551" s="1" t="n">
        <v>45461</v>
      </c>
      <c r="C551" s="1" t="n">
        <v>46029</v>
      </c>
      <c r="D551" t="inlineStr">
        <is>
          <t>GOTLANDS LÄN</t>
        </is>
      </c>
      <c r="E551" t="inlineStr">
        <is>
          <t>GOTLAND</t>
        </is>
      </c>
      <c r="G551" t="n">
        <v>1.3</v>
      </c>
      <c r="H551" t="n">
        <v>0</v>
      </c>
      <c r="I551" t="n">
        <v>0</v>
      </c>
      <c r="J551" t="n">
        <v>0</v>
      </c>
      <c r="K551" t="n">
        <v>0</v>
      </c>
      <c r="L551" t="n">
        <v>0</v>
      </c>
      <c r="M551" t="n">
        <v>0</v>
      </c>
      <c r="N551" t="n">
        <v>0</v>
      </c>
      <c r="O551" t="n">
        <v>0</v>
      </c>
      <c r="P551" t="n">
        <v>0</v>
      </c>
      <c r="Q551" t="n">
        <v>0</v>
      </c>
      <c r="R551" s="2" t="inlineStr"/>
    </row>
    <row r="552" ht="15" customHeight="1">
      <c r="A552" t="inlineStr">
        <is>
          <t>A 6696-2023</t>
        </is>
      </c>
      <c r="B552" s="1" t="n">
        <v>44966.66425925926</v>
      </c>
      <c r="C552" s="1" t="n">
        <v>46029</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21247-2022</t>
        </is>
      </c>
      <c r="B553" s="1" t="n">
        <v>44705.38832175926</v>
      </c>
      <c r="C553" s="1" t="n">
        <v>46029</v>
      </c>
      <c r="D553" t="inlineStr">
        <is>
          <t>GOTLANDS LÄN</t>
        </is>
      </c>
      <c r="E553" t="inlineStr">
        <is>
          <t>GOTLAND</t>
        </is>
      </c>
      <c r="G553" t="n">
        <v>16.2</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44929.87122685185</v>
      </c>
      <c r="C554" s="1" t="n">
        <v>46029</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2714-2023</t>
        </is>
      </c>
      <c r="B555" s="1" t="n">
        <v>44944.54896990741</v>
      </c>
      <c r="C555" s="1" t="n">
        <v>46029</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4421-2024</t>
        </is>
      </c>
      <c r="B556" s="1" t="n">
        <v>45327.45173611111</v>
      </c>
      <c r="C556" s="1" t="n">
        <v>46029</v>
      </c>
      <c r="D556" t="inlineStr">
        <is>
          <t>GOTLANDS LÄN</t>
        </is>
      </c>
      <c r="E556" t="inlineStr">
        <is>
          <t>GOTLAND</t>
        </is>
      </c>
      <c r="G556" t="n">
        <v>5.1</v>
      </c>
      <c r="H556" t="n">
        <v>0</v>
      </c>
      <c r="I556" t="n">
        <v>0</v>
      </c>
      <c r="J556" t="n">
        <v>0</v>
      </c>
      <c r="K556" t="n">
        <v>0</v>
      </c>
      <c r="L556" t="n">
        <v>0</v>
      </c>
      <c r="M556" t="n">
        <v>0</v>
      </c>
      <c r="N556" t="n">
        <v>0</v>
      </c>
      <c r="O556" t="n">
        <v>0</v>
      </c>
      <c r="P556" t="n">
        <v>0</v>
      </c>
      <c r="Q556" t="n">
        <v>0</v>
      </c>
      <c r="R556" s="2" t="inlineStr"/>
    </row>
    <row r="557" ht="15" customHeight="1">
      <c r="A557" t="inlineStr">
        <is>
          <t>A 51782-2023</t>
        </is>
      </c>
      <c r="B557" s="1" t="n">
        <v>45222.80952546297</v>
      </c>
      <c r="C557" s="1" t="n">
        <v>46029</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54268-2022</t>
        </is>
      </c>
      <c r="B558" s="1" t="n">
        <v>44882</v>
      </c>
      <c r="C558" s="1" t="n">
        <v>46029</v>
      </c>
      <c r="D558" t="inlineStr">
        <is>
          <t>GOTLANDS LÄN</t>
        </is>
      </c>
      <c r="E558" t="inlineStr">
        <is>
          <t>GOTLAND</t>
        </is>
      </c>
      <c r="G558" t="n">
        <v>2.7</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46029</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25866-2022</t>
        </is>
      </c>
      <c r="B560" s="1" t="n">
        <v>44733</v>
      </c>
      <c r="C560" s="1" t="n">
        <v>46029</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43229-2023</t>
        </is>
      </c>
      <c r="B561" s="1" t="n">
        <v>45183.46704861111</v>
      </c>
      <c r="C561" s="1" t="n">
        <v>46029</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1175-2025</t>
        </is>
      </c>
      <c r="B562" s="1" t="n">
        <v>45667.34449074074</v>
      </c>
      <c r="C562" s="1" t="n">
        <v>46029</v>
      </c>
      <c r="D562" t="inlineStr">
        <is>
          <t>GOTLANDS LÄN</t>
        </is>
      </c>
      <c r="E562" t="inlineStr">
        <is>
          <t>GOTLAND</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27095-2022</t>
        </is>
      </c>
      <c r="B563" s="1" t="n">
        <v>44741</v>
      </c>
      <c r="C563" s="1" t="n">
        <v>46029</v>
      </c>
      <c r="D563" t="inlineStr">
        <is>
          <t>GOTLANDS LÄN</t>
        </is>
      </c>
      <c r="E563" t="inlineStr">
        <is>
          <t>GOTLAND</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22899-2023</t>
        </is>
      </c>
      <c r="B564" s="1" t="n">
        <v>45072</v>
      </c>
      <c r="C564" s="1" t="n">
        <v>46029</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23978-2023</t>
        </is>
      </c>
      <c r="B565" s="1" t="n">
        <v>45078</v>
      </c>
      <c r="C565" s="1" t="n">
        <v>46029</v>
      </c>
      <c r="D565" t="inlineStr">
        <is>
          <t>GOTLANDS LÄN</t>
        </is>
      </c>
      <c r="E565" t="inlineStr">
        <is>
          <t>GOTLAND</t>
        </is>
      </c>
      <c r="F565" t="inlineStr">
        <is>
          <t>Naturvårdsverket</t>
        </is>
      </c>
      <c r="G565" t="n">
        <v>1.7</v>
      </c>
      <c r="H565" t="n">
        <v>0</v>
      </c>
      <c r="I565" t="n">
        <v>0</v>
      </c>
      <c r="J565" t="n">
        <v>0</v>
      </c>
      <c r="K565" t="n">
        <v>0</v>
      </c>
      <c r="L565" t="n">
        <v>0</v>
      </c>
      <c r="M565" t="n">
        <v>0</v>
      </c>
      <c r="N565" t="n">
        <v>0</v>
      </c>
      <c r="O565" t="n">
        <v>0</v>
      </c>
      <c r="P565" t="n">
        <v>0</v>
      </c>
      <c r="Q565" t="n">
        <v>0</v>
      </c>
      <c r="R565" s="2" t="inlineStr"/>
    </row>
    <row r="566" ht="15" customHeight="1">
      <c r="A566" t="inlineStr">
        <is>
          <t>A 34407-2023</t>
        </is>
      </c>
      <c r="B566" s="1" t="n">
        <v>45132</v>
      </c>
      <c r="C566" s="1" t="n">
        <v>46029</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11013-2024</t>
        </is>
      </c>
      <c r="B567" s="1" t="n">
        <v>45370</v>
      </c>
      <c r="C567" s="1" t="n">
        <v>46029</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27694-2024</t>
        </is>
      </c>
      <c r="B568" s="1" t="n">
        <v>45475</v>
      </c>
      <c r="C568" s="1" t="n">
        <v>46029</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46029</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13037-2025</t>
        </is>
      </c>
      <c r="B570" s="1" t="n">
        <v>45734</v>
      </c>
      <c r="C570" s="1" t="n">
        <v>46029</v>
      </c>
      <c r="D570" t="inlineStr">
        <is>
          <t>GOTLANDS LÄN</t>
        </is>
      </c>
      <c r="E570" t="inlineStr">
        <is>
          <t>GOTLAND</t>
        </is>
      </c>
      <c r="G570" t="n">
        <v>9.5</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46029</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44228-2022</t>
        </is>
      </c>
      <c r="B572" s="1" t="n">
        <v>44839.51599537037</v>
      </c>
      <c r="C572" s="1" t="n">
        <v>46029</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58132-2023</t>
        </is>
      </c>
      <c r="B573" s="1" t="n">
        <v>45250</v>
      </c>
      <c r="C573" s="1" t="n">
        <v>46029</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49884-2023</t>
        </is>
      </c>
      <c r="B574" s="1" t="n">
        <v>45213</v>
      </c>
      <c r="C574" s="1" t="n">
        <v>46029</v>
      </c>
      <c r="D574" t="inlineStr">
        <is>
          <t>GOTLANDS LÄN</t>
        </is>
      </c>
      <c r="E574" t="inlineStr">
        <is>
          <t>GOTLAND</t>
        </is>
      </c>
      <c r="G574" t="n">
        <v>8.9</v>
      </c>
      <c r="H574" t="n">
        <v>0</v>
      </c>
      <c r="I574" t="n">
        <v>0</v>
      </c>
      <c r="J574" t="n">
        <v>0</v>
      </c>
      <c r="K574" t="n">
        <v>0</v>
      </c>
      <c r="L574" t="n">
        <v>0</v>
      </c>
      <c r="M574" t="n">
        <v>0</v>
      </c>
      <c r="N574" t="n">
        <v>0</v>
      </c>
      <c r="O574" t="n">
        <v>0</v>
      </c>
      <c r="P574" t="n">
        <v>0</v>
      </c>
      <c r="Q574" t="n">
        <v>0</v>
      </c>
      <c r="R574" s="2" t="inlineStr"/>
    </row>
    <row r="575" ht="15" customHeight="1">
      <c r="A575" t="inlineStr">
        <is>
          <t>A 876-2024</t>
        </is>
      </c>
      <c r="B575" s="1" t="n">
        <v>45301</v>
      </c>
      <c r="C575" s="1" t="n">
        <v>46029</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22704-2023</t>
        </is>
      </c>
      <c r="B576" s="1" t="n">
        <v>45071</v>
      </c>
      <c r="C576" s="1" t="n">
        <v>46029</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28425-2023</t>
        </is>
      </c>
      <c r="B577" s="1" t="n">
        <v>45102</v>
      </c>
      <c r="C577" s="1" t="n">
        <v>46029</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58476-2022</t>
        </is>
      </c>
      <c r="B578" s="1" t="n">
        <v>44902</v>
      </c>
      <c r="C578" s="1" t="n">
        <v>46029</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43200-2023</t>
        </is>
      </c>
      <c r="B579" s="1" t="n">
        <v>45183</v>
      </c>
      <c r="C579" s="1" t="n">
        <v>46029</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43223-2023</t>
        </is>
      </c>
      <c r="B580" s="1" t="n">
        <v>45183.45642361111</v>
      </c>
      <c r="C580" s="1" t="n">
        <v>46029</v>
      </c>
      <c r="D580" t="inlineStr">
        <is>
          <t>GOTLANDS LÄN</t>
        </is>
      </c>
      <c r="E580" t="inlineStr">
        <is>
          <t>GOTLAND</t>
        </is>
      </c>
      <c r="G580" t="n">
        <v>1.8</v>
      </c>
      <c r="H580" t="n">
        <v>0</v>
      </c>
      <c r="I580" t="n">
        <v>0</v>
      </c>
      <c r="J580" t="n">
        <v>0</v>
      </c>
      <c r="K580" t="n">
        <v>0</v>
      </c>
      <c r="L580" t="n">
        <v>0</v>
      </c>
      <c r="M580" t="n">
        <v>0</v>
      </c>
      <c r="N580" t="n">
        <v>0</v>
      </c>
      <c r="O580" t="n">
        <v>0</v>
      </c>
      <c r="P580" t="n">
        <v>0</v>
      </c>
      <c r="Q580" t="n">
        <v>0</v>
      </c>
      <c r="R580" s="2" t="inlineStr"/>
    </row>
    <row r="581" ht="15" customHeight="1">
      <c r="A581" t="inlineStr">
        <is>
          <t>A 12327-2025</t>
        </is>
      </c>
      <c r="B581" s="1" t="n">
        <v>45730</v>
      </c>
      <c r="C581" s="1" t="n">
        <v>46029</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3431-2025</t>
        </is>
      </c>
      <c r="B582" s="1" t="n">
        <v>45680.42935185185</v>
      </c>
      <c r="C582" s="1" t="n">
        <v>46029</v>
      </c>
      <c r="D582" t="inlineStr">
        <is>
          <t>GOTLANDS LÄN</t>
        </is>
      </c>
      <c r="E582" t="inlineStr">
        <is>
          <t>GOTLAND</t>
        </is>
      </c>
      <c r="G582" t="n">
        <v>4.8</v>
      </c>
      <c r="H582" t="n">
        <v>0</v>
      </c>
      <c r="I582" t="n">
        <v>0</v>
      </c>
      <c r="J582" t="n">
        <v>0</v>
      </c>
      <c r="K582" t="n">
        <v>0</v>
      </c>
      <c r="L582" t="n">
        <v>0</v>
      </c>
      <c r="M582" t="n">
        <v>0</v>
      </c>
      <c r="N582" t="n">
        <v>0</v>
      </c>
      <c r="O582" t="n">
        <v>0</v>
      </c>
      <c r="P582" t="n">
        <v>0</v>
      </c>
      <c r="Q582" t="n">
        <v>0</v>
      </c>
      <c r="R582" s="2" t="inlineStr"/>
    </row>
    <row r="583" ht="15" customHeight="1">
      <c r="A583" t="inlineStr">
        <is>
          <t>A 12209-2024</t>
        </is>
      </c>
      <c r="B583" s="1" t="n">
        <v>45378</v>
      </c>
      <c r="C583" s="1" t="n">
        <v>46029</v>
      </c>
      <c r="D583" t="inlineStr">
        <is>
          <t>GOTLANDS LÄN</t>
        </is>
      </c>
      <c r="E583" t="inlineStr">
        <is>
          <t>GOTLAND</t>
        </is>
      </c>
      <c r="G583" t="n">
        <v>5.3</v>
      </c>
      <c r="H583" t="n">
        <v>0</v>
      </c>
      <c r="I583" t="n">
        <v>0</v>
      </c>
      <c r="J583" t="n">
        <v>0</v>
      </c>
      <c r="K583" t="n">
        <v>0</v>
      </c>
      <c r="L583" t="n">
        <v>0</v>
      </c>
      <c r="M583" t="n">
        <v>0</v>
      </c>
      <c r="N583" t="n">
        <v>0</v>
      </c>
      <c r="O583" t="n">
        <v>0</v>
      </c>
      <c r="P583" t="n">
        <v>0</v>
      </c>
      <c r="Q583" t="n">
        <v>0</v>
      </c>
      <c r="R583" s="2" t="inlineStr"/>
    </row>
    <row r="584" ht="15" customHeight="1">
      <c r="A584" t="inlineStr">
        <is>
          <t>A 12210-2024</t>
        </is>
      </c>
      <c r="B584" s="1" t="n">
        <v>45378</v>
      </c>
      <c r="C584" s="1" t="n">
        <v>46029</v>
      </c>
      <c r="D584" t="inlineStr">
        <is>
          <t>GOTLANDS LÄN</t>
        </is>
      </c>
      <c r="E584" t="inlineStr">
        <is>
          <t>GOTLAND</t>
        </is>
      </c>
      <c r="G584" t="n">
        <v>4.1</v>
      </c>
      <c r="H584" t="n">
        <v>0</v>
      </c>
      <c r="I584" t="n">
        <v>0</v>
      </c>
      <c r="J584" t="n">
        <v>0</v>
      </c>
      <c r="K584" t="n">
        <v>0</v>
      </c>
      <c r="L584" t="n">
        <v>0</v>
      </c>
      <c r="M584" t="n">
        <v>0</v>
      </c>
      <c r="N584" t="n">
        <v>0</v>
      </c>
      <c r="O584" t="n">
        <v>0</v>
      </c>
      <c r="P584" t="n">
        <v>0</v>
      </c>
      <c r="Q584" t="n">
        <v>0</v>
      </c>
      <c r="R584" s="2" t="inlineStr"/>
    </row>
    <row r="585" ht="15" customHeight="1">
      <c r="A585" t="inlineStr">
        <is>
          <t>A 1364-2025</t>
        </is>
      </c>
      <c r="B585" s="1" t="n">
        <v>45667.63929398148</v>
      </c>
      <c r="C585" s="1" t="n">
        <v>46029</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15042-2025</t>
        </is>
      </c>
      <c r="B586" s="1" t="n">
        <v>45743</v>
      </c>
      <c r="C586" s="1" t="n">
        <v>46029</v>
      </c>
      <c r="D586" t="inlineStr">
        <is>
          <t>GOTLANDS LÄN</t>
        </is>
      </c>
      <c r="E586" t="inlineStr">
        <is>
          <t>GOTLAND</t>
        </is>
      </c>
      <c r="G586" t="n">
        <v>8.5</v>
      </c>
      <c r="H586" t="n">
        <v>0</v>
      </c>
      <c r="I586" t="n">
        <v>0</v>
      </c>
      <c r="J586" t="n">
        <v>0</v>
      </c>
      <c r="K586" t="n">
        <v>0</v>
      </c>
      <c r="L586" t="n">
        <v>0</v>
      </c>
      <c r="M586" t="n">
        <v>0</v>
      </c>
      <c r="N586" t="n">
        <v>0</v>
      </c>
      <c r="O586" t="n">
        <v>0</v>
      </c>
      <c r="P586" t="n">
        <v>0</v>
      </c>
      <c r="Q586" t="n">
        <v>0</v>
      </c>
      <c r="R586" s="2" t="inlineStr"/>
    </row>
    <row r="587" ht="15" customHeight="1">
      <c r="A587" t="inlineStr">
        <is>
          <t>A 2180-2025</t>
        </is>
      </c>
      <c r="B587" s="1" t="n">
        <v>45673</v>
      </c>
      <c r="C587" s="1" t="n">
        <v>46029</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15436-2025</t>
        </is>
      </c>
      <c r="B588" s="1" t="n">
        <v>45747.47462962963</v>
      </c>
      <c r="C588" s="1" t="n">
        <v>46029</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49257-2024</t>
        </is>
      </c>
      <c r="B589" s="1" t="n">
        <v>45595.47627314815</v>
      </c>
      <c r="C589" s="1" t="n">
        <v>46029</v>
      </c>
      <c r="D589" t="inlineStr">
        <is>
          <t>GOTLANDS LÄN</t>
        </is>
      </c>
      <c r="E589" t="inlineStr">
        <is>
          <t>GOTLAND</t>
        </is>
      </c>
      <c r="G589" t="n">
        <v>6.3</v>
      </c>
      <c r="H589" t="n">
        <v>0</v>
      </c>
      <c r="I589" t="n">
        <v>0</v>
      </c>
      <c r="J589" t="n">
        <v>0</v>
      </c>
      <c r="K589" t="n">
        <v>0</v>
      </c>
      <c r="L589" t="n">
        <v>0</v>
      </c>
      <c r="M589" t="n">
        <v>0</v>
      </c>
      <c r="N589" t="n">
        <v>0</v>
      </c>
      <c r="O589" t="n">
        <v>0</v>
      </c>
      <c r="P589" t="n">
        <v>0</v>
      </c>
      <c r="Q589" t="n">
        <v>0</v>
      </c>
      <c r="R589" s="2" t="inlineStr"/>
    </row>
    <row r="590" ht="15" customHeight="1">
      <c r="A590" t="inlineStr">
        <is>
          <t>A 37202-2024</t>
        </is>
      </c>
      <c r="B590" s="1" t="n">
        <v>45539.67310185185</v>
      </c>
      <c r="C590" s="1" t="n">
        <v>46029</v>
      </c>
      <c r="D590" t="inlineStr">
        <is>
          <t>GOTLANDS LÄN</t>
        </is>
      </c>
      <c r="E590" t="inlineStr">
        <is>
          <t>GOTLAND</t>
        </is>
      </c>
      <c r="G590" t="n">
        <v>0.3</v>
      </c>
      <c r="H590" t="n">
        <v>0</v>
      </c>
      <c r="I590" t="n">
        <v>0</v>
      </c>
      <c r="J590" t="n">
        <v>0</v>
      </c>
      <c r="K590" t="n">
        <v>0</v>
      </c>
      <c r="L590" t="n">
        <v>0</v>
      </c>
      <c r="M590" t="n">
        <v>0</v>
      </c>
      <c r="N590" t="n">
        <v>0</v>
      </c>
      <c r="O590" t="n">
        <v>0</v>
      </c>
      <c r="P590" t="n">
        <v>0</v>
      </c>
      <c r="Q590" t="n">
        <v>0</v>
      </c>
      <c r="R590" s="2" t="inlineStr"/>
    </row>
    <row r="591" ht="15" customHeight="1">
      <c r="A591" t="inlineStr">
        <is>
          <t>A 56115-2023</t>
        </is>
      </c>
      <c r="B591" s="1" t="n">
        <v>45236</v>
      </c>
      <c r="C591" s="1" t="n">
        <v>46029</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2774-2024</t>
        </is>
      </c>
      <c r="B592" s="1" t="n">
        <v>45314.62375</v>
      </c>
      <c r="C592" s="1" t="n">
        <v>46029</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60709-2023</t>
        </is>
      </c>
      <c r="B593" s="1" t="n">
        <v>45260</v>
      </c>
      <c r="C593" s="1" t="n">
        <v>46029</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64208-2021</t>
        </is>
      </c>
      <c r="B594" s="1" t="n">
        <v>44510</v>
      </c>
      <c r="C594" s="1" t="n">
        <v>46029</v>
      </c>
      <c r="D594" t="inlineStr">
        <is>
          <t>GOTLANDS LÄN</t>
        </is>
      </c>
      <c r="E594" t="inlineStr">
        <is>
          <t>GOTLAND</t>
        </is>
      </c>
      <c r="G594" t="n">
        <v>4.7</v>
      </c>
      <c r="H594" t="n">
        <v>0</v>
      </c>
      <c r="I594" t="n">
        <v>0</v>
      </c>
      <c r="J594" t="n">
        <v>0</v>
      </c>
      <c r="K594" t="n">
        <v>0</v>
      </c>
      <c r="L594" t="n">
        <v>0</v>
      </c>
      <c r="M594" t="n">
        <v>0</v>
      </c>
      <c r="N594" t="n">
        <v>0</v>
      </c>
      <c r="O594" t="n">
        <v>0</v>
      </c>
      <c r="P594" t="n">
        <v>0</v>
      </c>
      <c r="Q594" t="n">
        <v>0</v>
      </c>
      <c r="R594" s="2" t="inlineStr"/>
    </row>
    <row r="595" ht="15" customHeight="1">
      <c r="A595" t="inlineStr">
        <is>
          <t>A 39764-2022</t>
        </is>
      </c>
      <c r="B595" s="1" t="n">
        <v>44819</v>
      </c>
      <c r="C595" s="1" t="n">
        <v>46029</v>
      </c>
      <c r="D595" t="inlineStr">
        <is>
          <t>GOTLANDS LÄN</t>
        </is>
      </c>
      <c r="E595" t="inlineStr">
        <is>
          <t>GOTLAND</t>
        </is>
      </c>
      <c r="F595" t="inlineStr">
        <is>
          <t>Kyrkan</t>
        </is>
      </c>
      <c r="G595" t="n">
        <v>3.7</v>
      </c>
      <c r="H595" t="n">
        <v>0</v>
      </c>
      <c r="I595" t="n">
        <v>0</v>
      </c>
      <c r="J595" t="n">
        <v>0</v>
      </c>
      <c r="K595" t="n">
        <v>0</v>
      </c>
      <c r="L595" t="n">
        <v>0</v>
      </c>
      <c r="M595" t="n">
        <v>0</v>
      </c>
      <c r="N595" t="n">
        <v>0</v>
      </c>
      <c r="O595" t="n">
        <v>0</v>
      </c>
      <c r="P595" t="n">
        <v>0</v>
      </c>
      <c r="Q595" t="n">
        <v>0</v>
      </c>
      <c r="R595" s="2" t="inlineStr"/>
    </row>
    <row r="596" ht="15" customHeight="1">
      <c r="A596" t="inlineStr">
        <is>
          <t>A 58211-2024</t>
        </is>
      </c>
      <c r="B596" s="1" t="n">
        <v>45632.49292824074</v>
      </c>
      <c r="C596" s="1" t="n">
        <v>46029</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30956-2024</t>
        </is>
      </c>
      <c r="B597" s="1" t="n">
        <v>45499.42527777778</v>
      </c>
      <c r="C597" s="1" t="n">
        <v>46029</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30892-2024</t>
        </is>
      </c>
      <c r="B598" s="1" t="n">
        <v>45491</v>
      </c>
      <c r="C598" s="1" t="n">
        <v>46029</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14635-2023</t>
        </is>
      </c>
      <c r="B599" s="1" t="n">
        <v>45013.69365740741</v>
      </c>
      <c r="C599" s="1" t="n">
        <v>46029</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59469-2024</t>
        </is>
      </c>
      <c r="B600" s="1" t="n">
        <v>45638</v>
      </c>
      <c r="C600" s="1" t="n">
        <v>46029</v>
      </c>
      <c r="D600" t="inlineStr">
        <is>
          <t>GOTLANDS LÄN</t>
        </is>
      </c>
      <c r="E600" t="inlineStr">
        <is>
          <t>GOTLAND</t>
        </is>
      </c>
      <c r="G600" t="n">
        <v>0.4</v>
      </c>
      <c r="H600" t="n">
        <v>0</v>
      </c>
      <c r="I600" t="n">
        <v>0</v>
      </c>
      <c r="J600" t="n">
        <v>0</v>
      </c>
      <c r="K600" t="n">
        <v>0</v>
      </c>
      <c r="L600" t="n">
        <v>0</v>
      </c>
      <c r="M600" t="n">
        <v>0</v>
      </c>
      <c r="N600" t="n">
        <v>0</v>
      </c>
      <c r="O600" t="n">
        <v>0</v>
      </c>
      <c r="P600" t="n">
        <v>0</v>
      </c>
      <c r="Q600" t="n">
        <v>0</v>
      </c>
      <c r="R600" s="2" t="inlineStr"/>
    </row>
    <row r="601" ht="15" customHeight="1">
      <c r="A601" t="inlineStr">
        <is>
          <t>A 7858-2025</t>
        </is>
      </c>
      <c r="B601" s="1" t="n">
        <v>45706.68633101852</v>
      </c>
      <c r="C601" s="1" t="n">
        <v>46029</v>
      </c>
      <c r="D601" t="inlineStr">
        <is>
          <t>GOTLANDS LÄN</t>
        </is>
      </c>
      <c r="E601" t="inlineStr">
        <is>
          <t>GOTLAND</t>
        </is>
      </c>
      <c r="G601" t="n">
        <v>3</v>
      </c>
      <c r="H601" t="n">
        <v>0</v>
      </c>
      <c r="I601" t="n">
        <v>0</v>
      </c>
      <c r="J601" t="n">
        <v>0</v>
      </c>
      <c r="K601" t="n">
        <v>0</v>
      </c>
      <c r="L601" t="n">
        <v>0</v>
      </c>
      <c r="M601" t="n">
        <v>0</v>
      </c>
      <c r="N601" t="n">
        <v>0</v>
      </c>
      <c r="O601" t="n">
        <v>0</v>
      </c>
      <c r="P601" t="n">
        <v>0</v>
      </c>
      <c r="Q601" t="n">
        <v>0</v>
      </c>
      <c r="R601" s="2" t="inlineStr"/>
    </row>
    <row r="602" ht="15" customHeight="1">
      <c r="A602" t="inlineStr">
        <is>
          <t>A 53935-2024</t>
        </is>
      </c>
      <c r="B602" s="1" t="n">
        <v>45615</v>
      </c>
      <c r="C602" s="1" t="n">
        <v>46029</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18223-2025</t>
        </is>
      </c>
      <c r="B603" s="1" t="n">
        <v>45761</v>
      </c>
      <c r="C603" s="1" t="n">
        <v>46029</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4420-2025</t>
        </is>
      </c>
      <c r="B604" s="1" t="n">
        <v>45686.47157407407</v>
      </c>
      <c r="C604" s="1" t="n">
        <v>46029</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5891-2025</t>
        </is>
      </c>
      <c r="B605" s="1" t="n">
        <v>45695.38327546296</v>
      </c>
      <c r="C605" s="1" t="n">
        <v>46029</v>
      </c>
      <c r="D605" t="inlineStr">
        <is>
          <t>GOTLANDS LÄN</t>
        </is>
      </c>
      <c r="E605" t="inlineStr">
        <is>
          <t>GOTLAND</t>
        </is>
      </c>
      <c r="G605" t="n">
        <v>0.8</v>
      </c>
      <c r="H605" t="n">
        <v>0</v>
      </c>
      <c r="I605" t="n">
        <v>0</v>
      </c>
      <c r="J605" t="n">
        <v>0</v>
      </c>
      <c r="K605" t="n">
        <v>0</v>
      </c>
      <c r="L605" t="n">
        <v>0</v>
      </c>
      <c r="M605" t="n">
        <v>0</v>
      </c>
      <c r="N605" t="n">
        <v>0</v>
      </c>
      <c r="O605" t="n">
        <v>0</v>
      </c>
      <c r="P605" t="n">
        <v>0</v>
      </c>
      <c r="Q605" t="n">
        <v>0</v>
      </c>
      <c r="R605" s="2" t="inlineStr"/>
    </row>
    <row r="606" ht="15" customHeight="1">
      <c r="A606" t="inlineStr">
        <is>
          <t>A 7835-2024</t>
        </is>
      </c>
      <c r="B606" s="1" t="n">
        <v>45349.83138888889</v>
      </c>
      <c r="C606" s="1" t="n">
        <v>46029</v>
      </c>
      <c r="D606" t="inlineStr">
        <is>
          <t>GOTLANDS LÄN</t>
        </is>
      </c>
      <c r="E606" t="inlineStr">
        <is>
          <t>GOTLAND</t>
        </is>
      </c>
      <c r="G606" t="n">
        <v>3.8</v>
      </c>
      <c r="H606" t="n">
        <v>0</v>
      </c>
      <c r="I606" t="n">
        <v>0</v>
      </c>
      <c r="J606" t="n">
        <v>0</v>
      </c>
      <c r="K606" t="n">
        <v>0</v>
      </c>
      <c r="L606" t="n">
        <v>0</v>
      </c>
      <c r="M606" t="n">
        <v>0</v>
      </c>
      <c r="N606" t="n">
        <v>0</v>
      </c>
      <c r="O606" t="n">
        <v>0</v>
      </c>
      <c r="P606" t="n">
        <v>0</v>
      </c>
      <c r="Q606" t="n">
        <v>0</v>
      </c>
      <c r="R606" s="2" t="inlineStr"/>
    </row>
    <row r="607" ht="15" customHeight="1">
      <c r="A607" t="inlineStr">
        <is>
          <t>A 20794-2025</t>
        </is>
      </c>
      <c r="B607" s="1" t="n">
        <v>45776</v>
      </c>
      <c r="C607" s="1" t="n">
        <v>46029</v>
      </c>
      <c r="D607" t="inlineStr">
        <is>
          <t>GOTLANDS LÄN</t>
        </is>
      </c>
      <c r="E607" t="inlineStr">
        <is>
          <t>GOTLAND</t>
        </is>
      </c>
      <c r="G607" t="n">
        <v>6</v>
      </c>
      <c r="H607" t="n">
        <v>0</v>
      </c>
      <c r="I607" t="n">
        <v>0</v>
      </c>
      <c r="J607" t="n">
        <v>0</v>
      </c>
      <c r="K607" t="n">
        <v>0</v>
      </c>
      <c r="L607" t="n">
        <v>0</v>
      </c>
      <c r="M607" t="n">
        <v>0</v>
      </c>
      <c r="N607" t="n">
        <v>0</v>
      </c>
      <c r="O607" t="n">
        <v>0</v>
      </c>
      <c r="P607" t="n">
        <v>0</v>
      </c>
      <c r="Q607" t="n">
        <v>0</v>
      </c>
      <c r="R607" s="2" t="inlineStr"/>
    </row>
    <row r="608" ht="15" customHeight="1">
      <c r="A608" t="inlineStr">
        <is>
          <t>A 20805-2025</t>
        </is>
      </c>
      <c r="B608" s="1" t="n">
        <v>45776</v>
      </c>
      <c r="C608" s="1" t="n">
        <v>46029</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21389-2025</t>
        </is>
      </c>
      <c r="B609" s="1" t="n">
        <v>45782</v>
      </c>
      <c r="C609" s="1" t="n">
        <v>46029</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21651-2025</t>
        </is>
      </c>
      <c r="B610" s="1" t="n">
        <v>45783</v>
      </c>
      <c r="C610" s="1" t="n">
        <v>46029</v>
      </c>
      <c r="D610" t="inlineStr">
        <is>
          <t>GOTLANDS LÄN</t>
        </is>
      </c>
      <c r="E610" t="inlineStr">
        <is>
          <t>GOTLAND</t>
        </is>
      </c>
      <c r="G610" t="n">
        <v>4.2</v>
      </c>
      <c r="H610" t="n">
        <v>0</v>
      </c>
      <c r="I610" t="n">
        <v>0</v>
      </c>
      <c r="J610" t="n">
        <v>0</v>
      </c>
      <c r="K610" t="n">
        <v>0</v>
      </c>
      <c r="L610" t="n">
        <v>0</v>
      </c>
      <c r="M610" t="n">
        <v>0</v>
      </c>
      <c r="N610" t="n">
        <v>0</v>
      </c>
      <c r="O610" t="n">
        <v>0</v>
      </c>
      <c r="P610" t="n">
        <v>0</v>
      </c>
      <c r="Q610" t="n">
        <v>0</v>
      </c>
      <c r="R610" s="2" t="inlineStr"/>
    </row>
    <row r="611" ht="15" customHeight="1">
      <c r="A611" t="inlineStr">
        <is>
          <t>A 57356-2023</t>
        </is>
      </c>
      <c r="B611" s="1" t="n">
        <v>45240</v>
      </c>
      <c r="C611" s="1" t="n">
        <v>46029</v>
      </c>
      <c r="D611" t="inlineStr">
        <is>
          <t>GOTLANDS LÄN</t>
        </is>
      </c>
      <c r="E611" t="inlineStr">
        <is>
          <t>GOTLAND</t>
        </is>
      </c>
      <c r="G611" t="n">
        <v>6.4</v>
      </c>
      <c r="H611" t="n">
        <v>0</v>
      </c>
      <c r="I611" t="n">
        <v>0</v>
      </c>
      <c r="J611" t="n">
        <v>0</v>
      </c>
      <c r="K611" t="n">
        <v>0</v>
      </c>
      <c r="L611" t="n">
        <v>0</v>
      </c>
      <c r="M611" t="n">
        <v>0</v>
      </c>
      <c r="N611" t="n">
        <v>0</v>
      </c>
      <c r="O611" t="n">
        <v>0</v>
      </c>
      <c r="P611" t="n">
        <v>0</v>
      </c>
      <c r="Q611" t="n">
        <v>0</v>
      </c>
      <c r="R611" s="2" t="inlineStr"/>
    </row>
    <row r="612" ht="15" customHeight="1">
      <c r="A612" t="inlineStr">
        <is>
          <t>A 10656-2024</t>
        </is>
      </c>
      <c r="B612" s="1" t="n">
        <v>45368</v>
      </c>
      <c r="C612" s="1" t="n">
        <v>46029</v>
      </c>
      <c r="D612" t="inlineStr">
        <is>
          <t>GOTLANDS LÄN</t>
        </is>
      </c>
      <c r="E612" t="inlineStr">
        <is>
          <t>GOTLAND</t>
        </is>
      </c>
      <c r="G612" t="n">
        <v>1.5</v>
      </c>
      <c r="H612" t="n">
        <v>0</v>
      </c>
      <c r="I612" t="n">
        <v>0</v>
      </c>
      <c r="J612" t="n">
        <v>0</v>
      </c>
      <c r="K612" t="n">
        <v>0</v>
      </c>
      <c r="L612" t="n">
        <v>0</v>
      </c>
      <c r="M612" t="n">
        <v>0</v>
      </c>
      <c r="N612" t="n">
        <v>0</v>
      </c>
      <c r="O612" t="n">
        <v>0</v>
      </c>
      <c r="P612" t="n">
        <v>0</v>
      </c>
      <c r="Q612" t="n">
        <v>0</v>
      </c>
      <c r="R612" s="2" t="inlineStr"/>
    </row>
    <row r="613" ht="15" customHeight="1">
      <c r="A613" t="inlineStr">
        <is>
          <t>A 28506-2023</t>
        </is>
      </c>
      <c r="B613" s="1" t="n">
        <v>45103</v>
      </c>
      <c r="C613" s="1" t="n">
        <v>46029</v>
      </c>
      <c r="D613" t="inlineStr">
        <is>
          <t>GOTLANDS LÄN</t>
        </is>
      </c>
      <c r="E613" t="inlineStr">
        <is>
          <t>GOTLAND</t>
        </is>
      </c>
      <c r="G613" t="n">
        <v>3.2</v>
      </c>
      <c r="H613" t="n">
        <v>0</v>
      </c>
      <c r="I613" t="n">
        <v>0</v>
      </c>
      <c r="J613" t="n">
        <v>0</v>
      </c>
      <c r="K613" t="n">
        <v>0</v>
      </c>
      <c r="L613" t="n">
        <v>0</v>
      </c>
      <c r="M613" t="n">
        <v>0</v>
      </c>
      <c r="N613" t="n">
        <v>0</v>
      </c>
      <c r="O613" t="n">
        <v>0</v>
      </c>
      <c r="P613" t="n">
        <v>0</v>
      </c>
      <c r="Q613" t="n">
        <v>0</v>
      </c>
      <c r="R613" s="2" t="inlineStr"/>
    </row>
    <row r="614" ht="15" customHeight="1">
      <c r="A614" t="inlineStr">
        <is>
          <t>A 21420-2024</t>
        </is>
      </c>
      <c r="B614" s="1" t="n">
        <v>45441.38293981482</v>
      </c>
      <c r="C614" s="1" t="n">
        <v>46029</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23188-2025</t>
        </is>
      </c>
      <c r="B615" s="1" t="n">
        <v>45791</v>
      </c>
      <c r="C615" s="1" t="n">
        <v>46029</v>
      </c>
      <c r="D615" t="inlineStr">
        <is>
          <t>GOTLANDS LÄN</t>
        </is>
      </c>
      <c r="E615" t="inlineStr">
        <is>
          <t>GOTLAND</t>
        </is>
      </c>
      <c r="G615" t="n">
        <v>6.2</v>
      </c>
      <c r="H615" t="n">
        <v>0</v>
      </c>
      <c r="I615" t="n">
        <v>0</v>
      </c>
      <c r="J615" t="n">
        <v>0</v>
      </c>
      <c r="K615" t="n">
        <v>0</v>
      </c>
      <c r="L615" t="n">
        <v>0</v>
      </c>
      <c r="M615" t="n">
        <v>0</v>
      </c>
      <c r="N615" t="n">
        <v>0</v>
      </c>
      <c r="O615" t="n">
        <v>0</v>
      </c>
      <c r="P615" t="n">
        <v>0</v>
      </c>
      <c r="Q615" t="n">
        <v>0</v>
      </c>
      <c r="R615" s="2" t="inlineStr"/>
    </row>
    <row r="616" ht="15" customHeight="1">
      <c r="A616" t="inlineStr">
        <is>
          <t>A 23473-2025</t>
        </is>
      </c>
      <c r="B616" s="1" t="n">
        <v>45792</v>
      </c>
      <c r="C616" s="1" t="n">
        <v>46029</v>
      </c>
      <c r="D616" t="inlineStr">
        <is>
          <t>GOTLANDS LÄN</t>
        </is>
      </c>
      <c r="E616" t="inlineStr">
        <is>
          <t>GOTLAND</t>
        </is>
      </c>
      <c r="G616" t="n">
        <v>3.6</v>
      </c>
      <c r="H616" t="n">
        <v>0</v>
      </c>
      <c r="I616" t="n">
        <v>0</v>
      </c>
      <c r="J616" t="n">
        <v>0</v>
      </c>
      <c r="K616" t="n">
        <v>0</v>
      </c>
      <c r="L616" t="n">
        <v>0</v>
      </c>
      <c r="M616" t="n">
        <v>0</v>
      </c>
      <c r="N616" t="n">
        <v>0</v>
      </c>
      <c r="O616" t="n">
        <v>0</v>
      </c>
      <c r="P616" t="n">
        <v>0</v>
      </c>
      <c r="Q616" t="n">
        <v>0</v>
      </c>
      <c r="R616" s="2" t="inlineStr"/>
    </row>
    <row r="617" ht="15" customHeight="1">
      <c r="A617" t="inlineStr">
        <is>
          <t>A 23856-2025</t>
        </is>
      </c>
      <c r="B617" s="1" t="n">
        <v>45793</v>
      </c>
      <c r="C617" s="1" t="n">
        <v>46029</v>
      </c>
      <c r="D617" t="inlineStr">
        <is>
          <t>GOTLANDS LÄN</t>
        </is>
      </c>
      <c r="E617" t="inlineStr">
        <is>
          <t>GOTLAND</t>
        </is>
      </c>
      <c r="G617" t="n">
        <v>4.4</v>
      </c>
      <c r="H617" t="n">
        <v>0</v>
      </c>
      <c r="I617" t="n">
        <v>0</v>
      </c>
      <c r="J617" t="n">
        <v>0</v>
      </c>
      <c r="K617" t="n">
        <v>0</v>
      </c>
      <c r="L617" t="n">
        <v>0</v>
      </c>
      <c r="M617" t="n">
        <v>0</v>
      </c>
      <c r="N617" t="n">
        <v>0</v>
      </c>
      <c r="O617" t="n">
        <v>0</v>
      </c>
      <c r="P617" t="n">
        <v>0</v>
      </c>
      <c r="Q617" t="n">
        <v>0</v>
      </c>
      <c r="R617" s="2" t="inlineStr"/>
    </row>
    <row r="618" ht="15" customHeight="1">
      <c r="A618" t="inlineStr">
        <is>
          <t>A 15073-2025</t>
        </is>
      </c>
      <c r="B618" s="1" t="n">
        <v>45743</v>
      </c>
      <c r="C618" s="1" t="n">
        <v>46029</v>
      </c>
      <c r="D618" t="inlineStr">
        <is>
          <t>GOTLANDS LÄN</t>
        </is>
      </c>
      <c r="E618" t="inlineStr">
        <is>
          <t>GOTLAND</t>
        </is>
      </c>
      <c r="G618" t="n">
        <v>12.1</v>
      </c>
      <c r="H618" t="n">
        <v>0</v>
      </c>
      <c r="I618" t="n">
        <v>0</v>
      </c>
      <c r="J618" t="n">
        <v>0</v>
      </c>
      <c r="K618" t="n">
        <v>0</v>
      </c>
      <c r="L618" t="n">
        <v>0</v>
      </c>
      <c r="M618" t="n">
        <v>0</v>
      </c>
      <c r="N618" t="n">
        <v>0</v>
      </c>
      <c r="O618" t="n">
        <v>0</v>
      </c>
      <c r="P618" t="n">
        <v>0</v>
      </c>
      <c r="Q618" t="n">
        <v>0</v>
      </c>
      <c r="R618" s="2" t="inlineStr"/>
    </row>
    <row r="619" ht="15" customHeight="1">
      <c r="A619" t="inlineStr">
        <is>
          <t>A 6749-2025</t>
        </is>
      </c>
      <c r="B619" s="1" t="n">
        <v>45700</v>
      </c>
      <c r="C619" s="1" t="n">
        <v>46029</v>
      </c>
      <c r="D619" t="inlineStr">
        <is>
          <t>GOTLANDS LÄN</t>
        </is>
      </c>
      <c r="E619" t="inlineStr">
        <is>
          <t>GOTLAND</t>
        </is>
      </c>
      <c r="G619" t="n">
        <v>4.5</v>
      </c>
      <c r="H619" t="n">
        <v>0</v>
      </c>
      <c r="I619" t="n">
        <v>0</v>
      </c>
      <c r="J619" t="n">
        <v>0</v>
      </c>
      <c r="K619" t="n">
        <v>0</v>
      </c>
      <c r="L619" t="n">
        <v>0</v>
      </c>
      <c r="M619" t="n">
        <v>0</v>
      </c>
      <c r="N619" t="n">
        <v>0</v>
      </c>
      <c r="O619" t="n">
        <v>0</v>
      </c>
      <c r="P619" t="n">
        <v>0</v>
      </c>
      <c r="Q619" t="n">
        <v>0</v>
      </c>
      <c r="R619" s="2" t="inlineStr"/>
    </row>
    <row r="620">
      <c r="A620" t="inlineStr">
        <is>
          <t>A 23698-2025</t>
        </is>
      </c>
      <c r="B620" s="1" t="n">
        <v>45793</v>
      </c>
      <c r="C620" s="1" t="n">
        <v>46029</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2026-01-07T10:44:34Z</dcterms:created>
  <dcterms:modified xmlns:dcterms="http://purl.org/dc/terms/" xmlns:xsi="http://www.w3.org/2001/XMLSchema-instance" xsi:type="dcterms:W3CDTF">2026-01-07T10:44:34Z</dcterms:modified>
</cp:coreProperties>
</file>