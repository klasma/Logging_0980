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46115</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46115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46115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46115</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46115</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46115</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46115</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46115</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46115</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46115</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46115</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46115</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46115</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46115</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24575-2025</t>
        </is>
      </c>
      <c r="B22" s="1" t="n">
        <v>45798</v>
      </c>
      <c r="C22" s="1" t="n">
        <v>46115</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34100-2024</t>
        </is>
      </c>
      <c r="B23" s="1" t="n">
        <v>45523</v>
      </c>
      <c r="C23" s="1" t="n">
        <v>46115</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46115</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6153-2024</t>
        </is>
      </c>
      <c r="B25" s="1" t="n">
        <v>45337</v>
      </c>
      <c r="C25" s="1" t="n">
        <v>46115</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46115</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46115</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46115</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46115</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46115</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46115</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46115</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46115</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46115</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46115</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46115</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46115</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46115</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46115</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46115</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46115</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46115</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46115</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46115</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46115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46115</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1719-2025</t>
        </is>
      </c>
      <c r="B47" s="1" t="n">
        <v>45671</v>
      </c>
      <c r="C47" s="1" t="n">
        <v>46115</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14354-2024</t>
        </is>
      </c>
      <c r="B48" s="1" t="n">
        <v>45393</v>
      </c>
      <c r="C48" s="1" t="n">
        <v>46115</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17766-2024</t>
        </is>
      </c>
      <c r="B49" s="1" t="n">
        <v>45418</v>
      </c>
      <c r="C49" s="1" t="n">
        <v>46115</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46115</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46115</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46115</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46115</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46115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46115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46115</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46115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46115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46115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46115</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46115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46115</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46115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46115</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56687-2025</t>
        </is>
      </c>
      <c r="B65" s="1" t="n">
        <v>45975.84065972222</v>
      </c>
      <c r="C65" s="1" t="n">
        <v>46115</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46115</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46115</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46115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446-2023</t>
        </is>
      </c>
      <c r="B69" s="1" t="n">
        <v>44929</v>
      </c>
      <c r="C69" s="1" t="n">
        <v>46115</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46115</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2085-2023</t>
        </is>
      </c>
      <c r="B71" s="1" t="n">
        <v>44939</v>
      </c>
      <c r="C71" s="1" t="n">
        <v>46115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46115</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46115</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46115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46115</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46115</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46115</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46115</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46115</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46115</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46115</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10274-2026</t>
        </is>
      </c>
      <c r="B82" s="1" t="n">
        <v>46076.58261574074</v>
      </c>
      <c r="C82" s="1" t="n">
        <v>46115</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39425-2023</t>
        </is>
      </c>
      <c r="B83" s="1" t="n">
        <v>45166</v>
      </c>
      <c r="C83" s="1" t="n">
        <v>46115</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52245-2025</t>
        </is>
      </c>
      <c r="B84" s="1" t="n">
        <v>45953.47115740741</v>
      </c>
      <c r="C84" s="1" t="n">
        <v>46115</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46115</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2213-2023</t>
        </is>
      </c>
      <c r="B86" s="1" t="n">
        <v>44942</v>
      </c>
      <c r="C86" s="1" t="n">
        <v>46115</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46115</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46115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46115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6159-2023</t>
        </is>
      </c>
      <c r="B90" s="1" t="n">
        <v>44964</v>
      </c>
      <c r="C90" s="1" t="n">
        <v>46115</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40099-2025</t>
        </is>
      </c>
      <c r="B91" s="1" t="n">
        <v>45894.48462962963</v>
      </c>
      <c r="C91" s="1" t="n">
        <v>46115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43197-2023</t>
        </is>
      </c>
      <c r="B92" s="1" t="n">
        <v>45183</v>
      </c>
      <c r="C92" s="1" t="n">
        <v>46115</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46115</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46115</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46115</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57463-2025</t>
        </is>
      </c>
      <c r="B96" s="1" t="n">
        <v>45980.54174768519</v>
      </c>
      <c r="C96" s="1" t="n">
        <v>46115</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46115</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44933-2022</t>
        </is>
      </c>
      <c r="B98" s="1" t="n">
        <v>44841</v>
      </c>
      <c r="C98" s="1" t="n">
        <v>46115</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46115</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13203-2026</t>
        </is>
      </c>
      <c r="B100" s="1" t="n">
        <v>46093</v>
      </c>
      <c r="C100" s="1" t="n">
        <v>46115</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6836-2026</t>
        </is>
      </c>
      <c r="B101" s="1" t="n">
        <v>46057.40902777778</v>
      </c>
      <c r="C101" s="1" t="n">
        <v>46115</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8265-2023</t>
        </is>
      </c>
      <c r="B102" s="1" t="n">
        <v>44974</v>
      </c>
      <c r="C102" s="1" t="n">
        <v>46115</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46115</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46115</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46115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46115</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30490-2025</t>
        </is>
      </c>
      <c r="B109" s="1" t="n">
        <v>45830</v>
      </c>
      <c r="C109" s="1" t="n">
        <v>46115</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55334-2024</t>
        </is>
      </c>
      <c r="B110" s="1" t="n">
        <v>45621</v>
      </c>
      <c r="C110" s="1" t="n">
        <v>46115</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49709-2025</t>
        </is>
      </c>
      <c r="B111" s="1" t="n">
        <v>45939.68228009259</v>
      </c>
      <c r="C111" s="1" t="n">
        <v>46115</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20831-2024</t>
        </is>
      </c>
      <c r="B112" s="1" t="n">
        <v>45439</v>
      </c>
      <c r="C112" s="1" t="n">
        <v>46115</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46115</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46115</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46115</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1520-2026</t>
        </is>
      </c>
      <c r="B116" s="1" t="n">
        <v>46034.35891203704</v>
      </c>
      <c r="C116" s="1" t="n">
        <v>46115</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17982-2023</t>
        </is>
      </c>
      <c r="B117" s="1" t="n">
        <v>45040</v>
      </c>
      <c r="C117" s="1" t="n">
        <v>46115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46115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46115</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46115</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46115</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46115</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46115</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46115</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46115</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46115</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21879-2025</t>
        </is>
      </c>
      <c r="B127" s="1" t="n">
        <v>45784.40533564815</v>
      </c>
      <c r="C127" s="1" t="n">
        <v>46115</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26077-2024</t>
        </is>
      </c>
      <c r="B128" s="1" t="n">
        <v>45467</v>
      </c>
      <c r="C128" s="1" t="n">
        <v>46115</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20429-2025</t>
        </is>
      </c>
      <c r="B129" s="1" t="n">
        <v>45775.47728009259</v>
      </c>
      <c r="C129" s="1" t="n">
        <v>46115</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20838-2024</t>
        </is>
      </c>
      <c r="B130" s="1" t="n">
        <v>45439</v>
      </c>
      <c r="C130" s="1" t="n">
        <v>46115</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46115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46115</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46115</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46115</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62760-2025</t>
        </is>
      </c>
      <c r="B135" s="1" t="n">
        <v>46008</v>
      </c>
      <c r="C135" s="1" t="n">
        <v>46115</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28261-2024</t>
        </is>
      </c>
      <c r="B136" s="1" t="n">
        <v>45477</v>
      </c>
      <c r="C136" s="1" t="n">
        <v>46115</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63162-2025</t>
        </is>
      </c>
      <c r="B137" s="1" t="n">
        <v>46010.37629629629</v>
      </c>
      <c r="C137" s="1" t="n">
        <v>46115</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16997-2026</t>
        </is>
      </c>
      <c r="B138" s="1" t="n">
        <v>46114.42539351852</v>
      </c>
      <c r="C138" s="1" t="n">
        <v>46115</v>
      </c>
      <c r="D138" t="inlineStr">
        <is>
          <t>GOTLANDS LÄN</t>
        </is>
      </c>
      <c r="E138" t="inlineStr">
        <is>
          <t>GOTLAND</t>
        </is>
      </c>
      <c r="G138" t="n">
        <v>0.7</v>
      </c>
      <c r="H138" t="n">
        <v>0</v>
      </c>
      <c r="I138" t="n">
        <v>1</v>
      </c>
      <c r="J138" t="n">
        <v>0</v>
      </c>
      <c r="K138" t="n">
        <v>0</v>
      </c>
      <c r="L138" t="n">
        <v>1</v>
      </c>
      <c r="M138" t="n">
        <v>0</v>
      </c>
      <c r="N138" t="n">
        <v>0</v>
      </c>
      <c r="O138" t="n">
        <v>1</v>
      </c>
      <c r="P138" t="n">
        <v>1</v>
      </c>
      <c r="Q138" t="n">
        <v>2</v>
      </c>
      <c r="R138" s="2" t="inlineStr">
        <is>
          <t>Ask
Hasselticka</t>
        </is>
      </c>
      <c r="S138">
        <f>HYPERLINK("https://klasma.github.io/Logging_0980/artfynd/A 16997-2026 artfynd.xlsx", "A 16997-2026")</f>
        <v/>
      </c>
      <c r="T138">
        <f>HYPERLINK("https://klasma.github.io/Logging_0980/kartor/A 16997-2026 karta.png", "A 16997-2026")</f>
        <v/>
      </c>
      <c r="V138">
        <f>HYPERLINK("https://klasma.github.io/Logging_0980/klagomål/A 16997-2026 FSC-klagomål.docx", "A 16997-2026")</f>
        <v/>
      </c>
      <c r="W138">
        <f>HYPERLINK("https://klasma.github.io/Logging_0980/klagomålsmail/A 16997-2026 FSC-klagomål mail.docx", "A 16997-2026")</f>
        <v/>
      </c>
      <c r="X138">
        <f>HYPERLINK("https://klasma.github.io/Logging_0980/tillsyn/A 16997-2026 tillsynsbegäran.docx", "A 16997-2026")</f>
        <v/>
      </c>
      <c r="Y138">
        <f>HYPERLINK("https://klasma.github.io/Logging_0980/tillsynsmail/A 16997-2026 tillsynsbegäran mail.docx", "A 16997-2026")</f>
        <v/>
      </c>
    </row>
    <row r="139" ht="15" customHeight="1">
      <c r="A139" t="inlineStr">
        <is>
          <t>A 55649-2024</t>
        </is>
      </c>
      <c r="B139" s="1" t="n">
        <v>45622.63053240741</v>
      </c>
      <c r="C139" s="1" t="n">
        <v>46115</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28276-2024</t>
        </is>
      </c>
      <c r="B140" s="1" t="n">
        <v>45477</v>
      </c>
      <c r="C140" s="1" t="n">
        <v>46115</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46115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46115</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46115</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46115</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21466-2025</t>
        </is>
      </c>
      <c r="B145" s="1" t="n">
        <v>45782</v>
      </c>
      <c r="C145" s="1" t="n">
        <v>46115</v>
      </c>
      <c r="D145" t="inlineStr">
        <is>
          <t>GOTLANDS LÄN</t>
        </is>
      </c>
      <c r="E145" t="inlineStr">
        <is>
          <t>GOTLAND</t>
        </is>
      </c>
      <c r="F145" t="inlineStr">
        <is>
          <t>Övriga statliga verk och myndigheter</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HYPERLINK("https://klasma.github.io/Logging_0980/artfynd/A 21466-2025 artfynd.xlsx", "A 21466-2025")</f>
        <v/>
      </c>
      <c r="T145">
        <f>HYPERLINK("https://klasma.github.io/Logging_0980/kartor/A 21466-2025 karta.png", "A 21466-2025")</f>
        <v/>
      </c>
      <c r="V145">
        <f>HYPERLINK("https://klasma.github.io/Logging_0980/klagomål/A 21466-2025 FSC-klagomål.docx", "A 21466-2025")</f>
        <v/>
      </c>
      <c r="W145">
        <f>HYPERLINK("https://klasma.github.io/Logging_0980/klagomålsmail/A 21466-2025 FSC-klagomål mail.docx", "A 21466-2025")</f>
        <v/>
      </c>
      <c r="X145">
        <f>HYPERLINK("https://klasma.github.io/Logging_0980/tillsyn/A 21466-2025 tillsynsbegäran.docx", "A 21466-2025")</f>
        <v/>
      </c>
      <c r="Y145">
        <f>HYPERLINK("https://klasma.github.io/Logging_0980/tillsynsmail/A 21466-2025 tillsynsbegäran mail.docx", "A 21466-2025")</f>
        <v/>
      </c>
    </row>
    <row r="146" ht="15" customHeight="1">
      <c r="A146" t="inlineStr">
        <is>
          <t>A 10440-2024</t>
        </is>
      </c>
      <c r="B146" s="1" t="n">
        <v>45366.32818287037</v>
      </c>
      <c r="C146" s="1" t="n">
        <v>46115</v>
      </c>
      <c r="D146" t="inlineStr">
        <is>
          <t>GOTLANDS LÄN</t>
        </is>
      </c>
      <c r="E146" t="inlineStr">
        <is>
          <t>GOTLAND</t>
        </is>
      </c>
      <c r="G146" t="n">
        <v>2.5</v>
      </c>
      <c r="H146" t="n">
        <v>1</v>
      </c>
      <c r="I146" t="n">
        <v>0</v>
      </c>
      <c r="J146" t="n">
        <v>1</v>
      </c>
      <c r="K146" t="n">
        <v>0</v>
      </c>
      <c r="L146" t="n">
        <v>0</v>
      </c>
      <c r="M146" t="n">
        <v>0</v>
      </c>
      <c r="N146" t="n">
        <v>0</v>
      </c>
      <c r="O146" t="n">
        <v>1</v>
      </c>
      <c r="P146" t="n">
        <v>0</v>
      </c>
      <c r="Q146" t="n">
        <v>1</v>
      </c>
      <c r="R146" s="2" t="inlineStr">
        <is>
          <t>Mindre hackspett</t>
        </is>
      </c>
      <c r="S146">
        <f>HYPERLINK("https://klasma.github.io/Logging_0980/artfynd/A 10440-2024 artfynd.xlsx", "A 10440-2024")</f>
        <v/>
      </c>
      <c r="T146">
        <f>HYPERLINK("https://klasma.github.io/Logging_0980/kartor/A 10440-2024 karta.png", "A 10440-2024")</f>
        <v/>
      </c>
      <c r="V146">
        <f>HYPERLINK("https://klasma.github.io/Logging_0980/klagomål/A 10440-2024 FSC-klagomål.docx", "A 10440-2024")</f>
        <v/>
      </c>
      <c r="W146">
        <f>HYPERLINK("https://klasma.github.io/Logging_0980/klagomålsmail/A 10440-2024 FSC-klagomål mail.docx", "A 10440-2024")</f>
        <v/>
      </c>
      <c r="X146">
        <f>HYPERLINK("https://klasma.github.io/Logging_0980/tillsyn/A 10440-2024 tillsynsbegäran.docx", "A 10440-2024")</f>
        <v/>
      </c>
      <c r="Y146">
        <f>HYPERLINK("https://klasma.github.io/Logging_0980/tillsynsmail/A 10440-2024 tillsynsbegäran mail.docx", "A 10440-2024")</f>
        <v/>
      </c>
      <c r="Z146">
        <f>HYPERLINK("https://klasma.github.io/Logging_0980/fåglar/A 10440-2024 prioriterade fågelarter.docx", "A 10440-2024")</f>
        <v/>
      </c>
    </row>
    <row r="147" ht="15" customHeight="1">
      <c r="A147" t="inlineStr">
        <is>
          <t>A 44304-2021</t>
        </is>
      </c>
      <c r="B147" s="1" t="n">
        <v>44434</v>
      </c>
      <c r="C147" s="1" t="n">
        <v>46115</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39812-2025</t>
        </is>
      </c>
      <c r="B148" s="1" t="n">
        <v>45891</v>
      </c>
      <c r="C148" s="1" t="n">
        <v>46115</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25977-2024</t>
        </is>
      </c>
      <c r="B149" s="1" t="n">
        <v>45467.69356481481</v>
      </c>
      <c r="C149" s="1" t="n">
        <v>46115</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26461-2025</t>
        </is>
      </c>
      <c r="B150" s="1" t="n">
        <v>45807.43337962963</v>
      </c>
      <c r="C150" s="1" t="n">
        <v>46115</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65927-2021</t>
        </is>
      </c>
      <c r="B151" s="1" t="n">
        <v>44516</v>
      </c>
      <c r="C151" s="1" t="n">
        <v>46115</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35467-2021</t>
        </is>
      </c>
      <c r="B152" s="1" t="n">
        <v>44385</v>
      </c>
      <c r="C152" s="1" t="n">
        <v>46115</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61796-2022</t>
        </is>
      </c>
      <c r="B153" s="1" t="n">
        <v>44917</v>
      </c>
      <c r="C153" s="1" t="n">
        <v>46115</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44619-2025</t>
        </is>
      </c>
      <c r="B154" s="1" t="n">
        <v>45917</v>
      </c>
      <c r="C154" s="1" t="n">
        <v>46115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46115</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34141-2024</t>
        </is>
      </c>
      <c r="B156" s="1" t="n">
        <v>45524.36229166666</v>
      </c>
      <c r="C156" s="1" t="n">
        <v>46115</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46115</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49726-2025</t>
        </is>
      </c>
      <c r="B158" s="1" t="n">
        <v>45939.84466435185</v>
      </c>
      <c r="C158" s="1" t="n">
        <v>46115</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2476-2025</t>
        </is>
      </c>
      <c r="B159" s="1" t="n">
        <v>45673</v>
      </c>
      <c r="C159" s="1" t="n">
        <v>46115</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10995-2023</t>
        </is>
      </c>
      <c r="B160" s="1" t="n">
        <v>44986</v>
      </c>
      <c r="C160" s="1" t="n">
        <v>46115</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12924-2025</t>
        </is>
      </c>
      <c r="B161" s="1" t="n">
        <v>45734</v>
      </c>
      <c r="C161" s="1" t="n">
        <v>46115</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62552-2022</t>
        </is>
      </c>
      <c r="B162" s="1" t="n">
        <v>44924</v>
      </c>
      <c r="C162" s="1" t="n">
        <v>46115</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46115</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46115</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46115</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46115</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46115</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46115</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46115</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63149-2025</t>
        </is>
      </c>
      <c r="B170" s="1" t="n">
        <v>46010</v>
      </c>
      <c r="C170" s="1" t="n">
        <v>46115</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27589-2023</t>
        </is>
      </c>
      <c r="B171" s="1" t="n">
        <v>45097</v>
      </c>
      <c r="C171" s="1" t="n">
        <v>46115</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46115</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46115</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46115</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11708-2026</t>
        </is>
      </c>
      <c r="B175" s="1" t="n">
        <v>46084</v>
      </c>
      <c r="C175" s="1" t="n">
        <v>46115</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6303-2024</t>
        </is>
      </c>
      <c r="B176" s="1" t="n">
        <v>45338.35376157407</v>
      </c>
      <c r="C176" s="1" t="n">
        <v>46115</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10013-2026</t>
        </is>
      </c>
      <c r="B177" s="1" t="n">
        <v>46073</v>
      </c>
      <c r="C177" s="1" t="n">
        <v>46115</v>
      </c>
      <c r="D177" t="inlineStr">
        <is>
          <t>GOTLANDS LÄN</t>
        </is>
      </c>
      <c r="E177" t="inlineStr">
        <is>
          <t>GOTLAND</t>
        </is>
      </c>
      <c r="G177" t="n">
        <v>10.5</v>
      </c>
      <c r="H177" t="n">
        <v>0</v>
      </c>
      <c r="I177" t="n">
        <v>0</v>
      </c>
      <c r="J177" t="n">
        <v>0</v>
      </c>
      <c r="K177" t="n">
        <v>1</v>
      </c>
      <c r="L177" t="n">
        <v>0</v>
      </c>
      <c r="M177" t="n">
        <v>0</v>
      </c>
      <c r="N177" t="n">
        <v>0</v>
      </c>
      <c r="O177" t="n">
        <v>1</v>
      </c>
      <c r="P177" t="n">
        <v>1</v>
      </c>
      <c r="Q177" t="n">
        <v>1</v>
      </c>
      <c r="R177" s="2" t="inlineStr">
        <is>
          <t>Skogskorn</t>
        </is>
      </c>
      <c r="S177">
        <f>HYPERLINK("https://klasma.github.io/Logging_0980/artfynd/A 10013-2026 artfynd.xlsx", "A 10013-2026")</f>
        <v/>
      </c>
      <c r="T177">
        <f>HYPERLINK("https://klasma.github.io/Logging_0980/kartor/A 10013-2026 karta.png", "A 10013-2026")</f>
        <v/>
      </c>
      <c r="V177">
        <f>HYPERLINK("https://klasma.github.io/Logging_0980/klagomål/A 10013-2026 FSC-klagomål.docx", "A 10013-2026")</f>
        <v/>
      </c>
      <c r="W177">
        <f>HYPERLINK("https://klasma.github.io/Logging_0980/klagomålsmail/A 10013-2026 FSC-klagomål mail.docx", "A 10013-2026")</f>
        <v/>
      </c>
      <c r="X177">
        <f>HYPERLINK("https://klasma.github.io/Logging_0980/tillsyn/A 10013-2026 tillsynsbegäran.docx", "A 10013-2026")</f>
        <v/>
      </c>
      <c r="Y177">
        <f>HYPERLINK("https://klasma.github.io/Logging_0980/tillsynsmail/A 10013-2026 tillsynsbegäran mail.docx", "A 10013-2026")</f>
        <v/>
      </c>
    </row>
    <row r="178" ht="15" customHeight="1">
      <c r="A178" t="inlineStr">
        <is>
          <t>A 34809-2024</t>
        </is>
      </c>
      <c r="B178" s="1" t="n">
        <v>45526</v>
      </c>
      <c r="C178" s="1" t="n">
        <v>46115</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61561-2023</t>
        </is>
      </c>
      <c r="B179" s="1" t="n">
        <v>45265</v>
      </c>
      <c r="C179" s="1" t="n">
        <v>46115</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46115</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46115</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46115</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46115</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46115</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46115</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46115</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19901-2021</t>
        </is>
      </c>
      <c r="B187" s="1" t="n">
        <v>44312</v>
      </c>
      <c r="C187" s="1" t="n">
        <v>46115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46115</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46115</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46115</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46115</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46115</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46115</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46115</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46115</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46115</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46115</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46115</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46115</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46115</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46115</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46115</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46115</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46115</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46115</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46115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46115</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46115</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46115</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46115</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46115</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46115</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46115</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46115</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46115</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46115</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46115</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46115</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46115</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46115</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46115</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46115</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46115</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46115</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46115</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46115</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30282-2022</t>
        </is>
      </c>
      <c r="B229" s="1" t="n">
        <v>44760</v>
      </c>
      <c r="C229" s="1" t="n">
        <v>46115</v>
      </c>
      <c r="D229" t="inlineStr">
        <is>
          <t>GOTLANDS LÄN</t>
        </is>
      </c>
      <c r="E229" t="inlineStr">
        <is>
          <t>GOTLAND</t>
        </is>
      </c>
      <c r="G229" t="n">
        <v>2.6</v>
      </c>
      <c r="H229" t="n">
        <v>0</v>
      </c>
      <c r="I229" t="n">
        <v>0</v>
      </c>
      <c r="J229" t="n">
        <v>0</v>
      </c>
      <c r="K229" t="n">
        <v>0</v>
      </c>
      <c r="L229" t="n">
        <v>0</v>
      </c>
      <c r="M229" t="n">
        <v>0</v>
      </c>
      <c r="N229" t="n">
        <v>0</v>
      </c>
      <c r="O229" t="n">
        <v>0</v>
      </c>
      <c r="P229" t="n">
        <v>0</v>
      </c>
      <c r="Q229" t="n">
        <v>0</v>
      </c>
      <c r="R229" s="2" t="inlineStr"/>
    </row>
    <row r="230" ht="15" customHeight="1">
      <c r="A230" t="inlineStr">
        <is>
          <t>A 4868-2024</t>
        </is>
      </c>
      <c r="B230" s="1" t="n">
        <v>45329</v>
      </c>
      <c r="C230" s="1" t="n">
        <v>46115</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32330-2024</t>
        </is>
      </c>
      <c r="B231" s="1" t="n">
        <v>45512</v>
      </c>
      <c r="C231" s="1" t="n">
        <v>46115</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5751-2024</t>
        </is>
      </c>
      <c r="B232" s="1" t="n">
        <v>45335.32702546296</v>
      </c>
      <c r="C232" s="1" t="n">
        <v>46115</v>
      </c>
      <c r="D232" t="inlineStr">
        <is>
          <t>GOTLANDS LÄN</t>
        </is>
      </c>
      <c r="E232" t="inlineStr">
        <is>
          <t>GOTLAND</t>
        </is>
      </c>
      <c r="G232" t="n">
        <v>4.2</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46115</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46115</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24966-2023</t>
        </is>
      </c>
      <c r="B235" s="1" t="n">
        <v>45085</v>
      </c>
      <c r="C235" s="1" t="n">
        <v>46115</v>
      </c>
      <c r="D235" t="inlineStr">
        <is>
          <t>GOTLANDS LÄN</t>
        </is>
      </c>
      <c r="E235" t="inlineStr">
        <is>
          <t>GOTLAND</t>
        </is>
      </c>
      <c r="G235" t="n">
        <v>7</v>
      </c>
      <c r="H235" t="n">
        <v>0</v>
      </c>
      <c r="I235" t="n">
        <v>0</v>
      </c>
      <c r="J235" t="n">
        <v>0</v>
      </c>
      <c r="K235" t="n">
        <v>0</v>
      </c>
      <c r="L235" t="n">
        <v>0</v>
      </c>
      <c r="M235" t="n">
        <v>0</v>
      </c>
      <c r="N235" t="n">
        <v>0</v>
      </c>
      <c r="O235" t="n">
        <v>0</v>
      </c>
      <c r="P235" t="n">
        <v>0</v>
      </c>
      <c r="Q235" t="n">
        <v>0</v>
      </c>
      <c r="R235" s="2" t="inlineStr"/>
    </row>
    <row r="236" ht="15" customHeight="1">
      <c r="A236" t="inlineStr">
        <is>
          <t>A 46189-2022</t>
        </is>
      </c>
      <c r="B236" s="1" t="n">
        <v>44847</v>
      </c>
      <c r="C236" s="1" t="n">
        <v>46115</v>
      </c>
      <c r="D236" t="inlineStr">
        <is>
          <t>GOTLANDS LÄN</t>
        </is>
      </c>
      <c r="E236" t="inlineStr">
        <is>
          <t>GOTLAND</t>
        </is>
      </c>
      <c r="G236" t="n">
        <v>0.4</v>
      </c>
      <c r="H236" t="n">
        <v>0</v>
      </c>
      <c r="I236" t="n">
        <v>0</v>
      </c>
      <c r="J236" t="n">
        <v>0</v>
      </c>
      <c r="K236" t="n">
        <v>0</v>
      </c>
      <c r="L236" t="n">
        <v>0</v>
      </c>
      <c r="M236" t="n">
        <v>0</v>
      </c>
      <c r="N236" t="n">
        <v>0</v>
      </c>
      <c r="O236" t="n">
        <v>0</v>
      </c>
      <c r="P236" t="n">
        <v>0</v>
      </c>
      <c r="Q236" t="n">
        <v>0</v>
      </c>
      <c r="R236" s="2" t="inlineStr"/>
    </row>
    <row r="237" ht="15" customHeight="1">
      <c r="A237" t="inlineStr">
        <is>
          <t>A 21389-2025</t>
        </is>
      </c>
      <c r="B237" s="1" t="n">
        <v>45782</v>
      </c>
      <c r="C237" s="1" t="n">
        <v>46115</v>
      </c>
      <c r="D237" t="inlineStr">
        <is>
          <t>GOTLANDS LÄN</t>
        </is>
      </c>
      <c r="E237" t="inlineStr">
        <is>
          <t>GOTLAND</t>
        </is>
      </c>
      <c r="G237" t="n">
        <v>4.1</v>
      </c>
      <c r="H237" t="n">
        <v>0</v>
      </c>
      <c r="I237" t="n">
        <v>0</v>
      </c>
      <c r="J237" t="n">
        <v>0</v>
      </c>
      <c r="K237" t="n">
        <v>0</v>
      </c>
      <c r="L237" t="n">
        <v>0</v>
      </c>
      <c r="M237" t="n">
        <v>0</v>
      </c>
      <c r="N237" t="n">
        <v>0</v>
      </c>
      <c r="O237" t="n">
        <v>0</v>
      </c>
      <c r="P237" t="n">
        <v>0</v>
      </c>
      <c r="Q237" t="n">
        <v>0</v>
      </c>
      <c r="R237" s="2" t="inlineStr"/>
    </row>
    <row r="238" ht="15" customHeight="1">
      <c r="A238" t="inlineStr">
        <is>
          <t>A 51262-2025</t>
        </is>
      </c>
      <c r="B238" s="1" t="n">
        <v>45949.49872685185</v>
      </c>
      <c r="C238" s="1" t="n">
        <v>46115</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20356-2022</t>
        </is>
      </c>
      <c r="B239" s="1" t="n">
        <v>44699</v>
      </c>
      <c r="C239" s="1" t="n">
        <v>46115</v>
      </c>
      <c r="D239" t="inlineStr">
        <is>
          <t>GOTLANDS LÄN</t>
        </is>
      </c>
      <c r="E239" t="inlineStr">
        <is>
          <t>GOTLAND</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21651-2025</t>
        </is>
      </c>
      <c r="B240" s="1" t="n">
        <v>45783</v>
      </c>
      <c r="C240" s="1" t="n">
        <v>46115</v>
      </c>
      <c r="D240" t="inlineStr">
        <is>
          <t>GOTLANDS LÄN</t>
        </is>
      </c>
      <c r="E240" t="inlineStr">
        <is>
          <t>GOTLAND</t>
        </is>
      </c>
      <c r="G240" t="n">
        <v>4.2</v>
      </c>
      <c r="H240" t="n">
        <v>0</v>
      </c>
      <c r="I240" t="n">
        <v>0</v>
      </c>
      <c r="J240" t="n">
        <v>0</v>
      </c>
      <c r="K240" t="n">
        <v>0</v>
      </c>
      <c r="L240" t="n">
        <v>0</v>
      </c>
      <c r="M240" t="n">
        <v>0</v>
      </c>
      <c r="N240" t="n">
        <v>0</v>
      </c>
      <c r="O240" t="n">
        <v>0</v>
      </c>
      <c r="P240" t="n">
        <v>0</v>
      </c>
      <c r="Q240" t="n">
        <v>0</v>
      </c>
      <c r="R240" s="2" t="inlineStr"/>
    </row>
    <row r="241" ht="15" customHeight="1">
      <c r="A241" t="inlineStr">
        <is>
          <t>A 22031-2024</t>
        </is>
      </c>
      <c r="B241" s="1" t="n">
        <v>45443.60075231481</v>
      </c>
      <c r="C241" s="1" t="n">
        <v>46115</v>
      </c>
      <c r="D241" t="inlineStr">
        <is>
          <t>GOTLANDS LÄN</t>
        </is>
      </c>
      <c r="E241" t="inlineStr">
        <is>
          <t>GOTLAND</t>
        </is>
      </c>
      <c r="G241" t="n">
        <v>2.3</v>
      </c>
      <c r="H241" t="n">
        <v>0</v>
      </c>
      <c r="I241" t="n">
        <v>0</v>
      </c>
      <c r="J241" t="n">
        <v>0</v>
      </c>
      <c r="K241" t="n">
        <v>0</v>
      </c>
      <c r="L241" t="n">
        <v>0</v>
      </c>
      <c r="M241" t="n">
        <v>0</v>
      </c>
      <c r="N241" t="n">
        <v>0</v>
      </c>
      <c r="O241" t="n">
        <v>0</v>
      </c>
      <c r="P241" t="n">
        <v>0</v>
      </c>
      <c r="Q241" t="n">
        <v>0</v>
      </c>
      <c r="R241" s="2" t="inlineStr"/>
    </row>
    <row r="242" ht="15" customHeight="1">
      <c r="A242" t="inlineStr">
        <is>
          <t>A 49314-2024</t>
        </is>
      </c>
      <c r="B242" s="1" t="n">
        <v>45595.55893518519</v>
      </c>
      <c r="C242" s="1" t="n">
        <v>46115</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44919-2022</t>
        </is>
      </c>
      <c r="B243" s="1" t="n">
        <v>44841</v>
      </c>
      <c r="C243" s="1" t="n">
        <v>46115</v>
      </c>
      <c r="D243" t="inlineStr">
        <is>
          <t>GOTLANDS LÄN</t>
        </is>
      </c>
      <c r="E243" t="inlineStr">
        <is>
          <t>GOTLAND</t>
        </is>
      </c>
      <c r="G243" t="n">
        <v>2.2</v>
      </c>
      <c r="H243" t="n">
        <v>0</v>
      </c>
      <c r="I243" t="n">
        <v>0</v>
      </c>
      <c r="J243" t="n">
        <v>0</v>
      </c>
      <c r="K243" t="n">
        <v>0</v>
      </c>
      <c r="L243" t="n">
        <v>0</v>
      </c>
      <c r="M243" t="n">
        <v>0</v>
      </c>
      <c r="N243" t="n">
        <v>0</v>
      </c>
      <c r="O243" t="n">
        <v>0</v>
      </c>
      <c r="P243" t="n">
        <v>0</v>
      </c>
      <c r="Q243" t="n">
        <v>0</v>
      </c>
      <c r="R243" s="2" t="inlineStr"/>
    </row>
    <row r="244" ht="15" customHeight="1">
      <c r="A244" t="inlineStr">
        <is>
          <t>A 48503-2023</t>
        </is>
      </c>
      <c r="B244" s="1" t="n">
        <v>45207</v>
      </c>
      <c r="C244" s="1" t="n">
        <v>46115</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46115</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52249-2025</t>
        </is>
      </c>
      <c r="B246" s="1" t="n">
        <v>45953.48637731482</v>
      </c>
      <c r="C246" s="1" t="n">
        <v>46115</v>
      </c>
      <c r="D246" t="inlineStr">
        <is>
          <t>GOTLANDS LÄN</t>
        </is>
      </c>
      <c r="E246" t="inlineStr">
        <is>
          <t>GOTLAND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57356-2023</t>
        </is>
      </c>
      <c r="B247" s="1" t="n">
        <v>45240</v>
      </c>
      <c r="C247" s="1" t="n">
        <v>46115</v>
      </c>
      <c r="D247" t="inlineStr">
        <is>
          <t>GOTLANDS LÄN</t>
        </is>
      </c>
      <c r="E247" t="inlineStr">
        <is>
          <t>GOTLAND</t>
        </is>
      </c>
      <c r="G247" t="n">
        <v>6.4</v>
      </c>
      <c r="H247" t="n">
        <v>0</v>
      </c>
      <c r="I247" t="n">
        <v>0</v>
      </c>
      <c r="J247" t="n">
        <v>0</v>
      </c>
      <c r="K247" t="n">
        <v>0</v>
      </c>
      <c r="L247" t="n">
        <v>0</v>
      </c>
      <c r="M247" t="n">
        <v>0</v>
      </c>
      <c r="N247" t="n">
        <v>0</v>
      </c>
      <c r="O247" t="n">
        <v>0</v>
      </c>
      <c r="P247" t="n">
        <v>0</v>
      </c>
      <c r="Q247" t="n">
        <v>0</v>
      </c>
      <c r="R247" s="2" t="inlineStr"/>
    </row>
    <row r="248" ht="15" customHeight="1">
      <c r="A248" t="inlineStr">
        <is>
          <t>A 10656-2024</t>
        </is>
      </c>
      <c r="B248" s="1" t="n">
        <v>45368</v>
      </c>
      <c r="C248" s="1" t="n">
        <v>46115</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44649-2021</t>
        </is>
      </c>
      <c r="B249" s="1" t="n">
        <v>44437</v>
      </c>
      <c r="C249" s="1" t="n">
        <v>46115</v>
      </c>
      <c r="D249" t="inlineStr">
        <is>
          <t>GOTLANDS LÄN</t>
        </is>
      </c>
      <c r="E249" t="inlineStr">
        <is>
          <t>GOTLAND</t>
        </is>
      </c>
      <c r="G249" t="n">
        <v>8.1</v>
      </c>
      <c r="H249" t="n">
        <v>0</v>
      </c>
      <c r="I249" t="n">
        <v>0</v>
      </c>
      <c r="J249" t="n">
        <v>0</v>
      </c>
      <c r="K249" t="n">
        <v>0</v>
      </c>
      <c r="L249" t="n">
        <v>0</v>
      </c>
      <c r="M249" t="n">
        <v>0</v>
      </c>
      <c r="N249" t="n">
        <v>0</v>
      </c>
      <c r="O249" t="n">
        <v>0</v>
      </c>
      <c r="P249" t="n">
        <v>0</v>
      </c>
      <c r="Q249" t="n">
        <v>0</v>
      </c>
      <c r="R249" s="2" t="inlineStr"/>
    </row>
    <row r="250" ht="15" customHeight="1">
      <c r="A250" t="inlineStr">
        <is>
          <t>A 18993-2025</t>
        </is>
      </c>
      <c r="B250" s="1" t="n">
        <v>45764</v>
      </c>
      <c r="C250" s="1" t="n">
        <v>46115</v>
      </c>
      <c r="D250" t="inlineStr">
        <is>
          <t>GOTLANDS LÄN</t>
        </is>
      </c>
      <c r="E250" t="inlineStr">
        <is>
          <t>GOTLAND</t>
        </is>
      </c>
      <c r="G250" t="n">
        <v>3</v>
      </c>
      <c r="H250" t="n">
        <v>0</v>
      </c>
      <c r="I250" t="n">
        <v>0</v>
      </c>
      <c r="J250" t="n">
        <v>0</v>
      </c>
      <c r="K250" t="n">
        <v>0</v>
      </c>
      <c r="L250" t="n">
        <v>0</v>
      </c>
      <c r="M250" t="n">
        <v>0</v>
      </c>
      <c r="N250" t="n">
        <v>0</v>
      </c>
      <c r="O250" t="n">
        <v>0</v>
      </c>
      <c r="P250" t="n">
        <v>0</v>
      </c>
      <c r="Q250" t="n">
        <v>0</v>
      </c>
      <c r="R250" s="2" t="inlineStr"/>
    </row>
    <row r="251" ht="15" customHeight="1">
      <c r="A251" t="inlineStr">
        <is>
          <t>A 9947-2024</t>
        </is>
      </c>
      <c r="B251" s="1" t="n">
        <v>45363</v>
      </c>
      <c r="C251" s="1" t="n">
        <v>46115</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28506-2023</t>
        </is>
      </c>
      <c r="B252" s="1" t="n">
        <v>45103</v>
      </c>
      <c r="C252" s="1" t="n">
        <v>46115</v>
      </c>
      <c r="D252" t="inlineStr">
        <is>
          <t>GOTLANDS LÄN</t>
        </is>
      </c>
      <c r="E252" t="inlineStr">
        <is>
          <t>GOTLAND</t>
        </is>
      </c>
      <c r="G252" t="n">
        <v>3.2</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46115</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23188-2025</t>
        </is>
      </c>
      <c r="B254" s="1" t="n">
        <v>45791</v>
      </c>
      <c r="C254" s="1" t="n">
        <v>46115</v>
      </c>
      <c r="D254" t="inlineStr">
        <is>
          <t>GOTLANDS LÄN</t>
        </is>
      </c>
      <c r="E254" t="inlineStr">
        <is>
          <t>GOTLAND</t>
        </is>
      </c>
      <c r="G254" t="n">
        <v>6.2</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46115</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46115</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46115</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12599-2025</t>
        </is>
      </c>
      <c r="B258" s="1" t="n">
        <v>45733.29546296296</v>
      </c>
      <c r="C258" s="1" t="n">
        <v>46115</v>
      </c>
      <c r="D258" t="inlineStr">
        <is>
          <t>GOTLANDS LÄN</t>
        </is>
      </c>
      <c r="E258" t="inlineStr">
        <is>
          <t>GOTLAND</t>
        </is>
      </c>
      <c r="G258" t="n">
        <v>4.7</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46115</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35142-2025</t>
        </is>
      </c>
      <c r="B260" s="1" t="n">
        <v>45852.65532407408</v>
      </c>
      <c r="C260" s="1" t="n">
        <v>46115</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27593-2023</t>
        </is>
      </c>
      <c r="B261" s="1" t="n">
        <v>45097</v>
      </c>
      <c r="C261" s="1" t="n">
        <v>46115</v>
      </c>
      <c r="D261" t="inlineStr">
        <is>
          <t>GOTLANDS LÄN</t>
        </is>
      </c>
      <c r="E261" t="inlineStr">
        <is>
          <t>GOTLAND</t>
        </is>
      </c>
      <c r="G261" t="n">
        <v>3.1</v>
      </c>
      <c r="H261" t="n">
        <v>0</v>
      </c>
      <c r="I261" t="n">
        <v>0</v>
      </c>
      <c r="J261" t="n">
        <v>0</v>
      </c>
      <c r="K261" t="n">
        <v>0</v>
      </c>
      <c r="L261" t="n">
        <v>0</v>
      </c>
      <c r="M261" t="n">
        <v>0</v>
      </c>
      <c r="N261" t="n">
        <v>0</v>
      </c>
      <c r="O261" t="n">
        <v>0</v>
      </c>
      <c r="P261" t="n">
        <v>0</v>
      </c>
      <c r="Q261" t="n">
        <v>0</v>
      </c>
      <c r="R261" s="2" t="inlineStr"/>
    </row>
    <row r="262" ht="15" customHeight="1">
      <c r="A262" t="inlineStr">
        <is>
          <t>A 23473-2025</t>
        </is>
      </c>
      <c r="B262" s="1" t="n">
        <v>45792</v>
      </c>
      <c r="C262" s="1" t="n">
        <v>46115</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23856-2025</t>
        </is>
      </c>
      <c r="B263" s="1" t="n">
        <v>45793</v>
      </c>
      <c r="C263" s="1" t="n">
        <v>46115</v>
      </c>
      <c r="D263" t="inlineStr">
        <is>
          <t>GOTLANDS LÄN</t>
        </is>
      </c>
      <c r="E263" t="inlineStr">
        <is>
          <t>GOTLAND</t>
        </is>
      </c>
      <c r="G263" t="n">
        <v>4.4</v>
      </c>
      <c r="H263" t="n">
        <v>0</v>
      </c>
      <c r="I263" t="n">
        <v>0</v>
      </c>
      <c r="J263" t="n">
        <v>0</v>
      </c>
      <c r="K263" t="n">
        <v>0</v>
      </c>
      <c r="L263" t="n">
        <v>0</v>
      </c>
      <c r="M263" t="n">
        <v>0</v>
      </c>
      <c r="N263" t="n">
        <v>0</v>
      </c>
      <c r="O263" t="n">
        <v>0</v>
      </c>
      <c r="P263" t="n">
        <v>0</v>
      </c>
      <c r="Q263" t="n">
        <v>0</v>
      </c>
      <c r="R263" s="2" t="inlineStr"/>
    </row>
    <row r="264" ht="15" customHeight="1">
      <c r="A264" t="inlineStr">
        <is>
          <t>A 63516-2023</t>
        </is>
      </c>
      <c r="B264" s="1" t="n">
        <v>45274</v>
      </c>
      <c r="C264" s="1" t="n">
        <v>46115</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46115</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15073-2025</t>
        </is>
      </c>
      <c r="B266" s="1" t="n">
        <v>45743</v>
      </c>
      <c r="C266" s="1" t="n">
        <v>46115</v>
      </c>
      <c r="D266" t="inlineStr">
        <is>
          <t>GOTLANDS LÄN</t>
        </is>
      </c>
      <c r="E266" t="inlineStr">
        <is>
          <t>GOTLAND</t>
        </is>
      </c>
      <c r="G266" t="n">
        <v>12.1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46115</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6749-2025</t>
        </is>
      </c>
      <c r="B268" s="1" t="n">
        <v>45700</v>
      </c>
      <c r="C268" s="1" t="n">
        <v>46115</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39849-2025</t>
        </is>
      </c>
      <c r="B269" s="1" t="n">
        <v>45891.58502314815</v>
      </c>
      <c r="C269" s="1" t="n">
        <v>46115</v>
      </c>
      <c r="D269" t="inlineStr">
        <is>
          <t>GOTLANDS LÄN</t>
        </is>
      </c>
      <c r="E269" t="inlineStr">
        <is>
          <t>GOTLAND</t>
        </is>
      </c>
      <c r="G269" t="n">
        <v>6.1</v>
      </c>
      <c r="H269" t="n">
        <v>0</v>
      </c>
      <c r="I269" t="n">
        <v>0</v>
      </c>
      <c r="J269" t="n">
        <v>0</v>
      </c>
      <c r="K269" t="n">
        <v>0</v>
      </c>
      <c r="L269" t="n">
        <v>0</v>
      </c>
      <c r="M269" t="n">
        <v>0</v>
      </c>
      <c r="N269" t="n">
        <v>0</v>
      </c>
      <c r="O269" t="n">
        <v>0</v>
      </c>
      <c r="P269" t="n">
        <v>0</v>
      </c>
      <c r="Q269" t="n">
        <v>0</v>
      </c>
      <c r="R269" s="2" t="inlineStr"/>
    </row>
    <row r="270" ht="15" customHeight="1">
      <c r="A270" t="inlineStr">
        <is>
          <t>A 24001-2021</t>
        </is>
      </c>
      <c r="B270" s="1" t="n">
        <v>44335</v>
      </c>
      <c r="C270" s="1" t="n">
        <v>46115</v>
      </c>
      <c r="D270" t="inlineStr">
        <is>
          <t>GOTLANDS LÄN</t>
        </is>
      </c>
      <c r="E270" t="inlineStr">
        <is>
          <t>GOTLAND</t>
        </is>
      </c>
      <c r="G270" t="n">
        <v>3.4</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46115</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23698-2025</t>
        </is>
      </c>
      <c r="B272" s="1" t="n">
        <v>45793</v>
      </c>
      <c r="C272" s="1" t="n">
        <v>46115</v>
      </c>
      <c r="D272" t="inlineStr">
        <is>
          <t>GOTLANDS LÄN</t>
        </is>
      </c>
      <c r="E272" t="inlineStr">
        <is>
          <t>GOTLAND</t>
        </is>
      </c>
      <c r="G272" t="n">
        <v>0.8</v>
      </c>
      <c r="H272" t="n">
        <v>0</v>
      </c>
      <c r="I272" t="n">
        <v>0</v>
      </c>
      <c r="J272" t="n">
        <v>0</v>
      </c>
      <c r="K272" t="n">
        <v>0</v>
      </c>
      <c r="L272" t="n">
        <v>0</v>
      </c>
      <c r="M272" t="n">
        <v>0</v>
      </c>
      <c r="N272" t="n">
        <v>0</v>
      </c>
      <c r="O272" t="n">
        <v>0</v>
      </c>
      <c r="P272" t="n">
        <v>0</v>
      </c>
      <c r="Q272" t="n">
        <v>0</v>
      </c>
      <c r="R272" s="2" t="inlineStr"/>
    </row>
    <row r="273" ht="15" customHeight="1">
      <c r="A273" t="inlineStr">
        <is>
          <t>A 39816-2025</t>
        </is>
      </c>
      <c r="B273" s="1" t="n">
        <v>45891</v>
      </c>
      <c r="C273" s="1" t="n">
        <v>46115</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40103-2025</t>
        </is>
      </c>
      <c r="B274" s="1" t="n">
        <v>45894.4880324074</v>
      </c>
      <c r="C274" s="1" t="n">
        <v>46115</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40373-2025</t>
        </is>
      </c>
      <c r="B275" s="1" t="n">
        <v>45895.51821759259</v>
      </c>
      <c r="C275" s="1" t="n">
        <v>46115</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52637-2025</t>
        </is>
      </c>
      <c r="B276" s="1" t="n">
        <v>45954.75099537037</v>
      </c>
      <c r="C276" s="1" t="n">
        <v>46115</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40499-2025</t>
        </is>
      </c>
      <c r="B277" s="1" t="n">
        <v>45896.32517361111</v>
      </c>
      <c r="C277" s="1" t="n">
        <v>46115</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46115</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30365-2024</t>
        </is>
      </c>
      <c r="B279" s="1" t="n">
        <v>45491.3716087963</v>
      </c>
      <c r="C279" s="1" t="n">
        <v>46115</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1681-2023</t>
        </is>
      </c>
      <c r="B280" s="1" t="n">
        <v>44938.39715277778</v>
      </c>
      <c r="C280" s="1" t="n">
        <v>46115</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39278-2025</t>
        </is>
      </c>
      <c r="B281" s="1" t="n">
        <v>45889</v>
      </c>
      <c r="C281" s="1" t="n">
        <v>46115</v>
      </c>
      <c r="D281" t="inlineStr">
        <is>
          <t>GOTLANDS LÄN</t>
        </is>
      </c>
      <c r="E281" t="inlineStr">
        <is>
          <t>GOTLAND</t>
        </is>
      </c>
      <c r="G281" t="n">
        <v>3.7</v>
      </c>
      <c r="H281" t="n">
        <v>0</v>
      </c>
      <c r="I281" t="n">
        <v>0</v>
      </c>
      <c r="J281" t="n">
        <v>0</v>
      </c>
      <c r="K281" t="n">
        <v>0</v>
      </c>
      <c r="L281" t="n">
        <v>0</v>
      </c>
      <c r="M281" t="n">
        <v>0</v>
      </c>
      <c r="N281" t="n">
        <v>0</v>
      </c>
      <c r="O281" t="n">
        <v>0</v>
      </c>
      <c r="P281" t="n">
        <v>0</v>
      </c>
      <c r="Q281" t="n">
        <v>0</v>
      </c>
      <c r="R281" s="2" t="inlineStr"/>
    </row>
    <row r="282" ht="15" customHeight="1">
      <c r="A282" t="inlineStr">
        <is>
          <t>A 6099-2024</t>
        </is>
      </c>
      <c r="B282" s="1" t="n">
        <v>45337</v>
      </c>
      <c r="C282" s="1" t="n">
        <v>46115</v>
      </c>
      <c r="D282" t="inlineStr">
        <is>
          <t>GOTLANDS LÄN</t>
        </is>
      </c>
      <c r="E282" t="inlineStr">
        <is>
          <t>GOTLAND</t>
        </is>
      </c>
      <c r="G282" t="n">
        <v>12.6</v>
      </c>
      <c r="H282" t="n">
        <v>0</v>
      </c>
      <c r="I282" t="n">
        <v>0</v>
      </c>
      <c r="J282" t="n">
        <v>0</v>
      </c>
      <c r="K282" t="n">
        <v>0</v>
      </c>
      <c r="L282" t="n">
        <v>0</v>
      </c>
      <c r="M282" t="n">
        <v>0</v>
      </c>
      <c r="N282" t="n">
        <v>0</v>
      </c>
      <c r="O282" t="n">
        <v>0</v>
      </c>
      <c r="P282" t="n">
        <v>0</v>
      </c>
      <c r="Q282" t="n">
        <v>0</v>
      </c>
      <c r="R282" s="2" t="inlineStr"/>
    </row>
    <row r="283" ht="15" customHeight="1">
      <c r="A283" t="inlineStr">
        <is>
          <t>A 1273-2023</t>
        </is>
      </c>
      <c r="B283" s="1" t="n">
        <v>44936</v>
      </c>
      <c r="C283" s="1" t="n">
        <v>46115</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5462-2025</t>
        </is>
      </c>
      <c r="B284" s="1" t="n">
        <v>45693.29331018519</v>
      </c>
      <c r="C284" s="1" t="n">
        <v>46115</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58780-2024</t>
        </is>
      </c>
      <c r="B285" s="1" t="n">
        <v>45635.84113425926</v>
      </c>
      <c r="C285" s="1" t="n">
        <v>46115</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41435-2025</t>
        </is>
      </c>
      <c r="B286" s="1" t="n">
        <v>45901.39974537037</v>
      </c>
      <c r="C286" s="1" t="n">
        <v>46115</v>
      </c>
      <c r="D286" t="inlineStr">
        <is>
          <t>GOTLANDS LÄN</t>
        </is>
      </c>
      <c r="E286" t="inlineStr">
        <is>
          <t>GOTLAND</t>
        </is>
      </c>
      <c r="G286" t="n">
        <v>4.9</v>
      </c>
      <c r="H286" t="n">
        <v>0</v>
      </c>
      <c r="I286" t="n">
        <v>0</v>
      </c>
      <c r="J286" t="n">
        <v>0</v>
      </c>
      <c r="K286" t="n">
        <v>0</v>
      </c>
      <c r="L286" t="n">
        <v>0</v>
      </c>
      <c r="M286" t="n">
        <v>0</v>
      </c>
      <c r="N286" t="n">
        <v>0</v>
      </c>
      <c r="O286" t="n">
        <v>0</v>
      </c>
      <c r="P286" t="n">
        <v>0</v>
      </c>
      <c r="Q286" t="n">
        <v>0</v>
      </c>
      <c r="R286" s="2" t="inlineStr"/>
    </row>
    <row r="287" ht="15" customHeight="1">
      <c r="A287" t="inlineStr">
        <is>
          <t>A 45692-2023</t>
        </is>
      </c>
      <c r="B287" s="1" t="n">
        <v>45195</v>
      </c>
      <c r="C287" s="1" t="n">
        <v>46115</v>
      </c>
      <c r="D287" t="inlineStr">
        <is>
          <t>GOTLANDS LÄN</t>
        </is>
      </c>
      <c r="E287" t="inlineStr">
        <is>
          <t>GOTLAND</t>
        </is>
      </c>
      <c r="G287" t="n">
        <v>5.3</v>
      </c>
      <c r="H287" t="n">
        <v>0</v>
      </c>
      <c r="I287" t="n">
        <v>0</v>
      </c>
      <c r="J287" t="n">
        <v>0</v>
      </c>
      <c r="K287" t="n">
        <v>0</v>
      </c>
      <c r="L287" t="n">
        <v>0</v>
      </c>
      <c r="M287" t="n">
        <v>0</v>
      </c>
      <c r="N287" t="n">
        <v>0</v>
      </c>
      <c r="O287" t="n">
        <v>0</v>
      </c>
      <c r="P287" t="n">
        <v>0</v>
      </c>
      <c r="Q287" t="n">
        <v>0</v>
      </c>
      <c r="R287" s="2" t="inlineStr"/>
    </row>
    <row r="288" ht="15" customHeight="1">
      <c r="A288" t="inlineStr">
        <is>
          <t>A 33876-2024</t>
        </is>
      </c>
      <c r="B288" s="1" t="n">
        <v>45521.87988425926</v>
      </c>
      <c r="C288" s="1" t="n">
        <v>46115</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25796-2025</t>
        </is>
      </c>
      <c r="B289" s="1" t="n">
        <v>45804.39543981481</v>
      </c>
      <c r="C289" s="1" t="n">
        <v>46115</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46115</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28285-2024</t>
        </is>
      </c>
      <c r="B291" s="1" t="n">
        <v>45477</v>
      </c>
      <c r="C291" s="1" t="n">
        <v>46115</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61100-2022</t>
        </is>
      </c>
      <c r="B292" s="1" t="n">
        <v>44915</v>
      </c>
      <c r="C292" s="1" t="n">
        <v>46115</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61682-2024</t>
        </is>
      </c>
      <c r="B293" s="1" t="n">
        <v>45647.48824074074</v>
      </c>
      <c r="C293" s="1" t="n">
        <v>46115</v>
      </c>
      <c r="D293" t="inlineStr">
        <is>
          <t>GOTLANDS LÄN</t>
        </is>
      </c>
      <c r="E293" t="inlineStr">
        <is>
          <t>GOTLAND</t>
        </is>
      </c>
      <c r="G293" t="n">
        <v>1.9</v>
      </c>
      <c r="H293" t="n">
        <v>0</v>
      </c>
      <c r="I293" t="n">
        <v>0</v>
      </c>
      <c r="J293" t="n">
        <v>0</v>
      </c>
      <c r="K293" t="n">
        <v>0</v>
      </c>
      <c r="L293" t="n">
        <v>0</v>
      </c>
      <c r="M293" t="n">
        <v>0</v>
      </c>
      <c r="N293" t="n">
        <v>0</v>
      </c>
      <c r="O293" t="n">
        <v>0</v>
      </c>
      <c r="P293" t="n">
        <v>0</v>
      </c>
      <c r="Q293" t="n">
        <v>0</v>
      </c>
      <c r="R293" s="2" t="inlineStr"/>
    </row>
    <row r="294" ht="15" customHeight="1">
      <c r="A294" t="inlineStr">
        <is>
          <t>A 53569-2025</t>
        </is>
      </c>
      <c r="B294" s="1" t="n">
        <v>45960.41155092593</v>
      </c>
      <c r="C294" s="1" t="n">
        <v>46115</v>
      </c>
      <c r="D294" t="inlineStr">
        <is>
          <t>GOTLANDS LÄN</t>
        </is>
      </c>
      <c r="E294" t="inlineStr">
        <is>
          <t>GOTLAND</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26457-2025</t>
        </is>
      </c>
      <c r="B295" s="1" t="n">
        <v>45807.42773148148</v>
      </c>
      <c r="C295" s="1" t="n">
        <v>46115</v>
      </c>
      <c r="D295" t="inlineStr">
        <is>
          <t>GOTLANDS LÄN</t>
        </is>
      </c>
      <c r="E295" t="inlineStr">
        <is>
          <t>GOTLAND</t>
        </is>
      </c>
      <c r="G295" t="n">
        <v>5.7</v>
      </c>
      <c r="H295" t="n">
        <v>0</v>
      </c>
      <c r="I295" t="n">
        <v>0</v>
      </c>
      <c r="J295" t="n">
        <v>0</v>
      </c>
      <c r="K295" t="n">
        <v>0</v>
      </c>
      <c r="L295" t="n">
        <v>0</v>
      </c>
      <c r="M295" t="n">
        <v>0</v>
      </c>
      <c r="N295" t="n">
        <v>0</v>
      </c>
      <c r="O295" t="n">
        <v>0</v>
      </c>
      <c r="P295" t="n">
        <v>0</v>
      </c>
      <c r="Q295" t="n">
        <v>0</v>
      </c>
      <c r="R295" s="2" t="inlineStr"/>
    </row>
    <row r="296" ht="15" customHeight="1">
      <c r="A296" t="inlineStr">
        <is>
          <t>A 26467-2025</t>
        </is>
      </c>
      <c r="B296" s="1" t="n">
        <v>45807.44640046296</v>
      </c>
      <c r="C296" s="1" t="n">
        <v>46115</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46115</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53577-2025</t>
        </is>
      </c>
      <c r="B298" s="1" t="n">
        <v>45960.42224537037</v>
      </c>
      <c r="C298" s="1" t="n">
        <v>46115</v>
      </c>
      <c r="D298" t="inlineStr">
        <is>
          <t>GOTLANDS LÄN</t>
        </is>
      </c>
      <c r="E298" t="inlineStr">
        <is>
          <t>GOTLAND</t>
        </is>
      </c>
      <c r="F298" t="inlineStr">
        <is>
          <t>Övriga Aktiebolag</t>
        </is>
      </c>
      <c r="G298" t="n">
        <v>3.3</v>
      </c>
      <c r="H298" t="n">
        <v>0</v>
      </c>
      <c r="I298" t="n">
        <v>0</v>
      </c>
      <c r="J298" t="n">
        <v>0</v>
      </c>
      <c r="K298" t="n">
        <v>0</v>
      </c>
      <c r="L298" t="n">
        <v>0</v>
      </c>
      <c r="M298" t="n">
        <v>0</v>
      </c>
      <c r="N298" t="n">
        <v>0</v>
      </c>
      <c r="O298" t="n">
        <v>0</v>
      </c>
      <c r="P298" t="n">
        <v>0</v>
      </c>
      <c r="Q298" t="n">
        <v>0</v>
      </c>
      <c r="R298" s="2" t="inlineStr"/>
    </row>
    <row r="299" ht="15" customHeight="1">
      <c r="A299" t="inlineStr">
        <is>
          <t>A 26660-2025</t>
        </is>
      </c>
      <c r="B299" s="1" t="n">
        <v>45810.39737268518</v>
      </c>
      <c r="C299" s="1" t="n">
        <v>46115</v>
      </c>
      <c r="D299" t="inlineStr">
        <is>
          <t>GOTLANDS LÄN</t>
        </is>
      </c>
      <c r="E299" t="inlineStr">
        <is>
          <t>GOTLAND</t>
        </is>
      </c>
      <c r="G299" t="n">
        <v>1.8</v>
      </c>
      <c r="H299" t="n">
        <v>0</v>
      </c>
      <c r="I299" t="n">
        <v>0</v>
      </c>
      <c r="J299" t="n">
        <v>0</v>
      </c>
      <c r="K299" t="n">
        <v>0</v>
      </c>
      <c r="L299" t="n">
        <v>0</v>
      </c>
      <c r="M299" t="n">
        <v>0</v>
      </c>
      <c r="N299" t="n">
        <v>0</v>
      </c>
      <c r="O299" t="n">
        <v>0</v>
      </c>
      <c r="P299" t="n">
        <v>0</v>
      </c>
      <c r="Q299" t="n">
        <v>0</v>
      </c>
      <c r="R299" s="2" t="inlineStr"/>
    </row>
    <row r="300" ht="15" customHeight="1">
      <c r="A300" t="inlineStr">
        <is>
          <t>A 42608-2025</t>
        </is>
      </c>
      <c r="B300" s="1" t="n">
        <v>45905</v>
      </c>
      <c r="C300" s="1" t="n">
        <v>46115</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58388-2022</t>
        </is>
      </c>
      <c r="B301" s="1" t="n">
        <v>44894</v>
      </c>
      <c r="C301" s="1" t="n">
        <v>46115</v>
      </c>
      <c r="D301" t="inlineStr">
        <is>
          <t>GOTLANDS LÄN</t>
        </is>
      </c>
      <c r="E301" t="inlineStr">
        <is>
          <t>GOTLAND</t>
        </is>
      </c>
      <c r="F301" t="inlineStr">
        <is>
          <t>Övriga statliga verk och myndigheter</t>
        </is>
      </c>
      <c r="G301" t="n">
        <v>3.1</v>
      </c>
      <c r="H301" t="n">
        <v>0</v>
      </c>
      <c r="I301" t="n">
        <v>0</v>
      </c>
      <c r="J301" t="n">
        <v>0</v>
      </c>
      <c r="K301" t="n">
        <v>0</v>
      </c>
      <c r="L301" t="n">
        <v>0</v>
      </c>
      <c r="M301" t="n">
        <v>0</v>
      </c>
      <c r="N301" t="n">
        <v>0</v>
      </c>
      <c r="O301" t="n">
        <v>0</v>
      </c>
      <c r="P301" t="n">
        <v>0</v>
      </c>
      <c r="Q301" t="n">
        <v>0</v>
      </c>
      <c r="R301" s="2" t="inlineStr"/>
    </row>
    <row r="302" ht="15" customHeight="1">
      <c r="A302" t="inlineStr">
        <is>
          <t>A 21792-2024</t>
        </is>
      </c>
      <c r="B302" s="1" t="n">
        <v>45442.64326388889</v>
      </c>
      <c r="C302" s="1" t="n">
        <v>46115</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16373-2025</t>
        </is>
      </c>
      <c r="B303" s="1" t="n">
        <v>45751</v>
      </c>
      <c r="C303" s="1" t="n">
        <v>46115</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27371-2025</t>
        </is>
      </c>
      <c r="B304" s="1" t="n">
        <v>45812</v>
      </c>
      <c r="C304" s="1" t="n">
        <v>46115</v>
      </c>
      <c r="D304" t="inlineStr">
        <is>
          <t>GOTLANDS LÄN</t>
        </is>
      </c>
      <c r="E304" t="inlineStr">
        <is>
          <t>GOTLAND</t>
        </is>
      </c>
      <c r="G304" t="n">
        <v>8</v>
      </c>
      <c r="H304" t="n">
        <v>0</v>
      </c>
      <c r="I304" t="n">
        <v>0</v>
      </c>
      <c r="J304" t="n">
        <v>0</v>
      </c>
      <c r="K304" t="n">
        <v>0</v>
      </c>
      <c r="L304" t="n">
        <v>0</v>
      </c>
      <c r="M304" t="n">
        <v>0</v>
      </c>
      <c r="N304" t="n">
        <v>0</v>
      </c>
      <c r="O304" t="n">
        <v>0</v>
      </c>
      <c r="P304" t="n">
        <v>0</v>
      </c>
      <c r="Q304" t="n">
        <v>0</v>
      </c>
      <c r="R304" s="2" t="inlineStr"/>
    </row>
    <row r="305" ht="15" customHeight="1">
      <c r="A305" t="inlineStr">
        <is>
          <t>A 27355-2025</t>
        </is>
      </c>
      <c r="B305" s="1" t="n">
        <v>45812</v>
      </c>
      <c r="C305" s="1" t="n">
        <v>46115</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6739-2025</t>
        </is>
      </c>
      <c r="B306" s="1" t="n">
        <v>45700</v>
      </c>
      <c r="C306" s="1" t="n">
        <v>46115</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7850-2025</t>
        </is>
      </c>
      <c r="B307" s="1" t="n">
        <v>45706</v>
      </c>
      <c r="C307" s="1" t="n">
        <v>46115</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8444-2025</t>
        </is>
      </c>
      <c r="B308" s="1" t="n">
        <v>45709</v>
      </c>
      <c r="C308" s="1" t="n">
        <v>46115</v>
      </c>
      <c r="D308" t="inlineStr">
        <is>
          <t>GOTLANDS LÄN</t>
        </is>
      </c>
      <c r="E308" t="inlineStr">
        <is>
          <t>GOTLAND</t>
        </is>
      </c>
      <c r="G308" t="n">
        <v>5.2</v>
      </c>
      <c r="H308" t="n">
        <v>0</v>
      </c>
      <c r="I308" t="n">
        <v>0</v>
      </c>
      <c r="J308" t="n">
        <v>0</v>
      </c>
      <c r="K308" t="n">
        <v>0</v>
      </c>
      <c r="L308" t="n">
        <v>0</v>
      </c>
      <c r="M308" t="n">
        <v>0</v>
      </c>
      <c r="N308" t="n">
        <v>0</v>
      </c>
      <c r="O308" t="n">
        <v>0</v>
      </c>
      <c r="P308" t="n">
        <v>0</v>
      </c>
      <c r="Q308" t="n">
        <v>0</v>
      </c>
      <c r="R308" s="2" t="inlineStr"/>
    </row>
    <row r="309" ht="15" customHeight="1">
      <c r="A309" t="inlineStr">
        <is>
          <t>A 17688-2024</t>
        </is>
      </c>
      <c r="B309" s="1" t="n">
        <v>45418.43575231481</v>
      </c>
      <c r="C309" s="1" t="n">
        <v>46115</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46115</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7837-2024</t>
        </is>
      </c>
      <c r="B311" s="1" t="n">
        <v>45349.83787037037</v>
      </c>
      <c r="C311" s="1" t="n">
        <v>46115</v>
      </c>
      <c r="D311" t="inlineStr">
        <is>
          <t>GOTLANDS LÄN</t>
        </is>
      </c>
      <c r="E311" t="inlineStr">
        <is>
          <t>GOTLAND</t>
        </is>
      </c>
      <c r="G311" t="n">
        <v>5</v>
      </c>
      <c r="H311" t="n">
        <v>0</v>
      </c>
      <c r="I311" t="n">
        <v>0</v>
      </c>
      <c r="J311" t="n">
        <v>0</v>
      </c>
      <c r="K311" t="n">
        <v>0</v>
      </c>
      <c r="L311" t="n">
        <v>0</v>
      </c>
      <c r="M311" t="n">
        <v>0</v>
      </c>
      <c r="N311" t="n">
        <v>0</v>
      </c>
      <c r="O311" t="n">
        <v>0</v>
      </c>
      <c r="P311" t="n">
        <v>0</v>
      </c>
      <c r="Q311" t="n">
        <v>0</v>
      </c>
      <c r="R311" s="2" t="inlineStr"/>
    </row>
    <row r="312" ht="15" customHeight="1">
      <c r="A312" t="inlineStr">
        <is>
          <t>A 43911-2025</t>
        </is>
      </c>
      <c r="B312" s="1" t="n">
        <v>45914.3881712963</v>
      </c>
      <c r="C312" s="1" t="n">
        <v>46115</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44410-2025</t>
        </is>
      </c>
      <c r="B313" s="1" t="n">
        <v>45916.53699074074</v>
      </c>
      <c r="C313" s="1" t="n">
        <v>46115</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43951-2025</t>
        </is>
      </c>
      <c r="B314" s="1" t="n">
        <v>45915.38119212963</v>
      </c>
      <c r="C314" s="1" t="n">
        <v>46115</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4568-2025</t>
        </is>
      </c>
      <c r="B315" s="1" t="n">
        <v>45687</v>
      </c>
      <c r="C315" s="1" t="n">
        <v>46115</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44405-2025</t>
        </is>
      </c>
      <c r="B316" s="1" t="n">
        <v>45916.52405092592</v>
      </c>
      <c r="C316" s="1" t="n">
        <v>46115</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46115</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46115</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35512-2023</t>
        </is>
      </c>
      <c r="B319" s="1" t="n">
        <v>45147.25623842593</v>
      </c>
      <c r="C319" s="1" t="n">
        <v>46115</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5905-2024</t>
        </is>
      </c>
      <c r="B320" s="1" t="n">
        <v>45335.88993055555</v>
      </c>
      <c r="C320" s="1" t="n">
        <v>46115</v>
      </c>
      <c r="D320" t="inlineStr">
        <is>
          <t>GOTLANDS LÄN</t>
        </is>
      </c>
      <c r="E320" t="inlineStr">
        <is>
          <t>GOTLAND</t>
        </is>
      </c>
      <c r="G320" t="n">
        <v>3</v>
      </c>
      <c r="H320" t="n">
        <v>0</v>
      </c>
      <c r="I320" t="n">
        <v>0</v>
      </c>
      <c r="J320" t="n">
        <v>0</v>
      </c>
      <c r="K320" t="n">
        <v>0</v>
      </c>
      <c r="L320" t="n">
        <v>0</v>
      </c>
      <c r="M320" t="n">
        <v>0</v>
      </c>
      <c r="N320" t="n">
        <v>0</v>
      </c>
      <c r="O320" t="n">
        <v>0</v>
      </c>
      <c r="P320" t="n">
        <v>0</v>
      </c>
      <c r="Q320" t="n">
        <v>0</v>
      </c>
      <c r="R320" s="2" t="inlineStr"/>
    </row>
    <row r="321" ht="15" customHeight="1">
      <c r="A321" t="inlineStr">
        <is>
          <t>A 29207-2025</t>
        </is>
      </c>
      <c r="B321" s="1" t="n">
        <v>45823</v>
      </c>
      <c r="C321" s="1" t="n">
        <v>46115</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1291-2023</t>
        </is>
      </c>
      <c r="B322" s="1" t="n">
        <v>44936.47561342592</v>
      </c>
      <c r="C322" s="1" t="n">
        <v>46115</v>
      </c>
      <c r="D322" t="inlineStr">
        <is>
          <t>GOTLANDS LÄN</t>
        </is>
      </c>
      <c r="E322" t="inlineStr">
        <is>
          <t>GOTLAND</t>
        </is>
      </c>
      <c r="G322" t="n">
        <v>7.4</v>
      </c>
      <c r="H322" t="n">
        <v>0</v>
      </c>
      <c r="I322" t="n">
        <v>0</v>
      </c>
      <c r="J322" t="n">
        <v>0</v>
      </c>
      <c r="K322" t="n">
        <v>0</v>
      </c>
      <c r="L322" t="n">
        <v>0</v>
      </c>
      <c r="M322" t="n">
        <v>0</v>
      </c>
      <c r="N322" t="n">
        <v>0</v>
      </c>
      <c r="O322" t="n">
        <v>0</v>
      </c>
      <c r="P322" t="n">
        <v>0</v>
      </c>
      <c r="Q322" t="n">
        <v>0</v>
      </c>
      <c r="R322" s="2" t="inlineStr"/>
    </row>
    <row r="323" ht="15" customHeight="1">
      <c r="A323" t="inlineStr">
        <is>
          <t>A 57652-2023</t>
        </is>
      </c>
      <c r="B323" s="1" t="n">
        <v>45246</v>
      </c>
      <c r="C323" s="1" t="n">
        <v>46115</v>
      </c>
      <c r="D323" t="inlineStr">
        <is>
          <t>GOTLANDS LÄN</t>
        </is>
      </c>
      <c r="E323" t="inlineStr">
        <is>
          <t>GOTLAND</t>
        </is>
      </c>
      <c r="G323" t="n">
        <v>7.2</v>
      </c>
      <c r="H323" t="n">
        <v>0</v>
      </c>
      <c r="I323" t="n">
        <v>0</v>
      </c>
      <c r="J323" t="n">
        <v>0</v>
      </c>
      <c r="K323" t="n">
        <v>0</v>
      </c>
      <c r="L323" t="n">
        <v>0</v>
      </c>
      <c r="M323" t="n">
        <v>0</v>
      </c>
      <c r="N323" t="n">
        <v>0</v>
      </c>
      <c r="O323" t="n">
        <v>0</v>
      </c>
      <c r="P323" t="n">
        <v>0</v>
      </c>
      <c r="Q323" t="n">
        <v>0</v>
      </c>
      <c r="R323" s="2" t="inlineStr"/>
    </row>
    <row r="324" ht="15" customHeight="1">
      <c r="A324" t="inlineStr">
        <is>
          <t>A 30061-2025</t>
        </is>
      </c>
      <c r="B324" s="1" t="n">
        <v>45826.61488425926</v>
      </c>
      <c r="C324" s="1" t="n">
        <v>46115</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49315-2024</t>
        </is>
      </c>
      <c r="B325" s="1" t="n">
        <v>45595</v>
      </c>
      <c r="C325" s="1" t="n">
        <v>46115</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45106-2024</t>
        </is>
      </c>
      <c r="B326" s="1" t="n">
        <v>45575</v>
      </c>
      <c r="C326" s="1" t="n">
        <v>46115</v>
      </c>
      <c r="D326" t="inlineStr">
        <is>
          <t>GOTLANDS LÄN</t>
        </is>
      </c>
      <c r="E326" t="inlineStr">
        <is>
          <t>GOTLAND</t>
        </is>
      </c>
      <c r="G326" t="n">
        <v>10</v>
      </c>
      <c r="H326" t="n">
        <v>0</v>
      </c>
      <c r="I326" t="n">
        <v>0</v>
      </c>
      <c r="J326" t="n">
        <v>0</v>
      </c>
      <c r="K326" t="n">
        <v>0</v>
      </c>
      <c r="L326" t="n">
        <v>0</v>
      </c>
      <c r="M326" t="n">
        <v>0</v>
      </c>
      <c r="N326" t="n">
        <v>0</v>
      </c>
      <c r="O326" t="n">
        <v>0</v>
      </c>
      <c r="P326" t="n">
        <v>0</v>
      </c>
      <c r="Q326" t="n">
        <v>0</v>
      </c>
      <c r="R326" s="2" t="inlineStr"/>
    </row>
    <row r="327" ht="15" customHeight="1">
      <c r="A327" t="inlineStr">
        <is>
          <t>A 45112-2024</t>
        </is>
      </c>
      <c r="B327" s="1" t="n">
        <v>45575</v>
      </c>
      <c r="C327" s="1" t="n">
        <v>46115</v>
      </c>
      <c r="D327" t="inlineStr">
        <is>
          <t>GOTLANDS LÄN</t>
        </is>
      </c>
      <c r="E327" t="inlineStr">
        <is>
          <t>GOTLAND</t>
        </is>
      </c>
      <c r="G327" t="n">
        <v>5.1</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46115</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2676-2023</t>
        </is>
      </c>
      <c r="B329" s="1" t="n">
        <v>44944</v>
      </c>
      <c r="C329" s="1" t="n">
        <v>46115</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3150-2025</t>
        </is>
      </c>
      <c r="B330" s="1" t="n">
        <v>45679.28974537037</v>
      </c>
      <c r="C330" s="1" t="n">
        <v>46115</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8484-2025</t>
        </is>
      </c>
      <c r="B331" s="1" t="n">
        <v>45709</v>
      </c>
      <c r="C331" s="1" t="n">
        <v>46115</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7635-2025</t>
        </is>
      </c>
      <c r="B332" s="1" t="n">
        <v>45705</v>
      </c>
      <c r="C332" s="1" t="n">
        <v>46115</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7636-2025</t>
        </is>
      </c>
      <c r="B333" s="1" t="n">
        <v>45705.7687962963</v>
      </c>
      <c r="C333" s="1" t="n">
        <v>46115</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7639-2025</t>
        </is>
      </c>
      <c r="B334" s="1" t="n">
        <v>45705.77465277778</v>
      </c>
      <c r="C334" s="1" t="n">
        <v>46115</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46115</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48734-2022</t>
        </is>
      </c>
      <c r="B336" s="1" t="n">
        <v>44855</v>
      </c>
      <c r="C336" s="1" t="n">
        <v>46115</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14141-2024</t>
        </is>
      </c>
      <c r="B337" s="1" t="n">
        <v>45392.85193287037</v>
      </c>
      <c r="C337" s="1" t="n">
        <v>46115</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26391-2025</t>
        </is>
      </c>
      <c r="B338" s="1" t="n">
        <v>45806</v>
      </c>
      <c r="C338" s="1" t="n">
        <v>46115</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29809-2022</t>
        </is>
      </c>
      <c r="B339" s="1" t="n">
        <v>44755.8713425926</v>
      </c>
      <c r="C339" s="1" t="n">
        <v>46115</v>
      </c>
      <c r="D339" t="inlineStr">
        <is>
          <t>GOTLANDS LÄN</t>
        </is>
      </c>
      <c r="E339" t="inlineStr">
        <is>
          <t>GOTLAND</t>
        </is>
      </c>
      <c r="G339" t="n">
        <v>11.5</v>
      </c>
      <c r="H339" t="n">
        <v>0</v>
      </c>
      <c r="I339" t="n">
        <v>0</v>
      </c>
      <c r="J339" t="n">
        <v>0</v>
      </c>
      <c r="K339" t="n">
        <v>0</v>
      </c>
      <c r="L339" t="n">
        <v>0</v>
      </c>
      <c r="M339" t="n">
        <v>0</v>
      </c>
      <c r="N339" t="n">
        <v>0</v>
      </c>
      <c r="O339" t="n">
        <v>0</v>
      </c>
      <c r="P339" t="n">
        <v>0</v>
      </c>
      <c r="Q339" t="n">
        <v>0</v>
      </c>
      <c r="R339" s="2" t="inlineStr"/>
    </row>
    <row r="340" ht="15" customHeight="1">
      <c r="A340" t="inlineStr">
        <is>
          <t>A 46836-2025</t>
        </is>
      </c>
      <c r="B340" s="1" t="n">
        <v>45928.31511574074</v>
      </c>
      <c r="C340" s="1" t="n">
        <v>46115</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32379-2025</t>
        </is>
      </c>
      <c r="B341" s="1" t="n">
        <v>45837</v>
      </c>
      <c r="C341" s="1" t="n">
        <v>46115</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57685-2022</t>
        </is>
      </c>
      <c r="B342" s="1" t="n">
        <v>44897.4777662037</v>
      </c>
      <c r="C342" s="1" t="n">
        <v>46115</v>
      </c>
      <c r="D342" t="inlineStr">
        <is>
          <t>GOTLANDS LÄN</t>
        </is>
      </c>
      <c r="E342" t="inlineStr">
        <is>
          <t>GOTLAND</t>
        </is>
      </c>
      <c r="G342" t="n">
        <v>3.7</v>
      </c>
      <c r="H342" t="n">
        <v>0</v>
      </c>
      <c r="I342" t="n">
        <v>0</v>
      </c>
      <c r="J342" t="n">
        <v>0</v>
      </c>
      <c r="K342" t="n">
        <v>0</v>
      </c>
      <c r="L342" t="n">
        <v>0</v>
      </c>
      <c r="M342" t="n">
        <v>0</v>
      </c>
      <c r="N342" t="n">
        <v>0</v>
      </c>
      <c r="O342" t="n">
        <v>0</v>
      </c>
      <c r="P342" t="n">
        <v>0</v>
      </c>
      <c r="Q342" t="n">
        <v>0</v>
      </c>
      <c r="R342" s="2" t="inlineStr"/>
    </row>
    <row r="343" ht="15" customHeight="1">
      <c r="A343" t="inlineStr">
        <is>
          <t>A 32467-2025</t>
        </is>
      </c>
      <c r="B343" s="1" t="n">
        <v>45838.42111111111</v>
      </c>
      <c r="C343" s="1" t="n">
        <v>46115</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30815-2023</t>
        </is>
      </c>
      <c r="B344" s="1" t="n">
        <v>45112</v>
      </c>
      <c r="C344" s="1" t="n">
        <v>46115</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16109-2025</t>
        </is>
      </c>
      <c r="B345" s="1" t="n">
        <v>45750</v>
      </c>
      <c r="C345" s="1" t="n">
        <v>46115</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7034-2023</t>
        </is>
      </c>
      <c r="B346" s="1" t="n">
        <v>44968.32108796296</v>
      </c>
      <c r="C346" s="1" t="n">
        <v>46115</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7042-2023</t>
        </is>
      </c>
      <c r="B347" s="1" t="n">
        <v>44968</v>
      </c>
      <c r="C347" s="1" t="n">
        <v>46115</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33007-2025</t>
        </is>
      </c>
      <c r="B348" s="1" t="n">
        <v>45840</v>
      </c>
      <c r="C348" s="1" t="n">
        <v>46115</v>
      </c>
      <c r="D348" t="inlineStr">
        <is>
          <t>GOTLANDS LÄN</t>
        </is>
      </c>
      <c r="E348" t="inlineStr">
        <is>
          <t>GOTLAND</t>
        </is>
      </c>
      <c r="G348" t="n">
        <v>4.9</v>
      </c>
      <c r="H348" t="n">
        <v>0</v>
      </c>
      <c r="I348" t="n">
        <v>0</v>
      </c>
      <c r="J348" t="n">
        <v>0</v>
      </c>
      <c r="K348" t="n">
        <v>0</v>
      </c>
      <c r="L348" t="n">
        <v>0</v>
      </c>
      <c r="M348" t="n">
        <v>0</v>
      </c>
      <c r="N348" t="n">
        <v>0</v>
      </c>
      <c r="O348" t="n">
        <v>0</v>
      </c>
      <c r="P348" t="n">
        <v>0</v>
      </c>
      <c r="Q348" t="n">
        <v>0</v>
      </c>
      <c r="R348" s="2" t="inlineStr"/>
    </row>
    <row r="349" ht="15" customHeight="1">
      <c r="A349" t="inlineStr">
        <is>
          <t>A 23516-2023</t>
        </is>
      </c>
      <c r="B349" s="1" t="n">
        <v>45076.93391203704</v>
      </c>
      <c r="C349" s="1" t="n">
        <v>46115</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46115</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64660-2023</t>
        </is>
      </c>
      <c r="B351" s="1" t="n">
        <v>45281.60122685185</v>
      </c>
      <c r="C351" s="1" t="n">
        <v>46115</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63763-2023</t>
        </is>
      </c>
      <c r="B352" s="1" t="n">
        <v>45278.33944444444</v>
      </c>
      <c r="C352" s="1" t="n">
        <v>46115</v>
      </c>
      <c r="D352" t="inlineStr">
        <is>
          <t>GOTLANDS LÄN</t>
        </is>
      </c>
      <c r="E352" t="inlineStr">
        <is>
          <t>GOTLAND</t>
        </is>
      </c>
      <c r="G352" t="n">
        <v>0.5</v>
      </c>
      <c r="H352" t="n">
        <v>0</v>
      </c>
      <c r="I352" t="n">
        <v>0</v>
      </c>
      <c r="J352" t="n">
        <v>0</v>
      </c>
      <c r="K352" t="n">
        <v>0</v>
      </c>
      <c r="L352" t="n">
        <v>0</v>
      </c>
      <c r="M352" t="n">
        <v>0</v>
      </c>
      <c r="N352" t="n">
        <v>0</v>
      </c>
      <c r="O352" t="n">
        <v>0</v>
      </c>
      <c r="P352" t="n">
        <v>0</v>
      </c>
      <c r="Q352" t="n">
        <v>0</v>
      </c>
      <c r="R352" s="2" t="inlineStr"/>
    </row>
    <row r="353" ht="15" customHeight="1">
      <c r="A353" t="inlineStr">
        <is>
          <t>A 56799-2025</t>
        </is>
      </c>
      <c r="B353" s="1" t="n">
        <v>45978.43392361111</v>
      </c>
      <c r="C353" s="1" t="n">
        <v>46115</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32378-2025</t>
        </is>
      </c>
      <c r="B354" s="1" t="n">
        <v>45837</v>
      </c>
      <c r="C354" s="1" t="n">
        <v>46115</v>
      </c>
      <c r="D354" t="inlineStr">
        <is>
          <t>GOTLANDS LÄN</t>
        </is>
      </c>
      <c r="E354" t="inlineStr">
        <is>
          <t>GOTLAND</t>
        </is>
      </c>
      <c r="G354" t="n">
        <v>4.1</v>
      </c>
      <c r="H354" t="n">
        <v>0</v>
      </c>
      <c r="I354" t="n">
        <v>0</v>
      </c>
      <c r="J354" t="n">
        <v>0</v>
      </c>
      <c r="K354" t="n">
        <v>0</v>
      </c>
      <c r="L354" t="n">
        <v>0</v>
      </c>
      <c r="M354" t="n">
        <v>0</v>
      </c>
      <c r="N354" t="n">
        <v>0</v>
      </c>
      <c r="O354" t="n">
        <v>0</v>
      </c>
      <c r="P354" t="n">
        <v>0</v>
      </c>
      <c r="Q354" t="n">
        <v>0</v>
      </c>
      <c r="R354" s="2" t="inlineStr"/>
    </row>
    <row r="355" ht="15" customHeight="1">
      <c r="A355" t="inlineStr">
        <is>
          <t>A 63229-2021</t>
        </is>
      </c>
      <c r="B355" s="1" t="n">
        <v>44508.34518518519</v>
      </c>
      <c r="C355" s="1" t="n">
        <v>46115</v>
      </c>
      <c r="D355" t="inlineStr">
        <is>
          <t>GOTLANDS LÄN</t>
        </is>
      </c>
      <c r="E355" t="inlineStr">
        <is>
          <t>GOTLAND</t>
        </is>
      </c>
      <c r="F355" t="inlineStr">
        <is>
          <t>Kyrkan</t>
        </is>
      </c>
      <c r="G355" t="n">
        <v>3.8</v>
      </c>
      <c r="H355" t="n">
        <v>0</v>
      </c>
      <c r="I355" t="n">
        <v>0</v>
      </c>
      <c r="J355" t="n">
        <v>0</v>
      </c>
      <c r="K355" t="n">
        <v>0</v>
      </c>
      <c r="L355" t="n">
        <v>0</v>
      </c>
      <c r="M355" t="n">
        <v>0</v>
      </c>
      <c r="N355" t="n">
        <v>0</v>
      </c>
      <c r="O355" t="n">
        <v>0</v>
      </c>
      <c r="P355" t="n">
        <v>0</v>
      </c>
      <c r="Q355" t="n">
        <v>0</v>
      </c>
      <c r="R355" s="2" t="inlineStr"/>
    </row>
    <row r="356" ht="15" customHeight="1">
      <c r="A356" t="inlineStr">
        <is>
          <t>A 46375-2024</t>
        </is>
      </c>
      <c r="B356" s="1" t="n">
        <v>45582</v>
      </c>
      <c r="C356" s="1" t="n">
        <v>46115</v>
      </c>
      <c r="D356" t="inlineStr">
        <is>
          <t>GOTLANDS LÄN</t>
        </is>
      </c>
      <c r="E356" t="inlineStr">
        <is>
          <t>GOTLAND</t>
        </is>
      </c>
      <c r="G356" t="n">
        <v>3</v>
      </c>
      <c r="H356" t="n">
        <v>0</v>
      </c>
      <c r="I356" t="n">
        <v>0</v>
      </c>
      <c r="J356" t="n">
        <v>0</v>
      </c>
      <c r="K356" t="n">
        <v>0</v>
      </c>
      <c r="L356" t="n">
        <v>0</v>
      </c>
      <c r="M356" t="n">
        <v>0</v>
      </c>
      <c r="N356" t="n">
        <v>0</v>
      </c>
      <c r="O356" t="n">
        <v>0</v>
      </c>
      <c r="P356" t="n">
        <v>0</v>
      </c>
      <c r="Q356" t="n">
        <v>0</v>
      </c>
      <c r="R356" s="2" t="inlineStr"/>
    </row>
    <row r="357" ht="15" customHeight="1">
      <c r="A357" t="inlineStr">
        <is>
          <t>A 56688-2025</t>
        </is>
      </c>
      <c r="B357" s="1" t="n">
        <v>45975.84331018518</v>
      </c>
      <c r="C357" s="1" t="n">
        <v>46115</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35550-2025</t>
        </is>
      </c>
      <c r="B358" s="1" t="n">
        <v>45856.49324074074</v>
      </c>
      <c r="C358" s="1" t="n">
        <v>46115</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15413-2025</t>
        </is>
      </c>
      <c r="B359" s="1" t="n">
        <v>45747.451875</v>
      </c>
      <c r="C359" s="1" t="n">
        <v>46115</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47578-2025</t>
        </is>
      </c>
      <c r="B360" s="1" t="n">
        <v>45931</v>
      </c>
      <c r="C360" s="1" t="n">
        <v>46115</v>
      </c>
      <c r="D360" t="inlineStr">
        <is>
          <t>GOTLANDS LÄN</t>
        </is>
      </c>
      <c r="E360" t="inlineStr">
        <is>
          <t>GOTLAND</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35123-2025</t>
        </is>
      </c>
      <c r="B361" s="1" t="n">
        <v>45852.614375</v>
      </c>
      <c r="C361" s="1" t="n">
        <v>46115</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35096-2025</t>
        </is>
      </c>
      <c r="B362" s="1" t="n">
        <v>45852.54356481481</v>
      </c>
      <c r="C362" s="1" t="n">
        <v>46115</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46115</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49724-2025</t>
        </is>
      </c>
      <c r="B364" s="1" t="n">
        <v>45939.83730324074</v>
      </c>
      <c r="C364" s="1" t="n">
        <v>46115</v>
      </c>
      <c r="D364" t="inlineStr">
        <is>
          <t>GOTLANDS LÄN</t>
        </is>
      </c>
      <c r="E364" t="inlineStr">
        <is>
          <t>GOTLAND</t>
        </is>
      </c>
      <c r="F364" t="inlineStr">
        <is>
          <t>Kyrkan</t>
        </is>
      </c>
      <c r="G364" t="n">
        <v>3.1</v>
      </c>
      <c r="H364" t="n">
        <v>0</v>
      </c>
      <c r="I364" t="n">
        <v>0</v>
      </c>
      <c r="J364" t="n">
        <v>0</v>
      </c>
      <c r="K364" t="n">
        <v>0</v>
      </c>
      <c r="L364" t="n">
        <v>0</v>
      </c>
      <c r="M364" t="n">
        <v>0</v>
      </c>
      <c r="N364" t="n">
        <v>0</v>
      </c>
      <c r="O364" t="n">
        <v>0</v>
      </c>
      <c r="P364" t="n">
        <v>0</v>
      </c>
      <c r="Q364" t="n">
        <v>0</v>
      </c>
      <c r="R364" s="2" t="inlineStr"/>
    </row>
    <row r="365" ht="15" customHeight="1">
      <c r="A365" t="inlineStr">
        <is>
          <t>A 49730-2025</t>
        </is>
      </c>
      <c r="B365" s="1" t="n">
        <v>45939.87613425926</v>
      </c>
      <c r="C365" s="1" t="n">
        <v>46115</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30104-2025</t>
        </is>
      </c>
      <c r="B366" s="1" t="n">
        <v>45826.68806712963</v>
      </c>
      <c r="C366" s="1" t="n">
        <v>46115</v>
      </c>
      <c r="D366" t="inlineStr">
        <is>
          <t>GOTLANDS LÄN</t>
        </is>
      </c>
      <c r="E366" t="inlineStr">
        <is>
          <t>GOTLAND</t>
        </is>
      </c>
      <c r="G366" t="n">
        <v>15.4</v>
      </c>
      <c r="H366" t="n">
        <v>0</v>
      </c>
      <c r="I366" t="n">
        <v>0</v>
      </c>
      <c r="J366" t="n">
        <v>0</v>
      </c>
      <c r="K366" t="n">
        <v>0</v>
      </c>
      <c r="L366" t="n">
        <v>0</v>
      </c>
      <c r="M366" t="n">
        <v>0</v>
      </c>
      <c r="N366" t="n">
        <v>0</v>
      </c>
      <c r="O366" t="n">
        <v>0</v>
      </c>
      <c r="P366" t="n">
        <v>0</v>
      </c>
      <c r="Q366" t="n">
        <v>0</v>
      </c>
      <c r="R366" s="2" t="inlineStr"/>
    </row>
    <row r="367" ht="15" customHeight="1">
      <c r="A367" t="inlineStr">
        <is>
          <t>A 20993-2023</t>
        </is>
      </c>
      <c r="B367" s="1" t="n">
        <v>45056</v>
      </c>
      <c r="C367" s="1" t="n">
        <v>46115</v>
      </c>
      <c r="D367" t="inlineStr">
        <is>
          <t>GOTLANDS LÄN</t>
        </is>
      </c>
      <c r="E367" t="inlineStr">
        <is>
          <t>GOTLAND</t>
        </is>
      </c>
      <c r="G367" t="n">
        <v>7.1</v>
      </c>
      <c r="H367" t="n">
        <v>0</v>
      </c>
      <c r="I367" t="n">
        <v>0</v>
      </c>
      <c r="J367" t="n">
        <v>0</v>
      </c>
      <c r="K367" t="n">
        <v>0</v>
      </c>
      <c r="L367" t="n">
        <v>0</v>
      </c>
      <c r="M367" t="n">
        <v>0</v>
      </c>
      <c r="N367" t="n">
        <v>0</v>
      </c>
      <c r="O367" t="n">
        <v>0</v>
      </c>
      <c r="P367" t="n">
        <v>0</v>
      </c>
      <c r="Q367" t="n">
        <v>0</v>
      </c>
      <c r="R367" s="2" t="inlineStr"/>
    </row>
    <row r="368" ht="15" customHeight="1">
      <c r="A368" t="inlineStr">
        <is>
          <t>A 35290-2025</t>
        </is>
      </c>
      <c r="B368" s="1" t="n">
        <v>45854.38502314815</v>
      </c>
      <c r="C368" s="1" t="n">
        <v>46115</v>
      </c>
      <c r="D368" t="inlineStr">
        <is>
          <t>GOTLANDS LÄN</t>
        </is>
      </c>
      <c r="E368" t="inlineStr">
        <is>
          <t>GOTLAND</t>
        </is>
      </c>
      <c r="G368" t="n">
        <v>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46115</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35537-2025</t>
        </is>
      </c>
      <c r="B370" s="1" t="n">
        <v>45856</v>
      </c>
      <c r="C370" s="1" t="n">
        <v>46115</v>
      </c>
      <c r="D370" t="inlineStr">
        <is>
          <t>GOTLANDS LÄN</t>
        </is>
      </c>
      <c r="E370" t="inlineStr">
        <is>
          <t>GOTLAND</t>
        </is>
      </c>
      <c r="G370" t="n">
        <v>16.8</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46115</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46115</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12596-2023</t>
        </is>
      </c>
      <c r="B373" s="1" t="n">
        <v>45000.43310185185</v>
      </c>
      <c r="C373" s="1" t="n">
        <v>46115</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2125-2025</t>
        </is>
      </c>
      <c r="B374" s="1" t="n">
        <v>45672.64940972222</v>
      </c>
      <c r="C374" s="1" t="n">
        <v>46115</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50421-2025</t>
        </is>
      </c>
      <c r="B375" s="1" t="n">
        <v>45944.66049768519</v>
      </c>
      <c r="C375" s="1" t="n">
        <v>46115</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12155-2023</t>
        </is>
      </c>
      <c r="B376" s="1" t="n">
        <v>44998.49106481481</v>
      </c>
      <c r="C376" s="1" t="n">
        <v>46115</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457-2023</t>
        </is>
      </c>
      <c r="B377" s="1" t="n">
        <v>44929.87238425926</v>
      </c>
      <c r="C377" s="1" t="n">
        <v>46115</v>
      </c>
      <c r="D377" t="inlineStr">
        <is>
          <t>GOTLANDS LÄN</t>
        </is>
      </c>
      <c r="E377" t="inlineStr">
        <is>
          <t>GOTLAND</t>
        </is>
      </c>
      <c r="G377" t="n">
        <v>2.4</v>
      </c>
      <c r="H377" t="n">
        <v>0</v>
      </c>
      <c r="I377" t="n">
        <v>0</v>
      </c>
      <c r="J377" t="n">
        <v>0</v>
      </c>
      <c r="K377" t="n">
        <v>0</v>
      </c>
      <c r="L377" t="n">
        <v>0</v>
      </c>
      <c r="M377" t="n">
        <v>0</v>
      </c>
      <c r="N377" t="n">
        <v>0</v>
      </c>
      <c r="O377" t="n">
        <v>0</v>
      </c>
      <c r="P377" t="n">
        <v>0</v>
      </c>
      <c r="Q377" t="n">
        <v>0</v>
      </c>
      <c r="R377" s="2" t="inlineStr"/>
    </row>
    <row r="378" ht="15" customHeight="1">
      <c r="A378" t="inlineStr">
        <is>
          <t>A 459-2023</t>
        </is>
      </c>
      <c r="B378" s="1" t="n">
        <v>44929.87423611111</v>
      </c>
      <c r="C378" s="1" t="n">
        <v>46115</v>
      </c>
      <c r="D378" t="inlineStr">
        <is>
          <t>GOTLANDS LÄN</t>
        </is>
      </c>
      <c r="E378" t="inlineStr">
        <is>
          <t>GOTLAND</t>
        </is>
      </c>
      <c r="G378" t="n">
        <v>4.2</v>
      </c>
      <c r="H378" t="n">
        <v>0</v>
      </c>
      <c r="I378" t="n">
        <v>0</v>
      </c>
      <c r="J378" t="n">
        <v>0</v>
      </c>
      <c r="K378" t="n">
        <v>0</v>
      </c>
      <c r="L378" t="n">
        <v>0</v>
      </c>
      <c r="M378" t="n">
        <v>0</v>
      </c>
      <c r="N378" t="n">
        <v>0</v>
      </c>
      <c r="O378" t="n">
        <v>0</v>
      </c>
      <c r="P378" t="n">
        <v>0</v>
      </c>
      <c r="Q378" t="n">
        <v>0</v>
      </c>
      <c r="R378" s="2" t="inlineStr"/>
    </row>
    <row r="379" ht="15" customHeight="1">
      <c r="A379" t="inlineStr">
        <is>
          <t>A 38234-2023</t>
        </is>
      </c>
      <c r="B379" s="1" t="n">
        <v>45161.56663194444</v>
      </c>
      <c r="C379" s="1" t="n">
        <v>46115</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15216-2025</t>
        </is>
      </c>
      <c r="B380" s="1" t="n">
        <v>45744</v>
      </c>
      <c r="C380" s="1" t="n">
        <v>46115</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46115</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46115</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50431-2025</t>
        </is>
      </c>
      <c r="B383" s="1" t="n">
        <v>45944.68453703704</v>
      </c>
      <c r="C383" s="1" t="n">
        <v>46115</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15001-2025</t>
        </is>
      </c>
      <c r="B384" s="1" t="n">
        <v>45743</v>
      </c>
      <c r="C384" s="1" t="n">
        <v>46115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30488-2025</t>
        </is>
      </c>
      <c r="B385" s="1" t="n">
        <v>45830</v>
      </c>
      <c r="C385" s="1" t="n">
        <v>46115</v>
      </c>
      <c r="D385" t="inlineStr">
        <is>
          <t>GOTLANDS LÄN</t>
        </is>
      </c>
      <c r="E385" t="inlineStr">
        <is>
          <t>GOTLAND</t>
        </is>
      </c>
      <c r="F385" t="inlineStr">
        <is>
          <t>Kyrkan</t>
        </is>
      </c>
      <c r="G385" t="n">
        <v>3.9</v>
      </c>
      <c r="H385" t="n">
        <v>0</v>
      </c>
      <c r="I385" t="n">
        <v>0</v>
      </c>
      <c r="J385" t="n">
        <v>0</v>
      </c>
      <c r="K385" t="n">
        <v>0</v>
      </c>
      <c r="L385" t="n">
        <v>0</v>
      </c>
      <c r="M385" t="n">
        <v>0</v>
      </c>
      <c r="N385" t="n">
        <v>0</v>
      </c>
      <c r="O385" t="n">
        <v>0</v>
      </c>
      <c r="P385" t="n">
        <v>0</v>
      </c>
      <c r="Q385" t="n">
        <v>0</v>
      </c>
      <c r="R385" s="2" t="inlineStr"/>
    </row>
    <row r="386" ht="15" customHeight="1">
      <c r="A386" t="inlineStr">
        <is>
          <t>A 17847-2025</t>
        </is>
      </c>
      <c r="B386" s="1" t="n">
        <v>45758</v>
      </c>
      <c r="C386" s="1" t="n">
        <v>46115</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50928-2025</t>
        </is>
      </c>
      <c r="B387" s="1" t="n">
        <v>45946.67896990741</v>
      </c>
      <c r="C387" s="1" t="n">
        <v>46115</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18742-2025</t>
        </is>
      </c>
      <c r="B388" s="1" t="n">
        <v>45763</v>
      </c>
      <c r="C388" s="1" t="n">
        <v>46115</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53934-2024</t>
        </is>
      </c>
      <c r="B389" s="1" t="n">
        <v>45615</v>
      </c>
      <c r="C389" s="1" t="n">
        <v>46115</v>
      </c>
      <c r="D389" t="inlineStr">
        <is>
          <t>GOTLANDS LÄN</t>
        </is>
      </c>
      <c r="E389" t="inlineStr">
        <is>
          <t>GOTLAND</t>
        </is>
      </c>
      <c r="G389" t="n">
        <v>5</v>
      </c>
      <c r="H389" t="n">
        <v>0</v>
      </c>
      <c r="I389" t="n">
        <v>0</v>
      </c>
      <c r="J389" t="n">
        <v>0</v>
      </c>
      <c r="K389" t="n">
        <v>0</v>
      </c>
      <c r="L389" t="n">
        <v>0</v>
      </c>
      <c r="M389" t="n">
        <v>0</v>
      </c>
      <c r="N389" t="n">
        <v>0</v>
      </c>
      <c r="O389" t="n">
        <v>0</v>
      </c>
      <c r="P389" t="n">
        <v>0</v>
      </c>
      <c r="Q389" t="n">
        <v>0</v>
      </c>
      <c r="R389" s="2" t="inlineStr"/>
    </row>
    <row r="390" ht="15" customHeight="1">
      <c r="A390" t="inlineStr">
        <is>
          <t>A 35129-2025</t>
        </is>
      </c>
      <c r="B390" s="1" t="n">
        <v>45852.63224537037</v>
      </c>
      <c r="C390" s="1" t="n">
        <v>46115</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1446-2025</t>
        </is>
      </c>
      <c r="B391" s="1" t="n">
        <v>45669.86035879629</v>
      </c>
      <c r="C391" s="1" t="n">
        <v>46115</v>
      </c>
      <c r="D391" t="inlineStr">
        <is>
          <t>GOTLANDS LÄN</t>
        </is>
      </c>
      <c r="E391" t="inlineStr">
        <is>
          <t>GOTLAND</t>
        </is>
      </c>
      <c r="G391" t="n">
        <v>3.1</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46115</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46115</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10746-2025</t>
        </is>
      </c>
      <c r="B394" s="1" t="n">
        <v>45722.42766203704</v>
      </c>
      <c r="C394" s="1" t="n">
        <v>46115</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16501-2023</t>
        </is>
      </c>
      <c r="B395" s="1" t="n">
        <v>45029</v>
      </c>
      <c r="C395" s="1" t="n">
        <v>46115</v>
      </c>
      <c r="D395" t="inlineStr">
        <is>
          <t>GOTLANDS LÄN</t>
        </is>
      </c>
      <c r="E395" t="inlineStr">
        <is>
          <t>GOTLAND</t>
        </is>
      </c>
      <c r="G395" t="n">
        <v>3.1</v>
      </c>
      <c r="H395" t="n">
        <v>0</v>
      </c>
      <c r="I395" t="n">
        <v>0</v>
      </c>
      <c r="J395" t="n">
        <v>0</v>
      </c>
      <c r="K395" t="n">
        <v>0</v>
      </c>
      <c r="L395" t="n">
        <v>0</v>
      </c>
      <c r="M395" t="n">
        <v>0</v>
      </c>
      <c r="N395" t="n">
        <v>0</v>
      </c>
      <c r="O395" t="n">
        <v>0</v>
      </c>
      <c r="P395" t="n">
        <v>0</v>
      </c>
      <c r="Q395" t="n">
        <v>0</v>
      </c>
      <c r="R395" s="2" t="inlineStr"/>
    </row>
    <row r="396" ht="15" customHeight="1">
      <c r="A396" t="inlineStr">
        <is>
          <t>A 6108-2025</t>
        </is>
      </c>
      <c r="B396" s="1" t="n">
        <v>45698.29880787037</v>
      </c>
      <c r="C396" s="1" t="n">
        <v>46115</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21142-2025</t>
        </is>
      </c>
      <c r="B397" s="1" t="n">
        <v>45779</v>
      </c>
      <c r="C397" s="1" t="n">
        <v>46115</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46115</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46115</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27930-2021</t>
        </is>
      </c>
      <c r="B400" s="1" t="n">
        <v>44354</v>
      </c>
      <c r="C400" s="1" t="n">
        <v>46115</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30489-2025</t>
        </is>
      </c>
      <c r="B401" s="1" t="n">
        <v>45830</v>
      </c>
      <c r="C401" s="1" t="n">
        <v>46115</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61962-2024</t>
        </is>
      </c>
      <c r="B402" s="1" t="n">
        <v>45653.54340277778</v>
      </c>
      <c r="C402" s="1" t="n">
        <v>46115</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20307-2025</t>
        </is>
      </c>
      <c r="B403" s="1" t="n">
        <v>45774.95546296296</v>
      </c>
      <c r="C403" s="1" t="n">
        <v>46115</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10492-2023</t>
        </is>
      </c>
      <c r="B404" s="1" t="n">
        <v>44987</v>
      </c>
      <c r="C404" s="1" t="n">
        <v>46115</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5909-2025</t>
        </is>
      </c>
      <c r="B405" s="1" t="n">
        <v>45695.40634259259</v>
      </c>
      <c r="C405" s="1" t="n">
        <v>46115</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10653-2023</t>
        </is>
      </c>
      <c r="B406" s="1" t="n">
        <v>44988.48859953704</v>
      </c>
      <c r="C406" s="1" t="n">
        <v>46115</v>
      </c>
      <c r="D406" t="inlineStr">
        <is>
          <t>GOTLANDS LÄN</t>
        </is>
      </c>
      <c r="E406" t="inlineStr">
        <is>
          <t>GOTLAND</t>
        </is>
      </c>
      <c r="F406" t="inlineStr">
        <is>
          <t>Kyrkan</t>
        </is>
      </c>
      <c r="G406" t="n">
        <v>3</v>
      </c>
      <c r="H406" t="n">
        <v>0</v>
      </c>
      <c r="I406" t="n">
        <v>0</v>
      </c>
      <c r="J406" t="n">
        <v>0</v>
      </c>
      <c r="K406" t="n">
        <v>0</v>
      </c>
      <c r="L406" t="n">
        <v>0</v>
      </c>
      <c r="M406" t="n">
        <v>0</v>
      </c>
      <c r="N406" t="n">
        <v>0</v>
      </c>
      <c r="O406" t="n">
        <v>0</v>
      </c>
      <c r="P406" t="n">
        <v>0</v>
      </c>
      <c r="Q406" t="n">
        <v>0</v>
      </c>
      <c r="R406" s="2" t="inlineStr"/>
    </row>
    <row r="407" ht="15" customHeight="1">
      <c r="A407" t="inlineStr">
        <is>
          <t>A 4990-2025</t>
        </is>
      </c>
      <c r="B407" s="1" t="n">
        <v>45691</v>
      </c>
      <c r="C407" s="1" t="n">
        <v>46115</v>
      </c>
      <c r="D407" t="inlineStr">
        <is>
          <t>GOTLANDS LÄN</t>
        </is>
      </c>
      <c r="E407" t="inlineStr">
        <is>
          <t>GOTLAND</t>
        </is>
      </c>
      <c r="G407" t="n">
        <v>7.7</v>
      </c>
      <c r="H407" t="n">
        <v>0</v>
      </c>
      <c r="I407" t="n">
        <v>0</v>
      </c>
      <c r="J407" t="n">
        <v>0</v>
      </c>
      <c r="K407" t="n">
        <v>0</v>
      </c>
      <c r="L407" t="n">
        <v>0</v>
      </c>
      <c r="M407" t="n">
        <v>0</v>
      </c>
      <c r="N407" t="n">
        <v>0</v>
      </c>
      <c r="O407" t="n">
        <v>0</v>
      </c>
      <c r="P407" t="n">
        <v>0</v>
      </c>
      <c r="Q407" t="n">
        <v>0</v>
      </c>
      <c r="R407" s="2" t="inlineStr"/>
    </row>
    <row r="408" ht="15" customHeight="1">
      <c r="A408" t="inlineStr">
        <is>
          <t>A 59197-2025</t>
        </is>
      </c>
      <c r="B408" s="1" t="n">
        <v>45988.59846064815</v>
      </c>
      <c r="C408" s="1" t="n">
        <v>46115</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43081-2022</t>
        </is>
      </c>
      <c r="B409" s="1" t="n">
        <v>44833</v>
      </c>
      <c r="C409" s="1" t="n">
        <v>46115</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46115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5884-2025</t>
        </is>
      </c>
      <c r="B411" s="1" t="n">
        <v>45695.37482638889</v>
      </c>
      <c r="C411" s="1" t="n">
        <v>46115</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5897-2025</t>
        </is>
      </c>
      <c r="B412" s="1" t="n">
        <v>45695.39273148148</v>
      </c>
      <c r="C412" s="1" t="n">
        <v>46115</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49693-2023</t>
        </is>
      </c>
      <c r="B413" s="1" t="n">
        <v>45212.38138888889</v>
      </c>
      <c r="C413" s="1" t="n">
        <v>46115</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49697-2023</t>
        </is>
      </c>
      <c r="B414" s="1" t="n">
        <v>45212.38909722222</v>
      </c>
      <c r="C414" s="1" t="n">
        <v>46115</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17901-2023</t>
        </is>
      </c>
      <c r="B415" s="1" t="n">
        <v>45039</v>
      </c>
      <c r="C415" s="1" t="n">
        <v>46115</v>
      </c>
      <c r="D415" t="inlineStr">
        <is>
          <t>GOTLANDS LÄN</t>
        </is>
      </c>
      <c r="E415" t="inlineStr">
        <is>
          <t>GOTLAND</t>
        </is>
      </c>
      <c r="F415" t="inlineStr">
        <is>
          <t>Kyrkan</t>
        </is>
      </c>
      <c r="G415" t="n">
        <v>0.6</v>
      </c>
      <c r="H415" t="n">
        <v>0</v>
      </c>
      <c r="I415" t="n">
        <v>0</v>
      </c>
      <c r="J415" t="n">
        <v>0</v>
      </c>
      <c r="K415" t="n">
        <v>0</v>
      </c>
      <c r="L415" t="n">
        <v>0</v>
      </c>
      <c r="M415" t="n">
        <v>0</v>
      </c>
      <c r="N415" t="n">
        <v>0</v>
      </c>
      <c r="O415" t="n">
        <v>0</v>
      </c>
      <c r="P415" t="n">
        <v>0</v>
      </c>
      <c r="Q415" t="n">
        <v>0</v>
      </c>
      <c r="R415" s="2" t="inlineStr"/>
    </row>
    <row r="416" ht="15" customHeight="1">
      <c r="A416" t="inlineStr">
        <is>
          <t>A 36319-2025</t>
        </is>
      </c>
      <c r="B416" s="1" t="n">
        <v>45868</v>
      </c>
      <c r="C416" s="1" t="n">
        <v>46115</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46115</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46396-2023</t>
        </is>
      </c>
      <c r="B418" s="1" t="n">
        <v>45197</v>
      </c>
      <c r="C418" s="1" t="n">
        <v>46115</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17724-2024</t>
        </is>
      </c>
      <c r="B419" s="1" t="n">
        <v>45418.55096064815</v>
      </c>
      <c r="C419" s="1" t="n">
        <v>46115</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34312-2024</t>
        </is>
      </c>
      <c r="B420" s="1" t="n">
        <v>45524.69703703704</v>
      </c>
      <c r="C420" s="1" t="n">
        <v>46115</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46115</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7638-2025</t>
        </is>
      </c>
      <c r="B422" s="1" t="n">
        <v>45705.77306712963</v>
      </c>
      <c r="C422" s="1" t="n">
        <v>46115</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50482-2024</t>
        </is>
      </c>
      <c r="B423" s="1" t="n">
        <v>45601.48114583334</v>
      </c>
      <c r="C423" s="1" t="n">
        <v>46115</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62066-2025</t>
        </is>
      </c>
      <c r="B424" s="1" t="n">
        <v>46006.34738425926</v>
      </c>
      <c r="C424" s="1" t="n">
        <v>46115</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46115</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62103-2025</t>
        </is>
      </c>
      <c r="B426" s="1" t="n">
        <v>46006</v>
      </c>
      <c r="C426" s="1" t="n">
        <v>46115</v>
      </c>
      <c r="D426" t="inlineStr">
        <is>
          <t>GOTLANDS LÄN</t>
        </is>
      </c>
      <c r="E426" t="inlineStr">
        <is>
          <t>GOTLAND</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46115</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46115</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46115</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46115</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63002-2025</t>
        </is>
      </c>
      <c r="B431" s="1" t="n">
        <v>46009.56564814815</v>
      </c>
      <c r="C431" s="1" t="n">
        <v>46115</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5386-2023</t>
        </is>
      </c>
      <c r="B432" s="1" t="n">
        <v>44959</v>
      </c>
      <c r="C432" s="1" t="n">
        <v>46115</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7026-2023</t>
        </is>
      </c>
      <c r="B433" s="1" t="n">
        <v>44968.30340277778</v>
      </c>
      <c r="C433" s="1" t="n">
        <v>46115</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20855-2023</t>
        </is>
      </c>
      <c r="B434" s="1" t="n">
        <v>45058.82172453704</v>
      </c>
      <c r="C434" s="1" t="n">
        <v>46115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1000-2024</t>
        </is>
      </c>
      <c r="B435" s="1" t="n">
        <v>45301.63371527778</v>
      </c>
      <c r="C435" s="1" t="n">
        <v>46115</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1010-2024</t>
        </is>
      </c>
      <c r="B436" s="1" t="n">
        <v>45301</v>
      </c>
      <c r="C436" s="1" t="n">
        <v>46115</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54584-2025</t>
        </is>
      </c>
      <c r="B437" s="1" t="n">
        <v>45965.71788194445</v>
      </c>
      <c r="C437" s="1" t="n">
        <v>46115</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38649-2025</t>
        </is>
      </c>
      <c r="B438" s="1" t="n">
        <v>45884</v>
      </c>
      <c r="C438" s="1" t="n">
        <v>46115</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47762-2023</t>
        </is>
      </c>
      <c r="B439" s="1" t="n">
        <v>45203.86256944444</v>
      </c>
      <c r="C439" s="1" t="n">
        <v>46115</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61078-2025</t>
        </is>
      </c>
      <c r="B440" s="1" t="n">
        <v>46000</v>
      </c>
      <c r="C440" s="1" t="n">
        <v>46115</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46545-2024</t>
        </is>
      </c>
      <c r="B441" s="1" t="n">
        <v>45582.65831018519</v>
      </c>
      <c r="C441" s="1" t="n">
        <v>46115</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60086-2022</t>
        </is>
      </c>
      <c r="B442" s="1" t="n">
        <v>44909</v>
      </c>
      <c r="C442" s="1" t="n">
        <v>46115</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36-2026</t>
        </is>
      </c>
      <c r="B443" s="1" t="n">
        <v>46024.38886574074</v>
      </c>
      <c r="C443" s="1" t="n">
        <v>46115</v>
      </c>
      <c r="D443" t="inlineStr">
        <is>
          <t>GOTLANDS LÄN</t>
        </is>
      </c>
      <c r="E443" t="inlineStr">
        <is>
          <t>GOTLAND</t>
        </is>
      </c>
      <c r="G443" t="n">
        <v>1</v>
      </c>
      <c r="H443" t="n">
        <v>0</v>
      </c>
      <c r="I443" t="n">
        <v>0</v>
      </c>
      <c r="J443" t="n">
        <v>0</v>
      </c>
      <c r="K443" t="n">
        <v>0</v>
      </c>
      <c r="L443" t="n">
        <v>0</v>
      </c>
      <c r="M443" t="n">
        <v>0</v>
      </c>
      <c r="N443" t="n">
        <v>0</v>
      </c>
      <c r="O443" t="n">
        <v>0</v>
      </c>
      <c r="P443" t="n">
        <v>0</v>
      </c>
      <c r="Q443" t="n">
        <v>0</v>
      </c>
      <c r="R443" s="2" t="inlineStr"/>
    </row>
    <row r="444" ht="15" customHeight="1">
      <c r="A444" t="inlineStr">
        <is>
          <t>A 28480-2023</t>
        </is>
      </c>
      <c r="B444" s="1" t="n">
        <v>45103</v>
      </c>
      <c r="C444" s="1" t="n">
        <v>46115</v>
      </c>
      <c r="D444" t="inlineStr">
        <is>
          <t>GOTLANDS LÄN</t>
        </is>
      </c>
      <c r="E444" t="inlineStr">
        <is>
          <t>GOTLAND</t>
        </is>
      </c>
      <c r="G444" t="n">
        <v>5.7</v>
      </c>
      <c r="H444" t="n">
        <v>0</v>
      </c>
      <c r="I444" t="n">
        <v>0</v>
      </c>
      <c r="J444" t="n">
        <v>0</v>
      </c>
      <c r="K444" t="n">
        <v>0</v>
      </c>
      <c r="L444" t="n">
        <v>0</v>
      </c>
      <c r="M444" t="n">
        <v>0</v>
      </c>
      <c r="N444" t="n">
        <v>0</v>
      </c>
      <c r="O444" t="n">
        <v>0</v>
      </c>
      <c r="P444" t="n">
        <v>0</v>
      </c>
      <c r="Q444" t="n">
        <v>0</v>
      </c>
      <c r="R444" s="2" t="inlineStr"/>
    </row>
    <row r="445" ht="15" customHeight="1">
      <c r="A445" t="inlineStr">
        <is>
          <t>A 28485-2023</t>
        </is>
      </c>
      <c r="B445" s="1" t="n">
        <v>45103.43731481482</v>
      </c>
      <c r="C445" s="1" t="n">
        <v>46115</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62674-2025</t>
        </is>
      </c>
      <c r="B446" s="1" t="n">
        <v>46008</v>
      </c>
      <c r="C446" s="1" t="n">
        <v>46115</v>
      </c>
      <c r="D446" t="inlineStr">
        <is>
          <t>GOTLANDS LÄN</t>
        </is>
      </c>
      <c r="E446" t="inlineStr">
        <is>
          <t>GOTLAND</t>
        </is>
      </c>
      <c r="G446" t="n">
        <v>5</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46115</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44949-2023</t>
        </is>
      </c>
      <c r="B448" s="1" t="n">
        <v>45190.69520833333</v>
      </c>
      <c r="C448" s="1" t="n">
        <v>46115</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46115</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63152-2025</t>
        </is>
      </c>
      <c r="B450" s="1" t="n">
        <v>46010</v>
      </c>
      <c r="C450" s="1" t="n">
        <v>46115</v>
      </c>
      <c r="D450" t="inlineStr">
        <is>
          <t>GOTLANDS LÄN</t>
        </is>
      </c>
      <c r="E450" t="inlineStr">
        <is>
          <t>GOTLAND</t>
        </is>
      </c>
      <c r="G450" t="n">
        <v>1.5</v>
      </c>
      <c r="H450" t="n">
        <v>0</v>
      </c>
      <c r="I450" t="n">
        <v>0</v>
      </c>
      <c r="J450" t="n">
        <v>0</v>
      </c>
      <c r="K450" t="n">
        <v>0</v>
      </c>
      <c r="L450" t="n">
        <v>0</v>
      </c>
      <c r="M450" t="n">
        <v>0</v>
      </c>
      <c r="N450" t="n">
        <v>0</v>
      </c>
      <c r="O450" t="n">
        <v>0</v>
      </c>
      <c r="P450" t="n">
        <v>0</v>
      </c>
      <c r="Q450" t="n">
        <v>0</v>
      </c>
      <c r="R450" s="2" t="inlineStr"/>
    </row>
    <row r="451" ht="15" customHeight="1">
      <c r="A451" t="inlineStr">
        <is>
          <t>A 9901-2026</t>
        </is>
      </c>
      <c r="B451" s="1" t="n">
        <v>46073.40391203704</v>
      </c>
      <c r="C451" s="1" t="n">
        <v>46115</v>
      </c>
      <c r="D451" t="inlineStr">
        <is>
          <t>GOTLANDS LÄN</t>
        </is>
      </c>
      <c r="E451" t="inlineStr">
        <is>
          <t>GOTLAND</t>
        </is>
      </c>
      <c r="F451" t="inlineStr">
        <is>
          <t>Kyrkan</t>
        </is>
      </c>
      <c r="G451" t="n">
        <v>0.9</v>
      </c>
      <c r="H451" t="n">
        <v>0</v>
      </c>
      <c r="I451" t="n">
        <v>0</v>
      </c>
      <c r="J451" t="n">
        <v>0</v>
      </c>
      <c r="K451" t="n">
        <v>0</v>
      </c>
      <c r="L451" t="n">
        <v>0</v>
      </c>
      <c r="M451" t="n">
        <v>0</v>
      </c>
      <c r="N451" t="n">
        <v>0</v>
      </c>
      <c r="O451" t="n">
        <v>0</v>
      </c>
      <c r="P451" t="n">
        <v>0</v>
      </c>
      <c r="Q451" t="n">
        <v>0</v>
      </c>
      <c r="R451" s="2" t="inlineStr"/>
    </row>
    <row r="452" ht="15" customHeight="1">
      <c r="A452" t="inlineStr">
        <is>
          <t>A 3964-2024</t>
        </is>
      </c>
      <c r="B452" s="1" t="n">
        <v>45322</v>
      </c>
      <c r="C452" s="1" t="n">
        <v>46115</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45084-2024</t>
        </is>
      </c>
      <c r="B453" s="1" t="n">
        <v>45575</v>
      </c>
      <c r="C453" s="1" t="n">
        <v>46115</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1355-2026</t>
        </is>
      </c>
      <c r="B454" s="1" t="n">
        <v>46031.59909722222</v>
      </c>
      <c r="C454" s="1" t="n">
        <v>46115</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10486-2026</t>
        </is>
      </c>
      <c r="B455" s="1" t="n">
        <v>46077.51425925926</v>
      </c>
      <c r="C455" s="1" t="n">
        <v>46115</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5217-2023</t>
        </is>
      </c>
      <c r="B456" s="1" t="n">
        <v>44959.39582175926</v>
      </c>
      <c r="C456" s="1" t="n">
        <v>46115</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1677-2023</t>
        </is>
      </c>
      <c r="B457" s="1" t="n">
        <v>44938</v>
      </c>
      <c r="C457" s="1" t="n">
        <v>46115</v>
      </c>
      <c r="D457" t="inlineStr">
        <is>
          <t>GOTLANDS LÄN</t>
        </is>
      </c>
      <c r="E457" t="inlineStr">
        <is>
          <t>GOTLAND</t>
        </is>
      </c>
      <c r="G457" t="n">
        <v>1.6</v>
      </c>
      <c r="H457" t="n">
        <v>0</v>
      </c>
      <c r="I457" t="n">
        <v>0</v>
      </c>
      <c r="J457" t="n">
        <v>0</v>
      </c>
      <c r="K457" t="n">
        <v>0</v>
      </c>
      <c r="L457" t="n">
        <v>0</v>
      </c>
      <c r="M457" t="n">
        <v>0</v>
      </c>
      <c r="N457" t="n">
        <v>0</v>
      </c>
      <c r="O457" t="n">
        <v>0</v>
      </c>
      <c r="P457" t="n">
        <v>0</v>
      </c>
      <c r="Q457" t="n">
        <v>0</v>
      </c>
      <c r="R457" s="2" t="inlineStr"/>
    </row>
    <row r="458" ht="15" customHeight="1">
      <c r="A458" t="inlineStr">
        <is>
          <t>A 10284-2026</t>
        </is>
      </c>
      <c r="B458" s="1" t="n">
        <v>46076</v>
      </c>
      <c r="C458" s="1" t="n">
        <v>46115</v>
      </c>
      <c r="D458" t="inlineStr">
        <is>
          <t>GOTLANDS LÄN</t>
        </is>
      </c>
      <c r="E458" t="inlineStr">
        <is>
          <t>GOTLAND</t>
        </is>
      </c>
      <c r="G458" t="n">
        <v>5.2</v>
      </c>
      <c r="H458" t="n">
        <v>0</v>
      </c>
      <c r="I458" t="n">
        <v>0</v>
      </c>
      <c r="J458" t="n">
        <v>0</v>
      </c>
      <c r="K458" t="n">
        <v>0</v>
      </c>
      <c r="L458" t="n">
        <v>0</v>
      </c>
      <c r="M458" t="n">
        <v>0</v>
      </c>
      <c r="N458" t="n">
        <v>0</v>
      </c>
      <c r="O458" t="n">
        <v>0</v>
      </c>
      <c r="P458" t="n">
        <v>0</v>
      </c>
      <c r="Q458" t="n">
        <v>0</v>
      </c>
      <c r="R458" s="2" t="inlineStr"/>
    </row>
    <row r="459" ht="15" customHeight="1">
      <c r="A459" t="inlineStr">
        <is>
          <t>A 1898-2026</t>
        </is>
      </c>
      <c r="B459" s="1" t="n">
        <v>46035.52024305556</v>
      </c>
      <c r="C459" s="1" t="n">
        <v>46115</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45244-2024</t>
        </is>
      </c>
      <c r="B460" s="1" t="n">
        <v>45576</v>
      </c>
      <c r="C460" s="1" t="n">
        <v>46115</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8260-2023</t>
        </is>
      </c>
      <c r="B461" s="1" t="n">
        <v>44974.61608796296</v>
      </c>
      <c r="C461" s="1" t="n">
        <v>46115</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2415-2026</t>
        </is>
      </c>
      <c r="B462" s="1" t="n">
        <v>46036.76203703704</v>
      </c>
      <c r="C462" s="1" t="n">
        <v>46115</v>
      </c>
      <c r="D462" t="inlineStr">
        <is>
          <t>GOTLANDS LÄN</t>
        </is>
      </c>
      <c r="E462" t="inlineStr">
        <is>
          <t>GOTLAND</t>
        </is>
      </c>
      <c r="G462" t="n">
        <v>6.9</v>
      </c>
      <c r="H462" t="n">
        <v>0</v>
      </c>
      <c r="I462" t="n">
        <v>0</v>
      </c>
      <c r="J462" t="n">
        <v>0</v>
      </c>
      <c r="K462" t="n">
        <v>0</v>
      </c>
      <c r="L462" t="n">
        <v>0</v>
      </c>
      <c r="M462" t="n">
        <v>0</v>
      </c>
      <c r="N462" t="n">
        <v>0</v>
      </c>
      <c r="O462" t="n">
        <v>0</v>
      </c>
      <c r="P462" t="n">
        <v>0</v>
      </c>
      <c r="Q462" t="n">
        <v>0</v>
      </c>
      <c r="R462" s="2" t="inlineStr"/>
    </row>
    <row r="463" ht="15" customHeight="1">
      <c r="A463" t="inlineStr">
        <is>
          <t>A 64969-2023</t>
        </is>
      </c>
      <c r="B463" s="1" t="n">
        <v>45284.54009259259</v>
      </c>
      <c r="C463" s="1" t="n">
        <v>46115</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48843-2024</t>
        </is>
      </c>
      <c r="B464" s="1" t="n">
        <v>45593</v>
      </c>
      <c r="C464" s="1" t="n">
        <v>46115</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17541-2024</t>
        </is>
      </c>
      <c r="B465" s="1" t="n">
        <v>45415</v>
      </c>
      <c r="C465" s="1" t="n">
        <v>46115</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2241-2025</t>
        </is>
      </c>
      <c r="B466" s="1" t="n">
        <v>45673.48710648148</v>
      </c>
      <c r="C466" s="1" t="n">
        <v>46115</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11414-2026</t>
        </is>
      </c>
      <c r="B467" s="1" t="n">
        <v>46083.46336805556</v>
      </c>
      <c r="C467" s="1" t="n">
        <v>46115</v>
      </c>
      <c r="D467" t="inlineStr">
        <is>
          <t>GOTLANDS LÄN</t>
        </is>
      </c>
      <c r="E467" t="inlineStr">
        <is>
          <t>GOTLAND</t>
        </is>
      </c>
      <c r="G467" t="n">
        <v>4.9</v>
      </c>
      <c r="H467" t="n">
        <v>0</v>
      </c>
      <c r="I467" t="n">
        <v>0</v>
      </c>
      <c r="J467" t="n">
        <v>0</v>
      </c>
      <c r="K467" t="n">
        <v>0</v>
      </c>
      <c r="L467" t="n">
        <v>0</v>
      </c>
      <c r="M467" t="n">
        <v>0</v>
      </c>
      <c r="N467" t="n">
        <v>0</v>
      </c>
      <c r="O467" t="n">
        <v>0</v>
      </c>
      <c r="P467" t="n">
        <v>0</v>
      </c>
      <c r="Q467" t="n">
        <v>0</v>
      </c>
      <c r="R467" s="2" t="inlineStr"/>
    </row>
    <row r="468" ht="15" customHeight="1">
      <c r="A468" t="inlineStr">
        <is>
          <t>A 15434-2024</t>
        </is>
      </c>
      <c r="B468" s="1" t="n">
        <v>45401.38836805556</v>
      </c>
      <c r="C468" s="1" t="n">
        <v>46115</v>
      </c>
      <c r="D468" t="inlineStr">
        <is>
          <t>GOTLANDS LÄN</t>
        </is>
      </c>
      <c r="E468" t="inlineStr">
        <is>
          <t>GOTLAND</t>
        </is>
      </c>
      <c r="G468" t="n">
        <v>2.5</v>
      </c>
      <c r="H468" t="n">
        <v>0</v>
      </c>
      <c r="I468" t="n">
        <v>0</v>
      </c>
      <c r="J468" t="n">
        <v>0</v>
      </c>
      <c r="K468" t="n">
        <v>0</v>
      </c>
      <c r="L468" t="n">
        <v>0</v>
      </c>
      <c r="M468" t="n">
        <v>0</v>
      </c>
      <c r="N468" t="n">
        <v>0</v>
      </c>
      <c r="O468" t="n">
        <v>0</v>
      </c>
      <c r="P468" t="n">
        <v>0</v>
      </c>
      <c r="Q468" t="n">
        <v>0</v>
      </c>
      <c r="R468" s="2" t="inlineStr"/>
    </row>
    <row r="469" ht="15" customHeight="1">
      <c r="A469" t="inlineStr">
        <is>
          <t>A 11424-2026</t>
        </is>
      </c>
      <c r="B469" s="1" t="n">
        <v>46083.48068287037</v>
      </c>
      <c r="C469" s="1" t="n">
        <v>46115</v>
      </c>
      <c r="D469" t="inlineStr">
        <is>
          <t>GOTLANDS LÄN</t>
        </is>
      </c>
      <c r="E469" t="inlineStr">
        <is>
          <t>GOTLAND</t>
        </is>
      </c>
      <c r="G469" t="n">
        <v>1.3</v>
      </c>
      <c r="H469" t="n">
        <v>0</v>
      </c>
      <c r="I469" t="n">
        <v>0</v>
      </c>
      <c r="J469" t="n">
        <v>0</v>
      </c>
      <c r="K469" t="n">
        <v>0</v>
      </c>
      <c r="L469" t="n">
        <v>0</v>
      </c>
      <c r="M469" t="n">
        <v>0</v>
      </c>
      <c r="N469" t="n">
        <v>0</v>
      </c>
      <c r="O469" t="n">
        <v>0</v>
      </c>
      <c r="P469" t="n">
        <v>0</v>
      </c>
      <c r="Q469" t="n">
        <v>0</v>
      </c>
      <c r="R469" s="2" t="inlineStr"/>
    </row>
    <row r="470" ht="15" customHeight="1">
      <c r="A470" t="inlineStr">
        <is>
          <t>A 5943-2024</t>
        </is>
      </c>
      <c r="B470" s="1" t="n">
        <v>45336</v>
      </c>
      <c r="C470" s="1" t="n">
        <v>46115</v>
      </c>
      <c r="D470" t="inlineStr">
        <is>
          <t>GOTLANDS LÄN</t>
        </is>
      </c>
      <c r="E470" t="inlineStr">
        <is>
          <t>GOTLAND</t>
        </is>
      </c>
      <c r="G470" t="n">
        <v>4.3</v>
      </c>
      <c r="H470" t="n">
        <v>0</v>
      </c>
      <c r="I470" t="n">
        <v>0</v>
      </c>
      <c r="J470" t="n">
        <v>0</v>
      </c>
      <c r="K470" t="n">
        <v>0</v>
      </c>
      <c r="L470" t="n">
        <v>0</v>
      </c>
      <c r="M470" t="n">
        <v>0</v>
      </c>
      <c r="N470" t="n">
        <v>0</v>
      </c>
      <c r="O470" t="n">
        <v>0</v>
      </c>
      <c r="P470" t="n">
        <v>0</v>
      </c>
      <c r="Q470" t="n">
        <v>0</v>
      </c>
      <c r="R470" s="2" t="inlineStr"/>
    </row>
    <row r="471" ht="15" customHeight="1">
      <c r="A471" t="inlineStr">
        <is>
          <t>A 54073-2022</t>
        </is>
      </c>
      <c r="B471" s="1" t="n">
        <v>44881.50380787037</v>
      </c>
      <c r="C471" s="1" t="n">
        <v>46115</v>
      </c>
      <c r="D471" t="inlineStr">
        <is>
          <t>GOTLANDS LÄN</t>
        </is>
      </c>
      <c r="E471" t="inlineStr">
        <is>
          <t>GOTLAND</t>
        </is>
      </c>
      <c r="G471" t="n">
        <v>3.8</v>
      </c>
      <c r="H471" t="n">
        <v>0</v>
      </c>
      <c r="I471" t="n">
        <v>0</v>
      </c>
      <c r="J471" t="n">
        <v>0</v>
      </c>
      <c r="K471" t="n">
        <v>0</v>
      </c>
      <c r="L471" t="n">
        <v>0</v>
      </c>
      <c r="M471" t="n">
        <v>0</v>
      </c>
      <c r="N471" t="n">
        <v>0</v>
      </c>
      <c r="O471" t="n">
        <v>0</v>
      </c>
      <c r="P471" t="n">
        <v>0</v>
      </c>
      <c r="Q471" t="n">
        <v>0</v>
      </c>
      <c r="R471" s="2" t="inlineStr"/>
    </row>
    <row r="472" ht="15" customHeight="1">
      <c r="A472" t="inlineStr">
        <is>
          <t>A 16361-2024</t>
        </is>
      </c>
      <c r="B472" s="1" t="n">
        <v>45407</v>
      </c>
      <c r="C472" s="1" t="n">
        <v>46115</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41038-2023</t>
        </is>
      </c>
      <c r="B473" s="1" t="n">
        <v>45173.60959490741</v>
      </c>
      <c r="C473" s="1" t="n">
        <v>46115</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3253-2026</t>
        </is>
      </c>
      <c r="B474" s="1" t="n">
        <v>46041.58902777778</v>
      </c>
      <c r="C474" s="1" t="n">
        <v>46115</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11982-2026</t>
        </is>
      </c>
      <c r="B475" s="1" t="n">
        <v>46085.6434375</v>
      </c>
      <c r="C475" s="1" t="n">
        <v>46115</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14427-2024</t>
        </is>
      </c>
      <c r="B476" s="1" t="n">
        <v>45394</v>
      </c>
      <c r="C476" s="1" t="n">
        <v>46115</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12135-2026</t>
        </is>
      </c>
      <c r="B477" s="1" t="n">
        <v>46086</v>
      </c>
      <c r="C477" s="1" t="n">
        <v>46115</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31802-2024</t>
        </is>
      </c>
      <c r="B478" s="1" t="n">
        <v>45509</v>
      </c>
      <c r="C478" s="1" t="n">
        <v>46115</v>
      </c>
      <c r="D478" t="inlineStr">
        <is>
          <t>GOTLANDS LÄN</t>
        </is>
      </c>
      <c r="E478" t="inlineStr">
        <is>
          <t>GOTLAND</t>
        </is>
      </c>
      <c r="G478" t="n">
        <v>2.8</v>
      </c>
      <c r="H478" t="n">
        <v>0</v>
      </c>
      <c r="I478" t="n">
        <v>0</v>
      </c>
      <c r="J478" t="n">
        <v>0</v>
      </c>
      <c r="K478" t="n">
        <v>0</v>
      </c>
      <c r="L478" t="n">
        <v>0</v>
      </c>
      <c r="M478" t="n">
        <v>0</v>
      </c>
      <c r="N478" t="n">
        <v>0</v>
      </c>
      <c r="O478" t="n">
        <v>0</v>
      </c>
      <c r="P478" t="n">
        <v>0</v>
      </c>
      <c r="Q478" t="n">
        <v>0</v>
      </c>
      <c r="R478" s="2" t="inlineStr"/>
    </row>
    <row r="479" ht="15" customHeight="1">
      <c r="A479" t="inlineStr">
        <is>
          <t>A 4646-2026</t>
        </is>
      </c>
      <c r="B479" s="1" t="n">
        <v>46048.40357638889</v>
      </c>
      <c r="C479" s="1" t="n">
        <v>46115</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4662-2026</t>
        </is>
      </c>
      <c r="B480" s="1" t="n">
        <v>46048.40949074074</v>
      </c>
      <c r="C480" s="1" t="n">
        <v>46115</v>
      </c>
      <c r="D480" t="inlineStr">
        <is>
          <t>GOTLANDS LÄN</t>
        </is>
      </c>
      <c r="E480" t="inlineStr">
        <is>
          <t>GOTLAND</t>
        </is>
      </c>
      <c r="G480" t="n">
        <v>7.6</v>
      </c>
      <c r="H480" t="n">
        <v>0</v>
      </c>
      <c r="I480" t="n">
        <v>0</v>
      </c>
      <c r="J480" t="n">
        <v>0</v>
      </c>
      <c r="K480" t="n">
        <v>0</v>
      </c>
      <c r="L480" t="n">
        <v>0</v>
      </c>
      <c r="M480" t="n">
        <v>0</v>
      </c>
      <c r="N480" t="n">
        <v>0</v>
      </c>
      <c r="O480" t="n">
        <v>0</v>
      </c>
      <c r="P480" t="n">
        <v>0</v>
      </c>
      <c r="Q480" t="n">
        <v>0</v>
      </c>
      <c r="R480" s="2" t="inlineStr"/>
    </row>
    <row r="481" ht="15" customHeight="1">
      <c r="A481" t="inlineStr">
        <is>
          <t>A 4639-2026</t>
        </is>
      </c>
      <c r="B481" s="1" t="n">
        <v>46048.39880787037</v>
      </c>
      <c r="C481" s="1" t="n">
        <v>46115</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1839-2026</t>
        </is>
      </c>
      <c r="B482" s="1" t="n">
        <v>46035.3942824074</v>
      </c>
      <c r="C482" s="1" t="n">
        <v>46115</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44609.44362268518</v>
      </c>
      <c r="C483" s="1" t="n">
        <v>46115</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12846-2025</t>
        </is>
      </c>
      <c r="B484" s="1" t="n">
        <v>45733.65049768519</v>
      </c>
      <c r="C484" s="1" t="n">
        <v>46115</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60384-2025</t>
        </is>
      </c>
      <c r="B485" s="1" t="n">
        <v>45995</v>
      </c>
      <c r="C485" s="1" t="n">
        <v>46115</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4634-2026</t>
        </is>
      </c>
      <c r="B486" s="1" t="n">
        <v>46048.39304398148</v>
      </c>
      <c r="C486" s="1" t="n">
        <v>46115</v>
      </c>
      <c r="D486" t="inlineStr">
        <is>
          <t>GOTLANDS LÄN</t>
        </is>
      </c>
      <c r="E486" t="inlineStr">
        <is>
          <t>GOTLAND</t>
        </is>
      </c>
      <c r="G486" t="n">
        <v>7.8</v>
      </c>
      <c r="H486" t="n">
        <v>0</v>
      </c>
      <c r="I486" t="n">
        <v>0</v>
      </c>
      <c r="J486" t="n">
        <v>0</v>
      </c>
      <c r="K486" t="n">
        <v>0</v>
      </c>
      <c r="L486" t="n">
        <v>0</v>
      </c>
      <c r="M486" t="n">
        <v>0</v>
      </c>
      <c r="N486" t="n">
        <v>0</v>
      </c>
      <c r="O486" t="n">
        <v>0</v>
      </c>
      <c r="P486" t="n">
        <v>0</v>
      </c>
      <c r="Q486" t="n">
        <v>0</v>
      </c>
      <c r="R486" s="2" t="inlineStr"/>
    </row>
    <row r="487" ht="15" customHeight="1">
      <c r="A487" t="inlineStr">
        <is>
          <t>A 4670-2026</t>
        </is>
      </c>
      <c r="B487" s="1" t="n">
        <v>46048.41733796296</v>
      </c>
      <c r="C487" s="1" t="n">
        <v>46115</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46949-2024</t>
        </is>
      </c>
      <c r="B488" s="1" t="n">
        <v>45585</v>
      </c>
      <c r="C488" s="1" t="n">
        <v>46115</v>
      </c>
      <c r="D488" t="inlineStr">
        <is>
          <t>GOTLANDS LÄN</t>
        </is>
      </c>
      <c r="E488" t="inlineStr">
        <is>
          <t>GOTLAND</t>
        </is>
      </c>
      <c r="G488" t="n">
        <v>0.6</v>
      </c>
      <c r="H488" t="n">
        <v>0</v>
      </c>
      <c r="I488" t="n">
        <v>0</v>
      </c>
      <c r="J488" t="n">
        <v>0</v>
      </c>
      <c r="K488" t="n">
        <v>0</v>
      </c>
      <c r="L488" t="n">
        <v>0</v>
      </c>
      <c r="M488" t="n">
        <v>0</v>
      </c>
      <c r="N488" t="n">
        <v>0</v>
      </c>
      <c r="O488" t="n">
        <v>0</v>
      </c>
      <c r="P488" t="n">
        <v>0</v>
      </c>
      <c r="Q488" t="n">
        <v>0</v>
      </c>
      <c r="R488" s="2" t="inlineStr"/>
    </row>
    <row r="489" ht="15" customHeight="1">
      <c r="A489" t="inlineStr">
        <is>
          <t>A 10650-2022</t>
        </is>
      </c>
      <c r="B489" s="1" t="n">
        <v>44624.57945601852</v>
      </c>
      <c r="C489" s="1" t="n">
        <v>46115</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11634-2024</t>
        </is>
      </c>
      <c r="B490" s="1" t="n">
        <v>45373</v>
      </c>
      <c r="C490" s="1" t="n">
        <v>46115</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1351-2025</t>
        </is>
      </c>
      <c r="B491" s="1" t="n">
        <v>45667.62246527777</v>
      </c>
      <c r="C491" s="1" t="n">
        <v>46115</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46115</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49874-2024</t>
        </is>
      </c>
      <c r="B493" s="1" t="n">
        <v>45597.49274305555</v>
      </c>
      <c r="C493" s="1" t="n">
        <v>46115</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1854-2026</t>
        </is>
      </c>
      <c r="B494" s="1" t="n">
        <v>46035.4171875</v>
      </c>
      <c r="C494" s="1" t="n">
        <v>46115</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13482-2026</t>
        </is>
      </c>
      <c r="B495" s="1" t="n">
        <v>46094</v>
      </c>
      <c r="C495" s="1" t="n">
        <v>46115</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42201-2023</t>
        </is>
      </c>
      <c r="B496" s="1" t="n">
        <v>45179</v>
      </c>
      <c r="C496" s="1" t="n">
        <v>46115</v>
      </c>
      <c r="D496" t="inlineStr">
        <is>
          <t>GOTLANDS LÄN</t>
        </is>
      </c>
      <c r="E496" t="inlineStr">
        <is>
          <t>GOTLAND</t>
        </is>
      </c>
      <c r="G496" t="n">
        <v>11.9</v>
      </c>
      <c r="H496" t="n">
        <v>0</v>
      </c>
      <c r="I496" t="n">
        <v>0</v>
      </c>
      <c r="J496" t="n">
        <v>0</v>
      </c>
      <c r="K496" t="n">
        <v>0</v>
      </c>
      <c r="L496" t="n">
        <v>0</v>
      </c>
      <c r="M496" t="n">
        <v>0</v>
      </c>
      <c r="N496" t="n">
        <v>0</v>
      </c>
      <c r="O496" t="n">
        <v>0</v>
      </c>
      <c r="P496" t="n">
        <v>0</v>
      </c>
      <c r="Q496" t="n">
        <v>0</v>
      </c>
      <c r="R496" s="2" t="inlineStr"/>
    </row>
    <row r="497" ht="15" customHeight="1">
      <c r="A497" t="inlineStr">
        <is>
          <t>A 46400-2023</t>
        </is>
      </c>
      <c r="B497" s="1" t="n">
        <v>45197.49290509259</v>
      </c>
      <c r="C497" s="1" t="n">
        <v>46115</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9875-2025</t>
        </is>
      </c>
      <c r="B498" s="1" t="n">
        <v>45716</v>
      </c>
      <c r="C498" s="1" t="n">
        <v>46115</v>
      </c>
      <c r="D498" t="inlineStr">
        <is>
          <t>GOTLANDS LÄN</t>
        </is>
      </c>
      <c r="E498" t="inlineStr">
        <is>
          <t>GOTLAND</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13486-2026</t>
        </is>
      </c>
      <c r="B499" s="1" t="n">
        <v>46094</v>
      </c>
      <c r="C499" s="1" t="n">
        <v>46115</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21164-2024</t>
        </is>
      </c>
      <c r="B500" s="1" t="n">
        <v>45440</v>
      </c>
      <c r="C500" s="1" t="n">
        <v>46115</v>
      </c>
      <c r="D500" t="inlineStr">
        <is>
          <t>GOTLANDS LÄN</t>
        </is>
      </c>
      <c r="E500" t="inlineStr">
        <is>
          <t>GOTLAND</t>
        </is>
      </c>
      <c r="G500" t="n">
        <v>6.3</v>
      </c>
      <c r="H500" t="n">
        <v>0</v>
      </c>
      <c r="I500" t="n">
        <v>0</v>
      </c>
      <c r="J500" t="n">
        <v>0</v>
      </c>
      <c r="K500" t="n">
        <v>0</v>
      </c>
      <c r="L500" t="n">
        <v>0</v>
      </c>
      <c r="M500" t="n">
        <v>0</v>
      </c>
      <c r="N500" t="n">
        <v>0</v>
      </c>
      <c r="O500" t="n">
        <v>0</v>
      </c>
      <c r="P500" t="n">
        <v>0</v>
      </c>
      <c r="Q500" t="n">
        <v>0</v>
      </c>
      <c r="R500" s="2" t="inlineStr"/>
    </row>
    <row r="501" ht="15" customHeight="1">
      <c r="A501" t="inlineStr">
        <is>
          <t>A 8045-2022</t>
        </is>
      </c>
      <c r="B501" s="1" t="n">
        <v>44609</v>
      </c>
      <c r="C501" s="1" t="n">
        <v>46115</v>
      </c>
      <c r="D501" t="inlineStr">
        <is>
          <t>GOTLANDS LÄN</t>
        </is>
      </c>
      <c r="E501" t="inlineStr">
        <is>
          <t>GOTLAND</t>
        </is>
      </c>
      <c r="G501" t="n">
        <v>7</v>
      </c>
      <c r="H501" t="n">
        <v>0</v>
      </c>
      <c r="I501" t="n">
        <v>0</v>
      </c>
      <c r="J501" t="n">
        <v>0</v>
      </c>
      <c r="K501" t="n">
        <v>0</v>
      </c>
      <c r="L501" t="n">
        <v>0</v>
      </c>
      <c r="M501" t="n">
        <v>0</v>
      </c>
      <c r="N501" t="n">
        <v>0</v>
      </c>
      <c r="O501" t="n">
        <v>0</v>
      </c>
      <c r="P501" t="n">
        <v>0</v>
      </c>
      <c r="Q501" t="n">
        <v>0</v>
      </c>
      <c r="R501" s="2" t="inlineStr"/>
    </row>
    <row r="502" ht="15" customHeight="1">
      <c r="A502" t="inlineStr">
        <is>
          <t>A 3067-2026</t>
        </is>
      </c>
      <c r="B502" s="1" t="n">
        <v>46040.59025462963</v>
      </c>
      <c r="C502" s="1" t="n">
        <v>46115</v>
      </c>
      <c r="D502" t="inlineStr">
        <is>
          <t>GOTLANDS LÄN</t>
        </is>
      </c>
      <c r="E502" t="inlineStr">
        <is>
          <t>GOTLAND</t>
        </is>
      </c>
      <c r="G502" t="n">
        <v>7.8</v>
      </c>
      <c r="H502" t="n">
        <v>0</v>
      </c>
      <c r="I502" t="n">
        <v>0</v>
      </c>
      <c r="J502" t="n">
        <v>0</v>
      </c>
      <c r="K502" t="n">
        <v>0</v>
      </c>
      <c r="L502" t="n">
        <v>0</v>
      </c>
      <c r="M502" t="n">
        <v>0</v>
      </c>
      <c r="N502" t="n">
        <v>0</v>
      </c>
      <c r="O502" t="n">
        <v>0</v>
      </c>
      <c r="P502" t="n">
        <v>0</v>
      </c>
      <c r="Q502" t="n">
        <v>0</v>
      </c>
      <c r="R502" s="2" t="inlineStr"/>
    </row>
    <row r="503" ht="15" customHeight="1">
      <c r="A503" t="inlineStr">
        <is>
          <t>A 22897-2023</t>
        </is>
      </c>
      <c r="B503" s="1" t="n">
        <v>45072.55239583334</v>
      </c>
      <c r="C503" s="1" t="n">
        <v>46115</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6218-2026</t>
        </is>
      </c>
      <c r="B504" s="1" t="n">
        <v>46055.42859953704</v>
      </c>
      <c r="C504" s="1" t="n">
        <v>46115</v>
      </c>
      <c r="D504" t="inlineStr">
        <is>
          <t>GOTLANDS LÄN</t>
        </is>
      </c>
      <c r="E504" t="inlineStr">
        <is>
          <t>GOTLAND</t>
        </is>
      </c>
      <c r="G504" t="n">
        <v>4.3</v>
      </c>
      <c r="H504" t="n">
        <v>0</v>
      </c>
      <c r="I504" t="n">
        <v>0</v>
      </c>
      <c r="J504" t="n">
        <v>0</v>
      </c>
      <c r="K504" t="n">
        <v>0</v>
      </c>
      <c r="L504" t="n">
        <v>0</v>
      </c>
      <c r="M504" t="n">
        <v>0</v>
      </c>
      <c r="N504" t="n">
        <v>0</v>
      </c>
      <c r="O504" t="n">
        <v>0</v>
      </c>
      <c r="P504" t="n">
        <v>0</v>
      </c>
      <c r="Q504" t="n">
        <v>0</v>
      </c>
      <c r="R504" s="2" t="inlineStr"/>
    </row>
    <row r="505" ht="15" customHeight="1">
      <c r="A505" t="inlineStr">
        <is>
          <t>A 61897-2024</t>
        </is>
      </c>
      <c r="B505" s="1" t="n">
        <v>45652.75685185185</v>
      </c>
      <c r="C505" s="1" t="n">
        <v>46115</v>
      </c>
      <c r="D505" t="inlineStr">
        <is>
          <t>GOTLANDS LÄN</t>
        </is>
      </c>
      <c r="E505" t="inlineStr">
        <is>
          <t>GOTLAND</t>
        </is>
      </c>
      <c r="G505" t="n">
        <v>6.4</v>
      </c>
      <c r="H505" t="n">
        <v>0</v>
      </c>
      <c r="I505" t="n">
        <v>0</v>
      </c>
      <c r="J505" t="n">
        <v>0</v>
      </c>
      <c r="K505" t="n">
        <v>0</v>
      </c>
      <c r="L505" t="n">
        <v>0</v>
      </c>
      <c r="M505" t="n">
        <v>0</v>
      </c>
      <c r="N505" t="n">
        <v>0</v>
      </c>
      <c r="O505" t="n">
        <v>0</v>
      </c>
      <c r="P505" t="n">
        <v>0</v>
      </c>
      <c r="Q505" t="n">
        <v>0</v>
      </c>
      <c r="R505" s="2" t="inlineStr"/>
    </row>
    <row r="506" ht="15" customHeight="1">
      <c r="A506" t="inlineStr">
        <is>
          <t>A 49962-2023</t>
        </is>
      </c>
      <c r="B506" s="1" t="n">
        <v>45215.38775462963</v>
      </c>
      <c r="C506" s="1" t="n">
        <v>46115</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6207-2026</t>
        </is>
      </c>
      <c r="B507" s="1" t="n">
        <v>46055.42083333333</v>
      </c>
      <c r="C507" s="1" t="n">
        <v>46115</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6959-2026</t>
        </is>
      </c>
      <c r="B508" s="1" t="n">
        <v>46057.580625</v>
      </c>
      <c r="C508" s="1" t="n">
        <v>46115</v>
      </c>
      <c r="D508" t="inlineStr">
        <is>
          <t>GOTLANDS LÄN</t>
        </is>
      </c>
      <c r="E508" t="inlineStr">
        <is>
          <t>GOTLAND</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20165-2022</t>
        </is>
      </c>
      <c r="B509" s="1" t="n">
        <v>44698.49854166667</v>
      </c>
      <c r="C509" s="1" t="n">
        <v>46115</v>
      </c>
      <c r="D509" t="inlineStr">
        <is>
          <t>GOTLANDS LÄN</t>
        </is>
      </c>
      <c r="E509" t="inlineStr">
        <is>
          <t>GOTLAND</t>
        </is>
      </c>
      <c r="G509" t="n">
        <v>4.1</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46115</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12032-2025</t>
        </is>
      </c>
      <c r="B511" s="1" t="n">
        <v>45728.64472222222</v>
      </c>
      <c r="C511" s="1" t="n">
        <v>46115</v>
      </c>
      <c r="D511" t="inlineStr">
        <is>
          <t>GOTLANDS LÄN</t>
        </is>
      </c>
      <c r="E511" t="inlineStr">
        <is>
          <t>GOTLAND</t>
        </is>
      </c>
      <c r="G511" t="n">
        <v>1.4</v>
      </c>
      <c r="H511" t="n">
        <v>0</v>
      </c>
      <c r="I511" t="n">
        <v>0</v>
      </c>
      <c r="J511" t="n">
        <v>0</v>
      </c>
      <c r="K511" t="n">
        <v>0</v>
      </c>
      <c r="L511" t="n">
        <v>0</v>
      </c>
      <c r="M511" t="n">
        <v>0</v>
      </c>
      <c r="N511" t="n">
        <v>0</v>
      </c>
      <c r="O511" t="n">
        <v>0</v>
      </c>
      <c r="P511" t="n">
        <v>0</v>
      </c>
      <c r="Q511" t="n">
        <v>0</v>
      </c>
      <c r="R511" s="2" t="inlineStr"/>
    </row>
    <row r="512" ht="15" customHeight="1">
      <c r="A512" t="inlineStr">
        <is>
          <t>A 38787-2023</t>
        </is>
      </c>
      <c r="B512" s="1" t="n">
        <v>45163</v>
      </c>
      <c r="C512" s="1" t="n">
        <v>46115</v>
      </c>
      <c r="D512" t="inlineStr">
        <is>
          <t>GOTLANDS LÄN</t>
        </is>
      </c>
      <c r="E512" t="inlineStr">
        <is>
          <t>GOTLAND</t>
        </is>
      </c>
      <c r="G512" t="n">
        <v>0.4</v>
      </c>
      <c r="H512" t="n">
        <v>0</v>
      </c>
      <c r="I512" t="n">
        <v>0</v>
      </c>
      <c r="J512" t="n">
        <v>0</v>
      </c>
      <c r="K512" t="n">
        <v>0</v>
      </c>
      <c r="L512" t="n">
        <v>0</v>
      </c>
      <c r="M512" t="n">
        <v>0</v>
      </c>
      <c r="N512" t="n">
        <v>0</v>
      </c>
      <c r="O512" t="n">
        <v>0</v>
      </c>
      <c r="P512" t="n">
        <v>0</v>
      </c>
      <c r="Q512" t="n">
        <v>0</v>
      </c>
      <c r="R512" s="2" t="inlineStr"/>
    </row>
    <row r="513" ht="15" customHeight="1">
      <c r="A513" t="inlineStr">
        <is>
          <t>A 6960-2026</t>
        </is>
      </c>
      <c r="B513" s="1" t="n">
        <v>46057.58105324074</v>
      </c>
      <c r="C513" s="1" t="n">
        <v>46115</v>
      </c>
      <c r="D513" t="inlineStr">
        <is>
          <t>GOTLANDS LÄN</t>
        </is>
      </c>
      <c r="E513" t="inlineStr">
        <is>
          <t>GOTLAND</t>
        </is>
      </c>
      <c r="F513" t="inlineStr">
        <is>
          <t>Kyrkan</t>
        </is>
      </c>
      <c r="G513" t="n">
        <v>2.4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46115</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17532-2024</t>
        </is>
      </c>
      <c r="B515" s="1" t="n">
        <v>45415</v>
      </c>
      <c r="C515" s="1" t="n">
        <v>46115</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3935-2025</t>
        </is>
      </c>
      <c r="B516" s="1" t="n">
        <v>45684.46070601852</v>
      </c>
      <c r="C516" s="1" t="n">
        <v>46115</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14840-2026</t>
        </is>
      </c>
      <c r="B517" s="1" t="n">
        <v>46104.39498842593</v>
      </c>
      <c r="C517" s="1" t="n">
        <v>46115</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46115</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7627-2026</t>
        </is>
      </c>
      <c r="B519" s="1" t="n">
        <v>46062.35465277778</v>
      </c>
      <c r="C519" s="1" t="n">
        <v>46115</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20225-2025</t>
        </is>
      </c>
      <c r="B520" s="1" t="n">
        <v>45772.65802083333</v>
      </c>
      <c r="C520" s="1" t="n">
        <v>46115</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883-2025</t>
        </is>
      </c>
      <c r="B521" s="1" t="n">
        <v>45665</v>
      </c>
      <c r="C521" s="1" t="n">
        <v>46115</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62836-2025</t>
        </is>
      </c>
      <c r="B522" s="1" t="n">
        <v>46008</v>
      </c>
      <c r="C522" s="1" t="n">
        <v>46115</v>
      </c>
      <c r="D522" t="inlineStr">
        <is>
          <t>GOTLANDS LÄN</t>
        </is>
      </c>
      <c r="E522" t="inlineStr">
        <is>
          <t>GOTLAND</t>
        </is>
      </c>
      <c r="G522" t="n">
        <v>6.5</v>
      </c>
      <c r="H522" t="n">
        <v>0</v>
      </c>
      <c r="I522" t="n">
        <v>0</v>
      </c>
      <c r="J522" t="n">
        <v>0</v>
      </c>
      <c r="K522" t="n">
        <v>0</v>
      </c>
      <c r="L522" t="n">
        <v>0</v>
      </c>
      <c r="M522" t="n">
        <v>0</v>
      </c>
      <c r="N522" t="n">
        <v>0</v>
      </c>
      <c r="O522" t="n">
        <v>0</v>
      </c>
      <c r="P522" t="n">
        <v>0</v>
      </c>
      <c r="Q522" t="n">
        <v>0</v>
      </c>
      <c r="R522" s="2" t="inlineStr"/>
    </row>
    <row r="523" ht="15" customHeight="1">
      <c r="A523" t="inlineStr">
        <is>
          <t>A 63105-2025</t>
        </is>
      </c>
      <c r="B523" s="1" t="n">
        <v>46009</v>
      </c>
      <c r="C523" s="1" t="n">
        <v>46115</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1066-2024</t>
        </is>
      </c>
      <c r="B524" s="1" t="n">
        <v>45302.285</v>
      </c>
      <c r="C524" s="1" t="n">
        <v>46115</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5863-2026</t>
        </is>
      </c>
      <c r="B525" s="1" t="n">
        <v>46052.36697916667</v>
      </c>
      <c r="C525" s="1" t="n">
        <v>46115</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17144-2025</t>
        </is>
      </c>
      <c r="B526" s="1" t="n">
        <v>45755.9499537037</v>
      </c>
      <c r="C526" s="1" t="n">
        <v>46115</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2135-2026</t>
        </is>
      </c>
      <c r="B527" s="1" t="n">
        <v>46036</v>
      </c>
      <c r="C527" s="1" t="n">
        <v>46115</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2134-2026</t>
        </is>
      </c>
      <c r="B528" s="1" t="n">
        <v>46036</v>
      </c>
      <c r="C528" s="1" t="n">
        <v>46115</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56009-2024</t>
        </is>
      </c>
      <c r="B529" s="1" t="n">
        <v>45623.80864583333</v>
      </c>
      <c r="C529" s="1" t="n">
        <v>46115</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42338-2023</t>
        </is>
      </c>
      <c r="B530" s="1" t="n">
        <v>45180</v>
      </c>
      <c r="C530" s="1" t="n">
        <v>46115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63000-2025</t>
        </is>
      </c>
      <c r="B531" s="1" t="n">
        <v>46009</v>
      </c>
      <c r="C531" s="1" t="n">
        <v>46115</v>
      </c>
      <c r="D531" t="inlineStr">
        <is>
          <t>GOTLANDS LÄN</t>
        </is>
      </c>
      <c r="E531" t="inlineStr">
        <is>
          <t>GOTLAND</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46115</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46115</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53561-2025</t>
        </is>
      </c>
      <c r="B534" s="1" t="n">
        <v>45960.4059375</v>
      </c>
      <c r="C534" s="1" t="n">
        <v>46115</v>
      </c>
      <c r="D534" t="inlineStr">
        <is>
          <t>GOTLANDS LÄN</t>
        </is>
      </c>
      <c r="E534" t="inlineStr">
        <is>
          <t>GOTLAND</t>
        </is>
      </c>
      <c r="F534" t="inlineStr">
        <is>
          <t>Övriga Aktiebolag</t>
        </is>
      </c>
      <c r="G534" t="n">
        <v>2.4</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46115</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49411-2023</t>
        </is>
      </c>
      <c r="B536" s="1" t="n">
        <v>45205</v>
      </c>
      <c r="C536" s="1" t="n">
        <v>46115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22275-2023</t>
        </is>
      </c>
      <c r="B537" s="1" t="n">
        <v>45070.39875</v>
      </c>
      <c r="C537" s="1" t="n">
        <v>46115</v>
      </c>
      <c r="D537" t="inlineStr">
        <is>
          <t>GOTLANDS LÄN</t>
        </is>
      </c>
      <c r="E537" t="inlineStr">
        <is>
          <t>GOTLAND</t>
        </is>
      </c>
      <c r="G537" t="n">
        <v>7.2</v>
      </c>
      <c r="H537" t="n">
        <v>0</v>
      </c>
      <c r="I537" t="n">
        <v>0</v>
      </c>
      <c r="J537" t="n">
        <v>0</v>
      </c>
      <c r="K537" t="n">
        <v>0</v>
      </c>
      <c r="L537" t="n">
        <v>0</v>
      </c>
      <c r="M537" t="n">
        <v>0</v>
      </c>
      <c r="N537" t="n">
        <v>0</v>
      </c>
      <c r="O537" t="n">
        <v>0</v>
      </c>
      <c r="P537" t="n">
        <v>0</v>
      </c>
      <c r="Q537" t="n">
        <v>0</v>
      </c>
      <c r="R537" s="2" t="inlineStr"/>
    </row>
    <row r="538" ht="15" customHeight="1">
      <c r="A538" t="inlineStr">
        <is>
          <t>A 12322-2025</t>
        </is>
      </c>
      <c r="B538" s="1" t="n">
        <v>45730</v>
      </c>
      <c r="C538" s="1" t="n">
        <v>46115</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14797-2024</t>
        </is>
      </c>
      <c r="B539" s="1" t="n">
        <v>45397.87030092593</v>
      </c>
      <c r="C539" s="1" t="n">
        <v>46115</v>
      </c>
      <c r="D539" t="inlineStr">
        <is>
          <t>GOTLANDS LÄN</t>
        </is>
      </c>
      <c r="E539" t="inlineStr">
        <is>
          <t>GOTLAND</t>
        </is>
      </c>
      <c r="G539" t="n">
        <v>8.1</v>
      </c>
      <c r="H539" t="n">
        <v>0</v>
      </c>
      <c r="I539" t="n">
        <v>0</v>
      </c>
      <c r="J539" t="n">
        <v>0</v>
      </c>
      <c r="K539" t="n">
        <v>0</v>
      </c>
      <c r="L539" t="n">
        <v>0</v>
      </c>
      <c r="M539" t="n">
        <v>0</v>
      </c>
      <c r="N539" t="n">
        <v>0</v>
      </c>
      <c r="O539" t="n">
        <v>0</v>
      </c>
      <c r="P539" t="n">
        <v>0</v>
      </c>
      <c r="Q539" t="n">
        <v>0</v>
      </c>
      <c r="R539" s="2" t="inlineStr"/>
    </row>
    <row r="540" ht="15" customHeight="1">
      <c r="A540" t="inlineStr">
        <is>
          <t>A 999-2024</t>
        </is>
      </c>
      <c r="B540" s="1" t="n">
        <v>45301</v>
      </c>
      <c r="C540" s="1" t="n">
        <v>46115</v>
      </c>
      <c r="D540" t="inlineStr">
        <is>
          <t>GOTLANDS LÄN</t>
        </is>
      </c>
      <c r="E540" t="inlineStr">
        <is>
          <t>GOTLAND</t>
        </is>
      </c>
      <c r="G540" t="n">
        <v>1</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46115</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62754-2025</t>
        </is>
      </c>
      <c r="B542" s="1" t="n">
        <v>46008</v>
      </c>
      <c r="C542" s="1" t="n">
        <v>46115</v>
      </c>
      <c r="D542" t="inlineStr">
        <is>
          <t>GOTLANDS LÄN</t>
        </is>
      </c>
      <c r="E542" t="inlineStr">
        <is>
          <t>GOTLAND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61596-2023</t>
        </is>
      </c>
      <c r="B543" s="1" t="n">
        <v>45265</v>
      </c>
      <c r="C543" s="1" t="n">
        <v>46115</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53587-2025</t>
        </is>
      </c>
      <c r="B544" s="1" t="n">
        <v>45960.43681712963</v>
      </c>
      <c r="C544" s="1" t="n">
        <v>46115</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14638-2025</t>
        </is>
      </c>
      <c r="B545" s="1" t="n">
        <v>45742</v>
      </c>
      <c r="C545" s="1" t="n">
        <v>46115</v>
      </c>
      <c r="D545" t="inlineStr">
        <is>
          <t>GOTLANDS LÄN</t>
        </is>
      </c>
      <c r="E545" t="inlineStr">
        <is>
          <t>GOTLAND</t>
        </is>
      </c>
      <c r="G545" t="n">
        <v>13.4</v>
      </c>
      <c r="H545" t="n">
        <v>0</v>
      </c>
      <c r="I545" t="n">
        <v>0</v>
      </c>
      <c r="J545" t="n">
        <v>0</v>
      </c>
      <c r="K545" t="n">
        <v>0</v>
      </c>
      <c r="L545" t="n">
        <v>0</v>
      </c>
      <c r="M545" t="n">
        <v>0</v>
      </c>
      <c r="N545" t="n">
        <v>0</v>
      </c>
      <c r="O545" t="n">
        <v>0</v>
      </c>
      <c r="P545" t="n">
        <v>0</v>
      </c>
      <c r="Q545" t="n">
        <v>0</v>
      </c>
      <c r="R545" s="2" t="inlineStr"/>
    </row>
    <row r="546" ht="15" customHeight="1">
      <c r="A546" t="inlineStr">
        <is>
          <t>A 60675-2021</t>
        </is>
      </c>
      <c r="B546" s="1" t="n">
        <v>44496.64855324074</v>
      </c>
      <c r="C546" s="1" t="n">
        <v>46115</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37728-2024</t>
        </is>
      </c>
      <c r="B547" s="1" t="n">
        <v>45541</v>
      </c>
      <c r="C547" s="1" t="n">
        <v>46115</v>
      </c>
      <c r="D547" t="inlineStr">
        <is>
          <t>GOTLANDS LÄN</t>
        </is>
      </c>
      <c r="E547" t="inlineStr">
        <is>
          <t>GOTLAND</t>
        </is>
      </c>
      <c r="G547" t="n">
        <v>0.4</v>
      </c>
      <c r="H547" t="n">
        <v>0</v>
      </c>
      <c r="I547" t="n">
        <v>0</v>
      </c>
      <c r="J547" t="n">
        <v>0</v>
      </c>
      <c r="K547" t="n">
        <v>0</v>
      </c>
      <c r="L547" t="n">
        <v>0</v>
      </c>
      <c r="M547" t="n">
        <v>0</v>
      </c>
      <c r="N547" t="n">
        <v>0</v>
      </c>
      <c r="O547" t="n">
        <v>0</v>
      </c>
      <c r="P547" t="n">
        <v>0</v>
      </c>
      <c r="Q547" t="n">
        <v>0</v>
      </c>
      <c r="R547" s="2" t="inlineStr"/>
    </row>
    <row r="548" ht="15" customHeight="1">
      <c r="A548" t="inlineStr">
        <is>
          <t>A 9504-2026</t>
        </is>
      </c>
      <c r="B548" s="1" t="n">
        <v>46071.57730324074</v>
      </c>
      <c r="C548" s="1" t="n">
        <v>46115</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9518-2026</t>
        </is>
      </c>
      <c r="B549" s="1" t="n">
        <v>46071.59653935185</v>
      </c>
      <c r="C549" s="1" t="n">
        <v>46115</v>
      </c>
      <c r="D549" t="inlineStr">
        <is>
          <t>GOTLANDS LÄN</t>
        </is>
      </c>
      <c r="E549" t="inlineStr">
        <is>
          <t>GOTLAND</t>
        </is>
      </c>
      <c r="G549" t="n">
        <v>6.2</v>
      </c>
      <c r="H549" t="n">
        <v>0</v>
      </c>
      <c r="I549" t="n">
        <v>0</v>
      </c>
      <c r="J549" t="n">
        <v>0</v>
      </c>
      <c r="K549" t="n">
        <v>0</v>
      </c>
      <c r="L549" t="n">
        <v>0</v>
      </c>
      <c r="M549" t="n">
        <v>0</v>
      </c>
      <c r="N549" t="n">
        <v>0</v>
      </c>
      <c r="O549" t="n">
        <v>0</v>
      </c>
      <c r="P549" t="n">
        <v>0</v>
      </c>
      <c r="Q549" t="n">
        <v>0</v>
      </c>
      <c r="R549" s="2" t="inlineStr"/>
    </row>
    <row r="550" ht="15" customHeight="1">
      <c r="A550" t="inlineStr">
        <is>
          <t>A 9519-2026</t>
        </is>
      </c>
      <c r="B550" s="1" t="n">
        <v>46071.59820601852</v>
      </c>
      <c r="C550" s="1" t="n">
        <v>46115</v>
      </c>
      <c r="D550" t="inlineStr">
        <is>
          <t>GOTLANDS LÄN</t>
        </is>
      </c>
      <c r="E550" t="inlineStr">
        <is>
          <t>GOTLAND</t>
        </is>
      </c>
      <c r="G550" t="n">
        <v>4</v>
      </c>
      <c r="H550" t="n">
        <v>0</v>
      </c>
      <c r="I550" t="n">
        <v>0</v>
      </c>
      <c r="J550" t="n">
        <v>0</v>
      </c>
      <c r="K550" t="n">
        <v>0</v>
      </c>
      <c r="L550" t="n">
        <v>0</v>
      </c>
      <c r="M550" t="n">
        <v>0</v>
      </c>
      <c r="N550" t="n">
        <v>0</v>
      </c>
      <c r="O550" t="n">
        <v>0</v>
      </c>
      <c r="P550" t="n">
        <v>0</v>
      </c>
      <c r="Q550" t="n">
        <v>0</v>
      </c>
      <c r="R550" s="2" t="inlineStr"/>
    </row>
    <row r="551" ht="15" customHeight="1">
      <c r="A551" t="inlineStr">
        <is>
          <t>A 9540-2026</t>
        </is>
      </c>
      <c r="B551" s="1" t="n">
        <v>46071.61961805556</v>
      </c>
      <c r="C551" s="1" t="n">
        <v>46115</v>
      </c>
      <c r="D551" t="inlineStr">
        <is>
          <t>GOTLANDS LÄN</t>
        </is>
      </c>
      <c r="E551" t="inlineStr">
        <is>
          <t>GOTLAND</t>
        </is>
      </c>
      <c r="G551" t="n">
        <v>2.8</v>
      </c>
      <c r="H551" t="n">
        <v>0</v>
      </c>
      <c r="I551" t="n">
        <v>0</v>
      </c>
      <c r="J551" t="n">
        <v>0</v>
      </c>
      <c r="K551" t="n">
        <v>0</v>
      </c>
      <c r="L551" t="n">
        <v>0</v>
      </c>
      <c r="M551" t="n">
        <v>0</v>
      </c>
      <c r="N551" t="n">
        <v>0</v>
      </c>
      <c r="O551" t="n">
        <v>0</v>
      </c>
      <c r="P551" t="n">
        <v>0</v>
      </c>
      <c r="Q551" t="n">
        <v>0</v>
      </c>
      <c r="R551" s="2" t="inlineStr"/>
    </row>
    <row r="552" ht="15" customHeight="1">
      <c r="A552" t="inlineStr">
        <is>
          <t>A 9521-2026</t>
        </is>
      </c>
      <c r="B552" s="1" t="n">
        <v>46071.59969907408</v>
      </c>
      <c r="C552" s="1" t="n">
        <v>46115</v>
      </c>
      <c r="D552" t="inlineStr">
        <is>
          <t>GOTLANDS LÄN</t>
        </is>
      </c>
      <c r="E552" t="inlineStr">
        <is>
          <t>GOTLAND</t>
        </is>
      </c>
      <c r="G552" t="n">
        <v>3.9</v>
      </c>
      <c r="H552" t="n">
        <v>0</v>
      </c>
      <c r="I552" t="n">
        <v>0</v>
      </c>
      <c r="J552" t="n">
        <v>0</v>
      </c>
      <c r="K552" t="n">
        <v>0</v>
      </c>
      <c r="L552" t="n">
        <v>0</v>
      </c>
      <c r="M552" t="n">
        <v>0</v>
      </c>
      <c r="N552" t="n">
        <v>0</v>
      </c>
      <c r="O552" t="n">
        <v>0</v>
      </c>
      <c r="P552" t="n">
        <v>0</v>
      </c>
      <c r="Q552" t="n">
        <v>0</v>
      </c>
      <c r="R552" s="2" t="inlineStr"/>
    </row>
    <row r="553" ht="15" customHeight="1">
      <c r="A553" t="inlineStr">
        <is>
          <t>A 9524-2026</t>
        </is>
      </c>
      <c r="B553" s="1" t="n">
        <v>46071.60108796296</v>
      </c>
      <c r="C553" s="1" t="n">
        <v>46115</v>
      </c>
      <c r="D553" t="inlineStr">
        <is>
          <t>GOTLANDS LÄN</t>
        </is>
      </c>
      <c r="E553" t="inlineStr">
        <is>
          <t>GOTLAND</t>
        </is>
      </c>
      <c r="G553" t="n">
        <v>2.5</v>
      </c>
      <c r="H553" t="n">
        <v>0</v>
      </c>
      <c r="I553" t="n">
        <v>0</v>
      </c>
      <c r="J553" t="n">
        <v>0</v>
      </c>
      <c r="K553" t="n">
        <v>0</v>
      </c>
      <c r="L553" t="n">
        <v>0</v>
      </c>
      <c r="M553" t="n">
        <v>0</v>
      </c>
      <c r="N553" t="n">
        <v>0</v>
      </c>
      <c r="O553" t="n">
        <v>0</v>
      </c>
      <c r="P553" t="n">
        <v>0</v>
      </c>
      <c r="Q553" t="n">
        <v>0</v>
      </c>
      <c r="R553" s="2" t="inlineStr"/>
    </row>
    <row r="554" ht="15" customHeight="1">
      <c r="A554" t="inlineStr">
        <is>
          <t>A 9543-2026</t>
        </is>
      </c>
      <c r="B554" s="1" t="n">
        <v>46071.62486111111</v>
      </c>
      <c r="C554" s="1" t="n">
        <v>46115</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22287-2022</t>
        </is>
      </c>
      <c r="B555" s="1" t="n">
        <v>44712</v>
      </c>
      <c r="C555" s="1" t="n">
        <v>46115</v>
      </c>
      <c r="D555" t="inlineStr">
        <is>
          <t>GOTLANDS LÄN</t>
        </is>
      </c>
      <c r="E555" t="inlineStr">
        <is>
          <t>GOTLAND</t>
        </is>
      </c>
      <c r="G555" t="n">
        <v>6.1</v>
      </c>
      <c r="H555" t="n">
        <v>0</v>
      </c>
      <c r="I555" t="n">
        <v>0</v>
      </c>
      <c r="J555" t="n">
        <v>0</v>
      </c>
      <c r="K555" t="n">
        <v>0</v>
      </c>
      <c r="L555" t="n">
        <v>0</v>
      </c>
      <c r="M555" t="n">
        <v>0</v>
      </c>
      <c r="N555" t="n">
        <v>0</v>
      </c>
      <c r="O555" t="n">
        <v>0</v>
      </c>
      <c r="P555" t="n">
        <v>0</v>
      </c>
      <c r="Q555" t="n">
        <v>0</v>
      </c>
      <c r="R555" s="2" t="inlineStr"/>
    </row>
    <row r="556" ht="15" customHeight="1">
      <c r="A556" t="inlineStr">
        <is>
          <t>A 54074-2022</t>
        </is>
      </c>
      <c r="B556" s="1" t="n">
        <v>44881</v>
      </c>
      <c r="C556" s="1" t="n">
        <v>46115</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16993-2026</t>
        </is>
      </c>
      <c r="B557" s="1" t="n">
        <v>46114.41918981481</v>
      </c>
      <c r="C557" s="1" t="n">
        <v>46115</v>
      </c>
      <c r="D557" t="inlineStr">
        <is>
          <t>GOTLANDS LÄN</t>
        </is>
      </c>
      <c r="E557" t="inlineStr">
        <is>
          <t>GOTLAND</t>
        </is>
      </c>
      <c r="G557" t="n">
        <v>3</v>
      </c>
      <c r="H557" t="n">
        <v>0</v>
      </c>
      <c r="I557" t="n">
        <v>0</v>
      </c>
      <c r="J557" t="n">
        <v>0</v>
      </c>
      <c r="K557" t="n">
        <v>0</v>
      </c>
      <c r="L557" t="n">
        <v>0</v>
      </c>
      <c r="M557" t="n">
        <v>0</v>
      </c>
      <c r="N557" t="n">
        <v>0</v>
      </c>
      <c r="O557" t="n">
        <v>0</v>
      </c>
      <c r="P557" t="n">
        <v>0</v>
      </c>
      <c r="Q557" t="n">
        <v>0</v>
      </c>
      <c r="R557" s="2" t="inlineStr"/>
    </row>
    <row r="558" ht="15" customHeight="1">
      <c r="A558" t="inlineStr">
        <is>
          <t>A 17000-2026</t>
        </is>
      </c>
      <c r="B558" s="1" t="n">
        <v>46114.42690972222</v>
      </c>
      <c r="C558" s="1" t="n">
        <v>46115</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65249-2023</t>
        </is>
      </c>
      <c r="B559" s="1" t="n">
        <v>45290</v>
      </c>
      <c r="C559" s="1" t="n">
        <v>46115</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13910-2025</t>
        </is>
      </c>
      <c r="B560" s="1" t="n">
        <v>45737</v>
      </c>
      <c r="C560" s="1" t="n">
        <v>46115</v>
      </c>
      <c r="D560" t="inlineStr">
        <is>
          <t>GOTLANDS LÄN</t>
        </is>
      </c>
      <c r="E560" t="inlineStr">
        <is>
          <t>GOTLAND</t>
        </is>
      </c>
      <c r="F560" t="inlineStr">
        <is>
          <t>Kommuner</t>
        </is>
      </c>
      <c r="G560" t="n">
        <v>3.2</v>
      </c>
      <c r="H560" t="n">
        <v>0</v>
      </c>
      <c r="I560" t="n">
        <v>0</v>
      </c>
      <c r="J560" t="n">
        <v>0</v>
      </c>
      <c r="K560" t="n">
        <v>0</v>
      </c>
      <c r="L560" t="n">
        <v>0</v>
      </c>
      <c r="M560" t="n">
        <v>0</v>
      </c>
      <c r="N560" t="n">
        <v>0</v>
      </c>
      <c r="O560" t="n">
        <v>0</v>
      </c>
      <c r="P560" t="n">
        <v>0</v>
      </c>
      <c r="Q560" t="n">
        <v>0</v>
      </c>
      <c r="R560" s="2" t="inlineStr"/>
    </row>
    <row r="561" ht="15" customHeight="1">
      <c r="A561" t="inlineStr">
        <is>
          <t>A 17780-2022</t>
        </is>
      </c>
      <c r="B561" s="1" t="n">
        <v>44682.82622685185</v>
      </c>
      <c r="C561" s="1" t="n">
        <v>46115</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46115</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46115</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42041-2024</t>
        </is>
      </c>
      <c r="B564" s="1" t="n">
        <v>45561</v>
      </c>
      <c r="C564" s="1" t="n">
        <v>46115</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46115</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46115</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46115</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46115</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27602-2023</t>
        </is>
      </c>
      <c r="B569" s="1" t="n">
        <v>45097</v>
      </c>
      <c r="C569" s="1" t="n">
        <v>46115</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46115</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4387-2023</t>
        </is>
      </c>
      <c r="B571" s="1" t="n">
        <v>44955.73359953704</v>
      </c>
      <c r="C571" s="1" t="n">
        <v>46115</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39479-2022</t>
        </is>
      </c>
      <c r="B572" s="1" t="n">
        <v>44818</v>
      </c>
      <c r="C572" s="1" t="n">
        <v>46115</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46115</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811-2023</t>
        </is>
      </c>
      <c r="B574" s="1" t="n">
        <v>44931</v>
      </c>
      <c r="C574" s="1" t="n">
        <v>46115</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46389-2021</t>
        </is>
      </c>
      <c r="B575" s="1" t="n">
        <v>44443</v>
      </c>
      <c r="C575" s="1" t="n">
        <v>46115</v>
      </c>
      <c r="D575" t="inlineStr">
        <is>
          <t>GOTLANDS LÄN</t>
        </is>
      </c>
      <c r="E575" t="inlineStr">
        <is>
          <t>GOTLAND</t>
        </is>
      </c>
      <c r="F575" t="inlineStr">
        <is>
          <t>Kyrkan</t>
        </is>
      </c>
      <c r="G575" t="n">
        <v>2.1</v>
      </c>
      <c r="H575" t="n">
        <v>0</v>
      </c>
      <c r="I575" t="n">
        <v>0</v>
      </c>
      <c r="J575" t="n">
        <v>0</v>
      </c>
      <c r="K575" t="n">
        <v>0</v>
      </c>
      <c r="L575" t="n">
        <v>0</v>
      </c>
      <c r="M575" t="n">
        <v>0</v>
      </c>
      <c r="N575" t="n">
        <v>0</v>
      </c>
      <c r="O575" t="n">
        <v>0</v>
      </c>
      <c r="P575" t="n">
        <v>0</v>
      </c>
      <c r="Q575" t="n">
        <v>0</v>
      </c>
      <c r="R575" s="2" t="inlineStr"/>
    </row>
    <row r="576" ht="15" customHeight="1">
      <c r="A576" t="inlineStr">
        <is>
          <t>A 26810-2021</t>
        </is>
      </c>
      <c r="B576" s="1" t="n">
        <v>44349.55087962963</v>
      </c>
      <c r="C576" s="1" t="n">
        <v>46115</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5923-2023</t>
        </is>
      </c>
      <c r="B577" s="1" t="n">
        <v>44963.69503472222</v>
      </c>
      <c r="C577" s="1" t="n">
        <v>46115</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33853-2024</t>
        </is>
      </c>
      <c r="B578" s="1" t="n">
        <v>45520.64298611111</v>
      </c>
      <c r="C578" s="1" t="n">
        <v>46115</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18918-2025</t>
        </is>
      </c>
      <c r="B579" s="1" t="n">
        <v>45764</v>
      </c>
      <c r="C579" s="1" t="n">
        <v>46115</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46115</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10655-2023</t>
        </is>
      </c>
      <c r="B581" s="1" t="n">
        <v>44988.49543981482</v>
      </c>
      <c r="C581" s="1" t="n">
        <v>46115</v>
      </c>
      <c r="D581" t="inlineStr">
        <is>
          <t>GOTLANDS LÄN</t>
        </is>
      </c>
      <c r="E581" t="inlineStr">
        <is>
          <t>GOTLAND</t>
        </is>
      </c>
      <c r="F581" t="inlineStr">
        <is>
          <t>Kyrkan</t>
        </is>
      </c>
      <c r="G581" t="n">
        <v>2</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44944.55361111111</v>
      </c>
      <c r="C582" s="1" t="n">
        <v>46115</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26891-2024</t>
        </is>
      </c>
      <c r="B583" s="1" t="n">
        <v>45470.65540509259</v>
      </c>
      <c r="C583" s="1" t="n">
        <v>46115</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42007-2023</t>
        </is>
      </c>
      <c r="B584" s="1" t="n">
        <v>45177</v>
      </c>
      <c r="C584" s="1" t="n">
        <v>46115</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9887-2025</t>
        </is>
      </c>
      <c r="B585" s="1" t="n">
        <v>45716</v>
      </c>
      <c r="C585" s="1" t="n">
        <v>46115</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38165-2023</t>
        </is>
      </c>
      <c r="B586" s="1" t="n">
        <v>45161</v>
      </c>
      <c r="C586" s="1" t="n">
        <v>46115</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46115</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24825-2024</t>
        </is>
      </c>
      <c r="B588" s="1" t="n">
        <v>45461</v>
      </c>
      <c r="C588" s="1" t="n">
        <v>46115</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6696-2023</t>
        </is>
      </c>
      <c r="B589" s="1" t="n">
        <v>44966.66425925926</v>
      </c>
      <c r="C589" s="1" t="n">
        <v>46115</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21247-2022</t>
        </is>
      </c>
      <c r="B590" s="1" t="n">
        <v>44705.38832175926</v>
      </c>
      <c r="C590" s="1" t="n">
        <v>46115</v>
      </c>
      <c r="D590" t="inlineStr">
        <is>
          <t>GOTLANDS LÄN</t>
        </is>
      </c>
      <c r="E590" t="inlineStr">
        <is>
          <t>GOTLAND</t>
        </is>
      </c>
      <c r="G590" t="n">
        <v>16.2</v>
      </c>
      <c r="H590" t="n">
        <v>0</v>
      </c>
      <c r="I590" t="n">
        <v>0</v>
      </c>
      <c r="J590" t="n">
        <v>0</v>
      </c>
      <c r="K590" t="n">
        <v>0</v>
      </c>
      <c r="L590" t="n">
        <v>0</v>
      </c>
      <c r="M590" t="n">
        <v>0</v>
      </c>
      <c r="N590" t="n">
        <v>0</v>
      </c>
      <c r="O590" t="n">
        <v>0</v>
      </c>
      <c r="P590" t="n">
        <v>0</v>
      </c>
      <c r="Q590" t="n">
        <v>0</v>
      </c>
      <c r="R590" s="2" t="inlineStr"/>
    </row>
    <row r="591" ht="15" customHeight="1">
      <c r="A591" t="inlineStr">
        <is>
          <t>A 456-2023</t>
        </is>
      </c>
      <c r="B591" s="1" t="n">
        <v>44929.87122685185</v>
      </c>
      <c r="C591" s="1" t="n">
        <v>46115</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46115</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4421-2024</t>
        </is>
      </c>
      <c r="B593" s="1" t="n">
        <v>45327.45173611111</v>
      </c>
      <c r="C593" s="1" t="n">
        <v>46115</v>
      </c>
      <c r="D593" t="inlineStr">
        <is>
          <t>GOTLANDS LÄN</t>
        </is>
      </c>
      <c r="E593" t="inlineStr">
        <is>
          <t>GOTLAND</t>
        </is>
      </c>
      <c r="G593" t="n">
        <v>5.1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46115</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46115</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46115</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25866-2022</t>
        </is>
      </c>
      <c r="B597" s="1" t="n">
        <v>44733</v>
      </c>
      <c r="C597" s="1" t="n">
        <v>46115</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46115</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1175-2025</t>
        </is>
      </c>
      <c r="B599" s="1" t="n">
        <v>45667.34449074074</v>
      </c>
      <c r="C599" s="1" t="n">
        <v>46115</v>
      </c>
      <c r="D599" t="inlineStr">
        <is>
          <t>GOTLANDS LÄN</t>
        </is>
      </c>
      <c r="E599" t="inlineStr">
        <is>
          <t>GOTLAND</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27095-2022</t>
        </is>
      </c>
      <c r="B600" s="1" t="n">
        <v>44741</v>
      </c>
      <c r="C600" s="1" t="n">
        <v>46115</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46115</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23978-2023</t>
        </is>
      </c>
      <c r="B602" s="1" t="n">
        <v>45078</v>
      </c>
      <c r="C602" s="1" t="n">
        <v>46115</v>
      </c>
      <c r="D602" t="inlineStr">
        <is>
          <t>GOTLANDS LÄN</t>
        </is>
      </c>
      <c r="E602" t="inlineStr">
        <is>
          <t>GOTLAND</t>
        </is>
      </c>
      <c r="F602" t="inlineStr">
        <is>
          <t>Naturvårdsverket</t>
        </is>
      </c>
      <c r="G602" t="n">
        <v>1.7</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46115</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11013-2024</t>
        </is>
      </c>
      <c r="B604" s="1" t="n">
        <v>45370</v>
      </c>
      <c r="C604" s="1" t="n">
        <v>46115</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27694-2024</t>
        </is>
      </c>
      <c r="B605" s="1" t="n">
        <v>45475</v>
      </c>
      <c r="C605" s="1" t="n">
        <v>46115</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15083-2025</t>
        </is>
      </c>
      <c r="B606" s="1" t="n">
        <v>45743</v>
      </c>
      <c r="C606" s="1" t="n">
        <v>46115</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13037-2025</t>
        </is>
      </c>
      <c r="B607" s="1" t="n">
        <v>45734</v>
      </c>
      <c r="C607" s="1" t="n">
        <v>46115</v>
      </c>
      <c r="D607" t="inlineStr">
        <is>
          <t>GOTLANDS LÄN</t>
        </is>
      </c>
      <c r="E607" t="inlineStr">
        <is>
          <t>GOTLAND</t>
        </is>
      </c>
      <c r="G607" t="n">
        <v>9.5</v>
      </c>
      <c r="H607" t="n">
        <v>0</v>
      </c>
      <c r="I607" t="n">
        <v>0</v>
      </c>
      <c r="J607" t="n">
        <v>0</v>
      </c>
      <c r="K607" t="n">
        <v>0</v>
      </c>
      <c r="L607" t="n">
        <v>0</v>
      </c>
      <c r="M607" t="n">
        <v>0</v>
      </c>
      <c r="N607" t="n">
        <v>0</v>
      </c>
      <c r="O607" t="n">
        <v>0</v>
      </c>
      <c r="P607" t="n">
        <v>0</v>
      </c>
      <c r="Q607" t="n">
        <v>0</v>
      </c>
      <c r="R607" s="2" t="inlineStr"/>
    </row>
    <row r="608" ht="15" customHeight="1">
      <c r="A608" t="inlineStr">
        <is>
          <t>A 458-2023</t>
        </is>
      </c>
      <c r="B608" s="1" t="n">
        <v>44929</v>
      </c>
      <c r="C608" s="1" t="n">
        <v>46115</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44228-2022</t>
        </is>
      </c>
      <c r="B609" s="1" t="n">
        <v>44839.51599537037</v>
      </c>
      <c r="C609" s="1" t="n">
        <v>46115</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46115</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49884-2023</t>
        </is>
      </c>
      <c r="B611" s="1" t="n">
        <v>45213</v>
      </c>
      <c r="C611" s="1" t="n">
        <v>46115</v>
      </c>
      <c r="D611" t="inlineStr">
        <is>
          <t>GOTLANDS LÄN</t>
        </is>
      </c>
      <c r="E611" t="inlineStr">
        <is>
          <t>GOTLAND</t>
        </is>
      </c>
      <c r="G611" t="n">
        <v>8.9</v>
      </c>
      <c r="H611" t="n">
        <v>0</v>
      </c>
      <c r="I611" t="n">
        <v>0</v>
      </c>
      <c r="J611" t="n">
        <v>0</v>
      </c>
      <c r="K611" t="n">
        <v>0</v>
      </c>
      <c r="L611" t="n">
        <v>0</v>
      </c>
      <c r="M611" t="n">
        <v>0</v>
      </c>
      <c r="N611" t="n">
        <v>0</v>
      </c>
      <c r="O611" t="n">
        <v>0</v>
      </c>
      <c r="P611" t="n">
        <v>0</v>
      </c>
      <c r="Q611" t="n">
        <v>0</v>
      </c>
      <c r="R611" s="2" t="inlineStr"/>
    </row>
    <row r="612" ht="15" customHeight="1">
      <c r="A612" t="inlineStr">
        <is>
          <t>A 876-2024</t>
        </is>
      </c>
      <c r="B612" s="1" t="n">
        <v>45301</v>
      </c>
      <c r="C612" s="1" t="n">
        <v>46115</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22704-2023</t>
        </is>
      </c>
      <c r="B613" s="1" t="n">
        <v>45071</v>
      </c>
      <c r="C613" s="1" t="n">
        <v>46115</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28425-2023</t>
        </is>
      </c>
      <c r="B614" s="1" t="n">
        <v>45102</v>
      </c>
      <c r="C614" s="1" t="n">
        <v>46115</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58476-2022</t>
        </is>
      </c>
      <c r="B615" s="1" t="n">
        <v>44902</v>
      </c>
      <c r="C615" s="1" t="n">
        <v>46115</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43200-2023</t>
        </is>
      </c>
      <c r="B616" s="1" t="n">
        <v>45183</v>
      </c>
      <c r="C616" s="1" t="n">
        <v>46115</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43223-2023</t>
        </is>
      </c>
      <c r="B617" s="1" t="n">
        <v>45183.45642361111</v>
      </c>
      <c r="C617" s="1" t="n">
        <v>46115</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46115</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3431-2025</t>
        </is>
      </c>
      <c r="B619" s="1" t="n">
        <v>45680.42935185185</v>
      </c>
      <c r="C619" s="1" t="n">
        <v>46115</v>
      </c>
      <c r="D619" t="inlineStr">
        <is>
          <t>GOTLANDS LÄN</t>
        </is>
      </c>
      <c r="E619" t="inlineStr">
        <is>
          <t>GOTLAND</t>
        </is>
      </c>
      <c r="G619" t="n">
        <v>4.8</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46115</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46115</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1364-2025</t>
        </is>
      </c>
      <c r="B622" s="1" t="n">
        <v>45667.63929398148</v>
      </c>
      <c r="C622" s="1" t="n">
        <v>46115</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15042-2025</t>
        </is>
      </c>
      <c r="B623" s="1" t="n">
        <v>45743</v>
      </c>
      <c r="C623" s="1" t="n">
        <v>46115</v>
      </c>
      <c r="D623" t="inlineStr">
        <is>
          <t>GOTLANDS LÄN</t>
        </is>
      </c>
      <c r="E623" t="inlineStr">
        <is>
          <t>GOTLAND</t>
        </is>
      </c>
      <c r="G623" t="n">
        <v>8.5</v>
      </c>
      <c r="H623" t="n">
        <v>0</v>
      </c>
      <c r="I623" t="n">
        <v>0</v>
      </c>
      <c r="J623" t="n">
        <v>0</v>
      </c>
      <c r="K623" t="n">
        <v>0</v>
      </c>
      <c r="L623" t="n">
        <v>0</v>
      </c>
      <c r="M623" t="n">
        <v>0</v>
      </c>
      <c r="N623" t="n">
        <v>0</v>
      </c>
      <c r="O623" t="n">
        <v>0</v>
      </c>
      <c r="P623" t="n">
        <v>0</v>
      </c>
      <c r="Q623" t="n">
        <v>0</v>
      </c>
      <c r="R623" s="2" t="inlineStr"/>
    </row>
    <row r="624" ht="15" customHeight="1">
      <c r="A624" t="inlineStr">
        <is>
          <t>A 2180-2025</t>
        </is>
      </c>
      <c r="B624" s="1" t="n">
        <v>45673</v>
      </c>
      <c r="C624" s="1" t="n">
        <v>46115</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15436-2025</t>
        </is>
      </c>
      <c r="B625" s="1" t="n">
        <v>45747.47462962963</v>
      </c>
      <c r="C625" s="1" t="n">
        <v>46115</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49257-2024</t>
        </is>
      </c>
      <c r="B626" s="1" t="n">
        <v>45595.47627314815</v>
      </c>
      <c r="C626" s="1" t="n">
        <v>46115</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37202-2024</t>
        </is>
      </c>
      <c r="B627" s="1" t="n">
        <v>45539.67310185185</v>
      </c>
      <c r="C627" s="1" t="n">
        <v>46115</v>
      </c>
      <c r="D627" t="inlineStr">
        <is>
          <t>GOTLANDS LÄN</t>
        </is>
      </c>
      <c r="E627" t="inlineStr">
        <is>
          <t>GOTLAND</t>
        </is>
      </c>
      <c r="G627" t="n">
        <v>0.3</v>
      </c>
      <c r="H627" t="n">
        <v>0</v>
      </c>
      <c r="I627" t="n">
        <v>0</v>
      </c>
      <c r="J627" t="n">
        <v>0</v>
      </c>
      <c r="K627" t="n">
        <v>0</v>
      </c>
      <c r="L627" t="n">
        <v>0</v>
      </c>
      <c r="M627" t="n">
        <v>0</v>
      </c>
      <c r="N627" t="n">
        <v>0</v>
      </c>
      <c r="O627" t="n">
        <v>0</v>
      </c>
      <c r="P627" t="n">
        <v>0</v>
      </c>
      <c r="Q627" t="n">
        <v>0</v>
      </c>
      <c r="R627" s="2" t="inlineStr"/>
    </row>
    <row r="628" ht="15" customHeight="1">
      <c r="A628" t="inlineStr">
        <is>
          <t>A 56115-2023</t>
        </is>
      </c>
      <c r="B628" s="1" t="n">
        <v>45236</v>
      </c>
      <c r="C628" s="1" t="n">
        <v>46115</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2774-2024</t>
        </is>
      </c>
      <c r="B629" s="1" t="n">
        <v>45314.62375</v>
      </c>
      <c r="C629" s="1" t="n">
        <v>46115</v>
      </c>
      <c r="D629" t="inlineStr">
        <is>
          <t>GOTLANDS LÄN</t>
        </is>
      </c>
      <c r="E629" t="inlineStr">
        <is>
          <t>GOTLAND</t>
        </is>
      </c>
      <c r="G629" t="n">
        <v>1</v>
      </c>
      <c r="H629" t="n">
        <v>0</v>
      </c>
      <c r="I629" t="n">
        <v>0</v>
      </c>
      <c r="J629" t="n">
        <v>0</v>
      </c>
      <c r="K629" t="n">
        <v>0</v>
      </c>
      <c r="L629" t="n">
        <v>0</v>
      </c>
      <c r="M629" t="n">
        <v>0</v>
      </c>
      <c r="N629" t="n">
        <v>0</v>
      </c>
      <c r="O629" t="n">
        <v>0</v>
      </c>
      <c r="P629" t="n">
        <v>0</v>
      </c>
      <c r="Q629" t="n">
        <v>0</v>
      </c>
      <c r="R629" s="2" t="inlineStr"/>
    </row>
    <row r="630" ht="15" customHeight="1">
      <c r="A630" t="inlineStr">
        <is>
          <t>A 60709-2023</t>
        </is>
      </c>
      <c r="B630" s="1" t="n">
        <v>45260</v>
      </c>
      <c r="C630" s="1" t="n">
        <v>46115</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64208-2021</t>
        </is>
      </c>
      <c r="B631" s="1" t="n">
        <v>44510</v>
      </c>
      <c r="C631" s="1" t="n">
        <v>46115</v>
      </c>
      <c r="D631" t="inlineStr">
        <is>
          <t>GOTLANDS LÄN</t>
        </is>
      </c>
      <c r="E631" t="inlineStr">
        <is>
          <t>GOTLAND</t>
        </is>
      </c>
      <c r="G631" t="n">
        <v>4.7</v>
      </c>
      <c r="H631" t="n">
        <v>0</v>
      </c>
      <c r="I631" t="n">
        <v>0</v>
      </c>
      <c r="J631" t="n">
        <v>0</v>
      </c>
      <c r="K631" t="n">
        <v>0</v>
      </c>
      <c r="L631" t="n">
        <v>0</v>
      </c>
      <c r="M631" t="n">
        <v>0</v>
      </c>
      <c r="N631" t="n">
        <v>0</v>
      </c>
      <c r="O631" t="n">
        <v>0</v>
      </c>
      <c r="P631" t="n">
        <v>0</v>
      </c>
      <c r="Q631" t="n">
        <v>0</v>
      </c>
      <c r="R631" s="2" t="inlineStr"/>
    </row>
    <row r="632" ht="15" customHeight="1">
      <c r="A632" t="inlineStr">
        <is>
          <t>A 39764-2022</t>
        </is>
      </c>
      <c r="B632" s="1" t="n">
        <v>44819</v>
      </c>
      <c r="C632" s="1" t="n">
        <v>46115</v>
      </c>
      <c r="D632" t="inlineStr">
        <is>
          <t>GOTLANDS LÄN</t>
        </is>
      </c>
      <c r="E632" t="inlineStr">
        <is>
          <t>GOTLAND</t>
        </is>
      </c>
      <c r="F632" t="inlineStr">
        <is>
          <t>Kyrkan</t>
        </is>
      </c>
      <c r="G632" t="n">
        <v>3.7</v>
      </c>
      <c r="H632" t="n">
        <v>0</v>
      </c>
      <c r="I632" t="n">
        <v>0</v>
      </c>
      <c r="J632" t="n">
        <v>0</v>
      </c>
      <c r="K632" t="n">
        <v>0</v>
      </c>
      <c r="L632" t="n">
        <v>0</v>
      </c>
      <c r="M632" t="n">
        <v>0</v>
      </c>
      <c r="N632" t="n">
        <v>0</v>
      </c>
      <c r="O632" t="n">
        <v>0</v>
      </c>
      <c r="P632" t="n">
        <v>0</v>
      </c>
      <c r="Q632" t="n">
        <v>0</v>
      </c>
      <c r="R632" s="2" t="inlineStr"/>
    </row>
    <row r="633" ht="15" customHeight="1">
      <c r="A633" t="inlineStr">
        <is>
          <t>A 58211-2024</t>
        </is>
      </c>
      <c r="B633" s="1" t="n">
        <v>45632.49292824074</v>
      </c>
      <c r="C633" s="1" t="n">
        <v>46115</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30956-2024</t>
        </is>
      </c>
      <c r="B634" s="1" t="n">
        <v>45499.42527777778</v>
      </c>
      <c r="C634" s="1" t="n">
        <v>46115</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30892-2024</t>
        </is>
      </c>
      <c r="B635" s="1" t="n">
        <v>45491</v>
      </c>
      <c r="C635" s="1" t="n">
        <v>46115</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14635-2023</t>
        </is>
      </c>
      <c r="B636" s="1" t="n">
        <v>45013.69365740741</v>
      </c>
      <c r="C636" s="1" t="n">
        <v>46115</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59469-2024</t>
        </is>
      </c>
      <c r="B637" s="1" t="n">
        <v>45638</v>
      </c>
      <c r="C637" s="1" t="n">
        <v>46115</v>
      </c>
      <c r="D637" t="inlineStr">
        <is>
          <t>GOTLANDS LÄN</t>
        </is>
      </c>
      <c r="E637" t="inlineStr">
        <is>
          <t>GOTLAND</t>
        </is>
      </c>
      <c r="G637" t="n">
        <v>0.4</v>
      </c>
      <c r="H637" t="n">
        <v>0</v>
      </c>
      <c r="I637" t="n">
        <v>0</v>
      </c>
      <c r="J637" t="n">
        <v>0</v>
      </c>
      <c r="K637" t="n">
        <v>0</v>
      </c>
      <c r="L637" t="n">
        <v>0</v>
      </c>
      <c r="M637" t="n">
        <v>0</v>
      </c>
      <c r="N637" t="n">
        <v>0</v>
      </c>
      <c r="O637" t="n">
        <v>0</v>
      </c>
      <c r="P637" t="n">
        <v>0</v>
      </c>
      <c r="Q637" t="n">
        <v>0</v>
      </c>
      <c r="R637" s="2" t="inlineStr"/>
    </row>
    <row r="638" ht="15" customHeight="1">
      <c r="A638" t="inlineStr">
        <is>
          <t>A 7858-2025</t>
        </is>
      </c>
      <c r="B638" s="1" t="n">
        <v>45706.68633101852</v>
      </c>
      <c r="C638" s="1" t="n">
        <v>46115</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53935-2024</t>
        </is>
      </c>
      <c r="B639" s="1" t="n">
        <v>45615</v>
      </c>
      <c r="C639" s="1" t="n">
        <v>46115</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18223-2025</t>
        </is>
      </c>
      <c r="B640" s="1" t="n">
        <v>45761</v>
      </c>
      <c r="C640" s="1" t="n">
        <v>46115</v>
      </c>
      <c r="D640" t="inlineStr">
        <is>
          <t>GOTLANDS LÄN</t>
        </is>
      </c>
      <c r="E640" t="inlineStr">
        <is>
          <t>GOTLAND</t>
        </is>
      </c>
      <c r="G640" t="n">
        <v>0.7</v>
      </c>
      <c r="H640" t="n">
        <v>0</v>
      </c>
      <c r="I640" t="n">
        <v>0</v>
      </c>
      <c r="J640" t="n">
        <v>0</v>
      </c>
      <c r="K640" t="n">
        <v>0</v>
      </c>
      <c r="L640" t="n">
        <v>0</v>
      </c>
      <c r="M640" t="n">
        <v>0</v>
      </c>
      <c r="N640" t="n">
        <v>0</v>
      </c>
      <c r="O640" t="n">
        <v>0</v>
      </c>
      <c r="P640" t="n">
        <v>0</v>
      </c>
      <c r="Q640" t="n">
        <v>0</v>
      </c>
      <c r="R640" s="2" t="inlineStr"/>
    </row>
    <row r="641" ht="15" customHeight="1">
      <c r="A641" t="inlineStr">
        <is>
          <t>A 4420-2025</t>
        </is>
      </c>
      <c r="B641" s="1" t="n">
        <v>45686.47157407407</v>
      </c>
      <c r="C641" s="1" t="n">
        <v>46115</v>
      </c>
      <c r="D641" t="inlineStr">
        <is>
          <t>GOTLANDS LÄN</t>
        </is>
      </c>
      <c r="E641" t="inlineStr">
        <is>
          <t>GOTLAND</t>
        </is>
      </c>
      <c r="G641" t="n">
        <v>1.6</v>
      </c>
      <c r="H641" t="n">
        <v>0</v>
      </c>
      <c r="I641" t="n">
        <v>0</v>
      </c>
      <c r="J641" t="n">
        <v>0</v>
      </c>
      <c r="K641" t="n">
        <v>0</v>
      </c>
      <c r="L641" t="n">
        <v>0</v>
      </c>
      <c r="M641" t="n">
        <v>0</v>
      </c>
      <c r="N641" t="n">
        <v>0</v>
      </c>
      <c r="O641" t="n">
        <v>0</v>
      </c>
      <c r="P641" t="n">
        <v>0</v>
      </c>
      <c r="Q641" t="n">
        <v>0</v>
      </c>
      <c r="R641" s="2" t="inlineStr"/>
    </row>
    <row r="642" ht="15" customHeight="1">
      <c r="A642" t="inlineStr">
        <is>
          <t>A 5891-2025</t>
        </is>
      </c>
      <c r="B642" s="1" t="n">
        <v>45695.38327546296</v>
      </c>
      <c r="C642" s="1" t="n">
        <v>46115</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7835-2024</t>
        </is>
      </c>
      <c r="B643" s="1" t="n">
        <v>45349.83138888889</v>
      </c>
      <c r="C643" s="1" t="n">
        <v>46115</v>
      </c>
      <c r="D643" t="inlineStr">
        <is>
          <t>GOTLANDS LÄN</t>
        </is>
      </c>
      <c r="E643" t="inlineStr">
        <is>
          <t>GOTLAND</t>
        </is>
      </c>
      <c r="G643" t="n">
        <v>3.8</v>
      </c>
      <c r="H643" t="n">
        <v>0</v>
      </c>
      <c r="I643" t="n">
        <v>0</v>
      </c>
      <c r="J643" t="n">
        <v>0</v>
      </c>
      <c r="K643" t="n">
        <v>0</v>
      </c>
      <c r="L643" t="n">
        <v>0</v>
      </c>
      <c r="M643" t="n">
        <v>0</v>
      </c>
      <c r="N643" t="n">
        <v>0</v>
      </c>
      <c r="O643" t="n">
        <v>0</v>
      </c>
      <c r="P643" t="n">
        <v>0</v>
      </c>
      <c r="Q643" t="n">
        <v>0</v>
      </c>
      <c r="R643" s="2" t="inlineStr"/>
    </row>
    <row r="644" ht="15" customHeight="1">
      <c r="A644" t="inlineStr">
        <is>
          <t>A 20794-2025</t>
        </is>
      </c>
      <c r="B644" s="1" t="n">
        <v>45776</v>
      </c>
      <c r="C644" s="1" t="n">
        <v>46115</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c r="A645" t="inlineStr">
        <is>
          <t>A 20805-2025</t>
        </is>
      </c>
      <c r="B645" s="1" t="n">
        <v>45776</v>
      </c>
      <c r="C645" s="1" t="n">
        <v>46115</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2026-04-03T10:38:58Z</dcterms:created>
  <dcterms:modified xmlns:dcterms="http://purl.org/dc/terms/" xmlns:xsi="http://www.w3.org/2001/XMLSchema-instance" xsi:type="dcterms:W3CDTF">2026-04-03T10:38:58Z</dcterms:modified>
</cp:coreProperties>
</file>