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46281</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14450-2023</t>
        </is>
      </c>
      <c r="B6" t="inlineStr">
        <is>
          <t>avverkningsanmälan</t>
        </is>
      </c>
      <c r="C6" t="inlineStr">
        <is>
          <t>Föryngringsavverkning</t>
        </is>
      </c>
      <c r="D6" s="1" t="n">
        <v>45012</v>
      </c>
      <c r="E6" s="1" t="n">
        <v>46281</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9921-2023</t>
        </is>
      </c>
      <c r="B7" t="inlineStr">
        <is>
          <t>avverkningsanmälan</t>
        </is>
      </c>
      <c r="C7" t="inlineStr">
        <is>
          <t>Föryngringsavverkning</t>
        </is>
      </c>
      <c r="D7" s="1" t="n">
        <v>44985</v>
      </c>
      <c r="E7" s="1" t="n">
        <v>46281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46281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46281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46281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46281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46281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46281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46281</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46281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46281</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25779-2022</t>
        </is>
      </c>
      <c r="B38" t="inlineStr">
        <is>
          <t>avverkningsanmälan</t>
        </is>
      </c>
      <c r="C38" t="inlineStr">
        <is>
          <t>Föryngringsavverkning</t>
        </is>
      </c>
      <c r="D38" s="1" t="n">
        <v>44733</v>
      </c>
      <c r="E38" s="1" t="n">
        <v>46281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46281</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46281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46281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46281</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46281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46281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46281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46281</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6052-2024</t>
        </is>
      </c>
      <c r="B48" t="inlineStr">
        <is>
          <t>avverkningsanmälan</t>
        </is>
      </c>
      <c r="C48" t="inlineStr">
        <is>
          <t>Föryngringsavverkning</t>
        </is>
      </c>
      <c r="D48" s="1" t="n">
        <v>45336</v>
      </c>
      <c r="E48" s="1" t="n">
        <v>46281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3324-2023</t>
        </is>
      </c>
      <c r="B49" t="inlineStr">
        <is>
          <t>avverkningsanmälan</t>
        </is>
      </c>
      <c r="C49" t="inlineStr">
        <is>
          <t>Avverkning för annat ändamål</t>
        </is>
      </c>
      <c r="D49" s="1" t="n">
        <v>44949</v>
      </c>
      <c r="E49" s="1" t="n">
        <v>46281</v>
      </c>
      <c r="F49" t="inlineStr">
        <is>
          <t>GOTLANDS LÄN</t>
        </is>
      </c>
      <c r="G49" t="inlineStr">
        <is>
          <t>GOTLAND</t>
        </is>
      </c>
      <c r="I49" t="n">
        <v>6.2</v>
      </c>
      <c r="J49" t="n">
        <v>0</v>
      </c>
      <c r="K49" t="n">
        <v>3</v>
      </c>
      <c r="L49" t="n">
        <v>3</v>
      </c>
      <c r="M49" t="n">
        <v>6</v>
      </c>
      <c r="N49" t="n">
        <v>0</v>
      </c>
      <c r="O49" t="n">
        <v>0</v>
      </c>
      <c r="P49" t="n">
        <v>0</v>
      </c>
      <c r="Q49" t="n">
        <v>9</v>
      </c>
      <c r="R49" t="n">
        <v>6</v>
      </c>
      <c r="S49" t="n">
        <v>12</v>
      </c>
      <c r="T49" t="n">
        <v>73</v>
      </c>
      <c r="U49" t="n">
        <v>0</v>
      </c>
      <c r="V49" s="2" t="inlineStr">
        <is>
          <t>Blåfotad fagerspindling
Duvspindling
Granrotspindling
Gulsträngad fagerspindling
Svartgrön spindling
Tvillingspindling
Blå slemspindling
Odörspindling
Äggspindling
Anisspindling
Olivspindling
Rödgul trumpetsvamp</t>
        </is>
      </c>
      <c r="W49">
        <f>HYPERLINK("https://klasma.github.io/Logging_0980/artfynd/A 3324-2023 artfynd.xlsx", "A 3324-2023")</f>
        <v/>
      </c>
      <c r="X49">
        <f>HYPERLINK("https://klasma.github.io/Logging_0980/kartor/A 3324-2023 karta.png", "A 3324-2023")</f>
        <v/>
      </c>
      <c r="Y49">
        <f>HYPERLINK("https://klasma.github.io/Logging_0980/kartor_geotiff/A 3324-2023 georefererad karta.tif", "A 3324-2023")</f>
        <v/>
      </c>
      <c r="AA49">
        <f>HYPERLINK("https://klasma.github.io/Logging_0980/klagomål/A 3324-2023 FSC-klagomål.docx", "A 3324-2023")</f>
        <v/>
      </c>
      <c r="AB49">
        <f>HYPERLINK("https://klasma.github.io/Logging_0980/klagomålsmail/A 3324-2023 FSC-klagomål mail.docx", "A 3324-2023")</f>
        <v/>
      </c>
      <c r="AC49">
        <f>HYPERLINK("https://klasma.github.io/Logging_0980/tillsyn/A 3324-2023 tillsynsbegäran.docx", "A 3324-2023")</f>
        <v/>
      </c>
      <c r="AD49">
        <f>HYPERLINK("https://klasma.github.io/Logging_0980/tillsynsmail/A 3324-2023 tillsynsbegäran mail.docx", "A 3324-2023")</f>
        <v/>
      </c>
    </row>
    <row r="50" ht="15" customHeight="1">
      <c r="A50" t="inlineStr">
        <is>
          <t>A 17766-2024</t>
        </is>
      </c>
      <c r="B50" t="inlineStr">
        <is>
          <t>avverkningsanmälan</t>
        </is>
      </c>
      <c r="C50" t="inlineStr">
        <is>
          <t>Föryngringsavverkning</t>
        </is>
      </c>
      <c r="D50" s="1" t="n">
        <v>45418</v>
      </c>
      <c r="E50" s="1" t="n">
        <v>46281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46281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46281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46281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46281</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46281</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4984-2025</t>
        </is>
      </c>
      <c r="B58" t="inlineStr">
        <is>
          <t>avverkningsanmälan</t>
        </is>
      </c>
      <c r="C58" t="inlineStr">
        <is>
          <t>Föryngringsavverkning</t>
        </is>
      </c>
      <c r="D58" s="1" t="n">
        <v>45691</v>
      </c>
      <c r="E58" s="1" t="n">
        <v>46281</v>
      </c>
      <c r="F58" t="inlineStr">
        <is>
          <t>GOTLANDS LÄN</t>
        </is>
      </c>
      <c r="G58" t="inlineStr">
        <is>
          <t>GOTLAND</t>
        </is>
      </c>
      <c r="I58" t="n">
        <v>1.3</v>
      </c>
      <c r="J58" t="n">
        <v>6</v>
      </c>
      <c r="K58" t="n">
        <v>2</v>
      </c>
      <c r="L58" t="n">
        <v>4</v>
      </c>
      <c r="M58" t="n">
        <v>0</v>
      </c>
      <c r="N58" t="n">
        <v>0</v>
      </c>
      <c r="O58" t="n">
        <v>0</v>
      </c>
      <c r="P58" t="n">
        <v>0</v>
      </c>
      <c r="Q58" t="n">
        <v>4</v>
      </c>
      <c r="R58" t="n">
        <v>0</v>
      </c>
      <c r="S58" t="n">
        <v>10</v>
      </c>
      <c r="T58" t="n">
        <v>32</v>
      </c>
      <c r="U58" t="n">
        <v>30</v>
      </c>
      <c r="V58" s="2" t="inlineStr">
        <is>
          <t>Gulsparv
Jordtistel
Sminkrot
Svinrot
Grönpyrola
Tvåblad
Ärtsångare
Brudsporre
Kärrknipprot
Nattviol</t>
        </is>
      </c>
      <c r="W58">
        <f>HYPERLINK("https://klasma.github.io/Logging_0980/artfynd/A 4984-2025 artfynd.xlsx", "A 4984-2025")</f>
        <v/>
      </c>
      <c r="X58">
        <f>HYPERLINK("https://klasma.github.io/Logging_0980/kartor/A 4984-2025 karta.png", "A 4984-2025")</f>
        <v/>
      </c>
      <c r="Y58">
        <f>HYPERLINK("https://klasma.github.io/Logging_0980/kartor_geotiff/A 4984-2025 georefererad karta.tif", "A 4984-2025")</f>
        <v/>
      </c>
      <c r="AA58">
        <f>HYPERLINK("https://klasma.github.io/Logging_0980/klagomål/A 4984-2025 FSC-klagomål.docx", "A 4984-2025")</f>
        <v/>
      </c>
      <c r="AB58">
        <f>HYPERLINK("https://klasma.github.io/Logging_0980/klagomålsmail/A 4984-2025 FSC-klagomål mail.docx", "A 4984-2025")</f>
        <v/>
      </c>
      <c r="AC58">
        <f>HYPERLINK("https://klasma.github.io/Logging_0980/tillsyn/A 4984-2025 tillsynsbegäran.docx", "A 4984-2025")</f>
        <v/>
      </c>
      <c r="AD58">
        <f>HYPERLINK("https://klasma.github.io/Logging_0980/tillsynsmail/A 4984-2025 tillsynsbegäran mail.docx", "A 4984-2025")</f>
        <v/>
      </c>
      <c r="AE58">
        <f>HYPERLINK("https://klasma.github.io/Logging_0980/fåglar/A 4984-2025 prioriterade fågelarter.docx", "A 4984-2025")</f>
        <v/>
      </c>
    </row>
    <row r="59" ht="15" customHeight="1">
      <c r="A59" t="inlineStr">
        <is>
          <t>A 18541-2024</t>
        </is>
      </c>
      <c r="B59" t="inlineStr">
        <is>
          <t>avverkningsanmälan</t>
        </is>
      </c>
      <c r="C59" t="inlineStr">
        <is>
          <t>Föryngringsavverkning</t>
        </is>
      </c>
      <c r="D59" s="1" t="n">
        <v>45425</v>
      </c>
      <c r="E59" s="1" t="n">
        <v>46281</v>
      </c>
      <c r="F59" t="inlineStr">
        <is>
          <t>GOTLANDS LÄN</t>
        </is>
      </c>
      <c r="G59" t="inlineStr">
        <is>
          <t>GOTLAND</t>
        </is>
      </c>
      <c r="H59" t="inlineStr">
        <is>
          <t>Övriga statliga verk och myndigheter</t>
        </is>
      </c>
      <c r="I59" t="n">
        <v>2.2</v>
      </c>
      <c r="J59" t="n">
        <v>7</v>
      </c>
      <c r="K59" t="n">
        <v>2</v>
      </c>
      <c r="L59" t="n">
        <v>4</v>
      </c>
      <c r="M59" t="n">
        <v>1</v>
      </c>
      <c r="N59" t="n">
        <v>0</v>
      </c>
      <c r="O59" t="n">
        <v>0</v>
      </c>
      <c r="P59" t="n">
        <v>0</v>
      </c>
      <c r="Q59" t="n">
        <v>5</v>
      </c>
      <c r="R59" t="n">
        <v>1</v>
      </c>
      <c r="S59" t="n">
        <v>10</v>
      </c>
      <c r="T59" t="n">
        <v>26</v>
      </c>
      <c r="U59" t="n">
        <v>26</v>
      </c>
      <c r="V59" s="2" t="inlineStr">
        <is>
          <t>Garderönn
Backtimjan
Dårgräsfjäril
Solvända
Svinrot
Nästrot
Tvåblad
Kungsfågel
Skogsduva
Fläcknycklar</t>
        </is>
      </c>
      <c r="W59">
        <f>HYPERLINK("https://klasma.github.io/Logging_0980/artfynd/A 18541-2024 artfynd.xlsx", "A 18541-2024")</f>
        <v/>
      </c>
      <c r="X59">
        <f>HYPERLINK("https://klasma.github.io/Logging_0980/kartor/A 18541-2024 karta.png", "A 18541-2024")</f>
        <v/>
      </c>
      <c r="Y59">
        <f>HYPERLINK("https://klasma.github.io/Logging_0980/kartor_geotiff/A 18541-2024 georefererad karta.tif", "A 18541-2024")</f>
        <v/>
      </c>
      <c r="AA59">
        <f>HYPERLINK("https://klasma.github.io/Logging_0980/klagomål/A 18541-2024 FSC-klagomål.docx", "A 18541-2024")</f>
        <v/>
      </c>
      <c r="AB59">
        <f>HYPERLINK("https://klasma.github.io/Logging_0980/klagomålsmail/A 18541-2024 FSC-klagomål mail.docx", "A 18541-2024")</f>
        <v/>
      </c>
      <c r="AC59">
        <f>HYPERLINK("https://klasma.github.io/Logging_0980/tillsyn/A 18541-2024 tillsynsbegäran.docx", "A 18541-2024")</f>
        <v/>
      </c>
      <c r="AD59">
        <f>HYPERLINK("https://klasma.github.io/Logging_0980/tillsynsmail/A 18541-2024 tillsynsbegäran mail.docx", "A 18541-2024")</f>
        <v/>
      </c>
    </row>
    <row r="60" ht="15" customHeight="1">
      <c r="A60" t="inlineStr">
        <is>
          <t>A 44944-2022</t>
        </is>
      </c>
      <c r="B60" t="inlineStr">
        <is>
          <t>avverkningsanmälan</t>
        </is>
      </c>
      <c r="C60" t="inlineStr">
        <is>
          <t>Föryngringsavverkning</t>
        </is>
      </c>
      <c r="D60" s="1" t="n">
        <v>44841</v>
      </c>
      <c r="E60" s="1" t="n">
        <v>46281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45248-2024</t>
        </is>
      </c>
      <c r="B61" t="inlineStr">
        <is>
          <t>avverkningsanmälan</t>
        </is>
      </c>
      <c r="C61" t="inlineStr">
        <is>
          <t>Avverkning för annat ändamål</t>
        </is>
      </c>
      <c r="D61" s="1" t="n">
        <v>45576</v>
      </c>
      <c r="E61" s="1" t="n">
        <v>46281</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186-2023</t>
        </is>
      </c>
      <c r="B62" t="inlineStr">
        <is>
          <t>avverkningsanmälan</t>
        </is>
      </c>
      <c r="C62" t="inlineStr">
        <is>
          <t>Föryngringsavverkning</t>
        </is>
      </c>
      <c r="D62" s="1" t="n">
        <v>44928</v>
      </c>
      <c r="E62" s="1" t="n">
        <v>46281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46281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46281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46281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7039-2023</t>
        </is>
      </c>
      <c r="B66" t="inlineStr">
        <is>
          <t>avverkningsanmälan</t>
        </is>
      </c>
      <c r="C66" t="inlineStr">
        <is>
          <t>Föryngringsavverkning</t>
        </is>
      </c>
      <c r="D66" s="1" t="n">
        <v>44968</v>
      </c>
      <c r="E66" s="1" t="n">
        <v>46281</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39376-2023</t>
        </is>
      </c>
      <c r="B67" t="inlineStr">
        <is>
          <t>avverkningsanmälan</t>
        </is>
      </c>
      <c r="C67" t="inlineStr">
        <is>
          <t>Avverkning för annat ändamål</t>
        </is>
      </c>
      <c r="D67" s="1" t="n">
        <v>45166</v>
      </c>
      <c r="E67" s="1" t="n">
        <v>46281</v>
      </c>
      <c r="F67" t="inlineStr">
        <is>
          <t>GOTLANDS LÄN</t>
        </is>
      </c>
      <c r="G67" t="inlineStr">
        <is>
          <t>GOTLAND</t>
        </is>
      </c>
      <c r="I67" t="n">
        <v>9.199999999999999</v>
      </c>
      <c r="J67" t="n">
        <v>1</v>
      </c>
      <c r="K67" t="n">
        <v>3</v>
      </c>
      <c r="L67" t="n">
        <v>6</v>
      </c>
      <c r="M67" t="n">
        <v>0</v>
      </c>
      <c r="N67" t="n">
        <v>0</v>
      </c>
      <c r="O67" t="n">
        <v>0</v>
      </c>
      <c r="P67" t="n">
        <v>0</v>
      </c>
      <c r="Q67" t="n">
        <v>6</v>
      </c>
      <c r="R67" t="n">
        <v>0</v>
      </c>
      <c r="S67" t="n">
        <v>9</v>
      </c>
      <c r="T67" t="n">
        <v>11</v>
      </c>
      <c r="U67" t="n">
        <v>11</v>
      </c>
      <c r="V67" s="2" t="inlineStr">
        <is>
          <t>Blå slemspindling
Denisespindling
Flattoppad klubbsvamp
Kattfotslav
Odörspindling
Äggspindling
Anisspindling
Rödgul trumpetsvamp
Skogsknipprot</t>
        </is>
      </c>
      <c r="W67">
        <f>HYPERLINK("https://klasma.github.io/Logging_0980/artfynd/A 39376-2023 artfynd.xlsx", "A 39376-2023")</f>
        <v/>
      </c>
      <c r="X67">
        <f>HYPERLINK("https://klasma.github.io/Logging_0980/kartor/A 39376-2023 karta.png", "A 39376-2023")</f>
        <v/>
      </c>
      <c r="Y67">
        <f>HYPERLINK("https://klasma.github.io/Logging_0980/kartor_geotiff/A 39376-2023 georefererad karta.tif", "A 39376-2023")</f>
        <v/>
      </c>
      <c r="AA67">
        <f>HYPERLINK("https://klasma.github.io/Logging_0980/klagomål/A 39376-2023 FSC-klagomål.docx", "A 39376-2023")</f>
        <v/>
      </c>
      <c r="AB67">
        <f>HYPERLINK("https://klasma.github.io/Logging_0980/klagomålsmail/A 39376-2023 FSC-klagomål mail.docx", "A 39376-2023")</f>
        <v/>
      </c>
      <c r="AC67">
        <f>HYPERLINK("https://klasma.github.io/Logging_0980/tillsyn/A 39376-2023 tillsynsbegäran.docx", "A 39376-2023")</f>
        <v/>
      </c>
      <c r="AD67">
        <f>HYPERLINK("https://klasma.github.io/Logging_0980/tillsynsmail/A 39376-2023 tillsynsbegäran mail.docx", "A 39376-2023")</f>
        <v/>
      </c>
    </row>
    <row r="68" ht="15" customHeight="1">
      <c r="A68" t="inlineStr">
        <is>
          <t>A 17328-2026</t>
        </is>
      </c>
      <c r="B68" t="inlineStr">
        <is>
          <t>avverkningsanmälan</t>
        </is>
      </c>
      <c r="C68" t="inlineStr">
        <is>
          <t>Föryngringsavverkning</t>
        </is>
      </c>
      <c r="D68" s="1" t="n">
        <v>46119</v>
      </c>
      <c r="E68" s="1" t="n">
        <v>46281</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46281</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46281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1971-2023</t>
        </is>
      </c>
      <c r="B72" t="inlineStr">
        <is>
          <t>avverkningsanmälan</t>
        </is>
      </c>
      <c r="C72" t="inlineStr">
        <is>
          <t>Föryngringsavverkning</t>
        </is>
      </c>
      <c r="D72" s="1" t="n">
        <v>44939</v>
      </c>
      <c r="E72" s="1" t="n">
        <v>46281</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7038-2023</t>
        </is>
      </c>
      <c r="B73" t="inlineStr">
        <is>
          <t>avverkningsanmälan</t>
        </is>
      </c>
      <c r="C73" t="inlineStr">
        <is>
          <t>Föryngringsavverkning</t>
        </is>
      </c>
      <c r="D73" s="1" t="n">
        <v>44968</v>
      </c>
      <c r="E73" s="1" t="n">
        <v>46281</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54527-2023</t>
        </is>
      </c>
      <c r="B74" t="inlineStr">
        <is>
          <t>avverkningsanmälan</t>
        </is>
      </c>
      <c r="C74" t="inlineStr">
        <is>
          <t>Avverkning för annat ändamål</t>
        </is>
      </c>
      <c r="D74" s="1" t="n">
        <v>45233</v>
      </c>
      <c r="E74" s="1" t="n">
        <v>46281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46281</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46281</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46281</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46281</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46281</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46281</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999-2023</t>
        </is>
      </c>
      <c r="B82" t="inlineStr">
        <is>
          <t>avverkningsanmälan</t>
        </is>
      </c>
      <c r="C82" t="inlineStr">
        <is>
          <t>Föryngringsavverkning</t>
        </is>
      </c>
      <c r="D82" s="1" t="n">
        <v>44935</v>
      </c>
      <c r="E82" s="1" t="n">
        <v>46281</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34142-2024</t>
        </is>
      </c>
      <c r="B83" t="inlineStr">
        <is>
          <t>avverkningsanmälan</t>
        </is>
      </c>
      <c r="C83" t="inlineStr">
        <is>
          <t>Föryngringsavverkning</t>
        </is>
      </c>
      <c r="D83" s="1" t="n">
        <v>45524</v>
      </c>
      <c r="E83" s="1" t="n">
        <v>46281</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46281</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46281</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46281</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46281</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46281</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20838-2024</t>
        </is>
      </c>
      <c r="B90" t="inlineStr">
        <is>
          <t>avverkningsanmälan</t>
        </is>
      </c>
      <c r="C90" t="inlineStr">
        <is>
          <t>Föryngringsavverkning</t>
        </is>
      </c>
      <c r="D90" s="1" t="n">
        <v>45439</v>
      </c>
      <c r="E90" s="1" t="n">
        <v>46281</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46281</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46281</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46281</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46281</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5904-2024</t>
        </is>
      </c>
      <c r="B95" t="inlineStr">
        <is>
          <t>avverkningsanmälan</t>
        </is>
      </c>
      <c r="C95" t="inlineStr">
        <is>
          <t>Föryngringsavverkning</t>
        </is>
      </c>
      <c r="D95" s="1" t="n">
        <v>45335</v>
      </c>
      <c r="E95" s="1" t="n">
        <v>46281</v>
      </c>
      <c r="F95" t="inlineStr">
        <is>
          <t>GOTLANDS LÄN</t>
        </is>
      </c>
      <c r="G95" t="inlineStr">
        <is>
          <t>GOTLAND</t>
        </is>
      </c>
      <c r="I95" t="n">
        <v>6.4</v>
      </c>
      <c r="J95" t="n">
        <v>1</v>
      </c>
      <c r="K95" t="n">
        <v>1</v>
      </c>
      <c r="L95" t="n">
        <v>3</v>
      </c>
      <c r="M95" t="n">
        <v>0</v>
      </c>
      <c r="N95" t="n">
        <v>0</v>
      </c>
      <c r="O95" t="n">
        <v>0</v>
      </c>
      <c r="P95" t="n">
        <v>0</v>
      </c>
      <c r="Q95" t="n">
        <v>3</v>
      </c>
      <c r="R95" t="n">
        <v>0</v>
      </c>
      <c r="S95" t="n">
        <v>5</v>
      </c>
      <c r="T95" t="n">
        <v>11</v>
      </c>
      <c r="U95" t="n">
        <v>8</v>
      </c>
      <c r="V95" s="2" t="inlineStr">
        <is>
          <t>Backstarr
Backtimjan
Kattfotslav
Blåmossa
Sankt pers nycklar</t>
        </is>
      </c>
      <c r="W95">
        <f>HYPERLINK("https://klasma.github.io/Logging_0980/artfynd/A 5904-2024 artfynd.xlsx", "A 5904-2024")</f>
        <v/>
      </c>
      <c r="X95">
        <f>HYPERLINK("https://klasma.github.io/Logging_0980/kartor/A 5904-2024 karta.png", "A 5904-2024")</f>
        <v/>
      </c>
      <c r="Y95">
        <f>HYPERLINK("https://klasma.github.io/Logging_0980/kartor_geotiff/A 5904-2024 georefererad karta.tif", "A 5904-2024")</f>
        <v/>
      </c>
      <c r="AA95">
        <f>HYPERLINK("https://klasma.github.io/Logging_0980/klagomål/A 5904-2024 FSC-klagomål.docx", "A 5904-2024")</f>
        <v/>
      </c>
      <c r="AB95">
        <f>HYPERLINK("https://klasma.github.io/Logging_0980/klagomålsmail/A 5904-2024 FSC-klagomål mail.docx", "A 5904-2024")</f>
        <v/>
      </c>
      <c r="AC95">
        <f>HYPERLINK("https://klasma.github.io/Logging_0980/tillsyn/A 5904-2024 tillsynsbegäran.docx", "A 5904-2024")</f>
        <v/>
      </c>
      <c r="AD95">
        <f>HYPERLINK("https://klasma.github.io/Logging_0980/tillsynsmail/A 5904-2024 tillsynsbegäran mail.docx", "A 5904-2024")</f>
        <v/>
      </c>
    </row>
    <row r="96" ht="15" customHeight="1">
      <c r="A96" t="inlineStr">
        <is>
          <t>A 54055-2022</t>
        </is>
      </c>
      <c r="B96" t="inlineStr">
        <is>
          <t>avverkningsanmälan</t>
        </is>
      </c>
      <c r="C96" t="inlineStr">
        <is>
          <t>Föryngringsavverkning</t>
        </is>
      </c>
      <c r="D96" s="1" t="n">
        <v>44881</v>
      </c>
      <c r="E96" s="1" t="n">
        <v>46281</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46281</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46281</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39425-2023</t>
        </is>
      </c>
      <c r="B99" t="inlineStr">
        <is>
          <t>avverkningsanmälan</t>
        </is>
      </c>
      <c r="C99" t="inlineStr">
        <is>
          <t>Avverkning för annat ändamål</t>
        </is>
      </c>
      <c r="D99" s="1" t="n">
        <v>45166</v>
      </c>
      <c r="E99" s="1" t="n">
        <v>46281</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8265-2023</t>
        </is>
      </c>
      <c r="B100" t="inlineStr">
        <is>
          <t>avverkningsanmälan</t>
        </is>
      </c>
      <c r="C100" t="inlineStr">
        <is>
          <t>Föryngringsavverkning</t>
        </is>
      </c>
      <c r="D100" s="1" t="n">
        <v>44974</v>
      </c>
      <c r="E100" s="1" t="n">
        <v>46281</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46281</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57463-2025</t>
        </is>
      </c>
      <c r="B102" t="inlineStr">
        <is>
          <t>avverkningsanmälan</t>
        </is>
      </c>
      <c r="C102" t="inlineStr">
        <is>
          <t>Föryngringsavverkning</t>
        </is>
      </c>
      <c r="D102" s="1" t="n">
        <v>45980</v>
      </c>
      <c r="E102" s="1" t="n">
        <v>46281</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46281</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46281</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1273-2023</t>
        </is>
      </c>
      <c r="B105" t="inlineStr">
        <is>
          <t>avverkningsanmälan</t>
        </is>
      </c>
      <c r="C105" t="inlineStr">
        <is>
          <t>Föryngringsavverkning</t>
        </is>
      </c>
      <c r="D105" s="1" t="n">
        <v>44936</v>
      </c>
      <c r="E105" s="1" t="n">
        <v>46281</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46281</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16997-2026</t>
        </is>
      </c>
      <c r="B107" t="inlineStr">
        <is>
          <t>avverkningsanmälan</t>
        </is>
      </c>
      <c r="C107" t="inlineStr">
        <is>
          <t>Föryngringsavverkning</t>
        </is>
      </c>
      <c r="D107" s="1" t="n">
        <v>46114</v>
      </c>
      <c r="E107" s="1" t="n">
        <v>46281</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46281</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46281</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5235-2025</t>
        </is>
      </c>
      <c r="B110" t="inlineStr">
        <is>
          <t>avverkningsanmälan</t>
        </is>
      </c>
      <c r="C110" t="inlineStr">
        <is>
          <t>Föryngringsavverkning</t>
        </is>
      </c>
      <c r="D110" s="1" t="n">
        <v>45692</v>
      </c>
      <c r="E110" s="1" t="n">
        <v>46281</v>
      </c>
      <c r="F110" t="inlineStr">
        <is>
          <t>GOTLANDS LÄN</t>
        </is>
      </c>
      <c r="G110" t="inlineStr">
        <is>
          <t>GOTLAND</t>
        </is>
      </c>
      <c r="I110" t="n">
        <v>7.6</v>
      </c>
      <c r="J110" t="n">
        <v>2</v>
      </c>
      <c r="K110" t="n">
        <v>2</v>
      </c>
      <c r="L110" t="n">
        <v>2</v>
      </c>
      <c r="M110" t="n">
        <v>0</v>
      </c>
      <c r="N110" t="n">
        <v>0</v>
      </c>
      <c r="O110" t="n">
        <v>0</v>
      </c>
      <c r="P110" t="n">
        <v>0</v>
      </c>
      <c r="Q110" t="n">
        <v>2</v>
      </c>
      <c r="R110" t="n">
        <v>0</v>
      </c>
      <c r="S110" t="n">
        <v>4</v>
      </c>
      <c r="T110" t="n">
        <v>8</v>
      </c>
      <c r="U110" t="n">
        <v>8</v>
      </c>
      <c r="V110" s="2" t="inlineStr">
        <is>
          <t>Dårgräsfjäril
Svinrot
Blåmossa
Tvåblad</t>
        </is>
      </c>
      <c r="W110">
        <f>HYPERLINK("https://klasma.github.io/Logging_0980/artfynd/A 5235-2025 artfynd.xlsx", "A 5235-2025")</f>
        <v/>
      </c>
      <c r="X110">
        <f>HYPERLINK("https://klasma.github.io/Logging_0980/kartor/A 5235-2025 karta.png", "A 5235-2025")</f>
        <v/>
      </c>
      <c r="Y110">
        <f>HYPERLINK("https://klasma.github.io/Logging_0980/kartor_geotiff/A 5235-2025 georefererad karta.tif", "A 5235-2025")</f>
        <v/>
      </c>
      <c r="AA110">
        <f>HYPERLINK("https://klasma.github.io/Logging_0980/klagomål/A 5235-2025 FSC-klagomål.docx", "A 5235-2025")</f>
        <v/>
      </c>
      <c r="AB110">
        <f>HYPERLINK("https://klasma.github.io/Logging_0980/klagomålsmail/A 5235-2025 FSC-klagomål mail.docx", "A 5235-2025")</f>
        <v/>
      </c>
      <c r="AC110">
        <f>HYPERLINK("https://klasma.github.io/Logging_0980/tillsyn/A 5235-2025 tillsynsbegäran.docx", "A 5235-2025")</f>
        <v/>
      </c>
      <c r="AD110">
        <f>HYPERLINK("https://klasma.github.io/Logging_0980/tillsynsmail/A 5235-2025 tillsynsbegäran mail.docx", "A 5235-2025")</f>
        <v/>
      </c>
    </row>
    <row r="111" ht="15" customHeight="1">
      <c r="A111" t="inlineStr">
        <is>
          <t>A 32550-2026</t>
        </is>
      </c>
      <c r="B111" t="inlineStr">
        <is>
          <t>avverkningsanmälan</t>
        </is>
      </c>
      <c r="C111" t="inlineStr">
        <is>
          <t>Föryngringsavverkning</t>
        </is>
      </c>
      <c r="D111" s="1" t="n">
        <v>46239</v>
      </c>
      <c r="E111" s="1" t="n">
        <v>46281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7625-2026</t>
        </is>
      </c>
      <c r="B112" t="inlineStr">
        <is>
          <t>avverkningsanmälan</t>
        </is>
      </c>
      <c r="C112" t="inlineStr">
        <is>
          <t>Föryngringsavverkning</t>
        </is>
      </c>
      <c r="D112" s="1" t="n">
        <v>46062</v>
      </c>
      <c r="E112" s="1" t="n">
        <v>46281</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2485-2025</t>
        </is>
      </c>
      <c r="B113" t="inlineStr">
        <is>
          <t>avverkningsanmälan</t>
        </is>
      </c>
      <c r="C113" t="inlineStr">
        <is>
          <t>Föryngringsavverkning</t>
        </is>
      </c>
      <c r="D113" s="1" t="n">
        <v>45673</v>
      </c>
      <c r="E113" s="1" t="n">
        <v>46281</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56717-2024</t>
        </is>
      </c>
      <c r="B114" t="inlineStr">
        <is>
          <t>avverkningsanmälan</t>
        </is>
      </c>
      <c r="C114" t="inlineStr">
        <is>
          <t>Föryngringsavverkning</t>
        </is>
      </c>
      <c r="D114" s="1" t="n">
        <v>45628</v>
      </c>
      <c r="E114" s="1" t="n">
        <v>46281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6218-2026</t>
        </is>
      </c>
      <c r="B115" t="inlineStr">
        <is>
          <t>avverkningsanmälan</t>
        </is>
      </c>
      <c r="C115" t="inlineStr">
        <is>
          <t>Föryngringsavverkning</t>
        </is>
      </c>
      <c r="D115" s="1" t="n">
        <v>46055</v>
      </c>
      <c r="E115" s="1" t="n">
        <v>46281</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37591-2023</t>
        </is>
      </c>
      <c r="B116" t="inlineStr">
        <is>
          <t>avverkningsanmälan</t>
        </is>
      </c>
      <c r="C116" t="inlineStr">
        <is>
          <t>Föryngringsavverkning</t>
        </is>
      </c>
      <c r="D116" s="1" t="n">
        <v>45159</v>
      </c>
      <c r="E116" s="1" t="n">
        <v>46281</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12315-2024</t>
        </is>
      </c>
      <c r="B117" t="inlineStr">
        <is>
          <t>avverkningsanmälan</t>
        </is>
      </c>
      <c r="C117" t="inlineStr">
        <is>
          <t>Föryngringsavverkning</t>
        </is>
      </c>
      <c r="D117" s="1" t="n">
        <v>45378</v>
      </c>
      <c r="E117" s="1" t="n">
        <v>46281</v>
      </c>
      <c r="F117" t="inlineStr">
        <is>
          <t>GOTLANDS LÄN</t>
        </is>
      </c>
      <c r="G117" t="inlineStr">
        <is>
          <t>GOTLAND</t>
        </is>
      </c>
      <c r="I117" t="n">
        <v>6</v>
      </c>
      <c r="J117" t="n">
        <v>3</v>
      </c>
      <c r="K117" t="n">
        <v>1</v>
      </c>
      <c r="L117" t="n">
        <v>0</v>
      </c>
      <c r="M117" t="n">
        <v>0</v>
      </c>
      <c r="N117" t="n">
        <v>0</v>
      </c>
      <c r="O117" t="n">
        <v>0</v>
      </c>
      <c r="P117" t="n">
        <v>0</v>
      </c>
      <c r="Q117" t="n">
        <v>0</v>
      </c>
      <c r="R117" t="n">
        <v>0</v>
      </c>
      <c r="S117" t="n">
        <v>3</v>
      </c>
      <c r="T117" t="n">
        <v>3</v>
      </c>
      <c r="U117" t="n">
        <v>3</v>
      </c>
      <c r="V117" s="2" t="inlineStr">
        <is>
          <t>Tvåblad
Buskskvätta
Fläcknycklar</t>
        </is>
      </c>
      <c r="W117">
        <f>HYPERLINK("https://klasma.github.io/Logging_0980/artfynd/A 12315-2024 artfynd.xlsx", "A 12315-2024")</f>
        <v/>
      </c>
      <c r="X117">
        <f>HYPERLINK("https://klasma.github.io/Logging_0980/kartor/A 12315-2024 karta.png", "A 12315-2024")</f>
        <v/>
      </c>
      <c r="Y117">
        <f>HYPERLINK("https://klasma.github.io/Logging_0980/kartor_geotiff/A 12315-2024 georefererad karta.tif", "A 12315-2024")</f>
        <v/>
      </c>
      <c r="AA117">
        <f>HYPERLINK("https://klasma.github.io/Logging_0980/klagomål/A 12315-2024 FSC-klagomål.docx", "A 12315-2024")</f>
        <v/>
      </c>
      <c r="AB117">
        <f>HYPERLINK("https://klasma.github.io/Logging_0980/klagomålsmail/A 12315-2024 FSC-klagomål mail.docx", "A 12315-2024")</f>
        <v/>
      </c>
      <c r="AC117">
        <f>HYPERLINK("https://klasma.github.io/Logging_0980/tillsyn/A 12315-2024 tillsynsbegäran.docx", "A 12315-2024")</f>
        <v/>
      </c>
      <c r="AD117">
        <f>HYPERLINK("https://klasma.github.io/Logging_0980/tillsynsmail/A 12315-2024 tillsynsbegäran mail.docx", "A 12315-2024")</f>
        <v/>
      </c>
    </row>
    <row r="118" ht="15" customHeight="1">
      <c r="A118" t="inlineStr">
        <is>
          <t>A 49411-2023</t>
        </is>
      </c>
      <c r="B118" t="inlineStr">
        <is>
          <t>avverkningsanmälan</t>
        </is>
      </c>
      <c r="C118" t="inlineStr">
        <is>
          <t>Föryngringsavverkning</t>
        </is>
      </c>
      <c r="D118" s="1" t="n">
        <v>45205</v>
      </c>
      <c r="E118" s="1" t="n">
        <v>46281</v>
      </c>
      <c r="F118" t="inlineStr">
        <is>
          <t>GOTLANDS LÄN</t>
        </is>
      </c>
      <c r="G118" t="inlineStr">
        <is>
          <t>GOTLAND</t>
        </is>
      </c>
      <c r="I118" t="n">
        <v>2</v>
      </c>
      <c r="J118" t="n">
        <v>1</v>
      </c>
      <c r="K118" t="n">
        <v>1</v>
      </c>
      <c r="L118" t="n">
        <v>2</v>
      </c>
      <c r="M118" t="n">
        <v>0</v>
      </c>
      <c r="N118" t="n">
        <v>0</v>
      </c>
      <c r="O118" t="n">
        <v>0</v>
      </c>
      <c r="P118" t="n">
        <v>0</v>
      </c>
      <c r="Q118" t="n">
        <v>2</v>
      </c>
      <c r="R118" t="n">
        <v>0</v>
      </c>
      <c r="S118" t="n">
        <v>3</v>
      </c>
      <c r="T118" t="n">
        <v>3</v>
      </c>
      <c r="U118" t="n">
        <v>1</v>
      </c>
      <c r="V118" s="2" t="inlineStr">
        <is>
          <t>Blåklockesandbi
Svinrot
Tvåblad</t>
        </is>
      </c>
      <c r="W118">
        <f>HYPERLINK("https://klasma.github.io/Logging_0980/artfynd/A 49411-2023 artfynd.xlsx", "A 49411-2023")</f>
        <v/>
      </c>
      <c r="X118">
        <f>HYPERLINK("https://klasma.github.io/Logging_0980/kartor/A 49411-2023 karta.png", "A 49411-2023")</f>
        <v/>
      </c>
      <c r="Y118">
        <f>HYPERLINK("https://klasma.github.io/Logging_0980/kartor_geotiff/A 49411-2023 georefererad karta.tif", "A 49411-2023")</f>
        <v/>
      </c>
      <c r="AA118">
        <f>HYPERLINK("https://klasma.github.io/Logging_0980/klagomål/A 49411-2023 FSC-klagomål.docx", "A 49411-2023")</f>
        <v/>
      </c>
      <c r="AB118">
        <f>HYPERLINK("https://klasma.github.io/Logging_0980/klagomålsmail/A 49411-2023 FSC-klagomål mail.docx", "A 49411-2023")</f>
        <v/>
      </c>
      <c r="AC118">
        <f>HYPERLINK("https://klasma.github.io/Logging_0980/tillsyn/A 49411-2023 tillsynsbegäran.docx", "A 49411-2023")</f>
        <v/>
      </c>
      <c r="AD118">
        <f>HYPERLINK("https://klasma.github.io/Logging_0980/tillsynsmail/A 49411-2023 tillsynsbegäran mail.docx", "A 49411-2023")</f>
        <v/>
      </c>
    </row>
    <row r="119" ht="15" customHeight="1">
      <c r="A119" t="inlineStr">
        <is>
          <t>A 61561-2023</t>
        </is>
      </c>
      <c r="B119" t="inlineStr">
        <is>
          <t>avverkningsanmälan</t>
        </is>
      </c>
      <c r="C119" t="inlineStr">
        <is>
          <t>Föryngringsavverkning</t>
        </is>
      </c>
      <c r="D119" s="1" t="n">
        <v>45265</v>
      </c>
      <c r="E119" s="1" t="n">
        <v>46281</v>
      </c>
      <c r="F119" t="inlineStr">
        <is>
          <t>GOTLANDS LÄN</t>
        </is>
      </c>
      <c r="G119" t="inlineStr">
        <is>
          <t>GOTLAND</t>
        </is>
      </c>
      <c r="I119" t="n">
        <v>7.4</v>
      </c>
      <c r="J119" t="n">
        <v>0</v>
      </c>
      <c r="K119" t="n">
        <v>0</v>
      </c>
      <c r="L119" t="n">
        <v>3</v>
      </c>
      <c r="M119" t="n">
        <v>0</v>
      </c>
      <c r="N119" t="n">
        <v>0</v>
      </c>
      <c r="O119" t="n">
        <v>0</v>
      </c>
      <c r="P119" t="n">
        <v>0</v>
      </c>
      <c r="Q119" t="n">
        <v>3</v>
      </c>
      <c r="R119" t="n">
        <v>0</v>
      </c>
      <c r="S119" t="n">
        <v>3</v>
      </c>
      <c r="T119" t="n">
        <v>3</v>
      </c>
      <c r="U119" t="n">
        <v>1</v>
      </c>
      <c r="V119" s="2" t="inlineStr">
        <is>
          <t>Jordtistel
Loppstarr
Solvända</t>
        </is>
      </c>
      <c r="W119">
        <f>HYPERLINK("https://klasma.github.io/Logging_0980/artfynd/A 61561-2023 artfynd.xlsx", "A 61561-2023")</f>
        <v/>
      </c>
      <c r="X119">
        <f>HYPERLINK("https://klasma.github.io/Logging_0980/kartor/A 61561-2023 karta.png", "A 61561-2023")</f>
        <v/>
      </c>
      <c r="Y119">
        <f>HYPERLINK("https://klasma.github.io/Logging_0980/kartor_geotiff/A 61561-2023 georefererad karta.tif", "A 61561-2023")</f>
        <v/>
      </c>
      <c r="AA119">
        <f>HYPERLINK("https://klasma.github.io/Logging_0980/klagomål/A 61561-2023 FSC-klagomål.docx", "A 61561-2023")</f>
        <v/>
      </c>
      <c r="AB119">
        <f>HYPERLINK("https://klasma.github.io/Logging_0980/klagomålsmail/A 61561-2023 FSC-klagomål mail.docx", "A 61561-2023")</f>
        <v/>
      </c>
      <c r="AC119">
        <f>HYPERLINK("https://klasma.github.io/Logging_0980/tillsyn/A 61561-2023 tillsynsbegäran.docx", "A 61561-2023")</f>
        <v/>
      </c>
      <c r="AD119">
        <f>HYPERLINK("https://klasma.github.io/Logging_0980/tillsynsmail/A 61561-2023 tillsynsbegäran mail.docx", "A 61561-2023")</f>
        <v/>
      </c>
    </row>
    <row r="120" ht="15" customHeight="1">
      <c r="A120" t="inlineStr">
        <is>
          <t>A 65927-2021</t>
        </is>
      </c>
      <c r="B120" t="inlineStr">
        <is>
          <t>avverkningsanmälan</t>
        </is>
      </c>
      <c r="C120" t="inlineStr">
        <is>
          <t>Föryngringsavverkning</t>
        </is>
      </c>
      <c r="D120" s="1" t="n">
        <v>44516</v>
      </c>
      <c r="E120" s="1" t="n">
        <v>46281</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46281</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2476-2025</t>
        </is>
      </c>
      <c r="B122" t="inlineStr">
        <is>
          <t>avverkningsanmälan</t>
        </is>
      </c>
      <c r="C122" t="inlineStr">
        <is>
          <t>Föryngringsavverkning</t>
        </is>
      </c>
      <c r="D122" s="1" t="n">
        <v>45673</v>
      </c>
      <c r="E122" s="1" t="n">
        <v>46281</v>
      </c>
      <c r="F122" t="inlineStr">
        <is>
          <t>GOTLANDS LÄN</t>
        </is>
      </c>
      <c r="G122" t="inlineStr">
        <is>
          <t>GOTLAND</t>
        </is>
      </c>
      <c r="I122" t="n">
        <v>3.1</v>
      </c>
      <c r="J122" t="n">
        <v>0</v>
      </c>
      <c r="K122" t="n">
        <v>1</v>
      </c>
      <c r="L122" t="n">
        <v>2</v>
      </c>
      <c r="M122" t="n">
        <v>0</v>
      </c>
      <c r="N122" t="n">
        <v>0</v>
      </c>
      <c r="O122" t="n">
        <v>0</v>
      </c>
      <c r="P122" t="n">
        <v>0</v>
      </c>
      <c r="Q122" t="n">
        <v>2</v>
      </c>
      <c r="R122" t="n">
        <v>0</v>
      </c>
      <c r="S122" t="n">
        <v>3</v>
      </c>
      <c r="T122" t="n">
        <v>3</v>
      </c>
      <c r="U122" t="n">
        <v>0</v>
      </c>
      <c r="V122" s="2" t="inlineStr">
        <is>
          <t>Barrviolspindling
Kryddspindling
Strimspindling</t>
        </is>
      </c>
      <c r="W122">
        <f>HYPERLINK("https://klasma.github.io/Logging_0980/artfynd/A 2476-2025 artfynd.xlsx", "A 2476-2025")</f>
        <v/>
      </c>
      <c r="X122">
        <f>HYPERLINK("https://klasma.github.io/Logging_0980/kartor/A 2476-2025 karta.png", "A 2476-2025")</f>
        <v/>
      </c>
      <c r="Y122">
        <f>HYPERLINK("https://klasma.github.io/Logging_0980/kartor_geotiff/A 2476-2025 georefererad karta.tif", "A 2476-2025")</f>
        <v/>
      </c>
      <c r="AA122">
        <f>HYPERLINK("https://klasma.github.io/Logging_0980/klagomål/A 2476-2025 FSC-klagomål.docx", "A 2476-2025")</f>
        <v/>
      </c>
      <c r="AB122">
        <f>HYPERLINK("https://klasma.github.io/Logging_0980/klagomålsmail/A 2476-2025 FSC-klagomål mail.docx", "A 2476-2025")</f>
        <v/>
      </c>
      <c r="AC122">
        <f>HYPERLINK("https://klasma.github.io/Logging_0980/tillsyn/A 2476-2025 tillsynsbegäran.docx", "A 2476-2025")</f>
        <v/>
      </c>
      <c r="AD122">
        <f>HYPERLINK("https://klasma.github.io/Logging_0980/tillsynsmail/A 2476-2025 tillsynsbegäran mail.docx", "A 2476-2025")</f>
        <v/>
      </c>
    </row>
    <row r="123" ht="15" customHeight="1">
      <c r="A123" t="inlineStr">
        <is>
          <t>A 43013-2022</t>
        </is>
      </c>
      <c r="B123" t="inlineStr">
        <is>
          <t>avverkningsanmälan</t>
        </is>
      </c>
      <c r="C123" t="inlineStr">
        <is>
          <t>Föryngringsavverkning</t>
        </is>
      </c>
      <c r="D123" s="1" t="n">
        <v>44833</v>
      </c>
      <c r="E123" s="1" t="n">
        <v>46281</v>
      </c>
      <c r="F123" t="inlineStr">
        <is>
          <t>GOTLANDS LÄN</t>
        </is>
      </c>
      <c r="G123" t="inlineStr">
        <is>
          <t>GOTLAND</t>
        </is>
      </c>
      <c r="I123" t="n">
        <v>9.300000000000001</v>
      </c>
      <c r="J123" t="n">
        <v>0</v>
      </c>
      <c r="K123" t="n">
        <v>1</v>
      </c>
      <c r="L123" t="n">
        <v>1</v>
      </c>
      <c r="M123" t="n">
        <v>1</v>
      </c>
      <c r="N123" t="n">
        <v>0</v>
      </c>
      <c r="O123" t="n">
        <v>0</v>
      </c>
      <c r="P123" t="n">
        <v>0</v>
      </c>
      <c r="Q123" t="n">
        <v>2</v>
      </c>
      <c r="R123" t="n">
        <v>1</v>
      </c>
      <c r="S123" t="n">
        <v>3</v>
      </c>
      <c r="T123" t="n">
        <v>4</v>
      </c>
      <c r="U123" t="n">
        <v>4</v>
      </c>
      <c r="V123" s="2" t="inlineStr">
        <is>
          <t>Violettfläckig spindling
Blå slemspindling
Anisspindling</t>
        </is>
      </c>
      <c r="W123">
        <f>HYPERLINK("https://klasma.github.io/Logging_0980/artfynd/A 43013-2022 artfynd.xlsx", "A 43013-2022")</f>
        <v/>
      </c>
      <c r="X123">
        <f>HYPERLINK("https://klasma.github.io/Logging_0980/kartor/A 43013-2022 karta.png", "A 43013-2022")</f>
        <v/>
      </c>
      <c r="Y123">
        <f>HYPERLINK("https://klasma.github.io/Logging_0980/kartor_geotiff/A 43013-2022 georefererad karta.tif", "A 43013-2022")</f>
        <v/>
      </c>
      <c r="AA123">
        <f>HYPERLINK("https://klasma.github.io/Logging_0980/klagomål/A 43013-2022 FSC-klagomål.docx", "A 43013-2022")</f>
        <v/>
      </c>
      <c r="AB123">
        <f>HYPERLINK("https://klasma.github.io/Logging_0980/klagomålsmail/A 43013-2022 FSC-klagomål mail.docx", "A 43013-2022")</f>
        <v/>
      </c>
      <c r="AC123">
        <f>HYPERLINK("https://klasma.github.io/Logging_0980/tillsyn/A 43013-2022 tillsynsbegäran.docx", "A 43013-2022")</f>
        <v/>
      </c>
      <c r="AD123">
        <f>HYPERLINK("https://klasma.github.io/Logging_0980/tillsynsmail/A 43013-2022 tillsynsbegäran mail.docx", "A 43013-2022")</f>
        <v/>
      </c>
    </row>
    <row r="124" ht="15" customHeight="1">
      <c r="A124" t="inlineStr">
        <is>
          <t>A 53552-2021</t>
        </is>
      </c>
      <c r="B124" t="inlineStr">
        <is>
          <t>avverkningsanmälan</t>
        </is>
      </c>
      <c r="C124" t="inlineStr">
        <is>
          <t>Föryngringsavverkning</t>
        </is>
      </c>
      <c r="D124" s="1" t="n">
        <v>44468</v>
      </c>
      <c r="E124" s="1" t="n">
        <v>46281</v>
      </c>
      <c r="F124" t="inlineStr">
        <is>
          <t>GOTLANDS LÄN</t>
        </is>
      </c>
      <c r="G124" t="inlineStr">
        <is>
          <t>GOTLAND</t>
        </is>
      </c>
      <c r="I124" t="n">
        <v>6.2</v>
      </c>
      <c r="J124" t="n">
        <v>2</v>
      </c>
      <c r="K124" t="n">
        <v>0</v>
      </c>
      <c r="L124" t="n">
        <v>0</v>
      </c>
      <c r="M124" t="n">
        <v>1</v>
      </c>
      <c r="N124" t="n">
        <v>0</v>
      </c>
      <c r="O124" t="n">
        <v>0</v>
      </c>
      <c r="P124" t="n">
        <v>0</v>
      </c>
      <c r="Q124" t="n">
        <v>1</v>
      </c>
      <c r="R124" t="n">
        <v>1</v>
      </c>
      <c r="S124" t="n">
        <v>3</v>
      </c>
      <c r="T124" t="n">
        <v>3</v>
      </c>
      <c r="U124" t="n">
        <v>2</v>
      </c>
      <c r="V124" s="2" t="inlineStr">
        <is>
          <t>Bredbrämad bastardsvärmare
Grönvit nattviol
Gullviva</t>
        </is>
      </c>
      <c r="W124">
        <f>HYPERLINK("https://klasma.github.io/Logging_0980/artfynd/A 53552-2021 artfynd.xlsx", "A 53552-2021")</f>
        <v/>
      </c>
      <c r="X124">
        <f>HYPERLINK("https://klasma.github.io/Logging_0980/kartor/A 53552-2021 karta.png", "A 53552-2021")</f>
        <v/>
      </c>
      <c r="Y124">
        <f>HYPERLINK("https://klasma.github.io/Logging_0980/kartor_geotiff/A 53552-2021 georefererad karta.tif", "A 53552-2021")</f>
        <v/>
      </c>
      <c r="AA124">
        <f>HYPERLINK("https://klasma.github.io/Logging_0980/klagomål/A 53552-2021 FSC-klagomål.docx", "A 53552-2021")</f>
        <v/>
      </c>
      <c r="AB124">
        <f>HYPERLINK("https://klasma.github.io/Logging_0980/klagomålsmail/A 53552-2021 FSC-klagomål mail.docx", "A 53552-2021")</f>
        <v/>
      </c>
      <c r="AC124">
        <f>HYPERLINK("https://klasma.github.io/Logging_0980/tillsyn/A 53552-2021 tillsynsbegäran.docx", "A 53552-2021")</f>
        <v/>
      </c>
      <c r="AD124">
        <f>HYPERLINK("https://klasma.github.io/Logging_0980/tillsynsmail/A 53552-2021 tillsynsbegäran mail.docx", "A 53552-2021")</f>
        <v/>
      </c>
    </row>
    <row r="125" ht="15" customHeight="1">
      <c r="A125" t="inlineStr">
        <is>
          <t>A 34312-2024</t>
        </is>
      </c>
      <c r="B125" t="inlineStr">
        <is>
          <t>avverkningsanmälan</t>
        </is>
      </c>
      <c r="C125" t="inlineStr">
        <is>
          <t>Föryngringsavverkning</t>
        </is>
      </c>
      <c r="D125" s="1" t="n">
        <v>45524</v>
      </c>
      <c r="E125" s="1" t="n">
        <v>46281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63576-2021</t>
        </is>
      </c>
      <c r="B126" t="inlineStr">
        <is>
          <t>avverkningsanmälan</t>
        </is>
      </c>
      <c r="C126" t="inlineStr">
        <is>
          <t>Föryngringsavverkning</t>
        </is>
      </c>
      <c r="D126" s="1" t="n">
        <v>44508</v>
      </c>
      <c r="E126" s="1" t="n">
        <v>46281</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26992-2026</t>
        </is>
      </c>
      <c r="B127" t="inlineStr">
        <is>
          <t>avverkningsanmälan</t>
        </is>
      </c>
      <c r="C127" t="inlineStr">
        <is>
          <t>Föryngringsavverkning</t>
        </is>
      </c>
      <c r="D127" s="1" t="n">
        <v>46185</v>
      </c>
      <c r="E127" s="1" t="n">
        <v>46281</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35574-2024</t>
        </is>
      </c>
      <c r="B128" t="inlineStr">
        <is>
          <t>avverkningsanmälan</t>
        </is>
      </c>
      <c r="C128" t="inlineStr">
        <is>
          <t>Föryngringsavverkning</t>
        </is>
      </c>
      <c r="D128" s="1" t="n">
        <v>45531</v>
      </c>
      <c r="E128" s="1" t="n">
        <v>46281</v>
      </c>
      <c r="F128" t="inlineStr">
        <is>
          <t>GOTLANDS LÄN</t>
        </is>
      </c>
      <c r="G128" t="inlineStr">
        <is>
          <t>GOTLAND</t>
        </is>
      </c>
      <c r="I128" t="n">
        <v>5.7</v>
      </c>
      <c r="J128" t="n">
        <v>0</v>
      </c>
      <c r="K128" t="n">
        <v>2</v>
      </c>
      <c r="L128" t="n">
        <v>1</v>
      </c>
      <c r="M128" t="n">
        <v>0</v>
      </c>
      <c r="N128" t="n">
        <v>0</v>
      </c>
      <c r="O128" t="n">
        <v>0</v>
      </c>
      <c r="P128" t="n">
        <v>0</v>
      </c>
      <c r="Q128" t="n">
        <v>1</v>
      </c>
      <c r="R128" t="n">
        <v>0</v>
      </c>
      <c r="S128" t="n">
        <v>3</v>
      </c>
      <c r="T128" t="n">
        <v>3</v>
      </c>
      <c r="U128" t="n">
        <v>1</v>
      </c>
      <c r="V128" s="2" t="inlineStr">
        <is>
          <t>Svinrot
Kambräken
Murgröna</t>
        </is>
      </c>
      <c r="W128">
        <f>HYPERLINK("https://klasma.github.io/Logging_0980/artfynd/A 35574-2024 artfynd.xlsx", "A 35574-2024")</f>
        <v/>
      </c>
      <c r="X128">
        <f>HYPERLINK("https://klasma.github.io/Logging_0980/kartor/A 35574-2024 karta.png", "A 35574-2024")</f>
        <v/>
      </c>
      <c r="Y128">
        <f>HYPERLINK("https://klasma.github.io/Logging_0980/kartor_geotiff/A 35574-2024 georefererad karta.tif", "A 35574-2024")</f>
        <v/>
      </c>
      <c r="AA128">
        <f>HYPERLINK("https://klasma.github.io/Logging_0980/klagomål/A 35574-2024 FSC-klagomål.docx", "A 35574-2024")</f>
        <v/>
      </c>
      <c r="AB128">
        <f>HYPERLINK("https://klasma.github.io/Logging_0980/klagomålsmail/A 35574-2024 FSC-klagomål mail.docx", "A 35574-2024")</f>
        <v/>
      </c>
      <c r="AC128">
        <f>HYPERLINK("https://klasma.github.io/Logging_0980/tillsyn/A 35574-2024 tillsynsbegäran.docx", "A 35574-2024")</f>
        <v/>
      </c>
      <c r="AD128">
        <f>HYPERLINK("https://klasma.github.io/Logging_0980/tillsynsmail/A 35574-2024 tillsynsbegäran mail.docx", "A 35574-2024")</f>
        <v/>
      </c>
    </row>
    <row r="129" ht="15" customHeight="1">
      <c r="A129" t="inlineStr">
        <is>
          <t>A 17982-2023</t>
        </is>
      </c>
      <c r="B129" t="inlineStr">
        <is>
          <t>avverkningsanmälan</t>
        </is>
      </c>
      <c r="C129" t="inlineStr">
        <is>
          <t>Avverkning för att bevara och utveckla /försöksver</t>
        </is>
      </c>
      <c r="D129" s="1" t="n">
        <v>45040</v>
      </c>
      <c r="E129" s="1" t="n">
        <v>46281</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54357-2024</t>
        </is>
      </c>
      <c r="B130" t="inlineStr">
        <is>
          <t>avverkningsanmälan</t>
        </is>
      </c>
      <c r="C130" t="inlineStr">
        <is>
          <t>Föryngringsavverkning</t>
        </is>
      </c>
      <c r="D130" s="1" t="n">
        <v>45617</v>
      </c>
      <c r="E130" s="1" t="n">
        <v>46281</v>
      </c>
      <c r="F130" t="inlineStr">
        <is>
          <t>GOTLANDS LÄN</t>
        </is>
      </c>
      <c r="G130" t="inlineStr">
        <is>
          <t>GOTLAND</t>
        </is>
      </c>
      <c r="I130" t="n">
        <v>1.5</v>
      </c>
      <c r="J130" t="n">
        <v>1</v>
      </c>
      <c r="K130" t="n">
        <v>1</v>
      </c>
      <c r="L130" t="n">
        <v>1</v>
      </c>
      <c r="M130" t="n">
        <v>0</v>
      </c>
      <c r="N130" t="n">
        <v>0</v>
      </c>
      <c r="O130" t="n">
        <v>0</v>
      </c>
      <c r="P130" t="n">
        <v>0</v>
      </c>
      <c r="Q130" t="n">
        <v>1</v>
      </c>
      <c r="R130" t="n">
        <v>0</v>
      </c>
      <c r="S130" t="n">
        <v>3</v>
      </c>
      <c r="T130" t="n">
        <v>3</v>
      </c>
      <c r="U130" t="n">
        <v>2</v>
      </c>
      <c r="V130" s="2" t="inlineStr">
        <is>
          <t>Loppstarr
Grov fjädermossa
Fläcknycklar</t>
        </is>
      </c>
      <c r="W130">
        <f>HYPERLINK("https://klasma.github.io/Logging_0980/artfynd/A 54357-2024 artfynd.xlsx", "A 54357-2024")</f>
        <v/>
      </c>
      <c r="X130">
        <f>HYPERLINK("https://klasma.github.io/Logging_0980/kartor/A 54357-2024 karta.png", "A 54357-2024")</f>
        <v/>
      </c>
      <c r="Y130">
        <f>HYPERLINK("https://klasma.github.io/Logging_0980/kartor_geotiff/A 54357-2024 georefererad karta.tif", "A 54357-2024")</f>
        <v/>
      </c>
      <c r="AA130">
        <f>HYPERLINK("https://klasma.github.io/Logging_0980/klagomål/A 54357-2024 FSC-klagomål.docx", "A 54357-2024")</f>
        <v/>
      </c>
      <c r="AB130">
        <f>HYPERLINK("https://klasma.github.io/Logging_0980/klagomålsmail/A 54357-2024 FSC-klagomål mail.docx", "A 54357-2024")</f>
        <v/>
      </c>
      <c r="AC130">
        <f>HYPERLINK("https://klasma.github.io/Logging_0980/tillsyn/A 54357-2024 tillsynsbegäran.docx", "A 54357-2024")</f>
        <v/>
      </c>
      <c r="AD130">
        <f>HYPERLINK("https://klasma.github.io/Logging_0980/tillsynsmail/A 54357-2024 tillsynsbegäran mail.docx", "A 54357-2024")</f>
        <v/>
      </c>
    </row>
    <row r="131" ht="15" customHeight="1">
      <c r="A131" t="inlineStr">
        <is>
          <t>A 13499-2022</t>
        </is>
      </c>
      <c r="B131" t="inlineStr">
        <is>
          <t>avverkningsanmälan</t>
        </is>
      </c>
      <c r="C131" t="inlineStr">
        <is>
          <t>Föryngringsavverkning</t>
        </is>
      </c>
      <c r="D131" s="1" t="n">
        <v>44647</v>
      </c>
      <c r="E131" s="1" t="n">
        <v>46281</v>
      </c>
      <c r="F131" t="inlineStr">
        <is>
          <t>GOTLANDS LÄN</t>
        </is>
      </c>
      <c r="G131" t="inlineStr">
        <is>
          <t>GOTLAND</t>
        </is>
      </c>
      <c r="I131" t="n">
        <v>6.8</v>
      </c>
      <c r="J131" t="n">
        <v>3</v>
      </c>
      <c r="K131" t="n">
        <v>0</v>
      </c>
      <c r="L131" t="n">
        <v>0</v>
      </c>
      <c r="M131" t="n">
        <v>0</v>
      </c>
      <c r="N131" t="n">
        <v>0</v>
      </c>
      <c r="O131" t="n">
        <v>0</v>
      </c>
      <c r="P131" t="n">
        <v>0</v>
      </c>
      <c r="Q131" t="n">
        <v>0</v>
      </c>
      <c r="R131" t="n">
        <v>0</v>
      </c>
      <c r="S131" t="n">
        <v>3</v>
      </c>
      <c r="T131" t="n">
        <v>3</v>
      </c>
      <c r="U131" t="n">
        <v>2</v>
      </c>
      <c r="V131" s="2" t="inlineStr">
        <is>
          <t>Blåsippa
Spillkråka
Sankt pers nycklar</t>
        </is>
      </c>
      <c r="W131">
        <f>HYPERLINK("https://klasma.github.io/Logging_0980/artfynd/A 13499-2022 artfynd.xlsx", "A 13499-2022")</f>
        <v/>
      </c>
      <c r="X131">
        <f>HYPERLINK("https://klasma.github.io/Logging_0980/kartor/A 13499-2022 karta.png", "A 13499-2022")</f>
        <v/>
      </c>
      <c r="Y131">
        <f>HYPERLINK("https://klasma.github.io/Logging_0980/kartor_geotiff/A 13499-2022 georefererad karta.tif", "A 13499-2022")</f>
        <v/>
      </c>
      <c r="AA131">
        <f>HYPERLINK("https://klasma.github.io/Logging_0980/klagomål/A 13499-2022 FSC-klagomål.docx", "A 13499-2022")</f>
        <v/>
      </c>
      <c r="AB131">
        <f>HYPERLINK("https://klasma.github.io/Logging_0980/klagomålsmail/A 13499-2022 FSC-klagomål mail.docx", "A 13499-2022")</f>
        <v/>
      </c>
      <c r="AC131">
        <f>HYPERLINK("https://klasma.github.io/Logging_0980/tillsyn/A 13499-2022 tillsynsbegäran.docx", "A 13499-2022")</f>
        <v/>
      </c>
      <c r="AD131">
        <f>HYPERLINK("https://klasma.github.io/Logging_0980/tillsynsmail/A 13499-2022 tillsynsbegäran mail.docx", "A 13499-2022")</f>
        <v/>
      </c>
      <c r="AE131">
        <f>HYPERLINK("https://klasma.github.io/Logging_0980/fåglar/A 13499-2022 prioriterade fågelarter.docx", "A 13499-2022")</f>
        <v/>
      </c>
    </row>
    <row r="132" ht="15" customHeight="1">
      <c r="A132" t="inlineStr">
        <is>
          <t>A 43219-2023</t>
        </is>
      </c>
      <c r="B132" t="inlineStr">
        <is>
          <t>avverkningsanmälan</t>
        </is>
      </c>
      <c r="C132" t="inlineStr">
        <is>
          <t>Föryngringsavverkning</t>
        </is>
      </c>
      <c r="D132" s="1" t="n">
        <v>45183</v>
      </c>
      <c r="E132" s="1" t="n">
        <v>46281</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5909-2025</t>
        </is>
      </c>
      <c r="B133" t="inlineStr">
        <is>
          <t>avverkningsanmälan</t>
        </is>
      </c>
      <c r="C133" t="inlineStr">
        <is>
          <t>Föryngringsavverkning</t>
        </is>
      </c>
      <c r="D133" s="1" t="n">
        <v>45695</v>
      </c>
      <c r="E133" s="1" t="n">
        <v>46281</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17975-2024</t>
        </is>
      </c>
      <c r="B134" t="inlineStr">
        <is>
          <t>avverkningsanmälan</t>
        </is>
      </c>
      <c r="C134" t="inlineStr">
        <is>
          <t>Föryngringsavverkning</t>
        </is>
      </c>
      <c r="D134" s="1" t="n">
        <v>45419</v>
      </c>
      <c r="E134" s="1" t="n">
        <v>46281</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10440-2024</t>
        </is>
      </c>
      <c r="B135" t="inlineStr">
        <is>
          <t>avverkningsanmälan</t>
        </is>
      </c>
      <c r="C135" t="inlineStr">
        <is>
          <t>Föryngringsavverkning</t>
        </is>
      </c>
      <c r="D135" s="1" t="n">
        <v>45366</v>
      </c>
      <c r="E135" s="1" t="n">
        <v>46281</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46281</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46281</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46281</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46281</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28261-2024</t>
        </is>
      </c>
      <c r="B140" t="inlineStr">
        <is>
          <t>avverkningsanmälan</t>
        </is>
      </c>
      <c r="C140" t="inlineStr">
        <is>
          <t>Avverkning för annat ändamål</t>
        </is>
      </c>
      <c r="D140" s="1" t="n">
        <v>45477</v>
      </c>
      <c r="E140" s="1" t="n">
        <v>46281</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26077-2024</t>
        </is>
      </c>
      <c r="B141" t="inlineStr">
        <is>
          <t>avverkningsanmälan</t>
        </is>
      </c>
      <c r="C141" t="inlineStr">
        <is>
          <t>Avverkning för annat ändamål</t>
        </is>
      </c>
      <c r="D141" s="1" t="n">
        <v>45467</v>
      </c>
      <c r="E141" s="1" t="n">
        <v>46281</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11708-2026</t>
        </is>
      </c>
      <c r="B142" t="inlineStr">
        <is>
          <t>avverkningsanmälan</t>
        </is>
      </c>
      <c r="C142" t="inlineStr">
        <is>
          <t>Avverkning för annat ändamål</t>
        </is>
      </c>
      <c r="D142" s="1" t="n">
        <v>46084</v>
      </c>
      <c r="E142" s="1" t="n">
        <v>46281</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33011-2025</t>
        </is>
      </c>
      <c r="B143" t="inlineStr">
        <is>
          <t>avverkningsanmälan</t>
        </is>
      </c>
      <c r="C143" t="inlineStr">
        <is>
          <t>Föryngringsavverkning</t>
        </is>
      </c>
      <c r="D143" s="1" t="n">
        <v>45840</v>
      </c>
      <c r="E143" s="1" t="n">
        <v>46281</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46281</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1010-2024</t>
        </is>
      </c>
      <c r="B145" t="inlineStr">
        <is>
          <t>avverkningsanmälan</t>
        </is>
      </c>
      <c r="C145" t="inlineStr">
        <is>
          <t>Föryngringsavverkning</t>
        </is>
      </c>
      <c r="D145" s="1" t="n">
        <v>45301</v>
      </c>
      <c r="E145" s="1" t="n">
        <v>46281</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62760-2025</t>
        </is>
      </c>
      <c r="B146" t="inlineStr">
        <is>
          <t>avverkningsanmälan</t>
        </is>
      </c>
      <c r="C146" t="inlineStr">
        <is>
          <t>Föryngringsavverkning</t>
        </is>
      </c>
      <c r="D146" s="1" t="n">
        <v>46008</v>
      </c>
      <c r="E146" s="1" t="n">
        <v>46281</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27621-2026</t>
        </is>
      </c>
      <c r="B147" t="inlineStr">
        <is>
          <t>avverkningsanmälan</t>
        </is>
      </c>
      <c r="C147" t="inlineStr">
        <is>
          <t>Föryngringsavverkning</t>
        </is>
      </c>
      <c r="D147" s="1" t="n">
        <v>46190</v>
      </c>
      <c r="E147" s="1" t="n">
        <v>46281</v>
      </c>
      <c r="F147" t="inlineStr">
        <is>
          <t>GOTLANDS LÄN</t>
        </is>
      </c>
      <c r="G147" t="inlineStr">
        <is>
          <t>GOTLAND</t>
        </is>
      </c>
      <c r="I147" t="n">
        <v>6</v>
      </c>
      <c r="J147" t="n">
        <v>2</v>
      </c>
      <c r="K147" t="n">
        <v>0</v>
      </c>
      <c r="L147" t="n">
        <v>1</v>
      </c>
      <c r="M147" t="n">
        <v>0</v>
      </c>
      <c r="N147" t="n">
        <v>0</v>
      </c>
      <c r="O147" t="n">
        <v>0</v>
      </c>
      <c r="P147" t="n">
        <v>0</v>
      </c>
      <c r="Q147" t="n">
        <v>1</v>
      </c>
      <c r="R147" t="n">
        <v>0</v>
      </c>
      <c r="S147" t="n">
        <v>2</v>
      </c>
      <c r="T147" t="n">
        <v>2</v>
      </c>
      <c r="U147" t="n">
        <v>0</v>
      </c>
      <c r="V147" s="2" t="inlineStr">
        <is>
          <t>Adam och eva
Spillkråka</t>
        </is>
      </c>
      <c r="W147">
        <f>HYPERLINK("https://klasma.github.io/Logging_0980/artfynd/A 27621-2026 artfynd.xlsx", "A 27621-2026")</f>
        <v/>
      </c>
      <c r="X147">
        <f>HYPERLINK("https://klasma.github.io/Logging_0980/kartor/A 27621-2026 karta.png", "A 27621-2026")</f>
        <v/>
      </c>
      <c r="Y147">
        <f>HYPERLINK("https://klasma.github.io/Logging_0980/kartor_geotiff/A 27621-2026 georefererad karta.tif", "A 27621-2026")</f>
        <v/>
      </c>
      <c r="AA147">
        <f>HYPERLINK("https://klasma.github.io/Logging_0980/klagomål/A 27621-2026 FSC-klagomål.docx", "A 27621-2026")</f>
        <v/>
      </c>
      <c r="AB147">
        <f>HYPERLINK("https://klasma.github.io/Logging_0980/klagomålsmail/A 27621-2026 FSC-klagomål mail.docx", "A 27621-2026")</f>
        <v/>
      </c>
      <c r="AC147">
        <f>HYPERLINK("https://klasma.github.io/Logging_0980/tillsyn/A 27621-2026 tillsynsbegäran.docx", "A 27621-2026")</f>
        <v/>
      </c>
      <c r="AD147">
        <f>HYPERLINK("https://klasma.github.io/Logging_0980/tillsynsmail/A 27621-2026 tillsynsbegäran mail.docx", "A 27621-2026")</f>
        <v/>
      </c>
      <c r="AE147">
        <f>HYPERLINK("https://klasma.github.io/Logging_0980/fåglar/A 27621-2026 prioriterade fågelarter.docx", "A 27621-2026")</f>
        <v/>
      </c>
    </row>
    <row r="148" ht="15" customHeight="1">
      <c r="A148" t="inlineStr">
        <is>
          <t>A 27589-2023</t>
        </is>
      </c>
      <c r="B148" t="inlineStr">
        <is>
          <t>avverkningsanmälan</t>
        </is>
      </c>
      <c r="C148" t="inlineStr">
        <is>
          <t>Avverkning för annat ändamål</t>
        </is>
      </c>
      <c r="D148" s="1" t="n">
        <v>45097</v>
      </c>
      <c r="E148" s="1" t="n">
        <v>46281</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46281</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30470-2026</t>
        </is>
      </c>
      <c r="B150" t="inlineStr">
        <is>
          <t>avverkningsanmälan</t>
        </is>
      </c>
      <c r="C150" t="inlineStr">
        <is>
          <t>Föryngringsavverkning</t>
        </is>
      </c>
      <c r="D150" s="1" t="n">
        <v>46209</v>
      </c>
      <c r="E150" s="1" t="n">
        <v>46281</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7070-2022</t>
        </is>
      </c>
      <c r="B151" t="inlineStr">
        <is>
          <t>avverkningsanmälan</t>
        </is>
      </c>
      <c r="C151" t="inlineStr">
        <is>
          <t>Föryngringsavverkning</t>
        </is>
      </c>
      <c r="D151" s="1" t="n">
        <v>44603</v>
      </c>
      <c r="E151" s="1" t="n">
        <v>46281</v>
      </c>
      <c r="F151" t="inlineStr">
        <is>
          <t>GOTLANDS LÄN</t>
        </is>
      </c>
      <c r="G151" t="inlineStr">
        <is>
          <t>GOTLAND</t>
        </is>
      </c>
      <c r="I151" t="n">
        <v>2.6</v>
      </c>
      <c r="J151" t="n">
        <v>0</v>
      </c>
      <c r="K151" t="n">
        <v>1</v>
      </c>
      <c r="L151" t="n">
        <v>1</v>
      </c>
      <c r="M151" t="n">
        <v>0</v>
      </c>
      <c r="N151" t="n">
        <v>0</v>
      </c>
      <c r="O151" t="n">
        <v>0</v>
      </c>
      <c r="P151" t="n">
        <v>0</v>
      </c>
      <c r="Q151" t="n">
        <v>1</v>
      </c>
      <c r="R151" t="n">
        <v>0</v>
      </c>
      <c r="S151" t="n">
        <v>2</v>
      </c>
      <c r="T151" t="n">
        <v>2</v>
      </c>
      <c r="U151" t="n">
        <v>0</v>
      </c>
      <c r="V151" s="2" t="inlineStr">
        <is>
          <t>Kattfotslav
Blåmossa</t>
        </is>
      </c>
      <c r="W151">
        <f>HYPERLINK("https://klasma.github.io/Logging_0980/artfynd/A 7070-2022 artfynd.xlsx", "A 7070-2022")</f>
        <v/>
      </c>
      <c r="X151">
        <f>HYPERLINK("https://klasma.github.io/Logging_0980/kartor/A 7070-2022 karta.png", "A 7070-2022")</f>
        <v/>
      </c>
      <c r="Y151">
        <f>HYPERLINK("https://klasma.github.io/Logging_0980/kartor_geotiff/A 7070-2022 georefererad karta.tif", "A 7070-2022")</f>
        <v/>
      </c>
      <c r="AA151">
        <f>HYPERLINK("https://klasma.github.io/Logging_0980/klagomål/A 7070-2022 FSC-klagomål.docx", "A 7070-2022")</f>
        <v/>
      </c>
      <c r="AB151">
        <f>HYPERLINK("https://klasma.github.io/Logging_0980/klagomålsmail/A 7070-2022 FSC-klagomål mail.docx", "A 7070-2022")</f>
        <v/>
      </c>
      <c r="AC151">
        <f>HYPERLINK("https://klasma.github.io/Logging_0980/tillsyn/A 7070-2022 tillsynsbegäran.docx", "A 7070-2022")</f>
        <v/>
      </c>
      <c r="AD151">
        <f>HYPERLINK("https://klasma.github.io/Logging_0980/tillsynsmail/A 7070-2022 tillsynsbegäran mail.docx", "A 7070-2022")</f>
        <v/>
      </c>
    </row>
    <row r="152" ht="15" customHeight="1">
      <c r="A152" t="inlineStr">
        <is>
          <t>A 28276-2024</t>
        </is>
      </c>
      <c r="B152" t="inlineStr">
        <is>
          <t>avverkningsanmälan</t>
        </is>
      </c>
      <c r="C152" t="inlineStr">
        <is>
          <t>Avverkning för annat ändamål</t>
        </is>
      </c>
      <c r="D152" s="1" t="n">
        <v>45477</v>
      </c>
      <c r="E152" s="1" t="n">
        <v>46281</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46281</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46281</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46281</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46281</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5751-2024</t>
        </is>
      </c>
      <c r="B157" t="inlineStr">
        <is>
          <t>avverkningsanmälan</t>
        </is>
      </c>
      <c r="C157" t="inlineStr">
        <is>
          <t>Avverkning för att bevara och utveckla /försöksver</t>
        </is>
      </c>
      <c r="D157" s="1" t="n">
        <v>45335</v>
      </c>
      <c r="E157" s="1" t="n">
        <v>46281</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12379-2024</t>
        </is>
      </c>
      <c r="B158" t="inlineStr">
        <is>
          <t>avverkningsanmälan</t>
        </is>
      </c>
      <c r="C158" t="inlineStr">
        <is>
          <t>Föryngringsavverkning</t>
        </is>
      </c>
      <c r="D158" s="1" t="n">
        <v>45379</v>
      </c>
      <c r="E158" s="1" t="n">
        <v>46281</v>
      </c>
      <c r="F158" t="inlineStr">
        <is>
          <t>GOTLANDS LÄN</t>
        </is>
      </c>
      <c r="G158" t="inlineStr">
        <is>
          <t>GOTLAND</t>
        </is>
      </c>
      <c r="I158" t="n">
        <v>4.4</v>
      </c>
      <c r="J158" t="n">
        <v>0</v>
      </c>
      <c r="K158" t="n">
        <v>0</v>
      </c>
      <c r="L158" t="n">
        <v>1</v>
      </c>
      <c r="M158" t="n">
        <v>0</v>
      </c>
      <c r="N158" t="n">
        <v>0</v>
      </c>
      <c r="O158" t="n">
        <v>0</v>
      </c>
      <c r="P158" t="n">
        <v>0</v>
      </c>
      <c r="Q158" t="n">
        <v>1</v>
      </c>
      <c r="R158" t="n">
        <v>0</v>
      </c>
      <c r="S158" t="n">
        <v>1</v>
      </c>
      <c r="T158" t="n">
        <v>1</v>
      </c>
      <c r="U158" t="n">
        <v>0</v>
      </c>
      <c r="V158" s="2" t="inlineStr">
        <is>
          <t>Svinrot</t>
        </is>
      </c>
      <c r="W158">
        <f>HYPERLINK("https://klasma.github.io/Logging_0980/artfynd/A 12379-2024 artfynd.xlsx", "A 12379-2024")</f>
        <v/>
      </c>
      <c r="X158">
        <f>HYPERLINK("https://klasma.github.io/Logging_0980/kartor/A 12379-2024 karta.png", "A 12379-2024")</f>
        <v/>
      </c>
      <c r="Y158">
        <f>HYPERLINK("https://klasma.github.io/Logging_0980/kartor_geotiff/A 12379-2024 georefererad karta.tif", "A 12379-2024")</f>
        <v/>
      </c>
      <c r="AA158">
        <f>HYPERLINK("https://klasma.github.io/Logging_0980/klagomål/A 12379-2024 FSC-klagomål.docx", "A 12379-2024")</f>
        <v/>
      </c>
      <c r="AB158">
        <f>HYPERLINK("https://klasma.github.io/Logging_0980/klagomålsmail/A 12379-2024 FSC-klagomål mail.docx", "A 12379-2024")</f>
        <v/>
      </c>
      <c r="AC158">
        <f>HYPERLINK("https://klasma.github.io/Logging_0980/tillsyn/A 12379-2024 tillsynsbegäran.docx", "A 12379-2024")</f>
        <v/>
      </c>
      <c r="AD158">
        <f>HYPERLINK("https://klasma.github.io/Logging_0980/tillsynsmail/A 12379-2024 tillsynsbegäran mail.docx", "A 12379-2024")</f>
        <v/>
      </c>
    </row>
    <row r="159" ht="15" customHeight="1">
      <c r="A159" t="inlineStr">
        <is>
          <t>A 46189-2022</t>
        </is>
      </c>
      <c r="B159" t="inlineStr">
        <is>
          <t>avverkningsanmälan</t>
        </is>
      </c>
      <c r="C159" t="inlineStr">
        <is>
          <t>Avverkning för annat ändamål</t>
        </is>
      </c>
      <c r="D159" s="1" t="n">
        <v>44847</v>
      </c>
      <c r="E159" s="1" t="n">
        <v>46281</v>
      </c>
      <c r="F159" t="inlineStr">
        <is>
          <t>GOTLANDS LÄN</t>
        </is>
      </c>
      <c r="G159" t="inlineStr">
        <is>
          <t>GOTLAND</t>
        </is>
      </c>
      <c r="I159" t="n">
        <v>0.4</v>
      </c>
      <c r="J159" t="n">
        <v>0</v>
      </c>
      <c r="K159" t="n">
        <v>0</v>
      </c>
      <c r="L159" t="n">
        <v>1</v>
      </c>
      <c r="M159" t="n">
        <v>0</v>
      </c>
      <c r="N159" t="n">
        <v>0</v>
      </c>
      <c r="O159" t="n">
        <v>0</v>
      </c>
      <c r="P159" t="n">
        <v>0</v>
      </c>
      <c r="Q159" t="n">
        <v>1</v>
      </c>
      <c r="R159" t="n">
        <v>0</v>
      </c>
      <c r="S159" t="n">
        <v>1</v>
      </c>
      <c r="T159" t="n">
        <v>1</v>
      </c>
      <c r="U159" t="n">
        <v>1</v>
      </c>
      <c r="V159" s="2" t="inlineStr">
        <is>
          <t>Stjälkröksvamp</t>
        </is>
      </c>
      <c r="W159">
        <f>HYPERLINK("https://klasma.github.io/Logging_0980/artfynd/A 46189-2022 artfynd.xlsx", "A 46189-2022")</f>
        <v/>
      </c>
      <c r="X159">
        <f>HYPERLINK("https://klasma.github.io/Logging_0980/kartor/A 46189-2022 karta.png", "A 46189-2022")</f>
        <v/>
      </c>
      <c r="Y159">
        <f>HYPERLINK("https://klasma.github.io/Logging_0980/kartor_geotiff/A 46189-2022 georefererad karta.tif", "A 46189-2022")</f>
        <v/>
      </c>
      <c r="AA159">
        <f>HYPERLINK("https://klasma.github.io/Logging_0980/klagomål/A 46189-2022 FSC-klagomål.docx", "A 46189-2022")</f>
        <v/>
      </c>
      <c r="AB159">
        <f>HYPERLINK("https://klasma.github.io/Logging_0980/klagomålsmail/A 46189-2022 FSC-klagomål mail.docx", "A 46189-2022")</f>
        <v/>
      </c>
      <c r="AC159">
        <f>HYPERLINK("https://klasma.github.io/Logging_0980/tillsyn/A 46189-2022 tillsynsbegäran.docx", "A 46189-2022")</f>
        <v/>
      </c>
      <c r="AD159">
        <f>HYPERLINK("https://klasma.github.io/Logging_0980/tillsynsmail/A 46189-2022 tillsynsbegäran mail.docx", "A 46189-2022")</f>
        <v/>
      </c>
    </row>
    <row r="160" ht="15" customHeight="1">
      <c r="A160" t="inlineStr">
        <is>
          <t>A 1066-2024</t>
        </is>
      </c>
      <c r="B160" t="inlineStr">
        <is>
          <t>avverkningsanmälan</t>
        </is>
      </c>
      <c r="C160" t="inlineStr">
        <is>
          <t>Föryngringsavverkning</t>
        </is>
      </c>
      <c r="D160" s="1" t="n">
        <v>45302</v>
      </c>
      <c r="E160" s="1" t="n">
        <v>46281</v>
      </c>
      <c r="F160" t="inlineStr">
        <is>
          <t>GOTLANDS LÄN</t>
        </is>
      </c>
      <c r="G160" t="inlineStr">
        <is>
          <t>GOTLAND</t>
        </is>
      </c>
      <c r="I160" t="n">
        <v>1.4</v>
      </c>
      <c r="J160" t="n">
        <v>0</v>
      </c>
      <c r="K160" t="n">
        <v>0</v>
      </c>
      <c r="L160" t="n">
        <v>1</v>
      </c>
      <c r="M160" t="n">
        <v>0</v>
      </c>
      <c r="N160" t="n">
        <v>0</v>
      </c>
      <c r="O160" t="n">
        <v>0</v>
      </c>
      <c r="P160" t="n">
        <v>0</v>
      </c>
      <c r="Q160" t="n">
        <v>1</v>
      </c>
      <c r="R160" t="n">
        <v>0</v>
      </c>
      <c r="S160" t="n">
        <v>1</v>
      </c>
      <c r="T160" t="n">
        <v>1</v>
      </c>
      <c r="U160" t="n">
        <v>1</v>
      </c>
      <c r="V160" s="2" t="inlineStr">
        <is>
          <t>Svinrot</t>
        </is>
      </c>
      <c r="W160">
        <f>HYPERLINK("https://klasma.github.io/Logging_0980/artfynd/A 1066-2024 artfynd.xlsx", "A 1066-2024")</f>
        <v/>
      </c>
      <c r="X160">
        <f>HYPERLINK("https://klasma.github.io/Logging_0980/kartor/A 1066-2024 karta.png", "A 1066-2024")</f>
        <v/>
      </c>
      <c r="Y160">
        <f>HYPERLINK("https://klasma.github.io/Logging_0980/kartor_geotiff/A 1066-2024 georefererad karta.tif", "A 1066-2024")</f>
        <v/>
      </c>
      <c r="AA160">
        <f>HYPERLINK("https://klasma.github.io/Logging_0980/klagomål/A 1066-2024 FSC-klagomål.docx", "A 1066-2024")</f>
        <v/>
      </c>
      <c r="AB160">
        <f>HYPERLINK("https://klasma.github.io/Logging_0980/klagomålsmail/A 1066-2024 FSC-klagomål mail.docx", "A 1066-2024")</f>
        <v/>
      </c>
      <c r="AC160">
        <f>HYPERLINK("https://klasma.github.io/Logging_0980/tillsyn/A 1066-2024 tillsynsbegäran.docx", "A 1066-2024")</f>
        <v/>
      </c>
      <c r="AD160">
        <f>HYPERLINK("https://klasma.github.io/Logging_0980/tillsynsmail/A 1066-2024 tillsynsbegäran mail.docx", "A 1066-2024")</f>
        <v/>
      </c>
    </row>
    <row r="161" ht="15" customHeight="1">
      <c r="A161" t="inlineStr">
        <is>
          <t>A 10218-2025</t>
        </is>
      </c>
      <c r="B161" t="inlineStr">
        <is>
          <t>avverkningsanmälan</t>
        </is>
      </c>
      <c r="C161" t="inlineStr">
        <is>
          <t>Föryngringsavverkning</t>
        </is>
      </c>
      <c r="D161" s="1" t="n">
        <v>45720</v>
      </c>
      <c r="E161" s="1" t="n">
        <v>46281</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30489-2025</t>
        </is>
      </c>
      <c r="B162" t="inlineStr">
        <is>
          <t>avverkningsanmälan</t>
        </is>
      </c>
      <c r="C162" t="inlineStr">
        <is>
          <t>Föryngringsavverkning</t>
        </is>
      </c>
      <c r="D162" s="1" t="n">
        <v>45830</v>
      </c>
      <c r="E162" s="1" t="n">
        <v>46281</v>
      </c>
      <c r="F162" t="inlineStr">
        <is>
          <t>GOTLANDS LÄN</t>
        </is>
      </c>
      <c r="G162" t="inlineStr">
        <is>
          <t>GOTLAND</t>
        </is>
      </c>
      <c r="I162" t="n">
        <v>4.6</v>
      </c>
      <c r="J162" t="n">
        <v>0</v>
      </c>
      <c r="K162" t="n">
        <v>0</v>
      </c>
      <c r="L162" t="n">
        <v>1</v>
      </c>
      <c r="M162" t="n">
        <v>0</v>
      </c>
      <c r="N162" t="n">
        <v>0</v>
      </c>
      <c r="O162" t="n">
        <v>0</v>
      </c>
      <c r="P162" t="n">
        <v>0</v>
      </c>
      <c r="Q162" t="n">
        <v>1</v>
      </c>
      <c r="R162" t="n">
        <v>0</v>
      </c>
      <c r="S162" t="n">
        <v>1</v>
      </c>
      <c r="T162" t="n">
        <v>1</v>
      </c>
      <c r="U162" t="n">
        <v>0</v>
      </c>
      <c r="V162" s="2" t="inlineStr">
        <is>
          <t>Skarp dropptaggsvamp</t>
        </is>
      </c>
      <c r="W162">
        <f>HYPERLINK("https://klasma.github.io/Logging_0980/artfynd/A 30489-2025 artfynd.xlsx", "A 30489-2025")</f>
        <v/>
      </c>
      <c r="X162">
        <f>HYPERLINK("https://klasma.github.io/Logging_0980/kartor/A 30489-2025 karta.png", "A 30489-2025")</f>
        <v/>
      </c>
      <c r="Y162">
        <f>HYPERLINK("https://klasma.github.io/Logging_0980/kartor_geotiff/A 30489-2025 georefererad karta.tif", "A 30489-2025")</f>
        <v/>
      </c>
      <c r="AA162">
        <f>HYPERLINK("https://klasma.github.io/Logging_0980/klagomål/A 30489-2025 FSC-klagomål.docx", "A 30489-2025")</f>
        <v/>
      </c>
      <c r="AB162">
        <f>HYPERLINK("https://klasma.github.io/Logging_0980/klagomålsmail/A 30489-2025 FSC-klagomål mail.docx", "A 30489-2025")</f>
        <v/>
      </c>
      <c r="AC162">
        <f>HYPERLINK("https://klasma.github.io/Logging_0980/tillsyn/A 30489-2025 tillsynsbegäran.docx", "A 30489-2025")</f>
        <v/>
      </c>
      <c r="AD162">
        <f>HYPERLINK("https://klasma.github.io/Logging_0980/tillsynsmail/A 30489-2025 tillsynsbegäran mail.docx", "A 30489-2025")</f>
        <v/>
      </c>
    </row>
    <row r="163" ht="15" customHeight="1">
      <c r="A163" t="inlineStr">
        <is>
          <t>A 27593-2023</t>
        </is>
      </c>
      <c r="B163" t="inlineStr">
        <is>
          <t>avverkningsanmälan</t>
        </is>
      </c>
      <c r="C163" t="inlineStr">
        <is>
          <t>Avverkning för annat ändamål</t>
        </is>
      </c>
      <c r="D163" s="1" t="n">
        <v>45097</v>
      </c>
      <c r="E163" s="1" t="n">
        <v>46281</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13482-2026</t>
        </is>
      </c>
      <c r="B164" t="inlineStr">
        <is>
          <t>avverkningsanmälan</t>
        </is>
      </c>
      <c r="C164" t="inlineStr">
        <is>
          <t>Föryngringsavverkning</t>
        </is>
      </c>
      <c r="D164" s="1" t="n">
        <v>46094</v>
      </c>
      <c r="E164" s="1" t="n">
        <v>46281</v>
      </c>
      <c r="F164" t="inlineStr">
        <is>
          <t>GOTLANDS LÄN</t>
        </is>
      </c>
      <c r="G164" t="inlineStr">
        <is>
          <t>GOTLAND</t>
        </is>
      </c>
      <c r="I164" t="n">
        <v>1.7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HYPERLINK("https://klasma.github.io/Logging_0980/artfynd/A 13482-2026 artfynd.xlsx", "A 13482-2026")</f>
        <v/>
      </c>
      <c r="X164">
        <f>HYPERLINK("https://klasma.github.io/Logging_0980/kartor/A 13482-2026 karta.png", "A 13482-2026")</f>
        <v/>
      </c>
      <c r="Y164">
        <f>HYPERLINK("https://klasma.github.io/Logging_0980/kartor_geotiff/A 13482-2026 georefererad karta.tif", "A 13482-2026")</f>
        <v/>
      </c>
      <c r="AA164">
        <f>HYPERLINK("https://klasma.github.io/Logging_0980/klagomål/A 13482-2026 FSC-klagomål.docx", "A 13482-2026")</f>
        <v/>
      </c>
      <c r="AB164">
        <f>HYPERLINK("https://klasma.github.io/Logging_0980/klagomålsmail/A 13482-2026 FSC-klagomål mail.docx", "A 13482-2026")</f>
        <v/>
      </c>
      <c r="AC164">
        <f>HYPERLINK("https://klasma.github.io/Logging_0980/tillsyn/A 13482-2026 tillsynsbegäran.docx", "A 13482-2026")</f>
        <v/>
      </c>
      <c r="AD164">
        <f>HYPERLINK("https://klasma.github.io/Logging_0980/tillsynsmail/A 13482-2026 tillsynsbegäran mail.docx", "A 13482-2026")</f>
        <v/>
      </c>
      <c r="AE164">
        <f>HYPERLINK("https://klasma.github.io/Logging_0980/fåglar/A 13482-2026 prioriterade fågelarter.docx", "A 13482-2026")</f>
        <v/>
      </c>
    </row>
    <row r="165" ht="15" customHeight="1">
      <c r="A165" t="inlineStr">
        <is>
          <t>A 25977-2024</t>
        </is>
      </c>
      <c r="B165" t="inlineStr">
        <is>
          <t>avverkningsanmälan</t>
        </is>
      </c>
      <c r="C165" t="inlineStr">
        <is>
          <t>Föryngringsavverkning</t>
        </is>
      </c>
      <c r="D165" s="1" t="n">
        <v>45467</v>
      </c>
      <c r="E165" s="1" t="n">
        <v>46281</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4662-2026</t>
        </is>
      </c>
      <c r="B166" t="inlineStr">
        <is>
          <t>avverkningsanmälan</t>
        </is>
      </c>
      <c r="C166" t="inlineStr">
        <is>
          <t>Föryngringsavverkning</t>
        </is>
      </c>
      <c r="D166" s="1" t="n">
        <v>46048</v>
      </c>
      <c r="E166" s="1" t="n">
        <v>46281</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4568-2025</t>
        </is>
      </c>
      <c r="B167" t="inlineStr">
        <is>
          <t>avverkningsanmälan</t>
        </is>
      </c>
      <c r="C167" t="inlineStr">
        <is>
          <t>Föryngringsavverkning</t>
        </is>
      </c>
      <c r="D167" s="1" t="n">
        <v>45687</v>
      </c>
      <c r="E167" s="1" t="n">
        <v>46281</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46281</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17854-2026</t>
        </is>
      </c>
      <c r="B169" t="inlineStr">
        <is>
          <t>avverkningsanmälan</t>
        </is>
      </c>
      <c r="C169" t="inlineStr">
        <is>
          <t>Föryngringsavverkning</t>
        </is>
      </c>
      <c r="D169" s="1" t="n">
        <v>46121</v>
      </c>
      <c r="E169" s="1" t="n">
        <v>46281</v>
      </c>
      <c r="F169" t="inlineStr">
        <is>
          <t>GOTLANDS LÄN</t>
        </is>
      </c>
      <c r="G169" t="inlineStr">
        <is>
          <t>GOTLAND</t>
        </is>
      </c>
      <c r="I169" t="n">
        <v>6.6</v>
      </c>
      <c r="J169" t="n">
        <v>0</v>
      </c>
      <c r="K169" t="n">
        <v>0</v>
      </c>
      <c r="L169" t="n">
        <v>1</v>
      </c>
      <c r="M169" t="n">
        <v>0</v>
      </c>
      <c r="N169" t="n">
        <v>0</v>
      </c>
      <c r="O169" t="n">
        <v>0</v>
      </c>
      <c r="P169" t="n">
        <v>0</v>
      </c>
      <c r="Q169" t="n">
        <v>1</v>
      </c>
      <c r="R169" t="n">
        <v>0</v>
      </c>
      <c r="S169" t="n">
        <v>1</v>
      </c>
      <c r="T169" t="n">
        <v>1</v>
      </c>
      <c r="U169" t="n">
        <v>0</v>
      </c>
      <c r="V169" s="2" t="inlineStr">
        <is>
          <t>Blå slemspindling</t>
        </is>
      </c>
      <c r="W169">
        <f>HYPERLINK("https://klasma.github.io/Logging_0980/artfynd/A 17854-2026 artfynd.xlsx", "A 17854-2026")</f>
        <v/>
      </c>
      <c r="X169">
        <f>HYPERLINK("https://klasma.github.io/Logging_0980/kartor/A 17854-2026 karta.png", "A 17854-2026")</f>
        <v/>
      </c>
      <c r="Y169">
        <f>HYPERLINK("https://klasma.github.io/Logging_0980/kartor_geotiff/A 17854-2026 georefererad karta.tif", "A 17854-2026")</f>
        <v/>
      </c>
      <c r="AA169">
        <f>HYPERLINK("https://klasma.github.io/Logging_0980/klagomål/A 17854-2026 FSC-klagomål.docx", "A 17854-2026")</f>
        <v/>
      </c>
      <c r="AB169">
        <f>HYPERLINK("https://klasma.github.io/Logging_0980/klagomålsmail/A 17854-2026 FSC-klagomål mail.docx", "A 17854-2026")</f>
        <v/>
      </c>
      <c r="AC169">
        <f>HYPERLINK("https://klasma.github.io/Logging_0980/tillsyn/A 17854-2026 tillsynsbegäran.docx", "A 17854-2026")</f>
        <v/>
      </c>
      <c r="AD169">
        <f>HYPERLINK("https://klasma.github.io/Logging_0980/tillsynsmail/A 17854-2026 tillsynsbegäran mail.docx", "A 17854-2026")</f>
        <v/>
      </c>
    </row>
    <row r="170" ht="15" customHeight="1">
      <c r="A170" t="inlineStr">
        <is>
          <t>A 29809-2022</t>
        </is>
      </c>
      <c r="B170" t="inlineStr">
        <is>
          <t>avverkningsanmälan</t>
        </is>
      </c>
      <c r="C170" t="inlineStr">
        <is>
          <t>Föryngringsavverkning</t>
        </is>
      </c>
      <c r="D170" s="1" t="n">
        <v>44755</v>
      </c>
      <c r="E170" s="1" t="n">
        <v>46281</v>
      </c>
      <c r="F170" t="inlineStr">
        <is>
          <t>GOTLANDS LÄN</t>
        </is>
      </c>
      <c r="G170" t="inlineStr">
        <is>
          <t>GOTLAND</t>
        </is>
      </c>
      <c r="I170" t="n">
        <v>11.5</v>
      </c>
      <c r="J170" t="n">
        <v>1</v>
      </c>
      <c r="K170" t="n">
        <v>0</v>
      </c>
      <c r="L170" t="n">
        <v>1</v>
      </c>
      <c r="M170" t="n">
        <v>0</v>
      </c>
      <c r="N170" t="n">
        <v>0</v>
      </c>
      <c r="O170" t="n">
        <v>0</v>
      </c>
      <c r="P170" t="n">
        <v>0</v>
      </c>
      <c r="Q170" t="n">
        <v>1</v>
      </c>
      <c r="R170" t="n">
        <v>0</v>
      </c>
      <c r="S170" t="n">
        <v>1</v>
      </c>
      <c r="T170" t="n">
        <v>1</v>
      </c>
      <c r="U170" t="n">
        <v>1</v>
      </c>
      <c r="V170" s="2" t="inlineStr">
        <is>
          <t>Dårgräsfjäril</t>
        </is>
      </c>
      <c r="W170">
        <f>HYPERLINK("https://klasma.github.io/Logging_0980/artfynd/A 29809-2022 artfynd.xlsx", "A 29809-2022")</f>
        <v/>
      </c>
      <c r="X170">
        <f>HYPERLINK("https://klasma.github.io/Logging_0980/kartor/A 29809-2022 karta.png", "A 29809-2022")</f>
        <v/>
      </c>
      <c r="Y170">
        <f>HYPERLINK("https://klasma.github.io/Logging_0980/kartor_geotiff/A 29809-2022 georefererad karta.tif", "A 29809-2022")</f>
        <v/>
      </c>
      <c r="AA170">
        <f>HYPERLINK("https://klasma.github.io/Logging_0980/klagomål/A 29809-2022 FSC-klagomål.docx", "A 29809-2022")</f>
        <v/>
      </c>
      <c r="AB170">
        <f>HYPERLINK("https://klasma.github.io/Logging_0980/klagomålsmail/A 29809-2022 FSC-klagomål mail.docx", "A 29809-2022")</f>
        <v/>
      </c>
      <c r="AC170">
        <f>HYPERLINK("https://klasma.github.io/Logging_0980/tillsyn/A 29809-2022 tillsynsbegäran.docx", "A 29809-2022")</f>
        <v/>
      </c>
      <c r="AD170">
        <f>HYPERLINK("https://klasma.github.io/Logging_0980/tillsynsmail/A 29809-2022 tillsynsbegäran mail.docx", "A 29809-2022")</f>
        <v/>
      </c>
    </row>
    <row r="171" ht="15" customHeight="1">
      <c r="A171" t="inlineStr">
        <is>
          <t>A 15637-2024</t>
        </is>
      </c>
      <c r="B171" t="inlineStr">
        <is>
          <t>avverkningsanmälan</t>
        </is>
      </c>
      <c r="C171" t="inlineStr">
        <is>
          <t>Föryngringsavverkning</t>
        </is>
      </c>
      <c r="D171" s="1" t="n">
        <v>45403</v>
      </c>
      <c r="E171" s="1" t="n">
        <v>46281</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7042-2023</t>
        </is>
      </c>
      <c r="B172" t="inlineStr">
        <is>
          <t>avverkningsanmälan</t>
        </is>
      </c>
      <c r="C172" t="inlineStr">
        <is>
          <t>Föryngringsavverkning</t>
        </is>
      </c>
      <c r="D172" s="1" t="n">
        <v>44968</v>
      </c>
      <c r="E172" s="1" t="n">
        <v>46281</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63229-2021</t>
        </is>
      </c>
      <c r="B173" t="inlineStr">
        <is>
          <t>avverkningsanmälan</t>
        </is>
      </c>
      <c r="C173" t="inlineStr">
        <is>
          <t>Föryngringsavverkning</t>
        </is>
      </c>
      <c r="D173" s="1" t="n">
        <v>44508</v>
      </c>
      <c r="E173" s="1" t="n">
        <v>46281</v>
      </c>
      <c r="F173" t="inlineStr">
        <is>
          <t>GOTLANDS LÄN</t>
        </is>
      </c>
      <c r="G173" t="inlineStr">
        <is>
          <t>GOTLAND</t>
        </is>
      </c>
      <c r="H173" t="inlineStr">
        <is>
          <t>Kyrkan</t>
        </is>
      </c>
      <c r="I173" t="n">
        <v>3.8</v>
      </c>
      <c r="J173" t="n">
        <v>0</v>
      </c>
      <c r="K173" t="n">
        <v>0</v>
      </c>
      <c r="L173" t="n">
        <v>1</v>
      </c>
      <c r="M173" t="n">
        <v>0</v>
      </c>
      <c r="N173" t="n">
        <v>0</v>
      </c>
      <c r="O173" t="n">
        <v>0</v>
      </c>
      <c r="P173" t="n">
        <v>0</v>
      </c>
      <c r="Q173" t="n">
        <v>1</v>
      </c>
      <c r="R173" t="n">
        <v>0</v>
      </c>
      <c r="S173" t="n">
        <v>1</v>
      </c>
      <c r="T173" t="n">
        <v>1</v>
      </c>
      <c r="U173" t="n">
        <v>0</v>
      </c>
      <c r="V173" s="2" t="inlineStr">
        <is>
          <t>Backtimjan</t>
        </is>
      </c>
      <c r="W173">
        <f>HYPERLINK("https://klasma.github.io/Logging_0980/artfynd/A 63229-2021 artfynd.xlsx", "A 63229-2021")</f>
        <v/>
      </c>
      <c r="X173">
        <f>HYPERLINK("https://klasma.github.io/Logging_0980/kartor/A 63229-2021 karta.png", "A 63229-2021")</f>
        <v/>
      </c>
      <c r="Y173">
        <f>HYPERLINK("https://klasma.github.io/Logging_0980/kartor_geotiff/A 63229-2021 georefererad karta.tif", "A 63229-2021")</f>
        <v/>
      </c>
      <c r="AA173">
        <f>HYPERLINK("https://klasma.github.io/Logging_0980/klagomål/A 63229-2021 FSC-klagomål.docx", "A 63229-2021")</f>
        <v/>
      </c>
      <c r="AB173">
        <f>HYPERLINK("https://klasma.github.io/Logging_0980/klagomålsmail/A 63229-2021 FSC-klagomål mail.docx", "A 63229-2021")</f>
        <v/>
      </c>
      <c r="AC173">
        <f>HYPERLINK("https://klasma.github.io/Logging_0980/tillsyn/A 63229-2021 tillsynsbegäran.docx", "A 63229-2021")</f>
        <v/>
      </c>
      <c r="AD173">
        <f>HYPERLINK("https://klasma.github.io/Logging_0980/tillsynsmail/A 63229-2021 tillsynsbegäran mail.docx", "A 63229-2021")</f>
        <v/>
      </c>
    </row>
    <row r="174" ht="15" customHeight="1">
      <c r="A174" t="inlineStr">
        <is>
          <t>A 22782-2023</t>
        </is>
      </c>
      <c r="B174" t="inlineStr">
        <is>
          <t>avverkningsanmälan</t>
        </is>
      </c>
      <c r="C174" t="inlineStr">
        <is>
          <t>Föryngringsavverkning</t>
        </is>
      </c>
      <c r="D174" s="1" t="n">
        <v>45072</v>
      </c>
      <c r="E174" s="1" t="n">
        <v>46281</v>
      </c>
      <c r="F174" t="inlineStr">
        <is>
          <t>GOTLANDS LÄN</t>
        </is>
      </c>
      <c r="G174" t="inlineStr">
        <is>
          <t>GOTLAND</t>
        </is>
      </c>
      <c r="H174" t="inlineStr">
        <is>
          <t>Kyrkan</t>
        </is>
      </c>
      <c r="I174" t="n">
        <v>3.1</v>
      </c>
      <c r="J174" t="n">
        <v>1</v>
      </c>
      <c r="K174" t="n">
        <v>0</v>
      </c>
      <c r="L174" t="n">
        <v>0</v>
      </c>
      <c r="M174" t="n">
        <v>0</v>
      </c>
      <c r="N174" t="n">
        <v>0</v>
      </c>
      <c r="O174" t="n">
        <v>0</v>
      </c>
      <c r="P174" t="n">
        <v>0</v>
      </c>
      <c r="Q174" t="n">
        <v>0</v>
      </c>
      <c r="R174" t="n">
        <v>0</v>
      </c>
      <c r="S174" t="n">
        <v>1</v>
      </c>
      <c r="T174" t="n">
        <v>1</v>
      </c>
      <c r="U174" t="n">
        <v>1</v>
      </c>
      <c r="V174" s="2" t="inlineStr">
        <is>
          <t>Ängsnycklar × skogsnycklar</t>
        </is>
      </c>
      <c r="W174">
        <f>HYPERLINK("https://klasma.github.io/Logging_0980/artfynd/A 22782-2023 artfynd.xlsx", "A 22782-2023")</f>
        <v/>
      </c>
      <c r="X174">
        <f>HYPERLINK("https://klasma.github.io/Logging_0980/kartor/A 22782-2023 karta.png", "A 22782-2023")</f>
        <v/>
      </c>
      <c r="Y174">
        <f>HYPERLINK("https://klasma.github.io/Logging_0980/kartor_geotiff/A 22782-2023 georefererad karta.tif", "A 22782-2023")</f>
        <v/>
      </c>
      <c r="AA174">
        <f>HYPERLINK("https://klasma.github.io/Logging_0980/klagomål/A 22782-2023 FSC-klagomål.docx", "A 22782-2023")</f>
        <v/>
      </c>
      <c r="AB174">
        <f>HYPERLINK("https://klasma.github.io/Logging_0980/klagomålsmail/A 22782-2023 FSC-klagomål mail.docx", "A 22782-2023")</f>
        <v/>
      </c>
      <c r="AC174">
        <f>HYPERLINK("https://klasma.github.io/Logging_0980/tillsyn/A 22782-2023 tillsynsbegäran.docx", "A 22782-2023")</f>
        <v/>
      </c>
      <c r="AD174">
        <f>HYPERLINK("https://klasma.github.io/Logging_0980/tillsynsmail/A 22782-2023 tillsynsbegäran mail.docx", "A 22782-2023")</f>
        <v/>
      </c>
    </row>
    <row r="175" ht="15" customHeight="1">
      <c r="A175" t="inlineStr">
        <is>
          <t>A 27602-2023</t>
        </is>
      </c>
      <c r="B175" t="inlineStr">
        <is>
          <t>avverkningsanmälan</t>
        </is>
      </c>
      <c r="C175" t="inlineStr">
        <is>
          <t>Avverkning för annat ändamål</t>
        </is>
      </c>
      <c r="D175" s="1" t="n">
        <v>45097</v>
      </c>
      <c r="E175" s="1" t="n">
        <v>46281</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10995-2023</t>
        </is>
      </c>
      <c r="B176" t="inlineStr">
        <is>
          <t>avverkningsanmälan</t>
        </is>
      </c>
      <c r="C176" t="inlineStr">
        <is>
          <t>Föryngringsavverkning</t>
        </is>
      </c>
      <c r="D176" s="1" t="n">
        <v>44986</v>
      </c>
      <c r="E176" s="1" t="n">
        <v>46281</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46281</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46281</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46281</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22883-2024</t>
        </is>
      </c>
      <c r="B180" t="inlineStr">
        <is>
          <t>avverkningsanmälan</t>
        </is>
      </c>
      <c r="C180" t="inlineStr">
        <is>
          <t>Föryngringsavverkning</t>
        </is>
      </c>
      <c r="D180" s="1" t="n">
        <v>45448</v>
      </c>
      <c r="E180" s="1" t="n">
        <v>46281</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69112-2021</t>
        </is>
      </c>
      <c r="B181" t="inlineStr">
        <is>
          <t>avverkningsanmälan</t>
        </is>
      </c>
      <c r="C181" t="inlineStr">
        <is>
          <t>Avverkning för annat ändamål</t>
        </is>
      </c>
      <c r="D181" s="1" t="n">
        <v>44530</v>
      </c>
      <c r="E181" s="1" t="n">
        <v>46281</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11982-2026</t>
        </is>
      </c>
      <c r="B182" t="inlineStr">
        <is>
          <t>avverkningsanmälan</t>
        </is>
      </c>
      <c r="C182" t="inlineStr">
        <is>
          <t>Föryngringsavverkning</t>
        </is>
      </c>
      <c r="D182" s="1" t="n">
        <v>46085</v>
      </c>
      <c r="E182" s="1" t="n">
        <v>46281</v>
      </c>
      <c r="F182" t="inlineStr">
        <is>
          <t>GOTLANDS LÄN</t>
        </is>
      </c>
      <c r="G182" t="inlineStr">
        <is>
          <t>GOTLAND</t>
        </is>
      </c>
      <c r="I182" t="n">
        <v>2.2</v>
      </c>
      <c r="J182" t="n">
        <v>0</v>
      </c>
      <c r="K182" t="n">
        <v>0</v>
      </c>
      <c r="L182" t="n">
        <v>1</v>
      </c>
      <c r="M182" t="n">
        <v>0</v>
      </c>
      <c r="N182" t="n">
        <v>0</v>
      </c>
      <c r="O182" t="n">
        <v>0</v>
      </c>
      <c r="P182" t="n">
        <v>0</v>
      </c>
      <c r="Q182" t="n">
        <v>1</v>
      </c>
      <c r="R182" t="n">
        <v>0</v>
      </c>
      <c r="S182" t="n">
        <v>1</v>
      </c>
      <c r="T182" t="n">
        <v>1</v>
      </c>
      <c r="U182" t="n">
        <v>0</v>
      </c>
      <c r="V182" s="2" t="inlineStr">
        <is>
          <t>Småtörel</t>
        </is>
      </c>
      <c r="W182">
        <f>HYPERLINK("https://klasma.github.io/Logging_0980/artfynd/A 11982-2026 artfynd.xlsx", "A 11982-2026")</f>
        <v/>
      </c>
      <c r="X182">
        <f>HYPERLINK("https://klasma.github.io/Logging_0980/kartor/A 11982-2026 karta.png", "A 11982-2026")</f>
        <v/>
      </c>
      <c r="Y182">
        <f>HYPERLINK("https://klasma.github.io/Logging_0980/kartor_geotiff/A 11982-2026 georefererad karta.tif", "A 11982-2026")</f>
        <v/>
      </c>
      <c r="AA182">
        <f>HYPERLINK("https://klasma.github.io/Logging_0980/klagomål/A 11982-2026 FSC-klagomål.docx", "A 11982-2026")</f>
        <v/>
      </c>
      <c r="AB182">
        <f>HYPERLINK("https://klasma.github.io/Logging_0980/klagomålsmail/A 11982-2026 FSC-klagomål mail.docx", "A 11982-2026")</f>
        <v/>
      </c>
      <c r="AC182">
        <f>HYPERLINK("https://klasma.github.io/Logging_0980/tillsyn/A 11982-2026 tillsynsbegäran.docx", "A 11982-2026")</f>
        <v/>
      </c>
      <c r="AD182">
        <f>HYPERLINK("https://klasma.github.io/Logging_0980/tillsynsmail/A 11982-2026 tillsynsbegäran mail.docx", "A 11982-2026")</f>
        <v/>
      </c>
    </row>
    <row r="183" ht="15" customHeight="1">
      <c r="A183" t="inlineStr">
        <is>
          <t>A 447-2023</t>
        </is>
      </c>
      <c r="B183" t="inlineStr">
        <is>
          <t>avverkningsanmälan</t>
        </is>
      </c>
      <c r="C183" t="inlineStr">
        <is>
          <t>Föryngringsavverkning</t>
        </is>
      </c>
      <c r="D183" s="1" t="n">
        <v>44929</v>
      </c>
      <c r="E183" s="1" t="n">
        <v>46281</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947-2023</t>
        </is>
      </c>
      <c r="B184" t="inlineStr">
        <is>
          <t>avverkningsanmälan</t>
        </is>
      </c>
      <c r="C184" t="inlineStr">
        <is>
          <t>Föryngringsavverkning</t>
        </is>
      </c>
      <c r="D184" s="1" t="n">
        <v>44934</v>
      </c>
      <c r="E184" s="1" t="n">
        <v>46281</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46281</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t="n">
        <v>1</v>
      </c>
      <c r="V185" s="2" t="inlineStr">
        <is>
          <t>Åkerranunkel</t>
        </is>
      </c>
      <c r="W185">
        <f>HYPERLINK("https://klasma.github.io/Logging_0980/artfynd/A 49304-2024 artfynd.xlsx", "A 49304-2024")</f>
        <v/>
      </c>
      <c r="X185">
        <f>HYPERLINK("https://klasma.github.io/Logging_0980/kartor/A 49304-2024 karta.png", "A 49304-2024")</f>
        <v/>
      </c>
      <c r="Y185">
        <f>HYPERLINK("https://klasma.github.io/Logging_0980/kartor_geotiff/A 49304-2024 georefererad karta.tif", "A 49304-2024")</f>
        <v/>
      </c>
      <c r="AA185">
        <f>HYPERLINK("https://klasma.github.io/Logging_0980/klagomål/A 49304-2024 FSC-klagomål.docx", "A 49304-2024")</f>
        <v/>
      </c>
      <c r="AB185">
        <f>HYPERLINK("https://klasma.github.io/Logging_0980/klagomålsmail/A 49304-2024 FSC-klagomål mail.docx", "A 49304-2024")</f>
        <v/>
      </c>
      <c r="AC185">
        <f>HYPERLINK("https://klasma.github.io/Logging_0980/tillsyn/A 49304-2024 tillsynsbegäran.docx", "A 49304-2024")</f>
        <v/>
      </c>
      <c r="AD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46281</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t="n">
        <v>1</v>
      </c>
      <c r="V186" s="2" t="inlineStr">
        <is>
          <t>Källnate</t>
        </is>
      </c>
      <c r="W186">
        <f>HYPERLINK("https://klasma.github.io/Logging_0980/artfynd/A 46545-2024 artfynd.xlsx", "A 46545-2024")</f>
        <v/>
      </c>
      <c r="X186">
        <f>HYPERLINK("https://klasma.github.io/Logging_0980/kartor/A 46545-2024 karta.png", "A 46545-2024")</f>
        <v/>
      </c>
      <c r="Y186">
        <f>HYPERLINK("https://klasma.github.io/Logging_0980/kartor_geotiff/A 46545-2024 georefererad karta.tif", "A 46545-2024")</f>
        <v/>
      </c>
      <c r="AA186">
        <f>HYPERLINK("https://klasma.github.io/Logging_0980/klagomål/A 46545-2024 FSC-klagomål.docx", "A 46545-2024")</f>
        <v/>
      </c>
      <c r="AB186">
        <f>HYPERLINK("https://klasma.github.io/Logging_0980/klagomålsmail/A 46545-2024 FSC-klagomål mail.docx", "A 46545-2024")</f>
        <v/>
      </c>
      <c r="AC186">
        <f>HYPERLINK("https://klasma.github.io/Logging_0980/tillsyn/A 46545-2024 tillsynsbegäran.docx", "A 46545-2024")</f>
        <v/>
      </c>
      <c r="AD186">
        <f>HYPERLINK("https://klasma.github.io/Logging_0980/tillsynsmail/A 46545-2024 tillsynsbegäran mail.docx", "A 46545-2024")</f>
        <v/>
      </c>
    </row>
    <row r="187" ht="15" customHeight="1">
      <c r="A187" t="inlineStr">
        <is>
          <t>A 62915-2021</t>
        </is>
      </c>
      <c r="B187" t="inlineStr">
        <is>
          <t>avverkningsanmälan</t>
        </is>
      </c>
      <c r="C187" t="inlineStr">
        <is>
          <t>Föryngringsavverkning</t>
        </is>
      </c>
      <c r="D187" s="1" t="n">
        <v>44504</v>
      </c>
      <c r="E187" s="1" t="n">
        <v>46281</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27343-2026</t>
        </is>
      </c>
      <c r="B188" t="inlineStr">
        <is>
          <t>avverkningsanmälan</t>
        </is>
      </c>
      <c r="C188" t="inlineStr">
        <is>
          <t>Föryngringsavverkning</t>
        </is>
      </c>
      <c r="D188" s="1" t="n">
        <v>46188</v>
      </c>
      <c r="E188" s="1" t="n">
        <v>46281</v>
      </c>
      <c r="F188" t="inlineStr">
        <is>
          <t>GOTLANDS LÄN</t>
        </is>
      </c>
      <c r="G188" t="inlineStr">
        <is>
          <t>GOTLAND</t>
        </is>
      </c>
      <c r="I188" t="n">
        <v>1.1</v>
      </c>
      <c r="J188" t="n">
        <v>1</v>
      </c>
      <c r="K188" t="n">
        <v>1</v>
      </c>
      <c r="L188" t="n">
        <v>0</v>
      </c>
      <c r="M188" t="n">
        <v>0</v>
      </c>
      <c r="N188" t="n">
        <v>0</v>
      </c>
      <c r="O188" t="n">
        <v>0</v>
      </c>
      <c r="P188" t="n">
        <v>0</v>
      </c>
      <c r="Q188" t="n">
        <v>0</v>
      </c>
      <c r="R188" t="n">
        <v>0</v>
      </c>
      <c r="S188" t="n">
        <v>1</v>
      </c>
      <c r="T188" t="n">
        <v>1</v>
      </c>
      <c r="U188" t="n">
        <v>0</v>
      </c>
      <c r="V188" s="2" t="inlineStr">
        <is>
          <t>Skogsknipprot</t>
        </is>
      </c>
      <c r="W188">
        <f>HYPERLINK("https://klasma.github.io/Logging_0980/artfynd/A 27343-2026 artfynd.xlsx", "A 27343-2026")</f>
        <v/>
      </c>
      <c r="X188">
        <f>HYPERLINK("https://klasma.github.io/Logging_0980/kartor/A 27343-2026 karta.png", "A 27343-2026")</f>
        <v/>
      </c>
      <c r="Y188">
        <f>HYPERLINK("https://klasma.github.io/Logging_0980/kartor_geotiff/A 27343-2026 georefererad karta.tif", "A 27343-2026")</f>
        <v/>
      </c>
      <c r="AA188">
        <f>HYPERLINK("https://klasma.github.io/Logging_0980/klagomål/A 27343-2026 FSC-klagomål.docx", "A 27343-2026")</f>
        <v/>
      </c>
      <c r="AB188">
        <f>HYPERLINK("https://klasma.github.io/Logging_0980/klagomålsmail/A 27343-2026 FSC-klagomål mail.docx", "A 27343-2026")</f>
        <v/>
      </c>
      <c r="AC188">
        <f>HYPERLINK("https://klasma.github.io/Logging_0980/tillsyn/A 27343-2026 tillsynsbegäran.docx", "A 27343-2026")</f>
        <v/>
      </c>
      <c r="AD188">
        <f>HYPERLINK("https://klasma.github.io/Logging_0980/tillsynsmail/A 27343-2026 tillsynsbegäran mail.docx", "A 27343-2026")</f>
        <v/>
      </c>
    </row>
    <row r="189" ht="15" customHeight="1">
      <c r="A189" t="inlineStr">
        <is>
          <t>A 1477-2024</t>
        </is>
      </c>
      <c r="B189" t="inlineStr">
        <is>
          <t>avverkningsanmälan</t>
        </is>
      </c>
      <c r="C189" t="inlineStr">
        <is>
          <t>Föryngringsavverkning</t>
        </is>
      </c>
      <c r="D189" s="1" t="n">
        <v>45305</v>
      </c>
      <c r="E189" s="1" t="n">
        <v>46281</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1677-2023</t>
        </is>
      </c>
      <c r="B190" t="inlineStr">
        <is>
          <t>avverkningsanmälan</t>
        </is>
      </c>
      <c r="C190" t="inlineStr">
        <is>
          <t>Föryngringsavverkning</t>
        </is>
      </c>
      <c r="D190" s="1" t="n">
        <v>44938</v>
      </c>
      <c r="E190" s="1" t="n">
        <v>46281</v>
      </c>
      <c r="F190" t="inlineStr">
        <is>
          <t>GOTLANDS LÄN</t>
        </is>
      </c>
      <c r="G190" t="inlineStr">
        <is>
          <t>GOTLAND</t>
        </is>
      </c>
      <c r="I190" t="n">
        <v>1.6</v>
      </c>
      <c r="J190" t="n">
        <v>0</v>
      </c>
      <c r="K190" t="n">
        <v>0</v>
      </c>
      <c r="L190" t="n">
        <v>1</v>
      </c>
      <c r="M190" t="n">
        <v>0</v>
      </c>
      <c r="N190" t="n">
        <v>0</v>
      </c>
      <c r="O190" t="n">
        <v>0</v>
      </c>
      <c r="P190" t="n">
        <v>0</v>
      </c>
      <c r="Q190" t="n">
        <v>1</v>
      </c>
      <c r="R190" t="n">
        <v>0</v>
      </c>
      <c r="S190" t="n">
        <v>1</v>
      </c>
      <c r="T190" t="n">
        <v>1</v>
      </c>
      <c r="U190" t="n">
        <v>0</v>
      </c>
      <c r="V190" s="2" t="inlineStr">
        <is>
          <t>Strandrosettmossa</t>
        </is>
      </c>
      <c r="W190">
        <f>HYPERLINK("https://klasma.github.io/Logging_0980/artfynd/A 1677-2023 artfynd.xlsx", "A 1677-2023")</f>
        <v/>
      </c>
      <c r="X190">
        <f>HYPERLINK("https://klasma.github.io/Logging_0980/kartor/A 1677-2023 karta.png", "A 1677-2023")</f>
        <v/>
      </c>
      <c r="Y190">
        <f>HYPERLINK("https://klasma.github.io/Logging_0980/kartor_geotiff/A 1677-2023 georefererad karta.tif", "A 1677-2023")</f>
        <v/>
      </c>
      <c r="AA190">
        <f>HYPERLINK("https://klasma.github.io/Logging_0980/klagomål/A 1677-2023 FSC-klagomål.docx", "A 1677-2023")</f>
        <v/>
      </c>
      <c r="AB190">
        <f>HYPERLINK("https://klasma.github.io/Logging_0980/klagomålsmail/A 1677-2023 FSC-klagomål mail.docx", "A 1677-2023")</f>
        <v/>
      </c>
      <c r="AC190">
        <f>HYPERLINK("https://klasma.github.io/Logging_0980/tillsyn/A 1677-2023 tillsynsbegäran.docx", "A 1677-2023")</f>
        <v/>
      </c>
      <c r="AD190">
        <f>HYPERLINK("https://klasma.github.io/Logging_0980/tillsynsmail/A 1677-2023 tillsynsbegäran mail.docx", "A 1677-2023")</f>
        <v/>
      </c>
    </row>
    <row r="191" ht="15" customHeight="1">
      <c r="A191" t="inlineStr">
        <is>
          <t>A 57534-2022</t>
        </is>
      </c>
      <c r="B191" t="inlineStr">
        <is>
          <t>avverkningsanmälan</t>
        </is>
      </c>
      <c r="C191" t="inlineStr">
        <is>
          <t>Föryngringsavverkning</t>
        </is>
      </c>
      <c r="D191" s="1" t="n">
        <v>44896</v>
      </c>
      <c r="E191" s="1" t="n">
        <v>46281</v>
      </c>
      <c r="F191" t="inlineStr">
        <is>
          <t>GOTLANDS LÄN</t>
        </is>
      </c>
      <c r="G191" t="inlineStr">
        <is>
          <t>GOTLAND</t>
        </is>
      </c>
      <c r="I191" t="n">
        <v>0.6</v>
      </c>
      <c r="J191" t="n">
        <v>0</v>
      </c>
      <c r="K191" t="n">
        <v>1</v>
      </c>
      <c r="L191" t="n">
        <v>0</v>
      </c>
      <c r="M191" t="n">
        <v>0</v>
      </c>
      <c r="N191" t="n">
        <v>0</v>
      </c>
      <c r="O191" t="n">
        <v>0</v>
      </c>
      <c r="P191" t="n">
        <v>0</v>
      </c>
      <c r="Q191" t="n">
        <v>0</v>
      </c>
      <c r="R191" t="n">
        <v>0</v>
      </c>
      <c r="S191" t="n">
        <v>1</v>
      </c>
      <c r="T191" t="n">
        <v>1</v>
      </c>
      <c r="U191" t="n">
        <v>1</v>
      </c>
      <c r="V191" s="2" t="inlineStr">
        <is>
          <t>Myskmadra</t>
        </is>
      </c>
      <c r="W191">
        <f>HYPERLINK("https://klasma.github.io/Logging_0980/artfynd/A 57534-2022 artfynd.xlsx", "A 57534-2022")</f>
        <v/>
      </c>
      <c r="X191">
        <f>HYPERLINK("https://klasma.github.io/Logging_0980/kartor/A 57534-2022 karta.png", "A 57534-2022")</f>
        <v/>
      </c>
      <c r="Y191">
        <f>HYPERLINK("https://klasma.github.io/Logging_0980/kartor_geotiff/A 57534-2022 georefererad karta.tif", "A 57534-2022")</f>
        <v/>
      </c>
      <c r="AA191">
        <f>HYPERLINK("https://klasma.github.io/Logging_0980/klagomål/A 57534-2022 FSC-klagomål.docx", "A 57534-2022")</f>
        <v/>
      </c>
      <c r="AB191">
        <f>HYPERLINK("https://klasma.github.io/Logging_0980/klagomålsmail/A 57534-2022 FSC-klagomål mail.docx", "A 57534-2022")</f>
        <v/>
      </c>
      <c r="AC191">
        <f>HYPERLINK("https://klasma.github.io/Logging_0980/tillsyn/A 57534-2022 tillsynsbegäran.docx", "A 57534-2022")</f>
        <v/>
      </c>
      <c r="AD191">
        <f>HYPERLINK("https://klasma.github.io/Logging_0980/tillsynsmail/A 57534-2022 tillsynsbegäran mail.docx", "A 57534-2022")</f>
        <v/>
      </c>
    </row>
    <row r="192" ht="15" customHeight="1">
      <c r="A192" t="inlineStr">
        <is>
          <t>A 7637-2025</t>
        </is>
      </c>
      <c r="B192" t="inlineStr">
        <is>
          <t>avverkningsanmälan</t>
        </is>
      </c>
      <c r="C192" t="inlineStr">
        <is>
          <t>Föryngringsavverkning</t>
        </is>
      </c>
      <c r="D192" s="1" t="n">
        <v>45705</v>
      </c>
      <c r="E192" s="1" t="n">
        <v>46281</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t="n">
        <v>1</v>
      </c>
      <c r="V192" s="2" t="inlineStr">
        <is>
          <t>Skogsalm</t>
        </is>
      </c>
      <c r="W192">
        <f>HYPERLINK("https://klasma.github.io/Logging_0980/artfynd/A 7637-2025 artfynd.xlsx", "A 7637-2025")</f>
        <v/>
      </c>
      <c r="X192">
        <f>HYPERLINK("https://klasma.github.io/Logging_0980/kartor/A 7637-2025 karta.png", "A 7637-2025")</f>
        <v/>
      </c>
      <c r="Y192">
        <f>HYPERLINK("https://klasma.github.io/Logging_0980/kartor_geotiff/A 7637-2025 georefererad karta.tif", "A 7637-2025")</f>
        <v/>
      </c>
      <c r="AA192">
        <f>HYPERLINK("https://klasma.github.io/Logging_0980/klagomål/A 7637-2025 FSC-klagomål.docx", "A 7637-2025")</f>
        <v/>
      </c>
      <c r="AB192">
        <f>HYPERLINK("https://klasma.github.io/Logging_0980/klagomålsmail/A 7637-2025 FSC-klagomål mail.docx", "A 7637-2025")</f>
        <v/>
      </c>
      <c r="AC192">
        <f>HYPERLINK("https://klasma.github.io/Logging_0980/tillsyn/A 7637-2025 tillsynsbegäran.docx", "A 7637-2025")</f>
        <v/>
      </c>
      <c r="AD192">
        <f>HYPERLINK("https://klasma.github.io/Logging_0980/tillsynsmail/A 7637-2025 tillsynsbegäran mail.docx", "A 7637-2025")</f>
        <v/>
      </c>
    </row>
    <row r="193" ht="15" customHeight="1">
      <c r="A193" t="inlineStr">
        <is>
          <t>A 30176-2026</t>
        </is>
      </c>
      <c r="B193" t="inlineStr">
        <is>
          <t>avverkningsanmälan</t>
        </is>
      </c>
      <c r="C193" t="inlineStr">
        <is>
          <t>Avverkning för annat ändamål</t>
        </is>
      </c>
      <c r="D193" s="1" t="n">
        <v>46203</v>
      </c>
      <c r="E193" s="1" t="n">
        <v>46281</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24245-2022</t>
        </is>
      </c>
      <c r="B194" t="inlineStr">
        <is>
          <t>avverkningsanmälan</t>
        </is>
      </c>
      <c r="C194" t="inlineStr">
        <is>
          <t>Föryngringsavverkning</t>
        </is>
      </c>
      <c r="D194" s="1" t="n">
        <v>44725</v>
      </c>
      <c r="E194" s="1" t="n">
        <v>46281</v>
      </c>
      <c r="F194" t="inlineStr">
        <is>
          <t>GOTLANDS LÄN</t>
        </is>
      </c>
      <c r="G194" t="inlineStr">
        <is>
          <t>GOTLAND</t>
        </is>
      </c>
      <c r="I194" t="n">
        <v>4.9</v>
      </c>
      <c r="J194" t="n">
        <v>0</v>
      </c>
      <c r="K194" t="n">
        <v>0</v>
      </c>
      <c r="L194" t="n">
        <v>0</v>
      </c>
      <c r="M194" t="n">
        <v>0</v>
      </c>
      <c r="N194" t="n">
        <v>1</v>
      </c>
      <c r="O194" t="n">
        <v>0</v>
      </c>
      <c r="P194" t="n">
        <v>0</v>
      </c>
      <c r="Q194" t="n">
        <v>1</v>
      </c>
      <c r="R194" t="n">
        <v>1</v>
      </c>
      <c r="S194" t="n">
        <v>1</v>
      </c>
      <c r="T194" t="n">
        <v>2</v>
      </c>
      <c r="U194" t="n">
        <v>0</v>
      </c>
      <c r="V194" s="2" t="inlineStr">
        <is>
          <t>Slät taggsvamp</t>
        </is>
      </c>
      <c r="W194">
        <f>HYPERLINK("https://klasma.github.io/Logging_0980/artfynd/A 24245-2022 artfynd.xlsx", "A 24245-2022")</f>
        <v/>
      </c>
      <c r="X194">
        <f>HYPERLINK("https://klasma.github.io/Logging_0980/kartor/A 24245-2022 karta.png", "A 24245-2022")</f>
        <v/>
      </c>
      <c r="Y194">
        <f>HYPERLINK("https://klasma.github.io/Logging_0980/kartor_geotiff/A 24245-2022 georefererad karta.tif", "A 24245-2022")</f>
        <v/>
      </c>
      <c r="AA194">
        <f>HYPERLINK("https://klasma.github.io/Logging_0980/klagomål/A 24245-2022 FSC-klagomål.docx", "A 24245-2022")</f>
        <v/>
      </c>
      <c r="AB194">
        <f>HYPERLINK("https://klasma.github.io/Logging_0980/klagomålsmail/A 24245-2022 FSC-klagomål mail.docx", "A 24245-2022")</f>
        <v/>
      </c>
      <c r="AC194">
        <f>HYPERLINK("https://klasma.github.io/Logging_0980/tillsyn/A 24245-2022 tillsynsbegäran.docx", "A 24245-2022")</f>
        <v/>
      </c>
      <c r="AD194">
        <f>HYPERLINK("https://klasma.github.io/Logging_0980/tillsynsmail/A 24245-2022 tillsynsbegäran mail.docx", "A 24245-2022")</f>
        <v/>
      </c>
    </row>
    <row r="195" ht="15" customHeight="1">
      <c r="A195" t="inlineStr">
        <is>
          <t>A 6303-2024</t>
        </is>
      </c>
      <c r="B195" t="inlineStr">
        <is>
          <t>avverkningsanmälan</t>
        </is>
      </c>
      <c r="C195" t="inlineStr">
        <is>
          <t>Föryngringsavverkning</t>
        </is>
      </c>
      <c r="D195" s="1" t="n">
        <v>45338</v>
      </c>
      <c r="E195" s="1" t="n">
        <v>46281</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5863-2026</t>
        </is>
      </c>
      <c r="B196" t="inlineStr">
        <is>
          <t>avverkningsanmälan</t>
        </is>
      </c>
      <c r="C196" t="inlineStr">
        <is>
          <t>Föryngringsavverkning</t>
        </is>
      </c>
      <c r="D196" s="1" t="n">
        <v>46052</v>
      </c>
      <c r="E196" s="1" t="n">
        <v>46281</v>
      </c>
      <c r="F196" t="inlineStr">
        <is>
          <t>GOTLANDS LÄN</t>
        </is>
      </c>
      <c r="G196" t="inlineStr">
        <is>
          <t>GOTLAND</t>
        </is>
      </c>
      <c r="I196" t="n">
        <v>1.8</v>
      </c>
      <c r="J196" t="n">
        <v>1</v>
      </c>
      <c r="K196" t="n">
        <v>0</v>
      </c>
      <c r="L196" t="n">
        <v>1</v>
      </c>
      <c r="M196" t="n">
        <v>0</v>
      </c>
      <c r="N196" t="n">
        <v>0</v>
      </c>
      <c r="O196" t="n">
        <v>0</v>
      </c>
      <c r="P196" t="n">
        <v>0</v>
      </c>
      <c r="Q196" t="n">
        <v>1</v>
      </c>
      <c r="R196" t="n">
        <v>0</v>
      </c>
      <c r="S196" t="n">
        <v>1</v>
      </c>
      <c r="T196" t="n">
        <v>33</v>
      </c>
      <c r="U196" t="n">
        <v>23</v>
      </c>
      <c r="V196" s="2" t="inlineStr">
        <is>
          <t>Dårgräsfjäril</t>
        </is>
      </c>
      <c r="W196">
        <f>HYPERLINK("https://klasma.github.io/Logging_0980/artfynd/A 5863-2026 artfynd.xlsx", "A 5863-2026")</f>
        <v/>
      </c>
      <c r="X196">
        <f>HYPERLINK("https://klasma.github.io/Logging_0980/kartor/A 5863-2026 karta.png", "A 5863-2026")</f>
        <v/>
      </c>
      <c r="Y196">
        <f>HYPERLINK("https://klasma.github.io/Logging_0980/kartor_geotiff/A 5863-2026 georefererad karta.tif", "A 5863-2026")</f>
        <v/>
      </c>
      <c r="AA196">
        <f>HYPERLINK("https://klasma.github.io/Logging_0980/klagomål/A 5863-2026 FSC-klagomål.docx", "A 5863-2026")</f>
        <v/>
      </c>
      <c r="AB196">
        <f>HYPERLINK("https://klasma.github.io/Logging_0980/klagomålsmail/A 5863-2026 FSC-klagomål mail.docx", "A 5863-2026")</f>
        <v/>
      </c>
      <c r="AC196">
        <f>HYPERLINK("https://klasma.github.io/Logging_0980/tillsyn/A 5863-2026 tillsynsbegäran.docx", "A 5863-2026")</f>
        <v/>
      </c>
      <c r="AD196">
        <f>HYPERLINK("https://klasma.github.io/Logging_0980/tillsynsmail/A 5863-2026 tillsynsbegäran mail.docx", "A 5863-2026")</f>
        <v/>
      </c>
    </row>
    <row r="197" ht="15" customHeight="1">
      <c r="A197" t="inlineStr">
        <is>
          <t>A 40294-2022</t>
        </is>
      </c>
      <c r="B197" t="inlineStr">
        <is>
          <t>avverkningsanmälan</t>
        </is>
      </c>
      <c r="C197" t="inlineStr">
        <is>
          <t>Föryngringsavverkning</t>
        </is>
      </c>
      <c r="D197" s="1" t="n">
        <v>44821</v>
      </c>
      <c r="E197" s="1" t="n">
        <v>46281</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t="n">
        <v>1</v>
      </c>
      <c r="V197" s="2" t="inlineStr">
        <is>
          <t>Gotlandsmåra</t>
        </is>
      </c>
      <c r="W197">
        <f>HYPERLINK("https://klasma.github.io/Logging_0980/artfynd/A 40294-2022 artfynd.xlsx", "A 40294-2022")</f>
        <v/>
      </c>
      <c r="X197">
        <f>HYPERLINK("https://klasma.github.io/Logging_0980/kartor/A 40294-2022 karta.png", "A 40294-2022")</f>
        <v/>
      </c>
      <c r="Y197">
        <f>HYPERLINK("https://klasma.github.io/Logging_0980/kartor_geotiff/A 40294-2022 georefererad karta.tif", "A 40294-2022")</f>
        <v/>
      </c>
      <c r="AA197">
        <f>HYPERLINK("https://klasma.github.io/Logging_0980/klagomål/A 40294-2022 FSC-klagomål.docx", "A 40294-2022")</f>
        <v/>
      </c>
      <c r="AB197">
        <f>HYPERLINK("https://klasma.github.io/Logging_0980/klagomålsmail/A 40294-2022 FSC-klagomål mail.docx", "A 40294-2022")</f>
        <v/>
      </c>
      <c r="AC197">
        <f>HYPERLINK("https://klasma.github.io/Logging_0980/tillsyn/A 40294-2022 tillsynsbegäran.docx", "A 40294-2022")</f>
        <v/>
      </c>
      <c r="AD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46281</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t="n">
        <v>1</v>
      </c>
      <c r="V198" s="2" t="inlineStr">
        <is>
          <t>Brun ögontröst</t>
        </is>
      </c>
      <c r="W198">
        <f>HYPERLINK("https://klasma.github.io/Logging_0980/artfynd/A 34809-2024 artfynd.xlsx", "A 34809-2024")</f>
        <v/>
      </c>
      <c r="X198">
        <f>HYPERLINK("https://klasma.github.io/Logging_0980/kartor/A 34809-2024 karta.png", "A 34809-2024")</f>
        <v/>
      </c>
      <c r="Y198">
        <f>HYPERLINK("https://klasma.github.io/Logging_0980/kartor_geotiff/A 34809-2024 georefererad karta.tif", "A 34809-2024")</f>
        <v/>
      </c>
      <c r="AA198">
        <f>HYPERLINK("https://klasma.github.io/Logging_0980/klagomål/A 34809-2024 FSC-klagomål.docx", "A 34809-2024")</f>
        <v/>
      </c>
      <c r="AB198">
        <f>HYPERLINK("https://klasma.github.io/Logging_0980/klagomålsmail/A 34809-2024 FSC-klagomål mail.docx", "A 34809-2024")</f>
        <v/>
      </c>
      <c r="AC198">
        <f>HYPERLINK("https://klasma.github.io/Logging_0980/tillsyn/A 34809-2024 tillsynsbegäran.docx", "A 34809-2024")</f>
        <v/>
      </c>
      <c r="AD198">
        <f>HYPERLINK("https://klasma.github.io/Logging_0980/tillsynsmail/A 34809-2024 tillsynsbegäran mail.docx", "A 34809-2024")</f>
        <v/>
      </c>
    </row>
    <row r="199" ht="15" customHeight="1">
      <c r="A199" t="inlineStr">
        <is>
          <t>A 49847-2023</t>
        </is>
      </c>
      <c r="B199" t="inlineStr">
        <is>
          <t>avverkningsanmälan</t>
        </is>
      </c>
      <c r="C199" t="inlineStr">
        <is>
          <t>Föryngringsavverkning</t>
        </is>
      </c>
      <c r="D199" s="1" t="n">
        <v>45212</v>
      </c>
      <c r="E199" s="1" t="n">
        <v>46281</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46281</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18036-2026</t>
        </is>
      </c>
      <c r="B201" t="inlineStr">
        <is>
          <t>avverkningsanmälan</t>
        </is>
      </c>
      <c r="C201" t="inlineStr">
        <is>
          <t>Föryngringsavverkning</t>
        </is>
      </c>
      <c r="D201" s="1" t="n">
        <v>46125</v>
      </c>
      <c r="E201" s="1" t="n">
        <v>46281</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t="n">
        <v>0</v>
      </c>
      <c r="V201" s="2" t="inlineStr">
        <is>
          <t>Sommarfibbla</t>
        </is>
      </c>
      <c r="W201">
        <f>HYPERLINK("https://klasma.github.io/Logging_0980/artfynd/A 18036-2026 artfynd.xlsx", "A 18036-2026")</f>
        <v/>
      </c>
      <c r="X201">
        <f>HYPERLINK("https://klasma.github.io/Logging_0980/kartor/A 18036-2026 karta.png", "A 18036-2026")</f>
        <v/>
      </c>
      <c r="Y201">
        <f>HYPERLINK("https://klasma.github.io/Logging_0980/kartor_geotiff/A 18036-2026 georefererad karta.tif", "A 18036-2026")</f>
        <v/>
      </c>
      <c r="AA201">
        <f>HYPERLINK("https://klasma.github.io/Logging_0980/klagomål/A 18036-2026 FSC-klagomål.docx", "A 18036-2026")</f>
        <v/>
      </c>
      <c r="AB201">
        <f>HYPERLINK("https://klasma.github.io/Logging_0980/klagomålsmail/A 18036-2026 FSC-klagomål mail.docx", "A 18036-2026")</f>
        <v/>
      </c>
      <c r="AC201">
        <f>HYPERLINK("https://klasma.github.io/Logging_0980/tillsyn/A 18036-2026 tillsynsbegäran.docx", "A 18036-2026")</f>
        <v/>
      </c>
      <c r="AD201">
        <f>HYPERLINK("https://klasma.github.io/Logging_0980/tillsynsmail/A 18036-2026 tillsynsbegäran mail.docx", "A 18036-2026")</f>
        <v/>
      </c>
    </row>
    <row r="202" ht="15" customHeight="1">
      <c r="A202" t="inlineStr">
        <is>
          <t>A 64700-2021</t>
        </is>
      </c>
      <c r="B202" t="inlineStr">
        <is>
          <t>avverkningsanmälan</t>
        </is>
      </c>
      <c r="C202" t="inlineStr">
        <is>
          <t>Avverkning för att bevara och utveckla /försöksver</t>
        </is>
      </c>
      <c r="D202" s="1" t="n">
        <v>44511</v>
      </c>
      <c r="E202" s="1" t="n">
        <v>46281</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37990-2026</t>
        </is>
      </c>
      <c r="B203" t="inlineStr">
        <is>
          <t>avverkningsanmälan</t>
        </is>
      </c>
      <c r="C203" t="inlineStr">
        <is>
          <t>Avverkning för annat ändamål</t>
        </is>
      </c>
      <c r="D203" s="1" t="n">
        <v>46280</v>
      </c>
      <c r="E203" s="1" t="n">
        <v>46281</v>
      </c>
      <c r="F203" t="inlineStr">
        <is>
          <t>GOTLANDS LÄN</t>
        </is>
      </c>
      <c r="G203" t="inlineStr">
        <is>
          <t>GOTLAND</t>
        </is>
      </c>
      <c r="I203" t="n">
        <v>5.2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37990-2026 artfynd.xlsx", "A 37990-2026")</f>
        <v/>
      </c>
      <c r="X203">
        <f>HYPERLINK("https://klasma.github.io/Logging_0980/kartor/A 37990-2026 karta.png", "A 37990-2026")</f>
        <v/>
      </c>
      <c r="Y203">
        <f>HYPERLINK("https://klasma.github.io/Logging_0980/kartor_geotiff/A 37990-2026 georefererad karta.tif", "A 37990-2026")</f>
        <v/>
      </c>
      <c r="AA203">
        <f>HYPERLINK("https://klasma.github.io/Logging_0980/klagomål/A 37990-2026 FSC-klagomål.docx", "A 37990-2026")</f>
        <v/>
      </c>
      <c r="AB203">
        <f>HYPERLINK("https://klasma.github.io/Logging_0980/klagomålsmail/A 37990-2026 FSC-klagomål mail.docx", "A 37990-2026")</f>
        <v/>
      </c>
      <c r="AC203">
        <f>HYPERLINK("https://klasma.github.io/Logging_0980/tillsyn/A 37990-2026 tillsynsbegäran.docx", "A 37990-2026")</f>
        <v/>
      </c>
      <c r="AD203">
        <f>HYPERLINK("https://klasma.github.io/Logging_0980/tillsynsmail/A 37990-2026 tillsynsbegäran mail.docx", "A 37990-2026")</f>
        <v/>
      </c>
    </row>
    <row r="204" ht="15" customHeight="1">
      <c r="A204" t="inlineStr">
        <is>
          <t>A 21396-2026</t>
        </is>
      </c>
      <c r="B204" t="inlineStr">
        <is>
          <t>avverkningsanmälan</t>
        </is>
      </c>
      <c r="C204" t="inlineStr">
        <is>
          <t>Föryngringsavverkning</t>
        </is>
      </c>
      <c r="D204" s="1" t="n">
        <v>46148</v>
      </c>
      <c r="E204" s="1" t="n">
        <v>46281</v>
      </c>
      <c r="F204" t="inlineStr">
        <is>
          <t>GOTLANDS LÄN</t>
        </is>
      </c>
      <c r="G204" t="inlineStr">
        <is>
          <t>GOTLAND</t>
        </is>
      </c>
      <c r="I204" t="n">
        <v>6.1</v>
      </c>
      <c r="J204" t="n">
        <v>0</v>
      </c>
      <c r="K204" t="n">
        <v>0</v>
      </c>
      <c r="L204" t="n">
        <v>0</v>
      </c>
      <c r="M204" t="n">
        <v>1</v>
      </c>
      <c r="N204" t="n">
        <v>0</v>
      </c>
      <c r="O204" t="n">
        <v>0</v>
      </c>
      <c r="P204" t="n">
        <v>0</v>
      </c>
      <c r="Q204" t="n">
        <v>1</v>
      </c>
      <c r="R204" t="n">
        <v>1</v>
      </c>
      <c r="S204" t="n">
        <v>1</v>
      </c>
      <c r="T204" t="n">
        <v>1</v>
      </c>
      <c r="U204" t="n">
        <v>0</v>
      </c>
      <c r="V204" s="2" t="inlineStr">
        <is>
          <t>Oxhorndyvel</t>
        </is>
      </c>
      <c r="W204">
        <f>HYPERLINK("https://klasma.github.io/Logging_0980/artfynd/A 21396-2026 artfynd.xlsx", "A 21396-2026")</f>
        <v/>
      </c>
      <c r="X204">
        <f>HYPERLINK("https://klasma.github.io/Logging_0980/kartor/A 21396-2026 karta.png", "A 21396-2026")</f>
        <v/>
      </c>
      <c r="Y204">
        <f>HYPERLINK("https://klasma.github.io/Logging_0980/kartor_geotiff/A 21396-2026 georefererad karta.tif", "A 21396-2026")</f>
        <v/>
      </c>
      <c r="AA204">
        <f>HYPERLINK("https://klasma.github.io/Logging_0980/klagomål/A 21396-2026 FSC-klagomål.docx", "A 21396-2026")</f>
        <v/>
      </c>
      <c r="AB204">
        <f>HYPERLINK("https://klasma.github.io/Logging_0980/klagomålsmail/A 21396-2026 FSC-klagomål mail.docx", "A 21396-2026")</f>
        <v/>
      </c>
      <c r="AC204">
        <f>HYPERLINK("https://klasma.github.io/Logging_0980/tillsyn/A 21396-2026 tillsynsbegäran.docx", "A 21396-2026")</f>
        <v/>
      </c>
      <c r="AD204">
        <f>HYPERLINK("https://klasma.github.io/Logging_0980/tillsynsmail/A 21396-2026 tillsynsbegäran mail.docx", "A 21396-2026")</f>
        <v/>
      </c>
    </row>
    <row r="205" ht="15" customHeight="1">
      <c r="A205" t="inlineStr">
        <is>
          <t>A 6739-2025</t>
        </is>
      </c>
      <c r="B205" t="inlineStr">
        <is>
          <t>avverkningsanmälan</t>
        </is>
      </c>
      <c r="C205" t="inlineStr">
        <is>
          <t>Föryngringsavverkning</t>
        </is>
      </c>
      <c r="D205" s="1" t="n">
        <v>45700</v>
      </c>
      <c r="E205" s="1" t="n">
        <v>46281</v>
      </c>
      <c r="F205" t="inlineStr">
        <is>
          <t>GOTLANDS LÄN</t>
        </is>
      </c>
      <c r="G205" t="inlineStr">
        <is>
          <t>GOTLAND</t>
        </is>
      </c>
      <c r="I205" t="n">
        <v>4.5</v>
      </c>
      <c r="J205" t="n">
        <v>1</v>
      </c>
      <c r="K205" t="n">
        <v>0</v>
      </c>
      <c r="L205" t="n">
        <v>0</v>
      </c>
      <c r="M205" t="n">
        <v>0</v>
      </c>
      <c r="N205" t="n">
        <v>0</v>
      </c>
      <c r="O205" t="n">
        <v>0</v>
      </c>
      <c r="P205" t="n">
        <v>0</v>
      </c>
      <c r="Q205" t="n">
        <v>0</v>
      </c>
      <c r="R205" t="n">
        <v>0</v>
      </c>
      <c r="S205" t="n">
        <v>1</v>
      </c>
      <c r="T205" t="n">
        <v>1</v>
      </c>
      <c r="U205" t="n">
        <v>1</v>
      </c>
      <c r="V205" s="2" t="inlineStr">
        <is>
          <t>Röd glada</t>
        </is>
      </c>
      <c r="W205">
        <f>HYPERLINK("https://klasma.github.io/Logging_0980/artfynd/A 6739-2025 artfynd.xlsx", "A 6739-2025")</f>
        <v/>
      </c>
      <c r="X205">
        <f>HYPERLINK("https://klasma.github.io/Logging_0980/kartor/A 6739-2025 karta.png", "A 6739-2025")</f>
        <v/>
      </c>
      <c r="Y205">
        <f>HYPERLINK("https://klasma.github.io/Logging_0980/kartor_geotiff/A 6739-2025 georefererad karta.tif", "A 6739-2025")</f>
        <v/>
      </c>
      <c r="AA205">
        <f>HYPERLINK("https://klasma.github.io/Logging_0980/klagomål/A 6739-2025 FSC-klagomål.docx", "A 6739-2025")</f>
        <v/>
      </c>
      <c r="AB205">
        <f>HYPERLINK("https://klasma.github.io/Logging_0980/klagomålsmail/A 6739-2025 FSC-klagomål mail.docx", "A 6739-2025")</f>
        <v/>
      </c>
      <c r="AC205">
        <f>HYPERLINK("https://klasma.github.io/Logging_0980/tillsyn/A 6739-2025 tillsynsbegäran.docx", "A 6739-2025")</f>
        <v/>
      </c>
      <c r="AD205">
        <f>HYPERLINK("https://klasma.github.io/Logging_0980/tillsynsmail/A 6739-2025 tillsynsbegäran mail.docx", "A 6739-2025")</f>
        <v/>
      </c>
      <c r="AE205">
        <f>HYPERLINK("https://klasma.github.io/Logging_0980/fåglar/A 6739-2025 prioriterade fågelarter.docx", "A 6739-2025")</f>
        <v/>
      </c>
    </row>
    <row r="206" ht="15" customHeight="1">
      <c r="A206" t="inlineStr">
        <is>
          <t>A 34141-2024</t>
        </is>
      </c>
      <c r="B206" t="inlineStr">
        <is>
          <t>avverkningsanmälan</t>
        </is>
      </c>
      <c r="C206" t="inlineStr">
        <is>
          <t>Föryngringsavverkning</t>
        </is>
      </c>
      <c r="D206" s="1" t="n">
        <v>45524</v>
      </c>
      <c r="E206" s="1" t="n">
        <v>46281</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9862-2024</t>
        </is>
      </c>
      <c r="B207" t="inlineStr">
        <is>
          <t>avverkningsanmälan</t>
        </is>
      </c>
      <c r="C207" t="inlineStr">
        <is>
          <t>Föryngringsavverkning</t>
        </is>
      </c>
      <c r="D207" s="1" t="n">
        <v>45363</v>
      </c>
      <c r="E207" s="1" t="n">
        <v>46281</v>
      </c>
      <c r="F207" t="inlineStr">
        <is>
          <t>GOTLANDS LÄN</t>
        </is>
      </c>
      <c r="G207" t="inlineStr">
        <is>
          <t>GOTLAND</t>
        </is>
      </c>
      <c r="I207" t="n">
        <v>3.5</v>
      </c>
      <c r="J207" t="n">
        <v>1</v>
      </c>
      <c r="K207" t="n">
        <v>0</v>
      </c>
      <c r="L207" t="n">
        <v>0</v>
      </c>
      <c r="M207" t="n">
        <v>0</v>
      </c>
      <c r="N207" t="n">
        <v>0</v>
      </c>
      <c r="O207" t="n">
        <v>0</v>
      </c>
      <c r="P207" t="n">
        <v>0</v>
      </c>
      <c r="Q207" t="n">
        <v>0</v>
      </c>
      <c r="R207" t="n">
        <v>0</v>
      </c>
      <c r="S207" t="n">
        <v>1</v>
      </c>
      <c r="T207" t="n">
        <v>1</v>
      </c>
      <c r="U207" t="n">
        <v>1</v>
      </c>
      <c r="V207" s="2" t="inlineStr">
        <is>
          <t>Nattviol</t>
        </is>
      </c>
      <c r="W207">
        <f>HYPERLINK("https://klasma.github.io/Logging_0980/artfynd/A 9862-2024 artfynd.xlsx", "A 9862-2024")</f>
        <v/>
      </c>
      <c r="X207">
        <f>HYPERLINK("https://klasma.github.io/Logging_0980/kartor/A 9862-2024 karta.png", "A 9862-2024")</f>
        <v/>
      </c>
      <c r="Y207">
        <f>HYPERLINK("https://klasma.github.io/Logging_0980/kartor_geotiff/A 9862-2024 georefererad karta.tif", "A 9862-2024")</f>
        <v/>
      </c>
      <c r="AA207">
        <f>HYPERLINK("https://klasma.github.io/Logging_0980/klagomål/A 9862-2024 FSC-klagomål.docx", "A 9862-2024")</f>
        <v/>
      </c>
      <c r="AB207">
        <f>HYPERLINK("https://klasma.github.io/Logging_0980/klagomålsmail/A 9862-2024 FSC-klagomål mail.docx", "A 9862-2024")</f>
        <v/>
      </c>
      <c r="AC207">
        <f>HYPERLINK("https://klasma.github.io/Logging_0980/tillsyn/A 9862-2024 tillsynsbegäran.docx", "A 9862-2024")</f>
        <v/>
      </c>
      <c r="AD207">
        <f>HYPERLINK("https://klasma.github.io/Logging_0980/tillsynsmail/A 9862-2024 tillsynsbegäran mail.docx", "A 9862-2024")</f>
        <v/>
      </c>
    </row>
    <row r="208" ht="15" customHeight="1">
      <c r="A208" t="inlineStr">
        <is>
          <t>A 30104-2025</t>
        </is>
      </c>
      <c r="B208" t="inlineStr">
        <is>
          <t>avverkningsanmälan</t>
        </is>
      </c>
      <c r="C208" t="inlineStr">
        <is>
          <t>Föryngringsavverkning</t>
        </is>
      </c>
      <c r="D208" s="1" t="n">
        <v>45826</v>
      </c>
      <c r="E208" s="1" t="n">
        <v>46281</v>
      </c>
      <c r="F208" t="inlineStr">
        <is>
          <t>GOTLANDS LÄN</t>
        </is>
      </c>
      <c r="G208" t="inlineStr">
        <is>
          <t>GOTLAND</t>
        </is>
      </c>
      <c r="I208" t="n">
        <v>15.4</v>
      </c>
      <c r="J208" t="n">
        <v>0</v>
      </c>
      <c r="K208" t="n">
        <v>1</v>
      </c>
      <c r="L208" t="n">
        <v>0</v>
      </c>
      <c r="M208" t="n">
        <v>0</v>
      </c>
      <c r="N208" t="n">
        <v>0</v>
      </c>
      <c r="O208" t="n">
        <v>0</v>
      </c>
      <c r="P208" t="n">
        <v>0</v>
      </c>
      <c r="Q208" t="n">
        <v>0</v>
      </c>
      <c r="R208" t="n">
        <v>0</v>
      </c>
      <c r="S208" t="n">
        <v>1</v>
      </c>
      <c r="T208" t="n">
        <v>2</v>
      </c>
      <c r="U208" t="n">
        <v>0</v>
      </c>
      <c r="V208" s="2" t="inlineStr">
        <is>
          <t>Blåmossa</t>
        </is>
      </c>
      <c r="W208">
        <f>HYPERLINK("https://klasma.github.io/Logging_0980/artfynd/A 30104-2025 artfynd.xlsx", "A 30104-2025")</f>
        <v/>
      </c>
      <c r="X208">
        <f>HYPERLINK("https://klasma.github.io/Logging_0980/kartor/A 30104-2025 karta.png", "A 30104-2025")</f>
        <v/>
      </c>
      <c r="Y208">
        <f>HYPERLINK("https://klasma.github.io/Logging_0980/kartor_geotiff/A 30104-2025 georefererad karta.tif", "A 30104-2025")</f>
        <v/>
      </c>
      <c r="AA208">
        <f>HYPERLINK("https://klasma.github.io/Logging_0980/klagomål/A 30104-2025 FSC-klagomål.docx", "A 30104-2025")</f>
        <v/>
      </c>
      <c r="AB208">
        <f>HYPERLINK("https://klasma.github.io/Logging_0980/klagomålsmail/A 30104-2025 FSC-klagomål mail.docx", "A 30104-2025")</f>
        <v/>
      </c>
      <c r="AC208">
        <f>HYPERLINK("https://klasma.github.io/Logging_0980/tillsyn/A 30104-2025 tillsynsbegäran.docx", "A 30104-2025")</f>
        <v/>
      </c>
      <c r="AD208">
        <f>HYPERLINK("https://klasma.github.io/Logging_0980/tillsynsmail/A 30104-2025 tillsynsbegäran mail.docx", "A 30104-2025")</f>
        <v/>
      </c>
    </row>
    <row r="209" ht="15" customHeight="1">
      <c r="A209" t="inlineStr">
        <is>
          <t>S 2744-2023</t>
        </is>
      </c>
      <c r="B209" t="inlineStr">
        <is>
          <t>samrådsanmälan</t>
        </is>
      </c>
      <c r="C209" t="inlineStr">
        <is>
          <t>Annan skogsbruksåtgärd</t>
        </is>
      </c>
      <c r="D209" s="1" t="n">
        <v>45159</v>
      </c>
      <c r="E209" s="1" t="n">
        <v>46281</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46281</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46281</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46281</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46281</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46281</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46281</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46281</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46281</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46281</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46281</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46281</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46281</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46281</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46281</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46281</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46281</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46281</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46281</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46281</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46281</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46281</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46281</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46281</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6108-2025</t>
        </is>
      </c>
      <c r="B233" t="inlineStr">
        <is>
          <t>avverkningsanmälan</t>
        </is>
      </c>
      <c r="C233" t="inlineStr">
        <is>
          <t>Föryngringsavverkning</t>
        </is>
      </c>
      <c r="D233" s="1" t="n">
        <v>45698</v>
      </c>
      <c r="E233" s="1" t="n">
        <v>46281</v>
      </c>
      <c r="F233" t="inlineStr">
        <is>
          <t>GOTLANDS LÄN</t>
        </is>
      </c>
      <c r="G233" t="inlineStr">
        <is>
          <t>GOTLAND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21142-2025</t>
        </is>
      </c>
      <c r="B234" t="inlineStr">
        <is>
          <t>avverkningsanmälan</t>
        </is>
      </c>
      <c r="C234" t="inlineStr">
        <is>
          <t>Föryngringsavverkning</t>
        </is>
      </c>
      <c r="D234" s="1" t="n">
        <v>45779</v>
      </c>
      <c r="E234" s="1" t="n">
        <v>46281</v>
      </c>
      <c r="F234" t="inlineStr">
        <is>
          <t>GOTLANDS LÄN</t>
        </is>
      </c>
      <c r="G234" t="inlineStr">
        <is>
          <t>GOTLAND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17343-2025</t>
        </is>
      </c>
      <c r="B235" t="inlineStr">
        <is>
          <t>avverkningsanmälan</t>
        </is>
      </c>
      <c r="C235" t="inlineStr">
        <is>
          <t>Föryngringsavverkning</t>
        </is>
      </c>
      <c r="D235" s="1" t="n">
        <v>45756</v>
      </c>
      <c r="E235" s="1" t="n">
        <v>46281</v>
      </c>
      <c r="F235" t="inlineStr">
        <is>
          <t>GOTLANDS LÄN</t>
        </is>
      </c>
      <c r="G235" t="inlineStr">
        <is>
          <t>GOTLAND</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44919-2022</t>
        </is>
      </c>
      <c r="B236" t="inlineStr">
        <is>
          <t>avverkningsanmälan</t>
        </is>
      </c>
      <c r="C236" t="inlineStr">
        <is>
          <t>Föryngringsavverkning</t>
        </is>
      </c>
      <c r="D236" s="1" t="n">
        <v>44841</v>
      </c>
      <c r="E236" s="1" t="n">
        <v>46281</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30282-2022</t>
        </is>
      </c>
      <c r="B237" t="inlineStr">
        <is>
          <t>avverkningsanmälan</t>
        </is>
      </c>
      <c r="C237" t="inlineStr">
        <is>
          <t>Föryngringsavverkning</t>
        </is>
      </c>
      <c r="D237" s="1" t="n">
        <v>44760</v>
      </c>
      <c r="E237" s="1" t="n">
        <v>46281</v>
      </c>
      <c r="F237" t="inlineStr">
        <is>
          <t>GOTLANDS LÄN</t>
        </is>
      </c>
      <c r="G237" t="inlineStr">
        <is>
          <t>GOTLAND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18938-2025</t>
        </is>
      </c>
      <c r="B238" t="inlineStr">
        <is>
          <t>avverkningsanmälan</t>
        </is>
      </c>
      <c r="C238" t="inlineStr">
        <is>
          <t>Föryngringsavverkning</t>
        </is>
      </c>
      <c r="D238" s="1" t="n">
        <v>45764</v>
      </c>
      <c r="E238" s="1" t="n">
        <v>46281</v>
      </c>
      <c r="F238" t="inlineStr">
        <is>
          <t>GOTLANDS LÄN</t>
        </is>
      </c>
      <c r="G238" t="inlineStr">
        <is>
          <t>GOTLAND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20307-2025</t>
        </is>
      </c>
      <c r="B239" t="inlineStr">
        <is>
          <t>avverkningsanmälan</t>
        </is>
      </c>
      <c r="C239" t="inlineStr">
        <is>
          <t>Föryngringsavverkning</t>
        </is>
      </c>
      <c r="D239" s="1" t="n">
        <v>45774</v>
      </c>
      <c r="E239" s="1" t="n">
        <v>46281</v>
      </c>
      <c r="F239" t="inlineStr">
        <is>
          <t>GOTLANDS LÄN</t>
        </is>
      </c>
      <c r="G239" t="inlineStr">
        <is>
          <t>GOTLAND</t>
        </is>
      </c>
      <c r="I239" t="n">
        <v>6.8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42338-2023</t>
        </is>
      </c>
      <c r="B240" t="inlineStr">
        <is>
          <t>avverkningsanmälan</t>
        </is>
      </c>
      <c r="C240" t="inlineStr">
        <is>
          <t>Föryngringsavverkning</t>
        </is>
      </c>
      <c r="D240" s="1" t="n">
        <v>45180</v>
      </c>
      <c r="E240" s="1" t="n">
        <v>46281</v>
      </c>
      <c r="F240" t="inlineStr">
        <is>
          <t>GOTLANDS LÄN</t>
        </is>
      </c>
      <c r="G240" t="inlineStr">
        <is>
          <t>GOTLAND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48503-2023</t>
        </is>
      </c>
      <c r="B241" t="inlineStr">
        <is>
          <t>avverkningsanmälan</t>
        </is>
      </c>
      <c r="C241" t="inlineStr">
        <is>
          <t>Föryngringsavverkning</t>
        </is>
      </c>
      <c r="D241" s="1" t="n">
        <v>45207</v>
      </c>
      <c r="E241" s="1" t="n">
        <v>46281</v>
      </c>
      <c r="F241" t="inlineStr">
        <is>
          <t>GOTLANDS LÄN</t>
        </is>
      </c>
      <c r="G241" t="inlineStr">
        <is>
          <t>GOTLAND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20356-2022</t>
        </is>
      </c>
      <c r="B242" t="inlineStr">
        <is>
          <t>avverkningsanmälan</t>
        </is>
      </c>
      <c r="C242" t="inlineStr">
        <is>
          <t>Avverkning för annat ändamål</t>
        </is>
      </c>
      <c r="D242" s="1" t="n">
        <v>44699</v>
      </c>
      <c r="E242" s="1" t="n">
        <v>46281</v>
      </c>
      <c r="F242" t="inlineStr">
        <is>
          <t>GOTLANDS LÄN</t>
        </is>
      </c>
      <c r="G242" t="inlineStr">
        <is>
          <t>GOTLAND</t>
        </is>
      </c>
      <c r="H242" t="inlineStr">
        <is>
          <t>Övriga Aktiebolag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65901-2021</t>
        </is>
      </c>
      <c r="B243" t="inlineStr">
        <is>
          <t>avverkningsanmälan</t>
        </is>
      </c>
      <c r="C243" t="inlineStr">
        <is>
          <t>Föryngringsavverkning</t>
        </is>
      </c>
      <c r="D243" s="1" t="n">
        <v>44516</v>
      </c>
      <c r="E243" s="1" t="n">
        <v>46281</v>
      </c>
      <c r="F243" t="inlineStr">
        <is>
          <t>GOTLANDS LÄN</t>
        </is>
      </c>
      <c r="G243" t="inlineStr">
        <is>
          <t>GOTLAND</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9947-2024</t>
        </is>
      </c>
      <c r="B244" t="inlineStr">
        <is>
          <t>avverkningsanmälan</t>
        </is>
      </c>
      <c r="C244" t="inlineStr">
        <is>
          <t>Föryngringsavverkning</t>
        </is>
      </c>
      <c r="D244" s="1" t="n">
        <v>45363</v>
      </c>
      <c r="E244" s="1" t="n">
        <v>46281</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17682-2024</t>
        </is>
      </c>
      <c r="B245" t="inlineStr">
        <is>
          <t>avverkningsanmälan</t>
        </is>
      </c>
      <c r="C245" t="inlineStr">
        <is>
          <t>Föryngringsavverkning</t>
        </is>
      </c>
      <c r="D245" s="1" t="n">
        <v>45418</v>
      </c>
      <c r="E245" s="1" t="n">
        <v>46281</v>
      </c>
      <c r="F245" t="inlineStr">
        <is>
          <t>GOTLANDS LÄN</t>
        </is>
      </c>
      <c r="G245" t="inlineStr">
        <is>
          <t>GOTLAND</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873-2024</t>
        </is>
      </c>
      <c r="B246" t="inlineStr">
        <is>
          <t>avverkningsanmälan</t>
        </is>
      </c>
      <c r="C246" t="inlineStr">
        <is>
          <t>Avverkning för annat ändamål</t>
        </is>
      </c>
      <c r="D246" s="1" t="n">
        <v>45301</v>
      </c>
      <c r="E246" s="1" t="n">
        <v>46281</v>
      </c>
      <c r="F246" t="inlineStr">
        <is>
          <t>GOTLANDS LÄN</t>
        </is>
      </c>
      <c r="G246" t="inlineStr">
        <is>
          <t>GOTLAND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46281</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22275-2023</t>
        </is>
      </c>
      <c r="B248" t="inlineStr">
        <is>
          <t>avverkningsanmälan</t>
        </is>
      </c>
      <c r="C248" t="inlineStr">
        <is>
          <t>Föryngringsavverkning</t>
        </is>
      </c>
      <c r="D248" s="1" t="n">
        <v>45070</v>
      </c>
      <c r="E248" s="1" t="n">
        <v>46281</v>
      </c>
      <c r="F248" t="inlineStr">
        <is>
          <t>GOTLANDS LÄN</t>
        </is>
      </c>
      <c r="G248" t="inlineStr">
        <is>
          <t>GOTLAND</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12322-2025</t>
        </is>
      </c>
      <c r="B249" t="inlineStr">
        <is>
          <t>avverkningsanmälan</t>
        </is>
      </c>
      <c r="C249" t="inlineStr">
        <is>
          <t>Föryngringsavverkning</t>
        </is>
      </c>
      <c r="D249" s="1" t="n">
        <v>45730</v>
      </c>
      <c r="E249" s="1" t="n">
        <v>46281</v>
      </c>
      <c r="F249" t="inlineStr">
        <is>
          <t>GOTLANDS LÄN</t>
        </is>
      </c>
      <c r="G249" t="inlineStr">
        <is>
          <t>GOTLAND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14797-2024</t>
        </is>
      </c>
      <c r="B250" t="inlineStr">
        <is>
          <t>avverkningsanmälan</t>
        </is>
      </c>
      <c r="C250" t="inlineStr">
        <is>
          <t>Föryngringsavverkning</t>
        </is>
      </c>
      <c r="D250" s="1" t="n">
        <v>45397</v>
      </c>
      <c r="E250" s="1" t="n">
        <v>46281</v>
      </c>
      <c r="F250" t="inlineStr">
        <is>
          <t>GOTLANDS LÄN</t>
        </is>
      </c>
      <c r="G250" t="inlineStr">
        <is>
          <t>GOTLAND</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999-2024</t>
        </is>
      </c>
      <c r="B251" t="inlineStr">
        <is>
          <t>avverkningsanmälan</t>
        </is>
      </c>
      <c r="C251" t="inlineStr">
        <is>
          <t>Föryngringsavverkning</t>
        </is>
      </c>
      <c r="D251" s="1" t="n">
        <v>45301</v>
      </c>
      <c r="E251" s="1" t="n">
        <v>46281</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61596-2023</t>
        </is>
      </c>
      <c r="B252" t="inlineStr">
        <is>
          <t>avverkningsanmälan</t>
        </is>
      </c>
      <c r="C252" t="inlineStr">
        <is>
          <t>Föryngringsavverkning</t>
        </is>
      </c>
      <c r="D252" s="1" t="n">
        <v>45265</v>
      </c>
      <c r="E252" s="1" t="n">
        <v>46281</v>
      </c>
      <c r="F252" t="inlineStr">
        <is>
          <t>GOTLANDS LÄN</t>
        </is>
      </c>
      <c r="G252" t="inlineStr">
        <is>
          <t>GOTLAND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63516-2023</t>
        </is>
      </c>
      <c r="B253" t="inlineStr">
        <is>
          <t>avverkningsanmälan</t>
        </is>
      </c>
      <c r="C253" t="inlineStr">
        <is>
          <t>Föryngringsavverkning</t>
        </is>
      </c>
      <c r="D253" s="1" t="n">
        <v>45274</v>
      </c>
      <c r="E253" s="1" t="n">
        <v>46281</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11424-2026</t>
        </is>
      </c>
      <c r="B254" t="inlineStr">
        <is>
          <t>avverkningsanmälan</t>
        </is>
      </c>
      <c r="C254" t="inlineStr">
        <is>
          <t>Föryngringsavverkning</t>
        </is>
      </c>
      <c r="D254" s="1" t="n">
        <v>46083</v>
      </c>
      <c r="E254" s="1" t="n">
        <v>46281</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3067-2026</t>
        </is>
      </c>
      <c r="B255" t="inlineStr">
        <is>
          <t>avverkningsanmälan</t>
        </is>
      </c>
      <c r="C255" t="inlineStr">
        <is>
          <t>Föryngringsavverkning</t>
        </is>
      </c>
      <c r="D255" s="1" t="n">
        <v>46040</v>
      </c>
      <c r="E255" s="1" t="n">
        <v>46281</v>
      </c>
      <c r="F255" t="inlineStr">
        <is>
          <t>GOTLANDS LÄN</t>
        </is>
      </c>
      <c r="G255" t="inlineStr">
        <is>
          <t>GOTLAND</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12599-2025</t>
        </is>
      </c>
      <c r="B256" t="inlineStr">
        <is>
          <t>avverkningsanmälan</t>
        </is>
      </c>
      <c r="C256" t="inlineStr">
        <is>
          <t>Föryngringsavverkning</t>
        </is>
      </c>
      <c r="D256" s="1" t="n">
        <v>45733</v>
      </c>
      <c r="E256" s="1" t="n">
        <v>46281</v>
      </c>
      <c r="F256" t="inlineStr">
        <is>
          <t>GOTLANDS LÄN</t>
        </is>
      </c>
      <c r="G256" t="inlineStr">
        <is>
          <t>GOTLAND</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35141-2025</t>
        </is>
      </c>
      <c r="B257" t="inlineStr">
        <is>
          <t>avverkningsanmälan</t>
        </is>
      </c>
      <c r="C257" t="inlineStr">
        <is>
          <t>Föryngringsavverkning</t>
        </is>
      </c>
      <c r="D257" s="1" t="n">
        <v>45852</v>
      </c>
      <c r="E257" s="1" t="n">
        <v>46281</v>
      </c>
      <c r="F257" t="inlineStr">
        <is>
          <t>GOTLANDS LÄN</t>
        </is>
      </c>
      <c r="G257" t="inlineStr">
        <is>
          <t>GOTLAND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35142-2025</t>
        </is>
      </c>
      <c r="B258" t="inlineStr">
        <is>
          <t>avverkningsanmälan</t>
        </is>
      </c>
      <c r="C258" t="inlineStr">
        <is>
          <t>Föryngringsavverkning</t>
        </is>
      </c>
      <c r="D258" s="1" t="n">
        <v>45852</v>
      </c>
      <c r="E258" s="1" t="n">
        <v>46281</v>
      </c>
      <c r="F258" t="inlineStr">
        <is>
          <t>GOTLANDS LÄN</t>
        </is>
      </c>
      <c r="G258" t="inlineStr">
        <is>
          <t>GOTLAND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42201-2023</t>
        </is>
      </c>
      <c r="B259" t="inlineStr">
        <is>
          <t>avverkningsanmälan</t>
        </is>
      </c>
      <c r="C259" t="inlineStr">
        <is>
          <t>Föryngringsavverkning</t>
        </is>
      </c>
      <c r="D259" s="1" t="n">
        <v>45179</v>
      </c>
      <c r="E259" s="1" t="n">
        <v>46281</v>
      </c>
      <c r="F259" t="inlineStr">
        <is>
          <t>GOTLANDS LÄN</t>
        </is>
      </c>
      <c r="G259" t="inlineStr">
        <is>
          <t>GOTLAND</t>
        </is>
      </c>
      <c r="I259" t="n">
        <v>11.9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30365-2024</t>
        </is>
      </c>
      <c r="B260" t="inlineStr">
        <is>
          <t>avverkningsanmälan</t>
        </is>
      </c>
      <c r="C260" t="inlineStr">
        <is>
          <t>Föryngringsavverkning</t>
        </is>
      </c>
      <c r="D260" s="1" t="n">
        <v>45491</v>
      </c>
      <c r="E260" s="1" t="n">
        <v>46281</v>
      </c>
      <c r="F260" t="inlineStr">
        <is>
          <t>GOTLANDS LÄN</t>
        </is>
      </c>
      <c r="G260" t="inlineStr">
        <is>
          <t>GOTLAND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46281</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60675-2021</t>
        </is>
      </c>
      <c r="B262" t="inlineStr">
        <is>
          <t>avverkningsanmälan</t>
        </is>
      </c>
      <c r="C262" t="inlineStr">
        <is>
          <t>Föryngringsavverkning</t>
        </is>
      </c>
      <c r="D262" s="1" t="n">
        <v>44496</v>
      </c>
      <c r="E262" s="1" t="n">
        <v>46281</v>
      </c>
      <c r="F262" t="inlineStr">
        <is>
          <t>GOTLANDS LÄN</t>
        </is>
      </c>
      <c r="G262" t="inlineStr">
        <is>
          <t>GOTLAND</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39816-2025</t>
        </is>
      </c>
      <c r="B263" t="inlineStr">
        <is>
          <t>avverkningsanmälan</t>
        </is>
      </c>
      <c r="C263" t="inlineStr">
        <is>
          <t>Föryngringsavverkning</t>
        </is>
      </c>
      <c r="D263" s="1" t="n">
        <v>45891</v>
      </c>
      <c r="E263" s="1" t="n">
        <v>46281</v>
      </c>
      <c r="F263" t="inlineStr">
        <is>
          <t>GOTLANDS LÄN</t>
        </is>
      </c>
      <c r="G263" t="inlineStr">
        <is>
          <t>GOTLAND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40373-2025</t>
        </is>
      </c>
      <c r="B264" t="inlineStr">
        <is>
          <t>avverkningsanmälan</t>
        </is>
      </c>
      <c r="C264" t="inlineStr">
        <is>
          <t>Föryngringsavverkning</t>
        </is>
      </c>
      <c r="D264" s="1" t="n">
        <v>45895</v>
      </c>
      <c r="E264" s="1" t="n">
        <v>46281</v>
      </c>
      <c r="F264" t="inlineStr">
        <is>
          <t>GOTLANDS LÄN</t>
        </is>
      </c>
      <c r="G264" t="inlineStr">
        <is>
          <t>GOTLAND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40372-2025</t>
        </is>
      </c>
      <c r="B265" t="inlineStr">
        <is>
          <t>avverkningsanmälan</t>
        </is>
      </c>
      <c r="C265" t="inlineStr">
        <is>
          <t>Föryngringsavverkning</t>
        </is>
      </c>
      <c r="D265" s="1" t="n">
        <v>45895</v>
      </c>
      <c r="E265" s="1" t="n">
        <v>46281</v>
      </c>
      <c r="F265" t="inlineStr">
        <is>
          <t>GOTLANDS LÄN</t>
        </is>
      </c>
      <c r="G265" t="inlineStr">
        <is>
          <t>GOTLAND</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6099-2024</t>
        </is>
      </c>
      <c r="B266" t="inlineStr">
        <is>
          <t>avverkningsanmälan</t>
        </is>
      </c>
      <c r="C266" t="inlineStr">
        <is>
          <t>Föryngringsavverkning</t>
        </is>
      </c>
      <c r="D266" s="1" t="n">
        <v>45337</v>
      </c>
      <c r="E266" s="1" t="n">
        <v>46281</v>
      </c>
      <c r="F266" t="inlineStr">
        <is>
          <t>GOTLANDS LÄN</t>
        </is>
      </c>
      <c r="G266" t="inlineStr">
        <is>
          <t>GOTLAND</t>
        </is>
      </c>
      <c r="I266" t="n">
        <v>12.6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37728-2024</t>
        </is>
      </c>
      <c r="B267" t="inlineStr">
        <is>
          <t>avverkningsanmälan</t>
        </is>
      </c>
      <c r="C267" t="inlineStr">
        <is>
          <t>Föryngringsavverkning</t>
        </is>
      </c>
      <c r="D267" s="1" t="n">
        <v>45541</v>
      </c>
      <c r="E267" s="1" t="n">
        <v>46281</v>
      </c>
      <c r="F267" t="inlineStr">
        <is>
          <t>GOTLANDS LÄN</t>
        </is>
      </c>
      <c r="G267" t="inlineStr">
        <is>
          <t>GOTLAND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58780-2024</t>
        </is>
      </c>
      <c r="B268" t="inlineStr">
        <is>
          <t>avverkningsanmälan</t>
        </is>
      </c>
      <c r="C268" t="inlineStr">
        <is>
          <t>Föryngringsavverkning</t>
        </is>
      </c>
      <c r="D268" s="1" t="n">
        <v>45635</v>
      </c>
      <c r="E268" s="1" t="n">
        <v>46281</v>
      </c>
      <c r="F268" t="inlineStr">
        <is>
          <t>GOTLANDS LÄN</t>
        </is>
      </c>
      <c r="G268" t="inlineStr">
        <is>
          <t>GOTLAND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63000-2025</t>
        </is>
      </c>
      <c r="B269" t="inlineStr">
        <is>
          <t>avverkningsanmälan</t>
        </is>
      </c>
      <c r="C269" t="inlineStr">
        <is>
          <t>Föryngringsavverkning</t>
        </is>
      </c>
      <c r="D269" s="1" t="n">
        <v>46009</v>
      </c>
      <c r="E269" s="1" t="n">
        <v>46281</v>
      </c>
      <c r="F269" t="inlineStr">
        <is>
          <t>GOTLANDS LÄN</t>
        </is>
      </c>
      <c r="G269" t="inlineStr">
        <is>
          <t>GOTLAND</t>
        </is>
      </c>
      <c r="H269" t="inlineStr">
        <is>
          <t>Övriga Aktiebolag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13486-2026</t>
        </is>
      </c>
      <c r="B270" t="inlineStr">
        <is>
          <t>avverkningsanmälan</t>
        </is>
      </c>
      <c r="C270" t="inlineStr">
        <is>
          <t>Föryngringsavverkning</t>
        </is>
      </c>
      <c r="D270" s="1" t="n">
        <v>46094</v>
      </c>
      <c r="E270" s="1" t="n">
        <v>46281</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62751-2025</t>
        </is>
      </c>
      <c r="B271" t="inlineStr">
        <is>
          <t>avverkningsanmälan</t>
        </is>
      </c>
      <c r="C271" t="inlineStr">
        <is>
          <t>Föryngringsavverkning</t>
        </is>
      </c>
      <c r="D271" s="1" t="n">
        <v>46008</v>
      </c>
      <c r="E271" s="1" t="n">
        <v>46281</v>
      </c>
      <c r="F271" t="inlineStr">
        <is>
          <t>GOTLANDS LÄN</t>
        </is>
      </c>
      <c r="G271" t="inlineStr">
        <is>
          <t>GOTLAND</t>
        </is>
      </c>
      <c r="H271" t="inlineStr">
        <is>
          <t>Övriga Aktiebolag</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33876-2024</t>
        </is>
      </c>
      <c r="B272" t="inlineStr">
        <is>
          <t>avverkningsanmälan</t>
        </is>
      </c>
      <c r="C272" t="inlineStr">
        <is>
          <t>Föryngringsavverkning</t>
        </is>
      </c>
      <c r="D272" s="1" t="n">
        <v>45521</v>
      </c>
      <c r="E272" s="1" t="n">
        <v>46281</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28285-2024</t>
        </is>
      </c>
      <c r="B273" t="inlineStr">
        <is>
          <t>avverkningsanmälan</t>
        </is>
      </c>
      <c r="C273" t="inlineStr">
        <is>
          <t>Avverkning för annat ändamål</t>
        </is>
      </c>
      <c r="D273" s="1" t="n">
        <v>45477</v>
      </c>
      <c r="E273" s="1" t="n">
        <v>46281</v>
      </c>
      <c r="F273" t="inlineStr">
        <is>
          <t>GOTLANDS LÄN</t>
        </is>
      </c>
      <c r="G273" t="inlineStr">
        <is>
          <t>GOTLAND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61682-2024</t>
        </is>
      </c>
      <c r="B274" t="inlineStr">
        <is>
          <t>avverkningsanmälan</t>
        </is>
      </c>
      <c r="C274" t="inlineStr">
        <is>
          <t>Föryngringsavverkning</t>
        </is>
      </c>
      <c r="D274" s="1" t="n">
        <v>45647</v>
      </c>
      <c r="E274" s="1" t="n">
        <v>46281</v>
      </c>
      <c r="F274" t="inlineStr">
        <is>
          <t>GOTLANDS LÄN</t>
        </is>
      </c>
      <c r="G274" t="inlineStr">
        <is>
          <t>GOTLAND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22287-2022</t>
        </is>
      </c>
      <c r="B275" t="inlineStr">
        <is>
          <t>avverkningsanmälan</t>
        </is>
      </c>
      <c r="C275" t="inlineStr">
        <is>
          <t>Avverkning för annat ändamål</t>
        </is>
      </c>
      <c r="D275" s="1" t="n">
        <v>44712</v>
      </c>
      <c r="E275" s="1" t="n">
        <v>46281</v>
      </c>
      <c r="F275" t="inlineStr">
        <is>
          <t>GOTLANDS LÄN</t>
        </is>
      </c>
      <c r="G275" t="inlineStr">
        <is>
          <t>GOTLAND</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43951-2025</t>
        </is>
      </c>
      <c r="B276" t="inlineStr">
        <is>
          <t>avverkningsanmälan</t>
        </is>
      </c>
      <c r="C276" t="inlineStr">
        <is>
          <t>Föryngringsavverkning</t>
        </is>
      </c>
      <c r="D276" s="1" t="n">
        <v>45915</v>
      </c>
      <c r="E276" s="1" t="n">
        <v>46281</v>
      </c>
      <c r="F276" t="inlineStr">
        <is>
          <t>GOTLANDS LÄN</t>
        </is>
      </c>
      <c r="G276" t="inlineStr">
        <is>
          <t>GOTLAND</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17688-2024</t>
        </is>
      </c>
      <c r="B277" t="inlineStr">
        <is>
          <t>avverkningsanmälan</t>
        </is>
      </c>
      <c r="C277" t="inlineStr">
        <is>
          <t>Föryngringsavverkning</t>
        </is>
      </c>
      <c r="D277" s="1" t="n">
        <v>45418</v>
      </c>
      <c r="E277" s="1" t="n">
        <v>46281</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54074-2022</t>
        </is>
      </c>
      <c r="B278" t="inlineStr">
        <is>
          <t>avverkningsanmälan</t>
        </is>
      </c>
      <c r="C278" t="inlineStr">
        <is>
          <t>Föryngringsavverkning</t>
        </is>
      </c>
      <c r="D278" s="1" t="n">
        <v>44881</v>
      </c>
      <c r="E278" s="1" t="n">
        <v>46281</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7837-2024</t>
        </is>
      </c>
      <c r="B279" t="inlineStr">
        <is>
          <t>avverkningsanmälan</t>
        </is>
      </c>
      <c r="C279" t="inlineStr">
        <is>
          <t>Föryngringsavverkning</t>
        </is>
      </c>
      <c r="D279" s="1" t="n">
        <v>45349</v>
      </c>
      <c r="E279" s="1" t="n">
        <v>46281</v>
      </c>
      <c r="F279" t="inlineStr">
        <is>
          <t>GOTLANDS LÄN</t>
        </is>
      </c>
      <c r="G279" t="inlineStr">
        <is>
          <t>GOTLAND</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65249-2023</t>
        </is>
      </c>
      <c r="B280" t="inlineStr">
        <is>
          <t>avverkningsanmälan</t>
        </is>
      </c>
      <c r="C280" t="inlineStr">
        <is>
          <t>Föryngringsavverkning</t>
        </is>
      </c>
      <c r="D280" s="1" t="n">
        <v>45290</v>
      </c>
      <c r="E280" s="1" t="n">
        <v>46281</v>
      </c>
      <c r="F280" t="inlineStr">
        <is>
          <t>GOTLANDS LÄN</t>
        </is>
      </c>
      <c r="G280" t="inlineStr">
        <is>
          <t>GOTLAND</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16993-2026</t>
        </is>
      </c>
      <c r="B281" t="inlineStr">
        <is>
          <t>avverkningsanmälan</t>
        </is>
      </c>
      <c r="C281" t="inlineStr">
        <is>
          <t>Föryngringsavverkning</t>
        </is>
      </c>
      <c r="D281" s="1" t="n">
        <v>46114</v>
      </c>
      <c r="E281" s="1" t="n">
        <v>46281</v>
      </c>
      <c r="F281" t="inlineStr">
        <is>
          <t>GOTLANDS LÄN</t>
        </is>
      </c>
      <c r="G281" t="inlineStr">
        <is>
          <t>GOTLAND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26391-2025</t>
        </is>
      </c>
      <c r="B282" t="inlineStr">
        <is>
          <t>avverkningsanmälan</t>
        </is>
      </c>
      <c r="C282" t="inlineStr">
        <is>
          <t>Avverkning för annat ändamål</t>
        </is>
      </c>
      <c r="D282" s="1" t="n">
        <v>45806</v>
      </c>
      <c r="E282" s="1" t="n">
        <v>46281</v>
      </c>
      <c r="F282" t="inlineStr">
        <is>
          <t>GOTLANDS LÄN</t>
        </is>
      </c>
      <c r="G282" t="inlineStr">
        <is>
          <t>GOTLAND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35512-2023</t>
        </is>
      </c>
      <c r="B283" t="inlineStr">
        <is>
          <t>avverkningsanmälan</t>
        </is>
      </c>
      <c r="C283" t="inlineStr">
        <is>
          <t>Föryngringsavverkning</t>
        </is>
      </c>
      <c r="D283" s="1" t="n">
        <v>45147</v>
      </c>
      <c r="E283" s="1" t="n">
        <v>46281</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46281</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46836-2025</t>
        </is>
      </c>
      <c r="B285" t="inlineStr">
        <is>
          <t>avverkningsanmälan</t>
        </is>
      </c>
      <c r="C285" t="inlineStr">
        <is>
          <t>Föryngringsavverkning</t>
        </is>
      </c>
      <c r="D285" s="1" t="n">
        <v>45928</v>
      </c>
      <c r="E285" s="1" t="n">
        <v>46281</v>
      </c>
      <c r="F285" t="inlineStr">
        <is>
          <t>GOTLANDS LÄN</t>
        </is>
      </c>
      <c r="G285" t="inlineStr">
        <is>
          <t>GOTLAND</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1291-2023</t>
        </is>
      </c>
      <c r="B286" t="inlineStr">
        <is>
          <t>avverkningsanmälan</t>
        </is>
      </c>
      <c r="C286" t="inlineStr">
        <is>
          <t>Föryngringsavverkning</t>
        </is>
      </c>
      <c r="D286" s="1" t="n">
        <v>44936</v>
      </c>
      <c r="E286" s="1" t="n">
        <v>46281</v>
      </c>
      <c r="F286" t="inlineStr">
        <is>
          <t>GOTLANDS LÄN</t>
        </is>
      </c>
      <c r="G286" t="inlineStr">
        <is>
          <t>GOTLAND</t>
        </is>
      </c>
      <c r="I286" t="n">
        <v>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57652-2023</t>
        </is>
      </c>
      <c r="B287" t="inlineStr">
        <is>
          <t>avverkningsanmälan</t>
        </is>
      </c>
      <c r="C287" t="inlineStr">
        <is>
          <t>Avverkning för annat ändamål</t>
        </is>
      </c>
      <c r="D287" s="1" t="n">
        <v>45246</v>
      </c>
      <c r="E287" s="1" t="n">
        <v>46281</v>
      </c>
      <c r="F287" t="inlineStr">
        <is>
          <t>GOTLANDS LÄN</t>
        </is>
      </c>
      <c r="G287" t="inlineStr">
        <is>
          <t>GOTLAND</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47637-2025</t>
        </is>
      </c>
      <c r="B288" t="inlineStr">
        <is>
          <t>avverkningsanmälan</t>
        </is>
      </c>
      <c r="C288" t="inlineStr">
        <is>
          <t>Föryngringsavverkning</t>
        </is>
      </c>
      <c r="D288" s="1" t="n">
        <v>45931</v>
      </c>
      <c r="E288" s="1" t="n">
        <v>46281</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18804-2026</t>
        </is>
      </c>
      <c r="B289" t="inlineStr">
        <is>
          <t>avverkningsanmälan</t>
        </is>
      </c>
      <c r="C289" t="inlineStr">
        <is>
          <t>Föryngringsavverkning</t>
        </is>
      </c>
      <c r="D289" s="1" t="n">
        <v>46128</v>
      </c>
      <c r="E289" s="1" t="n">
        <v>46281</v>
      </c>
      <c r="F289" t="inlineStr">
        <is>
          <t>GOTLANDS LÄN</t>
        </is>
      </c>
      <c r="G289" t="inlineStr">
        <is>
          <t>GOTLAND</t>
        </is>
      </c>
      <c r="H289" t="inlineStr">
        <is>
          <t>Kyrkan</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35550-2025</t>
        </is>
      </c>
      <c r="B290" t="inlineStr">
        <is>
          <t>avverkningsanmälan</t>
        </is>
      </c>
      <c r="C290" t="inlineStr">
        <is>
          <t>Föryngringsavverkning</t>
        </is>
      </c>
      <c r="D290" s="1" t="n">
        <v>45856</v>
      </c>
      <c r="E290" s="1" t="n">
        <v>46281</v>
      </c>
      <c r="F290" t="inlineStr">
        <is>
          <t>GOTLANDS LÄN</t>
        </is>
      </c>
      <c r="G290" t="inlineStr">
        <is>
          <t>GOTLAND</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17780-2022</t>
        </is>
      </c>
      <c r="B291" t="inlineStr">
        <is>
          <t>avverkningsanmälan</t>
        </is>
      </c>
      <c r="C291" t="inlineStr">
        <is>
          <t>Föryngringsavverkning</t>
        </is>
      </c>
      <c r="D291" s="1" t="n">
        <v>44682</v>
      </c>
      <c r="E291" s="1" t="n">
        <v>46281</v>
      </c>
      <c r="F291" t="inlineStr">
        <is>
          <t>GOTLANDS LÄN</t>
        </is>
      </c>
      <c r="G291" t="inlineStr">
        <is>
          <t>GOTLAND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47578-2025</t>
        </is>
      </c>
      <c r="B292" t="inlineStr">
        <is>
          <t>avverkningsanmälan</t>
        </is>
      </c>
      <c r="C292" t="inlineStr">
        <is>
          <t>Avverkning för annat ändamål</t>
        </is>
      </c>
      <c r="D292" s="1" t="n">
        <v>45931</v>
      </c>
      <c r="E292" s="1" t="n">
        <v>46281</v>
      </c>
      <c r="F292" t="inlineStr">
        <is>
          <t>GOTLANDS LÄN</t>
        </is>
      </c>
      <c r="G292" t="inlineStr">
        <is>
          <t>GOTLAND</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49315-2024</t>
        </is>
      </c>
      <c r="B293" t="inlineStr">
        <is>
          <t>avverkningsanmälan</t>
        </is>
      </c>
      <c r="C293" t="inlineStr">
        <is>
          <t>Avverkning för annat ändamål</t>
        </is>
      </c>
      <c r="D293" s="1" t="n">
        <v>45595</v>
      </c>
      <c r="E293" s="1" t="n">
        <v>46281</v>
      </c>
      <c r="F293" t="inlineStr">
        <is>
          <t>GOTLANDS LÄN</t>
        </is>
      </c>
      <c r="G293" t="inlineStr">
        <is>
          <t>GOTLAND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49730-2025</t>
        </is>
      </c>
      <c r="B294" t="inlineStr">
        <is>
          <t>avverkningsanmälan</t>
        </is>
      </c>
      <c r="C294" t="inlineStr">
        <is>
          <t>Föryngringsavverkning</t>
        </is>
      </c>
      <c r="D294" s="1" t="n">
        <v>45939</v>
      </c>
      <c r="E294" s="1" t="n">
        <v>46281</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2676-2023</t>
        </is>
      </c>
      <c r="B295" t="inlineStr">
        <is>
          <t>avverkningsanmälan</t>
        </is>
      </c>
      <c r="C295" t="inlineStr">
        <is>
          <t>Avverkning för annat ändamål</t>
        </is>
      </c>
      <c r="D295" s="1" t="n">
        <v>44944</v>
      </c>
      <c r="E295" s="1" t="n">
        <v>46281</v>
      </c>
      <c r="F295" t="inlineStr">
        <is>
          <t>GOTLANDS LÄN</t>
        </is>
      </c>
      <c r="G295" t="inlineStr">
        <is>
          <t>GOTLAND</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49690-2025</t>
        </is>
      </c>
      <c r="B296" t="inlineStr">
        <is>
          <t>avverkningsanmälan</t>
        </is>
      </c>
      <c r="C296" t="inlineStr">
        <is>
          <t>Föryngringsavverkning</t>
        </is>
      </c>
      <c r="D296" s="1" t="n">
        <v>45939</v>
      </c>
      <c r="E296" s="1" t="n">
        <v>46281</v>
      </c>
      <c r="F296" t="inlineStr">
        <is>
          <t>GOTLANDS LÄN</t>
        </is>
      </c>
      <c r="G296" t="inlineStr">
        <is>
          <t>GOTLAND</t>
        </is>
      </c>
      <c r="I296" t="n">
        <v>8.199999999999999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59986-2022</t>
        </is>
      </c>
      <c r="B297" t="inlineStr">
        <is>
          <t>avverkningsanmälan</t>
        </is>
      </c>
      <c r="C297" t="inlineStr">
        <is>
          <t>Avverkning för annat ändamål</t>
        </is>
      </c>
      <c r="D297" s="1" t="n">
        <v>44909</v>
      </c>
      <c r="E297" s="1" t="n">
        <v>46281</v>
      </c>
      <c r="F297" t="inlineStr">
        <is>
          <t>GOTLANDS LÄN</t>
        </is>
      </c>
      <c r="G297" t="inlineStr">
        <is>
          <t>GOTLAND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26467-2025</t>
        </is>
      </c>
      <c r="B298" t="inlineStr">
        <is>
          <t>avverkningsanmälan</t>
        </is>
      </c>
      <c r="C298" t="inlineStr">
        <is>
          <t>Föryngringsavverkning</t>
        </is>
      </c>
      <c r="D298" s="1" t="n">
        <v>45807</v>
      </c>
      <c r="E298" s="1" t="n">
        <v>46281</v>
      </c>
      <c r="F298" t="inlineStr">
        <is>
          <t>GOTLANDS LÄN</t>
        </is>
      </c>
      <c r="G298" t="inlineStr">
        <is>
          <t>GOTLAND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8484-2025</t>
        </is>
      </c>
      <c r="B299" t="inlineStr">
        <is>
          <t>avverkningsanmälan</t>
        </is>
      </c>
      <c r="C299" t="inlineStr">
        <is>
          <t>Avverkning för annat ändamål</t>
        </is>
      </c>
      <c r="D299" s="1" t="n">
        <v>45709</v>
      </c>
      <c r="E299" s="1" t="n">
        <v>46281</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7636-2025</t>
        </is>
      </c>
      <c r="B300" t="inlineStr">
        <is>
          <t>avverkningsanmälan</t>
        </is>
      </c>
      <c r="C300" t="inlineStr">
        <is>
          <t>Föryngringsavverkning</t>
        </is>
      </c>
      <c r="D300" s="1" t="n">
        <v>45705</v>
      </c>
      <c r="E300" s="1" t="n">
        <v>46281</v>
      </c>
      <c r="F300" t="inlineStr">
        <is>
          <t>GOTLANDS LÄN</t>
        </is>
      </c>
      <c r="G300" t="inlineStr">
        <is>
          <t>GOTLAND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7639-2025</t>
        </is>
      </c>
      <c r="B301" t="inlineStr">
        <is>
          <t>avverkningsanmälan</t>
        </is>
      </c>
      <c r="C301" t="inlineStr">
        <is>
          <t>Föryngringsavverkning</t>
        </is>
      </c>
      <c r="D301" s="1" t="n">
        <v>45705</v>
      </c>
      <c r="E301" s="1" t="n">
        <v>46281</v>
      </c>
      <c r="F301" t="inlineStr">
        <is>
          <t>GOTLANDS LÄN</t>
        </is>
      </c>
      <c r="G301" t="inlineStr">
        <is>
          <t>GOTLAND</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29207-2025</t>
        </is>
      </c>
      <c r="B302" t="inlineStr">
        <is>
          <t>avverkningsanmälan</t>
        </is>
      </c>
      <c r="C302" t="inlineStr">
        <is>
          <t>Föryngringsavverkning</t>
        </is>
      </c>
      <c r="D302" s="1" t="n">
        <v>45823</v>
      </c>
      <c r="E302" s="1" t="n">
        <v>46281</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25796-2025</t>
        </is>
      </c>
      <c r="B303" t="inlineStr">
        <is>
          <t>avverkningsanmälan</t>
        </is>
      </c>
      <c r="C303" t="inlineStr">
        <is>
          <t>Föryngringsavverkning</t>
        </is>
      </c>
      <c r="D303" s="1" t="n">
        <v>45804</v>
      </c>
      <c r="E303" s="1" t="n">
        <v>46281</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2180-2025</t>
        </is>
      </c>
      <c r="B304" t="inlineStr">
        <is>
          <t>avverkningsanmälan</t>
        </is>
      </c>
      <c r="C304" t="inlineStr">
        <is>
          <t>Föryngringsavverkning</t>
        </is>
      </c>
      <c r="D304" s="1" t="n">
        <v>45673</v>
      </c>
      <c r="E304" s="1" t="n">
        <v>46281</v>
      </c>
      <c r="F304" t="inlineStr">
        <is>
          <t>GOTLANDS LÄN</t>
        </is>
      </c>
      <c r="G304" t="inlineStr">
        <is>
          <t>GOTLAND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62754-2025</t>
        </is>
      </c>
      <c r="B305" t="inlineStr">
        <is>
          <t>avverkningsanmälan</t>
        </is>
      </c>
      <c r="C305" t="inlineStr">
        <is>
          <t>Föryngringsavverkning</t>
        </is>
      </c>
      <c r="D305" s="1" t="n">
        <v>46008</v>
      </c>
      <c r="E305" s="1" t="n">
        <v>46281</v>
      </c>
      <c r="F305" t="inlineStr">
        <is>
          <t>GOTLANDS LÄN</t>
        </is>
      </c>
      <c r="G305" t="inlineStr">
        <is>
          <t>GOTLAND</t>
        </is>
      </c>
      <c r="H305" t="inlineStr">
        <is>
          <t>Övriga Aktiebolag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20356-2022</t>
        </is>
      </c>
      <c r="B306" t="inlineStr">
        <is>
          <t>avverkningsanmälan</t>
        </is>
      </c>
      <c r="C306" t="inlineStr">
        <is>
          <t>Avverkning för annat ändamål</t>
        </is>
      </c>
      <c r="D306" s="1" t="n">
        <v>44699</v>
      </c>
      <c r="E306" s="1" t="n">
        <v>46281</v>
      </c>
      <c r="F306" t="inlineStr">
        <is>
          <t>GOTLANDS LÄN</t>
        </is>
      </c>
      <c r="G306" t="inlineStr">
        <is>
          <t>GOTLAND</t>
        </is>
      </c>
      <c r="H306" t="inlineStr">
        <is>
          <t>Övriga Aktiebolag</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48734-2022</t>
        </is>
      </c>
      <c r="B307" t="inlineStr">
        <is>
          <t>avverkningsanmälan</t>
        </is>
      </c>
      <c r="C307" t="inlineStr">
        <is>
          <t>Föryngringsavverkning</t>
        </is>
      </c>
      <c r="D307" s="1" t="n">
        <v>44855</v>
      </c>
      <c r="E307" s="1" t="n">
        <v>46281</v>
      </c>
      <c r="F307" t="inlineStr">
        <is>
          <t>GOTLANDS LÄN</t>
        </is>
      </c>
      <c r="G307" t="inlineStr">
        <is>
          <t>GOTLAND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20225-2025</t>
        </is>
      </c>
      <c r="B308" t="inlineStr">
        <is>
          <t>avverkningsanmälan</t>
        </is>
      </c>
      <c r="C308" t="inlineStr">
        <is>
          <t>Föryngringsavverkning</t>
        </is>
      </c>
      <c r="D308" s="1" t="n">
        <v>45772</v>
      </c>
      <c r="E308" s="1" t="n">
        <v>46281</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32379-2025</t>
        </is>
      </c>
      <c r="B309" t="inlineStr">
        <is>
          <t>avverkningsanmälan</t>
        </is>
      </c>
      <c r="C309" t="inlineStr">
        <is>
          <t>Föryngringsavverkning</t>
        </is>
      </c>
      <c r="D309" s="1" t="n">
        <v>45837</v>
      </c>
      <c r="E309" s="1" t="n">
        <v>46281</v>
      </c>
      <c r="F309" t="inlineStr">
        <is>
          <t>GOTLANDS LÄN</t>
        </is>
      </c>
      <c r="G309" t="inlineStr">
        <is>
          <t>GOTLAND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45112-2024</t>
        </is>
      </c>
      <c r="B310" t="inlineStr">
        <is>
          <t>avverkningsanmälan</t>
        </is>
      </c>
      <c r="C310" t="inlineStr">
        <is>
          <t>Föryngringsavverkning</t>
        </is>
      </c>
      <c r="D310" s="1" t="n">
        <v>45575</v>
      </c>
      <c r="E310" s="1" t="n">
        <v>46281</v>
      </c>
      <c r="F310" t="inlineStr">
        <is>
          <t>GOTLANDS LÄN</t>
        </is>
      </c>
      <c r="G310" t="inlineStr">
        <is>
          <t>GOTLAND</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1854-2026</t>
        </is>
      </c>
      <c r="B311" t="inlineStr">
        <is>
          <t>avverkningsanmälan</t>
        </is>
      </c>
      <c r="C311" t="inlineStr">
        <is>
          <t>Föryngringsavverkning</t>
        </is>
      </c>
      <c r="D311" s="1" t="n">
        <v>46035</v>
      </c>
      <c r="E311" s="1" t="n">
        <v>46281</v>
      </c>
      <c r="F311" t="inlineStr">
        <is>
          <t>GOTLANDS LÄN</t>
        </is>
      </c>
      <c r="G311" t="inlineStr">
        <is>
          <t>GOTLAND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13910-2025</t>
        </is>
      </c>
      <c r="B312" t="inlineStr">
        <is>
          <t>avverkningsanmälan</t>
        </is>
      </c>
      <c r="C312" t="inlineStr">
        <is>
          <t>Föryngringsavverkning</t>
        </is>
      </c>
      <c r="D312" s="1" t="n">
        <v>45737</v>
      </c>
      <c r="E312" s="1" t="n">
        <v>46281</v>
      </c>
      <c r="F312" t="inlineStr">
        <is>
          <t>GOTLANDS LÄN</t>
        </is>
      </c>
      <c r="G312" t="inlineStr">
        <is>
          <t>GOTLAND</t>
        </is>
      </c>
      <c r="H312" t="inlineStr">
        <is>
          <t>Kommuner</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57685-2022</t>
        </is>
      </c>
      <c r="B313" t="inlineStr">
        <is>
          <t>avverkningsanmälan</t>
        </is>
      </c>
      <c r="C313" t="inlineStr">
        <is>
          <t>Föryngringsavverkning</t>
        </is>
      </c>
      <c r="D313" s="1" t="n">
        <v>44897</v>
      </c>
      <c r="E313" s="1" t="n">
        <v>46281</v>
      </c>
      <c r="F313" t="inlineStr">
        <is>
          <t>GOTLANDS LÄN</t>
        </is>
      </c>
      <c r="G313" t="inlineStr">
        <is>
          <t>GOTLAND</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30815-2023</t>
        </is>
      </c>
      <c r="B314" t="inlineStr">
        <is>
          <t>avverkningsanmälan</t>
        </is>
      </c>
      <c r="C314" t="inlineStr">
        <is>
          <t>Avverkning för annat ändamål</t>
        </is>
      </c>
      <c r="D314" s="1" t="n">
        <v>45112</v>
      </c>
      <c r="E314" s="1" t="n">
        <v>46281</v>
      </c>
      <c r="F314" t="inlineStr">
        <is>
          <t>GOTLANDS LÄN</t>
        </is>
      </c>
      <c r="G314" t="inlineStr">
        <is>
          <t>GOTLAND</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6959-2026</t>
        </is>
      </c>
      <c r="B315" t="inlineStr">
        <is>
          <t>avverkningsanmälan</t>
        </is>
      </c>
      <c r="C315" t="inlineStr">
        <is>
          <t>Föryngringsavverkning</t>
        </is>
      </c>
      <c r="D315" s="1" t="n">
        <v>46057</v>
      </c>
      <c r="E315" s="1" t="n">
        <v>46281</v>
      </c>
      <c r="F315" t="inlineStr">
        <is>
          <t>GOTLANDS LÄN</t>
        </is>
      </c>
      <c r="G315" t="inlineStr">
        <is>
          <t>GOTLAND</t>
        </is>
      </c>
      <c r="H315" t="inlineStr">
        <is>
          <t>Kyrkan</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7034-2023</t>
        </is>
      </c>
      <c r="B316" t="inlineStr">
        <is>
          <t>avverkningsanmälan</t>
        </is>
      </c>
      <c r="C316" t="inlineStr">
        <is>
          <t>Föryngringsavverkning</t>
        </is>
      </c>
      <c r="D316" s="1" t="n">
        <v>44968</v>
      </c>
      <c r="E316" s="1" t="n">
        <v>46281</v>
      </c>
      <c r="F316" t="inlineStr">
        <is>
          <t>GOTLANDS LÄN</t>
        </is>
      </c>
      <c r="G316" t="inlineStr">
        <is>
          <t>GOTLAND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23516-2023</t>
        </is>
      </c>
      <c r="B317" t="inlineStr">
        <is>
          <t>avverkningsanmälan</t>
        </is>
      </c>
      <c r="C317" t="inlineStr">
        <is>
          <t>Föryngringsavverkning</t>
        </is>
      </c>
      <c r="D317" s="1" t="n">
        <v>45076</v>
      </c>
      <c r="E317" s="1" t="n">
        <v>46281</v>
      </c>
      <c r="F317" t="inlineStr">
        <is>
          <t>GOTLANDS LÄN</t>
        </is>
      </c>
      <c r="G317" t="inlineStr">
        <is>
          <t>GOTLAND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64660-2023</t>
        </is>
      </c>
      <c r="B318" t="inlineStr">
        <is>
          <t>avverkningsanmälan</t>
        </is>
      </c>
      <c r="C318" t="inlineStr">
        <is>
          <t>Föryngringsavverkning</t>
        </is>
      </c>
      <c r="D318" s="1" t="n">
        <v>45281</v>
      </c>
      <c r="E318" s="1" t="n">
        <v>46281</v>
      </c>
      <c r="F318" t="inlineStr">
        <is>
          <t>GOTLANDS LÄN</t>
        </is>
      </c>
      <c r="G318" t="inlineStr">
        <is>
          <t>GOTLAND</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38165-2023</t>
        </is>
      </c>
      <c r="B319" t="inlineStr">
        <is>
          <t>avverkningsanmälan</t>
        </is>
      </c>
      <c r="C319" t="inlineStr">
        <is>
          <t>Föryngringsavverkning</t>
        </is>
      </c>
      <c r="D319" s="1" t="n">
        <v>45161</v>
      </c>
      <c r="E319" s="1" t="n">
        <v>46281</v>
      </c>
      <c r="F319" t="inlineStr">
        <is>
          <t>GOTLANDS LÄN</t>
        </is>
      </c>
      <c r="G319" t="inlineStr">
        <is>
          <t>GOTLAND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63763-2023</t>
        </is>
      </c>
      <c r="B320" t="inlineStr">
        <is>
          <t>avverkningsanmälan</t>
        </is>
      </c>
      <c r="C320" t="inlineStr">
        <is>
          <t>Föryngringsavverkning</t>
        </is>
      </c>
      <c r="D320" s="1" t="n">
        <v>45278</v>
      </c>
      <c r="E320" s="1" t="n">
        <v>46281</v>
      </c>
      <c r="F320" t="inlineStr">
        <is>
          <t>GOTLANDS LÄN</t>
        </is>
      </c>
      <c r="G320" t="inlineStr">
        <is>
          <t>GOTLAND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35537-2025</t>
        </is>
      </c>
      <c r="B321" t="inlineStr">
        <is>
          <t>avverkningsanmälan</t>
        </is>
      </c>
      <c r="C321" t="inlineStr">
        <is>
          <t>Föryngringsavverkning</t>
        </is>
      </c>
      <c r="D321" s="1" t="n">
        <v>45856</v>
      </c>
      <c r="E321" s="1" t="n">
        <v>46281</v>
      </c>
      <c r="F321" t="inlineStr">
        <is>
          <t>GOTLANDS LÄN</t>
        </is>
      </c>
      <c r="G321" t="inlineStr">
        <is>
          <t>GOTLAND</t>
        </is>
      </c>
      <c r="I321" t="n">
        <v>16.8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1734-2025</t>
        </is>
      </c>
      <c r="B322" t="inlineStr">
        <is>
          <t>avverkningsanmälan</t>
        </is>
      </c>
      <c r="C322" t="inlineStr">
        <is>
          <t>Föryngringsavverkning</t>
        </is>
      </c>
      <c r="D322" s="1" t="n">
        <v>45671</v>
      </c>
      <c r="E322" s="1" t="n">
        <v>46281</v>
      </c>
      <c r="F322" t="inlineStr">
        <is>
          <t>GOTLANDS LÄN</t>
        </is>
      </c>
      <c r="G322" t="inlineStr">
        <is>
          <t>GOTLAND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11874-2024</t>
        </is>
      </c>
      <c r="B323" t="inlineStr">
        <is>
          <t>avverkningsanmälan</t>
        </is>
      </c>
      <c r="C323" t="inlineStr">
        <is>
          <t>Föryngringsavverkning</t>
        </is>
      </c>
      <c r="D323" s="1" t="n">
        <v>45376</v>
      </c>
      <c r="E323" s="1" t="n">
        <v>46281</v>
      </c>
      <c r="F323" t="inlineStr">
        <is>
          <t>GOTLANDS LÄN</t>
        </is>
      </c>
      <c r="G323" t="inlineStr">
        <is>
          <t>GOTLAND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46281</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42041-2024</t>
        </is>
      </c>
      <c r="B325" t="inlineStr">
        <is>
          <t>avverkningsanmälan</t>
        </is>
      </c>
      <c r="C325" t="inlineStr">
        <is>
          <t>Föryngringsavverkning</t>
        </is>
      </c>
      <c r="D325" s="1" t="n">
        <v>45561</v>
      </c>
      <c r="E325" s="1" t="n">
        <v>46281</v>
      </c>
      <c r="F325" t="inlineStr">
        <is>
          <t>GOTLANDS LÄN</t>
        </is>
      </c>
      <c r="G325" t="inlineStr">
        <is>
          <t>GOTLAND</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61694-2023</t>
        </is>
      </c>
      <c r="B326" t="inlineStr">
        <is>
          <t>avverkningsanmälan</t>
        </is>
      </c>
      <c r="C326" t="inlineStr">
        <is>
          <t>Föryngringsavverkning</t>
        </is>
      </c>
      <c r="D326" s="1" t="n">
        <v>45264</v>
      </c>
      <c r="E326" s="1" t="n">
        <v>46281</v>
      </c>
      <c r="F326" t="inlineStr">
        <is>
          <t>GOTLANDS LÄN</t>
        </is>
      </c>
      <c r="G326" t="inlineStr">
        <is>
          <t>GOTLAND</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56799-2025</t>
        </is>
      </c>
      <c r="B327" t="inlineStr">
        <is>
          <t>avverkningsanmälan</t>
        </is>
      </c>
      <c r="C327" t="inlineStr">
        <is>
          <t>Föryngringsavverkning</t>
        </is>
      </c>
      <c r="D327" s="1" t="n">
        <v>45978</v>
      </c>
      <c r="E327" s="1" t="n">
        <v>46281</v>
      </c>
      <c r="F327" t="inlineStr">
        <is>
          <t>GOTLANDS LÄN</t>
        </is>
      </c>
      <c r="G327" t="inlineStr">
        <is>
          <t>GOTLAND</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12596-2023</t>
        </is>
      </c>
      <c r="B328" t="inlineStr">
        <is>
          <t>avverkningsanmälan</t>
        </is>
      </c>
      <c r="C328" t="inlineStr">
        <is>
          <t>Föryngringsavverkning</t>
        </is>
      </c>
      <c r="D328" s="1" t="n">
        <v>45000</v>
      </c>
      <c r="E328" s="1" t="n">
        <v>46281</v>
      </c>
      <c r="F328" t="inlineStr">
        <is>
          <t>GOTLANDS LÄN</t>
        </is>
      </c>
      <c r="G328" t="inlineStr">
        <is>
          <t>GOTLAND</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2125-2025</t>
        </is>
      </c>
      <c r="B329" t="inlineStr">
        <is>
          <t>avverkningsanmälan</t>
        </is>
      </c>
      <c r="C329" t="inlineStr">
        <is>
          <t>Föryngringsavverkning</t>
        </is>
      </c>
      <c r="D329" s="1" t="n">
        <v>45672</v>
      </c>
      <c r="E329" s="1" t="n">
        <v>46281</v>
      </c>
      <c r="F329" t="inlineStr">
        <is>
          <t>GOTLANDS LÄN</t>
        </is>
      </c>
      <c r="G329" t="inlineStr">
        <is>
          <t>GOTLAND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12155-2023</t>
        </is>
      </c>
      <c r="B330" t="inlineStr">
        <is>
          <t>avverkningsanmälan</t>
        </is>
      </c>
      <c r="C330" t="inlineStr">
        <is>
          <t>Föryngringsavverkning</t>
        </is>
      </c>
      <c r="D330" s="1" t="n">
        <v>44998</v>
      </c>
      <c r="E330" s="1" t="n">
        <v>46281</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457-2023</t>
        </is>
      </c>
      <c r="B331" t="inlineStr">
        <is>
          <t>avverkningsanmälan</t>
        </is>
      </c>
      <c r="C331" t="inlineStr">
        <is>
          <t>Föryngringsavverkning</t>
        </is>
      </c>
      <c r="D331" s="1" t="n">
        <v>44929</v>
      </c>
      <c r="E331" s="1" t="n">
        <v>46281</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459-2023</t>
        </is>
      </c>
      <c r="B332" t="inlineStr">
        <is>
          <t>avverkningsanmälan</t>
        </is>
      </c>
      <c r="C332" t="inlineStr">
        <is>
          <t>Föryngringsavverkning</t>
        </is>
      </c>
      <c r="D332" s="1" t="n">
        <v>44929</v>
      </c>
      <c r="E332" s="1" t="n">
        <v>46281</v>
      </c>
      <c r="F332" t="inlineStr">
        <is>
          <t>GOTLANDS LÄN</t>
        </is>
      </c>
      <c r="G332" t="inlineStr">
        <is>
          <t>GOTLAND</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38234-2023</t>
        </is>
      </c>
      <c r="B333" t="inlineStr">
        <is>
          <t>avverkningsanmälan</t>
        </is>
      </c>
      <c r="C333" t="inlineStr">
        <is>
          <t>Föryngringsavverkning</t>
        </is>
      </c>
      <c r="D333" s="1" t="n">
        <v>45161</v>
      </c>
      <c r="E333" s="1" t="n">
        <v>46281</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64555-2023</t>
        </is>
      </c>
      <c r="B334" t="inlineStr">
        <is>
          <t>avverkningsanmälan</t>
        </is>
      </c>
      <c r="C334" t="inlineStr">
        <is>
          <t>Avverkning för annat ändamål</t>
        </is>
      </c>
      <c r="D334" s="1" t="n">
        <v>45281</v>
      </c>
      <c r="E334" s="1" t="n">
        <v>46281</v>
      </c>
      <c r="F334" t="inlineStr">
        <is>
          <t>GOTLANDS LÄN</t>
        </is>
      </c>
      <c r="G334" t="inlineStr">
        <is>
          <t>GOTLAND</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64831-2023</t>
        </is>
      </c>
      <c r="B335" t="inlineStr">
        <is>
          <t>avverkningsanmälan</t>
        </is>
      </c>
      <c r="C335" t="inlineStr">
        <is>
          <t>Föryngringsavverkning</t>
        </is>
      </c>
      <c r="D335" s="1" t="n">
        <v>45282</v>
      </c>
      <c r="E335" s="1" t="n">
        <v>46281</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50744-2024</t>
        </is>
      </c>
      <c r="B336" t="inlineStr">
        <is>
          <t>avverkningsanmälan</t>
        </is>
      </c>
      <c r="C336" t="inlineStr">
        <is>
          <t>Föryngringsavverkning</t>
        </is>
      </c>
      <c r="D336" s="1" t="n">
        <v>45602</v>
      </c>
      <c r="E336" s="1" t="n">
        <v>46281</v>
      </c>
      <c r="F336" t="inlineStr">
        <is>
          <t>GOTLANDS LÄN</t>
        </is>
      </c>
      <c r="G336" t="inlineStr">
        <is>
          <t>GOTLAND</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1446-2025</t>
        </is>
      </c>
      <c r="B337" t="inlineStr">
        <is>
          <t>avverkningsanmälan</t>
        </is>
      </c>
      <c r="C337" t="inlineStr">
        <is>
          <t>Föryngringsavverkning</t>
        </is>
      </c>
      <c r="D337" s="1" t="n">
        <v>45669</v>
      </c>
      <c r="E337" s="1" t="n">
        <v>46281</v>
      </c>
      <c r="F337" t="inlineStr">
        <is>
          <t>GOTLANDS LÄN</t>
        </is>
      </c>
      <c r="G337" t="inlineStr">
        <is>
          <t>GOTLAND</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36319-2025</t>
        </is>
      </c>
      <c r="B338" t="inlineStr">
        <is>
          <t>avverkningsanmälan</t>
        </is>
      </c>
      <c r="C338" t="inlineStr">
        <is>
          <t>Föryngringsavverkning</t>
        </is>
      </c>
      <c r="D338" s="1" t="n">
        <v>45868</v>
      </c>
      <c r="E338" s="1" t="n">
        <v>46281</v>
      </c>
      <c r="F338" t="inlineStr">
        <is>
          <t>GOTLANDS LÄN</t>
        </is>
      </c>
      <c r="G338" t="inlineStr">
        <is>
          <t>GOTLAND</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43901-2023</t>
        </is>
      </c>
      <c r="B339" t="inlineStr">
        <is>
          <t>avverkningsanmälan</t>
        </is>
      </c>
      <c r="C339" t="inlineStr">
        <is>
          <t>Föryngringsavverkning</t>
        </is>
      </c>
      <c r="D339" s="1" t="n">
        <v>45187</v>
      </c>
      <c r="E339" s="1" t="n">
        <v>46281</v>
      </c>
      <c r="F339" t="inlineStr">
        <is>
          <t>GOTLANDS LÄN</t>
        </is>
      </c>
      <c r="G339" t="inlineStr">
        <is>
          <t>GOTLAND</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10746-2025</t>
        </is>
      </c>
      <c r="B340" t="inlineStr">
        <is>
          <t>avverkningsanmälan</t>
        </is>
      </c>
      <c r="C340" t="inlineStr">
        <is>
          <t>Föryngringsavverkning</t>
        </is>
      </c>
      <c r="D340" s="1" t="n">
        <v>45722</v>
      </c>
      <c r="E340" s="1" t="n">
        <v>46281</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16501-2023</t>
        </is>
      </c>
      <c r="B341" t="inlineStr">
        <is>
          <t>avverkningsanmälan</t>
        </is>
      </c>
      <c r="C341" t="inlineStr">
        <is>
          <t>Avverkning för att bevara och utveckla /försöksver</t>
        </is>
      </c>
      <c r="D341" s="1" t="n">
        <v>45029</v>
      </c>
      <c r="E341" s="1" t="n">
        <v>46281</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4377-2023</t>
        </is>
      </c>
      <c r="B342" t="inlineStr">
        <is>
          <t>avverkningsanmälan</t>
        </is>
      </c>
      <c r="C342" t="inlineStr">
        <is>
          <t>Föryngringsavverkning</t>
        </is>
      </c>
      <c r="D342" s="1" t="n">
        <v>44955</v>
      </c>
      <c r="E342" s="1" t="n">
        <v>46281</v>
      </c>
      <c r="F342" t="inlineStr">
        <is>
          <t>GOTLANDS LÄN</t>
        </is>
      </c>
      <c r="G342" t="inlineStr">
        <is>
          <t>GOTLAND</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4387-2023</t>
        </is>
      </c>
      <c r="B343" t="inlineStr">
        <is>
          <t>avverkningsanmälan</t>
        </is>
      </c>
      <c r="C343" t="inlineStr">
        <is>
          <t>Föryngringsavverkning</t>
        </is>
      </c>
      <c r="D343" s="1" t="n">
        <v>44955</v>
      </c>
      <c r="E343" s="1" t="n">
        <v>46281</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61962-2024</t>
        </is>
      </c>
      <c r="B344" t="inlineStr">
        <is>
          <t>avverkningsanmälan</t>
        </is>
      </c>
      <c r="C344" t="inlineStr">
        <is>
          <t>Föryngringsavverkning</t>
        </is>
      </c>
      <c r="D344" s="1" t="n">
        <v>45653</v>
      </c>
      <c r="E344" s="1" t="n">
        <v>46281</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39479-2022</t>
        </is>
      </c>
      <c r="B345" t="inlineStr">
        <is>
          <t>avverkningsanmälan</t>
        </is>
      </c>
      <c r="C345" t="inlineStr">
        <is>
          <t>Föryngringsavverkning</t>
        </is>
      </c>
      <c r="D345" s="1" t="n">
        <v>44818</v>
      </c>
      <c r="E345" s="1" t="n">
        <v>46281</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10492-2023</t>
        </is>
      </c>
      <c r="B346" t="inlineStr">
        <is>
          <t>avverkningsanmälan</t>
        </is>
      </c>
      <c r="C346" t="inlineStr">
        <is>
          <t>Föryngringsavverkning</t>
        </is>
      </c>
      <c r="D346" s="1" t="n">
        <v>44987</v>
      </c>
      <c r="E346" s="1" t="n">
        <v>46281</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46281</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10653-2023</t>
        </is>
      </c>
      <c r="B348" t="inlineStr">
        <is>
          <t>avverkningsanmälan</t>
        </is>
      </c>
      <c r="C348" t="inlineStr">
        <is>
          <t>Föryngringsavverkning</t>
        </is>
      </c>
      <c r="D348" s="1" t="n">
        <v>44988</v>
      </c>
      <c r="E348" s="1" t="n">
        <v>46281</v>
      </c>
      <c r="F348" t="inlineStr">
        <is>
          <t>GOTLANDS LÄN</t>
        </is>
      </c>
      <c r="G348" t="inlineStr">
        <is>
          <t>GOTLAND</t>
        </is>
      </c>
      <c r="H348" t="inlineStr">
        <is>
          <t>Kyrkan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4990-2025</t>
        </is>
      </c>
      <c r="B349" t="inlineStr">
        <is>
          <t>avverkningsanmälan</t>
        </is>
      </c>
      <c r="C349" t="inlineStr">
        <is>
          <t>Föryngringsavverkning</t>
        </is>
      </c>
      <c r="D349" s="1" t="n">
        <v>45691</v>
      </c>
      <c r="E349" s="1" t="n">
        <v>46281</v>
      </c>
      <c r="F349" t="inlineStr">
        <is>
          <t>GOTLANDS LÄN</t>
        </is>
      </c>
      <c r="G349" t="inlineStr">
        <is>
          <t>GOTLAND</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46281</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46281</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43081-2022</t>
        </is>
      </c>
      <c r="B352" t="inlineStr">
        <is>
          <t>avverkningsanmälan</t>
        </is>
      </c>
      <c r="C352" t="inlineStr">
        <is>
          <t>Föryngringsavverkning</t>
        </is>
      </c>
      <c r="D352" s="1" t="n">
        <v>44833</v>
      </c>
      <c r="E352" s="1" t="n">
        <v>46281</v>
      </c>
      <c r="F352" t="inlineStr">
        <is>
          <t>GOTLANDS LÄN</t>
        </is>
      </c>
      <c r="G352" t="inlineStr">
        <is>
          <t>GOTLAND</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51963-2024</t>
        </is>
      </c>
      <c r="B353" t="inlineStr">
        <is>
          <t>avverkningsanmälan</t>
        </is>
      </c>
      <c r="C353" t="inlineStr">
        <is>
          <t>Föryngringsavverkning</t>
        </is>
      </c>
      <c r="D353" s="1" t="n">
        <v>45607</v>
      </c>
      <c r="E353" s="1" t="n">
        <v>46281</v>
      </c>
      <c r="F353" t="inlineStr">
        <is>
          <t>GOTLANDS LÄN</t>
        </is>
      </c>
      <c r="G353" t="inlineStr">
        <is>
          <t>GOTLAND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5884-2025</t>
        </is>
      </c>
      <c r="B354" t="inlineStr">
        <is>
          <t>avverkningsanmälan</t>
        </is>
      </c>
      <c r="C354" t="inlineStr">
        <is>
          <t>Föryngringsavverkning</t>
        </is>
      </c>
      <c r="D354" s="1" t="n">
        <v>45695</v>
      </c>
      <c r="E354" s="1" t="n">
        <v>46281</v>
      </c>
      <c r="F354" t="inlineStr">
        <is>
          <t>GOTLANDS LÄN</t>
        </is>
      </c>
      <c r="G354" t="inlineStr">
        <is>
          <t>GOTLAND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5897-2025</t>
        </is>
      </c>
      <c r="B355" t="inlineStr">
        <is>
          <t>avverkningsanmälan</t>
        </is>
      </c>
      <c r="C355" t="inlineStr">
        <is>
          <t>Föryngringsavverkning</t>
        </is>
      </c>
      <c r="D355" s="1" t="n">
        <v>45695</v>
      </c>
      <c r="E355" s="1" t="n">
        <v>46281</v>
      </c>
      <c r="F355" t="inlineStr">
        <is>
          <t>GOTLANDS LÄN</t>
        </is>
      </c>
      <c r="G355" t="inlineStr">
        <is>
          <t>GOTLAND</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63002-2025</t>
        </is>
      </c>
      <c r="B356" t="inlineStr">
        <is>
          <t>avverkningsanmälan</t>
        </is>
      </c>
      <c r="C356" t="inlineStr">
        <is>
          <t>Föryngringsavverkning</t>
        </is>
      </c>
      <c r="D356" s="1" t="n">
        <v>46009</v>
      </c>
      <c r="E356" s="1" t="n">
        <v>46281</v>
      </c>
      <c r="F356" t="inlineStr">
        <is>
          <t>GOTLANDS LÄN</t>
        </is>
      </c>
      <c r="G356" t="inlineStr">
        <is>
          <t>GOTLAND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49697-2023</t>
        </is>
      </c>
      <c r="B357" t="inlineStr">
        <is>
          <t>avverkningsanmälan</t>
        </is>
      </c>
      <c r="C357" t="inlineStr">
        <is>
          <t>Föryngringsavverkning</t>
        </is>
      </c>
      <c r="D357" s="1" t="n">
        <v>45212</v>
      </c>
      <c r="E357" s="1" t="n">
        <v>46281</v>
      </c>
      <c r="F357" t="inlineStr">
        <is>
          <t>GOTLANDS LÄN</t>
        </is>
      </c>
      <c r="G357" t="inlineStr">
        <is>
          <t>GOTLAND</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35096-2025</t>
        </is>
      </c>
      <c r="B358" t="inlineStr">
        <is>
          <t>avverkningsanmälan</t>
        </is>
      </c>
      <c r="C358" t="inlineStr">
        <is>
          <t>Föryngringsavverkning</t>
        </is>
      </c>
      <c r="D358" s="1" t="n">
        <v>45852</v>
      </c>
      <c r="E358" s="1" t="n">
        <v>46281</v>
      </c>
      <c r="F358" t="inlineStr">
        <is>
          <t>GOTLANDS LÄN</t>
        </is>
      </c>
      <c r="G358" t="inlineStr">
        <is>
          <t>GOTLAND</t>
        </is>
      </c>
      <c r="H358" t="inlineStr">
        <is>
          <t>Kyrkan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17901-2023</t>
        </is>
      </c>
      <c r="B359" t="inlineStr">
        <is>
          <t>avverkningsanmälan</t>
        </is>
      </c>
      <c r="C359" t="inlineStr">
        <is>
          <t>Föryngringsavverkning</t>
        </is>
      </c>
      <c r="D359" s="1" t="n">
        <v>45039</v>
      </c>
      <c r="E359" s="1" t="n">
        <v>46281</v>
      </c>
      <c r="F359" t="inlineStr">
        <is>
          <t>GOTLANDS LÄN</t>
        </is>
      </c>
      <c r="G359" t="inlineStr">
        <is>
          <t>GOTLAND</t>
        </is>
      </c>
      <c r="H359" t="inlineStr">
        <is>
          <t>Kyrkan</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22887-2026</t>
        </is>
      </c>
      <c r="B360" t="inlineStr">
        <is>
          <t>avverkningsanmälan</t>
        </is>
      </c>
      <c r="C360" t="inlineStr">
        <is>
          <t>Avverkning för att bevara och utveckla /försöksver</t>
        </is>
      </c>
      <c r="D360" s="1" t="n">
        <v>46160</v>
      </c>
      <c r="E360" s="1" t="n">
        <v>46281</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811-2023</t>
        </is>
      </c>
      <c r="B361" t="inlineStr">
        <is>
          <t>avverkningsanmälan</t>
        </is>
      </c>
      <c r="C361" t="inlineStr">
        <is>
          <t>Föryngringsavverkning</t>
        </is>
      </c>
      <c r="D361" s="1" t="n">
        <v>44931</v>
      </c>
      <c r="E361" s="1" t="n">
        <v>46281</v>
      </c>
      <c r="F361" t="inlineStr">
        <is>
          <t>GOTLANDS LÄN</t>
        </is>
      </c>
      <c r="G361" t="inlineStr">
        <is>
          <t>GOTLAND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61078-2025</t>
        </is>
      </c>
      <c r="B362" t="inlineStr">
        <is>
          <t>avverkningsanmälan</t>
        </is>
      </c>
      <c r="C362" t="inlineStr">
        <is>
          <t>Föryngringsavverkning</t>
        </is>
      </c>
      <c r="D362" s="1" t="n">
        <v>46000</v>
      </c>
      <c r="E362" s="1" t="n">
        <v>46281</v>
      </c>
      <c r="F362" t="inlineStr">
        <is>
          <t>GOTLANDS LÄN</t>
        </is>
      </c>
      <c r="G362" t="inlineStr">
        <is>
          <t>GOTLAND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52892-2021</t>
        </is>
      </c>
      <c r="B363" t="inlineStr">
        <is>
          <t>avverkningsanmälan</t>
        </is>
      </c>
      <c r="C363" t="inlineStr">
        <is>
          <t>Föryngringsavverkning</t>
        </is>
      </c>
      <c r="D363" s="1" t="n">
        <v>44467</v>
      </c>
      <c r="E363" s="1" t="n">
        <v>46281</v>
      </c>
      <c r="F363" t="inlineStr">
        <is>
          <t>GOTLANDS LÄN</t>
        </is>
      </c>
      <c r="G363" t="inlineStr">
        <is>
          <t>GOTLAND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23103-2026</t>
        </is>
      </c>
      <c r="B364" t="inlineStr">
        <is>
          <t>avverkningsanmälan</t>
        </is>
      </c>
      <c r="C364" t="inlineStr">
        <is>
          <t>Föryngringsavverkning</t>
        </is>
      </c>
      <c r="D364" s="1" t="n">
        <v>46161</v>
      </c>
      <c r="E364" s="1" t="n">
        <v>46281</v>
      </c>
      <c r="F364" t="inlineStr">
        <is>
          <t>GOTLANDS LÄN</t>
        </is>
      </c>
      <c r="G364" t="inlineStr">
        <is>
          <t>GOTLAND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36-2026</t>
        </is>
      </c>
      <c r="B365" t="inlineStr">
        <is>
          <t>avverkningsanmälan</t>
        </is>
      </c>
      <c r="C365" t="inlineStr">
        <is>
          <t>Föryngringsavverkning</t>
        </is>
      </c>
      <c r="D365" s="1" t="n">
        <v>46024</v>
      </c>
      <c r="E365" s="1" t="n">
        <v>46281</v>
      </c>
      <c r="F365" t="inlineStr">
        <is>
          <t>GOTLANDS LÄN</t>
        </is>
      </c>
      <c r="G365" t="inlineStr">
        <is>
          <t>GOTLAND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46396-2023</t>
        </is>
      </c>
      <c r="B366" t="inlineStr">
        <is>
          <t>avverkningsanmälan</t>
        </is>
      </c>
      <c r="C366" t="inlineStr">
        <is>
          <t>Föryngringsavverkning</t>
        </is>
      </c>
      <c r="D366" s="1" t="n">
        <v>45197</v>
      </c>
      <c r="E366" s="1" t="n">
        <v>46281</v>
      </c>
      <c r="F366" t="inlineStr">
        <is>
          <t>GOTLANDS LÄN</t>
        </is>
      </c>
      <c r="G366" t="inlineStr">
        <is>
          <t>GOTLAND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17724-2024</t>
        </is>
      </c>
      <c r="B367" t="inlineStr">
        <is>
          <t>avverkningsanmälan</t>
        </is>
      </c>
      <c r="C367" t="inlineStr">
        <is>
          <t>Föryngringsavverkning</t>
        </is>
      </c>
      <c r="D367" s="1" t="n">
        <v>45418</v>
      </c>
      <c r="E367" s="1" t="n">
        <v>46281</v>
      </c>
      <c r="F367" t="inlineStr">
        <is>
          <t>GOTLANDS LÄN</t>
        </is>
      </c>
      <c r="G367" t="inlineStr">
        <is>
          <t>GOTLAND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2415-2026</t>
        </is>
      </c>
      <c r="B368" t="inlineStr">
        <is>
          <t>avverkningsanmälan</t>
        </is>
      </c>
      <c r="C368" t="inlineStr">
        <is>
          <t>Föryngringsavverkning</t>
        </is>
      </c>
      <c r="D368" s="1" t="n">
        <v>46036</v>
      </c>
      <c r="E368" s="1" t="n">
        <v>46281</v>
      </c>
      <c r="F368" t="inlineStr">
        <is>
          <t>GOTLANDS LÄN</t>
        </is>
      </c>
      <c r="G368" t="inlineStr">
        <is>
          <t>GOTLAND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7638-2025</t>
        </is>
      </c>
      <c r="B369" t="inlineStr">
        <is>
          <t>avverkningsanmälan</t>
        </is>
      </c>
      <c r="C369" t="inlineStr">
        <is>
          <t>Föryngringsavverkning</t>
        </is>
      </c>
      <c r="D369" s="1" t="n">
        <v>45705</v>
      </c>
      <c r="E369" s="1" t="n">
        <v>46281</v>
      </c>
      <c r="F369" t="inlineStr">
        <is>
          <t>GOTLANDS LÄN</t>
        </is>
      </c>
      <c r="G369" t="inlineStr">
        <is>
          <t>GOTLAND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50482-2024</t>
        </is>
      </c>
      <c r="B370" t="inlineStr">
        <is>
          <t>avverkningsanmälan</t>
        </is>
      </c>
      <c r="C370" t="inlineStr">
        <is>
          <t>Föryngringsavverkning</t>
        </is>
      </c>
      <c r="D370" s="1" t="n">
        <v>45601</v>
      </c>
      <c r="E370" s="1" t="n">
        <v>46281</v>
      </c>
      <c r="F370" t="inlineStr">
        <is>
          <t>GOTLANDS LÄN</t>
        </is>
      </c>
      <c r="G370" t="inlineStr">
        <is>
          <t>GOTLAND</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1394-2023</t>
        </is>
      </c>
      <c r="B371" t="inlineStr">
        <is>
          <t>avverkningsanmälan</t>
        </is>
      </c>
      <c r="C371" t="inlineStr">
        <is>
          <t>Föryngringsavverkning</t>
        </is>
      </c>
      <c r="D371" s="1" t="n">
        <v>44936</v>
      </c>
      <c r="E371" s="1" t="n">
        <v>46281</v>
      </c>
      <c r="F371" t="inlineStr">
        <is>
          <t>GOTLANDS LÄN</t>
        </is>
      </c>
      <c r="G371" t="inlineStr">
        <is>
          <t>GOTLAND</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5923-2023</t>
        </is>
      </c>
      <c r="B372" t="inlineStr">
        <is>
          <t>avverkningsanmälan</t>
        </is>
      </c>
      <c r="C372" t="inlineStr">
        <is>
          <t>Föryngringsavverkning</t>
        </is>
      </c>
      <c r="D372" s="1" t="n">
        <v>44963</v>
      </c>
      <c r="E372" s="1" t="n">
        <v>46281</v>
      </c>
      <c r="F372" t="inlineStr">
        <is>
          <t>GOTLANDS LÄN</t>
        </is>
      </c>
      <c r="G372" t="inlineStr">
        <is>
          <t>GOTLAND</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18918-2025</t>
        </is>
      </c>
      <c r="B373" t="inlineStr">
        <is>
          <t>avverkningsanmälan</t>
        </is>
      </c>
      <c r="C373" t="inlineStr">
        <is>
          <t>Avverkning för annat ändamål</t>
        </is>
      </c>
      <c r="D373" s="1" t="n">
        <v>45764</v>
      </c>
      <c r="E373" s="1" t="n">
        <v>46281</v>
      </c>
      <c r="F373" t="inlineStr">
        <is>
          <t>GOTLANDS LÄN</t>
        </is>
      </c>
      <c r="G373" t="inlineStr">
        <is>
          <t>GOTLAND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2674-2023</t>
        </is>
      </c>
      <c r="B374" t="inlineStr">
        <is>
          <t>avverkningsanmälan</t>
        </is>
      </c>
      <c r="C374" t="inlineStr">
        <is>
          <t>Avverkning för annat ändamål</t>
        </is>
      </c>
      <c r="D374" s="1" t="n">
        <v>44944</v>
      </c>
      <c r="E374" s="1" t="n">
        <v>46281</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24448-2026</t>
        </is>
      </c>
      <c r="B375" t="inlineStr">
        <is>
          <t>avverkningsanmälan</t>
        </is>
      </c>
      <c r="C375" t="inlineStr">
        <is>
          <t>Föryngringsavverkning</t>
        </is>
      </c>
      <c r="D375" s="1" t="n">
        <v>46170</v>
      </c>
      <c r="E375" s="1" t="n">
        <v>46281</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1462-2025</t>
        </is>
      </c>
      <c r="B376" t="inlineStr">
        <is>
          <t>avverkningsanmälan</t>
        </is>
      </c>
      <c r="C376" t="inlineStr">
        <is>
          <t>Föryngringsavverkning</t>
        </is>
      </c>
      <c r="D376" s="1" t="n">
        <v>45670</v>
      </c>
      <c r="E376" s="1" t="n">
        <v>46281</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4646-2026</t>
        </is>
      </c>
      <c r="B377" t="inlineStr">
        <is>
          <t>avverkningsanmälan</t>
        </is>
      </c>
      <c r="C377" t="inlineStr">
        <is>
          <t>Föryngringsavverkning</t>
        </is>
      </c>
      <c r="D377" s="1" t="n">
        <v>46048</v>
      </c>
      <c r="E377" s="1" t="n">
        <v>46281</v>
      </c>
      <c r="F377" t="inlineStr">
        <is>
          <t>GOTLANDS LÄN</t>
        </is>
      </c>
      <c r="G377" t="inlineStr">
        <is>
          <t>GOTLAND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4634-2026</t>
        </is>
      </c>
      <c r="B378" t="inlineStr">
        <is>
          <t>avverkningsanmälan</t>
        </is>
      </c>
      <c r="C378" t="inlineStr">
        <is>
          <t>Föryngringsavverkning</t>
        </is>
      </c>
      <c r="D378" s="1" t="n">
        <v>46048</v>
      </c>
      <c r="E378" s="1" t="n">
        <v>46281</v>
      </c>
      <c r="F378" t="inlineStr">
        <is>
          <t>GOTLANDS LÄN</t>
        </is>
      </c>
      <c r="G378" t="inlineStr">
        <is>
          <t>GOTLAND</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4670-2026</t>
        </is>
      </c>
      <c r="B379" t="inlineStr">
        <is>
          <t>avverkningsanmälan</t>
        </is>
      </c>
      <c r="C379" t="inlineStr">
        <is>
          <t>Föryngringsavverkning</t>
        </is>
      </c>
      <c r="D379" s="1" t="n">
        <v>46048</v>
      </c>
      <c r="E379" s="1" t="n">
        <v>46281</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25129-2023</t>
        </is>
      </c>
      <c r="B380" t="inlineStr">
        <is>
          <t>avverkningsanmälan</t>
        </is>
      </c>
      <c r="C380" t="inlineStr">
        <is>
          <t>Föryngringsavverkning</t>
        </is>
      </c>
      <c r="D380" s="1" t="n">
        <v>45086</v>
      </c>
      <c r="E380" s="1" t="n">
        <v>46281</v>
      </c>
      <c r="F380" t="inlineStr">
        <is>
          <t>GOTLANDS LÄN</t>
        </is>
      </c>
      <c r="G380" t="inlineStr">
        <is>
          <t>GOTLAND</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24192-2023</t>
        </is>
      </c>
      <c r="B381" t="inlineStr">
        <is>
          <t>avverkningsanmälan</t>
        </is>
      </c>
      <c r="C381" t="inlineStr">
        <is>
          <t>Föryngringsavverkning</t>
        </is>
      </c>
      <c r="D381" s="1" t="n">
        <v>45079</v>
      </c>
      <c r="E381" s="1" t="n">
        <v>46281</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10655-2023</t>
        </is>
      </c>
      <c r="B382" t="inlineStr">
        <is>
          <t>avverkningsanmälan</t>
        </is>
      </c>
      <c r="C382" t="inlineStr">
        <is>
          <t>Föryngringsavverkning</t>
        </is>
      </c>
      <c r="D382" s="1" t="n">
        <v>44988</v>
      </c>
      <c r="E382" s="1" t="n">
        <v>46281</v>
      </c>
      <c r="F382" t="inlineStr">
        <is>
          <t>GOTLANDS LÄN</t>
        </is>
      </c>
      <c r="G382" t="inlineStr">
        <is>
          <t>GOTLAND</t>
        </is>
      </c>
      <c r="H382" t="inlineStr">
        <is>
          <t>Kyrkan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2719-2023</t>
        </is>
      </c>
      <c r="B383" t="inlineStr">
        <is>
          <t>avverkningsanmälan</t>
        </is>
      </c>
      <c r="C383" t="inlineStr">
        <is>
          <t>Föryngringsavverkning</t>
        </is>
      </c>
      <c r="D383" s="1" t="n">
        <v>44944</v>
      </c>
      <c r="E383" s="1" t="n">
        <v>46281</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5386-2023</t>
        </is>
      </c>
      <c r="B384" t="inlineStr">
        <is>
          <t>avverkningsanmälan</t>
        </is>
      </c>
      <c r="C384" t="inlineStr">
        <is>
          <t>Föryngringsavverkning</t>
        </is>
      </c>
      <c r="D384" s="1" t="n">
        <v>44959</v>
      </c>
      <c r="E384" s="1" t="n">
        <v>46281</v>
      </c>
      <c r="F384" t="inlineStr">
        <is>
          <t>GOTLANDS LÄN</t>
        </is>
      </c>
      <c r="G384" t="inlineStr">
        <is>
          <t>GOTLAND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7026-2023</t>
        </is>
      </c>
      <c r="B385" t="inlineStr">
        <is>
          <t>avverkningsanmälan</t>
        </is>
      </c>
      <c r="C385" t="inlineStr">
        <is>
          <t>Föryngringsavverkning</t>
        </is>
      </c>
      <c r="D385" s="1" t="n">
        <v>44968</v>
      </c>
      <c r="E385" s="1" t="n">
        <v>46281</v>
      </c>
      <c r="F385" t="inlineStr">
        <is>
          <t>GOTLANDS LÄN</t>
        </is>
      </c>
      <c r="G385" t="inlineStr">
        <is>
          <t>GOTLAND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20855-2023</t>
        </is>
      </c>
      <c r="B386" t="inlineStr">
        <is>
          <t>avverkningsanmälan</t>
        </is>
      </c>
      <c r="C386" t="inlineStr">
        <is>
          <t>Föryngringsavverkning</t>
        </is>
      </c>
      <c r="D386" s="1" t="n">
        <v>45058</v>
      </c>
      <c r="E386" s="1" t="n">
        <v>46281</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1000-2024</t>
        </is>
      </c>
      <c r="B387" t="inlineStr">
        <is>
          <t>avverkningsanmälan</t>
        </is>
      </c>
      <c r="C387" t="inlineStr">
        <is>
          <t>Föryngringsavverkning</t>
        </is>
      </c>
      <c r="D387" s="1" t="n">
        <v>45301</v>
      </c>
      <c r="E387" s="1" t="n">
        <v>46281</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42007-2023</t>
        </is>
      </c>
      <c r="B388" t="inlineStr">
        <is>
          <t>avverkningsanmälan</t>
        </is>
      </c>
      <c r="C388" t="inlineStr">
        <is>
          <t>Avverkning för annat ändamål</t>
        </is>
      </c>
      <c r="D388" s="1" t="n">
        <v>45177</v>
      </c>
      <c r="E388" s="1" t="n">
        <v>46281</v>
      </c>
      <c r="F388" t="inlineStr">
        <is>
          <t>GOTLANDS LÄN</t>
        </is>
      </c>
      <c r="G388" t="inlineStr">
        <is>
          <t>GOTLAND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9887-2025</t>
        </is>
      </c>
      <c r="B389" t="inlineStr">
        <is>
          <t>avverkningsanmälan</t>
        </is>
      </c>
      <c r="C389" t="inlineStr">
        <is>
          <t>Föryngringsavverkning</t>
        </is>
      </c>
      <c r="D389" s="1" t="n">
        <v>45716</v>
      </c>
      <c r="E389" s="1" t="n">
        <v>46281</v>
      </c>
      <c r="F389" t="inlineStr">
        <is>
          <t>GOTLANDS LÄN</t>
        </is>
      </c>
      <c r="G389" t="inlineStr">
        <is>
          <t>GOTLAND</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47762-2023</t>
        </is>
      </c>
      <c r="B390" t="inlineStr">
        <is>
          <t>avverkningsanmälan</t>
        </is>
      </c>
      <c r="C390" t="inlineStr">
        <is>
          <t>Föryngringsavverkning</t>
        </is>
      </c>
      <c r="D390" s="1" t="n">
        <v>45203</v>
      </c>
      <c r="E390" s="1" t="n">
        <v>46281</v>
      </c>
      <c r="F390" t="inlineStr">
        <is>
          <t>GOTLANDS LÄN</t>
        </is>
      </c>
      <c r="G390" t="inlineStr">
        <is>
          <t>GOTLAND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7627-2026</t>
        </is>
      </c>
      <c r="B391" t="inlineStr">
        <is>
          <t>avverkningsanmälan</t>
        </is>
      </c>
      <c r="C391" t="inlineStr">
        <is>
          <t>Föryngringsavverkning</t>
        </is>
      </c>
      <c r="D391" s="1" t="n">
        <v>46062</v>
      </c>
      <c r="E391" s="1" t="n">
        <v>46281</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60086-2022</t>
        </is>
      </c>
      <c r="B392" t="inlineStr">
        <is>
          <t>avverkningsanmälan</t>
        </is>
      </c>
      <c r="C392" t="inlineStr">
        <is>
          <t>Föryngringsavverkning</t>
        </is>
      </c>
      <c r="D392" s="1" t="n">
        <v>44909</v>
      </c>
      <c r="E392" s="1" t="n">
        <v>46281</v>
      </c>
      <c r="F392" t="inlineStr">
        <is>
          <t>GOTLANDS LÄN</t>
        </is>
      </c>
      <c r="G392" t="inlineStr">
        <is>
          <t>GOTLAND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28485-2023</t>
        </is>
      </c>
      <c r="B393" t="inlineStr">
        <is>
          <t>avverkningsanmälan</t>
        </is>
      </c>
      <c r="C393" t="inlineStr">
        <is>
          <t>Föryngringsavverkning</t>
        </is>
      </c>
      <c r="D393" s="1" t="n">
        <v>45103</v>
      </c>
      <c r="E393" s="1" t="n">
        <v>46281</v>
      </c>
      <c r="F393" t="inlineStr">
        <is>
          <t>GOTLANDS LÄN</t>
        </is>
      </c>
      <c r="G393" t="inlineStr">
        <is>
          <t>GOTLAND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2135-2026</t>
        </is>
      </c>
      <c r="B394" t="inlineStr">
        <is>
          <t>avverkningsanmälan</t>
        </is>
      </c>
      <c r="C394" t="inlineStr">
        <is>
          <t>Avverkning för annat ändamål</t>
        </is>
      </c>
      <c r="D394" s="1" t="n">
        <v>46036</v>
      </c>
      <c r="E394" s="1" t="n">
        <v>46281</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27354-2026</t>
        </is>
      </c>
      <c r="B395" t="inlineStr">
        <is>
          <t>avverkningsanmälan</t>
        </is>
      </c>
      <c r="C395" t="inlineStr">
        <is>
          <t>Föryngringsavverkning</t>
        </is>
      </c>
      <c r="D395" s="1" t="n">
        <v>46184</v>
      </c>
      <c r="E395" s="1" t="n">
        <v>46281</v>
      </c>
      <c r="F395" t="inlineStr">
        <is>
          <t>GOTLANDS LÄN</t>
        </is>
      </c>
      <c r="G395" t="inlineStr">
        <is>
          <t>GOTLAND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44949-2023</t>
        </is>
      </c>
      <c r="B396" t="inlineStr">
        <is>
          <t>avverkningsanmälan</t>
        </is>
      </c>
      <c r="C396" t="inlineStr">
        <is>
          <t>Föryngringsavverkning</t>
        </is>
      </c>
      <c r="D396" s="1" t="n">
        <v>45190</v>
      </c>
      <c r="E396" s="1" t="n">
        <v>46281</v>
      </c>
      <c r="F396" t="inlineStr">
        <is>
          <t>GOTLANDS LÄN</t>
        </is>
      </c>
      <c r="G396" t="inlineStr">
        <is>
          <t>GOTLAND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9519-2026</t>
        </is>
      </c>
      <c r="B397" t="inlineStr">
        <is>
          <t>avverkningsanmälan</t>
        </is>
      </c>
      <c r="C397" t="inlineStr">
        <is>
          <t>Föryngringsavverkning</t>
        </is>
      </c>
      <c r="D397" s="1" t="n">
        <v>46071</v>
      </c>
      <c r="E397" s="1" t="n">
        <v>46281</v>
      </c>
      <c r="F397" t="inlineStr">
        <is>
          <t>GOTLANDS LÄN</t>
        </is>
      </c>
      <c r="G397" t="inlineStr">
        <is>
          <t>GOTLAND</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9521-2026</t>
        </is>
      </c>
      <c r="B398" t="inlineStr">
        <is>
          <t>avverkningsanmälan</t>
        </is>
      </c>
      <c r="C398" t="inlineStr">
        <is>
          <t>Föryngringsavverkning</t>
        </is>
      </c>
      <c r="D398" s="1" t="n">
        <v>46071</v>
      </c>
      <c r="E398" s="1" t="n">
        <v>46281</v>
      </c>
      <c r="F398" t="inlineStr">
        <is>
          <t>GOTLANDS LÄN</t>
        </is>
      </c>
      <c r="G398" t="inlineStr">
        <is>
          <t>GOTLAND</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9524-2026</t>
        </is>
      </c>
      <c r="B399" t="inlineStr">
        <is>
          <t>avverkningsanmälan</t>
        </is>
      </c>
      <c r="C399" t="inlineStr">
        <is>
          <t>Föryngringsavverkning</t>
        </is>
      </c>
      <c r="D399" s="1" t="n">
        <v>46071</v>
      </c>
      <c r="E399" s="1" t="n">
        <v>46281</v>
      </c>
      <c r="F399" t="inlineStr">
        <is>
          <t>GOTLANDS LÄN</t>
        </is>
      </c>
      <c r="G399" t="inlineStr">
        <is>
          <t>GOTLAND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3964-2024</t>
        </is>
      </c>
      <c r="B400" t="inlineStr">
        <is>
          <t>avverkningsanmälan</t>
        </is>
      </c>
      <c r="C400" t="inlineStr">
        <is>
          <t>Föryngringsavverkning</t>
        </is>
      </c>
      <c r="D400" s="1" t="n">
        <v>45322</v>
      </c>
      <c r="E400" s="1" t="n">
        <v>46281</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45084-2024</t>
        </is>
      </c>
      <c r="B401" t="inlineStr">
        <is>
          <t>avverkningsanmälan</t>
        </is>
      </c>
      <c r="C401" t="inlineStr">
        <is>
          <t>Föryngringsavverkning</t>
        </is>
      </c>
      <c r="D401" s="1" t="n">
        <v>45575</v>
      </c>
      <c r="E401" s="1" t="n">
        <v>46281</v>
      </c>
      <c r="F401" t="inlineStr">
        <is>
          <t>GOTLANDS LÄN</t>
        </is>
      </c>
      <c r="G401" t="inlineStr">
        <is>
          <t>GOTLAND</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27346-2026</t>
        </is>
      </c>
      <c r="B402" t="inlineStr">
        <is>
          <t>avverkningsanmälan</t>
        </is>
      </c>
      <c r="C402" t="inlineStr">
        <is>
          <t>Föryngringsavverkning</t>
        </is>
      </c>
      <c r="D402" s="1" t="n">
        <v>46188</v>
      </c>
      <c r="E402" s="1" t="n">
        <v>46281</v>
      </c>
      <c r="F402" t="inlineStr">
        <is>
          <t>GOTLANDS LÄN</t>
        </is>
      </c>
      <c r="G402" t="inlineStr">
        <is>
          <t>GOTLAND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27341-2026</t>
        </is>
      </c>
      <c r="B403" t="inlineStr">
        <is>
          <t>avverkningsanmälan</t>
        </is>
      </c>
      <c r="C403" t="inlineStr">
        <is>
          <t>Föryngringsavverkning</t>
        </is>
      </c>
      <c r="D403" s="1" t="n">
        <v>46188</v>
      </c>
      <c r="E403" s="1" t="n">
        <v>46281</v>
      </c>
      <c r="F403" t="inlineStr">
        <is>
          <t>GOTLANDS LÄN</t>
        </is>
      </c>
      <c r="G403" t="inlineStr">
        <is>
          <t>GOTLAND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27596-2023</t>
        </is>
      </c>
      <c r="B404" t="inlineStr">
        <is>
          <t>avverkningsanmälan</t>
        </is>
      </c>
      <c r="C404" t="inlineStr">
        <is>
          <t>Avverkning för annat ändamål</t>
        </is>
      </c>
      <c r="D404" s="1" t="n">
        <v>45097</v>
      </c>
      <c r="E404" s="1" t="n">
        <v>46281</v>
      </c>
      <c r="F404" t="inlineStr">
        <is>
          <t>GOTLANDS LÄN</t>
        </is>
      </c>
      <c r="G404" t="inlineStr">
        <is>
          <t>GOTLAND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24825-2024</t>
        </is>
      </c>
      <c r="B405" t="inlineStr">
        <is>
          <t>avverkningsanmälan</t>
        </is>
      </c>
      <c r="C405" t="inlineStr">
        <is>
          <t>Avverkning för annat ändamål</t>
        </is>
      </c>
      <c r="D405" s="1" t="n">
        <v>45461</v>
      </c>
      <c r="E405" s="1" t="n">
        <v>46281</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6696-2023</t>
        </is>
      </c>
      <c r="B406" t="inlineStr">
        <is>
          <t>avverkningsanmälan</t>
        </is>
      </c>
      <c r="C406" t="inlineStr">
        <is>
          <t>Föryngringsavverkning</t>
        </is>
      </c>
      <c r="D406" s="1" t="n">
        <v>44966</v>
      </c>
      <c r="E406" s="1" t="n">
        <v>46281</v>
      </c>
      <c r="F406" t="inlineStr">
        <is>
          <t>GOTLANDS LÄN</t>
        </is>
      </c>
      <c r="G406" t="inlineStr">
        <is>
          <t>GOTLAND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5217-2023</t>
        </is>
      </c>
      <c r="B407" t="inlineStr">
        <is>
          <t>avverkningsanmälan</t>
        </is>
      </c>
      <c r="C407" t="inlineStr">
        <is>
          <t>Föryngringsavverkning</t>
        </is>
      </c>
      <c r="D407" s="1" t="n">
        <v>44959</v>
      </c>
      <c r="E407" s="1" t="n">
        <v>46281</v>
      </c>
      <c r="F407" t="inlineStr">
        <is>
          <t>GOTLANDS LÄN</t>
        </is>
      </c>
      <c r="G407" t="inlineStr">
        <is>
          <t>GOTLAND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21247-2022</t>
        </is>
      </c>
      <c r="B408" t="inlineStr">
        <is>
          <t>avverkningsanmälan</t>
        </is>
      </c>
      <c r="C408" t="inlineStr">
        <is>
          <t>Föryngringsavverkning</t>
        </is>
      </c>
      <c r="D408" s="1" t="n">
        <v>44705</v>
      </c>
      <c r="E408" s="1" t="n">
        <v>46281</v>
      </c>
      <c r="F408" t="inlineStr">
        <is>
          <t>GOTLANDS LÄN</t>
        </is>
      </c>
      <c r="G408" t="inlineStr">
        <is>
          <t>GOTLAND</t>
        </is>
      </c>
      <c r="I408" t="n">
        <v>16.2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456-2023</t>
        </is>
      </c>
      <c r="B409" t="inlineStr">
        <is>
          <t>avverkningsanmälan</t>
        </is>
      </c>
      <c r="C409" t="inlineStr">
        <is>
          <t>Föryngringsavverkning</t>
        </is>
      </c>
      <c r="D409" s="1" t="n">
        <v>44929</v>
      </c>
      <c r="E409" s="1" t="n">
        <v>46281</v>
      </c>
      <c r="F409" t="inlineStr">
        <is>
          <t>GOTLANDS LÄN</t>
        </is>
      </c>
      <c r="G409" t="inlineStr">
        <is>
          <t>GOTLAND</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28012-2026</t>
        </is>
      </c>
      <c r="B410" t="inlineStr">
        <is>
          <t>avverkningsanmälan</t>
        </is>
      </c>
      <c r="C410" t="inlineStr">
        <is>
          <t>Föryngringsavverkning</t>
        </is>
      </c>
      <c r="D410" s="1" t="n">
        <v>46195</v>
      </c>
      <c r="E410" s="1" t="n">
        <v>46281</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2714-2023</t>
        </is>
      </c>
      <c r="B411" t="inlineStr">
        <is>
          <t>avverkningsanmälan</t>
        </is>
      </c>
      <c r="C411" t="inlineStr">
        <is>
          <t>Föryngringsavverkning</t>
        </is>
      </c>
      <c r="D411" s="1" t="n">
        <v>44944</v>
      </c>
      <c r="E411" s="1" t="n">
        <v>46281</v>
      </c>
      <c r="F411" t="inlineStr">
        <is>
          <t>GOTLANDS LÄN</t>
        </is>
      </c>
      <c r="G411" t="inlineStr">
        <is>
          <t>GOTLAND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4421-2024</t>
        </is>
      </c>
      <c r="B412" t="inlineStr">
        <is>
          <t>avverkningsanmälan</t>
        </is>
      </c>
      <c r="C412" t="inlineStr">
        <is>
          <t>Föryngringsavverkning</t>
        </is>
      </c>
      <c r="D412" s="1" t="n">
        <v>45327</v>
      </c>
      <c r="E412" s="1" t="n">
        <v>46281</v>
      </c>
      <c r="F412" t="inlineStr">
        <is>
          <t>GOTLANDS LÄN</t>
        </is>
      </c>
      <c r="G412" t="inlineStr">
        <is>
          <t>GOTLAND</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51782-2023</t>
        </is>
      </c>
      <c r="B413" t="inlineStr">
        <is>
          <t>avverkningsanmälan</t>
        </is>
      </c>
      <c r="C413" t="inlineStr">
        <is>
          <t>Föryngringsavverkning</t>
        </is>
      </c>
      <c r="D413" s="1" t="n">
        <v>45222</v>
      </c>
      <c r="E413" s="1" t="n">
        <v>46281</v>
      </c>
      <c r="F413" t="inlineStr">
        <is>
          <t>GOTLANDS LÄN</t>
        </is>
      </c>
      <c r="G413" t="inlineStr">
        <is>
          <t>GOTLAND</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54268-2022</t>
        </is>
      </c>
      <c r="B414" t="inlineStr">
        <is>
          <t>avverkningsanmälan</t>
        </is>
      </c>
      <c r="C414" t="inlineStr">
        <is>
          <t>Föryngringsavverkning</t>
        </is>
      </c>
      <c r="D414" s="1" t="n">
        <v>44882</v>
      </c>
      <c r="E414" s="1" t="n">
        <v>46281</v>
      </c>
      <c r="F414" t="inlineStr">
        <is>
          <t>GOTLANDS LÄN</t>
        </is>
      </c>
      <c r="G414" t="inlineStr">
        <is>
          <t>GOTLAND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32553-2026</t>
        </is>
      </c>
      <c r="B415" t="inlineStr">
        <is>
          <t>avverkningsanmälan</t>
        </is>
      </c>
      <c r="C415" t="inlineStr">
        <is>
          <t>Föryngringsavverkning</t>
        </is>
      </c>
      <c r="D415" s="1" t="n">
        <v>46239</v>
      </c>
      <c r="E415" s="1" t="n">
        <v>46281</v>
      </c>
      <c r="F415" t="inlineStr">
        <is>
          <t>GOTLANDS LÄN</t>
        </is>
      </c>
      <c r="G415" t="inlineStr">
        <is>
          <t>GOTLAND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45244-2024</t>
        </is>
      </c>
      <c r="B416" t="inlineStr">
        <is>
          <t>avverkningsanmälan</t>
        </is>
      </c>
      <c r="C416" t="inlineStr">
        <is>
          <t>Avverkning för annat ändamål</t>
        </is>
      </c>
      <c r="D416" s="1" t="n">
        <v>45576</v>
      </c>
      <c r="E416" s="1" t="n">
        <v>46281</v>
      </c>
      <c r="F416" t="inlineStr">
        <is>
          <t>GOTLANDS LÄN</t>
        </is>
      </c>
      <c r="G416" t="inlineStr">
        <is>
          <t>GOTLAND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32626-2026</t>
        </is>
      </c>
      <c r="B417" t="inlineStr">
        <is>
          <t>avverkningsanmälan</t>
        </is>
      </c>
      <c r="C417" t="inlineStr">
        <is>
          <t>Föryngringsavverkning</t>
        </is>
      </c>
      <c r="D417" s="1" t="n">
        <v>46240</v>
      </c>
      <c r="E417" s="1" t="n">
        <v>46281</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25866-2022</t>
        </is>
      </c>
      <c r="B418" t="inlineStr">
        <is>
          <t>avverkningsanmälan</t>
        </is>
      </c>
      <c r="C418" t="inlineStr">
        <is>
          <t>Föryngringsavverkning</t>
        </is>
      </c>
      <c r="D418" s="1" t="n">
        <v>44733</v>
      </c>
      <c r="E418" s="1" t="n">
        <v>46281</v>
      </c>
      <c r="F418" t="inlineStr">
        <is>
          <t>GOTLANDS LÄN</t>
        </is>
      </c>
      <c r="G418" t="inlineStr">
        <is>
          <t>GOTLAND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43229-2023</t>
        </is>
      </c>
      <c r="B419" t="inlineStr">
        <is>
          <t>avverkningsanmälan</t>
        </is>
      </c>
      <c r="C419" t="inlineStr">
        <is>
          <t>Föryngringsavverkning</t>
        </is>
      </c>
      <c r="D419" s="1" t="n">
        <v>45183</v>
      </c>
      <c r="E419" s="1" t="n">
        <v>46281</v>
      </c>
      <c r="F419" t="inlineStr">
        <is>
          <t>GOTLANDS LÄN</t>
        </is>
      </c>
      <c r="G419" t="inlineStr">
        <is>
          <t>GOTLAND</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27095-2022</t>
        </is>
      </c>
      <c r="B420" t="inlineStr">
        <is>
          <t>avverkningsanmälan</t>
        </is>
      </c>
      <c r="C420" t="inlineStr">
        <is>
          <t>Avverkning för annat ändamål</t>
        </is>
      </c>
      <c r="D420" s="1" t="n">
        <v>44741</v>
      </c>
      <c r="E420" s="1" t="n">
        <v>46281</v>
      </c>
      <c r="F420" t="inlineStr">
        <is>
          <t>GOTLANDS LÄN</t>
        </is>
      </c>
      <c r="G420" t="inlineStr">
        <is>
          <t>GOTLAND</t>
        </is>
      </c>
      <c r="H420" t="inlineStr">
        <is>
          <t>Övriga Aktiebolag</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22899-2023</t>
        </is>
      </c>
      <c r="B421" t="inlineStr">
        <is>
          <t>avverkningsanmälan</t>
        </is>
      </c>
      <c r="C421" t="inlineStr">
        <is>
          <t>Föryngringsavverkning</t>
        </is>
      </c>
      <c r="D421" s="1" t="n">
        <v>45072</v>
      </c>
      <c r="E421" s="1" t="n">
        <v>46281</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46281</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34407-2023</t>
        </is>
      </c>
      <c r="B423" t="inlineStr">
        <is>
          <t>avverkningsanmälan</t>
        </is>
      </c>
      <c r="C423" t="inlineStr">
        <is>
          <t>Föryngringsavverkning</t>
        </is>
      </c>
      <c r="D423" s="1" t="n">
        <v>45132</v>
      </c>
      <c r="E423" s="1" t="n">
        <v>46281</v>
      </c>
      <c r="F423" t="inlineStr">
        <is>
          <t>GOTLANDS LÄN</t>
        </is>
      </c>
      <c r="G423" t="inlineStr">
        <is>
          <t>GOTLAND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11013-2024</t>
        </is>
      </c>
      <c r="B424" t="inlineStr">
        <is>
          <t>avverkningsanmälan</t>
        </is>
      </c>
      <c r="C424" t="inlineStr">
        <is>
          <t>Föryngringsavverkning</t>
        </is>
      </c>
      <c r="D424" s="1" t="n">
        <v>45370</v>
      </c>
      <c r="E424" s="1" t="n">
        <v>46281</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27694-2024</t>
        </is>
      </c>
      <c r="B425" t="inlineStr">
        <is>
          <t>avverkningsanmälan</t>
        </is>
      </c>
      <c r="C425" t="inlineStr">
        <is>
          <t>Föryngringsavverkning</t>
        </is>
      </c>
      <c r="D425" s="1" t="n">
        <v>45475</v>
      </c>
      <c r="E425" s="1" t="n">
        <v>46281</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8260-2023</t>
        </is>
      </c>
      <c r="B426" t="inlineStr">
        <is>
          <t>avverkningsanmälan</t>
        </is>
      </c>
      <c r="C426" t="inlineStr">
        <is>
          <t>Föryngringsavverkning</t>
        </is>
      </c>
      <c r="D426" s="1" t="n">
        <v>44974</v>
      </c>
      <c r="E426" s="1" t="n">
        <v>46281</v>
      </c>
      <c r="F426" t="inlineStr">
        <is>
          <t>GOTLANDS LÄN</t>
        </is>
      </c>
      <c r="G426" t="inlineStr">
        <is>
          <t>GOTLAND</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15083-2025</t>
        </is>
      </c>
      <c r="B427" t="inlineStr">
        <is>
          <t>avverkningsanmälan</t>
        </is>
      </c>
      <c r="C427" t="inlineStr">
        <is>
          <t>Avverkning för annat ändamål</t>
        </is>
      </c>
      <c r="D427" s="1" t="n">
        <v>45743</v>
      </c>
      <c r="E427" s="1" t="n">
        <v>46281</v>
      </c>
      <c r="F427" t="inlineStr">
        <is>
          <t>GOTLANDS LÄN</t>
        </is>
      </c>
      <c r="G427" t="inlineStr">
        <is>
          <t>GOTLAND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28839-2026</t>
        </is>
      </c>
      <c r="B428" t="inlineStr">
        <is>
          <t>avverkningsanmälan</t>
        </is>
      </c>
      <c r="C428" t="inlineStr">
        <is>
          <t>Föryngringsavverkning</t>
        </is>
      </c>
      <c r="D428" s="1" t="n">
        <v>46198</v>
      </c>
      <c r="E428" s="1" t="n">
        <v>46281</v>
      </c>
      <c r="F428" t="inlineStr">
        <is>
          <t>GOTLANDS LÄN</t>
        </is>
      </c>
      <c r="G428" t="inlineStr">
        <is>
          <t>GOTLAND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28843-2026</t>
        </is>
      </c>
      <c r="B429" t="inlineStr">
        <is>
          <t>avverkningsanmälan</t>
        </is>
      </c>
      <c r="C429" t="inlineStr">
        <is>
          <t>Föryngringsavverkning</t>
        </is>
      </c>
      <c r="D429" s="1" t="n">
        <v>46198</v>
      </c>
      <c r="E429" s="1" t="n">
        <v>46281</v>
      </c>
      <c r="F429" t="inlineStr">
        <is>
          <t>GOTLANDS LÄN</t>
        </is>
      </c>
      <c r="G429" t="inlineStr">
        <is>
          <t>GOTLAND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13037-2025</t>
        </is>
      </c>
      <c r="B430" t="inlineStr">
        <is>
          <t>avverkningsanmälan</t>
        </is>
      </c>
      <c r="C430" t="inlineStr">
        <is>
          <t>Avverkning för att bevara och utveckla /försöksver</t>
        </is>
      </c>
      <c r="D430" s="1" t="n">
        <v>45734</v>
      </c>
      <c r="E430" s="1" t="n">
        <v>46281</v>
      </c>
      <c r="F430" t="inlineStr">
        <is>
          <t>GOTLANDS LÄN</t>
        </is>
      </c>
      <c r="G430" t="inlineStr">
        <is>
          <t>GOTLAND</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64969-2023</t>
        </is>
      </c>
      <c r="B431" t="inlineStr">
        <is>
          <t>avverkningsanmälan</t>
        </is>
      </c>
      <c r="C431" t="inlineStr">
        <is>
          <t>Föryngringsavverkning</t>
        </is>
      </c>
      <c r="D431" s="1" t="n">
        <v>45284</v>
      </c>
      <c r="E431" s="1" t="n">
        <v>46281</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48843-2024</t>
        </is>
      </c>
      <c r="B432" t="inlineStr">
        <is>
          <t>avverkningsanmälan</t>
        </is>
      </c>
      <c r="C432" t="inlineStr">
        <is>
          <t>Föryngringsavverkning</t>
        </is>
      </c>
      <c r="D432" s="1" t="n">
        <v>45593</v>
      </c>
      <c r="E432" s="1" t="n">
        <v>46281</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17541-2024</t>
        </is>
      </c>
      <c r="B433" t="inlineStr">
        <is>
          <t>avverkningsanmälan</t>
        </is>
      </c>
      <c r="C433" t="inlineStr">
        <is>
          <t>Föryngringsavverkning</t>
        </is>
      </c>
      <c r="D433" s="1" t="n">
        <v>45415</v>
      </c>
      <c r="E433" s="1" t="n">
        <v>46281</v>
      </c>
      <c r="F433" t="inlineStr">
        <is>
          <t>GOTLANDS LÄN</t>
        </is>
      </c>
      <c r="G433" t="inlineStr">
        <is>
          <t>GOTLAND</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29370-2026</t>
        </is>
      </c>
      <c r="B434" t="inlineStr">
        <is>
          <t>avverkningsanmälan</t>
        </is>
      </c>
      <c r="C434" t="inlineStr">
        <is>
          <t>Föryngringsavverkning</t>
        </is>
      </c>
      <c r="D434" s="1" t="n">
        <v>46203</v>
      </c>
      <c r="E434" s="1" t="n">
        <v>46281</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15434-2024</t>
        </is>
      </c>
      <c r="B435" t="inlineStr">
        <is>
          <t>avverkningsanmälan</t>
        </is>
      </c>
      <c r="C435" t="inlineStr">
        <is>
          <t>Föryngringsavverkning</t>
        </is>
      </c>
      <c r="D435" s="1" t="n">
        <v>45401</v>
      </c>
      <c r="E435" s="1" t="n">
        <v>46281</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5943-2024</t>
        </is>
      </c>
      <c r="B436" t="inlineStr">
        <is>
          <t>avverkningsanmälan</t>
        </is>
      </c>
      <c r="C436" t="inlineStr">
        <is>
          <t>Avverkning för annat ändamål</t>
        </is>
      </c>
      <c r="D436" s="1" t="n">
        <v>45336</v>
      </c>
      <c r="E436" s="1" t="n">
        <v>46281</v>
      </c>
      <c r="F436" t="inlineStr">
        <is>
          <t>GOTLANDS LÄN</t>
        </is>
      </c>
      <c r="G436" t="inlineStr">
        <is>
          <t>GOTLAND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44228-2022</t>
        </is>
      </c>
      <c r="B437" t="inlineStr">
        <is>
          <t>avverkningsanmälan</t>
        </is>
      </c>
      <c r="C437" t="inlineStr">
        <is>
          <t>Föryngringsavverkning</t>
        </is>
      </c>
      <c r="D437" s="1" t="n">
        <v>44839</v>
      </c>
      <c r="E437" s="1" t="n">
        <v>46281</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54073-2022</t>
        </is>
      </c>
      <c r="B438" t="inlineStr">
        <is>
          <t>avverkningsanmälan</t>
        </is>
      </c>
      <c r="C438" t="inlineStr">
        <is>
          <t>Föryngringsavverkning</t>
        </is>
      </c>
      <c r="D438" s="1" t="n">
        <v>44881</v>
      </c>
      <c r="E438" s="1" t="n">
        <v>46281</v>
      </c>
      <c r="F438" t="inlineStr">
        <is>
          <t>GOTLANDS LÄN</t>
        </is>
      </c>
      <c r="G438" t="inlineStr">
        <is>
          <t>GOTLAND</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16361-2024</t>
        </is>
      </c>
      <c r="B439" t="inlineStr">
        <is>
          <t>avverkningsanmälan</t>
        </is>
      </c>
      <c r="C439" t="inlineStr">
        <is>
          <t>Föryngringsavverkning</t>
        </is>
      </c>
      <c r="D439" s="1" t="n">
        <v>45407</v>
      </c>
      <c r="E439" s="1" t="n">
        <v>46281</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58132-2023</t>
        </is>
      </c>
      <c r="B440" t="inlineStr">
        <is>
          <t>avverkningsanmälan</t>
        </is>
      </c>
      <c r="C440" t="inlineStr">
        <is>
          <t>Föryngringsavverkning</t>
        </is>
      </c>
      <c r="D440" s="1" t="n">
        <v>45250</v>
      </c>
      <c r="E440" s="1" t="n">
        <v>46281</v>
      </c>
      <c r="F440" t="inlineStr">
        <is>
          <t>GOTLANDS LÄN</t>
        </is>
      </c>
      <c r="G440" t="inlineStr">
        <is>
          <t>GOTLAND</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41038-2023</t>
        </is>
      </c>
      <c r="B441" t="inlineStr">
        <is>
          <t>avverkningsanmälan</t>
        </is>
      </c>
      <c r="C441" t="inlineStr">
        <is>
          <t>Föryngringsavverkning</t>
        </is>
      </c>
      <c r="D441" s="1" t="n">
        <v>45173</v>
      </c>
      <c r="E441" s="1" t="n">
        <v>46281</v>
      </c>
      <c r="F441" t="inlineStr">
        <is>
          <t>GOTLANDS LÄN</t>
        </is>
      </c>
      <c r="G441" t="inlineStr">
        <is>
          <t>GOTLAND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14427-2024</t>
        </is>
      </c>
      <c r="B442" t="inlineStr">
        <is>
          <t>avverkningsanmälan</t>
        </is>
      </c>
      <c r="C442" t="inlineStr">
        <is>
          <t>Avverkning för att bevara och utveckla /försöksver</t>
        </is>
      </c>
      <c r="D442" s="1" t="n">
        <v>45394</v>
      </c>
      <c r="E442" s="1" t="n">
        <v>46281</v>
      </c>
      <c r="F442" t="inlineStr">
        <is>
          <t>GOTLANDS LÄN</t>
        </is>
      </c>
      <c r="G442" t="inlineStr">
        <is>
          <t>GOTLAND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31802-2024</t>
        </is>
      </c>
      <c r="B443" t="inlineStr">
        <is>
          <t>avverkningsanmälan</t>
        </is>
      </c>
      <c r="C443" t="inlineStr">
        <is>
          <t>Avverkning för annat ändamål</t>
        </is>
      </c>
      <c r="D443" s="1" t="n">
        <v>45509</v>
      </c>
      <c r="E443" s="1" t="n">
        <v>46281</v>
      </c>
      <c r="F443" t="inlineStr">
        <is>
          <t>GOTLANDS LÄN</t>
        </is>
      </c>
      <c r="G443" t="inlineStr">
        <is>
          <t>GOTLAND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12846-2025</t>
        </is>
      </c>
      <c r="B444" t="inlineStr">
        <is>
          <t>avverkningsanmälan</t>
        </is>
      </c>
      <c r="C444" t="inlineStr">
        <is>
          <t>Föryngringsavverkning</t>
        </is>
      </c>
      <c r="D444" s="1" t="n">
        <v>45733</v>
      </c>
      <c r="E444" s="1" t="n">
        <v>46281</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46949-2024</t>
        </is>
      </c>
      <c r="B445" t="inlineStr">
        <is>
          <t>avverkningsanmälan</t>
        </is>
      </c>
      <c r="C445" t="inlineStr">
        <is>
          <t>Föryngringsavverkning</t>
        </is>
      </c>
      <c r="D445" s="1" t="n">
        <v>45585</v>
      </c>
      <c r="E445" s="1" t="n">
        <v>46281</v>
      </c>
      <c r="F445" t="inlineStr">
        <is>
          <t>GOTLANDS LÄN</t>
        </is>
      </c>
      <c r="G445" t="inlineStr">
        <is>
          <t>GOTLAND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49884-2023</t>
        </is>
      </c>
      <c r="B446" t="inlineStr">
        <is>
          <t>avverkningsanmälan</t>
        </is>
      </c>
      <c r="C446" t="inlineStr">
        <is>
          <t>Föryngringsavverkning</t>
        </is>
      </c>
      <c r="D446" s="1" t="n">
        <v>45213</v>
      </c>
      <c r="E446" s="1" t="n">
        <v>46281</v>
      </c>
      <c r="F446" t="inlineStr">
        <is>
          <t>GOTLANDS LÄN</t>
        </is>
      </c>
      <c r="G446" t="inlineStr">
        <is>
          <t>GOTLAND</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46281</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10650-2022</t>
        </is>
      </c>
      <c r="B448" t="inlineStr">
        <is>
          <t>avverkningsanmälan</t>
        </is>
      </c>
      <c r="C448" t="inlineStr">
        <is>
          <t>Föryngringsavverkning</t>
        </is>
      </c>
      <c r="D448" s="1" t="n">
        <v>44624</v>
      </c>
      <c r="E448" s="1" t="n">
        <v>46281</v>
      </c>
      <c r="F448" t="inlineStr">
        <is>
          <t>GOTLANDS LÄN</t>
        </is>
      </c>
      <c r="G448" t="inlineStr">
        <is>
          <t>GOTLAND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876-2024</t>
        </is>
      </c>
      <c r="B449" t="inlineStr">
        <is>
          <t>avverkningsanmälan</t>
        </is>
      </c>
      <c r="C449" t="inlineStr">
        <is>
          <t>Avverkning för annat ändamål</t>
        </is>
      </c>
      <c r="D449" s="1" t="n">
        <v>45301</v>
      </c>
      <c r="E449" s="1" t="n">
        <v>46281</v>
      </c>
      <c r="F449" t="inlineStr">
        <is>
          <t>GOTLANDS LÄN</t>
        </is>
      </c>
      <c r="G449" t="inlineStr">
        <is>
          <t>GOTLAND</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1351-2025</t>
        </is>
      </c>
      <c r="B450" t="inlineStr">
        <is>
          <t>avverkningsanmälan</t>
        </is>
      </c>
      <c r="C450" t="inlineStr">
        <is>
          <t>Föryngringsavverkning</t>
        </is>
      </c>
      <c r="D450" s="1" t="n">
        <v>45667</v>
      </c>
      <c r="E450" s="1" t="n">
        <v>46281</v>
      </c>
      <c r="F450" t="inlineStr">
        <is>
          <t>GOTLANDS LÄN</t>
        </is>
      </c>
      <c r="G450" t="inlineStr">
        <is>
          <t>GOTLAND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39496-2022</t>
        </is>
      </c>
      <c r="B451" t="inlineStr">
        <is>
          <t>avverkningsanmälan</t>
        </is>
      </c>
      <c r="C451" t="inlineStr">
        <is>
          <t>Föryngringsavverkning</t>
        </is>
      </c>
      <c r="D451" s="1" t="n">
        <v>44818</v>
      </c>
      <c r="E451" s="1" t="n">
        <v>46281</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49874-2024</t>
        </is>
      </c>
      <c r="B452" t="inlineStr">
        <is>
          <t>avverkningsanmälan</t>
        </is>
      </c>
      <c r="C452" t="inlineStr">
        <is>
          <t>Föryngringsavverkning</t>
        </is>
      </c>
      <c r="D452" s="1" t="n">
        <v>45597</v>
      </c>
      <c r="E452" s="1" t="n">
        <v>46281</v>
      </c>
      <c r="F452" t="inlineStr">
        <is>
          <t>GOTLANDS LÄN</t>
        </is>
      </c>
      <c r="G452" t="inlineStr">
        <is>
          <t>GOTLAND</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46400-2023</t>
        </is>
      </c>
      <c r="B453" t="inlineStr">
        <is>
          <t>avverkningsanmälan</t>
        </is>
      </c>
      <c r="C453" t="inlineStr">
        <is>
          <t>Föryngringsavverkning</t>
        </is>
      </c>
      <c r="D453" s="1" t="n">
        <v>45197</v>
      </c>
      <c r="E453" s="1" t="n">
        <v>46281</v>
      </c>
      <c r="F453" t="inlineStr">
        <is>
          <t>GOTLANDS LÄN</t>
        </is>
      </c>
      <c r="G453" t="inlineStr">
        <is>
          <t>GOTLAND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22704-2023</t>
        </is>
      </c>
      <c r="B454" t="inlineStr">
        <is>
          <t>avverkningsanmälan</t>
        </is>
      </c>
      <c r="C454" t="inlineStr">
        <is>
          <t>Föryngringsavverkning</t>
        </is>
      </c>
      <c r="D454" s="1" t="n">
        <v>45071</v>
      </c>
      <c r="E454" s="1" t="n">
        <v>46281</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30925-2026</t>
        </is>
      </c>
      <c r="B455" t="inlineStr">
        <is>
          <t>avverkningsanmälan</t>
        </is>
      </c>
      <c r="C455" t="inlineStr">
        <is>
          <t>Föryngringsavverkning</t>
        </is>
      </c>
      <c r="D455" s="1" t="n">
        <v>46213</v>
      </c>
      <c r="E455" s="1" t="n">
        <v>46281</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21164-2024</t>
        </is>
      </c>
      <c r="B456" t="inlineStr">
        <is>
          <t>avverkningsanmälan</t>
        </is>
      </c>
      <c r="C456" t="inlineStr">
        <is>
          <t>Föryngringsavverkning</t>
        </is>
      </c>
      <c r="D456" s="1" t="n">
        <v>45440</v>
      </c>
      <c r="E456" s="1" t="n">
        <v>46281</v>
      </c>
      <c r="F456" t="inlineStr">
        <is>
          <t>GOTLANDS LÄN</t>
        </is>
      </c>
      <c r="G456" t="inlineStr">
        <is>
          <t>GOTLAND</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28425-2023</t>
        </is>
      </c>
      <c r="B457" t="inlineStr">
        <is>
          <t>avverkningsanmälan</t>
        </is>
      </c>
      <c r="C457" t="inlineStr">
        <is>
          <t>Föryngringsavverkning</t>
        </is>
      </c>
      <c r="D457" s="1" t="n">
        <v>45102</v>
      </c>
      <c r="E457" s="1" t="n">
        <v>46281</v>
      </c>
      <c r="F457" t="inlineStr">
        <is>
          <t>GOTLANDS LÄN</t>
        </is>
      </c>
      <c r="G457" t="inlineStr">
        <is>
          <t>GOTLAND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8045-2022</t>
        </is>
      </c>
      <c r="B458" t="inlineStr">
        <is>
          <t>avverkningsanmälan</t>
        </is>
      </c>
      <c r="C458" t="inlineStr">
        <is>
          <t>Föryngringsavverkning</t>
        </is>
      </c>
      <c r="D458" s="1" t="n">
        <v>44609</v>
      </c>
      <c r="E458" s="1" t="n">
        <v>46281</v>
      </c>
      <c r="F458" t="inlineStr">
        <is>
          <t>GOTLANDS LÄN</t>
        </is>
      </c>
      <c r="G458" t="inlineStr">
        <is>
          <t>GOTLAND</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30926-2026</t>
        </is>
      </c>
      <c r="B459" t="inlineStr">
        <is>
          <t>avverkningsanmälan</t>
        </is>
      </c>
      <c r="C459" t="inlineStr">
        <is>
          <t>Föryngringsavverkning</t>
        </is>
      </c>
      <c r="D459" s="1" t="n">
        <v>46213</v>
      </c>
      <c r="E459" s="1" t="n">
        <v>46281</v>
      </c>
      <c r="F459" t="inlineStr">
        <is>
          <t>GOTLANDS LÄN</t>
        </is>
      </c>
      <c r="G459" t="inlineStr">
        <is>
          <t>GOTLAND</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22897-2023</t>
        </is>
      </c>
      <c r="B460" t="inlineStr">
        <is>
          <t>avverkningsanmälan</t>
        </is>
      </c>
      <c r="C460" t="inlineStr">
        <is>
          <t>Föryngringsavverkning</t>
        </is>
      </c>
      <c r="D460" s="1" t="n">
        <v>45072</v>
      </c>
      <c r="E460" s="1" t="n">
        <v>46281</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61897-2024</t>
        </is>
      </c>
      <c r="B461" t="inlineStr">
        <is>
          <t>avverkningsanmälan</t>
        </is>
      </c>
      <c r="C461" t="inlineStr">
        <is>
          <t>Föryngringsavverkning</t>
        </is>
      </c>
      <c r="D461" s="1" t="n">
        <v>45652</v>
      </c>
      <c r="E461" s="1" t="n">
        <v>46281</v>
      </c>
      <c r="F461" t="inlineStr">
        <is>
          <t>GOTLANDS LÄN</t>
        </is>
      </c>
      <c r="G461" t="inlineStr">
        <is>
          <t>GOTLAND</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62836-2025</t>
        </is>
      </c>
      <c r="B462" t="inlineStr">
        <is>
          <t>avverkningsanmälan</t>
        </is>
      </c>
      <c r="C462" t="inlineStr">
        <is>
          <t>Föryngringsavverkning</t>
        </is>
      </c>
      <c r="D462" s="1" t="n">
        <v>46008</v>
      </c>
      <c r="E462" s="1" t="n">
        <v>46281</v>
      </c>
      <c r="F462" t="inlineStr">
        <is>
          <t>GOTLANDS LÄN</t>
        </is>
      </c>
      <c r="G462" t="inlineStr">
        <is>
          <t>GOTLAND</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20165-2022</t>
        </is>
      </c>
      <c r="B463" t="inlineStr">
        <is>
          <t>avverkningsanmälan</t>
        </is>
      </c>
      <c r="C463" t="inlineStr">
        <is>
          <t>Föryngringsavverkning</t>
        </is>
      </c>
      <c r="D463" s="1" t="n">
        <v>44698</v>
      </c>
      <c r="E463" s="1" t="n">
        <v>46281</v>
      </c>
      <c r="F463" t="inlineStr">
        <is>
          <t>GOTLANDS LÄN</t>
        </is>
      </c>
      <c r="G463" t="inlineStr">
        <is>
          <t>GOTLAND</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31287-2026</t>
        </is>
      </c>
      <c r="B464" t="inlineStr">
        <is>
          <t>avverkningsanmälan</t>
        </is>
      </c>
      <c r="C464" t="inlineStr">
        <is>
          <t>Föryngringsavverkning</t>
        </is>
      </c>
      <c r="D464" s="1" t="n">
        <v>46218</v>
      </c>
      <c r="E464" s="1" t="n">
        <v>46281</v>
      </c>
      <c r="F464" t="inlineStr">
        <is>
          <t>GOTLANDS LÄN</t>
        </is>
      </c>
      <c r="G464" t="inlineStr">
        <is>
          <t>GOTLAND</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35127-2026</t>
        </is>
      </c>
      <c r="B465" t="inlineStr">
        <is>
          <t>avverkningsanmälan</t>
        </is>
      </c>
      <c r="C465" t="inlineStr">
        <is>
          <t>Föryngringsavverkning</t>
        </is>
      </c>
      <c r="D465" s="1" t="n">
        <v>46260</v>
      </c>
      <c r="E465" s="1" t="n">
        <v>46281</v>
      </c>
      <c r="F465" t="inlineStr">
        <is>
          <t>GOTLANDS LÄN</t>
        </is>
      </c>
      <c r="G465" t="inlineStr">
        <is>
          <t>GOTLAND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43223-2023</t>
        </is>
      </c>
      <c r="B466" t="inlineStr">
        <is>
          <t>avverkningsanmälan</t>
        </is>
      </c>
      <c r="C466" t="inlineStr">
        <is>
          <t>Föryngringsavverkning</t>
        </is>
      </c>
      <c r="D466" s="1" t="n">
        <v>45183</v>
      </c>
      <c r="E466" s="1" t="n">
        <v>46281</v>
      </c>
      <c r="F466" t="inlineStr">
        <is>
          <t>GOTLANDS LÄN</t>
        </is>
      </c>
      <c r="G466" t="inlineStr">
        <is>
          <t>GOTLAND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12032-2025</t>
        </is>
      </c>
      <c r="B467" t="inlineStr">
        <is>
          <t>avverkningsanmälan</t>
        </is>
      </c>
      <c r="C467" t="inlineStr">
        <is>
          <t>Föryngringsavverkning</t>
        </is>
      </c>
      <c r="D467" s="1" t="n">
        <v>45728</v>
      </c>
      <c r="E467" s="1" t="n">
        <v>46281</v>
      </c>
      <c r="F467" t="inlineStr">
        <is>
          <t>GOTLANDS LÄN</t>
        </is>
      </c>
      <c r="G467" t="inlineStr">
        <is>
          <t>GOTLAND</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38787-2023</t>
        </is>
      </c>
      <c r="B468" t="inlineStr">
        <is>
          <t>avverkningsanmälan</t>
        </is>
      </c>
      <c r="C468" t="inlineStr">
        <is>
          <t>Föryngringsavverkning</t>
        </is>
      </c>
      <c r="D468" s="1" t="n">
        <v>45163</v>
      </c>
      <c r="E468" s="1" t="n">
        <v>46281</v>
      </c>
      <c r="F468" t="inlineStr">
        <is>
          <t>GOTLANDS LÄN</t>
        </is>
      </c>
      <c r="G468" t="inlineStr">
        <is>
          <t>GOTLAND</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3431-2025</t>
        </is>
      </c>
      <c r="B469" t="inlineStr">
        <is>
          <t>avverkningsanmälan</t>
        </is>
      </c>
      <c r="C469" t="inlineStr">
        <is>
          <t>Föryngringsavverkning</t>
        </is>
      </c>
      <c r="D469" s="1" t="n">
        <v>45680</v>
      </c>
      <c r="E469" s="1" t="n">
        <v>46281</v>
      </c>
      <c r="F469" t="inlineStr">
        <is>
          <t>GOTLANDS LÄN</t>
        </is>
      </c>
      <c r="G469" t="inlineStr">
        <is>
          <t>GOTLAND</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43231-2023</t>
        </is>
      </c>
      <c r="B470" t="inlineStr">
        <is>
          <t>avverkningsanmälan</t>
        </is>
      </c>
      <c r="C470" t="inlineStr">
        <is>
          <t>Föryngringsavverkning</t>
        </is>
      </c>
      <c r="D470" s="1" t="n">
        <v>45183</v>
      </c>
      <c r="E470" s="1" t="n">
        <v>46281</v>
      </c>
      <c r="F470" t="inlineStr">
        <is>
          <t>GOTLANDS LÄN</t>
        </is>
      </c>
      <c r="G470" t="inlineStr">
        <is>
          <t>GOTLAND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17532-2024</t>
        </is>
      </c>
      <c r="B471" t="inlineStr">
        <is>
          <t>avverkningsanmälan</t>
        </is>
      </c>
      <c r="C471" t="inlineStr">
        <is>
          <t>Föryngringsavverkning</t>
        </is>
      </c>
      <c r="D471" s="1" t="n">
        <v>45415</v>
      </c>
      <c r="E471" s="1" t="n">
        <v>46281</v>
      </c>
      <c r="F471" t="inlineStr">
        <is>
          <t>GOTLANDS LÄN</t>
        </is>
      </c>
      <c r="G471" t="inlineStr">
        <is>
          <t>GOTLAND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10284-2026</t>
        </is>
      </c>
      <c r="B472" t="inlineStr">
        <is>
          <t>avverkningsanmälan</t>
        </is>
      </c>
      <c r="C472" t="inlineStr">
        <is>
          <t>Avverkning för annat ändamål</t>
        </is>
      </c>
      <c r="D472" s="1" t="n">
        <v>46076</v>
      </c>
      <c r="E472" s="1" t="n">
        <v>46281</v>
      </c>
      <c r="F472" t="inlineStr">
        <is>
          <t>GOTLANDS LÄN</t>
        </is>
      </c>
      <c r="G472" t="inlineStr">
        <is>
          <t>GOTLAND</t>
        </is>
      </c>
      <c r="I472" t="n">
        <v>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37202-2024</t>
        </is>
      </c>
      <c r="B473" t="inlineStr">
        <is>
          <t>avverkningsanmälan</t>
        </is>
      </c>
      <c r="C473" t="inlineStr">
        <is>
          <t>Föryngringsavverkning</t>
        </is>
      </c>
      <c r="D473" s="1" t="n">
        <v>45539</v>
      </c>
      <c r="E473" s="1" t="n">
        <v>46281</v>
      </c>
      <c r="F473" t="inlineStr">
        <is>
          <t>GOTLANDS LÄN</t>
        </is>
      </c>
      <c r="G473" t="inlineStr">
        <is>
          <t>GOTLAND</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46527-2023</t>
        </is>
      </c>
      <c r="B474" t="inlineStr">
        <is>
          <t>avverkningsanmälan</t>
        </is>
      </c>
      <c r="C474" t="inlineStr">
        <is>
          <t>Avverkning för annat ändamål</t>
        </is>
      </c>
      <c r="D474" s="1" t="n">
        <v>45197</v>
      </c>
      <c r="E474" s="1" t="n">
        <v>46281</v>
      </c>
      <c r="F474" t="inlineStr">
        <is>
          <t>GOTLANDS LÄN</t>
        </is>
      </c>
      <c r="G474" t="inlineStr">
        <is>
          <t>GOTLAND</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2774-2024</t>
        </is>
      </c>
      <c r="B475" t="inlineStr">
        <is>
          <t>avverkningsanmälan</t>
        </is>
      </c>
      <c r="C475" t="inlineStr">
        <is>
          <t>Föryngringsavverkning</t>
        </is>
      </c>
      <c r="D475" s="1" t="n">
        <v>45314</v>
      </c>
      <c r="E475" s="1" t="n">
        <v>46281</v>
      </c>
      <c r="F475" t="inlineStr">
        <is>
          <t>GOTLANDS LÄN</t>
        </is>
      </c>
      <c r="G475" t="inlineStr">
        <is>
          <t>GOTLAND</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31693-2026</t>
        </is>
      </c>
      <c r="B476" t="inlineStr">
        <is>
          <t>avverkningsanmälan</t>
        </is>
      </c>
      <c r="C476" t="inlineStr">
        <is>
          <t>Föryngringsavverkning</t>
        </is>
      </c>
      <c r="D476" s="1" t="n">
        <v>46226</v>
      </c>
      <c r="E476" s="1" t="n">
        <v>46281</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31695-2026</t>
        </is>
      </c>
      <c r="B477" t="inlineStr">
        <is>
          <t>avverkningsanmälan</t>
        </is>
      </c>
      <c r="C477" t="inlineStr">
        <is>
          <t>Föryngringsavverkning</t>
        </is>
      </c>
      <c r="D477" s="1" t="n">
        <v>46226</v>
      </c>
      <c r="E477" s="1" t="n">
        <v>46281</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36499-2026</t>
        </is>
      </c>
      <c r="B478" t="inlineStr">
        <is>
          <t>avverkningsanmälan</t>
        </is>
      </c>
      <c r="C478" t="inlineStr">
        <is>
          <t>Föryngringsavverkning</t>
        </is>
      </c>
      <c r="D478" s="1" t="n">
        <v>46268</v>
      </c>
      <c r="E478" s="1" t="n">
        <v>46281</v>
      </c>
      <c r="F478" t="inlineStr">
        <is>
          <t>GOTLANDS LÄN</t>
        </is>
      </c>
      <c r="G478" t="inlineStr">
        <is>
          <t>GOTLAND</t>
        </is>
      </c>
      <c r="H478" t="inlineStr">
        <is>
          <t>Kommuner</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36510-2026</t>
        </is>
      </c>
      <c r="B479" t="inlineStr">
        <is>
          <t>avverkningsanmälan</t>
        </is>
      </c>
      <c r="C479" t="inlineStr">
        <is>
          <t>Föryngringsavverkning</t>
        </is>
      </c>
      <c r="D479" s="1" t="n">
        <v>46268</v>
      </c>
      <c r="E479" s="1" t="n">
        <v>46281</v>
      </c>
      <c r="F479" t="inlineStr">
        <is>
          <t>GOTLANDS LÄN</t>
        </is>
      </c>
      <c r="G479" t="inlineStr">
        <is>
          <t>GOTLAND</t>
        </is>
      </c>
      <c r="H479" t="inlineStr">
        <is>
          <t>Kommuner</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60709-2023</t>
        </is>
      </c>
      <c r="B480" t="inlineStr">
        <is>
          <t>avverkningsanmälan</t>
        </is>
      </c>
      <c r="C480" t="inlineStr">
        <is>
          <t>Föryngringsavverkning</t>
        </is>
      </c>
      <c r="D480" s="1" t="n">
        <v>45260</v>
      </c>
      <c r="E480" s="1" t="n">
        <v>46281</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39764-2022</t>
        </is>
      </c>
      <c r="B481" t="inlineStr">
        <is>
          <t>avverkningsanmälan</t>
        </is>
      </c>
      <c r="C481" t="inlineStr">
        <is>
          <t>Föryngringsavverkning</t>
        </is>
      </c>
      <c r="D481" s="1" t="n">
        <v>44819</v>
      </c>
      <c r="E481" s="1" t="n">
        <v>46281</v>
      </c>
      <c r="F481" t="inlineStr">
        <is>
          <t>GOTLANDS LÄN</t>
        </is>
      </c>
      <c r="G481" t="inlineStr">
        <is>
          <t>GOTLAND</t>
        </is>
      </c>
      <c r="H481" t="inlineStr">
        <is>
          <t>Kyrkan</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30956-2024</t>
        </is>
      </c>
      <c r="B482" t="inlineStr">
        <is>
          <t>avverkningsanmälan</t>
        </is>
      </c>
      <c r="C482" t="inlineStr">
        <is>
          <t>Föryngringsavverkning</t>
        </is>
      </c>
      <c r="D482" s="1" t="n">
        <v>45499</v>
      </c>
      <c r="E482" s="1" t="n">
        <v>46281</v>
      </c>
      <c r="F482" t="inlineStr">
        <is>
          <t>GOTLANDS LÄN</t>
        </is>
      </c>
      <c r="G482" t="inlineStr">
        <is>
          <t>GOTLAND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30892-2024</t>
        </is>
      </c>
      <c r="B483" t="inlineStr">
        <is>
          <t>avverkningsanmälan</t>
        </is>
      </c>
      <c r="C483" t="inlineStr">
        <is>
          <t>Föryngringsavverkning</t>
        </is>
      </c>
      <c r="D483" s="1" t="n">
        <v>45491</v>
      </c>
      <c r="E483" s="1" t="n">
        <v>46281</v>
      </c>
      <c r="F483" t="inlineStr">
        <is>
          <t>GOTLANDS LÄN</t>
        </is>
      </c>
      <c r="G483" t="inlineStr">
        <is>
          <t>GOTLAND</t>
        </is>
      </c>
      <c r="I483" t="n">
        <v>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14635-2023</t>
        </is>
      </c>
      <c r="B484" t="inlineStr">
        <is>
          <t>avverkningsanmälan</t>
        </is>
      </c>
      <c r="C484" t="inlineStr">
        <is>
          <t>Föryngringsavverkning</t>
        </is>
      </c>
      <c r="D484" s="1" t="n">
        <v>45013</v>
      </c>
      <c r="E484" s="1" t="n">
        <v>46281</v>
      </c>
      <c r="F484" t="inlineStr">
        <is>
          <t>GOTLANDS LÄN</t>
        </is>
      </c>
      <c r="G484" t="inlineStr">
        <is>
          <t>GOTLAND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59469-2024</t>
        </is>
      </c>
      <c r="B485" t="inlineStr">
        <is>
          <t>avverkningsanmälan</t>
        </is>
      </c>
      <c r="C485" t="inlineStr">
        <is>
          <t>Föryngringsavverkning</t>
        </is>
      </c>
      <c r="D485" s="1" t="n">
        <v>45638</v>
      </c>
      <c r="E485" s="1" t="n">
        <v>46281</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7858-2025</t>
        </is>
      </c>
      <c r="B486" t="inlineStr">
        <is>
          <t>avverkningsanmälan</t>
        </is>
      </c>
      <c r="C486" t="inlineStr">
        <is>
          <t>Föryngringsavverkning</t>
        </is>
      </c>
      <c r="D486" s="1" t="n">
        <v>45706</v>
      </c>
      <c r="E486" s="1" t="n">
        <v>46281</v>
      </c>
      <c r="F486" t="inlineStr">
        <is>
          <t>GOTLANDS LÄN</t>
        </is>
      </c>
      <c r="G486" t="inlineStr">
        <is>
          <t>GOTLAND</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46281</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46281</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53935-2024</t>
        </is>
      </c>
      <c r="B489" t="inlineStr">
        <is>
          <t>avverkningsanmälan</t>
        </is>
      </c>
      <c r="C489" t="inlineStr">
        <is>
          <t>Föryngringsavverkning</t>
        </is>
      </c>
      <c r="D489" s="1" t="n">
        <v>45615</v>
      </c>
      <c r="E489" s="1" t="n">
        <v>46281</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9540-2026</t>
        </is>
      </c>
      <c r="B490" t="inlineStr">
        <is>
          <t>avverkningsanmälan</t>
        </is>
      </c>
      <c r="C490" t="inlineStr">
        <is>
          <t>Föryngringsavverkning</t>
        </is>
      </c>
      <c r="D490" s="1" t="n">
        <v>46071</v>
      </c>
      <c r="E490" s="1" t="n">
        <v>46281</v>
      </c>
      <c r="F490" t="inlineStr">
        <is>
          <t>GOTLANDS LÄN</t>
        </is>
      </c>
      <c r="G490" t="inlineStr">
        <is>
          <t>GOTLAND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46281</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5891-2025</t>
        </is>
      </c>
      <c r="B492" t="inlineStr">
        <is>
          <t>avverkningsanmälan</t>
        </is>
      </c>
      <c r="C492" t="inlineStr">
        <is>
          <t>Föryngringsavverkning</t>
        </is>
      </c>
      <c r="D492" s="1" t="n">
        <v>45695</v>
      </c>
      <c r="E492" s="1" t="n">
        <v>46281</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7835-2024</t>
        </is>
      </c>
      <c r="B493" t="inlineStr">
        <is>
          <t>avverkningsanmälan</t>
        </is>
      </c>
      <c r="C493" t="inlineStr">
        <is>
          <t>Föryngringsavverkning</t>
        </is>
      </c>
      <c r="D493" s="1" t="n">
        <v>45349</v>
      </c>
      <c r="E493" s="1" t="n">
        <v>46281</v>
      </c>
      <c r="F493" t="inlineStr">
        <is>
          <t>GOTLANDS LÄN</t>
        </is>
      </c>
      <c r="G493" t="inlineStr">
        <is>
          <t>GOTLAND</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22275-2026</t>
        </is>
      </c>
      <c r="B494" t="inlineStr">
        <is>
          <t>avverkningsanmälan</t>
        </is>
      </c>
      <c r="C494" t="inlineStr">
        <is>
          <t>Föryngringsavverkning</t>
        </is>
      </c>
      <c r="D494" s="1" t="n">
        <v>46154</v>
      </c>
      <c r="E494" s="1" t="n">
        <v>46281</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27164-2026</t>
        </is>
      </c>
      <c r="B495" t="inlineStr">
        <is>
          <t>avverkningsanmälan</t>
        </is>
      </c>
      <c r="C495" t="inlineStr">
        <is>
          <t>Föryngringsavverkning</t>
        </is>
      </c>
      <c r="D495" s="1" t="n">
        <v>46188</v>
      </c>
      <c r="E495" s="1" t="n">
        <v>46281</v>
      </c>
      <c r="F495" t="inlineStr">
        <is>
          <t>GOTLANDS LÄN</t>
        </is>
      </c>
      <c r="G495" t="inlineStr">
        <is>
          <t>GOTLAND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23504-2026</t>
        </is>
      </c>
      <c r="B496" t="inlineStr">
        <is>
          <t>avverkningsanmälan</t>
        </is>
      </c>
      <c r="C496" t="inlineStr">
        <is>
          <t>Föryngringsavverkning</t>
        </is>
      </c>
      <c r="D496" s="1" t="n">
        <v>46163</v>
      </c>
      <c r="E496" s="1" t="n">
        <v>46281</v>
      </c>
      <c r="F496" t="inlineStr">
        <is>
          <t>GOTLANDS LÄN</t>
        </is>
      </c>
      <c r="G496" t="inlineStr">
        <is>
          <t>GOTLAND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21389-2025</t>
        </is>
      </c>
      <c r="B497" t="inlineStr">
        <is>
          <t>avverkningsanmälan</t>
        </is>
      </c>
      <c r="C497" t="inlineStr">
        <is>
          <t>Föryngringsavverkning</t>
        </is>
      </c>
      <c r="D497" s="1" t="n">
        <v>45782</v>
      </c>
      <c r="E497" s="1" t="n">
        <v>46281</v>
      </c>
      <c r="F497" t="inlineStr">
        <is>
          <t>GOTLANDS LÄN</t>
        </is>
      </c>
      <c r="G497" t="inlineStr">
        <is>
          <t>GOTLAND</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32239-2026</t>
        </is>
      </c>
      <c r="B498" t="inlineStr">
        <is>
          <t>avverkningsanmälan</t>
        </is>
      </c>
      <c r="C498" t="inlineStr">
        <is>
          <t>Föryngringsavverkning</t>
        </is>
      </c>
      <c r="D498" s="1" t="n">
        <v>46237</v>
      </c>
      <c r="E498" s="1" t="n">
        <v>46281</v>
      </c>
      <c r="F498" t="inlineStr">
        <is>
          <t>GOTLANDS LÄN</t>
        </is>
      </c>
      <c r="G498" t="inlineStr">
        <is>
          <t>GOTLAND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57356-2023</t>
        </is>
      </c>
      <c r="B499" t="inlineStr">
        <is>
          <t>avverkningsanmälan</t>
        </is>
      </c>
      <c r="C499" t="inlineStr">
        <is>
          <t>Föryngringsavverkning</t>
        </is>
      </c>
      <c r="D499" s="1" t="n">
        <v>45240</v>
      </c>
      <c r="E499" s="1" t="n">
        <v>46281</v>
      </c>
      <c r="F499" t="inlineStr">
        <is>
          <t>GOTLANDS LÄN</t>
        </is>
      </c>
      <c r="G499" t="inlineStr">
        <is>
          <t>GOTLAND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10656-2024</t>
        </is>
      </c>
      <c r="B500" t="inlineStr">
        <is>
          <t>avverkningsanmälan</t>
        </is>
      </c>
      <c r="C500" t="inlineStr">
        <is>
          <t>Föryngringsavverkning</t>
        </is>
      </c>
      <c r="D500" s="1" t="n">
        <v>45368</v>
      </c>
      <c r="E500" s="1" t="n">
        <v>46281</v>
      </c>
      <c r="F500" t="inlineStr">
        <is>
          <t>GOTLANDS LÄN</t>
        </is>
      </c>
      <c r="G500" t="inlineStr">
        <is>
          <t>GOTLAND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28506-2023</t>
        </is>
      </c>
      <c r="B501" t="inlineStr">
        <is>
          <t>avverkningsanmälan</t>
        </is>
      </c>
      <c r="C501" t="inlineStr">
        <is>
          <t>Avverkning för annat ändamål</t>
        </is>
      </c>
      <c r="D501" s="1" t="n">
        <v>45103</v>
      </c>
      <c r="E501" s="1" t="n">
        <v>46281</v>
      </c>
      <c r="F501" t="inlineStr">
        <is>
          <t>GOTLANDS LÄN</t>
        </is>
      </c>
      <c r="G501" t="inlineStr">
        <is>
          <t>GOTLAND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21420-2024</t>
        </is>
      </c>
      <c r="B502" t="inlineStr">
        <is>
          <t>avverkningsanmälan</t>
        </is>
      </c>
      <c r="C502" t="inlineStr">
        <is>
          <t>Föryngringsavverkning</t>
        </is>
      </c>
      <c r="D502" s="1" t="n">
        <v>45441</v>
      </c>
      <c r="E502" s="1" t="n">
        <v>46281</v>
      </c>
      <c r="F502" t="inlineStr">
        <is>
          <t>GOTLANDS LÄN</t>
        </is>
      </c>
      <c r="G502" t="inlineStr">
        <is>
          <t>GOTLAND</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23188-2025</t>
        </is>
      </c>
      <c r="B503" t="inlineStr">
        <is>
          <t>avverkningsanmälan</t>
        </is>
      </c>
      <c r="C503" t="inlineStr">
        <is>
          <t>Avverkning för annat ändamål</t>
        </is>
      </c>
      <c r="D503" s="1" t="n">
        <v>45791</v>
      </c>
      <c r="E503" s="1" t="n">
        <v>46281</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15073-2025</t>
        </is>
      </c>
      <c r="B504" t="inlineStr">
        <is>
          <t>avverkningsanmälan</t>
        </is>
      </c>
      <c r="C504" t="inlineStr">
        <is>
          <t>Avverkning för annat ändamål</t>
        </is>
      </c>
      <c r="D504" s="1" t="n">
        <v>45743</v>
      </c>
      <c r="E504" s="1" t="n">
        <v>46281</v>
      </c>
      <c r="F504" t="inlineStr">
        <is>
          <t>GOTLANDS LÄN</t>
        </is>
      </c>
      <c r="G504" t="inlineStr">
        <is>
          <t>GOTLAND</t>
        </is>
      </c>
      <c r="I504" t="n">
        <v>12.1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6749-2025</t>
        </is>
      </c>
      <c r="B505" t="inlineStr">
        <is>
          <t>avverkningsanmälan</t>
        </is>
      </c>
      <c r="C505" t="inlineStr">
        <is>
          <t>Föryngringsavverkning</t>
        </is>
      </c>
      <c r="D505" s="1" t="n">
        <v>45700</v>
      </c>
      <c r="E505" s="1" t="n">
        <v>46281</v>
      </c>
      <c r="F505" t="inlineStr">
        <is>
          <t>GOTLANDS LÄN</t>
        </is>
      </c>
      <c r="G505" t="inlineStr">
        <is>
          <t>GOTLAND</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23698-2025</t>
        </is>
      </c>
      <c r="B506" t="inlineStr">
        <is>
          <t>avverkningsanmälan</t>
        </is>
      </c>
      <c r="C506" t="inlineStr">
        <is>
          <t>Föryngringsavverkning</t>
        </is>
      </c>
      <c r="D506" s="1" t="n">
        <v>45793</v>
      </c>
      <c r="E506" s="1" t="n">
        <v>46281</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5462-2025</t>
        </is>
      </c>
      <c r="B507" t="inlineStr">
        <is>
          <t>avverkningsanmälan</t>
        </is>
      </c>
      <c r="C507" t="inlineStr">
        <is>
          <t>Föryngringsavverkning</t>
        </is>
      </c>
      <c r="D507" s="1" t="n">
        <v>45693</v>
      </c>
      <c r="E507" s="1" t="n">
        <v>46281</v>
      </c>
      <c r="F507" t="inlineStr">
        <is>
          <t>GOTLANDS LÄN</t>
        </is>
      </c>
      <c r="G507" t="inlineStr">
        <is>
          <t>GOTLAND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7850-2025</t>
        </is>
      </c>
      <c r="B508" t="inlineStr">
        <is>
          <t>avverkningsanmälan</t>
        </is>
      </c>
      <c r="C508" t="inlineStr">
        <is>
          <t>Föryngringsavverkning</t>
        </is>
      </c>
      <c r="D508" s="1" t="n">
        <v>45706</v>
      </c>
      <c r="E508" s="1" t="n">
        <v>46281</v>
      </c>
      <c r="F508" t="inlineStr">
        <is>
          <t>GOTLANDS LÄN</t>
        </is>
      </c>
      <c r="G508" t="inlineStr">
        <is>
          <t>GOTLAND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8444-2025</t>
        </is>
      </c>
      <c r="B509" t="inlineStr">
        <is>
          <t>avverkningsanmälan</t>
        </is>
      </c>
      <c r="C509" t="inlineStr">
        <is>
          <t>Föryngringsavverkning</t>
        </is>
      </c>
      <c r="D509" s="1" t="n">
        <v>45709</v>
      </c>
      <c r="E509" s="1" t="n">
        <v>46281</v>
      </c>
      <c r="F509" t="inlineStr">
        <is>
          <t>GOTLANDS LÄN</t>
        </is>
      </c>
      <c r="G509" t="inlineStr">
        <is>
          <t>GOTLAND</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29196-2025</t>
        </is>
      </c>
      <c r="B510" t="inlineStr">
        <is>
          <t>avverkningsanmälan</t>
        </is>
      </c>
      <c r="C510" t="inlineStr">
        <is>
          <t>Föryngringsavverkning</t>
        </is>
      </c>
      <c r="D510" s="1" t="n">
        <v>45822</v>
      </c>
      <c r="E510" s="1" t="n">
        <v>46281</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30061-2025</t>
        </is>
      </c>
      <c r="B511" t="inlineStr">
        <is>
          <t>avverkningsanmälan</t>
        </is>
      </c>
      <c r="C511" t="inlineStr">
        <is>
          <t>Föryngringsavverkning</t>
        </is>
      </c>
      <c r="D511" s="1" t="n">
        <v>45826</v>
      </c>
      <c r="E511" s="1" t="n">
        <v>46281</v>
      </c>
      <c r="F511" t="inlineStr">
        <is>
          <t>GOTLANDS LÄN</t>
        </is>
      </c>
      <c r="G511" t="inlineStr">
        <is>
          <t>GOTLAND</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58160-2024</t>
        </is>
      </c>
      <c r="B512" t="inlineStr">
        <is>
          <t>avverkningsanmälan</t>
        </is>
      </c>
      <c r="C512" t="inlineStr">
        <is>
          <t>Föryngringsavverkning</t>
        </is>
      </c>
      <c r="D512" s="1" t="n">
        <v>45632</v>
      </c>
      <c r="E512" s="1" t="n">
        <v>46281</v>
      </c>
      <c r="F512" t="inlineStr">
        <is>
          <t>GOTLANDS LÄN</t>
        </is>
      </c>
      <c r="G512" t="inlineStr">
        <is>
          <t>GOTLAND</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16109-2025</t>
        </is>
      </c>
      <c r="B513" t="inlineStr">
        <is>
          <t>avverkningsanmälan</t>
        </is>
      </c>
      <c r="C513" t="inlineStr">
        <is>
          <t>Avverkning för annat ändamål</t>
        </is>
      </c>
      <c r="D513" s="1" t="n">
        <v>45750</v>
      </c>
      <c r="E513" s="1" t="n">
        <v>46281</v>
      </c>
      <c r="F513" t="inlineStr">
        <is>
          <t>GOTLANDS LÄN</t>
        </is>
      </c>
      <c r="G513" t="inlineStr">
        <is>
          <t>GOTLAND</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46281</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32669-2024</t>
        </is>
      </c>
      <c r="B515" t="inlineStr">
        <is>
          <t>avverkningsanmälan</t>
        </is>
      </c>
      <c r="C515" t="inlineStr">
        <is>
          <t>Föryngringsavverkning</t>
        </is>
      </c>
      <c r="D515" s="1" t="n">
        <v>45514</v>
      </c>
      <c r="E515" s="1" t="n">
        <v>46281</v>
      </c>
      <c r="F515" t="inlineStr">
        <is>
          <t>GOTLANDS LÄN</t>
        </is>
      </c>
      <c r="G515" t="inlineStr">
        <is>
          <t>GOTLAND</t>
        </is>
      </c>
      <c r="I515" t="n">
        <v>9.699999999999999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15216-2025</t>
        </is>
      </c>
      <c r="B516" t="inlineStr">
        <is>
          <t>avverkningsanmälan</t>
        </is>
      </c>
      <c r="C516" t="inlineStr">
        <is>
          <t>Föryngringsavverkning</t>
        </is>
      </c>
      <c r="D516" s="1" t="n">
        <v>45744</v>
      </c>
      <c r="E516" s="1" t="n">
        <v>46281</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43790-2024</t>
        </is>
      </c>
      <c r="B517" t="inlineStr">
        <is>
          <t>avverkningsanmälan</t>
        </is>
      </c>
      <c r="C517" t="inlineStr">
        <is>
          <t>Föryngringsavverkning</t>
        </is>
      </c>
      <c r="D517" s="1" t="n">
        <v>45571</v>
      </c>
      <c r="E517" s="1" t="n">
        <v>46281</v>
      </c>
      <c r="F517" t="inlineStr">
        <is>
          <t>GOTLANDS LÄN</t>
        </is>
      </c>
      <c r="G517" t="inlineStr">
        <is>
          <t>GOTLAND</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15001-2025</t>
        </is>
      </c>
      <c r="B518" t="inlineStr">
        <is>
          <t>avverkningsanmälan</t>
        </is>
      </c>
      <c r="C518" t="inlineStr">
        <is>
          <t>Föryngringsavverkning</t>
        </is>
      </c>
      <c r="D518" s="1" t="n">
        <v>45743</v>
      </c>
      <c r="E518" s="1" t="n">
        <v>46281</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30488-2025</t>
        </is>
      </c>
      <c r="B519" t="inlineStr">
        <is>
          <t>avverkningsanmälan</t>
        </is>
      </c>
      <c r="C519" t="inlineStr">
        <is>
          <t>Föryngringsavverkning</t>
        </is>
      </c>
      <c r="D519" s="1" t="n">
        <v>45830</v>
      </c>
      <c r="E519" s="1" t="n">
        <v>46281</v>
      </c>
      <c r="F519" t="inlineStr">
        <is>
          <t>GOTLANDS LÄN</t>
        </is>
      </c>
      <c r="G519" t="inlineStr">
        <is>
          <t>GOTLAND</t>
        </is>
      </c>
      <c r="H519" t="inlineStr">
        <is>
          <t>Kyrkan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17847-2025</t>
        </is>
      </c>
      <c r="B520" t="inlineStr">
        <is>
          <t>avverkningsanmälan</t>
        </is>
      </c>
      <c r="C520" t="inlineStr">
        <is>
          <t>Föryngringsavverkning</t>
        </is>
      </c>
      <c r="D520" s="1" t="n">
        <v>45758</v>
      </c>
      <c r="E520" s="1" t="n">
        <v>46281</v>
      </c>
      <c r="F520" t="inlineStr">
        <is>
          <t>GOTLANDS LÄN</t>
        </is>
      </c>
      <c r="G520" t="inlineStr">
        <is>
          <t>GOTLAND</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18742-2025</t>
        </is>
      </c>
      <c r="B521" t="inlineStr">
        <is>
          <t>avverkningsanmälan</t>
        </is>
      </c>
      <c r="C521" t="inlineStr">
        <is>
          <t>Avverkning för annat ändamål</t>
        </is>
      </c>
      <c r="D521" s="1" t="n">
        <v>45763</v>
      </c>
      <c r="E521" s="1" t="n">
        <v>46281</v>
      </c>
      <c r="F521" t="inlineStr">
        <is>
          <t>GOTLANDS LÄN</t>
        </is>
      </c>
      <c r="G521" t="inlineStr">
        <is>
          <t>GOTLAND</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35129-2025</t>
        </is>
      </c>
      <c r="B522" t="inlineStr">
        <is>
          <t>avverkningsanmälan</t>
        </is>
      </c>
      <c r="C522" t="inlineStr">
        <is>
          <t>Föryngringsavverkning</t>
        </is>
      </c>
      <c r="D522" s="1" t="n">
        <v>45852</v>
      </c>
      <c r="E522" s="1" t="n">
        <v>46281</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46281</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46281</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46281</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46281</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46281</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46281</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46281</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46281</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46281</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46281</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46281</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46281</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2026-09-16T01:58:22Z</dcterms:created>
  <dcterms:modified xmlns:dcterms="http://purl.org/dc/terms/" xmlns:xsi="http://www.w3.org/2001/XMLSchema-instance" xsi:type="dcterms:W3CDTF">2026-09-16T01:58:23Z</dcterms:modified>
</cp:coreProperties>
</file>