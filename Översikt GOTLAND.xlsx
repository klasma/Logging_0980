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45629</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45629</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45629</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45629</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45629</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45629</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45629</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45629</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45629</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45629</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45629</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45629</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45629</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45629</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45629</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45629</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45629</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45629</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45629</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45629</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45629</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45629</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45629</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45629</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45629</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45629</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45629</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45629</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45629</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45629</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45629</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45629</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45629</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45629</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45629</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45629</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45629</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45629</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45629</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45629</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45629</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45629</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45629</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45629</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45629</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45629</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45629</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45629</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45629</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45629</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56717-2024</t>
        </is>
      </c>
      <c r="B115" s="1" t="n">
        <v>45628</v>
      </c>
      <c r="C115" s="1" t="n">
        <v>45629</v>
      </c>
      <c r="D115" t="inlineStr">
        <is>
          <t>GOTLANDS LÄN</t>
        </is>
      </c>
      <c r="E115" t="inlineStr">
        <is>
          <t>GOTLAND</t>
        </is>
      </c>
      <c r="G115" t="n">
        <v>9.699999999999999</v>
      </c>
      <c r="H115" t="n">
        <v>0</v>
      </c>
      <c r="I115" t="n">
        <v>2</v>
      </c>
      <c r="J115" t="n">
        <v>2</v>
      </c>
      <c r="K115" t="n">
        <v>0</v>
      </c>
      <c r="L115" t="n">
        <v>0</v>
      </c>
      <c r="M115" t="n">
        <v>0</v>
      </c>
      <c r="N115" t="n">
        <v>0</v>
      </c>
      <c r="O115" t="n">
        <v>2</v>
      </c>
      <c r="P115" t="n">
        <v>0</v>
      </c>
      <c r="Q115" t="n">
        <v>4</v>
      </c>
      <c r="R115" s="2" t="inlineStr">
        <is>
          <t>Ekvaxskivling
Odörspindling
Fjällig taggsvamp s.str.
Kattfotslav</t>
        </is>
      </c>
      <c r="S115">
        <f>HYPERLINK("https://klasma.github.io/Logging_0980/artfynd/A 56717-2024 artfynd.xlsx", "A 56717-2024")</f>
        <v/>
      </c>
      <c r="T115">
        <f>HYPERLINK("https://klasma.github.io/Logging_0980/kartor/A 56717-2024 karta.png", "A 56717-2024")</f>
        <v/>
      </c>
      <c r="V115">
        <f>HYPERLINK("https://klasma.github.io/Logging_0980/klagomål/A 56717-2024 FSC-klagomål.docx", "A 56717-2024")</f>
        <v/>
      </c>
      <c r="W115">
        <f>HYPERLINK("https://klasma.github.io/Logging_0980/klagomålsmail/A 56717-2024 FSC-klagomål mail.docx", "A 56717-2024")</f>
        <v/>
      </c>
      <c r="X115">
        <f>HYPERLINK("https://klasma.github.io/Logging_0980/tillsyn/A 56717-2024 tillsynsbegäran.docx", "A 56717-2024")</f>
        <v/>
      </c>
      <c r="Y115">
        <f>HYPERLINK("https://klasma.github.io/Logging_0980/tillsynsmail/A 56717-2024 tillsynsbegäran mail.docx", "A 56717-2024")</f>
        <v/>
      </c>
    </row>
    <row r="116" ht="15" customHeight="1">
      <c r="A116" t="inlineStr">
        <is>
          <t>A 21897-2019</t>
        </is>
      </c>
      <c r="B116" s="1" t="n">
        <v>43584</v>
      </c>
      <c r="C116" s="1" t="n">
        <v>45629</v>
      </c>
      <c r="D116" t="inlineStr">
        <is>
          <t>GOTLANDS LÄN</t>
        </is>
      </c>
      <c r="E116" t="inlineStr">
        <is>
          <t>GOTLAND</t>
        </is>
      </c>
      <c r="G116" t="n">
        <v>7.4</v>
      </c>
      <c r="H116" t="n">
        <v>3</v>
      </c>
      <c r="I116" t="n">
        <v>1</v>
      </c>
      <c r="J116" t="n">
        <v>0</v>
      </c>
      <c r="K116" t="n">
        <v>0</v>
      </c>
      <c r="L116" t="n">
        <v>0</v>
      </c>
      <c r="M116" t="n">
        <v>0</v>
      </c>
      <c r="N116" t="n">
        <v>0</v>
      </c>
      <c r="O116" t="n">
        <v>0</v>
      </c>
      <c r="P116" t="n">
        <v>0</v>
      </c>
      <c r="Q116" t="n">
        <v>3</v>
      </c>
      <c r="R116" s="2" t="inlineStr">
        <is>
          <t>Korallrot
Nattviol
Lopplummer</t>
        </is>
      </c>
      <c r="S116">
        <f>HYPERLINK("https://klasma.github.io/Logging_0980/artfynd/A 21897-2019 artfynd.xlsx", "A 21897-2019")</f>
        <v/>
      </c>
      <c r="T116">
        <f>HYPERLINK("https://klasma.github.io/Logging_0980/kartor/A 21897-2019 karta.png", "A 21897-2019")</f>
        <v/>
      </c>
      <c r="V116">
        <f>HYPERLINK("https://klasma.github.io/Logging_0980/klagomål/A 21897-2019 FSC-klagomål.docx", "A 21897-2019")</f>
        <v/>
      </c>
      <c r="W116">
        <f>HYPERLINK("https://klasma.github.io/Logging_0980/klagomålsmail/A 21897-2019 FSC-klagomål mail.docx", "A 21897-2019")</f>
        <v/>
      </c>
      <c r="X116">
        <f>HYPERLINK("https://klasma.github.io/Logging_0980/tillsyn/A 21897-2019 tillsynsbegäran.docx", "A 21897-2019")</f>
        <v/>
      </c>
      <c r="Y116">
        <f>HYPERLINK("https://klasma.github.io/Logging_0980/tillsynsmail/A 21897-2019 tillsynsbegäran mail.docx", "A 21897-2019")</f>
        <v/>
      </c>
    </row>
    <row r="117" ht="15" customHeight="1">
      <c r="A117" t="inlineStr">
        <is>
          <t>A 66053-2019</t>
        </is>
      </c>
      <c r="B117" s="1" t="n">
        <v>43806</v>
      </c>
      <c r="C117" s="1" t="n">
        <v>45629</v>
      </c>
      <c r="D117" t="inlineStr">
        <is>
          <t>GOTLANDS LÄN</t>
        </is>
      </c>
      <c r="E117" t="inlineStr">
        <is>
          <t>GOTLAND</t>
        </is>
      </c>
      <c r="G117" t="n">
        <v>58.6</v>
      </c>
      <c r="H117" t="n">
        <v>2</v>
      </c>
      <c r="I117" t="n">
        <v>0</v>
      </c>
      <c r="J117" t="n">
        <v>1</v>
      </c>
      <c r="K117" t="n">
        <v>2</v>
      </c>
      <c r="L117" t="n">
        <v>0</v>
      </c>
      <c r="M117" t="n">
        <v>0</v>
      </c>
      <c r="N117" t="n">
        <v>0</v>
      </c>
      <c r="O117" t="n">
        <v>3</v>
      </c>
      <c r="P117" t="n">
        <v>2</v>
      </c>
      <c r="Q117" t="n">
        <v>3</v>
      </c>
      <c r="R117" s="2" t="inlineStr">
        <is>
          <t>Falsk guldskivlav
Garderönn
Apollofjäril</t>
        </is>
      </c>
      <c r="S117">
        <f>HYPERLINK("https://klasma.github.io/Logging_0980/artfynd/A 66053-2019 artfynd.xlsx", "A 66053-2019")</f>
        <v/>
      </c>
      <c r="T117">
        <f>HYPERLINK("https://klasma.github.io/Logging_0980/kartor/A 66053-2019 karta.png", "A 66053-2019")</f>
        <v/>
      </c>
      <c r="V117">
        <f>HYPERLINK("https://klasma.github.io/Logging_0980/klagomål/A 66053-2019 FSC-klagomål.docx", "A 66053-2019")</f>
        <v/>
      </c>
      <c r="W117">
        <f>HYPERLINK("https://klasma.github.io/Logging_0980/klagomålsmail/A 66053-2019 FSC-klagomål mail.docx", "A 66053-2019")</f>
        <v/>
      </c>
      <c r="X117">
        <f>HYPERLINK("https://klasma.github.io/Logging_0980/tillsyn/A 66053-2019 tillsynsbegäran.docx", "A 66053-2019")</f>
        <v/>
      </c>
      <c r="Y117">
        <f>HYPERLINK("https://klasma.github.io/Logging_0980/tillsynsmail/A 66053-2019 tillsynsbegäran mail.docx", "A 66053-2019")</f>
        <v/>
      </c>
    </row>
    <row r="118" ht="15" customHeight="1">
      <c r="A118" t="inlineStr">
        <is>
          <t>A 2536-2020</t>
        </is>
      </c>
      <c r="B118" s="1" t="n">
        <v>43847</v>
      </c>
      <c r="C118" s="1" t="n">
        <v>45629</v>
      </c>
      <c r="D118" t="inlineStr">
        <is>
          <t>GOTLANDS LÄN</t>
        </is>
      </c>
      <c r="E118" t="inlineStr">
        <is>
          <t>GOTLAND</t>
        </is>
      </c>
      <c r="G118" t="n">
        <v>4.2</v>
      </c>
      <c r="H118" t="n">
        <v>1</v>
      </c>
      <c r="I118" t="n">
        <v>0</v>
      </c>
      <c r="J118" t="n">
        <v>2</v>
      </c>
      <c r="K118" t="n">
        <v>0</v>
      </c>
      <c r="L118" t="n">
        <v>0</v>
      </c>
      <c r="M118" t="n">
        <v>0</v>
      </c>
      <c r="N118" t="n">
        <v>0</v>
      </c>
      <c r="O118" t="n">
        <v>2</v>
      </c>
      <c r="P118" t="n">
        <v>0</v>
      </c>
      <c r="Q118" t="n">
        <v>3</v>
      </c>
      <c r="R118" s="2" t="inlineStr">
        <is>
          <t>Backklöver
Svinrot
Blåsippa</t>
        </is>
      </c>
      <c r="S118">
        <f>HYPERLINK("https://klasma.github.io/Logging_0980/artfynd/A 2536-2020 artfynd.xlsx", "A 2536-2020")</f>
        <v/>
      </c>
      <c r="T118">
        <f>HYPERLINK("https://klasma.github.io/Logging_0980/kartor/A 2536-2020 karta.png", "A 2536-2020")</f>
        <v/>
      </c>
      <c r="V118">
        <f>HYPERLINK("https://klasma.github.io/Logging_0980/klagomål/A 2536-2020 FSC-klagomål.docx", "A 2536-2020")</f>
        <v/>
      </c>
      <c r="W118">
        <f>HYPERLINK("https://klasma.github.io/Logging_0980/klagomålsmail/A 2536-2020 FSC-klagomål mail.docx", "A 2536-2020")</f>
        <v/>
      </c>
      <c r="X118">
        <f>HYPERLINK("https://klasma.github.io/Logging_0980/tillsyn/A 2536-2020 tillsynsbegäran.docx", "A 2536-2020")</f>
        <v/>
      </c>
      <c r="Y118">
        <f>HYPERLINK("https://klasma.github.io/Logging_0980/tillsynsmail/A 2536-2020 tillsynsbegäran mail.docx", "A 2536-2020")</f>
        <v/>
      </c>
    </row>
    <row r="119" ht="15" customHeight="1">
      <c r="A119" t="inlineStr">
        <is>
          <t>A 3218-2020</t>
        </is>
      </c>
      <c r="B119" s="1" t="n">
        <v>43851</v>
      </c>
      <c r="C119" s="1" t="n">
        <v>45629</v>
      </c>
      <c r="D119" t="inlineStr">
        <is>
          <t>GOTLANDS LÄN</t>
        </is>
      </c>
      <c r="E119" t="inlineStr">
        <is>
          <t>GOTLAND</t>
        </is>
      </c>
      <c r="G119" t="n">
        <v>7.8</v>
      </c>
      <c r="H119" t="n">
        <v>3</v>
      </c>
      <c r="I119" t="n">
        <v>0</v>
      </c>
      <c r="J119" t="n">
        <v>0</v>
      </c>
      <c r="K119" t="n">
        <v>0</v>
      </c>
      <c r="L119" t="n">
        <v>0</v>
      </c>
      <c r="M119" t="n">
        <v>0</v>
      </c>
      <c r="N119" t="n">
        <v>0</v>
      </c>
      <c r="O119" t="n">
        <v>0</v>
      </c>
      <c r="P119" t="n">
        <v>0</v>
      </c>
      <c r="Q119" t="n">
        <v>3</v>
      </c>
      <c r="R119" s="2" t="inlineStr">
        <is>
          <t>Åkergroda
Mindre vattensalamander
Vanlig padda</t>
        </is>
      </c>
      <c r="S119">
        <f>HYPERLINK("https://klasma.github.io/Logging_0980/artfynd/A 3218-2020 artfynd.xlsx", "A 3218-2020")</f>
        <v/>
      </c>
      <c r="T119">
        <f>HYPERLINK("https://klasma.github.io/Logging_0980/kartor/A 3218-2020 karta.png", "A 3218-2020")</f>
        <v/>
      </c>
      <c r="V119">
        <f>HYPERLINK("https://klasma.github.io/Logging_0980/klagomål/A 3218-2020 FSC-klagomål.docx", "A 3218-2020")</f>
        <v/>
      </c>
      <c r="W119">
        <f>HYPERLINK("https://klasma.github.io/Logging_0980/klagomålsmail/A 3218-2020 FSC-klagomål mail.docx", "A 3218-2020")</f>
        <v/>
      </c>
      <c r="X119">
        <f>HYPERLINK("https://klasma.github.io/Logging_0980/tillsyn/A 3218-2020 tillsynsbegäran.docx", "A 3218-2020")</f>
        <v/>
      </c>
      <c r="Y119">
        <f>HYPERLINK("https://klasma.github.io/Logging_0980/tillsynsmail/A 3218-2020 tillsynsbegäran mail.docx", "A 3218-2020")</f>
        <v/>
      </c>
    </row>
    <row r="120" ht="15" customHeight="1">
      <c r="A120" t="inlineStr">
        <is>
          <t>A 7156-2020</t>
        </is>
      </c>
      <c r="B120" s="1" t="n">
        <v>43870</v>
      </c>
      <c r="C120" s="1" t="n">
        <v>45629</v>
      </c>
      <c r="D120" t="inlineStr">
        <is>
          <t>GOTLANDS LÄN</t>
        </is>
      </c>
      <c r="E120" t="inlineStr">
        <is>
          <t>GOTLAND</t>
        </is>
      </c>
      <c r="G120" t="n">
        <v>1.5</v>
      </c>
      <c r="H120" t="n">
        <v>1</v>
      </c>
      <c r="I120" t="n">
        <v>0</v>
      </c>
      <c r="J120" t="n">
        <v>2</v>
      </c>
      <c r="K120" t="n">
        <v>0</v>
      </c>
      <c r="L120" t="n">
        <v>0</v>
      </c>
      <c r="M120" t="n">
        <v>0</v>
      </c>
      <c r="N120" t="n">
        <v>0</v>
      </c>
      <c r="O120" t="n">
        <v>2</v>
      </c>
      <c r="P120" t="n">
        <v>0</v>
      </c>
      <c r="Q120" t="n">
        <v>3</v>
      </c>
      <c r="R120" s="2" t="inlineStr">
        <is>
          <t>Bolmört
Solvända
Sankt pers nycklar</t>
        </is>
      </c>
      <c r="S120">
        <f>HYPERLINK("https://klasma.github.io/Logging_0980/artfynd/A 7156-2020 artfynd.xlsx", "A 7156-2020")</f>
        <v/>
      </c>
      <c r="T120">
        <f>HYPERLINK("https://klasma.github.io/Logging_0980/kartor/A 7156-2020 karta.png", "A 7156-2020")</f>
        <v/>
      </c>
      <c r="V120">
        <f>HYPERLINK("https://klasma.github.io/Logging_0980/klagomål/A 7156-2020 FSC-klagomål.docx", "A 7156-2020")</f>
        <v/>
      </c>
      <c r="W120">
        <f>HYPERLINK("https://klasma.github.io/Logging_0980/klagomålsmail/A 7156-2020 FSC-klagomål mail.docx", "A 7156-2020")</f>
        <v/>
      </c>
      <c r="X120">
        <f>HYPERLINK("https://klasma.github.io/Logging_0980/tillsyn/A 7156-2020 tillsynsbegäran.docx", "A 7156-2020")</f>
        <v/>
      </c>
      <c r="Y120">
        <f>HYPERLINK("https://klasma.github.io/Logging_0980/tillsynsmail/A 7156-2020 tillsynsbegäran mail.docx", "A 7156-2020")</f>
        <v/>
      </c>
    </row>
    <row r="121" ht="15" customHeight="1">
      <c r="A121" t="inlineStr">
        <is>
          <t>A 10707-2020</t>
        </is>
      </c>
      <c r="B121" s="1" t="n">
        <v>43888</v>
      </c>
      <c r="C121" s="1" t="n">
        <v>45629</v>
      </c>
      <c r="D121" t="inlineStr">
        <is>
          <t>GOTLANDS LÄN</t>
        </is>
      </c>
      <c r="E121" t="inlineStr">
        <is>
          <t>GOTLAND</t>
        </is>
      </c>
      <c r="F121" t="inlineStr">
        <is>
          <t>Övriga statliga verk och myndigheter</t>
        </is>
      </c>
      <c r="G121" t="n">
        <v>27.7</v>
      </c>
      <c r="H121" t="n">
        <v>0</v>
      </c>
      <c r="I121" t="n">
        <v>0</v>
      </c>
      <c r="J121" t="n">
        <v>3</v>
      </c>
      <c r="K121" t="n">
        <v>0</v>
      </c>
      <c r="L121" t="n">
        <v>0</v>
      </c>
      <c r="M121" t="n">
        <v>0</v>
      </c>
      <c r="N121" t="n">
        <v>0</v>
      </c>
      <c r="O121" t="n">
        <v>3</v>
      </c>
      <c r="P121" t="n">
        <v>0</v>
      </c>
      <c r="Q121" t="n">
        <v>3</v>
      </c>
      <c r="R121" s="2" t="inlineStr">
        <is>
          <t>Grådådra
Mindre blåvinge
Ängsnätfjäril</t>
        </is>
      </c>
      <c r="S121">
        <f>HYPERLINK("https://klasma.github.io/Logging_0980/artfynd/A 10707-2020 artfynd.xlsx", "A 10707-2020")</f>
        <v/>
      </c>
      <c r="T121">
        <f>HYPERLINK("https://klasma.github.io/Logging_0980/kartor/A 10707-2020 karta.png", "A 10707-2020")</f>
        <v/>
      </c>
      <c r="V121">
        <f>HYPERLINK("https://klasma.github.io/Logging_0980/klagomål/A 10707-2020 FSC-klagomål.docx", "A 10707-2020")</f>
        <v/>
      </c>
      <c r="W121">
        <f>HYPERLINK("https://klasma.github.io/Logging_0980/klagomålsmail/A 10707-2020 FSC-klagomål mail.docx", "A 10707-2020")</f>
        <v/>
      </c>
      <c r="X121">
        <f>HYPERLINK("https://klasma.github.io/Logging_0980/tillsyn/A 10707-2020 tillsynsbegäran.docx", "A 10707-2020")</f>
        <v/>
      </c>
      <c r="Y121">
        <f>HYPERLINK("https://klasma.github.io/Logging_0980/tillsynsmail/A 10707-2020 tillsynsbegäran mail.docx", "A 10707-2020")</f>
        <v/>
      </c>
    </row>
    <row r="122" ht="15" customHeight="1">
      <c r="A122" t="inlineStr">
        <is>
          <t>A 55029-2020</t>
        </is>
      </c>
      <c r="B122" s="1" t="n">
        <v>44130</v>
      </c>
      <c r="C122" s="1" t="n">
        <v>45629</v>
      </c>
      <c r="D122" t="inlineStr">
        <is>
          <t>GOTLANDS LÄN</t>
        </is>
      </c>
      <c r="E122" t="inlineStr">
        <is>
          <t>GOTLAND</t>
        </is>
      </c>
      <c r="G122" t="n">
        <v>6.9</v>
      </c>
      <c r="H122" t="n">
        <v>1</v>
      </c>
      <c r="I122" t="n">
        <v>2</v>
      </c>
      <c r="J122" t="n">
        <v>1</v>
      </c>
      <c r="K122" t="n">
        <v>0</v>
      </c>
      <c r="L122" t="n">
        <v>0</v>
      </c>
      <c r="M122" t="n">
        <v>0</v>
      </c>
      <c r="N122" t="n">
        <v>0</v>
      </c>
      <c r="O122" t="n">
        <v>1</v>
      </c>
      <c r="P122" t="n">
        <v>0</v>
      </c>
      <c r="Q122" t="n">
        <v>3</v>
      </c>
      <c r="R122" s="2" t="inlineStr">
        <is>
          <t>Dårgräsfjäril
Anisspindling
Granbarkgnagare</t>
        </is>
      </c>
      <c r="S122">
        <f>HYPERLINK("https://klasma.github.io/Logging_0980/artfynd/A 55029-2020 artfynd.xlsx", "A 55029-2020")</f>
        <v/>
      </c>
      <c r="T122">
        <f>HYPERLINK("https://klasma.github.io/Logging_0980/kartor/A 55029-2020 karta.png", "A 55029-2020")</f>
        <v/>
      </c>
      <c r="V122">
        <f>HYPERLINK("https://klasma.github.io/Logging_0980/klagomål/A 55029-2020 FSC-klagomål.docx", "A 55029-2020")</f>
        <v/>
      </c>
      <c r="W122">
        <f>HYPERLINK("https://klasma.github.io/Logging_0980/klagomålsmail/A 55029-2020 FSC-klagomål mail.docx", "A 55029-2020")</f>
        <v/>
      </c>
      <c r="X122">
        <f>HYPERLINK("https://klasma.github.io/Logging_0980/tillsyn/A 55029-2020 tillsynsbegäran.docx", "A 55029-2020")</f>
        <v/>
      </c>
      <c r="Y122">
        <f>HYPERLINK("https://klasma.github.io/Logging_0980/tillsynsmail/A 55029-2020 tillsynsbegäran mail.docx", "A 55029-2020")</f>
        <v/>
      </c>
    </row>
    <row r="123" ht="15" customHeight="1">
      <c r="A123" t="inlineStr">
        <is>
          <t>A 62326-2020</t>
        </is>
      </c>
      <c r="B123" s="1" t="n">
        <v>44160</v>
      </c>
      <c r="C123" s="1" t="n">
        <v>45629</v>
      </c>
      <c r="D123" t="inlineStr">
        <is>
          <t>GOTLANDS LÄN</t>
        </is>
      </c>
      <c r="E123" t="inlineStr">
        <is>
          <t>GOTLAND</t>
        </is>
      </c>
      <c r="G123" t="n">
        <v>7.4</v>
      </c>
      <c r="H123" t="n">
        <v>1</v>
      </c>
      <c r="I123" t="n">
        <v>3</v>
      </c>
      <c r="J123" t="n">
        <v>0</v>
      </c>
      <c r="K123" t="n">
        <v>0</v>
      </c>
      <c r="L123" t="n">
        <v>0</v>
      </c>
      <c r="M123" t="n">
        <v>0</v>
      </c>
      <c r="N123" t="n">
        <v>0</v>
      </c>
      <c r="O123" t="n">
        <v>0</v>
      </c>
      <c r="P123" t="n">
        <v>0</v>
      </c>
      <c r="Q123" t="n">
        <v>3</v>
      </c>
      <c r="R123" s="2" t="inlineStr">
        <is>
          <t>Anisspindling
Blåmossa
Skogsknipprot</t>
        </is>
      </c>
      <c r="S123">
        <f>HYPERLINK("https://klasma.github.io/Logging_0980/artfynd/A 62326-2020 artfynd.xlsx", "A 62326-2020")</f>
        <v/>
      </c>
      <c r="T123">
        <f>HYPERLINK("https://klasma.github.io/Logging_0980/kartor/A 62326-2020 karta.png", "A 62326-2020")</f>
        <v/>
      </c>
      <c r="V123">
        <f>HYPERLINK("https://klasma.github.io/Logging_0980/klagomål/A 62326-2020 FSC-klagomål.docx", "A 62326-2020")</f>
        <v/>
      </c>
      <c r="W123">
        <f>HYPERLINK("https://klasma.github.io/Logging_0980/klagomålsmail/A 62326-2020 FSC-klagomål mail.docx", "A 62326-2020")</f>
        <v/>
      </c>
      <c r="X123">
        <f>HYPERLINK("https://klasma.github.io/Logging_0980/tillsyn/A 62326-2020 tillsynsbegäran.docx", "A 62326-2020")</f>
        <v/>
      </c>
      <c r="Y123">
        <f>HYPERLINK("https://klasma.github.io/Logging_0980/tillsynsmail/A 62326-2020 tillsynsbegäran mail.docx", "A 62326-2020")</f>
        <v/>
      </c>
    </row>
    <row r="124" ht="15" customHeight="1">
      <c r="A124" t="inlineStr">
        <is>
          <t>A 2332-2021</t>
        </is>
      </c>
      <c r="B124" s="1" t="n">
        <v>44214</v>
      </c>
      <c r="C124" s="1" t="n">
        <v>45629</v>
      </c>
      <c r="D124" t="inlineStr">
        <is>
          <t>GOTLANDS LÄN</t>
        </is>
      </c>
      <c r="E124" t="inlineStr">
        <is>
          <t>GOTLAND</t>
        </is>
      </c>
      <c r="G124" t="n">
        <v>2.3</v>
      </c>
      <c r="H124" t="n">
        <v>2</v>
      </c>
      <c r="I124" t="n">
        <v>0</v>
      </c>
      <c r="J124" t="n">
        <v>1</v>
      </c>
      <c r="K124" t="n">
        <v>0</v>
      </c>
      <c r="L124" t="n">
        <v>0</v>
      </c>
      <c r="M124" t="n">
        <v>0</v>
      </c>
      <c r="N124" t="n">
        <v>0</v>
      </c>
      <c r="O124" t="n">
        <v>1</v>
      </c>
      <c r="P124" t="n">
        <v>0</v>
      </c>
      <c r="Q124" t="n">
        <v>3</v>
      </c>
      <c r="R124" s="2" t="inlineStr">
        <is>
          <t>Korpnopping
Sankt pers nycklar
Blåsippa</t>
        </is>
      </c>
      <c r="S124">
        <f>HYPERLINK("https://klasma.github.io/Logging_0980/artfynd/A 2332-2021 artfynd.xlsx", "A 2332-2021")</f>
        <v/>
      </c>
      <c r="T124">
        <f>HYPERLINK("https://klasma.github.io/Logging_0980/kartor/A 2332-2021 karta.png", "A 2332-2021")</f>
        <v/>
      </c>
      <c r="V124">
        <f>HYPERLINK("https://klasma.github.io/Logging_0980/klagomål/A 2332-2021 FSC-klagomål.docx", "A 2332-2021")</f>
        <v/>
      </c>
      <c r="W124">
        <f>HYPERLINK("https://klasma.github.io/Logging_0980/klagomålsmail/A 2332-2021 FSC-klagomål mail.docx", "A 2332-2021")</f>
        <v/>
      </c>
      <c r="X124">
        <f>HYPERLINK("https://klasma.github.io/Logging_0980/tillsyn/A 2332-2021 tillsynsbegäran.docx", "A 2332-2021")</f>
        <v/>
      </c>
      <c r="Y124">
        <f>HYPERLINK("https://klasma.github.io/Logging_0980/tillsynsmail/A 2332-2021 tillsynsbegäran mail.docx", "A 2332-2021")</f>
        <v/>
      </c>
    </row>
    <row r="125" ht="15" customHeight="1">
      <c r="A125" t="inlineStr">
        <is>
          <t>A 12519-2021</t>
        </is>
      </c>
      <c r="B125" s="1" t="n">
        <v>44269</v>
      </c>
      <c r="C125" s="1" t="n">
        <v>45629</v>
      </c>
      <c r="D125" t="inlineStr">
        <is>
          <t>GOTLANDS LÄN</t>
        </is>
      </c>
      <c r="E125" t="inlineStr">
        <is>
          <t>GOTLAND</t>
        </is>
      </c>
      <c r="F125" t="inlineStr">
        <is>
          <t>Kyrkan</t>
        </is>
      </c>
      <c r="G125" t="n">
        <v>3.4</v>
      </c>
      <c r="H125" t="n">
        <v>0</v>
      </c>
      <c r="I125" t="n">
        <v>2</v>
      </c>
      <c r="J125" t="n">
        <v>1</v>
      </c>
      <c r="K125" t="n">
        <v>0</v>
      </c>
      <c r="L125" t="n">
        <v>0</v>
      </c>
      <c r="M125" t="n">
        <v>0</v>
      </c>
      <c r="N125" t="n">
        <v>0</v>
      </c>
      <c r="O125" t="n">
        <v>1</v>
      </c>
      <c r="P125" t="n">
        <v>0</v>
      </c>
      <c r="Q125" t="n">
        <v>3</v>
      </c>
      <c r="R125" s="2" t="inlineStr">
        <is>
          <t>Loppstarr
Rödgul trumpetsvamp
Vågbandad barkbock</t>
        </is>
      </c>
      <c r="S125">
        <f>HYPERLINK("https://klasma.github.io/Logging_0980/artfynd/A 12519-2021 artfynd.xlsx", "A 12519-2021")</f>
        <v/>
      </c>
      <c r="T125">
        <f>HYPERLINK("https://klasma.github.io/Logging_0980/kartor/A 12519-2021 karta.png", "A 12519-2021")</f>
        <v/>
      </c>
      <c r="V125">
        <f>HYPERLINK("https://klasma.github.io/Logging_0980/klagomål/A 12519-2021 FSC-klagomål.docx", "A 12519-2021")</f>
        <v/>
      </c>
      <c r="W125">
        <f>HYPERLINK("https://klasma.github.io/Logging_0980/klagomålsmail/A 12519-2021 FSC-klagomål mail.docx", "A 12519-2021")</f>
        <v/>
      </c>
      <c r="X125">
        <f>HYPERLINK("https://klasma.github.io/Logging_0980/tillsyn/A 12519-2021 tillsynsbegäran.docx", "A 12519-2021")</f>
        <v/>
      </c>
      <c r="Y125">
        <f>HYPERLINK("https://klasma.github.io/Logging_0980/tillsynsmail/A 12519-2021 tillsynsbegäran mail.docx", "A 12519-2021")</f>
        <v/>
      </c>
    </row>
    <row r="126" ht="15" customHeight="1">
      <c r="A126" t="inlineStr">
        <is>
          <t>A 32666-2021</t>
        </is>
      </c>
      <c r="B126" s="1" t="n">
        <v>44375</v>
      </c>
      <c r="C126" s="1" t="n">
        <v>45629</v>
      </c>
      <c r="D126" t="inlineStr">
        <is>
          <t>GOTLANDS LÄN</t>
        </is>
      </c>
      <c r="E126" t="inlineStr">
        <is>
          <t>GOTLAND</t>
        </is>
      </c>
      <c r="G126" t="n">
        <v>0.9</v>
      </c>
      <c r="H126" t="n">
        <v>1</v>
      </c>
      <c r="I126" t="n">
        <v>2</v>
      </c>
      <c r="J126" t="n">
        <v>0</v>
      </c>
      <c r="K126" t="n">
        <v>1</v>
      </c>
      <c r="L126" t="n">
        <v>0</v>
      </c>
      <c r="M126" t="n">
        <v>0</v>
      </c>
      <c r="N126" t="n">
        <v>0</v>
      </c>
      <c r="O126" t="n">
        <v>1</v>
      </c>
      <c r="P126" t="n">
        <v>1</v>
      </c>
      <c r="Q126" t="n">
        <v>3</v>
      </c>
      <c r="R126" s="2" t="inlineStr">
        <is>
          <t>Skogskorn
Myskmadra
Vit skogslilja</t>
        </is>
      </c>
      <c r="S126">
        <f>HYPERLINK("https://klasma.github.io/Logging_0980/artfynd/A 32666-2021 artfynd.xlsx", "A 32666-2021")</f>
        <v/>
      </c>
      <c r="T126">
        <f>HYPERLINK("https://klasma.github.io/Logging_0980/kartor/A 32666-2021 karta.png", "A 32666-2021")</f>
        <v/>
      </c>
      <c r="V126">
        <f>HYPERLINK("https://klasma.github.io/Logging_0980/klagomål/A 32666-2021 FSC-klagomål.docx", "A 32666-2021")</f>
        <v/>
      </c>
      <c r="W126">
        <f>HYPERLINK("https://klasma.github.io/Logging_0980/klagomålsmail/A 32666-2021 FSC-klagomål mail.docx", "A 32666-2021")</f>
        <v/>
      </c>
      <c r="X126">
        <f>HYPERLINK("https://klasma.github.io/Logging_0980/tillsyn/A 32666-2021 tillsynsbegäran.docx", "A 32666-2021")</f>
        <v/>
      </c>
      <c r="Y126">
        <f>HYPERLINK("https://klasma.github.io/Logging_0980/tillsynsmail/A 32666-2021 tillsynsbegäran mail.docx", "A 32666-2021")</f>
        <v/>
      </c>
    </row>
    <row r="127" ht="15" customHeight="1">
      <c r="A127" t="inlineStr">
        <is>
          <t>A 32718-2021</t>
        </is>
      </c>
      <c r="B127" s="1" t="n">
        <v>44375</v>
      </c>
      <c r="C127" s="1" t="n">
        <v>45629</v>
      </c>
      <c r="D127" t="inlineStr">
        <is>
          <t>GOTLANDS LÄN</t>
        </is>
      </c>
      <c r="E127" t="inlineStr">
        <is>
          <t>GOTLAND</t>
        </is>
      </c>
      <c r="G127" t="n">
        <v>2.1</v>
      </c>
      <c r="H127" t="n">
        <v>0</v>
      </c>
      <c r="I127" t="n">
        <v>1</v>
      </c>
      <c r="J127" t="n">
        <v>1</v>
      </c>
      <c r="K127" t="n">
        <v>1</v>
      </c>
      <c r="L127" t="n">
        <v>0</v>
      </c>
      <c r="M127" t="n">
        <v>0</v>
      </c>
      <c r="N127" t="n">
        <v>0</v>
      </c>
      <c r="O127" t="n">
        <v>2</v>
      </c>
      <c r="P127" t="n">
        <v>1</v>
      </c>
      <c r="Q127" t="n">
        <v>3</v>
      </c>
      <c r="R127" s="2" t="inlineStr">
        <is>
          <t>Skogskorn
Skugglosta
Strävlosta</t>
        </is>
      </c>
      <c r="S127">
        <f>HYPERLINK("https://klasma.github.io/Logging_0980/artfynd/A 32718-2021 artfynd.xlsx", "A 32718-2021")</f>
        <v/>
      </c>
      <c r="T127">
        <f>HYPERLINK("https://klasma.github.io/Logging_0980/kartor/A 32718-2021 karta.png", "A 32718-2021")</f>
        <v/>
      </c>
      <c r="V127">
        <f>HYPERLINK("https://klasma.github.io/Logging_0980/klagomål/A 32718-2021 FSC-klagomål.docx", "A 32718-2021")</f>
        <v/>
      </c>
      <c r="W127">
        <f>HYPERLINK("https://klasma.github.io/Logging_0980/klagomålsmail/A 32718-2021 FSC-klagomål mail.docx", "A 32718-2021")</f>
        <v/>
      </c>
      <c r="X127">
        <f>HYPERLINK("https://klasma.github.io/Logging_0980/tillsyn/A 32718-2021 tillsynsbegäran.docx", "A 32718-2021")</f>
        <v/>
      </c>
      <c r="Y127">
        <f>HYPERLINK("https://klasma.github.io/Logging_0980/tillsynsmail/A 32718-2021 tillsynsbegäran mail.docx", "A 32718-2021")</f>
        <v/>
      </c>
    </row>
    <row r="128" ht="15" customHeight="1">
      <c r="A128" t="inlineStr">
        <is>
          <t>A 44323-2021</t>
        </is>
      </c>
      <c r="B128" s="1" t="n">
        <v>44434</v>
      </c>
      <c r="C128" s="1" t="n">
        <v>45629</v>
      </c>
      <c r="D128" t="inlineStr">
        <is>
          <t>GOTLANDS LÄN</t>
        </is>
      </c>
      <c r="E128" t="inlineStr">
        <is>
          <t>GOTLAND</t>
        </is>
      </c>
      <c r="G128" t="n">
        <v>7.5</v>
      </c>
      <c r="H128" t="n">
        <v>1</v>
      </c>
      <c r="I128" t="n">
        <v>3</v>
      </c>
      <c r="J128" t="n">
        <v>0</v>
      </c>
      <c r="K128" t="n">
        <v>0</v>
      </c>
      <c r="L128" t="n">
        <v>0</v>
      </c>
      <c r="M128" t="n">
        <v>0</v>
      </c>
      <c r="N128" t="n">
        <v>0</v>
      </c>
      <c r="O128" t="n">
        <v>0</v>
      </c>
      <c r="P128" t="n">
        <v>0</v>
      </c>
      <c r="Q128" t="n">
        <v>3</v>
      </c>
      <c r="R128" s="2" t="inlineStr">
        <is>
          <t>Anisspindling
Barrfagerspindling
Skogsknipprot</t>
        </is>
      </c>
      <c r="S128">
        <f>HYPERLINK("https://klasma.github.io/Logging_0980/artfynd/A 44323-2021 artfynd.xlsx", "A 44323-2021")</f>
        <v/>
      </c>
      <c r="T128">
        <f>HYPERLINK("https://klasma.github.io/Logging_0980/kartor/A 44323-2021 karta.png", "A 44323-2021")</f>
        <v/>
      </c>
      <c r="V128">
        <f>HYPERLINK("https://klasma.github.io/Logging_0980/klagomål/A 44323-2021 FSC-klagomål.docx", "A 44323-2021")</f>
        <v/>
      </c>
      <c r="W128">
        <f>HYPERLINK("https://klasma.github.io/Logging_0980/klagomålsmail/A 44323-2021 FSC-klagomål mail.docx", "A 44323-2021")</f>
        <v/>
      </c>
      <c r="X128">
        <f>HYPERLINK("https://klasma.github.io/Logging_0980/tillsyn/A 44323-2021 tillsynsbegäran.docx", "A 44323-2021")</f>
        <v/>
      </c>
      <c r="Y128">
        <f>HYPERLINK("https://klasma.github.io/Logging_0980/tillsynsmail/A 44323-2021 tillsynsbegäran mail.docx", "A 44323-2021")</f>
        <v/>
      </c>
    </row>
    <row r="129" ht="15" customHeight="1">
      <c r="A129" t="inlineStr">
        <is>
          <t>A 53552-2021</t>
        </is>
      </c>
      <c r="B129" s="1" t="n">
        <v>44468</v>
      </c>
      <c r="C129" s="1" t="n">
        <v>45629</v>
      </c>
      <c r="D129" t="inlineStr">
        <is>
          <t>GOTLANDS LÄN</t>
        </is>
      </c>
      <c r="E129" t="inlineStr">
        <is>
          <t>GOTLAND</t>
        </is>
      </c>
      <c r="G129" t="n">
        <v>6.2</v>
      </c>
      <c r="H129" t="n">
        <v>2</v>
      </c>
      <c r="I129" t="n">
        <v>0</v>
      </c>
      <c r="J129" t="n">
        <v>1</v>
      </c>
      <c r="K129" t="n">
        <v>0</v>
      </c>
      <c r="L129" t="n">
        <v>0</v>
      </c>
      <c r="M129" t="n">
        <v>0</v>
      </c>
      <c r="N129" t="n">
        <v>0</v>
      </c>
      <c r="O129" t="n">
        <v>1</v>
      </c>
      <c r="P129" t="n">
        <v>0</v>
      </c>
      <c r="Q129" t="n">
        <v>3</v>
      </c>
      <c r="R129" s="2" t="inlineStr">
        <is>
          <t>Bredbrämad bastardsvärmare
Grönvit nattviol
Gullviva</t>
        </is>
      </c>
      <c r="S129">
        <f>HYPERLINK("https://klasma.github.io/Logging_0980/artfynd/A 53552-2021 artfynd.xlsx", "A 53552-2021")</f>
        <v/>
      </c>
      <c r="T129">
        <f>HYPERLINK("https://klasma.github.io/Logging_0980/kartor/A 53552-2021 karta.png", "A 53552-2021")</f>
        <v/>
      </c>
      <c r="V129">
        <f>HYPERLINK("https://klasma.github.io/Logging_0980/klagomål/A 53552-2021 FSC-klagomål.docx", "A 53552-2021")</f>
        <v/>
      </c>
      <c r="W129">
        <f>HYPERLINK("https://klasma.github.io/Logging_0980/klagomålsmail/A 53552-2021 FSC-klagomål mail.docx", "A 53552-2021")</f>
        <v/>
      </c>
      <c r="X129">
        <f>HYPERLINK("https://klasma.github.io/Logging_0980/tillsyn/A 53552-2021 tillsynsbegäran.docx", "A 53552-2021")</f>
        <v/>
      </c>
      <c r="Y129">
        <f>HYPERLINK("https://klasma.github.io/Logging_0980/tillsynsmail/A 53552-2021 tillsynsbegäran mail.docx", "A 53552-2021")</f>
        <v/>
      </c>
    </row>
    <row r="130" ht="15" customHeight="1">
      <c r="A130" t="inlineStr">
        <is>
          <t>A 58821-2021</t>
        </is>
      </c>
      <c r="B130" s="1" t="n">
        <v>44489</v>
      </c>
      <c r="C130" s="1" t="n">
        <v>45629</v>
      </c>
      <c r="D130" t="inlineStr">
        <is>
          <t>GOTLANDS LÄN</t>
        </is>
      </c>
      <c r="E130" t="inlineStr">
        <is>
          <t>GOTLAND</t>
        </is>
      </c>
      <c r="G130" t="n">
        <v>2.5</v>
      </c>
      <c r="H130" t="n">
        <v>3</v>
      </c>
      <c r="I130" t="n">
        <v>1</v>
      </c>
      <c r="J130" t="n">
        <v>2</v>
      </c>
      <c r="K130" t="n">
        <v>0</v>
      </c>
      <c r="L130" t="n">
        <v>0</v>
      </c>
      <c r="M130" t="n">
        <v>0</v>
      </c>
      <c r="N130" t="n">
        <v>0</v>
      </c>
      <c r="O130" t="n">
        <v>2</v>
      </c>
      <c r="P130" t="n">
        <v>0</v>
      </c>
      <c r="Q130" t="n">
        <v>3</v>
      </c>
      <c r="R130" s="2" t="inlineStr">
        <is>
          <t>Apollofjäril
Svartfläckig blåvinge
Nästrot</t>
        </is>
      </c>
      <c r="S130">
        <f>HYPERLINK("https://klasma.github.io/Logging_0980/artfynd/A 58821-2021 artfynd.xlsx", "A 58821-2021")</f>
        <v/>
      </c>
      <c r="T130">
        <f>HYPERLINK("https://klasma.github.io/Logging_0980/kartor/A 58821-2021 karta.png", "A 58821-2021")</f>
        <v/>
      </c>
      <c r="V130">
        <f>HYPERLINK("https://klasma.github.io/Logging_0980/klagomål/A 58821-2021 FSC-klagomål.docx", "A 58821-2021")</f>
        <v/>
      </c>
      <c r="W130">
        <f>HYPERLINK("https://klasma.github.io/Logging_0980/klagomålsmail/A 58821-2021 FSC-klagomål mail.docx", "A 58821-2021")</f>
        <v/>
      </c>
      <c r="X130">
        <f>HYPERLINK("https://klasma.github.io/Logging_0980/tillsyn/A 58821-2021 tillsynsbegäran.docx", "A 58821-2021")</f>
        <v/>
      </c>
      <c r="Y130">
        <f>HYPERLINK("https://klasma.github.io/Logging_0980/tillsynsmail/A 58821-2021 tillsynsbegäran mail.docx", "A 58821-2021")</f>
        <v/>
      </c>
    </row>
    <row r="131" ht="15" customHeight="1">
      <c r="A131" t="inlineStr">
        <is>
          <t>A 13499-2022</t>
        </is>
      </c>
      <c r="B131" s="1" t="n">
        <v>44647</v>
      </c>
      <c r="C131" s="1" t="n">
        <v>45629</v>
      </c>
      <c r="D131" t="inlineStr">
        <is>
          <t>GOTLANDS LÄN</t>
        </is>
      </c>
      <c r="E131" t="inlineStr">
        <is>
          <t>GOTLAND</t>
        </is>
      </c>
      <c r="G131" t="n">
        <v>6.8</v>
      </c>
      <c r="H131" t="n">
        <v>3</v>
      </c>
      <c r="I131" t="n">
        <v>0</v>
      </c>
      <c r="J131" t="n">
        <v>1</v>
      </c>
      <c r="K131" t="n">
        <v>0</v>
      </c>
      <c r="L131" t="n">
        <v>0</v>
      </c>
      <c r="M131" t="n">
        <v>0</v>
      </c>
      <c r="N131" t="n">
        <v>0</v>
      </c>
      <c r="O131" t="n">
        <v>1</v>
      </c>
      <c r="P131" t="n">
        <v>0</v>
      </c>
      <c r="Q131" t="n">
        <v>3</v>
      </c>
      <c r="R131" s="2" t="inlineStr">
        <is>
          <t>Spillkråka
Sankt pers nycklar
Blåsippa</t>
        </is>
      </c>
      <c r="S131">
        <f>HYPERLINK("https://klasma.github.io/Logging_0980/artfynd/A 13499-2022 artfynd.xlsx", "A 13499-2022")</f>
        <v/>
      </c>
      <c r="T131">
        <f>HYPERLINK("https://klasma.github.io/Logging_0980/kartor/A 13499-2022 karta.png", "A 13499-2022")</f>
        <v/>
      </c>
      <c r="V131">
        <f>HYPERLINK("https://klasma.github.io/Logging_0980/klagomål/A 13499-2022 FSC-klagomål.docx", "A 13499-2022")</f>
        <v/>
      </c>
      <c r="W131">
        <f>HYPERLINK("https://klasma.github.io/Logging_0980/klagomålsmail/A 13499-2022 FSC-klagomål mail.docx", "A 13499-2022")</f>
        <v/>
      </c>
      <c r="X131">
        <f>HYPERLINK("https://klasma.github.io/Logging_0980/tillsyn/A 13499-2022 tillsynsbegäran.docx", "A 13499-2022")</f>
        <v/>
      </c>
      <c r="Y131">
        <f>HYPERLINK("https://klasma.github.io/Logging_0980/tillsynsmail/A 13499-2022 tillsynsbegäran mail.docx", "A 13499-2022")</f>
        <v/>
      </c>
      <c r="Z131">
        <f>HYPERLINK("https://klasma.github.io/Logging_0980/fåglar/A 13499-2022 prioriterade fågelarter.docx", "A 13499-2022")</f>
        <v/>
      </c>
    </row>
    <row r="132" ht="15" customHeight="1">
      <c r="A132" t="inlineStr">
        <is>
          <t>A 43013-2022</t>
        </is>
      </c>
      <c r="B132" s="1" t="n">
        <v>44833</v>
      </c>
      <c r="C132" s="1" t="n">
        <v>45629</v>
      </c>
      <c r="D132" t="inlineStr">
        <is>
          <t>GOTLANDS LÄN</t>
        </is>
      </c>
      <c r="E132" t="inlineStr">
        <is>
          <t>GOTLAND</t>
        </is>
      </c>
      <c r="G132" t="n">
        <v>9.300000000000001</v>
      </c>
      <c r="H132" t="n">
        <v>0</v>
      </c>
      <c r="I132" t="n">
        <v>2</v>
      </c>
      <c r="J132" t="n">
        <v>0</v>
      </c>
      <c r="K132" t="n">
        <v>1</v>
      </c>
      <c r="L132" t="n">
        <v>0</v>
      </c>
      <c r="M132" t="n">
        <v>0</v>
      </c>
      <c r="N132" t="n">
        <v>0</v>
      </c>
      <c r="O132" t="n">
        <v>1</v>
      </c>
      <c r="P132" t="n">
        <v>1</v>
      </c>
      <c r="Q132" t="n">
        <v>3</v>
      </c>
      <c r="R132" s="2" t="inlineStr">
        <is>
          <t>Violettfläckig spindling
Anisspindling
Blå slemspindling</t>
        </is>
      </c>
      <c r="S132">
        <f>HYPERLINK("https://klasma.github.io/Logging_0980/artfynd/A 43013-2022 artfynd.xlsx", "A 43013-2022")</f>
        <v/>
      </c>
      <c r="T132">
        <f>HYPERLINK("https://klasma.github.io/Logging_0980/kartor/A 43013-2022 karta.png", "A 43013-2022")</f>
        <v/>
      </c>
      <c r="V132">
        <f>HYPERLINK("https://klasma.github.io/Logging_0980/klagomål/A 43013-2022 FSC-klagomål.docx", "A 43013-2022")</f>
        <v/>
      </c>
      <c r="W132">
        <f>HYPERLINK("https://klasma.github.io/Logging_0980/klagomålsmail/A 43013-2022 FSC-klagomål mail.docx", "A 43013-2022")</f>
        <v/>
      </c>
      <c r="X132">
        <f>HYPERLINK("https://klasma.github.io/Logging_0980/tillsyn/A 43013-2022 tillsynsbegäran.docx", "A 43013-2022")</f>
        <v/>
      </c>
      <c r="Y132">
        <f>HYPERLINK("https://klasma.github.io/Logging_0980/tillsynsmail/A 43013-2022 tillsynsbegäran mail.docx", "A 43013-2022")</f>
        <v/>
      </c>
    </row>
    <row r="133" ht="15" customHeight="1">
      <c r="A133" t="inlineStr">
        <is>
          <t>A 44913-2022</t>
        </is>
      </c>
      <c r="B133" s="1" t="n">
        <v>44841</v>
      </c>
      <c r="C133" s="1" t="n">
        <v>45629</v>
      </c>
      <c r="D133" t="inlineStr">
        <is>
          <t>GOTLANDS LÄN</t>
        </is>
      </c>
      <c r="E133" t="inlineStr">
        <is>
          <t>GOTLAND</t>
        </is>
      </c>
      <c r="G133" t="n">
        <v>8.800000000000001</v>
      </c>
      <c r="H133" t="n">
        <v>1</v>
      </c>
      <c r="I133" t="n">
        <v>1</v>
      </c>
      <c r="J133" t="n">
        <v>1</v>
      </c>
      <c r="K133" t="n">
        <v>0</v>
      </c>
      <c r="L133" t="n">
        <v>0</v>
      </c>
      <c r="M133" t="n">
        <v>0</v>
      </c>
      <c r="N133" t="n">
        <v>0</v>
      </c>
      <c r="O133" t="n">
        <v>1</v>
      </c>
      <c r="P133" t="n">
        <v>0</v>
      </c>
      <c r="Q133" t="n">
        <v>3</v>
      </c>
      <c r="R133" s="2" t="inlineStr">
        <is>
          <t>Odörspindling
Granbarkgnagare
Kärrknipprot</t>
        </is>
      </c>
      <c r="S133">
        <f>HYPERLINK("https://klasma.github.io/Logging_0980/artfynd/A 44913-2022 artfynd.xlsx", "A 44913-2022")</f>
        <v/>
      </c>
      <c r="T133">
        <f>HYPERLINK("https://klasma.github.io/Logging_0980/kartor/A 44913-2022 karta.png", "A 44913-2022")</f>
        <v/>
      </c>
      <c r="V133">
        <f>HYPERLINK("https://klasma.github.io/Logging_0980/klagomål/A 44913-2022 FSC-klagomål.docx", "A 44913-2022")</f>
        <v/>
      </c>
      <c r="W133">
        <f>HYPERLINK("https://klasma.github.io/Logging_0980/klagomålsmail/A 44913-2022 FSC-klagomål mail.docx", "A 44913-2022")</f>
        <v/>
      </c>
      <c r="X133">
        <f>HYPERLINK("https://klasma.github.io/Logging_0980/tillsyn/A 44913-2022 tillsynsbegäran.docx", "A 44913-2022")</f>
        <v/>
      </c>
      <c r="Y133">
        <f>HYPERLINK("https://klasma.github.io/Logging_0980/tillsynsmail/A 44913-2022 tillsynsbegäran mail.docx", "A 44913-2022")</f>
        <v/>
      </c>
    </row>
    <row r="134" ht="15" customHeight="1">
      <c r="A134" t="inlineStr">
        <is>
          <t>A 17982-2023</t>
        </is>
      </c>
      <c r="B134" s="1" t="n">
        <v>45040</v>
      </c>
      <c r="C134" s="1" t="n">
        <v>45629</v>
      </c>
      <c r="D134" t="inlineStr">
        <is>
          <t>GOTLANDS LÄN</t>
        </is>
      </c>
      <c r="E134" t="inlineStr">
        <is>
          <t>GOTLAND</t>
        </is>
      </c>
      <c r="G134" t="n">
        <v>2.2</v>
      </c>
      <c r="H134" t="n">
        <v>0</v>
      </c>
      <c r="I134" t="n">
        <v>0</v>
      </c>
      <c r="J134" t="n">
        <v>2</v>
      </c>
      <c r="K134" t="n">
        <v>0</v>
      </c>
      <c r="L134" t="n">
        <v>0</v>
      </c>
      <c r="M134" t="n">
        <v>1</v>
      </c>
      <c r="N134" t="n">
        <v>0</v>
      </c>
      <c r="O134" t="n">
        <v>3</v>
      </c>
      <c r="P134" t="n">
        <v>1</v>
      </c>
      <c r="Q134" t="n">
        <v>3</v>
      </c>
      <c r="R134" s="2" t="inlineStr">
        <is>
          <t>Lundalm
Krusfrö
Ängsskära</t>
        </is>
      </c>
      <c r="S134">
        <f>HYPERLINK("https://klasma.github.io/Logging_0980/artfynd/A 17982-2023 artfynd.xlsx", "A 17982-2023")</f>
        <v/>
      </c>
      <c r="T134">
        <f>HYPERLINK("https://klasma.github.io/Logging_0980/kartor/A 17982-2023 karta.png", "A 17982-2023")</f>
        <v/>
      </c>
      <c r="V134">
        <f>HYPERLINK("https://klasma.github.io/Logging_0980/klagomål/A 17982-2023 FSC-klagomål.docx", "A 17982-2023")</f>
        <v/>
      </c>
      <c r="W134">
        <f>HYPERLINK("https://klasma.github.io/Logging_0980/klagomålsmail/A 17982-2023 FSC-klagomål mail.docx", "A 17982-2023")</f>
        <v/>
      </c>
      <c r="X134">
        <f>HYPERLINK("https://klasma.github.io/Logging_0980/tillsyn/A 17982-2023 tillsynsbegäran.docx", "A 17982-2023")</f>
        <v/>
      </c>
      <c r="Y134">
        <f>HYPERLINK("https://klasma.github.io/Logging_0980/tillsynsmail/A 17982-2023 tillsynsbegäran mail.docx", "A 17982-2023")</f>
        <v/>
      </c>
    </row>
    <row r="135" ht="15" customHeight="1">
      <c r="A135" t="inlineStr">
        <is>
          <t>A 27041-2023</t>
        </is>
      </c>
      <c r="B135" s="1" t="n">
        <v>45095</v>
      </c>
      <c r="C135" s="1" t="n">
        <v>45629</v>
      </c>
      <c r="D135" t="inlineStr">
        <is>
          <t>GOTLANDS LÄN</t>
        </is>
      </c>
      <c r="E135" t="inlineStr">
        <is>
          <t>GOTLAND</t>
        </is>
      </c>
      <c r="G135" t="n">
        <v>5.3</v>
      </c>
      <c r="H135" t="n">
        <v>0</v>
      </c>
      <c r="I135" t="n">
        <v>2</v>
      </c>
      <c r="J135" t="n">
        <v>1</v>
      </c>
      <c r="K135" t="n">
        <v>0</v>
      </c>
      <c r="L135" t="n">
        <v>0</v>
      </c>
      <c r="M135" t="n">
        <v>0</v>
      </c>
      <c r="N135" t="n">
        <v>0</v>
      </c>
      <c r="O135" t="n">
        <v>1</v>
      </c>
      <c r="P135" t="n">
        <v>0</v>
      </c>
      <c r="Q135" t="n">
        <v>3</v>
      </c>
      <c r="R135" s="2" t="inlineStr">
        <is>
          <t>Odörspindling
Anisspindling
Besk kastanjemusseron</t>
        </is>
      </c>
      <c r="S135">
        <f>HYPERLINK("https://klasma.github.io/Logging_0980/artfynd/A 27041-2023 artfynd.xlsx", "A 27041-2023")</f>
        <v/>
      </c>
      <c r="T135">
        <f>HYPERLINK("https://klasma.github.io/Logging_0980/kartor/A 27041-2023 karta.png", "A 27041-2023")</f>
        <v/>
      </c>
      <c r="V135">
        <f>HYPERLINK("https://klasma.github.io/Logging_0980/klagomål/A 27041-2023 FSC-klagomål.docx", "A 27041-2023")</f>
        <v/>
      </c>
      <c r="W135">
        <f>HYPERLINK("https://klasma.github.io/Logging_0980/klagomålsmail/A 27041-2023 FSC-klagomål mail.docx", "A 27041-2023")</f>
        <v/>
      </c>
      <c r="X135">
        <f>HYPERLINK("https://klasma.github.io/Logging_0980/tillsyn/A 27041-2023 tillsynsbegäran.docx", "A 27041-2023")</f>
        <v/>
      </c>
      <c r="Y135">
        <f>HYPERLINK("https://klasma.github.io/Logging_0980/tillsynsmail/A 27041-2023 tillsynsbegäran mail.docx", "A 27041-2023")</f>
        <v/>
      </c>
    </row>
    <row r="136" ht="15" customHeight="1">
      <c r="A136" t="inlineStr">
        <is>
          <t>A 54523-2023</t>
        </is>
      </c>
      <c r="B136" s="1" t="n">
        <v>45233</v>
      </c>
      <c r="C136" s="1" t="n">
        <v>45629</v>
      </c>
      <c r="D136" t="inlineStr">
        <is>
          <t>GOTLANDS LÄN</t>
        </is>
      </c>
      <c r="E136" t="inlineStr">
        <is>
          <t>GOTLAND</t>
        </is>
      </c>
      <c r="G136" t="n">
        <v>3.7</v>
      </c>
      <c r="H136" t="n">
        <v>1</v>
      </c>
      <c r="I136" t="n">
        <v>0</v>
      </c>
      <c r="J136" t="n">
        <v>1</v>
      </c>
      <c r="K136" t="n">
        <v>1</v>
      </c>
      <c r="L136" t="n">
        <v>0</v>
      </c>
      <c r="M136" t="n">
        <v>0</v>
      </c>
      <c r="N136" t="n">
        <v>0</v>
      </c>
      <c r="O136" t="n">
        <v>2</v>
      </c>
      <c r="P136" t="n">
        <v>1</v>
      </c>
      <c r="Q136" t="n">
        <v>3</v>
      </c>
      <c r="R136" s="2" t="inlineStr">
        <is>
          <t>Sommarklynne
Åkerkulla
Kärrknipprot</t>
        </is>
      </c>
      <c r="S136">
        <f>HYPERLINK("https://klasma.github.io/Logging_0980/artfynd/A 54523-2023 artfynd.xlsx", "A 54523-2023")</f>
        <v/>
      </c>
      <c r="T136">
        <f>HYPERLINK("https://klasma.github.io/Logging_0980/kartor/A 54523-2023 karta.png", "A 54523-2023")</f>
        <v/>
      </c>
      <c r="V136">
        <f>HYPERLINK("https://klasma.github.io/Logging_0980/klagomål/A 54523-2023 FSC-klagomål.docx", "A 54523-2023")</f>
        <v/>
      </c>
      <c r="W136">
        <f>HYPERLINK("https://klasma.github.io/Logging_0980/klagomålsmail/A 54523-2023 FSC-klagomål mail.docx", "A 54523-2023")</f>
        <v/>
      </c>
      <c r="X136">
        <f>HYPERLINK("https://klasma.github.io/Logging_0980/tillsyn/A 54523-2023 tillsynsbegäran.docx", "A 54523-2023")</f>
        <v/>
      </c>
      <c r="Y136">
        <f>HYPERLINK("https://klasma.github.io/Logging_0980/tillsynsmail/A 54523-2023 tillsynsbegäran mail.docx", "A 54523-2023")</f>
        <v/>
      </c>
    </row>
    <row r="137" ht="15" customHeight="1">
      <c r="A137" t="inlineStr">
        <is>
          <t>A 16542-2024</t>
        </is>
      </c>
      <c r="B137" s="1" t="n">
        <v>45408</v>
      </c>
      <c r="C137" s="1" t="n">
        <v>45629</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45629</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45629</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45629</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45629</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45629</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45629</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45629</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45629</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45629</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45629</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45629</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45629</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45629</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45629</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45629</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45629</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45629</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45629</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45629</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45629</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45629</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45629</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45629</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45629</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45629</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45629</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45629</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45629</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45629</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45629</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45629</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45629</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45629</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45629</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45629</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45629</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45629</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45629</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54357-2024</t>
        </is>
      </c>
      <c r="B176" s="1" t="n">
        <v>45617</v>
      </c>
      <c r="C176" s="1" t="n">
        <v>45629</v>
      </c>
      <c r="D176" t="inlineStr">
        <is>
          <t>GOTLANDS LÄN</t>
        </is>
      </c>
      <c r="E176" t="inlineStr">
        <is>
          <t>GOTLAND</t>
        </is>
      </c>
      <c r="G176" t="n">
        <v>1.5</v>
      </c>
      <c r="H176" t="n">
        <v>1</v>
      </c>
      <c r="I176" t="n">
        <v>0</v>
      </c>
      <c r="J176" t="n">
        <v>1</v>
      </c>
      <c r="K176" t="n">
        <v>0</v>
      </c>
      <c r="L176" t="n">
        <v>0</v>
      </c>
      <c r="M176" t="n">
        <v>0</v>
      </c>
      <c r="N176" t="n">
        <v>0</v>
      </c>
      <c r="O176" t="n">
        <v>1</v>
      </c>
      <c r="P176" t="n">
        <v>0</v>
      </c>
      <c r="Q176" t="n">
        <v>2</v>
      </c>
      <c r="R176" s="2" t="inlineStr">
        <is>
          <t>Loppstarr
Fläcknycklar</t>
        </is>
      </c>
      <c r="S176">
        <f>HYPERLINK("https://klasma.github.io/Logging_0980/artfynd/A 54357-2024 artfynd.xlsx", "A 54357-2024")</f>
        <v/>
      </c>
      <c r="T176">
        <f>HYPERLINK("https://klasma.github.io/Logging_0980/kartor/A 54357-2024 karta.png", "A 54357-2024")</f>
        <v/>
      </c>
      <c r="V176">
        <f>HYPERLINK("https://klasma.github.io/Logging_0980/klagomål/A 54357-2024 FSC-klagomål.docx", "A 54357-2024")</f>
        <v/>
      </c>
      <c r="W176">
        <f>HYPERLINK("https://klasma.github.io/Logging_0980/klagomålsmail/A 54357-2024 FSC-klagomål mail.docx", "A 54357-2024")</f>
        <v/>
      </c>
      <c r="X176">
        <f>HYPERLINK("https://klasma.github.io/Logging_0980/tillsyn/A 54357-2024 tillsynsbegäran.docx", "A 54357-2024")</f>
        <v/>
      </c>
      <c r="Y176">
        <f>HYPERLINK("https://klasma.github.io/Logging_0980/tillsynsmail/A 54357-2024 tillsynsbegäran mail.docx", "A 54357-2024")</f>
        <v/>
      </c>
    </row>
    <row r="177" ht="15" customHeight="1">
      <c r="A177" t="inlineStr">
        <is>
          <t>A 54647-2024</t>
        </is>
      </c>
      <c r="B177" s="1" t="n">
        <v>45617</v>
      </c>
      <c r="C177" s="1" t="n">
        <v>45629</v>
      </c>
      <c r="D177" t="inlineStr">
        <is>
          <t>GOTLANDS LÄN</t>
        </is>
      </c>
      <c r="E177" t="inlineStr">
        <is>
          <t>GOTLAND</t>
        </is>
      </c>
      <c r="G177" t="n">
        <v>2.2</v>
      </c>
      <c r="H177" t="n">
        <v>0</v>
      </c>
      <c r="I177" t="n">
        <v>2</v>
      </c>
      <c r="J177" t="n">
        <v>0</v>
      </c>
      <c r="K177" t="n">
        <v>0</v>
      </c>
      <c r="L177" t="n">
        <v>0</v>
      </c>
      <c r="M177" t="n">
        <v>0</v>
      </c>
      <c r="N177" t="n">
        <v>0</v>
      </c>
      <c r="O177" t="n">
        <v>0</v>
      </c>
      <c r="P177" t="n">
        <v>0</v>
      </c>
      <c r="Q177" t="n">
        <v>2</v>
      </c>
      <c r="R177" s="2" t="inlineStr">
        <is>
          <t>Kattfotslav
Olivspindling</t>
        </is>
      </c>
      <c r="S177">
        <f>HYPERLINK("https://klasma.github.io/Logging_0980/artfynd/A 54647-2024 artfynd.xlsx", "A 54647-2024")</f>
        <v/>
      </c>
      <c r="T177">
        <f>HYPERLINK("https://klasma.github.io/Logging_0980/kartor/A 54647-2024 karta.png", "A 54647-2024")</f>
        <v/>
      </c>
      <c r="V177">
        <f>HYPERLINK("https://klasma.github.io/Logging_0980/klagomål/A 54647-2024 FSC-klagomål.docx", "A 54647-2024")</f>
        <v/>
      </c>
      <c r="W177">
        <f>HYPERLINK("https://klasma.github.io/Logging_0980/klagomålsmail/A 54647-2024 FSC-klagomål mail.docx", "A 54647-2024")</f>
        <v/>
      </c>
      <c r="X177">
        <f>HYPERLINK("https://klasma.github.io/Logging_0980/tillsyn/A 54647-2024 tillsynsbegäran.docx", "A 54647-2024")</f>
        <v/>
      </c>
      <c r="Y177">
        <f>HYPERLINK("https://klasma.github.io/Logging_0980/tillsynsmail/A 54647-2024 tillsynsbegäran mail.docx", "A 54647-2024")</f>
        <v/>
      </c>
    </row>
    <row r="178" ht="15" customHeight="1">
      <c r="A178" t="inlineStr">
        <is>
          <t>A 55649-2024</t>
        </is>
      </c>
      <c r="B178" s="1" t="n">
        <v>45622</v>
      </c>
      <c r="C178" s="1" t="n">
        <v>45629</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45629</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45629</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45629</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45629</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45629</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45629</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45629</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45629</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45629</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45629</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45629</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45629</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45629</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45629</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45629</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45629</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45629</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45629</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45629</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45629</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45629</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45629</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45629</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45629</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45629</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45629</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45629</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45629</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45629</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45629</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45629</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45629</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45629</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45629</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45629</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45629</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45629</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45629</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45629</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45629</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45629</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45629</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45629</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45629</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45629</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45629</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45629</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45629</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45629</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45629</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45629</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45629</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45629</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45629</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45629</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45629</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45629</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45629</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45629</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45629</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45629</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45629</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45629</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45629</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45629</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45629</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45629</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45629</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45629</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45629</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45629</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45629</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45629</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45629</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45629</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45629</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45629</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45629</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45629</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45629</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45629</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45629</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45629</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45629</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45629</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45629</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45629</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45629</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45629</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45629</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45629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45629</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45629</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45629</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45629</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45629</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45629</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45629</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45629</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45629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45629</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45629</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45629</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45629</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45629</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45629</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45629</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45629</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45629</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45629</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45629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45629</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45629</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45629</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45629</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45629</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45629</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45629</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45629</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45629</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45629</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45629</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45629</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45629</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45629</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45629</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45629</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45629</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45629</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45629</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45629</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45629</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45629</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45629</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45629</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45629</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45629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45629</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45629</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45629</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45629</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45629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45629</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45629</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45629</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45629</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45629</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45629</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45629</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45629</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45629</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45629</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45629</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45629</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45629</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45629</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45629</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45629</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45629</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45629</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45629</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45629</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45629</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45629</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45629</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45629</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45629</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45629</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45629</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45629</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45629</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45629</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45629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45629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45629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45629</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45629</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45629</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45629</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45629</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45629</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45629</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45629</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45629</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45629</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45629</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45629</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45629</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45629</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45629</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45629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45629</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45629</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45629</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45629</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45629</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45629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45629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45629</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45629</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45629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45629</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45629</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45629</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45629</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45629</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45629</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45629</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45629</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45629</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45629</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45629</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45629</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45629</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45629</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45629</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45629</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45629</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45629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45629</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45629</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45629</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45629</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45629</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45629</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45629</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45629</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45629</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45629</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45629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45629</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45629</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45629</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45629</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45629</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45629</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45629</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45629</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45629</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45629</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45629</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45629</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45629</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45629</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45629</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45629</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45629</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45629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45629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45629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45629</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45629</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45629</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45629</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45629</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45629</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45629</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45629</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45629</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45629</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45629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45629</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45629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45629</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45629</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45629</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45629</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45629</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45629</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45629</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45629</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45629</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45629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45629</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45629</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45629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45629</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45629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45629</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45629</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45629</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45629</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45629</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45629</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45629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45629</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45629</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45629</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45629</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45629</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45629</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45629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45629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45629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45629</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45629</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45629</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45629</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45629</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45629</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45629</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45629</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45629</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45629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45629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45629</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45629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45629</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45629</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45629</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45629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45629</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45629</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45629</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45629</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45629</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45629</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45629</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45629</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45629</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45629</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45629</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45629</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45629</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45629</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45629</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45629</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45629</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45629</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45629</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45629</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45629</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45629</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45629</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45629</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45629</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45629</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45629</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45629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45629</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45629</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45629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45629</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45629</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45629</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45629</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45629</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45629</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45629</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45629</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45629</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45629</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45629</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45629</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45629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45629</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45629</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45629</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45629</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45629</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45629</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45629</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45629</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45629</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45629</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45629</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45629</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45629</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45629</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45629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45629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45629</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45629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45629</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45629</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45629</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45629</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45629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45629</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45629</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45629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45629</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45629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45629</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45629</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45629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45629</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45629</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45629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45629</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45629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45629</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45629</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45629</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45629</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45629</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45629</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45629</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45629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45629</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45629</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45629</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45629</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45629</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45629</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45629</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45629</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45629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45629</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45629</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45629</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45629</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45629</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45629</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45629</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45629</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45629</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45629</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45629</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45629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45629</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45629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45629</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45629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45629</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45629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45629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45629</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45629</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45629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45629</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45629</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45629</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45629</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45629</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45629</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45629</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45629</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45629</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45629</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45629</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45629</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45629</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45629</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45629</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45629</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45629</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45629</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45629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45629</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45629</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45629</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45629</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45629</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45629</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45629</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45629</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45629</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45629</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45629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45629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45629</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45629</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45629</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45629</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45629</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45629</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45629</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45629</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45629</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45629</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45629</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45629</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45629</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45629</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45629</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45629</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45629</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45629</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45629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45629</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45629</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45629</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45629</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45629</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45629</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45629</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45629</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45629</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45629</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45629</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45629</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45629</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45629</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45629</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45629</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45629</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45629</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45629</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45629</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45629</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45629</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45629</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45629</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45629</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45629</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45629</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45629</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45629</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45629</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45629</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45629</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45629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45629</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45629</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45629</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45629</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45629</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45629</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45629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45629</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45629</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45629</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45629</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45629</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45629</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45629</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45629</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45629</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45629</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45629</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45629</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45629</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45629</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45629</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45629</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45629</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45629</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45629</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45629</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45629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45629</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45629</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45629</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45629</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45629</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45629</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45629</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45629</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45629</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45629</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45629</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45629</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45629</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45629</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45629</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45629</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45629</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45629</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45629</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45629</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45629</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45629</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45629</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45629</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45629</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45629</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45629</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45629</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45629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45629</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45629</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45629</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45629</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45629</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45629</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45629</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45629</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45629</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45629</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45629</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45629</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45629</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45629</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45629</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45629</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45629</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45629</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45629</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45629</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45629</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45629</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45629</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45629</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45629</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45629</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45629</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45629</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45629</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45629</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45629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45629</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45629</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45629</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45629</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45629</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45629</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45629</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45629</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45629</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45629</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45629</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45629</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45629</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45629</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45629</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45629</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45629</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45629</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45629</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45629</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45629</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45629</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45629</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45629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45629</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45629</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45629</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45629</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45629</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45629</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45629</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45629</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45629</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45629</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45629</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45629</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45629</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45629</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45629</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45629</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45629</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45629</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45629</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45629</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45629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45629</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45629</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45629</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45629</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45629</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45629</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45629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45629</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45629</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45629</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45629</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45629</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45629</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45629</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45629</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45629</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45629</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45629</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45629</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45629</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45629</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45629</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45629</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45629</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45629</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45629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45629</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45629</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45629</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45629</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45629</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45629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45629</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45629</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45629</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45629</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45629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45629</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45629</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45629</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45629</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45629</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45629</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45629</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45629</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45629</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45629</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45629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45629</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45629</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45629</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45629</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45629</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45629</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45629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45629</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45629</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45629</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45629</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45629</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45629</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45629</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45629</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45629</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45629</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45629</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45629</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45629</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45629</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45629</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45629</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45629</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45629</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45629</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45629</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45629</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45629</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45629</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45629</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45629</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45629</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45629</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45629</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45629</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45629</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45629</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45629</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45629</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45629</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45629</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45629</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45629</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45629</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45629</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45629</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45629</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45629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45629</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45629</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45629</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45629</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45629</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45629</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45629</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45629</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45629</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45629</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45629</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45629</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45629</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45629</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45629</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45629</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45629</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45629</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50470-2024</t>
        </is>
      </c>
      <c r="B940" s="1" t="n">
        <v>45601</v>
      </c>
      <c r="C940" s="1" t="n">
        <v>45629</v>
      </c>
      <c r="D940" t="inlineStr">
        <is>
          <t>GOTLANDS LÄN</t>
        </is>
      </c>
      <c r="E940" t="inlineStr">
        <is>
          <t>GOTLAND</t>
        </is>
      </c>
      <c r="G940" t="n">
        <v>3.4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45629</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45629</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45629</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45629</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45629</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45629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45629</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45629</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53934-2024</t>
        </is>
      </c>
      <c r="B949" s="1" t="n">
        <v>45615</v>
      </c>
      <c r="C949" s="1" t="n">
        <v>45629</v>
      </c>
      <c r="D949" t="inlineStr">
        <is>
          <t>GOTLANDS LÄN</t>
        </is>
      </c>
      <c r="E949" t="inlineStr">
        <is>
          <t>GOTLAND</t>
        </is>
      </c>
      <c r="G949" t="n">
        <v>5</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45629</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45629</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45629</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45629</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54645-2024</t>
        </is>
      </c>
      <c r="B954" s="1" t="n">
        <v>45617</v>
      </c>
      <c r="C954" s="1" t="n">
        <v>45629</v>
      </c>
      <c r="D954" t="inlineStr">
        <is>
          <t>GOTLANDS LÄN</t>
        </is>
      </c>
      <c r="E954" t="inlineStr">
        <is>
          <t>GOTLAND</t>
        </is>
      </c>
      <c r="G954" t="n">
        <v>1.9</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45629</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45629</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45629</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45629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45629</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c r="A960" t="inlineStr">
        <is>
          <t>A 56009-2024</t>
        </is>
      </c>
      <c r="B960" s="1" t="n">
        <v>45623</v>
      </c>
      <c r="C960" s="1" t="n">
        <v>45629</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2024-12-03T15:14:35Z</dcterms:created>
  <dcterms:modified xmlns:dcterms="http://purl.org/dc/terms/" xmlns:xsi="http://www.w3.org/2001/XMLSchema-instance" xsi:type="dcterms:W3CDTF">2024-12-03T15:14:36Z</dcterms:modified>
</cp:coreProperties>
</file>