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46031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46031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46031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46031</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24575-2025</t>
        </is>
      </c>
      <c r="B25" s="1" t="n">
        <v>45798</v>
      </c>
      <c r="C25" s="1" t="n">
        <v>46031</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34100-2024</t>
        </is>
      </c>
      <c r="B26" s="1" t="n">
        <v>45523</v>
      </c>
      <c r="C26" s="1" t="n">
        <v>46031</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46031</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46031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46031</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46031</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46031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46031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46031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46031</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44204-2022</t>
        </is>
      </c>
      <c r="B36" s="1" t="n">
        <v>44839</v>
      </c>
      <c r="C36" s="1" t="n">
        <v>46031</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46031</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46031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46031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46031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46031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46031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46031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52223-2025</t>
        </is>
      </c>
      <c r="B45" s="1" t="n">
        <v>45953.44509259259</v>
      </c>
      <c r="C45" s="1" t="n">
        <v>46031</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11176-2024</t>
        </is>
      </c>
      <c r="B46" s="1" t="n">
        <v>45371</v>
      </c>
      <c r="C46" s="1" t="n">
        <v>46031</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43201-2023</t>
        </is>
      </c>
      <c r="B47" s="1" t="n">
        <v>45183</v>
      </c>
      <c r="C47" s="1" t="n">
        <v>46031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46031</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46031</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46031</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46031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46031</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584-2023</t>
        </is>
      </c>
      <c r="B53" s="1" t="n">
        <v>44930</v>
      </c>
      <c r="C53" s="1" t="n">
        <v>46031</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46031</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46031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46031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46031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46031</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2649-2023</t>
        </is>
      </c>
      <c r="B59" s="1" t="n">
        <v>44943</v>
      </c>
      <c r="C59" s="1" t="n">
        <v>46031</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46031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46031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46031</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4984-2025</t>
        </is>
      </c>
      <c r="B63" s="1" t="n">
        <v>45691.29891203704</v>
      </c>
      <c r="C63" s="1" t="n">
        <v>46031</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46031</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46031</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46031</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46031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46031</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46031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57773-2025</t>
        </is>
      </c>
      <c r="B71" s="1" t="n">
        <v>45981.56349537037</v>
      </c>
      <c r="C71" s="1" t="n">
        <v>46031</v>
      </c>
      <c r="D71" t="inlineStr">
        <is>
          <t>GOTLANDS LÄN</t>
        </is>
      </c>
      <c r="E71" t="inlineStr">
        <is>
          <t>GOTLAND</t>
        </is>
      </c>
      <c r="G71" t="n">
        <v>4.4</v>
      </c>
      <c r="H71" t="n">
        <v>0</v>
      </c>
      <c r="I71" t="n">
        <v>4</v>
      </c>
      <c r="J71" t="n">
        <v>0</v>
      </c>
      <c r="K71" t="n">
        <v>2</v>
      </c>
      <c r="L71" t="n">
        <v>0</v>
      </c>
      <c r="M71" t="n">
        <v>0</v>
      </c>
      <c r="N71" t="n">
        <v>0</v>
      </c>
      <c r="O71" t="n">
        <v>2</v>
      </c>
      <c r="P71" t="n">
        <v>2</v>
      </c>
      <c r="Q71" t="n">
        <v>6</v>
      </c>
      <c r="R71" s="2" t="inlineStr">
        <is>
          <t>Duvspindling
Mörkfjällig olivspindling
Besk kastanjemusseron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2085-2023</t>
        </is>
      </c>
      <c r="B72" s="1" t="n">
        <v>44939</v>
      </c>
      <c r="C72" s="1" t="n">
        <v>46031</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446-2023</t>
        </is>
      </c>
      <c r="B73" s="1" t="n">
        <v>44929</v>
      </c>
      <c r="C73" s="1" t="n">
        <v>46031</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46031</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16823-2024</t>
        </is>
      </c>
      <c r="B75" s="1" t="n">
        <v>45411</v>
      </c>
      <c r="C75" s="1" t="n">
        <v>46031</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46031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46031</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7038-2023</t>
        </is>
      </c>
      <c r="B78" s="1" t="n">
        <v>44968</v>
      </c>
      <c r="C78" s="1" t="n">
        <v>46031</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46031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46031</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54055-2022</t>
        </is>
      </c>
      <c r="B81" s="1" t="n">
        <v>44881</v>
      </c>
      <c r="C81" s="1" t="n">
        <v>46031</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16375-2025</t>
        </is>
      </c>
      <c r="B82" s="1" t="n">
        <v>45751.41064814815</v>
      </c>
      <c r="C82" s="1" t="n">
        <v>46031</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42936-2024</t>
        </is>
      </c>
      <c r="B83" s="1" t="n">
        <v>45567</v>
      </c>
      <c r="C83" s="1" t="n">
        <v>46031</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35293-2025</t>
        </is>
      </c>
      <c r="B84" s="1" t="n">
        <v>45854.39438657407</v>
      </c>
      <c r="C84" s="1" t="n">
        <v>46031</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39425-2023</t>
        </is>
      </c>
      <c r="B85" s="1" t="n">
        <v>45166</v>
      </c>
      <c r="C85" s="1" t="n">
        <v>46031</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46031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46031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46031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57463-2025</t>
        </is>
      </c>
      <c r="B89" s="1" t="n">
        <v>45980.54174768519</v>
      </c>
      <c r="C89" s="1" t="n">
        <v>46031</v>
      </c>
      <c r="D89" t="inlineStr">
        <is>
          <t>GOTLANDS LÄN</t>
        </is>
      </c>
      <c r="E89" t="inlineStr">
        <is>
          <t>GOTLAND</t>
        </is>
      </c>
      <c r="G89" t="n">
        <v>3.8</v>
      </c>
      <c r="H89" t="n">
        <v>0</v>
      </c>
      <c r="I89" t="n">
        <v>1</v>
      </c>
      <c r="J89" t="n">
        <v>1</v>
      </c>
      <c r="K89" t="n">
        <v>2</v>
      </c>
      <c r="L89" t="n">
        <v>0</v>
      </c>
      <c r="M89" t="n">
        <v>0</v>
      </c>
      <c r="N89" t="n">
        <v>0</v>
      </c>
      <c r="O89" t="n">
        <v>3</v>
      </c>
      <c r="P89" t="n">
        <v>2</v>
      </c>
      <c r="Q89" t="n">
        <v>4</v>
      </c>
      <c r="R89" s="2" t="inlineStr">
        <is>
          <t>Gulsträngad fagerspindling
Tvillingspindling
Odörspindling
Blå slemspindling</t>
        </is>
      </c>
      <c r="S89">
        <f>HYPERLINK("https://klasma.github.io/Logging_0980/artfynd/A 57463-2025 artfynd.xlsx", "A 57463-2025")</f>
        <v/>
      </c>
      <c r="T89">
        <f>HYPERLINK("https://klasma.github.io/Logging_0980/kartor/A 57463-2025 karta.png", "A 57463-2025")</f>
        <v/>
      </c>
      <c r="V89">
        <f>HYPERLINK("https://klasma.github.io/Logging_0980/klagomål/A 57463-2025 FSC-klagomål.docx", "A 57463-2025")</f>
        <v/>
      </c>
      <c r="W89">
        <f>HYPERLINK("https://klasma.github.io/Logging_0980/klagomålsmail/A 57463-2025 FSC-klagomål mail.docx", "A 57463-2025")</f>
        <v/>
      </c>
      <c r="X89">
        <f>HYPERLINK("https://klasma.github.io/Logging_0980/tillsyn/A 57463-2025 tillsynsbegäran.docx", "A 57463-2025")</f>
        <v/>
      </c>
      <c r="Y89">
        <f>HYPERLINK("https://klasma.github.io/Logging_0980/tillsynsmail/A 57463-2025 tillsynsbegäran mail.docx", "A 57463-2025")</f>
        <v/>
      </c>
    </row>
    <row r="90" ht="15" customHeight="1">
      <c r="A90" t="inlineStr">
        <is>
          <t>A 5904-2024</t>
        </is>
      </c>
      <c r="B90" s="1" t="n">
        <v>45335</v>
      </c>
      <c r="C90" s="1" t="n">
        <v>46031</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46031</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54523-2023</t>
        </is>
      </c>
      <c r="B92" s="1" t="n">
        <v>45233</v>
      </c>
      <c r="C92" s="1" t="n">
        <v>46031</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52250-2025</t>
        </is>
      </c>
      <c r="B93" s="1" t="n">
        <v>45953.48998842593</v>
      </c>
      <c r="C93" s="1" t="n">
        <v>46031</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6159-2023</t>
        </is>
      </c>
      <c r="B94" s="1" t="n">
        <v>44964</v>
      </c>
      <c r="C94" s="1" t="n">
        <v>46031</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52309-2025</t>
        </is>
      </c>
      <c r="B95" s="1" t="n">
        <v>45953.64381944444</v>
      </c>
      <c r="C95" s="1" t="n">
        <v>46031</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52309-2025 artfynd.xlsx", "A 52309-2025")</f>
        <v/>
      </c>
      <c r="T95">
        <f>HYPERLINK("https://klasma.github.io/Logging_0980/kartor/A 52309-2025 karta.png", "A 52309-2025")</f>
        <v/>
      </c>
      <c r="V95">
        <f>HYPERLINK("https://klasma.github.io/Logging_0980/klagomål/A 52309-2025 FSC-klagomål.docx", "A 52309-2025")</f>
        <v/>
      </c>
      <c r="W95">
        <f>HYPERLINK("https://klasma.github.io/Logging_0980/klagomålsmail/A 52309-2025 FSC-klagomål mail.docx", "A 52309-2025")</f>
        <v/>
      </c>
      <c r="X95">
        <f>HYPERLINK("https://klasma.github.io/Logging_0980/tillsyn/A 52309-2025 tillsynsbegäran.docx", "A 52309-2025")</f>
        <v/>
      </c>
      <c r="Y95">
        <f>HYPERLINK("https://klasma.github.io/Logging_0980/tillsynsmail/A 52309-2025 tillsynsbegäran mail.docx", "A 52309-2025")</f>
        <v/>
      </c>
    </row>
    <row r="96" ht="15" customHeight="1">
      <c r="A96" t="inlineStr">
        <is>
          <t>A 43197-2023</t>
        </is>
      </c>
      <c r="B96" s="1" t="n">
        <v>45183</v>
      </c>
      <c r="C96" s="1" t="n">
        <v>46031</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46031</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20833-2024</t>
        </is>
      </c>
      <c r="B98" s="1" t="n">
        <v>45439</v>
      </c>
      <c r="C98" s="1" t="n">
        <v>46031</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44933-2022</t>
        </is>
      </c>
      <c r="B99" s="1" t="n">
        <v>44841</v>
      </c>
      <c r="C99" s="1" t="n">
        <v>46031</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46031</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46031</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46031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46031</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46031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46031</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46031</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46031</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55334-2024</t>
        </is>
      </c>
      <c r="B110" s="1" t="n">
        <v>45621</v>
      </c>
      <c r="C110" s="1" t="n">
        <v>46031</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49709-2025</t>
        </is>
      </c>
      <c r="B111" s="1" t="n">
        <v>45939.68228009259</v>
      </c>
      <c r="C111" s="1" t="n">
        <v>46031</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30490-2025</t>
        </is>
      </c>
      <c r="B112" s="1" t="n">
        <v>45830</v>
      </c>
      <c r="C112" s="1" t="n">
        <v>46031</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43013-2022</t>
        </is>
      </c>
      <c r="B113" s="1" t="n">
        <v>44833</v>
      </c>
      <c r="C113" s="1" t="n">
        <v>46031</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46031</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46031</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20831-2024</t>
        </is>
      </c>
      <c r="B116" s="1" t="n">
        <v>45439</v>
      </c>
      <c r="C116" s="1" t="n">
        <v>46031</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46031</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46031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46031</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46031</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46031</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46031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46031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46031</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46031</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46031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46031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46031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63162-2025</t>
        </is>
      </c>
      <c r="B129" s="1" t="n">
        <v>46010.37629629629</v>
      </c>
      <c r="C129" s="1" t="n">
        <v>46031</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20838-2024</t>
        </is>
      </c>
      <c r="B130" s="1" t="n">
        <v>45439</v>
      </c>
      <c r="C130" s="1" t="n">
        <v>46031</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62760-2025</t>
        </is>
      </c>
      <c r="B131" s="1" t="n">
        <v>46008.59275462963</v>
      </c>
      <c r="C131" s="1" t="n">
        <v>46031</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54357-2024</t>
        </is>
      </c>
      <c r="B132" s="1" t="n">
        <v>45617.40662037037</v>
      </c>
      <c r="C132" s="1" t="n">
        <v>46031</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46031</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46031</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46031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46031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46031</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46031</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46031</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46031</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46031</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46031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46031</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46031</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46031</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10440-2024</t>
        </is>
      </c>
      <c r="B146" s="1" t="n">
        <v>45366.32818287037</v>
      </c>
      <c r="C146" s="1" t="n">
        <v>46031</v>
      </c>
      <c r="D146" t="inlineStr">
        <is>
          <t>GOTLANDS LÄN</t>
        </is>
      </c>
      <c r="E146" t="inlineStr">
        <is>
          <t>GOTLAND</t>
        </is>
      </c>
      <c r="G146" t="n">
        <v>2.5</v>
      </c>
      <c r="H146" t="n">
        <v>1</v>
      </c>
      <c r="I146" t="n">
        <v>0</v>
      </c>
      <c r="J146" t="n">
        <v>1</v>
      </c>
      <c r="K146" t="n">
        <v>0</v>
      </c>
      <c r="L146" t="n">
        <v>0</v>
      </c>
      <c r="M146" t="n">
        <v>0</v>
      </c>
      <c r="N146" t="n">
        <v>0</v>
      </c>
      <c r="O146" t="n">
        <v>1</v>
      </c>
      <c r="P146" t="n">
        <v>0</v>
      </c>
      <c r="Q146" t="n">
        <v>1</v>
      </c>
      <c r="R146" s="2" t="inlineStr">
        <is>
          <t>Mindre hackspett</t>
        </is>
      </c>
      <c r="S146">
        <f>HYPERLINK("https://klasma.github.io/Logging_0980/artfynd/A 10440-2024 artfynd.xlsx", "A 10440-2024")</f>
        <v/>
      </c>
      <c r="T146">
        <f>HYPERLINK("https://klasma.github.io/Logging_0980/kartor/A 10440-2024 karta.png", "A 10440-2024")</f>
        <v/>
      </c>
      <c r="V146">
        <f>HYPERLINK("https://klasma.github.io/Logging_0980/klagomål/A 10440-2024 FSC-klagomål.docx", "A 10440-2024")</f>
        <v/>
      </c>
      <c r="W146">
        <f>HYPERLINK("https://klasma.github.io/Logging_0980/klagomålsmail/A 10440-2024 FSC-klagomål mail.docx", "A 10440-2024")</f>
        <v/>
      </c>
      <c r="X146">
        <f>HYPERLINK("https://klasma.github.io/Logging_0980/tillsyn/A 10440-2024 tillsynsbegäran.docx", "A 10440-2024")</f>
        <v/>
      </c>
      <c r="Y146">
        <f>HYPERLINK("https://klasma.github.io/Logging_0980/tillsynsmail/A 10440-2024 tillsynsbegäran mail.docx", "A 10440-2024")</f>
        <v/>
      </c>
      <c r="Z146">
        <f>HYPERLINK("https://klasma.github.io/Logging_0980/fåglar/A 10440-2024 prioriterade fågelarter.docx", "A 10440-2024")</f>
        <v/>
      </c>
    </row>
    <row r="147" ht="15" customHeight="1">
      <c r="A147" t="inlineStr">
        <is>
          <t>A 44304-2021</t>
        </is>
      </c>
      <c r="B147" s="1" t="n">
        <v>44434</v>
      </c>
      <c r="C147" s="1" t="n">
        <v>46031</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39812-2025</t>
        </is>
      </c>
      <c r="B148" s="1" t="n">
        <v>45891</v>
      </c>
      <c r="C148" s="1" t="n">
        <v>46031</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25977-2024</t>
        </is>
      </c>
      <c r="B149" s="1" t="n">
        <v>45467.69356481481</v>
      </c>
      <c r="C149" s="1" t="n">
        <v>46031</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35467-2021</t>
        </is>
      </c>
      <c r="B150" s="1" t="n">
        <v>44385</v>
      </c>
      <c r="C150" s="1" t="n">
        <v>46031</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65927-2021</t>
        </is>
      </c>
      <c r="B151" s="1" t="n">
        <v>44516</v>
      </c>
      <c r="C151" s="1" t="n">
        <v>46031</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26461-2025</t>
        </is>
      </c>
      <c r="B152" s="1" t="n">
        <v>45807.43337962963</v>
      </c>
      <c r="C152" s="1" t="n">
        <v>46031</v>
      </c>
      <c r="D152" t="inlineStr">
        <is>
          <t>GOTLANDS LÄN</t>
        </is>
      </c>
      <c r="E152" t="inlineStr">
        <is>
          <t>GOTLAND</t>
        </is>
      </c>
      <c r="G152" t="n">
        <v>4.1</v>
      </c>
      <c r="H152" t="n">
        <v>0</v>
      </c>
      <c r="I152" t="n">
        <v>0</v>
      </c>
      <c r="J152" t="n">
        <v>0</v>
      </c>
      <c r="K152" t="n">
        <v>1</v>
      </c>
      <c r="L152" t="n">
        <v>0</v>
      </c>
      <c r="M152" t="n">
        <v>0</v>
      </c>
      <c r="N152" t="n">
        <v>0</v>
      </c>
      <c r="O152" t="n">
        <v>1</v>
      </c>
      <c r="P152" t="n">
        <v>1</v>
      </c>
      <c r="Q152" t="n">
        <v>1</v>
      </c>
      <c r="R152" s="2" t="inlineStr">
        <is>
          <t>Gotlandsmåra</t>
        </is>
      </c>
      <c r="S152">
        <f>HYPERLINK("https://klasma.github.io/Logging_0980/artfynd/A 26461-2025 artfynd.xlsx", "A 26461-2025")</f>
        <v/>
      </c>
      <c r="T152">
        <f>HYPERLINK("https://klasma.github.io/Logging_0980/kartor/A 26461-2025 karta.png", "A 26461-2025")</f>
        <v/>
      </c>
      <c r="V152">
        <f>HYPERLINK("https://klasma.github.io/Logging_0980/klagomål/A 26461-2025 FSC-klagomål.docx", "A 26461-2025")</f>
        <v/>
      </c>
      <c r="W152">
        <f>HYPERLINK("https://klasma.github.io/Logging_0980/klagomålsmail/A 26461-2025 FSC-klagomål mail.docx", "A 26461-2025")</f>
        <v/>
      </c>
      <c r="X152">
        <f>HYPERLINK("https://klasma.github.io/Logging_0980/tillsyn/A 26461-2025 tillsynsbegäran.docx", "A 26461-2025")</f>
        <v/>
      </c>
      <c r="Y152">
        <f>HYPERLINK("https://klasma.github.io/Logging_0980/tillsynsmail/A 26461-2025 tillsynsbegäran mail.docx", "A 26461-2025")</f>
        <v/>
      </c>
    </row>
    <row r="153" ht="15" customHeight="1">
      <c r="A153" t="inlineStr">
        <is>
          <t>A 44619-2025</t>
        </is>
      </c>
      <c r="B153" s="1" t="n">
        <v>45917</v>
      </c>
      <c r="C153" s="1" t="n">
        <v>46031</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61796-2022</t>
        </is>
      </c>
      <c r="B154" s="1" t="n">
        <v>44917</v>
      </c>
      <c r="C154" s="1" t="n">
        <v>46031</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15637-2024</t>
        </is>
      </c>
      <c r="B155" s="1" t="n">
        <v>45403.6684837963</v>
      </c>
      <c r="C155" s="1" t="n">
        <v>46031</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49726-2025</t>
        </is>
      </c>
      <c r="B156" s="1" t="n">
        <v>45939.84466435185</v>
      </c>
      <c r="C156" s="1" t="n">
        <v>46031</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20429-2025</t>
        </is>
      </c>
      <c r="B157" s="1" t="n">
        <v>45775.47728009259</v>
      </c>
      <c r="C157" s="1" t="n">
        <v>46031</v>
      </c>
      <c r="D157" t="inlineStr">
        <is>
          <t>GOTLANDS LÄN</t>
        </is>
      </c>
      <c r="E157" t="inlineStr">
        <is>
          <t>GOTLAND</t>
        </is>
      </c>
      <c r="G157" t="n">
        <v>1.4</v>
      </c>
      <c r="H157" t="n">
        <v>1</v>
      </c>
      <c r="I157" t="n">
        <v>0</v>
      </c>
      <c r="J157" t="n">
        <v>0</v>
      </c>
      <c r="K157" t="n">
        <v>0</v>
      </c>
      <c r="L157" t="n">
        <v>0</v>
      </c>
      <c r="M157" t="n">
        <v>0</v>
      </c>
      <c r="N157" t="n">
        <v>0</v>
      </c>
      <c r="O157" t="n">
        <v>0</v>
      </c>
      <c r="P157" t="n">
        <v>0</v>
      </c>
      <c r="Q157" t="n">
        <v>1</v>
      </c>
      <c r="R157" s="2" t="inlineStr">
        <is>
          <t>Äkta lopplummer</t>
        </is>
      </c>
      <c r="S157">
        <f>HYPERLINK("https://klasma.github.io/Logging_0980/artfynd/A 20429-2025 artfynd.xlsx", "A 20429-2025")</f>
        <v/>
      </c>
      <c r="T157">
        <f>HYPERLINK("https://klasma.github.io/Logging_0980/kartor/A 20429-2025 karta.png", "A 20429-2025")</f>
        <v/>
      </c>
      <c r="V157">
        <f>HYPERLINK("https://klasma.github.io/Logging_0980/klagomål/A 20429-2025 FSC-klagomål.docx", "A 20429-2025")</f>
        <v/>
      </c>
      <c r="W157">
        <f>HYPERLINK("https://klasma.github.io/Logging_0980/klagomålsmail/A 20429-2025 FSC-klagomål mail.docx", "A 20429-2025")</f>
        <v/>
      </c>
      <c r="X157">
        <f>HYPERLINK("https://klasma.github.io/Logging_0980/tillsyn/A 20429-2025 tillsynsbegäran.docx", "A 20429-2025")</f>
        <v/>
      </c>
      <c r="Y157">
        <f>HYPERLINK("https://klasma.github.io/Logging_0980/tillsynsmail/A 20429-2025 tillsynsbegäran mail.docx", "A 20429-2025")</f>
        <v/>
      </c>
    </row>
    <row r="158" ht="15" customHeight="1">
      <c r="A158" t="inlineStr">
        <is>
          <t>A 2476-2025</t>
        </is>
      </c>
      <c r="B158" s="1" t="n">
        <v>45673</v>
      </c>
      <c r="C158" s="1" t="n">
        <v>46031</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46031</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34141-2024</t>
        </is>
      </c>
      <c r="B160" s="1" t="n">
        <v>45524.36229166666</v>
      </c>
      <c r="C160" s="1" t="n">
        <v>46031</v>
      </c>
      <c r="D160" t="inlineStr">
        <is>
          <t>GOTLANDS LÄN</t>
        </is>
      </c>
      <c r="E160" t="inlineStr">
        <is>
          <t>GOTLAND</t>
        </is>
      </c>
      <c r="G160" t="n">
        <v>0.9</v>
      </c>
      <c r="H160" t="n">
        <v>0</v>
      </c>
      <c r="I160" t="n">
        <v>1</v>
      </c>
      <c r="J160" t="n">
        <v>0</v>
      </c>
      <c r="K160" t="n">
        <v>0</v>
      </c>
      <c r="L160" t="n">
        <v>0</v>
      </c>
      <c r="M160" t="n">
        <v>0</v>
      </c>
      <c r="N160" t="n">
        <v>0</v>
      </c>
      <c r="O160" t="n">
        <v>0</v>
      </c>
      <c r="P160" t="n">
        <v>0</v>
      </c>
      <c r="Q160" t="n">
        <v>1</v>
      </c>
      <c r="R160" s="2" t="inlineStr">
        <is>
          <t>Strävlosta</t>
        </is>
      </c>
      <c r="S160">
        <f>HYPERLINK("https://klasma.github.io/Logging_0980/artfynd/A 34141-2024 artfynd.xlsx", "A 34141-2024")</f>
        <v/>
      </c>
      <c r="T160">
        <f>HYPERLINK("https://klasma.github.io/Logging_0980/kartor/A 34141-2024 karta.png", "A 34141-2024")</f>
        <v/>
      </c>
      <c r="V160">
        <f>HYPERLINK("https://klasma.github.io/Logging_0980/klagomål/A 34141-2024 FSC-klagomål.docx", "A 34141-2024")</f>
        <v/>
      </c>
      <c r="W160">
        <f>HYPERLINK("https://klasma.github.io/Logging_0980/klagomålsmail/A 34141-2024 FSC-klagomål mail.docx", "A 34141-2024")</f>
        <v/>
      </c>
      <c r="X160">
        <f>HYPERLINK("https://klasma.github.io/Logging_0980/tillsyn/A 34141-2024 tillsynsbegäran.docx", "A 34141-2024")</f>
        <v/>
      </c>
      <c r="Y160">
        <f>HYPERLINK("https://klasma.github.io/Logging_0980/tillsynsmail/A 34141-2024 tillsynsbegäran mail.docx", "A 34141-2024")</f>
        <v/>
      </c>
    </row>
    <row r="161" ht="15" customHeight="1">
      <c r="A161" t="inlineStr">
        <is>
          <t>A 9862-2024</t>
        </is>
      </c>
      <c r="B161" s="1" t="n">
        <v>45363</v>
      </c>
      <c r="C161" s="1" t="n">
        <v>46031</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62552-2022</t>
        </is>
      </c>
      <c r="B162" s="1" t="n">
        <v>44924</v>
      </c>
      <c r="C162" s="1" t="n">
        <v>46031</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44088-2022</t>
        </is>
      </c>
      <c r="B163" s="1" t="n">
        <v>44839</v>
      </c>
      <c r="C163" s="1" t="n">
        <v>46031</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46031</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46031</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63149-2025</t>
        </is>
      </c>
      <c r="B166" s="1" t="n">
        <v>46010.35664351852</v>
      </c>
      <c r="C166" s="1" t="n">
        <v>46031</v>
      </c>
      <c r="D166" t="inlineStr">
        <is>
          <t>GOTLANDS LÄN</t>
        </is>
      </c>
      <c r="E166" t="inlineStr">
        <is>
          <t>GOTLAND</t>
        </is>
      </c>
      <c r="G166" t="n">
        <v>4.3</v>
      </c>
      <c r="H166" t="n">
        <v>0</v>
      </c>
      <c r="I166" t="n">
        <v>1</v>
      </c>
      <c r="J166" t="n">
        <v>0</v>
      </c>
      <c r="K166" t="n">
        <v>0</v>
      </c>
      <c r="L166" t="n">
        <v>0</v>
      </c>
      <c r="M166" t="n">
        <v>0</v>
      </c>
      <c r="N166" t="n">
        <v>0</v>
      </c>
      <c r="O166" t="n">
        <v>0</v>
      </c>
      <c r="P166" t="n">
        <v>0</v>
      </c>
      <c r="Q166" t="n">
        <v>1</v>
      </c>
      <c r="R166" s="2" t="inlineStr">
        <is>
          <t>Anisspindling</t>
        </is>
      </c>
      <c r="S166">
        <f>HYPERLINK("https://klasma.github.io/Logging_0980/artfynd/A 63149-2025 artfynd.xlsx", "A 63149-2025")</f>
        <v/>
      </c>
      <c r="T166">
        <f>HYPERLINK("https://klasma.github.io/Logging_0980/kartor/A 63149-2025 karta.png", "A 63149-2025")</f>
        <v/>
      </c>
      <c r="V166">
        <f>HYPERLINK("https://klasma.github.io/Logging_0980/klagomål/A 63149-2025 FSC-klagomål.docx", "A 63149-2025")</f>
        <v/>
      </c>
      <c r="W166">
        <f>HYPERLINK("https://klasma.github.io/Logging_0980/klagomålsmail/A 63149-2025 FSC-klagomål mail.docx", "A 63149-2025")</f>
        <v/>
      </c>
      <c r="X166">
        <f>HYPERLINK("https://klasma.github.io/Logging_0980/tillsyn/A 63149-2025 tillsynsbegäran.docx", "A 63149-2025")</f>
        <v/>
      </c>
      <c r="Y166">
        <f>HYPERLINK("https://klasma.github.io/Logging_0980/tillsynsmail/A 63149-2025 tillsynsbegäran mail.docx", "A 63149-2025")</f>
        <v/>
      </c>
    </row>
    <row r="167" ht="15" customHeight="1">
      <c r="A167" t="inlineStr">
        <is>
          <t>A 947-2023</t>
        </is>
      </c>
      <c r="B167" s="1" t="n">
        <v>44934</v>
      </c>
      <c r="C167" s="1" t="n">
        <v>46031</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12924-2025</t>
        </is>
      </c>
      <c r="B168" s="1" t="n">
        <v>45734</v>
      </c>
      <c r="C168" s="1" t="n">
        <v>46031</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49304-2024</t>
        </is>
      </c>
      <c r="B169" s="1" t="n">
        <v>45595.54996527778</v>
      </c>
      <c r="C169" s="1" t="n">
        <v>46031</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46031</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13939-2021</t>
        </is>
      </c>
      <c r="B171" s="1" t="n">
        <v>44277</v>
      </c>
      <c r="C171" s="1" t="n">
        <v>46031</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64700-2021</t>
        </is>
      </c>
      <c r="B172" s="1" t="n">
        <v>44511</v>
      </c>
      <c r="C172" s="1" t="n">
        <v>46031</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27589-2023</t>
        </is>
      </c>
      <c r="B173" s="1" t="n">
        <v>45097</v>
      </c>
      <c r="C173" s="1" t="n">
        <v>46031</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46031</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46031</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46031</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46031</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34809-2024</t>
        </is>
      </c>
      <c r="B178" s="1" t="n">
        <v>45526</v>
      </c>
      <c r="C178" s="1" t="n">
        <v>46031</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46031</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46031</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46031</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46031</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46031</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46031</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46031</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46031</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46031</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46031</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46031</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46031</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46031</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46031</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46031</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46031</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46031</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46031</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46031</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46031</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46031</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46031</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46031</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46031</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46031</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46031</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46031</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46031</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46031</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46031</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46031</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46031</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46031</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46031</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46031</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46031</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46031</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46031</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46031</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46031</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46031</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46031</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46031</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46031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46031</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46031</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46031</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46031</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46031</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46031</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46031</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46031</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46031</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46031</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46031</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46031</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46031</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46031</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46031</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30282-2022</t>
        </is>
      </c>
      <c r="B239" s="1" t="n">
        <v>44760</v>
      </c>
      <c r="C239" s="1" t="n">
        <v>46031</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46031</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9613-2025</t>
        </is>
      </c>
      <c r="B241" s="1" t="n">
        <v>45715</v>
      </c>
      <c r="C241" s="1" t="n">
        <v>46031</v>
      </c>
      <c r="D241" t="inlineStr">
        <is>
          <t>GOTLANDS LÄN</t>
        </is>
      </c>
      <c r="E241" t="inlineStr">
        <is>
          <t>GOTLAND</t>
        </is>
      </c>
      <c r="G241" t="n">
        <v>3.5</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46031</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32330-2024</t>
        </is>
      </c>
      <c r="B243" s="1" t="n">
        <v>45512</v>
      </c>
      <c r="C243" s="1" t="n">
        <v>46031</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46031</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46031</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46031</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22031-2024</t>
        </is>
      </c>
      <c r="B247" s="1" t="n">
        <v>45443.60075231481</v>
      </c>
      <c r="C247" s="1" t="n">
        <v>46031</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63105-2025</t>
        </is>
      </c>
      <c r="B248" s="1" t="n">
        <v>46009.70571759259</v>
      </c>
      <c r="C248" s="1" t="n">
        <v>46031</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62754-2025</t>
        </is>
      </c>
      <c r="B249" s="1" t="n">
        <v>46008.58765046296</v>
      </c>
      <c r="C249" s="1" t="n">
        <v>46031</v>
      </c>
      <c r="D249" t="inlineStr">
        <is>
          <t>GOTLANDS LÄN</t>
        </is>
      </c>
      <c r="E249" t="inlineStr">
        <is>
          <t>GOTLAND</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49314-2024</t>
        </is>
      </c>
      <c r="B250" s="1" t="n">
        <v>45595.55893518519</v>
      </c>
      <c r="C250" s="1" t="n">
        <v>46031</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63000-2025</t>
        </is>
      </c>
      <c r="B251" s="1" t="n">
        <v>46009.56434027778</v>
      </c>
      <c r="C251" s="1" t="n">
        <v>46031</v>
      </c>
      <c r="D251" t="inlineStr">
        <is>
          <t>GOTLANDS LÄN</t>
        </is>
      </c>
      <c r="E251" t="inlineStr">
        <is>
          <t>GOTLAND</t>
        </is>
      </c>
      <c r="F251" t="inlineStr">
        <is>
          <t>Övriga Aktiebolag</t>
        </is>
      </c>
      <c r="G251" t="n">
        <v>1.7</v>
      </c>
      <c r="H251" t="n">
        <v>0</v>
      </c>
      <c r="I251" t="n">
        <v>0</v>
      </c>
      <c r="J251" t="n">
        <v>0</v>
      </c>
      <c r="K251" t="n">
        <v>0</v>
      </c>
      <c r="L251" t="n">
        <v>0</v>
      </c>
      <c r="M251" t="n">
        <v>0</v>
      </c>
      <c r="N251" t="n">
        <v>0</v>
      </c>
      <c r="O251" t="n">
        <v>0</v>
      </c>
      <c r="P251" t="n">
        <v>0</v>
      </c>
      <c r="Q251" t="n">
        <v>0</v>
      </c>
      <c r="R251" s="2" t="inlineStr"/>
    </row>
    <row r="252" ht="15" customHeight="1">
      <c r="A252" t="inlineStr">
        <is>
          <t>A 62836-2025</t>
        </is>
      </c>
      <c r="B252" s="1" t="n">
        <v>46008</v>
      </c>
      <c r="C252" s="1" t="n">
        <v>46031</v>
      </c>
      <c r="D252" t="inlineStr">
        <is>
          <t>GOTLANDS LÄN</t>
        </is>
      </c>
      <c r="E252" t="inlineStr">
        <is>
          <t>GOTLAND</t>
        </is>
      </c>
      <c r="G252" t="n">
        <v>6.5</v>
      </c>
      <c r="H252" t="n">
        <v>0</v>
      </c>
      <c r="I252" t="n">
        <v>0</v>
      </c>
      <c r="J252" t="n">
        <v>0</v>
      </c>
      <c r="K252" t="n">
        <v>0</v>
      </c>
      <c r="L252" t="n">
        <v>0</v>
      </c>
      <c r="M252" t="n">
        <v>0</v>
      </c>
      <c r="N252" t="n">
        <v>0</v>
      </c>
      <c r="O252" t="n">
        <v>0</v>
      </c>
      <c r="P252" t="n">
        <v>0</v>
      </c>
      <c r="Q252" t="n">
        <v>0</v>
      </c>
      <c r="R252" s="2" t="inlineStr"/>
    </row>
    <row r="253" ht="15" customHeight="1">
      <c r="A253" t="inlineStr">
        <is>
          <t>A 56688-2025</t>
        </is>
      </c>
      <c r="B253" s="1" t="n">
        <v>45975.84331018518</v>
      </c>
      <c r="C253" s="1" t="n">
        <v>46031</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44919-2022</t>
        </is>
      </c>
      <c r="B254" s="1" t="n">
        <v>44841</v>
      </c>
      <c r="C254" s="1" t="n">
        <v>46031</v>
      </c>
      <c r="D254" t="inlineStr">
        <is>
          <t>GOTLANDS LÄN</t>
        </is>
      </c>
      <c r="E254" t="inlineStr">
        <is>
          <t>GOTLAND</t>
        </is>
      </c>
      <c r="G254" t="n">
        <v>2.2</v>
      </c>
      <c r="H254" t="n">
        <v>0</v>
      </c>
      <c r="I254" t="n">
        <v>0</v>
      </c>
      <c r="J254" t="n">
        <v>0</v>
      </c>
      <c r="K254" t="n">
        <v>0</v>
      </c>
      <c r="L254" t="n">
        <v>0</v>
      </c>
      <c r="M254" t="n">
        <v>0</v>
      </c>
      <c r="N254" t="n">
        <v>0</v>
      </c>
      <c r="O254" t="n">
        <v>0</v>
      </c>
      <c r="P254" t="n">
        <v>0</v>
      </c>
      <c r="Q254" t="n">
        <v>0</v>
      </c>
      <c r="R254" s="2" t="inlineStr"/>
    </row>
    <row r="255" ht="15" customHeight="1">
      <c r="A255" t="inlineStr">
        <is>
          <t>A 20356-2022</t>
        </is>
      </c>
      <c r="B255" s="1" t="n">
        <v>44699</v>
      </c>
      <c r="C255" s="1" t="n">
        <v>46031</v>
      </c>
      <c r="D255" t="inlineStr">
        <is>
          <t>GOTLANDS LÄN</t>
        </is>
      </c>
      <c r="E255" t="inlineStr">
        <is>
          <t>GOTLAND</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57356-2023</t>
        </is>
      </c>
      <c r="B256" s="1" t="n">
        <v>45240</v>
      </c>
      <c r="C256" s="1" t="n">
        <v>46031</v>
      </c>
      <c r="D256" t="inlineStr">
        <is>
          <t>GOTLANDS LÄN</t>
        </is>
      </c>
      <c r="E256" t="inlineStr">
        <is>
          <t>GOTLAND</t>
        </is>
      </c>
      <c r="G256" t="n">
        <v>6.4</v>
      </c>
      <c r="H256" t="n">
        <v>0</v>
      </c>
      <c r="I256" t="n">
        <v>0</v>
      </c>
      <c r="J256" t="n">
        <v>0</v>
      </c>
      <c r="K256" t="n">
        <v>0</v>
      </c>
      <c r="L256" t="n">
        <v>0</v>
      </c>
      <c r="M256" t="n">
        <v>0</v>
      </c>
      <c r="N256" t="n">
        <v>0</v>
      </c>
      <c r="O256" t="n">
        <v>0</v>
      </c>
      <c r="P256" t="n">
        <v>0</v>
      </c>
      <c r="Q256" t="n">
        <v>0</v>
      </c>
      <c r="R256" s="2" t="inlineStr"/>
    </row>
    <row r="257" ht="15" customHeight="1">
      <c r="A257" t="inlineStr">
        <is>
          <t>A 10656-2024</t>
        </is>
      </c>
      <c r="B257" s="1" t="n">
        <v>45368</v>
      </c>
      <c r="C257" s="1" t="n">
        <v>46031</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28506-2023</t>
        </is>
      </c>
      <c r="B258" s="1" t="n">
        <v>45103</v>
      </c>
      <c r="C258" s="1" t="n">
        <v>46031</v>
      </c>
      <c r="D258" t="inlineStr">
        <is>
          <t>GOTLANDS LÄN</t>
        </is>
      </c>
      <c r="E258" t="inlineStr">
        <is>
          <t>GOTLAND</t>
        </is>
      </c>
      <c r="G258" t="n">
        <v>3.2</v>
      </c>
      <c r="H258" t="n">
        <v>0</v>
      </c>
      <c r="I258" t="n">
        <v>0</v>
      </c>
      <c r="J258" t="n">
        <v>0</v>
      </c>
      <c r="K258" t="n">
        <v>0</v>
      </c>
      <c r="L258" t="n">
        <v>0</v>
      </c>
      <c r="M258" t="n">
        <v>0</v>
      </c>
      <c r="N258" t="n">
        <v>0</v>
      </c>
      <c r="O258" t="n">
        <v>0</v>
      </c>
      <c r="P258" t="n">
        <v>0</v>
      </c>
      <c r="Q258" t="n">
        <v>0</v>
      </c>
      <c r="R258" s="2" t="inlineStr"/>
    </row>
    <row r="259" ht="15" customHeight="1">
      <c r="A259" t="inlineStr">
        <is>
          <t>A 21420-2024</t>
        </is>
      </c>
      <c r="B259" s="1" t="n">
        <v>45441.38293981482</v>
      </c>
      <c r="C259" s="1" t="n">
        <v>46031</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23188-2025</t>
        </is>
      </c>
      <c r="B260" s="1" t="n">
        <v>45791</v>
      </c>
      <c r="C260" s="1" t="n">
        <v>46031</v>
      </c>
      <c r="D260" t="inlineStr">
        <is>
          <t>GOTLANDS LÄN</t>
        </is>
      </c>
      <c r="E260" t="inlineStr">
        <is>
          <t>GOTLAND</t>
        </is>
      </c>
      <c r="G260" t="n">
        <v>6.2</v>
      </c>
      <c r="H260" t="n">
        <v>0</v>
      </c>
      <c r="I260" t="n">
        <v>0</v>
      </c>
      <c r="J260" t="n">
        <v>0</v>
      </c>
      <c r="K260" t="n">
        <v>0</v>
      </c>
      <c r="L260" t="n">
        <v>0</v>
      </c>
      <c r="M260" t="n">
        <v>0</v>
      </c>
      <c r="N260" t="n">
        <v>0</v>
      </c>
      <c r="O260" t="n">
        <v>0</v>
      </c>
      <c r="P260" t="n">
        <v>0</v>
      </c>
      <c r="Q260" t="n">
        <v>0</v>
      </c>
      <c r="R260" s="2" t="inlineStr"/>
    </row>
    <row r="261" ht="15" customHeight="1">
      <c r="A261" t="inlineStr">
        <is>
          <t>A 48503-2023</t>
        </is>
      </c>
      <c r="B261" s="1" t="n">
        <v>45207</v>
      </c>
      <c r="C261" s="1" t="n">
        <v>46031</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23473-2025</t>
        </is>
      </c>
      <c r="B262" s="1" t="n">
        <v>45792</v>
      </c>
      <c r="C262" s="1" t="n">
        <v>46031</v>
      </c>
      <c r="D262" t="inlineStr">
        <is>
          <t>GOTLANDS LÄN</t>
        </is>
      </c>
      <c r="E262" t="inlineStr">
        <is>
          <t>GOTLAND</t>
        </is>
      </c>
      <c r="G262" t="n">
        <v>3.6</v>
      </c>
      <c r="H262" t="n">
        <v>0</v>
      </c>
      <c r="I262" t="n">
        <v>0</v>
      </c>
      <c r="J262" t="n">
        <v>0</v>
      </c>
      <c r="K262" t="n">
        <v>0</v>
      </c>
      <c r="L262" t="n">
        <v>0</v>
      </c>
      <c r="M262" t="n">
        <v>0</v>
      </c>
      <c r="N262" t="n">
        <v>0</v>
      </c>
      <c r="O262" t="n">
        <v>0</v>
      </c>
      <c r="P262" t="n">
        <v>0</v>
      </c>
      <c r="Q262" t="n">
        <v>0</v>
      </c>
      <c r="R262" s="2" t="inlineStr"/>
    </row>
    <row r="263" ht="15" customHeight="1">
      <c r="A263" t="inlineStr">
        <is>
          <t>A 65901-2021</t>
        </is>
      </c>
      <c r="B263" s="1" t="n">
        <v>44516</v>
      </c>
      <c r="C263" s="1" t="n">
        <v>46031</v>
      </c>
      <c r="D263" t="inlineStr">
        <is>
          <t>GOTLANDS LÄN</t>
        </is>
      </c>
      <c r="E263" t="inlineStr">
        <is>
          <t>GOTLAND</t>
        </is>
      </c>
      <c r="G263" t="n">
        <v>4.9</v>
      </c>
      <c r="H263" t="n">
        <v>0</v>
      </c>
      <c r="I263" t="n">
        <v>0</v>
      </c>
      <c r="J263" t="n">
        <v>0</v>
      </c>
      <c r="K263" t="n">
        <v>0</v>
      </c>
      <c r="L263" t="n">
        <v>0</v>
      </c>
      <c r="M263" t="n">
        <v>0</v>
      </c>
      <c r="N263" t="n">
        <v>0</v>
      </c>
      <c r="O263" t="n">
        <v>0</v>
      </c>
      <c r="P263" t="n">
        <v>0</v>
      </c>
      <c r="Q263" t="n">
        <v>0</v>
      </c>
      <c r="R263" s="2" t="inlineStr"/>
    </row>
    <row r="264" ht="15" customHeight="1">
      <c r="A264" t="inlineStr">
        <is>
          <t>A 36-2026</t>
        </is>
      </c>
      <c r="B264" s="1" t="n">
        <v>46024.38886574074</v>
      </c>
      <c r="C264" s="1" t="n">
        <v>46031</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18993-2025</t>
        </is>
      </c>
      <c r="B265" s="1" t="n">
        <v>45764</v>
      </c>
      <c r="C265" s="1" t="n">
        <v>46031</v>
      </c>
      <c r="D265" t="inlineStr">
        <is>
          <t>GOTLANDS LÄN</t>
        </is>
      </c>
      <c r="E265" t="inlineStr">
        <is>
          <t>GOTLAND</t>
        </is>
      </c>
      <c r="G265" t="n">
        <v>3</v>
      </c>
      <c r="H265" t="n">
        <v>0</v>
      </c>
      <c r="I265" t="n">
        <v>0</v>
      </c>
      <c r="J265" t="n">
        <v>0</v>
      </c>
      <c r="K265" t="n">
        <v>0</v>
      </c>
      <c r="L265" t="n">
        <v>0</v>
      </c>
      <c r="M265" t="n">
        <v>0</v>
      </c>
      <c r="N265" t="n">
        <v>0</v>
      </c>
      <c r="O265" t="n">
        <v>0</v>
      </c>
      <c r="P265" t="n">
        <v>0</v>
      </c>
      <c r="Q265" t="n">
        <v>0</v>
      </c>
      <c r="R265" s="2" t="inlineStr"/>
    </row>
    <row r="266" ht="15" customHeight="1">
      <c r="A266" t="inlineStr">
        <is>
          <t>A 44649-2021</t>
        </is>
      </c>
      <c r="B266" s="1" t="n">
        <v>44437</v>
      </c>
      <c r="C266" s="1" t="n">
        <v>46031</v>
      </c>
      <c r="D266" t="inlineStr">
        <is>
          <t>GOTLANDS LÄN</t>
        </is>
      </c>
      <c r="E266" t="inlineStr">
        <is>
          <t>GOTLAND</t>
        </is>
      </c>
      <c r="G266" t="n">
        <v>8.1</v>
      </c>
      <c r="H266" t="n">
        <v>0</v>
      </c>
      <c r="I266" t="n">
        <v>0</v>
      </c>
      <c r="J266" t="n">
        <v>0</v>
      </c>
      <c r="K266" t="n">
        <v>0</v>
      </c>
      <c r="L266" t="n">
        <v>0</v>
      </c>
      <c r="M266" t="n">
        <v>0</v>
      </c>
      <c r="N266" t="n">
        <v>0</v>
      </c>
      <c r="O266" t="n">
        <v>0</v>
      </c>
      <c r="P266" t="n">
        <v>0</v>
      </c>
      <c r="Q266" t="n">
        <v>0</v>
      </c>
      <c r="R266" s="2" t="inlineStr"/>
    </row>
    <row r="267" ht="15" customHeight="1">
      <c r="A267" t="inlineStr">
        <is>
          <t>A 23856-2025</t>
        </is>
      </c>
      <c r="B267" s="1" t="n">
        <v>45793</v>
      </c>
      <c r="C267" s="1" t="n">
        <v>46031</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46031</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9947-2024</t>
        </is>
      </c>
      <c r="B269" s="1" t="n">
        <v>45363</v>
      </c>
      <c r="C269" s="1" t="n">
        <v>46031</v>
      </c>
      <c r="D269" t="inlineStr">
        <is>
          <t>GOTLANDS LÄN</t>
        </is>
      </c>
      <c r="E269" t="inlineStr">
        <is>
          <t>GOTLAND</t>
        </is>
      </c>
      <c r="G269" t="n">
        <v>2</v>
      </c>
      <c r="H269" t="n">
        <v>0</v>
      </c>
      <c r="I269" t="n">
        <v>0</v>
      </c>
      <c r="J269" t="n">
        <v>0</v>
      </c>
      <c r="K269" t="n">
        <v>0</v>
      </c>
      <c r="L269" t="n">
        <v>0</v>
      </c>
      <c r="M269" t="n">
        <v>0</v>
      </c>
      <c r="N269" t="n">
        <v>0</v>
      </c>
      <c r="O269" t="n">
        <v>0</v>
      </c>
      <c r="P269" t="n">
        <v>0</v>
      </c>
      <c r="Q269" t="n">
        <v>0</v>
      </c>
      <c r="R269" s="2" t="inlineStr"/>
    </row>
    <row r="270" ht="15" customHeight="1">
      <c r="A270" t="inlineStr">
        <is>
          <t>A 12599-2025</t>
        </is>
      </c>
      <c r="B270" s="1" t="n">
        <v>45733.29546296296</v>
      </c>
      <c r="C270" s="1" t="n">
        <v>46031</v>
      </c>
      <c r="D270" t="inlineStr">
        <is>
          <t>GOTLANDS LÄN</t>
        </is>
      </c>
      <c r="E270" t="inlineStr">
        <is>
          <t>GOTLAND</t>
        </is>
      </c>
      <c r="G270" t="n">
        <v>4.7</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46031</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35142-2025</t>
        </is>
      </c>
      <c r="B272" s="1" t="n">
        <v>45852.65532407408</v>
      </c>
      <c r="C272" s="1" t="n">
        <v>46031</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15073-2025</t>
        </is>
      </c>
      <c r="B273" s="1" t="n">
        <v>45743</v>
      </c>
      <c r="C273" s="1" t="n">
        <v>46031</v>
      </c>
      <c r="D273" t="inlineStr">
        <is>
          <t>GOTLANDS LÄN</t>
        </is>
      </c>
      <c r="E273" t="inlineStr">
        <is>
          <t>GOTLAND</t>
        </is>
      </c>
      <c r="G273" t="n">
        <v>12.1</v>
      </c>
      <c r="H273" t="n">
        <v>0</v>
      </c>
      <c r="I273" t="n">
        <v>0</v>
      </c>
      <c r="J273" t="n">
        <v>0</v>
      </c>
      <c r="K273" t="n">
        <v>0</v>
      </c>
      <c r="L273" t="n">
        <v>0</v>
      </c>
      <c r="M273" t="n">
        <v>0</v>
      </c>
      <c r="N273" t="n">
        <v>0</v>
      </c>
      <c r="O273" t="n">
        <v>0</v>
      </c>
      <c r="P273" t="n">
        <v>0</v>
      </c>
      <c r="Q273" t="n">
        <v>0</v>
      </c>
      <c r="R273" s="2" t="inlineStr"/>
    </row>
    <row r="274" ht="15" customHeight="1">
      <c r="A274" t="inlineStr">
        <is>
          <t>A 17682-2024</t>
        </is>
      </c>
      <c r="B274" s="1" t="n">
        <v>45418.42966435185</v>
      </c>
      <c r="C274" s="1" t="n">
        <v>46031</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57522-2022</t>
        </is>
      </c>
      <c r="B275" s="1" t="n">
        <v>44896</v>
      </c>
      <c r="C275" s="1" t="n">
        <v>46031</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27593-2023</t>
        </is>
      </c>
      <c r="B276" s="1" t="n">
        <v>45097</v>
      </c>
      <c r="C276" s="1" t="n">
        <v>46031</v>
      </c>
      <c r="D276" t="inlineStr">
        <is>
          <t>GOTLANDS LÄN</t>
        </is>
      </c>
      <c r="E276" t="inlineStr">
        <is>
          <t>GOTLAND</t>
        </is>
      </c>
      <c r="G276" t="n">
        <v>3.1</v>
      </c>
      <c r="H276" t="n">
        <v>0</v>
      </c>
      <c r="I276" t="n">
        <v>0</v>
      </c>
      <c r="J276" t="n">
        <v>0</v>
      </c>
      <c r="K276" t="n">
        <v>0</v>
      </c>
      <c r="L276" t="n">
        <v>0</v>
      </c>
      <c r="M276" t="n">
        <v>0</v>
      </c>
      <c r="N276" t="n">
        <v>0</v>
      </c>
      <c r="O276" t="n">
        <v>0</v>
      </c>
      <c r="P276" t="n">
        <v>0</v>
      </c>
      <c r="Q276" t="n">
        <v>0</v>
      </c>
      <c r="R276" s="2" t="inlineStr"/>
    </row>
    <row r="277" ht="15" customHeight="1">
      <c r="A277" t="inlineStr">
        <is>
          <t>A 39819-2025</t>
        </is>
      </c>
      <c r="B277" s="1" t="n">
        <v>45891.53418981482</v>
      </c>
      <c r="C277" s="1" t="n">
        <v>46031</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6749-2025</t>
        </is>
      </c>
      <c r="B278" s="1" t="n">
        <v>45700</v>
      </c>
      <c r="C278" s="1" t="n">
        <v>46031</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39814-2025</t>
        </is>
      </c>
      <c r="B279" s="1" t="n">
        <v>45891.52694444444</v>
      </c>
      <c r="C279" s="1" t="n">
        <v>46031</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39849-2025</t>
        </is>
      </c>
      <c r="B280" s="1" t="n">
        <v>45891.58502314815</v>
      </c>
      <c r="C280" s="1" t="n">
        <v>46031</v>
      </c>
      <c r="D280" t="inlineStr">
        <is>
          <t>GOTLANDS LÄN</t>
        </is>
      </c>
      <c r="E280" t="inlineStr">
        <is>
          <t>GOTLAND</t>
        </is>
      </c>
      <c r="G280" t="n">
        <v>6.1</v>
      </c>
      <c r="H280" t="n">
        <v>0</v>
      </c>
      <c r="I280" t="n">
        <v>0</v>
      </c>
      <c r="J280" t="n">
        <v>0</v>
      </c>
      <c r="K280" t="n">
        <v>0</v>
      </c>
      <c r="L280" t="n">
        <v>0</v>
      </c>
      <c r="M280" t="n">
        <v>0</v>
      </c>
      <c r="N280" t="n">
        <v>0</v>
      </c>
      <c r="O280" t="n">
        <v>0</v>
      </c>
      <c r="P280" t="n">
        <v>0</v>
      </c>
      <c r="Q280" t="n">
        <v>0</v>
      </c>
      <c r="R280" s="2" t="inlineStr"/>
    </row>
    <row r="281" ht="15" customHeight="1">
      <c r="A281" t="inlineStr">
        <is>
          <t>A 39752-2025</t>
        </is>
      </c>
      <c r="B281" s="1" t="n">
        <v>45891</v>
      </c>
      <c r="C281" s="1" t="n">
        <v>46031</v>
      </c>
      <c r="D281" t="inlineStr">
        <is>
          <t>GOTLANDS LÄN</t>
        </is>
      </c>
      <c r="E281" t="inlineStr">
        <is>
          <t>GOTLAND</t>
        </is>
      </c>
      <c r="G281" t="n">
        <v>5.3</v>
      </c>
      <c r="H281" t="n">
        <v>0</v>
      </c>
      <c r="I281" t="n">
        <v>0</v>
      </c>
      <c r="J281" t="n">
        <v>0</v>
      </c>
      <c r="K281" t="n">
        <v>0</v>
      </c>
      <c r="L281" t="n">
        <v>0</v>
      </c>
      <c r="M281" t="n">
        <v>0</v>
      </c>
      <c r="N281" t="n">
        <v>0</v>
      </c>
      <c r="O281" t="n">
        <v>0</v>
      </c>
      <c r="P281" t="n">
        <v>0</v>
      </c>
      <c r="Q281" t="n">
        <v>0</v>
      </c>
      <c r="R281" s="2" t="inlineStr"/>
    </row>
    <row r="282" ht="15" customHeight="1">
      <c r="A282" t="inlineStr">
        <is>
          <t>A 38649-2025</t>
        </is>
      </c>
      <c r="B282" s="1" t="n">
        <v>45884</v>
      </c>
      <c r="C282" s="1" t="n">
        <v>46031</v>
      </c>
      <c r="D282" t="inlineStr">
        <is>
          <t>GOTLANDS LÄN</t>
        </is>
      </c>
      <c r="E282" t="inlineStr">
        <is>
          <t>GOTLAND</t>
        </is>
      </c>
      <c r="G282" t="n">
        <v>1.5</v>
      </c>
      <c r="H282" t="n">
        <v>0</v>
      </c>
      <c r="I282" t="n">
        <v>0</v>
      </c>
      <c r="J282" t="n">
        <v>0</v>
      </c>
      <c r="K282" t="n">
        <v>0</v>
      </c>
      <c r="L282" t="n">
        <v>0</v>
      </c>
      <c r="M282" t="n">
        <v>0</v>
      </c>
      <c r="N282" t="n">
        <v>0</v>
      </c>
      <c r="O282" t="n">
        <v>0</v>
      </c>
      <c r="P282" t="n">
        <v>0</v>
      </c>
      <c r="Q282" t="n">
        <v>0</v>
      </c>
      <c r="R282" s="2" t="inlineStr"/>
    </row>
    <row r="283" ht="15" customHeight="1">
      <c r="A283" t="inlineStr">
        <is>
          <t>A 23698-2025</t>
        </is>
      </c>
      <c r="B283" s="1" t="n">
        <v>45793</v>
      </c>
      <c r="C283" s="1" t="n">
        <v>46031</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39816-2025</t>
        </is>
      </c>
      <c r="B284" s="1" t="n">
        <v>45891</v>
      </c>
      <c r="C284" s="1" t="n">
        <v>46031</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40103-2025</t>
        </is>
      </c>
      <c r="B285" s="1" t="n">
        <v>45894.4880324074</v>
      </c>
      <c r="C285" s="1" t="n">
        <v>46031</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63516-2023</t>
        </is>
      </c>
      <c r="B286" s="1" t="n">
        <v>45274</v>
      </c>
      <c r="C286" s="1" t="n">
        <v>46031</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46031</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46031</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46031</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39278-2025</t>
        </is>
      </c>
      <c r="B290" s="1" t="n">
        <v>45889</v>
      </c>
      <c r="C290" s="1" t="n">
        <v>46031</v>
      </c>
      <c r="D290" t="inlineStr">
        <is>
          <t>GOTLANDS LÄN</t>
        </is>
      </c>
      <c r="E290" t="inlineStr">
        <is>
          <t>GOTLAND</t>
        </is>
      </c>
      <c r="G290" t="n">
        <v>3.7</v>
      </c>
      <c r="H290" t="n">
        <v>0</v>
      </c>
      <c r="I290" t="n">
        <v>0</v>
      </c>
      <c r="J290" t="n">
        <v>0</v>
      </c>
      <c r="K290" t="n">
        <v>0</v>
      </c>
      <c r="L290" t="n">
        <v>0</v>
      </c>
      <c r="M290" t="n">
        <v>0</v>
      </c>
      <c r="N290" t="n">
        <v>0</v>
      </c>
      <c r="O290" t="n">
        <v>0</v>
      </c>
      <c r="P290" t="n">
        <v>0</v>
      </c>
      <c r="Q290" t="n">
        <v>0</v>
      </c>
      <c r="R290" s="2" t="inlineStr"/>
    </row>
    <row r="291" ht="15" customHeight="1">
      <c r="A291" t="inlineStr">
        <is>
          <t>A 24001-2021</t>
        </is>
      </c>
      <c r="B291" s="1" t="n">
        <v>44335</v>
      </c>
      <c r="C291" s="1" t="n">
        <v>46031</v>
      </c>
      <c r="D291" t="inlineStr">
        <is>
          <t>GOTLANDS LÄN</t>
        </is>
      </c>
      <c r="E291" t="inlineStr">
        <is>
          <t>GOTLAND</t>
        </is>
      </c>
      <c r="G291" t="n">
        <v>3.4</v>
      </c>
      <c r="H291" t="n">
        <v>0</v>
      </c>
      <c r="I291" t="n">
        <v>0</v>
      </c>
      <c r="J291" t="n">
        <v>0</v>
      </c>
      <c r="K291" t="n">
        <v>0</v>
      </c>
      <c r="L291" t="n">
        <v>0</v>
      </c>
      <c r="M291" t="n">
        <v>0</v>
      </c>
      <c r="N291" t="n">
        <v>0</v>
      </c>
      <c r="O291" t="n">
        <v>0</v>
      </c>
      <c r="P291" t="n">
        <v>0</v>
      </c>
      <c r="Q291" t="n">
        <v>0</v>
      </c>
      <c r="R291" s="2" t="inlineStr"/>
    </row>
    <row r="292" ht="15" customHeight="1">
      <c r="A292" t="inlineStr">
        <is>
          <t>A 47147-2025</t>
        </is>
      </c>
      <c r="B292" s="1" t="n">
        <v>45929</v>
      </c>
      <c r="C292" s="1" t="n">
        <v>46031</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59197-2025</t>
        </is>
      </c>
      <c r="B293" s="1" t="n">
        <v>45988.59846064815</v>
      </c>
      <c r="C293" s="1" t="n">
        <v>46031</v>
      </c>
      <c r="D293" t="inlineStr">
        <is>
          <t>GOTLANDS LÄN</t>
        </is>
      </c>
      <c r="E293" t="inlineStr">
        <is>
          <t>GOTLAND</t>
        </is>
      </c>
      <c r="G293" t="n">
        <v>2.3</v>
      </c>
      <c r="H293" t="n">
        <v>0</v>
      </c>
      <c r="I293" t="n">
        <v>0</v>
      </c>
      <c r="J293" t="n">
        <v>0</v>
      </c>
      <c r="K293" t="n">
        <v>0</v>
      </c>
      <c r="L293" t="n">
        <v>0</v>
      </c>
      <c r="M293" t="n">
        <v>0</v>
      </c>
      <c r="N293" t="n">
        <v>0</v>
      </c>
      <c r="O293" t="n">
        <v>0</v>
      </c>
      <c r="P293" t="n">
        <v>0</v>
      </c>
      <c r="Q293" t="n">
        <v>0</v>
      </c>
      <c r="R293" s="2" t="inlineStr"/>
    </row>
    <row r="294" ht="15" customHeight="1">
      <c r="A294" t="inlineStr">
        <is>
          <t>A 41435-2025</t>
        </is>
      </c>
      <c r="B294" s="1" t="n">
        <v>45901.39974537037</v>
      </c>
      <c r="C294" s="1" t="n">
        <v>46031</v>
      </c>
      <c r="D294" t="inlineStr">
        <is>
          <t>GOTLANDS LÄN</t>
        </is>
      </c>
      <c r="E294" t="inlineStr">
        <is>
          <t>GOTLAND</t>
        </is>
      </c>
      <c r="G294" t="n">
        <v>4.9</v>
      </c>
      <c r="H294" t="n">
        <v>0</v>
      </c>
      <c r="I294" t="n">
        <v>0</v>
      </c>
      <c r="J294" t="n">
        <v>0</v>
      </c>
      <c r="K294" t="n">
        <v>0</v>
      </c>
      <c r="L294" t="n">
        <v>0</v>
      </c>
      <c r="M294" t="n">
        <v>0</v>
      </c>
      <c r="N294" t="n">
        <v>0</v>
      </c>
      <c r="O294" t="n">
        <v>0</v>
      </c>
      <c r="P294" t="n">
        <v>0</v>
      </c>
      <c r="Q294" t="n">
        <v>0</v>
      </c>
      <c r="R294" s="2" t="inlineStr"/>
    </row>
    <row r="295" ht="15" customHeight="1">
      <c r="A295" t="inlineStr">
        <is>
          <t>A 30365-2024</t>
        </is>
      </c>
      <c r="B295" s="1" t="n">
        <v>45491.3716087963</v>
      </c>
      <c r="C295" s="1" t="n">
        <v>46031</v>
      </c>
      <c r="D295" t="inlineStr">
        <is>
          <t>GOTLANDS LÄN</t>
        </is>
      </c>
      <c r="E295" t="inlineStr">
        <is>
          <t>GOTLAND</t>
        </is>
      </c>
      <c r="G295" t="n">
        <v>0.5</v>
      </c>
      <c r="H295" t="n">
        <v>0</v>
      </c>
      <c r="I295" t="n">
        <v>0</v>
      </c>
      <c r="J295" t="n">
        <v>0</v>
      </c>
      <c r="K295" t="n">
        <v>0</v>
      </c>
      <c r="L295" t="n">
        <v>0</v>
      </c>
      <c r="M295" t="n">
        <v>0</v>
      </c>
      <c r="N295" t="n">
        <v>0</v>
      </c>
      <c r="O295" t="n">
        <v>0</v>
      </c>
      <c r="P295" t="n">
        <v>0</v>
      </c>
      <c r="Q295" t="n">
        <v>0</v>
      </c>
      <c r="R295" s="2" t="inlineStr"/>
    </row>
    <row r="296" ht="15" customHeight="1">
      <c r="A296" t="inlineStr">
        <is>
          <t>A 1681-2023</t>
        </is>
      </c>
      <c r="B296" s="1" t="n">
        <v>44938.39715277778</v>
      </c>
      <c r="C296" s="1" t="n">
        <v>46031</v>
      </c>
      <c r="D296" t="inlineStr">
        <is>
          <t>GOTLANDS LÄN</t>
        </is>
      </c>
      <c r="E296" t="inlineStr">
        <is>
          <t>GOTLAND</t>
        </is>
      </c>
      <c r="G296" t="n">
        <v>2.4</v>
      </c>
      <c r="H296" t="n">
        <v>0</v>
      </c>
      <c r="I296" t="n">
        <v>0</v>
      </c>
      <c r="J296" t="n">
        <v>0</v>
      </c>
      <c r="K296" t="n">
        <v>0</v>
      </c>
      <c r="L296" t="n">
        <v>0</v>
      </c>
      <c r="M296" t="n">
        <v>0</v>
      </c>
      <c r="N296" t="n">
        <v>0</v>
      </c>
      <c r="O296" t="n">
        <v>0</v>
      </c>
      <c r="P296" t="n">
        <v>0</v>
      </c>
      <c r="Q296" t="n">
        <v>0</v>
      </c>
      <c r="R296" s="2" t="inlineStr"/>
    </row>
    <row r="297" ht="15" customHeight="1">
      <c r="A297" t="inlineStr">
        <is>
          <t>A 41551-2025</t>
        </is>
      </c>
      <c r="B297" s="1" t="n">
        <v>45901.58854166666</v>
      </c>
      <c r="C297" s="1" t="n">
        <v>46031</v>
      </c>
      <c r="D297" t="inlineStr">
        <is>
          <t>GOTLANDS LÄN</t>
        </is>
      </c>
      <c r="E297" t="inlineStr">
        <is>
          <t>GOTLAND</t>
        </is>
      </c>
      <c r="G297" t="n">
        <v>5.6</v>
      </c>
      <c r="H297" t="n">
        <v>0</v>
      </c>
      <c r="I297" t="n">
        <v>0</v>
      </c>
      <c r="J297" t="n">
        <v>0</v>
      </c>
      <c r="K297" t="n">
        <v>0</v>
      </c>
      <c r="L297" t="n">
        <v>0</v>
      </c>
      <c r="M297" t="n">
        <v>0</v>
      </c>
      <c r="N297" t="n">
        <v>0</v>
      </c>
      <c r="O297" t="n">
        <v>0</v>
      </c>
      <c r="P297" t="n">
        <v>0</v>
      </c>
      <c r="Q297" t="n">
        <v>0</v>
      </c>
      <c r="R297" s="2" t="inlineStr"/>
    </row>
    <row r="298" ht="15" customHeight="1">
      <c r="A298" t="inlineStr">
        <is>
          <t>A 6099-2024</t>
        </is>
      </c>
      <c r="B298" s="1" t="n">
        <v>45337</v>
      </c>
      <c r="C298" s="1" t="n">
        <v>46031</v>
      </c>
      <c r="D298" t="inlineStr">
        <is>
          <t>GOTLANDS LÄN</t>
        </is>
      </c>
      <c r="E298" t="inlineStr">
        <is>
          <t>GOTLAND</t>
        </is>
      </c>
      <c r="G298" t="n">
        <v>12.6</v>
      </c>
      <c r="H298" t="n">
        <v>0</v>
      </c>
      <c r="I298" t="n">
        <v>0</v>
      </c>
      <c r="J298" t="n">
        <v>0</v>
      </c>
      <c r="K298" t="n">
        <v>0</v>
      </c>
      <c r="L298" t="n">
        <v>0</v>
      </c>
      <c r="M298" t="n">
        <v>0</v>
      </c>
      <c r="N298" t="n">
        <v>0</v>
      </c>
      <c r="O298" t="n">
        <v>0</v>
      </c>
      <c r="P298" t="n">
        <v>0</v>
      </c>
      <c r="Q298" t="n">
        <v>0</v>
      </c>
      <c r="R298" s="2" t="inlineStr"/>
    </row>
    <row r="299" ht="15" customHeight="1">
      <c r="A299" t="inlineStr">
        <is>
          <t>A 5462-2025</t>
        </is>
      </c>
      <c r="B299" s="1" t="n">
        <v>45693.29331018519</v>
      </c>
      <c r="C299" s="1" t="n">
        <v>46031</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1273-2023</t>
        </is>
      </c>
      <c r="B300" s="1" t="n">
        <v>44936</v>
      </c>
      <c r="C300" s="1" t="n">
        <v>46031</v>
      </c>
      <c r="D300" t="inlineStr">
        <is>
          <t>GOTLANDS LÄN</t>
        </is>
      </c>
      <c r="E300" t="inlineStr">
        <is>
          <t>GOTLAND</t>
        </is>
      </c>
      <c r="G300" t="n">
        <v>4.5</v>
      </c>
      <c r="H300" t="n">
        <v>0</v>
      </c>
      <c r="I300" t="n">
        <v>0</v>
      </c>
      <c r="J300" t="n">
        <v>0</v>
      </c>
      <c r="K300" t="n">
        <v>0</v>
      </c>
      <c r="L300" t="n">
        <v>0</v>
      </c>
      <c r="M300" t="n">
        <v>0</v>
      </c>
      <c r="N300" t="n">
        <v>0</v>
      </c>
      <c r="O300" t="n">
        <v>0</v>
      </c>
      <c r="P300" t="n">
        <v>0</v>
      </c>
      <c r="Q300" t="n">
        <v>0</v>
      </c>
      <c r="R300" s="2" t="inlineStr"/>
    </row>
    <row r="301" ht="15" customHeight="1">
      <c r="A301" t="inlineStr">
        <is>
          <t>A 58780-2024</t>
        </is>
      </c>
      <c r="B301" s="1" t="n">
        <v>45635.84113425926</v>
      </c>
      <c r="C301" s="1" t="n">
        <v>46031</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45692-2023</t>
        </is>
      </c>
      <c r="B302" s="1" t="n">
        <v>45195</v>
      </c>
      <c r="C302" s="1" t="n">
        <v>46031</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33876-2024</t>
        </is>
      </c>
      <c r="B303" s="1" t="n">
        <v>45521.87988425926</v>
      </c>
      <c r="C303" s="1" t="n">
        <v>46031</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42608-2025</t>
        </is>
      </c>
      <c r="B304" s="1" t="n">
        <v>45905</v>
      </c>
      <c r="C304" s="1" t="n">
        <v>46031</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28285-2024</t>
        </is>
      </c>
      <c r="B305" s="1" t="n">
        <v>45477</v>
      </c>
      <c r="C305" s="1" t="n">
        <v>46031</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61100-2022</t>
        </is>
      </c>
      <c r="B306" s="1" t="n">
        <v>44915</v>
      </c>
      <c r="C306" s="1" t="n">
        <v>46031</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61682-2024</t>
        </is>
      </c>
      <c r="B307" s="1" t="n">
        <v>45647.48824074074</v>
      </c>
      <c r="C307" s="1" t="n">
        <v>46031</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16373-2025</t>
        </is>
      </c>
      <c r="B308" s="1" t="n">
        <v>45751</v>
      </c>
      <c r="C308" s="1" t="n">
        <v>46031</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25796-2025</t>
        </is>
      </c>
      <c r="B309" s="1" t="n">
        <v>45804.39543981481</v>
      </c>
      <c r="C309" s="1" t="n">
        <v>46031</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46031</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43911-2025</t>
        </is>
      </c>
      <c r="B311" s="1" t="n">
        <v>45914.3881712963</v>
      </c>
      <c r="C311" s="1" t="n">
        <v>46031</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26457-2025</t>
        </is>
      </c>
      <c r="B312" s="1" t="n">
        <v>45807.42773148148</v>
      </c>
      <c r="C312" s="1" t="n">
        <v>46031</v>
      </c>
      <c r="D312" t="inlineStr">
        <is>
          <t>GOTLANDS LÄN</t>
        </is>
      </c>
      <c r="E312" t="inlineStr">
        <is>
          <t>GOTLAND</t>
        </is>
      </c>
      <c r="G312" t="n">
        <v>5.7</v>
      </c>
      <c r="H312" t="n">
        <v>0</v>
      </c>
      <c r="I312" t="n">
        <v>0</v>
      </c>
      <c r="J312" t="n">
        <v>0</v>
      </c>
      <c r="K312" t="n">
        <v>0</v>
      </c>
      <c r="L312" t="n">
        <v>0</v>
      </c>
      <c r="M312" t="n">
        <v>0</v>
      </c>
      <c r="N312" t="n">
        <v>0</v>
      </c>
      <c r="O312" t="n">
        <v>0</v>
      </c>
      <c r="P312" t="n">
        <v>0</v>
      </c>
      <c r="Q312" t="n">
        <v>0</v>
      </c>
      <c r="R312" s="2" t="inlineStr"/>
    </row>
    <row r="313" ht="15" customHeight="1">
      <c r="A313" t="inlineStr">
        <is>
          <t>A 26467-2025</t>
        </is>
      </c>
      <c r="B313" s="1" t="n">
        <v>45807.44640046296</v>
      </c>
      <c r="C313" s="1" t="n">
        <v>46031</v>
      </c>
      <c r="D313" t="inlineStr">
        <is>
          <t>GOTLANDS LÄN</t>
        </is>
      </c>
      <c r="E313" t="inlineStr">
        <is>
          <t>GOTLAND</t>
        </is>
      </c>
      <c r="G313" t="n">
        <v>0.7</v>
      </c>
      <c r="H313" t="n">
        <v>0</v>
      </c>
      <c r="I313" t="n">
        <v>0</v>
      </c>
      <c r="J313" t="n">
        <v>0</v>
      </c>
      <c r="K313" t="n">
        <v>0</v>
      </c>
      <c r="L313" t="n">
        <v>0</v>
      </c>
      <c r="M313" t="n">
        <v>0</v>
      </c>
      <c r="N313" t="n">
        <v>0</v>
      </c>
      <c r="O313" t="n">
        <v>0</v>
      </c>
      <c r="P313" t="n">
        <v>0</v>
      </c>
      <c r="Q313" t="n">
        <v>0</v>
      </c>
      <c r="R313" s="2" t="inlineStr"/>
    </row>
    <row r="314" ht="15" customHeight="1">
      <c r="A314" t="inlineStr">
        <is>
          <t>A 44410-2025</t>
        </is>
      </c>
      <c r="B314" s="1" t="n">
        <v>45916.53699074074</v>
      </c>
      <c r="C314" s="1" t="n">
        <v>46031</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26465-2025</t>
        </is>
      </c>
      <c r="B315" s="1" t="n">
        <v>45807.44377314814</v>
      </c>
      <c r="C315" s="1" t="n">
        <v>46031</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26660-2025</t>
        </is>
      </c>
      <c r="B316" s="1" t="n">
        <v>45810.39737268518</v>
      </c>
      <c r="C316" s="1" t="n">
        <v>46031</v>
      </c>
      <c r="D316" t="inlineStr">
        <is>
          <t>GOTLANDS LÄN</t>
        </is>
      </c>
      <c r="E316" t="inlineStr">
        <is>
          <t>GOTLAND</t>
        </is>
      </c>
      <c r="G316" t="n">
        <v>1.8</v>
      </c>
      <c r="H316" t="n">
        <v>0</v>
      </c>
      <c r="I316" t="n">
        <v>0</v>
      </c>
      <c r="J316" t="n">
        <v>0</v>
      </c>
      <c r="K316" t="n">
        <v>0</v>
      </c>
      <c r="L316" t="n">
        <v>0</v>
      </c>
      <c r="M316" t="n">
        <v>0</v>
      </c>
      <c r="N316" t="n">
        <v>0</v>
      </c>
      <c r="O316" t="n">
        <v>0</v>
      </c>
      <c r="P316" t="n">
        <v>0</v>
      </c>
      <c r="Q316" t="n">
        <v>0</v>
      </c>
      <c r="R316" s="2" t="inlineStr"/>
    </row>
    <row r="317" ht="15" customHeight="1">
      <c r="A317" t="inlineStr">
        <is>
          <t>A 43951-2025</t>
        </is>
      </c>
      <c r="B317" s="1" t="n">
        <v>45915.38119212963</v>
      </c>
      <c r="C317" s="1" t="n">
        <v>46031</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58388-2022</t>
        </is>
      </c>
      <c r="B318" s="1" t="n">
        <v>44894</v>
      </c>
      <c r="C318" s="1" t="n">
        <v>46031</v>
      </c>
      <c r="D318" t="inlineStr">
        <is>
          <t>GOTLANDS LÄN</t>
        </is>
      </c>
      <c r="E318" t="inlineStr">
        <is>
          <t>GOTLAND</t>
        </is>
      </c>
      <c r="F318" t="inlineStr">
        <is>
          <t>Övriga statliga verk och myndigheter</t>
        </is>
      </c>
      <c r="G318" t="n">
        <v>3.1</v>
      </c>
      <c r="H318" t="n">
        <v>0</v>
      </c>
      <c r="I318" t="n">
        <v>0</v>
      </c>
      <c r="J318" t="n">
        <v>0</v>
      </c>
      <c r="K318" t="n">
        <v>0</v>
      </c>
      <c r="L318" t="n">
        <v>0</v>
      </c>
      <c r="M318" t="n">
        <v>0</v>
      </c>
      <c r="N318" t="n">
        <v>0</v>
      </c>
      <c r="O318" t="n">
        <v>0</v>
      </c>
      <c r="P318" t="n">
        <v>0</v>
      </c>
      <c r="Q318" t="n">
        <v>0</v>
      </c>
      <c r="R318" s="2" t="inlineStr"/>
    </row>
    <row r="319" ht="15" customHeight="1">
      <c r="A319" t="inlineStr">
        <is>
          <t>A 44405-2025</t>
        </is>
      </c>
      <c r="B319" s="1" t="n">
        <v>45916.52405092592</v>
      </c>
      <c r="C319" s="1" t="n">
        <v>46031</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21792-2024</t>
        </is>
      </c>
      <c r="B320" s="1" t="n">
        <v>45442.64326388889</v>
      </c>
      <c r="C320" s="1" t="n">
        <v>46031</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17688-2024</t>
        </is>
      </c>
      <c r="B321" s="1" t="n">
        <v>45418.43575231481</v>
      </c>
      <c r="C321" s="1" t="n">
        <v>46031</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27371-2025</t>
        </is>
      </c>
      <c r="B322" s="1" t="n">
        <v>45812</v>
      </c>
      <c r="C322" s="1" t="n">
        <v>46031</v>
      </c>
      <c r="D322" t="inlineStr">
        <is>
          <t>GOTLANDS LÄN</t>
        </is>
      </c>
      <c r="E322" t="inlineStr">
        <is>
          <t>GOTLAND</t>
        </is>
      </c>
      <c r="G322" t="n">
        <v>8</v>
      </c>
      <c r="H322" t="n">
        <v>0</v>
      </c>
      <c r="I322" t="n">
        <v>0</v>
      </c>
      <c r="J322" t="n">
        <v>0</v>
      </c>
      <c r="K322" t="n">
        <v>0</v>
      </c>
      <c r="L322" t="n">
        <v>0</v>
      </c>
      <c r="M322" t="n">
        <v>0</v>
      </c>
      <c r="N322" t="n">
        <v>0</v>
      </c>
      <c r="O322" t="n">
        <v>0</v>
      </c>
      <c r="P322" t="n">
        <v>0</v>
      </c>
      <c r="Q322" t="n">
        <v>0</v>
      </c>
      <c r="R322" s="2" t="inlineStr"/>
    </row>
    <row r="323" ht="15" customHeight="1">
      <c r="A323" t="inlineStr">
        <is>
          <t>A 27355-2025</t>
        </is>
      </c>
      <c r="B323" s="1" t="n">
        <v>45812</v>
      </c>
      <c r="C323" s="1" t="n">
        <v>46031</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7837-2024</t>
        </is>
      </c>
      <c r="B324" s="1" t="n">
        <v>45349.83787037037</v>
      </c>
      <c r="C324" s="1" t="n">
        <v>46031</v>
      </c>
      <c r="D324" t="inlineStr">
        <is>
          <t>GOTLANDS LÄN</t>
        </is>
      </c>
      <c r="E324" t="inlineStr">
        <is>
          <t>GOTLAND</t>
        </is>
      </c>
      <c r="G324" t="n">
        <v>5</v>
      </c>
      <c r="H324" t="n">
        <v>0</v>
      </c>
      <c r="I324" t="n">
        <v>0</v>
      </c>
      <c r="J324" t="n">
        <v>0</v>
      </c>
      <c r="K324" t="n">
        <v>0</v>
      </c>
      <c r="L324" t="n">
        <v>0</v>
      </c>
      <c r="M324" t="n">
        <v>0</v>
      </c>
      <c r="N324" t="n">
        <v>0</v>
      </c>
      <c r="O324" t="n">
        <v>0</v>
      </c>
      <c r="P324" t="n">
        <v>0</v>
      </c>
      <c r="Q324" t="n">
        <v>0</v>
      </c>
      <c r="R324" s="2" t="inlineStr"/>
    </row>
    <row r="325" ht="15" customHeight="1">
      <c r="A325" t="inlineStr">
        <is>
          <t>A 6739-2025</t>
        </is>
      </c>
      <c r="B325" s="1" t="n">
        <v>45700</v>
      </c>
      <c r="C325" s="1" t="n">
        <v>46031</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7850-2025</t>
        </is>
      </c>
      <c r="B326" s="1" t="n">
        <v>45706</v>
      </c>
      <c r="C326" s="1" t="n">
        <v>46031</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4568-2025</t>
        </is>
      </c>
      <c r="B327" s="1" t="n">
        <v>45687</v>
      </c>
      <c r="C327" s="1" t="n">
        <v>46031</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35512-2023</t>
        </is>
      </c>
      <c r="B328" s="1" t="n">
        <v>45147.25623842593</v>
      </c>
      <c r="C328" s="1" t="n">
        <v>46031</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5905-2024</t>
        </is>
      </c>
      <c r="B329" s="1" t="n">
        <v>45335.88993055555</v>
      </c>
      <c r="C329" s="1" t="n">
        <v>46031</v>
      </c>
      <c r="D329" t="inlineStr">
        <is>
          <t>GOTLANDS LÄN</t>
        </is>
      </c>
      <c r="E329" t="inlineStr">
        <is>
          <t>GOTLAND</t>
        </is>
      </c>
      <c r="G329" t="n">
        <v>3</v>
      </c>
      <c r="H329" t="n">
        <v>0</v>
      </c>
      <c r="I329" t="n">
        <v>0</v>
      </c>
      <c r="J329" t="n">
        <v>0</v>
      </c>
      <c r="K329" t="n">
        <v>0</v>
      </c>
      <c r="L329" t="n">
        <v>0</v>
      </c>
      <c r="M329" t="n">
        <v>0</v>
      </c>
      <c r="N329" t="n">
        <v>0</v>
      </c>
      <c r="O329" t="n">
        <v>0</v>
      </c>
      <c r="P329" t="n">
        <v>0</v>
      </c>
      <c r="Q329" t="n">
        <v>0</v>
      </c>
      <c r="R329" s="2" t="inlineStr"/>
    </row>
    <row r="330" ht="15" customHeight="1">
      <c r="A330" t="inlineStr">
        <is>
          <t>A 8444-2025</t>
        </is>
      </c>
      <c r="B330" s="1" t="n">
        <v>45709</v>
      </c>
      <c r="C330" s="1" t="n">
        <v>46031</v>
      </c>
      <c r="D330" t="inlineStr">
        <is>
          <t>GOTLANDS LÄN</t>
        </is>
      </c>
      <c r="E330" t="inlineStr">
        <is>
          <t>GOTLAND</t>
        </is>
      </c>
      <c r="G330" t="n">
        <v>5.2</v>
      </c>
      <c r="H330" t="n">
        <v>0</v>
      </c>
      <c r="I330" t="n">
        <v>0</v>
      </c>
      <c r="J330" t="n">
        <v>0</v>
      </c>
      <c r="K330" t="n">
        <v>0</v>
      </c>
      <c r="L330" t="n">
        <v>0</v>
      </c>
      <c r="M330" t="n">
        <v>0</v>
      </c>
      <c r="N330" t="n">
        <v>0</v>
      </c>
      <c r="O330" t="n">
        <v>0</v>
      </c>
      <c r="P330" t="n">
        <v>0</v>
      </c>
      <c r="Q330" t="n">
        <v>0</v>
      </c>
      <c r="R330" s="2" t="inlineStr"/>
    </row>
    <row r="331" ht="15" customHeight="1">
      <c r="A331" t="inlineStr">
        <is>
          <t>A 26391-2025</t>
        </is>
      </c>
      <c r="B331" s="1" t="n">
        <v>45806</v>
      </c>
      <c r="C331" s="1" t="n">
        <v>46031</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1291-2023</t>
        </is>
      </c>
      <c r="B332" s="1" t="n">
        <v>44936.47561342592</v>
      </c>
      <c r="C332" s="1" t="n">
        <v>46031</v>
      </c>
      <c r="D332" t="inlineStr">
        <is>
          <t>GOTLANDS LÄN</t>
        </is>
      </c>
      <c r="E332" t="inlineStr">
        <is>
          <t>GOTLAND</t>
        </is>
      </c>
      <c r="G332" t="n">
        <v>7.4</v>
      </c>
      <c r="H332" t="n">
        <v>0</v>
      </c>
      <c r="I332" t="n">
        <v>0</v>
      </c>
      <c r="J332" t="n">
        <v>0</v>
      </c>
      <c r="K332" t="n">
        <v>0</v>
      </c>
      <c r="L332" t="n">
        <v>0</v>
      </c>
      <c r="M332" t="n">
        <v>0</v>
      </c>
      <c r="N332" t="n">
        <v>0</v>
      </c>
      <c r="O332" t="n">
        <v>0</v>
      </c>
      <c r="P332" t="n">
        <v>0</v>
      </c>
      <c r="Q332" t="n">
        <v>0</v>
      </c>
      <c r="R332" s="2" t="inlineStr"/>
    </row>
    <row r="333" ht="15" customHeight="1">
      <c r="A333" t="inlineStr">
        <is>
          <t>A 46836-2025</t>
        </is>
      </c>
      <c r="B333" s="1" t="n">
        <v>45928.31511574074</v>
      </c>
      <c r="C333" s="1" t="n">
        <v>46031</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57652-2023</t>
        </is>
      </c>
      <c r="B334" s="1" t="n">
        <v>45246</v>
      </c>
      <c r="C334" s="1" t="n">
        <v>46031</v>
      </c>
      <c r="D334" t="inlineStr">
        <is>
          <t>GOTLANDS LÄN</t>
        </is>
      </c>
      <c r="E334" t="inlineStr">
        <is>
          <t>GOTLAND</t>
        </is>
      </c>
      <c r="G334" t="n">
        <v>7.2</v>
      </c>
      <c r="H334" t="n">
        <v>0</v>
      </c>
      <c r="I334" t="n">
        <v>0</v>
      </c>
      <c r="J334" t="n">
        <v>0</v>
      </c>
      <c r="K334" t="n">
        <v>0</v>
      </c>
      <c r="L334" t="n">
        <v>0</v>
      </c>
      <c r="M334" t="n">
        <v>0</v>
      </c>
      <c r="N334" t="n">
        <v>0</v>
      </c>
      <c r="O334" t="n">
        <v>0</v>
      </c>
      <c r="P334" t="n">
        <v>0</v>
      </c>
      <c r="Q334" t="n">
        <v>0</v>
      </c>
      <c r="R334" s="2" t="inlineStr"/>
    </row>
    <row r="335" ht="15" customHeight="1">
      <c r="A335" t="inlineStr">
        <is>
          <t>A 49315-2024</t>
        </is>
      </c>
      <c r="B335" s="1" t="n">
        <v>45595</v>
      </c>
      <c r="C335" s="1" t="n">
        <v>46031</v>
      </c>
      <c r="D335" t="inlineStr">
        <is>
          <t>GOTLANDS LÄN</t>
        </is>
      </c>
      <c r="E335" t="inlineStr">
        <is>
          <t>GOTLAND</t>
        </is>
      </c>
      <c r="G335" t="n">
        <v>1.5</v>
      </c>
      <c r="H335" t="n">
        <v>0</v>
      </c>
      <c r="I335" t="n">
        <v>0</v>
      </c>
      <c r="J335" t="n">
        <v>0</v>
      </c>
      <c r="K335" t="n">
        <v>0</v>
      </c>
      <c r="L335" t="n">
        <v>0</v>
      </c>
      <c r="M335" t="n">
        <v>0</v>
      </c>
      <c r="N335" t="n">
        <v>0</v>
      </c>
      <c r="O335" t="n">
        <v>0</v>
      </c>
      <c r="P335" t="n">
        <v>0</v>
      </c>
      <c r="Q335" t="n">
        <v>0</v>
      </c>
      <c r="R335" s="2" t="inlineStr"/>
    </row>
    <row r="336" ht="15" customHeight="1">
      <c r="A336" t="inlineStr">
        <is>
          <t>A 45106-2024</t>
        </is>
      </c>
      <c r="B336" s="1" t="n">
        <v>45575</v>
      </c>
      <c r="C336" s="1" t="n">
        <v>46031</v>
      </c>
      <c r="D336" t="inlineStr">
        <is>
          <t>GOTLANDS LÄN</t>
        </is>
      </c>
      <c r="E336" t="inlineStr">
        <is>
          <t>GOTLAND</t>
        </is>
      </c>
      <c r="G336" t="n">
        <v>10</v>
      </c>
      <c r="H336" t="n">
        <v>0</v>
      </c>
      <c r="I336" t="n">
        <v>0</v>
      </c>
      <c r="J336" t="n">
        <v>0</v>
      </c>
      <c r="K336" t="n">
        <v>0</v>
      </c>
      <c r="L336" t="n">
        <v>0</v>
      </c>
      <c r="M336" t="n">
        <v>0</v>
      </c>
      <c r="N336" t="n">
        <v>0</v>
      </c>
      <c r="O336" t="n">
        <v>0</v>
      </c>
      <c r="P336" t="n">
        <v>0</v>
      </c>
      <c r="Q336" t="n">
        <v>0</v>
      </c>
      <c r="R336" s="2" t="inlineStr"/>
    </row>
    <row r="337" ht="15" customHeight="1">
      <c r="A337" t="inlineStr">
        <is>
          <t>A 45112-2024</t>
        </is>
      </c>
      <c r="B337" s="1" t="n">
        <v>45575</v>
      </c>
      <c r="C337" s="1" t="n">
        <v>46031</v>
      </c>
      <c r="D337" t="inlineStr">
        <is>
          <t>GOTLANDS LÄN</t>
        </is>
      </c>
      <c r="E337" t="inlineStr">
        <is>
          <t>GOTLAND</t>
        </is>
      </c>
      <c r="G337" t="n">
        <v>5.1</v>
      </c>
      <c r="H337" t="n">
        <v>0</v>
      </c>
      <c r="I337" t="n">
        <v>0</v>
      </c>
      <c r="J337" t="n">
        <v>0</v>
      </c>
      <c r="K337" t="n">
        <v>0</v>
      </c>
      <c r="L337" t="n">
        <v>0</v>
      </c>
      <c r="M337" t="n">
        <v>0</v>
      </c>
      <c r="N337" t="n">
        <v>0</v>
      </c>
      <c r="O337" t="n">
        <v>0</v>
      </c>
      <c r="P337" t="n">
        <v>0</v>
      </c>
      <c r="Q337" t="n">
        <v>0</v>
      </c>
      <c r="R337" s="2" t="inlineStr"/>
    </row>
    <row r="338" ht="15" customHeight="1">
      <c r="A338" t="inlineStr">
        <is>
          <t>A 2676-2023</t>
        </is>
      </c>
      <c r="B338" s="1" t="n">
        <v>44944</v>
      </c>
      <c r="C338" s="1" t="n">
        <v>46031</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3150-2025</t>
        </is>
      </c>
      <c r="B339" s="1" t="n">
        <v>45679.28974537037</v>
      </c>
      <c r="C339" s="1" t="n">
        <v>46031</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46031</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8484-2025</t>
        </is>
      </c>
      <c r="B341" s="1" t="n">
        <v>45709</v>
      </c>
      <c r="C341" s="1" t="n">
        <v>46031</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7635-2025</t>
        </is>
      </c>
      <c r="B342" s="1" t="n">
        <v>45705</v>
      </c>
      <c r="C342" s="1" t="n">
        <v>46031</v>
      </c>
      <c r="D342" t="inlineStr">
        <is>
          <t>GOTLANDS LÄN</t>
        </is>
      </c>
      <c r="E342" t="inlineStr">
        <is>
          <t>GOTLAND</t>
        </is>
      </c>
      <c r="G342" t="n">
        <v>0.9</v>
      </c>
      <c r="H342" t="n">
        <v>0</v>
      </c>
      <c r="I342" t="n">
        <v>0</v>
      </c>
      <c r="J342" t="n">
        <v>0</v>
      </c>
      <c r="K342" t="n">
        <v>0</v>
      </c>
      <c r="L342" t="n">
        <v>0</v>
      </c>
      <c r="M342" t="n">
        <v>0</v>
      </c>
      <c r="N342" t="n">
        <v>0</v>
      </c>
      <c r="O342" t="n">
        <v>0</v>
      </c>
      <c r="P342" t="n">
        <v>0</v>
      </c>
      <c r="Q342" t="n">
        <v>0</v>
      </c>
      <c r="R342" s="2" t="inlineStr"/>
    </row>
    <row r="343" ht="15" customHeight="1">
      <c r="A343" t="inlineStr">
        <is>
          <t>A 7636-2025</t>
        </is>
      </c>
      <c r="B343" s="1" t="n">
        <v>45705.7687962963</v>
      </c>
      <c r="C343" s="1" t="n">
        <v>46031</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7639-2025</t>
        </is>
      </c>
      <c r="B344" s="1" t="n">
        <v>45705.77465277778</v>
      </c>
      <c r="C344" s="1" t="n">
        <v>46031</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20356-2022</t>
        </is>
      </c>
      <c r="B345" s="1" t="n">
        <v>44699</v>
      </c>
      <c r="C345" s="1" t="n">
        <v>46031</v>
      </c>
      <c r="D345" t="inlineStr">
        <is>
          <t>GOTLANDS LÄN</t>
        </is>
      </c>
      <c r="E345" t="inlineStr">
        <is>
          <t>GOTLAND</t>
        </is>
      </c>
      <c r="F345" t="inlineStr">
        <is>
          <t>Övriga Aktiebolag</t>
        </is>
      </c>
      <c r="G345" t="n">
        <v>4.4</v>
      </c>
      <c r="H345" t="n">
        <v>0</v>
      </c>
      <c r="I345" t="n">
        <v>0</v>
      </c>
      <c r="J345" t="n">
        <v>0</v>
      </c>
      <c r="K345" t="n">
        <v>0</v>
      </c>
      <c r="L345" t="n">
        <v>0</v>
      </c>
      <c r="M345" t="n">
        <v>0</v>
      </c>
      <c r="N345" t="n">
        <v>0</v>
      </c>
      <c r="O345" t="n">
        <v>0</v>
      </c>
      <c r="P345" t="n">
        <v>0</v>
      </c>
      <c r="Q345" t="n">
        <v>0</v>
      </c>
      <c r="R345" s="2" t="inlineStr"/>
    </row>
    <row r="346" ht="15" customHeight="1">
      <c r="A346" t="inlineStr">
        <is>
          <t>A 48734-2022</t>
        </is>
      </c>
      <c r="B346" s="1" t="n">
        <v>44855</v>
      </c>
      <c r="C346" s="1" t="n">
        <v>46031</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32378-2025</t>
        </is>
      </c>
      <c r="B347" s="1" t="n">
        <v>45837</v>
      </c>
      <c r="C347" s="1" t="n">
        <v>46031</v>
      </c>
      <c r="D347" t="inlineStr">
        <is>
          <t>GOTLANDS LÄN</t>
        </is>
      </c>
      <c r="E347" t="inlineStr">
        <is>
          <t>GOTLAND</t>
        </is>
      </c>
      <c r="G347" t="n">
        <v>4.1</v>
      </c>
      <c r="H347" t="n">
        <v>0</v>
      </c>
      <c r="I347" t="n">
        <v>0</v>
      </c>
      <c r="J347" t="n">
        <v>0</v>
      </c>
      <c r="K347" t="n">
        <v>0</v>
      </c>
      <c r="L347" t="n">
        <v>0</v>
      </c>
      <c r="M347" t="n">
        <v>0</v>
      </c>
      <c r="N347" t="n">
        <v>0</v>
      </c>
      <c r="O347" t="n">
        <v>0</v>
      </c>
      <c r="P347" t="n">
        <v>0</v>
      </c>
      <c r="Q347" t="n">
        <v>0</v>
      </c>
      <c r="R347" s="2" t="inlineStr"/>
    </row>
    <row r="348" ht="15" customHeight="1">
      <c r="A348" t="inlineStr">
        <is>
          <t>A 14141-2024</t>
        </is>
      </c>
      <c r="B348" s="1" t="n">
        <v>45392.85193287037</v>
      </c>
      <c r="C348" s="1" t="n">
        <v>46031</v>
      </c>
      <c r="D348" t="inlineStr">
        <is>
          <t>GOTLANDS LÄN</t>
        </is>
      </c>
      <c r="E348" t="inlineStr">
        <is>
          <t>GOTLAND</t>
        </is>
      </c>
      <c r="G348" t="n">
        <v>5.3</v>
      </c>
      <c r="H348" t="n">
        <v>0</v>
      </c>
      <c r="I348" t="n">
        <v>0</v>
      </c>
      <c r="J348" t="n">
        <v>0</v>
      </c>
      <c r="K348" t="n">
        <v>0</v>
      </c>
      <c r="L348" t="n">
        <v>0</v>
      </c>
      <c r="M348" t="n">
        <v>0</v>
      </c>
      <c r="N348" t="n">
        <v>0</v>
      </c>
      <c r="O348" t="n">
        <v>0</v>
      </c>
      <c r="P348" t="n">
        <v>0</v>
      </c>
      <c r="Q348" t="n">
        <v>0</v>
      </c>
      <c r="R348" s="2" t="inlineStr"/>
    </row>
    <row r="349" ht="15" customHeight="1">
      <c r="A349" t="inlineStr">
        <is>
          <t>A 29809-2022</t>
        </is>
      </c>
      <c r="B349" s="1" t="n">
        <v>44755.8713425926</v>
      </c>
      <c r="C349" s="1" t="n">
        <v>46031</v>
      </c>
      <c r="D349" t="inlineStr">
        <is>
          <t>GOTLANDS LÄN</t>
        </is>
      </c>
      <c r="E349" t="inlineStr">
        <is>
          <t>GOTLAND</t>
        </is>
      </c>
      <c r="G349" t="n">
        <v>11.5</v>
      </c>
      <c r="H349" t="n">
        <v>0</v>
      </c>
      <c r="I349" t="n">
        <v>0</v>
      </c>
      <c r="J349" t="n">
        <v>0</v>
      </c>
      <c r="K349" t="n">
        <v>0</v>
      </c>
      <c r="L349" t="n">
        <v>0</v>
      </c>
      <c r="M349" t="n">
        <v>0</v>
      </c>
      <c r="N349" t="n">
        <v>0</v>
      </c>
      <c r="O349" t="n">
        <v>0</v>
      </c>
      <c r="P349" t="n">
        <v>0</v>
      </c>
      <c r="Q349" t="n">
        <v>0</v>
      </c>
      <c r="R349" s="2" t="inlineStr"/>
    </row>
    <row r="350" ht="15" customHeight="1">
      <c r="A350" t="inlineStr">
        <is>
          <t>A 19905-2025</t>
        </is>
      </c>
      <c r="B350" s="1" t="n">
        <v>45771</v>
      </c>
      <c r="C350" s="1" t="n">
        <v>46031</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35550-2025</t>
        </is>
      </c>
      <c r="B351" s="1" t="n">
        <v>45856.49324074074</v>
      </c>
      <c r="C351" s="1" t="n">
        <v>46031</v>
      </c>
      <c r="D351" t="inlineStr">
        <is>
          <t>GOTLANDS LÄN</t>
        </is>
      </c>
      <c r="E351" t="inlineStr">
        <is>
          <t>GOTLAND</t>
        </is>
      </c>
      <c r="G351" t="n">
        <v>3.2</v>
      </c>
      <c r="H351" t="n">
        <v>0</v>
      </c>
      <c r="I351" t="n">
        <v>0</v>
      </c>
      <c r="J351" t="n">
        <v>0</v>
      </c>
      <c r="K351" t="n">
        <v>0</v>
      </c>
      <c r="L351" t="n">
        <v>0</v>
      </c>
      <c r="M351" t="n">
        <v>0</v>
      </c>
      <c r="N351" t="n">
        <v>0</v>
      </c>
      <c r="O351" t="n">
        <v>0</v>
      </c>
      <c r="P351" t="n">
        <v>0</v>
      </c>
      <c r="Q351" t="n">
        <v>0</v>
      </c>
      <c r="R351" s="2" t="inlineStr"/>
    </row>
    <row r="352" ht="15" customHeight="1">
      <c r="A352" t="inlineStr">
        <is>
          <t>A 29196-2025</t>
        </is>
      </c>
      <c r="B352" s="1" t="n">
        <v>45822</v>
      </c>
      <c r="C352" s="1" t="n">
        <v>46031</v>
      </c>
      <c r="D352" t="inlineStr">
        <is>
          <t>GOTLANDS LÄN</t>
        </is>
      </c>
      <c r="E352" t="inlineStr">
        <is>
          <t>GOTLAND</t>
        </is>
      </c>
      <c r="G352" t="n">
        <v>0.5</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46031</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57685-2022</t>
        </is>
      </c>
      <c r="B354" s="1" t="n">
        <v>44897.4777662037</v>
      </c>
      <c r="C354" s="1" t="n">
        <v>46031</v>
      </c>
      <c r="D354" t="inlineStr">
        <is>
          <t>GOTLANDS LÄN</t>
        </is>
      </c>
      <c r="E354" t="inlineStr">
        <is>
          <t>GOTLAND</t>
        </is>
      </c>
      <c r="G354" t="n">
        <v>3.7</v>
      </c>
      <c r="H354" t="n">
        <v>0</v>
      </c>
      <c r="I354" t="n">
        <v>0</v>
      </c>
      <c r="J354" t="n">
        <v>0</v>
      </c>
      <c r="K354" t="n">
        <v>0</v>
      </c>
      <c r="L354" t="n">
        <v>0</v>
      </c>
      <c r="M354" t="n">
        <v>0</v>
      </c>
      <c r="N354" t="n">
        <v>0</v>
      </c>
      <c r="O354" t="n">
        <v>0</v>
      </c>
      <c r="P354" t="n">
        <v>0</v>
      </c>
      <c r="Q354" t="n">
        <v>0</v>
      </c>
      <c r="R354" s="2" t="inlineStr"/>
    </row>
    <row r="355" ht="15" customHeight="1">
      <c r="A355" t="inlineStr">
        <is>
          <t>A 30815-2023</t>
        </is>
      </c>
      <c r="B355" s="1" t="n">
        <v>45112</v>
      </c>
      <c r="C355" s="1" t="n">
        <v>46031</v>
      </c>
      <c r="D355" t="inlineStr">
        <is>
          <t>GOTLANDS LÄN</t>
        </is>
      </c>
      <c r="E355" t="inlineStr">
        <is>
          <t>GOTLAND</t>
        </is>
      </c>
      <c r="G355" t="n">
        <v>6</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46031</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46031</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29207-2025</t>
        </is>
      </c>
      <c r="B358" s="1" t="n">
        <v>45823</v>
      </c>
      <c r="C358" s="1" t="n">
        <v>46031</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49690-2025</t>
        </is>
      </c>
      <c r="B359" s="1" t="n">
        <v>45939.66730324074</v>
      </c>
      <c r="C359" s="1" t="n">
        <v>46031</v>
      </c>
      <c r="D359" t="inlineStr">
        <is>
          <t>GOTLANDS LÄN</t>
        </is>
      </c>
      <c r="E359" t="inlineStr">
        <is>
          <t>GOTLAND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33011-2025</t>
        </is>
      </c>
      <c r="B360" s="1" t="n">
        <v>45840</v>
      </c>
      <c r="C360" s="1" t="n">
        <v>46031</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7034-2023</t>
        </is>
      </c>
      <c r="B361" s="1" t="n">
        <v>44968.32108796296</v>
      </c>
      <c r="C361" s="1" t="n">
        <v>46031</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7042-2023</t>
        </is>
      </c>
      <c r="B362" s="1" t="n">
        <v>44968</v>
      </c>
      <c r="C362" s="1" t="n">
        <v>46031</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23516-2023</t>
        </is>
      </c>
      <c r="B363" s="1" t="n">
        <v>45076.93391203704</v>
      </c>
      <c r="C363" s="1" t="n">
        <v>46031</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64660-2023</t>
        </is>
      </c>
      <c r="B364" s="1" t="n">
        <v>45281.60122685185</v>
      </c>
      <c r="C364" s="1" t="n">
        <v>46031</v>
      </c>
      <c r="D364" t="inlineStr">
        <is>
          <t>GOTLANDS LÄN</t>
        </is>
      </c>
      <c r="E364" t="inlineStr">
        <is>
          <t>GOTLAND</t>
        </is>
      </c>
      <c r="G364" t="n">
        <v>6.3</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46031</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46031</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50431-2025</t>
        </is>
      </c>
      <c r="B367" s="1" t="n">
        <v>45944.68453703704</v>
      </c>
      <c r="C367" s="1" t="n">
        <v>46031</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46031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46031</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46375-2024</t>
        </is>
      </c>
      <c r="B370" s="1" t="n">
        <v>45582</v>
      </c>
      <c r="C370" s="1" t="n">
        <v>46031</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30061-2025</t>
        </is>
      </c>
      <c r="B371" s="1" t="n">
        <v>45826.61488425926</v>
      </c>
      <c r="C371" s="1" t="n">
        <v>46031</v>
      </c>
      <c r="D371" t="inlineStr">
        <is>
          <t>GOTLANDS LÄN</t>
        </is>
      </c>
      <c r="E371" t="inlineStr">
        <is>
          <t>GOTLAND</t>
        </is>
      </c>
      <c r="G371" t="n">
        <v>4.1</v>
      </c>
      <c r="H371" t="n">
        <v>0</v>
      </c>
      <c r="I371" t="n">
        <v>0</v>
      </c>
      <c r="J371" t="n">
        <v>0</v>
      </c>
      <c r="K371" t="n">
        <v>0</v>
      </c>
      <c r="L371" t="n">
        <v>0</v>
      </c>
      <c r="M371" t="n">
        <v>0</v>
      </c>
      <c r="N371" t="n">
        <v>0</v>
      </c>
      <c r="O371" t="n">
        <v>0</v>
      </c>
      <c r="P371" t="n">
        <v>0</v>
      </c>
      <c r="Q371" t="n">
        <v>0</v>
      </c>
      <c r="R371" s="2" t="inlineStr"/>
    </row>
    <row r="372" ht="15" customHeight="1">
      <c r="A372" t="inlineStr">
        <is>
          <t>A 58160-2024</t>
        </is>
      </c>
      <c r="B372" s="1" t="n">
        <v>45632.44927083333</v>
      </c>
      <c r="C372" s="1" t="n">
        <v>46031</v>
      </c>
      <c r="D372" t="inlineStr">
        <is>
          <t>GOTLANDS LÄN</t>
        </is>
      </c>
      <c r="E372" t="inlineStr">
        <is>
          <t>GOTLAND</t>
        </is>
      </c>
      <c r="G372" t="n">
        <v>5.6</v>
      </c>
      <c r="H372" t="n">
        <v>0</v>
      </c>
      <c r="I372" t="n">
        <v>0</v>
      </c>
      <c r="J372" t="n">
        <v>0</v>
      </c>
      <c r="K372" t="n">
        <v>0</v>
      </c>
      <c r="L372" t="n">
        <v>0</v>
      </c>
      <c r="M372" t="n">
        <v>0</v>
      </c>
      <c r="N372" t="n">
        <v>0</v>
      </c>
      <c r="O372" t="n">
        <v>0</v>
      </c>
      <c r="P372" t="n">
        <v>0</v>
      </c>
      <c r="Q372" t="n">
        <v>0</v>
      </c>
      <c r="R372" s="2" t="inlineStr"/>
    </row>
    <row r="373" ht="15" customHeight="1">
      <c r="A373" t="inlineStr">
        <is>
          <t>A 1734-2025</t>
        </is>
      </c>
      <c r="B373" s="1" t="n">
        <v>45671.3840625</v>
      </c>
      <c r="C373" s="1" t="n">
        <v>46031</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51262-2025</t>
        </is>
      </c>
      <c r="B374" s="1" t="n">
        <v>45949.49872685185</v>
      </c>
      <c r="C374" s="1" t="n">
        <v>46031</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20993-2023</t>
        </is>
      </c>
      <c r="B375" s="1" t="n">
        <v>45056</v>
      </c>
      <c r="C375" s="1" t="n">
        <v>46031</v>
      </c>
      <c r="D375" t="inlineStr">
        <is>
          <t>GOTLANDS LÄN</t>
        </is>
      </c>
      <c r="E375" t="inlineStr">
        <is>
          <t>GOTLAND</t>
        </is>
      </c>
      <c r="G375" t="n">
        <v>7.1</v>
      </c>
      <c r="H375" t="n">
        <v>0</v>
      </c>
      <c r="I375" t="n">
        <v>0</v>
      </c>
      <c r="J375" t="n">
        <v>0</v>
      </c>
      <c r="K375" t="n">
        <v>0</v>
      </c>
      <c r="L375" t="n">
        <v>0</v>
      </c>
      <c r="M375" t="n">
        <v>0</v>
      </c>
      <c r="N375" t="n">
        <v>0</v>
      </c>
      <c r="O375" t="n">
        <v>0</v>
      </c>
      <c r="P375" t="n">
        <v>0</v>
      </c>
      <c r="Q375" t="n">
        <v>0</v>
      </c>
      <c r="R375" s="2" t="inlineStr"/>
    </row>
    <row r="376" ht="15" customHeight="1">
      <c r="A376" t="inlineStr">
        <is>
          <t>A 12596-2023</t>
        </is>
      </c>
      <c r="B376" s="1" t="n">
        <v>45000.43310185185</v>
      </c>
      <c r="C376" s="1" t="n">
        <v>46031</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2125-2025</t>
        </is>
      </c>
      <c r="B377" s="1" t="n">
        <v>45672.64940972222</v>
      </c>
      <c r="C377" s="1" t="n">
        <v>46031</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12155-2023</t>
        </is>
      </c>
      <c r="B378" s="1" t="n">
        <v>44998.49106481481</v>
      </c>
      <c r="C378" s="1" t="n">
        <v>46031</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457-2023</t>
        </is>
      </c>
      <c r="B379" s="1" t="n">
        <v>44929.87238425926</v>
      </c>
      <c r="C379" s="1" t="n">
        <v>46031</v>
      </c>
      <c r="D379" t="inlineStr">
        <is>
          <t>GOTLANDS LÄN</t>
        </is>
      </c>
      <c r="E379" t="inlineStr">
        <is>
          <t>GOTLAND</t>
        </is>
      </c>
      <c r="G379" t="n">
        <v>2.4</v>
      </c>
      <c r="H379" t="n">
        <v>0</v>
      </c>
      <c r="I379" t="n">
        <v>0</v>
      </c>
      <c r="J379" t="n">
        <v>0</v>
      </c>
      <c r="K379" t="n">
        <v>0</v>
      </c>
      <c r="L379" t="n">
        <v>0</v>
      </c>
      <c r="M379" t="n">
        <v>0</v>
      </c>
      <c r="N379" t="n">
        <v>0</v>
      </c>
      <c r="O379" t="n">
        <v>0</v>
      </c>
      <c r="P379" t="n">
        <v>0</v>
      </c>
      <c r="Q379" t="n">
        <v>0</v>
      </c>
      <c r="R379" s="2" t="inlineStr"/>
    </row>
    <row r="380" ht="15" customHeight="1">
      <c r="A380" t="inlineStr">
        <is>
          <t>A 459-2023</t>
        </is>
      </c>
      <c r="B380" s="1" t="n">
        <v>44929.87423611111</v>
      </c>
      <c r="C380" s="1" t="n">
        <v>46031</v>
      </c>
      <c r="D380" t="inlineStr">
        <is>
          <t>GOTLANDS LÄN</t>
        </is>
      </c>
      <c r="E380" t="inlineStr">
        <is>
          <t>GOTLAND</t>
        </is>
      </c>
      <c r="G380" t="n">
        <v>4.2</v>
      </c>
      <c r="H380" t="n">
        <v>0</v>
      </c>
      <c r="I380" t="n">
        <v>0</v>
      </c>
      <c r="J380" t="n">
        <v>0</v>
      </c>
      <c r="K380" t="n">
        <v>0</v>
      </c>
      <c r="L380" t="n">
        <v>0</v>
      </c>
      <c r="M380" t="n">
        <v>0</v>
      </c>
      <c r="N380" t="n">
        <v>0</v>
      </c>
      <c r="O380" t="n">
        <v>0</v>
      </c>
      <c r="P380" t="n">
        <v>0</v>
      </c>
      <c r="Q380" t="n">
        <v>0</v>
      </c>
      <c r="R380" s="2" t="inlineStr"/>
    </row>
    <row r="381" ht="15" customHeight="1">
      <c r="A381" t="inlineStr">
        <is>
          <t>A 38234-2023</t>
        </is>
      </c>
      <c r="B381" s="1" t="n">
        <v>45161.56663194444</v>
      </c>
      <c r="C381" s="1" t="n">
        <v>46031</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50744-2024</t>
        </is>
      </c>
      <c r="B382" s="1" t="n">
        <v>45602.4187037037</v>
      </c>
      <c r="C382" s="1" t="n">
        <v>46031</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53934-2024</t>
        </is>
      </c>
      <c r="B383" s="1" t="n">
        <v>45615</v>
      </c>
      <c r="C383" s="1" t="n">
        <v>46031</v>
      </c>
      <c r="D383" t="inlineStr">
        <is>
          <t>GOTLANDS LÄN</t>
        </is>
      </c>
      <c r="E383" t="inlineStr">
        <is>
          <t>GOTLAND</t>
        </is>
      </c>
      <c r="G383" t="n">
        <v>5</v>
      </c>
      <c r="H383" t="n">
        <v>0</v>
      </c>
      <c r="I383" t="n">
        <v>0</v>
      </c>
      <c r="J383" t="n">
        <v>0</v>
      </c>
      <c r="K383" t="n">
        <v>0</v>
      </c>
      <c r="L383" t="n">
        <v>0</v>
      </c>
      <c r="M383" t="n">
        <v>0</v>
      </c>
      <c r="N383" t="n">
        <v>0</v>
      </c>
      <c r="O383" t="n">
        <v>0</v>
      </c>
      <c r="P383" t="n">
        <v>0</v>
      </c>
      <c r="Q383" t="n">
        <v>0</v>
      </c>
      <c r="R383" s="2" t="inlineStr"/>
    </row>
    <row r="384" ht="15" customHeight="1">
      <c r="A384" t="inlineStr">
        <is>
          <t>A 52249-2025</t>
        </is>
      </c>
      <c r="B384" s="1" t="n">
        <v>45953.48637731482</v>
      </c>
      <c r="C384" s="1" t="n">
        <v>46031</v>
      </c>
      <c r="D384" t="inlineStr">
        <is>
          <t>GOTLANDS LÄN</t>
        </is>
      </c>
      <c r="E384" t="inlineStr">
        <is>
          <t>GOTLAND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32379-2025</t>
        </is>
      </c>
      <c r="B385" s="1" t="n">
        <v>45837</v>
      </c>
      <c r="C385" s="1" t="n">
        <v>46031</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32467-2025</t>
        </is>
      </c>
      <c r="B386" s="1" t="n">
        <v>45838.42111111111</v>
      </c>
      <c r="C386" s="1" t="n">
        <v>46031</v>
      </c>
      <c r="D386" t="inlineStr">
        <is>
          <t>GOTLANDS LÄN</t>
        </is>
      </c>
      <c r="E386" t="inlineStr">
        <is>
          <t>GOTLAND</t>
        </is>
      </c>
      <c r="G386" t="n">
        <v>4.3</v>
      </c>
      <c r="H386" t="n">
        <v>0</v>
      </c>
      <c r="I386" t="n">
        <v>0</v>
      </c>
      <c r="J386" t="n">
        <v>0</v>
      </c>
      <c r="K386" t="n">
        <v>0</v>
      </c>
      <c r="L386" t="n">
        <v>0</v>
      </c>
      <c r="M386" t="n">
        <v>0</v>
      </c>
      <c r="N386" t="n">
        <v>0</v>
      </c>
      <c r="O386" t="n">
        <v>0</v>
      </c>
      <c r="P386" t="n">
        <v>0</v>
      </c>
      <c r="Q386" t="n">
        <v>0</v>
      </c>
      <c r="R386" s="2" t="inlineStr"/>
    </row>
    <row r="387" ht="15" customHeight="1">
      <c r="A387" t="inlineStr">
        <is>
          <t>A 16109-2025</t>
        </is>
      </c>
      <c r="B387" s="1" t="n">
        <v>45750</v>
      </c>
      <c r="C387" s="1" t="n">
        <v>46031</v>
      </c>
      <c r="D387" t="inlineStr">
        <is>
          <t>GOTLANDS LÄN</t>
        </is>
      </c>
      <c r="E387" t="inlineStr">
        <is>
          <t>GOTLAND</t>
        </is>
      </c>
      <c r="G387" t="n">
        <v>4.9</v>
      </c>
      <c r="H387" t="n">
        <v>0</v>
      </c>
      <c r="I387" t="n">
        <v>0</v>
      </c>
      <c r="J387" t="n">
        <v>0</v>
      </c>
      <c r="K387" t="n">
        <v>0</v>
      </c>
      <c r="L387" t="n">
        <v>0</v>
      </c>
      <c r="M387" t="n">
        <v>0</v>
      </c>
      <c r="N387" t="n">
        <v>0</v>
      </c>
      <c r="O387" t="n">
        <v>0</v>
      </c>
      <c r="P387" t="n">
        <v>0</v>
      </c>
      <c r="Q387" t="n">
        <v>0</v>
      </c>
      <c r="R387" s="2" t="inlineStr"/>
    </row>
    <row r="388" ht="15" customHeight="1">
      <c r="A388" t="inlineStr">
        <is>
          <t>A 52637-2025</t>
        </is>
      </c>
      <c r="B388" s="1" t="n">
        <v>45954.75099537037</v>
      </c>
      <c r="C388" s="1" t="n">
        <v>46031</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1446-2025</t>
        </is>
      </c>
      <c r="B389" s="1" t="n">
        <v>45669.86035879629</v>
      </c>
      <c r="C389" s="1" t="n">
        <v>46031</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33007-2025</t>
        </is>
      </c>
      <c r="B390" s="1" t="n">
        <v>45840</v>
      </c>
      <c r="C390" s="1" t="n">
        <v>46031</v>
      </c>
      <c r="D390" t="inlineStr">
        <is>
          <t>GOTLANDS LÄN</t>
        </is>
      </c>
      <c r="E390" t="inlineStr">
        <is>
          <t>GOTLAND</t>
        </is>
      </c>
      <c r="G390" t="n">
        <v>4.9</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46031</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43901-2023</t>
        </is>
      </c>
      <c r="B392" s="1" t="n">
        <v>45187</v>
      </c>
      <c r="C392" s="1" t="n">
        <v>46031</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10746-2025</t>
        </is>
      </c>
      <c r="B393" s="1" t="n">
        <v>45722.42766203704</v>
      </c>
      <c r="C393" s="1" t="n">
        <v>46031</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16501-2023</t>
        </is>
      </c>
      <c r="B394" s="1" t="n">
        <v>45029</v>
      </c>
      <c r="C394" s="1" t="n">
        <v>46031</v>
      </c>
      <c r="D394" t="inlineStr">
        <is>
          <t>GOTLANDS LÄN</t>
        </is>
      </c>
      <c r="E394" t="inlineStr">
        <is>
          <t>GOTLAND</t>
        </is>
      </c>
      <c r="G394" t="n">
        <v>3.1</v>
      </c>
      <c r="H394" t="n">
        <v>0</v>
      </c>
      <c r="I394" t="n">
        <v>0</v>
      </c>
      <c r="J394" t="n">
        <v>0</v>
      </c>
      <c r="K394" t="n">
        <v>0</v>
      </c>
      <c r="L394" t="n">
        <v>0</v>
      </c>
      <c r="M394" t="n">
        <v>0</v>
      </c>
      <c r="N394" t="n">
        <v>0</v>
      </c>
      <c r="O394" t="n">
        <v>0</v>
      </c>
      <c r="P394" t="n">
        <v>0</v>
      </c>
      <c r="Q394" t="n">
        <v>0</v>
      </c>
      <c r="R394" s="2" t="inlineStr"/>
    </row>
    <row r="395" ht="15" customHeight="1">
      <c r="A395" t="inlineStr">
        <is>
          <t>A 53569-2025</t>
        </is>
      </c>
      <c r="B395" s="1" t="n">
        <v>45960.41155092593</v>
      </c>
      <c r="C395" s="1" t="n">
        <v>46031</v>
      </c>
      <c r="D395" t="inlineStr">
        <is>
          <t>GOTLANDS LÄN</t>
        </is>
      </c>
      <c r="E395" t="inlineStr">
        <is>
          <t>GOTLAND</t>
        </is>
      </c>
      <c r="F395" t="inlineStr">
        <is>
          <t>Övriga Aktiebolag</t>
        </is>
      </c>
      <c r="G395" t="n">
        <v>11.3</v>
      </c>
      <c r="H395" t="n">
        <v>0</v>
      </c>
      <c r="I395" t="n">
        <v>0</v>
      </c>
      <c r="J395" t="n">
        <v>0</v>
      </c>
      <c r="K395" t="n">
        <v>0</v>
      </c>
      <c r="L395" t="n">
        <v>0</v>
      </c>
      <c r="M395" t="n">
        <v>0</v>
      </c>
      <c r="N395" t="n">
        <v>0</v>
      </c>
      <c r="O395" t="n">
        <v>0</v>
      </c>
      <c r="P395" t="n">
        <v>0</v>
      </c>
      <c r="Q395" t="n">
        <v>0</v>
      </c>
      <c r="R395" s="2" t="inlineStr"/>
    </row>
    <row r="396" ht="15" customHeight="1">
      <c r="A396" t="inlineStr">
        <is>
          <t>A 27930-2021</t>
        </is>
      </c>
      <c r="B396" s="1" t="n">
        <v>44354</v>
      </c>
      <c r="C396" s="1" t="n">
        <v>46031</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53577-2025</t>
        </is>
      </c>
      <c r="B397" s="1" t="n">
        <v>45960.42224537037</v>
      </c>
      <c r="C397" s="1" t="n">
        <v>46031</v>
      </c>
      <c r="D397" t="inlineStr">
        <is>
          <t>GOTLANDS LÄN</t>
        </is>
      </c>
      <c r="E397" t="inlineStr">
        <is>
          <t>GOTLAND</t>
        </is>
      </c>
      <c r="F397" t="inlineStr">
        <is>
          <t>Övriga Aktiebolag</t>
        </is>
      </c>
      <c r="G397" t="n">
        <v>3.3</v>
      </c>
      <c r="H397" t="n">
        <v>0</v>
      </c>
      <c r="I397" t="n">
        <v>0</v>
      </c>
      <c r="J397" t="n">
        <v>0</v>
      </c>
      <c r="K397" t="n">
        <v>0</v>
      </c>
      <c r="L397" t="n">
        <v>0</v>
      </c>
      <c r="M397" t="n">
        <v>0</v>
      </c>
      <c r="N397" t="n">
        <v>0</v>
      </c>
      <c r="O397" t="n">
        <v>0</v>
      </c>
      <c r="P397" t="n">
        <v>0</v>
      </c>
      <c r="Q397" t="n">
        <v>0</v>
      </c>
      <c r="R397" s="2" t="inlineStr"/>
    </row>
    <row r="398" ht="15" customHeight="1">
      <c r="A398" t="inlineStr">
        <is>
          <t>A 53587-2025</t>
        </is>
      </c>
      <c r="B398" s="1" t="n">
        <v>45960.43681712963</v>
      </c>
      <c r="C398" s="1" t="n">
        <v>46031</v>
      </c>
      <c r="D398" t="inlineStr">
        <is>
          <t>GOTLANDS LÄN</t>
        </is>
      </c>
      <c r="E398" t="inlineStr">
        <is>
          <t>GOTLAND</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61962-2024</t>
        </is>
      </c>
      <c r="B399" s="1" t="n">
        <v>45653.54340277778</v>
      </c>
      <c r="C399" s="1" t="n">
        <v>46031</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10492-2023</t>
        </is>
      </c>
      <c r="B400" s="1" t="n">
        <v>44987</v>
      </c>
      <c r="C400" s="1" t="n">
        <v>46031</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5909-2025</t>
        </is>
      </c>
      <c r="B401" s="1" t="n">
        <v>45695.40634259259</v>
      </c>
      <c r="C401" s="1" t="n">
        <v>46031</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62066-2025</t>
        </is>
      </c>
      <c r="B402" s="1" t="n">
        <v>46006.34738425926</v>
      </c>
      <c r="C402" s="1" t="n">
        <v>46031</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10653-2023</t>
        </is>
      </c>
      <c r="B403" s="1" t="n">
        <v>44988.48859953704</v>
      </c>
      <c r="C403" s="1" t="n">
        <v>46031</v>
      </c>
      <c r="D403" t="inlineStr">
        <is>
          <t>GOTLANDS LÄN</t>
        </is>
      </c>
      <c r="E403" t="inlineStr">
        <is>
          <t>GOTLAND</t>
        </is>
      </c>
      <c r="F403" t="inlineStr">
        <is>
          <t>Kyrkan</t>
        </is>
      </c>
      <c r="G403" t="n">
        <v>3</v>
      </c>
      <c r="H403" t="n">
        <v>0</v>
      </c>
      <c r="I403" t="n">
        <v>0</v>
      </c>
      <c r="J403" t="n">
        <v>0</v>
      </c>
      <c r="K403" t="n">
        <v>0</v>
      </c>
      <c r="L403" t="n">
        <v>0</v>
      </c>
      <c r="M403" t="n">
        <v>0</v>
      </c>
      <c r="N403" t="n">
        <v>0</v>
      </c>
      <c r="O403" t="n">
        <v>0</v>
      </c>
      <c r="P403" t="n">
        <v>0</v>
      </c>
      <c r="Q403" t="n">
        <v>0</v>
      </c>
      <c r="R403" s="2" t="inlineStr"/>
    </row>
    <row r="404" ht="15" customHeight="1">
      <c r="A404" t="inlineStr">
        <is>
          <t>A 53561-2025</t>
        </is>
      </c>
      <c r="B404" s="1" t="n">
        <v>45960.4059375</v>
      </c>
      <c r="C404" s="1" t="n">
        <v>46031</v>
      </c>
      <c r="D404" t="inlineStr">
        <is>
          <t>GOTLANDS LÄN</t>
        </is>
      </c>
      <c r="E404" t="inlineStr">
        <is>
          <t>GOTLAND</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15413-2025</t>
        </is>
      </c>
      <c r="B405" s="1" t="n">
        <v>45747.451875</v>
      </c>
      <c r="C405" s="1" t="n">
        <v>46031</v>
      </c>
      <c r="D405" t="inlineStr">
        <is>
          <t>GOTLANDS LÄN</t>
        </is>
      </c>
      <c r="E405" t="inlineStr">
        <is>
          <t>GOTLAND</t>
        </is>
      </c>
      <c r="G405" t="n">
        <v>0.6</v>
      </c>
      <c r="H405" t="n">
        <v>0</v>
      </c>
      <c r="I405" t="n">
        <v>0</v>
      </c>
      <c r="J405" t="n">
        <v>0</v>
      </c>
      <c r="K405" t="n">
        <v>0</v>
      </c>
      <c r="L405" t="n">
        <v>0</v>
      </c>
      <c r="M405" t="n">
        <v>0</v>
      </c>
      <c r="N405" t="n">
        <v>0</v>
      </c>
      <c r="O405" t="n">
        <v>0</v>
      </c>
      <c r="P405" t="n">
        <v>0</v>
      </c>
      <c r="Q405" t="n">
        <v>0</v>
      </c>
      <c r="R405" s="2" t="inlineStr"/>
    </row>
    <row r="406" ht="15" customHeight="1">
      <c r="A406" t="inlineStr">
        <is>
          <t>A 60384-2025</t>
        </is>
      </c>
      <c r="B406" s="1" t="n">
        <v>45995.37947916667</v>
      </c>
      <c r="C406" s="1" t="n">
        <v>46031</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4990-2025</t>
        </is>
      </c>
      <c r="B407" s="1" t="n">
        <v>45691</v>
      </c>
      <c r="C407" s="1" t="n">
        <v>46031</v>
      </c>
      <c r="D407" t="inlineStr">
        <is>
          <t>GOTLANDS LÄN</t>
        </is>
      </c>
      <c r="E407" t="inlineStr">
        <is>
          <t>GOTLAND</t>
        </is>
      </c>
      <c r="G407" t="n">
        <v>7.7</v>
      </c>
      <c r="H407" t="n">
        <v>0</v>
      </c>
      <c r="I407" t="n">
        <v>0</v>
      </c>
      <c r="J407" t="n">
        <v>0</v>
      </c>
      <c r="K407" t="n">
        <v>0</v>
      </c>
      <c r="L407" t="n">
        <v>0</v>
      </c>
      <c r="M407" t="n">
        <v>0</v>
      </c>
      <c r="N407" t="n">
        <v>0</v>
      </c>
      <c r="O407" t="n">
        <v>0</v>
      </c>
      <c r="P407" t="n">
        <v>0</v>
      </c>
      <c r="Q407" t="n">
        <v>0</v>
      </c>
      <c r="R407" s="2" t="inlineStr"/>
    </row>
    <row r="408" ht="15" customHeight="1">
      <c r="A408" t="inlineStr">
        <is>
          <t>A 35123-2025</t>
        </is>
      </c>
      <c r="B408" s="1" t="n">
        <v>45852.614375</v>
      </c>
      <c r="C408" s="1" t="n">
        <v>46031</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62103-2025</t>
        </is>
      </c>
      <c r="B409" s="1" t="n">
        <v>46006.41638888889</v>
      </c>
      <c r="C409" s="1" t="n">
        <v>46031</v>
      </c>
      <c r="D409" t="inlineStr">
        <is>
          <t>GOTLANDS LÄN</t>
        </is>
      </c>
      <c r="E409" t="inlineStr">
        <is>
          <t>GOTLAND</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35096-2025</t>
        </is>
      </c>
      <c r="B410" s="1" t="n">
        <v>45852.54356481481</v>
      </c>
      <c r="C410" s="1" t="n">
        <v>46031</v>
      </c>
      <c r="D410" t="inlineStr">
        <is>
          <t>GOTLANDS LÄN</t>
        </is>
      </c>
      <c r="E410" t="inlineStr">
        <is>
          <t>GOTLAND</t>
        </is>
      </c>
      <c r="F410" t="inlineStr">
        <is>
          <t>Kyrkan</t>
        </is>
      </c>
      <c r="G410" t="n">
        <v>1</v>
      </c>
      <c r="H410" t="n">
        <v>0</v>
      </c>
      <c r="I410" t="n">
        <v>0</v>
      </c>
      <c r="J410" t="n">
        <v>0</v>
      </c>
      <c r="K410" t="n">
        <v>0</v>
      </c>
      <c r="L410" t="n">
        <v>0</v>
      </c>
      <c r="M410" t="n">
        <v>0</v>
      </c>
      <c r="N410" t="n">
        <v>0</v>
      </c>
      <c r="O410" t="n">
        <v>0</v>
      </c>
      <c r="P410" t="n">
        <v>0</v>
      </c>
      <c r="Q410" t="n">
        <v>0</v>
      </c>
      <c r="R410" s="2" t="inlineStr"/>
    </row>
    <row r="411" ht="15" customHeight="1">
      <c r="A411" t="inlineStr">
        <is>
          <t>A 43081-2022</t>
        </is>
      </c>
      <c r="B411" s="1" t="n">
        <v>44833</v>
      </c>
      <c r="C411" s="1" t="n">
        <v>46031</v>
      </c>
      <c r="D411" t="inlineStr">
        <is>
          <t>GOTLANDS LÄN</t>
        </is>
      </c>
      <c r="E411" t="inlineStr">
        <is>
          <t>GOTLAND</t>
        </is>
      </c>
      <c r="G411" t="n">
        <v>6.8</v>
      </c>
      <c r="H411" t="n">
        <v>0</v>
      </c>
      <c r="I411" t="n">
        <v>0</v>
      </c>
      <c r="J411" t="n">
        <v>0</v>
      </c>
      <c r="K411" t="n">
        <v>0</v>
      </c>
      <c r="L411" t="n">
        <v>0</v>
      </c>
      <c r="M411" t="n">
        <v>0</v>
      </c>
      <c r="N411" t="n">
        <v>0</v>
      </c>
      <c r="O411" t="n">
        <v>0</v>
      </c>
      <c r="P411" t="n">
        <v>0</v>
      </c>
      <c r="Q411" t="n">
        <v>0</v>
      </c>
      <c r="R411" s="2" t="inlineStr"/>
    </row>
    <row r="412" ht="15" customHeight="1">
      <c r="A412" t="inlineStr">
        <is>
          <t>A 32958-2021</t>
        </is>
      </c>
      <c r="B412" s="1" t="n">
        <v>44376</v>
      </c>
      <c r="C412" s="1" t="n">
        <v>46031</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5884-2025</t>
        </is>
      </c>
      <c r="B413" s="1" t="n">
        <v>45695.37482638889</v>
      </c>
      <c r="C413" s="1" t="n">
        <v>46031</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5897-2025</t>
        </is>
      </c>
      <c r="B414" s="1" t="n">
        <v>45695.39273148148</v>
      </c>
      <c r="C414" s="1" t="n">
        <v>46031</v>
      </c>
      <c r="D414" t="inlineStr">
        <is>
          <t>GOTLANDS LÄN</t>
        </is>
      </c>
      <c r="E414" t="inlineStr">
        <is>
          <t>GOTLAND</t>
        </is>
      </c>
      <c r="G414" t="n">
        <v>3.7</v>
      </c>
      <c r="H414" t="n">
        <v>0</v>
      </c>
      <c r="I414" t="n">
        <v>0</v>
      </c>
      <c r="J414" t="n">
        <v>0</v>
      </c>
      <c r="K414" t="n">
        <v>0</v>
      </c>
      <c r="L414" t="n">
        <v>0</v>
      </c>
      <c r="M414" t="n">
        <v>0</v>
      </c>
      <c r="N414" t="n">
        <v>0</v>
      </c>
      <c r="O414" t="n">
        <v>0</v>
      </c>
      <c r="P414" t="n">
        <v>0</v>
      </c>
      <c r="Q414" t="n">
        <v>0</v>
      </c>
      <c r="R414" s="2" t="inlineStr"/>
    </row>
    <row r="415" ht="15" customHeight="1">
      <c r="A415" t="inlineStr">
        <is>
          <t>A 49693-2023</t>
        </is>
      </c>
      <c r="B415" s="1" t="n">
        <v>45212.38138888889</v>
      </c>
      <c r="C415" s="1" t="n">
        <v>46031</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49697-2023</t>
        </is>
      </c>
      <c r="B416" s="1" t="n">
        <v>45212.38909722222</v>
      </c>
      <c r="C416" s="1" t="n">
        <v>46031</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30104-2025</t>
        </is>
      </c>
      <c r="B417" s="1" t="n">
        <v>45826.68806712963</v>
      </c>
      <c r="C417" s="1" t="n">
        <v>46031</v>
      </c>
      <c r="D417" t="inlineStr">
        <is>
          <t>GOTLANDS LÄN</t>
        </is>
      </c>
      <c r="E417" t="inlineStr">
        <is>
          <t>GOTLAND</t>
        </is>
      </c>
      <c r="G417" t="n">
        <v>15.4</v>
      </c>
      <c r="H417" t="n">
        <v>0</v>
      </c>
      <c r="I417" t="n">
        <v>0</v>
      </c>
      <c r="J417" t="n">
        <v>0</v>
      </c>
      <c r="K417" t="n">
        <v>0</v>
      </c>
      <c r="L417" t="n">
        <v>0</v>
      </c>
      <c r="M417" t="n">
        <v>0</v>
      </c>
      <c r="N417" t="n">
        <v>0</v>
      </c>
      <c r="O417" t="n">
        <v>0</v>
      </c>
      <c r="P417" t="n">
        <v>0</v>
      </c>
      <c r="Q417" t="n">
        <v>0</v>
      </c>
      <c r="R417" s="2" t="inlineStr"/>
    </row>
    <row r="418" ht="15" customHeight="1">
      <c r="A418" t="inlineStr">
        <is>
          <t>A 35290-2025</t>
        </is>
      </c>
      <c r="B418" s="1" t="n">
        <v>45854.38502314815</v>
      </c>
      <c r="C418" s="1" t="n">
        <v>46031</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32669-2024</t>
        </is>
      </c>
      <c r="B419" s="1" t="n">
        <v>45514</v>
      </c>
      <c r="C419" s="1" t="n">
        <v>46031</v>
      </c>
      <c r="D419" t="inlineStr">
        <is>
          <t>GOTLANDS LÄN</t>
        </is>
      </c>
      <c r="E419" t="inlineStr">
        <is>
          <t>GOTLAND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17901-2023</t>
        </is>
      </c>
      <c r="B420" s="1" t="n">
        <v>45039</v>
      </c>
      <c r="C420" s="1" t="n">
        <v>46031</v>
      </c>
      <c r="D420" t="inlineStr">
        <is>
          <t>GOTLANDS LÄN</t>
        </is>
      </c>
      <c r="E420" t="inlineStr">
        <is>
          <t>GOTLAND</t>
        </is>
      </c>
      <c r="F420" t="inlineStr">
        <is>
          <t>Kyrkan</t>
        </is>
      </c>
      <c r="G420" t="n">
        <v>0.6</v>
      </c>
      <c r="H420" t="n">
        <v>0</v>
      </c>
      <c r="I420" t="n">
        <v>0</v>
      </c>
      <c r="J420" t="n">
        <v>0</v>
      </c>
      <c r="K420" t="n">
        <v>0</v>
      </c>
      <c r="L420" t="n">
        <v>0</v>
      </c>
      <c r="M420" t="n">
        <v>0</v>
      </c>
      <c r="N420" t="n">
        <v>0</v>
      </c>
      <c r="O420" t="n">
        <v>0</v>
      </c>
      <c r="P420" t="n">
        <v>0</v>
      </c>
      <c r="Q420" t="n">
        <v>0</v>
      </c>
      <c r="R420" s="2" t="inlineStr"/>
    </row>
    <row r="421" ht="15" customHeight="1">
      <c r="A421" t="inlineStr">
        <is>
          <t>A 35537-2025</t>
        </is>
      </c>
      <c r="B421" s="1" t="n">
        <v>45856</v>
      </c>
      <c r="C421" s="1" t="n">
        <v>46031</v>
      </c>
      <c r="D421" t="inlineStr">
        <is>
          <t>GOTLANDS LÄN</t>
        </is>
      </c>
      <c r="E421" t="inlineStr">
        <is>
          <t>GOTLAND</t>
        </is>
      </c>
      <c r="G421" t="n">
        <v>16.8</v>
      </c>
      <c r="H421" t="n">
        <v>0</v>
      </c>
      <c r="I421" t="n">
        <v>0</v>
      </c>
      <c r="J421" t="n">
        <v>0</v>
      </c>
      <c r="K421" t="n">
        <v>0</v>
      </c>
      <c r="L421" t="n">
        <v>0</v>
      </c>
      <c r="M421" t="n">
        <v>0</v>
      </c>
      <c r="N421" t="n">
        <v>0</v>
      </c>
      <c r="O421" t="n">
        <v>0</v>
      </c>
      <c r="P421" t="n">
        <v>0</v>
      </c>
      <c r="Q421" t="n">
        <v>0</v>
      </c>
      <c r="R421" s="2" t="inlineStr"/>
    </row>
    <row r="422" ht="15" customHeight="1">
      <c r="A422" t="inlineStr">
        <is>
          <t>A 54584-2025</t>
        </is>
      </c>
      <c r="B422" s="1" t="n">
        <v>45965.71788194445</v>
      </c>
      <c r="C422" s="1" t="n">
        <v>46031</v>
      </c>
      <c r="D422" t="inlineStr">
        <is>
          <t>GOTLANDS LÄN</t>
        </is>
      </c>
      <c r="E422" t="inlineStr">
        <is>
          <t>GOTLAND</t>
        </is>
      </c>
      <c r="G422" t="n">
        <v>3.5</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44467.49048611111</v>
      </c>
      <c r="C423" s="1" t="n">
        <v>46031</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61078-2025</t>
        </is>
      </c>
      <c r="B424" s="1" t="n">
        <v>46000</v>
      </c>
      <c r="C424" s="1" t="n">
        <v>46031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46396-2023</t>
        </is>
      </c>
      <c r="B425" s="1" t="n">
        <v>45197</v>
      </c>
      <c r="C425" s="1" t="n">
        <v>46031</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63002-2025</t>
        </is>
      </c>
      <c r="B426" s="1" t="n">
        <v>46009.56564814815</v>
      </c>
      <c r="C426" s="1" t="n">
        <v>46031</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17724-2024</t>
        </is>
      </c>
      <c r="B427" s="1" t="n">
        <v>45418.55096064815</v>
      </c>
      <c r="C427" s="1" t="n">
        <v>46031</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15216-2025</t>
        </is>
      </c>
      <c r="B428" s="1" t="n">
        <v>45744</v>
      </c>
      <c r="C428" s="1" t="n">
        <v>46031</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34312-2024</t>
        </is>
      </c>
      <c r="B429" s="1" t="n">
        <v>45524.69703703704</v>
      </c>
      <c r="C429" s="1" t="n">
        <v>46031</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43790-2024</t>
        </is>
      </c>
      <c r="B430" s="1" t="n">
        <v>45571</v>
      </c>
      <c r="C430" s="1" t="n">
        <v>46031</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15001-2025</t>
        </is>
      </c>
      <c r="B431" s="1" t="n">
        <v>45743</v>
      </c>
      <c r="C431" s="1" t="n">
        <v>46031</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30488-2025</t>
        </is>
      </c>
      <c r="B432" s="1" t="n">
        <v>45830</v>
      </c>
      <c r="C432" s="1" t="n">
        <v>46031</v>
      </c>
      <c r="D432" t="inlineStr">
        <is>
          <t>GOTLANDS LÄN</t>
        </is>
      </c>
      <c r="E432" t="inlineStr">
        <is>
          <t>GOTLAND</t>
        </is>
      </c>
      <c r="F432" t="inlineStr">
        <is>
          <t>Kyrkan</t>
        </is>
      </c>
      <c r="G432" t="n">
        <v>3.9</v>
      </c>
      <c r="H432" t="n">
        <v>0</v>
      </c>
      <c r="I432" t="n">
        <v>0</v>
      </c>
      <c r="J432" t="n">
        <v>0</v>
      </c>
      <c r="K432" t="n">
        <v>0</v>
      </c>
      <c r="L432" t="n">
        <v>0</v>
      </c>
      <c r="M432" t="n">
        <v>0</v>
      </c>
      <c r="N432" t="n">
        <v>0</v>
      </c>
      <c r="O432" t="n">
        <v>0</v>
      </c>
      <c r="P432" t="n">
        <v>0</v>
      </c>
      <c r="Q432" t="n">
        <v>0</v>
      </c>
      <c r="R432" s="2" t="inlineStr"/>
    </row>
    <row r="433" ht="15" customHeight="1">
      <c r="A433" t="inlineStr">
        <is>
          <t>A 17847-2025</t>
        </is>
      </c>
      <c r="B433" s="1" t="n">
        <v>45758</v>
      </c>
      <c r="C433" s="1" t="n">
        <v>46031</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61080-2025</t>
        </is>
      </c>
      <c r="B434" s="1" t="n">
        <v>46000</v>
      </c>
      <c r="C434" s="1" t="n">
        <v>46031</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18742-2025</t>
        </is>
      </c>
      <c r="B435" s="1" t="n">
        <v>45763</v>
      </c>
      <c r="C435" s="1" t="n">
        <v>46031</v>
      </c>
      <c r="D435" t="inlineStr">
        <is>
          <t>GOTLANDS LÄN</t>
        </is>
      </c>
      <c r="E435" t="inlineStr">
        <is>
          <t>GOTLAND</t>
        </is>
      </c>
      <c r="G435" t="n">
        <v>3.4</v>
      </c>
      <c r="H435" t="n">
        <v>0</v>
      </c>
      <c r="I435" t="n">
        <v>0</v>
      </c>
      <c r="J435" t="n">
        <v>0</v>
      </c>
      <c r="K435" t="n">
        <v>0</v>
      </c>
      <c r="L435" t="n">
        <v>0</v>
      </c>
      <c r="M435" t="n">
        <v>0</v>
      </c>
      <c r="N435" t="n">
        <v>0</v>
      </c>
      <c r="O435" t="n">
        <v>0</v>
      </c>
      <c r="P435" t="n">
        <v>0</v>
      </c>
      <c r="Q435" t="n">
        <v>0</v>
      </c>
      <c r="R435" s="2" t="inlineStr"/>
    </row>
    <row r="436" ht="15" customHeight="1">
      <c r="A436" t="inlineStr">
        <is>
          <t>A 36319-2025</t>
        </is>
      </c>
      <c r="B436" s="1" t="n">
        <v>45868</v>
      </c>
      <c r="C436" s="1" t="n">
        <v>46031</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46031</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35129-2025</t>
        </is>
      </c>
      <c r="B438" s="1" t="n">
        <v>45852.63224537037</v>
      </c>
      <c r="C438" s="1" t="n">
        <v>46031</v>
      </c>
      <c r="D438" t="inlineStr">
        <is>
          <t>GOTLANDS LÄN</t>
        </is>
      </c>
      <c r="E438" t="inlineStr">
        <is>
          <t>GOTLAND</t>
        </is>
      </c>
      <c r="G438" t="n">
        <v>3.2</v>
      </c>
      <c r="H438" t="n">
        <v>0</v>
      </c>
      <c r="I438" t="n">
        <v>0</v>
      </c>
      <c r="J438" t="n">
        <v>0</v>
      </c>
      <c r="K438" t="n">
        <v>0</v>
      </c>
      <c r="L438" t="n">
        <v>0</v>
      </c>
      <c r="M438" t="n">
        <v>0</v>
      </c>
      <c r="N438" t="n">
        <v>0</v>
      </c>
      <c r="O438" t="n">
        <v>0</v>
      </c>
      <c r="P438" t="n">
        <v>0</v>
      </c>
      <c r="Q438" t="n">
        <v>0</v>
      </c>
      <c r="R438" s="2" t="inlineStr"/>
    </row>
    <row r="439" ht="15" customHeight="1">
      <c r="A439" t="inlineStr">
        <is>
          <t>A 7638-2025</t>
        </is>
      </c>
      <c r="B439" s="1" t="n">
        <v>45705.77306712963</v>
      </c>
      <c r="C439" s="1" t="n">
        <v>46031</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50482-2024</t>
        </is>
      </c>
      <c r="B440" s="1" t="n">
        <v>45601.48114583334</v>
      </c>
      <c r="C440" s="1" t="n">
        <v>46031</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1394-2023</t>
        </is>
      </c>
      <c r="B441" s="1" t="n">
        <v>44936.72997685185</v>
      </c>
      <c r="C441" s="1" t="n">
        <v>46031</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58230-2024</t>
        </is>
      </c>
      <c r="B442" s="1" t="n">
        <v>45632.51625</v>
      </c>
      <c r="C442" s="1" t="n">
        <v>46031</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46031</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63152-2025</t>
        </is>
      </c>
      <c r="B444" s="1" t="n">
        <v>46010.35789351852</v>
      </c>
      <c r="C444" s="1" t="n">
        <v>46031</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62751-2025</t>
        </is>
      </c>
      <c r="B445" s="1" t="n">
        <v>46008.58076388889</v>
      </c>
      <c r="C445" s="1" t="n">
        <v>46031</v>
      </c>
      <c r="D445" t="inlineStr">
        <is>
          <t>GOTLANDS LÄN</t>
        </is>
      </c>
      <c r="E445" t="inlineStr">
        <is>
          <t>GOTLAND</t>
        </is>
      </c>
      <c r="F445" t="inlineStr">
        <is>
          <t>Övriga Aktiebolag</t>
        </is>
      </c>
      <c r="G445" t="n">
        <v>7.8</v>
      </c>
      <c r="H445" t="n">
        <v>0</v>
      </c>
      <c r="I445" t="n">
        <v>0</v>
      </c>
      <c r="J445" t="n">
        <v>0</v>
      </c>
      <c r="K445" t="n">
        <v>0</v>
      </c>
      <c r="L445" t="n">
        <v>0</v>
      </c>
      <c r="M445" t="n">
        <v>0</v>
      </c>
      <c r="N445" t="n">
        <v>0</v>
      </c>
      <c r="O445" t="n">
        <v>0</v>
      </c>
      <c r="P445" t="n">
        <v>0</v>
      </c>
      <c r="Q445" t="n">
        <v>0</v>
      </c>
      <c r="R445" s="2" t="inlineStr"/>
    </row>
    <row r="446" ht="15" customHeight="1">
      <c r="A446" t="inlineStr">
        <is>
          <t>A 56799-2025</t>
        </is>
      </c>
      <c r="B446" s="1" t="n">
        <v>45978.43392361111</v>
      </c>
      <c r="C446" s="1" t="n">
        <v>46031</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62674-2025</t>
        </is>
      </c>
      <c r="B447" s="1" t="n">
        <v>46008.44890046296</v>
      </c>
      <c r="C447" s="1" t="n">
        <v>46031</v>
      </c>
      <c r="D447" t="inlineStr">
        <is>
          <t>GOTLANDS LÄN</t>
        </is>
      </c>
      <c r="E447" t="inlineStr">
        <is>
          <t>GOTLAND</t>
        </is>
      </c>
      <c r="G447" t="n">
        <v>5</v>
      </c>
      <c r="H447" t="n">
        <v>0</v>
      </c>
      <c r="I447" t="n">
        <v>0</v>
      </c>
      <c r="J447" t="n">
        <v>0</v>
      </c>
      <c r="K447" t="n">
        <v>0</v>
      </c>
      <c r="L447" t="n">
        <v>0</v>
      </c>
      <c r="M447" t="n">
        <v>0</v>
      </c>
      <c r="N447" t="n">
        <v>0</v>
      </c>
      <c r="O447" t="n">
        <v>0</v>
      </c>
      <c r="P447" t="n">
        <v>0</v>
      </c>
      <c r="Q447" t="n">
        <v>0</v>
      </c>
      <c r="R447" s="2" t="inlineStr"/>
    </row>
    <row r="448" ht="15" customHeight="1">
      <c r="A448" t="inlineStr">
        <is>
          <t>A 25129-2023</t>
        </is>
      </c>
      <c r="B448" s="1" t="n">
        <v>45086.44261574074</v>
      </c>
      <c r="C448" s="1" t="n">
        <v>46031</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24192-2023</t>
        </is>
      </c>
      <c r="B449" s="1" t="n">
        <v>45079</v>
      </c>
      <c r="C449" s="1" t="n">
        <v>46031</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5386-2023</t>
        </is>
      </c>
      <c r="B450" s="1" t="n">
        <v>44959</v>
      </c>
      <c r="C450" s="1" t="n">
        <v>46031</v>
      </c>
      <c r="D450" t="inlineStr">
        <is>
          <t>GOTLANDS LÄN</t>
        </is>
      </c>
      <c r="E450" t="inlineStr">
        <is>
          <t>GOTLAND</t>
        </is>
      </c>
      <c r="G450" t="n">
        <v>5.4</v>
      </c>
      <c r="H450" t="n">
        <v>0</v>
      </c>
      <c r="I450" t="n">
        <v>0</v>
      </c>
      <c r="J450" t="n">
        <v>0</v>
      </c>
      <c r="K450" t="n">
        <v>0</v>
      </c>
      <c r="L450" t="n">
        <v>0</v>
      </c>
      <c r="M450" t="n">
        <v>0</v>
      </c>
      <c r="N450" t="n">
        <v>0</v>
      </c>
      <c r="O450" t="n">
        <v>0</v>
      </c>
      <c r="P450" t="n">
        <v>0</v>
      </c>
      <c r="Q450" t="n">
        <v>0</v>
      </c>
      <c r="R450" s="2" t="inlineStr"/>
    </row>
    <row r="451" ht="15" customHeight="1">
      <c r="A451" t="inlineStr">
        <is>
          <t>A 7026-2023</t>
        </is>
      </c>
      <c r="B451" s="1" t="n">
        <v>44968.30340277778</v>
      </c>
      <c r="C451" s="1" t="n">
        <v>46031</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20855-2023</t>
        </is>
      </c>
      <c r="B452" s="1" t="n">
        <v>45058.82172453704</v>
      </c>
      <c r="C452" s="1" t="n">
        <v>46031</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1000-2024</t>
        </is>
      </c>
      <c r="B453" s="1" t="n">
        <v>45301.63371527778</v>
      </c>
      <c r="C453" s="1" t="n">
        <v>46031</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1010-2024</t>
        </is>
      </c>
      <c r="B454" s="1" t="n">
        <v>45301</v>
      </c>
      <c r="C454" s="1" t="n">
        <v>46031</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6108-2025</t>
        </is>
      </c>
      <c r="B455" s="1" t="n">
        <v>45698.29880787037</v>
      </c>
      <c r="C455" s="1" t="n">
        <v>46031</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21142-2025</t>
        </is>
      </c>
      <c r="B456" s="1" t="n">
        <v>45779</v>
      </c>
      <c r="C456" s="1" t="n">
        <v>46031</v>
      </c>
      <c r="D456" t="inlineStr">
        <is>
          <t>GOTLANDS LÄN</t>
        </is>
      </c>
      <c r="E456" t="inlineStr">
        <is>
          <t>GOTLAND</t>
        </is>
      </c>
      <c r="G456" t="n">
        <v>1.3</v>
      </c>
      <c r="H456" t="n">
        <v>0</v>
      </c>
      <c r="I456" t="n">
        <v>0</v>
      </c>
      <c r="J456" t="n">
        <v>0</v>
      </c>
      <c r="K456" t="n">
        <v>0</v>
      </c>
      <c r="L456" t="n">
        <v>0</v>
      </c>
      <c r="M456" t="n">
        <v>0</v>
      </c>
      <c r="N456" t="n">
        <v>0</v>
      </c>
      <c r="O456" t="n">
        <v>0</v>
      </c>
      <c r="P456" t="n">
        <v>0</v>
      </c>
      <c r="Q456" t="n">
        <v>0</v>
      </c>
      <c r="R456" s="2" t="inlineStr"/>
    </row>
    <row r="457" ht="15" customHeight="1">
      <c r="A457" t="inlineStr">
        <is>
          <t>A 17343-2025</t>
        </is>
      </c>
      <c r="B457" s="1" t="n">
        <v>45756.6687037037</v>
      </c>
      <c r="C457" s="1" t="n">
        <v>46031</v>
      </c>
      <c r="D457" t="inlineStr">
        <is>
          <t>GOTLANDS LÄN</t>
        </is>
      </c>
      <c r="E457" t="inlineStr">
        <is>
          <t>GOTLAND</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47762-2023</t>
        </is>
      </c>
      <c r="B458" s="1" t="n">
        <v>45203.86256944444</v>
      </c>
      <c r="C458" s="1" t="n">
        <v>46031</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18938-2025</t>
        </is>
      </c>
      <c r="B459" s="1" t="n">
        <v>45764.49172453704</v>
      </c>
      <c r="C459" s="1" t="n">
        <v>46031</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30489-2025</t>
        </is>
      </c>
      <c r="B460" s="1" t="n">
        <v>45830</v>
      </c>
      <c r="C460" s="1" t="n">
        <v>46031</v>
      </c>
      <c r="D460" t="inlineStr">
        <is>
          <t>GOTLANDS LÄN</t>
        </is>
      </c>
      <c r="E460" t="inlineStr">
        <is>
          <t>GOTLAND</t>
        </is>
      </c>
      <c r="G460" t="n">
        <v>4.6</v>
      </c>
      <c r="H460" t="n">
        <v>0</v>
      </c>
      <c r="I460" t="n">
        <v>0</v>
      </c>
      <c r="J460" t="n">
        <v>0</v>
      </c>
      <c r="K460" t="n">
        <v>0</v>
      </c>
      <c r="L460" t="n">
        <v>0</v>
      </c>
      <c r="M460" t="n">
        <v>0</v>
      </c>
      <c r="N460" t="n">
        <v>0</v>
      </c>
      <c r="O460" t="n">
        <v>0</v>
      </c>
      <c r="P460" t="n">
        <v>0</v>
      </c>
      <c r="Q460" t="n">
        <v>0</v>
      </c>
      <c r="R460" s="2" t="inlineStr"/>
    </row>
    <row r="461" ht="15" customHeight="1">
      <c r="A461" t="inlineStr">
        <is>
          <t>A 46545-2024</t>
        </is>
      </c>
      <c r="B461" s="1" t="n">
        <v>45582.65831018519</v>
      </c>
      <c r="C461" s="1" t="n">
        <v>46031</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20307-2025</t>
        </is>
      </c>
      <c r="B462" s="1" t="n">
        <v>45774.95546296296</v>
      </c>
      <c r="C462" s="1" t="n">
        <v>46031</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60086-2022</t>
        </is>
      </c>
      <c r="B463" s="1" t="n">
        <v>44909</v>
      </c>
      <c r="C463" s="1" t="n">
        <v>46031</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28480-2023</t>
        </is>
      </c>
      <c r="B464" s="1" t="n">
        <v>45103</v>
      </c>
      <c r="C464" s="1" t="n">
        <v>46031</v>
      </c>
      <c r="D464" t="inlineStr">
        <is>
          <t>GOTLANDS LÄN</t>
        </is>
      </c>
      <c r="E464" t="inlineStr">
        <is>
          <t>GOTLAND</t>
        </is>
      </c>
      <c r="G464" t="n">
        <v>5.7</v>
      </c>
      <c r="H464" t="n">
        <v>0</v>
      </c>
      <c r="I464" t="n">
        <v>0</v>
      </c>
      <c r="J464" t="n">
        <v>0</v>
      </c>
      <c r="K464" t="n">
        <v>0</v>
      </c>
      <c r="L464" t="n">
        <v>0</v>
      </c>
      <c r="M464" t="n">
        <v>0</v>
      </c>
      <c r="N464" t="n">
        <v>0</v>
      </c>
      <c r="O464" t="n">
        <v>0</v>
      </c>
      <c r="P464" t="n">
        <v>0</v>
      </c>
      <c r="Q464" t="n">
        <v>0</v>
      </c>
      <c r="R464" s="2" t="inlineStr"/>
    </row>
    <row r="465" ht="15" customHeight="1">
      <c r="A465" t="inlineStr">
        <is>
          <t>A 28485-2023</t>
        </is>
      </c>
      <c r="B465" s="1" t="n">
        <v>45103.43731481482</v>
      </c>
      <c r="C465" s="1" t="n">
        <v>46031</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2292-2021</t>
        </is>
      </c>
      <c r="B466" s="1" t="n">
        <v>44212</v>
      </c>
      <c r="C466" s="1" t="n">
        <v>46031</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62915-2021</t>
        </is>
      </c>
      <c r="B467" s="1" t="n">
        <v>44504</v>
      </c>
      <c r="C467" s="1" t="n">
        <v>46031</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44949-2023</t>
        </is>
      </c>
      <c r="B468" s="1" t="n">
        <v>45190.69520833333</v>
      </c>
      <c r="C468" s="1" t="n">
        <v>46031</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46031</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3964-2024</t>
        </is>
      </c>
      <c r="B470" s="1" t="n">
        <v>45322</v>
      </c>
      <c r="C470" s="1" t="n">
        <v>46031</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45084-2024</t>
        </is>
      </c>
      <c r="B471" s="1" t="n">
        <v>45575</v>
      </c>
      <c r="C471" s="1" t="n">
        <v>46031</v>
      </c>
      <c r="D471" t="inlineStr">
        <is>
          <t>GOTLANDS LÄN</t>
        </is>
      </c>
      <c r="E471" t="inlineStr">
        <is>
          <t>GOTLAND</t>
        </is>
      </c>
      <c r="G471" t="n">
        <v>6.8</v>
      </c>
      <c r="H471" t="n">
        <v>0</v>
      </c>
      <c r="I471" t="n">
        <v>0</v>
      </c>
      <c r="J471" t="n">
        <v>0</v>
      </c>
      <c r="K471" t="n">
        <v>0</v>
      </c>
      <c r="L471" t="n">
        <v>0</v>
      </c>
      <c r="M471" t="n">
        <v>0</v>
      </c>
      <c r="N471" t="n">
        <v>0</v>
      </c>
      <c r="O471" t="n">
        <v>0</v>
      </c>
      <c r="P471" t="n">
        <v>0</v>
      </c>
      <c r="Q471" t="n">
        <v>0</v>
      </c>
      <c r="R471" s="2" t="inlineStr"/>
    </row>
    <row r="472" ht="15" customHeight="1">
      <c r="A472" t="inlineStr">
        <is>
          <t>A 5217-2023</t>
        </is>
      </c>
      <c r="B472" s="1" t="n">
        <v>44959.39582175926</v>
      </c>
      <c r="C472" s="1" t="n">
        <v>46031</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1677-2023</t>
        </is>
      </c>
      <c r="B473" s="1" t="n">
        <v>44938</v>
      </c>
      <c r="C473" s="1" t="n">
        <v>46031</v>
      </c>
      <c r="D473" t="inlineStr">
        <is>
          <t>GOTLANDS LÄN</t>
        </is>
      </c>
      <c r="E473" t="inlineStr">
        <is>
          <t>GOTLAND</t>
        </is>
      </c>
      <c r="G473" t="n">
        <v>1.6</v>
      </c>
      <c r="H473" t="n">
        <v>0</v>
      </c>
      <c r="I473" t="n">
        <v>0</v>
      </c>
      <c r="J473" t="n">
        <v>0</v>
      </c>
      <c r="K473" t="n">
        <v>0</v>
      </c>
      <c r="L473" t="n">
        <v>0</v>
      </c>
      <c r="M473" t="n">
        <v>0</v>
      </c>
      <c r="N473" t="n">
        <v>0</v>
      </c>
      <c r="O473" t="n">
        <v>0</v>
      </c>
      <c r="P473" t="n">
        <v>0</v>
      </c>
      <c r="Q473" t="n">
        <v>0</v>
      </c>
      <c r="R473" s="2" t="inlineStr"/>
    </row>
    <row r="474" ht="15" customHeight="1">
      <c r="A474" t="inlineStr">
        <is>
          <t>A 45244-2024</t>
        </is>
      </c>
      <c r="B474" s="1" t="n">
        <v>45576</v>
      </c>
      <c r="C474" s="1" t="n">
        <v>46031</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8260-2023</t>
        </is>
      </c>
      <c r="B475" s="1" t="n">
        <v>44974.61608796296</v>
      </c>
      <c r="C475" s="1" t="n">
        <v>46031</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64969-2023</t>
        </is>
      </c>
      <c r="B476" s="1" t="n">
        <v>45284.54009259259</v>
      </c>
      <c r="C476" s="1" t="n">
        <v>46031</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48843-2024</t>
        </is>
      </c>
      <c r="B477" s="1" t="n">
        <v>45593</v>
      </c>
      <c r="C477" s="1" t="n">
        <v>46031</v>
      </c>
      <c r="D477" t="inlineStr">
        <is>
          <t>GOTLANDS LÄN</t>
        </is>
      </c>
      <c r="E477" t="inlineStr">
        <is>
          <t>GOTLAND</t>
        </is>
      </c>
      <c r="G477" t="n">
        <v>0.5</v>
      </c>
      <c r="H477" t="n">
        <v>0</v>
      </c>
      <c r="I477" t="n">
        <v>0</v>
      </c>
      <c r="J477" t="n">
        <v>0</v>
      </c>
      <c r="K477" t="n">
        <v>0</v>
      </c>
      <c r="L477" t="n">
        <v>0</v>
      </c>
      <c r="M477" t="n">
        <v>0</v>
      </c>
      <c r="N477" t="n">
        <v>0</v>
      </c>
      <c r="O477" t="n">
        <v>0</v>
      </c>
      <c r="P477" t="n">
        <v>0</v>
      </c>
      <c r="Q477" t="n">
        <v>0</v>
      </c>
      <c r="R477" s="2" t="inlineStr"/>
    </row>
    <row r="478" ht="15" customHeight="1">
      <c r="A478" t="inlineStr">
        <is>
          <t>A 17541-2024</t>
        </is>
      </c>
      <c r="B478" s="1" t="n">
        <v>45415</v>
      </c>
      <c r="C478" s="1" t="n">
        <v>46031</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2241-2025</t>
        </is>
      </c>
      <c r="B479" s="1" t="n">
        <v>45673.48710648148</v>
      </c>
      <c r="C479" s="1" t="n">
        <v>46031</v>
      </c>
      <c r="D479" t="inlineStr">
        <is>
          <t>GOTLANDS LÄN</t>
        </is>
      </c>
      <c r="E479" t="inlineStr">
        <is>
          <t>GOTLAND</t>
        </is>
      </c>
      <c r="G479" t="n">
        <v>1</v>
      </c>
      <c r="H479" t="n">
        <v>0</v>
      </c>
      <c r="I479" t="n">
        <v>0</v>
      </c>
      <c r="J479" t="n">
        <v>0</v>
      </c>
      <c r="K479" t="n">
        <v>0</v>
      </c>
      <c r="L479" t="n">
        <v>0</v>
      </c>
      <c r="M479" t="n">
        <v>0</v>
      </c>
      <c r="N479" t="n">
        <v>0</v>
      </c>
      <c r="O479" t="n">
        <v>0</v>
      </c>
      <c r="P479" t="n">
        <v>0</v>
      </c>
      <c r="Q479" t="n">
        <v>0</v>
      </c>
      <c r="R479" s="2" t="inlineStr"/>
    </row>
    <row r="480" ht="15" customHeight="1">
      <c r="A480" t="inlineStr">
        <is>
          <t>A 15434-2024</t>
        </is>
      </c>
      <c r="B480" s="1" t="n">
        <v>45401.38836805556</v>
      </c>
      <c r="C480" s="1" t="n">
        <v>46031</v>
      </c>
      <c r="D480" t="inlineStr">
        <is>
          <t>GOTLANDS LÄN</t>
        </is>
      </c>
      <c r="E480" t="inlineStr">
        <is>
          <t>GOTLAND</t>
        </is>
      </c>
      <c r="G480" t="n">
        <v>2.5</v>
      </c>
      <c r="H480" t="n">
        <v>0</v>
      </c>
      <c r="I480" t="n">
        <v>0</v>
      </c>
      <c r="J480" t="n">
        <v>0</v>
      </c>
      <c r="K480" t="n">
        <v>0</v>
      </c>
      <c r="L480" t="n">
        <v>0</v>
      </c>
      <c r="M480" t="n">
        <v>0</v>
      </c>
      <c r="N480" t="n">
        <v>0</v>
      </c>
      <c r="O480" t="n">
        <v>0</v>
      </c>
      <c r="P480" t="n">
        <v>0</v>
      </c>
      <c r="Q480" t="n">
        <v>0</v>
      </c>
      <c r="R480" s="2" t="inlineStr"/>
    </row>
    <row r="481" ht="15" customHeight="1">
      <c r="A481" t="inlineStr">
        <is>
          <t>A 5943-2024</t>
        </is>
      </c>
      <c r="B481" s="1" t="n">
        <v>45336</v>
      </c>
      <c r="C481" s="1" t="n">
        <v>46031</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54073-2022</t>
        </is>
      </c>
      <c r="B482" s="1" t="n">
        <v>44881.50380787037</v>
      </c>
      <c r="C482" s="1" t="n">
        <v>46031</v>
      </c>
      <c r="D482" t="inlineStr">
        <is>
          <t>GOTLANDS LÄN</t>
        </is>
      </c>
      <c r="E482" t="inlineStr">
        <is>
          <t>GOTLAND</t>
        </is>
      </c>
      <c r="G482" t="n">
        <v>3.8</v>
      </c>
      <c r="H482" t="n">
        <v>0</v>
      </c>
      <c r="I482" t="n">
        <v>0</v>
      </c>
      <c r="J482" t="n">
        <v>0</v>
      </c>
      <c r="K482" t="n">
        <v>0</v>
      </c>
      <c r="L482" t="n">
        <v>0</v>
      </c>
      <c r="M482" t="n">
        <v>0</v>
      </c>
      <c r="N482" t="n">
        <v>0</v>
      </c>
      <c r="O482" t="n">
        <v>0</v>
      </c>
      <c r="P482" t="n">
        <v>0</v>
      </c>
      <c r="Q482" t="n">
        <v>0</v>
      </c>
      <c r="R482" s="2" t="inlineStr"/>
    </row>
    <row r="483" ht="15" customHeight="1">
      <c r="A483" t="inlineStr">
        <is>
          <t>A 16361-2024</t>
        </is>
      </c>
      <c r="B483" s="1" t="n">
        <v>45407</v>
      </c>
      <c r="C483" s="1" t="n">
        <v>46031</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41038-2023</t>
        </is>
      </c>
      <c r="B484" s="1" t="n">
        <v>45173.60959490741</v>
      </c>
      <c r="C484" s="1" t="n">
        <v>46031</v>
      </c>
      <c r="D484" t="inlineStr">
        <is>
          <t>GOTLANDS LÄN</t>
        </is>
      </c>
      <c r="E484" t="inlineStr">
        <is>
          <t>GOTLAND</t>
        </is>
      </c>
      <c r="G484" t="n">
        <v>2.7</v>
      </c>
      <c r="H484" t="n">
        <v>0</v>
      </c>
      <c r="I484" t="n">
        <v>0</v>
      </c>
      <c r="J484" t="n">
        <v>0</v>
      </c>
      <c r="K484" t="n">
        <v>0</v>
      </c>
      <c r="L484" t="n">
        <v>0</v>
      </c>
      <c r="M484" t="n">
        <v>0</v>
      </c>
      <c r="N484" t="n">
        <v>0</v>
      </c>
      <c r="O484" t="n">
        <v>0</v>
      </c>
      <c r="P484" t="n">
        <v>0</v>
      </c>
      <c r="Q484" t="n">
        <v>0</v>
      </c>
      <c r="R484" s="2" t="inlineStr"/>
    </row>
    <row r="485" ht="15" customHeight="1">
      <c r="A485" t="inlineStr">
        <is>
          <t>A 14427-2024</t>
        </is>
      </c>
      <c r="B485" s="1" t="n">
        <v>45394</v>
      </c>
      <c r="C485" s="1" t="n">
        <v>46031</v>
      </c>
      <c r="D485" t="inlineStr">
        <is>
          <t>GOTLANDS LÄN</t>
        </is>
      </c>
      <c r="E485" t="inlineStr">
        <is>
          <t>GOTLAND</t>
        </is>
      </c>
      <c r="G485" t="n">
        <v>1.3</v>
      </c>
      <c r="H485" t="n">
        <v>0</v>
      </c>
      <c r="I485" t="n">
        <v>0</v>
      </c>
      <c r="J485" t="n">
        <v>0</v>
      </c>
      <c r="K485" t="n">
        <v>0</v>
      </c>
      <c r="L485" t="n">
        <v>0</v>
      </c>
      <c r="M485" t="n">
        <v>0</v>
      </c>
      <c r="N485" t="n">
        <v>0</v>
      </c>
      <c r="O485" t="n">
        <v>0</v>
      </c>
      <c r="P485" t="n">
        <v>0</v>
      </c>
      <c r="Q485" t="n">
        <v>0</v>
      </c>
      <c r="R485" s="2" t="inlineStr"/>
    </row>
    <row r="486" ht="15" customHeight="1">
      <c r="A486" t="inlineStr">
        <is>
          <t>A 31802-2024</t>
        </is>
      </c>
      <c r="B486" s="1" t="n">
        <v>45509</v>
      </c>
      <c r="C486" s="1" t="n">
        <v>46031</v>
      </c>
      <c r="D486" t="inlineStr">
        <is>
          <t>GOTLANDS LÄN</t>
        </is>
      </c>
      <c r="E486" t="inlineStr">
        <is>
          <t>GOTLAND</t>
        </is>
      </c>
      <c r="G486" t="n">
        <v>2.8</v>
      </c>
      <c r="H486" t="n">
        <v>0</v>
      </c>
      <c r="I486" t="n">
        <v>0</v>
      </c>
      <c r="J486" t="n">
        <v>0</v>
      </c>
      <c r="K486" t="n">
        <v>0</v>
      </c>
      <c r="L486" t="n">
        <v>0</v>
      </c>
      <c r="M486" t="n">
        <v>0</v>
      </c>
      <c r="N486" t="n">
        <v>0</v>
      </c>
      <c r="O486" t="n">
        <v>0</v>
      </c>
      <c r="P486" t="n">
        <v>0</v>
      </c>
      <c r="Q486" t="n">
        <v>0</v>
      </c>
      <c r="R486" s="2" t="inlineStr"/>
    </row>
    <row r="487" ht="15" customHeight="1">
      <c r="A487" t="inlineStr">
        <is>
          <t>A 8036-2022</t>
        </is>
      </c>
      <c r="B487" s="1" t="n">
        <v>44609.44362268518</v>
      </c>
      <c r="C487" s="1" t="n">
        <v>46031</v>
      </c>
      <c r="D487" t="inlineStr">
        <is>
          <t>GOTLANDS LÄN</t>
        </is>
      </c>
      <c r="E487" t="inlineStr">
        <is>
          <t>GOTLAND</t>
        </is>
      </c>
      <c r="G487" t="n">
        <v>6.1</v>
      </c>
      <c r="H487" t="n">
        <v>0</v>
      </c>
      <c r="I487" t="n">
        <v>0</v>
      </c>
      <c r="J487" t="n">
        <v>0</v>
      </c>
      <c r="K487" t="n">
        <v>0</v>
      </c>
      <c r="L487" t="n">
        <v>0</v>
      </c>
      <c r="M487" t="n">
        <v>0</v>
      </c>
      <c r="N487" t="n">
        <v>0</v>
      </c>
      <c r="O487" t="n">
        <v>0</v>
      </c>
      <c r="P487" t="n">
        <v>0</v>
      </c>
      <c r="Q487" t="n">
        <v>0</v>
      </c>
      <c r="R487" s="2" t="inlineStr"/>
    </row>
    <row r="488" ht="15" customHeight="1">
      <c r="A488" t="inlineStr">
        <is>
          <t>A 12846-2025</t>
        </is>
      </c>
      <c r="B488" s="1" t="n">
        <v>45733.65049768519</v>
      </c>
      <c r="C488" s="1" t="n">
        <v>46031</v>
      </c>
      <c r="D488" t="inlineStr">
        <is>
          <t>GOTLANDS LÄN</t>
        </is>
      </c>
      <c r="E488" t="inlineStr">
        <is>
          <t>GOTLAND</t>
        </is>
      </c>
      <c r="G488" t="n">
        <v>1.7</v>
      </c>
      <c r="H488" t="n">
        <v>0</v>
      </c>
      <c r="I488" t="n">
        <v>0</v>
      </c>
      <c r="J488" t="n">
        <v>0</v>
      </c>
      <c r="K488" t="n">
        <v>0</v>
      </c>
      <c r="L488" t="n">
        <v>0</v>
      </c>
      <c r="M488" t="n">
        <v>0</v>
      </c>
      <c r="N488" t="n">
        <v>0</v>
      </c>
      <c r="O488" t="n">
        <v>0</v>
      </c>
      <c r="P488" t="n">
        <v>0</v>
      </c>
      <c r="Q488" t="n">
        <v>0</v>
      </c>
      <c r="R488" s="2" t="inlineStr"/>
    </row>
    <row r="489" ht="15" customHeight="1">
      <c r="A489" t="inlineStr">
        <is>
          <t>A 46949-2024</t>
        </is>
      </c>
      <c r="B489" s="1" t="n">
        <v>45585</v>
      </c>
      <c r="C489" s="1" t="n">
        <v>46031</v>
      </c>
      <c r="D489" t="inlineStr">
        <is>
          <t>GOTLANDS LÄN</t>
        </is>
      </c>
      <c r="E489" t="inlineStr">
        <is>
          <t>GOTLAND</t>
        </is>
      </c>
      <c r="G489" t="n">
        <v>0.6</v>
      </c>
      <c r="H489" t="n">
        <v>0</v>
      </c>
      <c r="I489" t="n">
        <v>0</v>
      </c>
      <c r="J489" t="n">
        <v>0</v>
      </c>
      <c r="K489" t="n">
        <v>0</v>
      </c>
      <c r="L489" t="n">
        <v>0</v>
      </c>
      <c r="M489" t="n">
        <v>0</v>
      </c>
      <c r="N489" t="n">
        <v>0</v>
      </c>
      <c r="O489" t="n">
        <v>0</v>
      </c>
      <c r="P489" t="n">
        <v>0</v>
      </c>
      <c r="Q489" t="n">
        <v>0</v>
      </c>
      <c r="R489" s="2" t="inlineStr"/>
    </row>
    <row r="490" ht="15" customHeight="1">
      <c r="A490" t="inlineStr">
        <is>
          <t>A 10650-2022</t>
        </is>
      </c>
      <c r="B490" s="1" t="n">
        <v>44624.57945601852</v>
      </c>
      <c r="C490" s="1" t="n">
        <v>46031</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11634-2024</t>
        </is>
      </c>
      <c r="B491" s="1" t="n">
        <v>45373</v>
      </c>
      <c r="C491" s="1" t="n">
        <v>46031</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1351-2025</t>
        </is>
      </c>
      <c r="B492" s="1" t="n">
        <v>45667.62246527777</v>
      </c>
      <c r="C492" s="1" t="n">
        <v>46031</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46031</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49874-2024</t>
        </is>
      </c>
      <c r="B494" s="1" t="n">
        <v>45597.49274305555</v>
      </c>
      <c r="C494" s="1" t="n">
        <v>46031</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42201-2023</t>
        </is>
      </c>
      <c r="B495" s="1" t="n">
        <v>45179</v>
      </c>
      <c r="C495" s="1" t="n">
        <v>46031</v>
      </c>
      <c r="D495" t="inlineStr">
        <is>
          <t>GOTLANDS LÄN</t>
        </is>
      </c>
      <c r="E495" t="inlineStr">
        <is>
          <t>GOTLAND</t>
        </is>
      </c>
      <c r="G495" t="n">
        <v>11.9</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46031</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46031</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46031</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46031</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46031</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61897-2024</t>
        </is>
      </c>
      <c r="B501" s="1" t="n">
        <v>45652.75685185185</v>
      </c>
      <c r="C501" s="1" t="n">
        <v>46031</v>
      </c>
      <c r="D501" t="inlineStr">
        <is>
          <t>GOTLANDS LÄN</t>
        </is>
      </c>
      <c r="E501" t="inlineStr">
        <is>
          <t>GOTLAND</t>
        </is>
      </c>
      <c r="G501" t="n">
        <v>6.4</v>
      </c>
      <c r="H501" t="n">
        <v>0</v>
      </c>
      <c r="I501" t="n">
        <v>0</v>
      </c>
      <c r="J501" t="n">
        <v>0</v>
      </c>
      <c r="K501" t="n">
        <v>0</v>
      </c>
      <c r="L501" t="n">
        <v>0</v>
      </c>
      <c r="M501" t="n">
        <v>0</v>
      </c>
      <c r="N501" t="n">
        <v>0</v>
      </c>
      <c r="O501" t="n">
        <v>0</v>
      </c>
      <c r="P501" t="n">
        <v>0</v>
      </c>
      <c r="Q501" t="n">
        <v>0</v>
      </c>
      <c r="R501" s="2" t="inlineStr"/>
    </row>
    <row r="502" ht="15" customHeight="1">
      <c r="A502" t="inlineStr">
        <is>
          <t>A 49962-2023</t>
        </is>
      </c>
      <c r="B502" s="1" t="n">
        <v>45215.38775462963</v>
      </c>
      <c r="C502" s="1" t="n">
        <v>46031</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20165-2022</t>
        </is>
      </c>
      <c r="B503" s="1" t="n">
        <v>44698.49854166667</v>
      </c>
      <c r="C503" s="1" t="n">
        <v>46031</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40294-2022</t>
        </is>
      </c>
      <c r="B504" s="1" t="n">
        <v>44821</v>
      </c>
      <c r="C504" s="1" t="n">
        <v>46031</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12032-2025</t>
        </is>
      </c>
      <c r="B505" s="1" t="n">
        <v>45728.64472222222</v>
      </c>
      <c r="C505" s="1" t="n">
        <v>46031</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38787-2023</t>
        </is>
      </c>
      <c r="B506" s="1" t="n">
        <v>45163</v>
      </c>
      <c r="C506" s="1" t="n">
        <v>46031</v>
      </c>
      <c r="D506" t="inlineStr">
        <is>
          <t>GOTLANDS LÄN</t>
        </is>
      </c>
      <c r="E506" t="inlineStr">
        <is>
          <t>GOTLAND</t>
        </is>
      </c>
      <c r="G506" t="n">
        <v>0.4</v>
      </c>
      <c r="H506" t="n">
        <v>0</v>
      </c>
      <c r="I506" t="n">
        <v>0</v>
      </c>
      <c r="J506" t="n">
        <v>0</v>
      </c>
      <c r="K506" t="n">
        <v>0</v>
      </c>
      <c r="L506" t="n">
        <v>0</v>
      </c>
      <c r="M506" t="n">
        <v>0</v>
      </c>
      <c r="N506" t="n">
        <v>0</v>
      </c>
      <c r="O506" t="n">
        <v>0</v>
      </c>
      <c r="P506" t="n">
        <v>0</v>
      </c>
      <c r="Q506" t="n">
        <v>0</v>
      </c>
      <c r="R506" s="2" t="inlineStr"/>
    </row>
    <row r="507" ht="15" customHeight="1">
      <c r="A507" t="inlineStr">
        <is>
          <t>A 43231-2023</t>
        </is>
      </c>
      <c r="B507" s="1" t="n">
        <v>45183.47025462963</v>
      </c>
      <c r="C507" s="1" t="n">
        <v>46031</v>
      </c>
      <c r="D507" t="inlineStr">
        <is>
          <t>GOTLANDS LÄN</t>
        </is>
      </c>
      <c r="E507" t="inlineStr">
        <is>
          <t>GOTLAND</t>
        </is>
      </c>
      <c r="G507" t="n">
        <v>3.6</v>
      </c>
      <c r="H507" t="n">
        <v>0</v>
      </c>
      <c r="I507" t="n">
        <v>0</v>
      </c>
      <c r="J507" t="n">
        <v>0</v>
      </c>
      <c r="K507" t="n">
        <v>0</v>
      </c>
      <c r="L507" t="n">
        <v>0</v>
      </c>
      <c r="M507" t="n">
        <v>0</v>
      </c>
      <c r="N507" t="n">
        <v>0</v>
      </c>
      <c r="O507" t="n">
        <v>0</v>
      </c>
      <c r="P507" t="n">
        <v>0</v>
      </c>
      <c r="Q507" t="n">
        <v>0</v>
      </c>
      <c r="R507" s="2" t="inlineStr"/>
    </row>
    <row r="508" ht="15" customHeight="1">
      <c r="A508" t="inlineStr">
        <is>
          <t>A 17532-2024</t>
        </is>
      </c>
      <c r="B508" s="1" t="n">
        <v>45415</v>
      </c>
      <c r="C508" s="1" t="n">
        <v>46031</v>
      </c>
      <c r="D508" t="inlineStr">
        <is>
          <t>GOTLANDS LÄN</t>
        </is>
      </c>
      <c r="E508" t="inlineStr">
        <is>
          <t>GOTLAND</t>
        </is>
      </c>
      <c r="G508" t="n">
        <v>4.3</v>
      </c>
      <c r="H508" t="n">
        <v>0</v>
      </c>
      <c r="I508" t="n">
        <v>0</v>
      </c>
      <c r="J508" t="n">
        <v>0</v>
      </c>
      <c r="K508" t="n">
        <v>0</v>
      </c>
      <c r="L508" t="n">
        <v>0</v>
      </c>
      <c r="M508" t="n">
        <v>0</v>
      </c>
      <c r="N508" t="n">
        <v>0</v>
      </c>
      <c r="O508" t="n">
        <v>0</v>
      </c>
      <c r="P508" t="n">
        <v>0</v>
      </c>
      <c r="Q508" t="n">
        <v>0</v>
      </c>
      <c r="R508" s="2" t="inlineStr"/>
    </row>
    <row r="509" ht="15" customHeight="1">
      <c r="A509" t="inlineStr">
        <is>
          <t>A 3935-2025</t>
        </is>
      </c>
      <c r="B509" s="1" t="n">
        <v>45684.46070601852</v>
      </c>
      <c r="C509" s="1" t="n">
        <v>46031</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20225-2025</t>
        </is>
      </c>
      <c r="B510" s="1" t="n">
        <v>45772.65802083333</v>
      </c>
      <c r="C510" s="1" t="n">
        <v>46031</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883-2025</t>
        </is>
      </c>
      <c r="B511" s="1" t="n">
        <v>45665</v>
      </c>
      <c r="C511" s="1" t="n">
        <v>46031</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1066-2024</t>
        </is>
      </c>
      <c r="B512" s="1" t="n">
        <v>45302.285</v>
      </c>
      <c r="C512" s="1" t="n">
        <v>46031</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17144-2025</t>
        </is>
      </c>
      <c r="B513" s="1" t="n">
        <v>45755.9499537037</v>
      </c>
      <c r="C513" s="1" t="n">
        <v>46031</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56009-2024</t>
        </is>
      </c>
      <c r="B514" s="1" t="n">
        <v>45623.80864583333</v>
      </c>
      <c r="C514" s="1" t="n">
        <v>46031</v>
      </c>
      <c r="D514" t="inlineStr">
        <is>
          <t>GOTLANDS LÄN</t>
        </is>
      </c>
      <c r="E514" t="inlineStr">
        <is>
          <t>GOTLAND</t>
        </is>
      </c>
      <c r="G514" t="n">
        <v>2.8</v>
      </c>
      <c r="H514" t="n">
        <v>0</v>
      </c>
      <c r="I514" t="n">
        <v>0</v>
      </c>
      <c r="J514" t="n">
        <v>0</v>
      </c>
      <c r="K514" t="n">
        <v>0</v>
      </c>
      <c r="L514" t="n">
        <v>0</v>
      </c>
      <c r="M514" t="n">
        <v>0</v>
      </c>
      <c r="N514" t="n">
        <v>0</v>
      </c>
      <c r="O514" t="n">
        <v>0</v>
      </c>
      <c r="P514" t="n">
        <v>0</v>
      </c>
      <c r="Q514" t="n">
        <v>0</v>
      </c>
      <c r="R514" s="2" t="inlineStr"/>
    </row>
    <row r="515" ht="15" customHeight="1">
      <c r="A515" t="inlineStr">
        <is>
          <t>A 42338-2023</t>
        </is>
      </c>
      <c r="B515" s="1" t="n">
        <v>45180</v>
      </c>
      <c r="C515" s="1" t="n">
        <v>46031</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581-2023</t>
        </is>
      </c>
      <c r="B516" s="1" t="n">
        <v>44930</v>
      </c>
      <c r="C516" s="1" t="n">
        <v>46031</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61386-2023</t>
        </is>
      </c>
      <c r="B517" s="1" t="n">
        <v>45264</v>
      </c>
      <c r="C517" s="1" t="n">
        <v>46031</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873-2024</t>
        </is>
      </c>
      <c r="B518" s="1" t="n">
        <v>45301</v>
      </c>
      <c r="C518" s="1" t="n">
        <v>46031</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49411-2023</t>
        </is>
      </c>
      <c r="B519" s="1" t="n">
        <v>45205</v>
      </c>
      <c r="C519" s="1" t="n">
        <v>46031</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22275-2023</t>
        </is>
      </c>
      <c r="B520" s="1" t="n">
        <v>45070.39875</v>
      </c>
      <c r="C520" s="1" t="n">
        <v>46031</v>
      </c>
      <c r="D520" t="inlineStr">
        <is>
          <t>GOTLANDS LÄN</t>
        </is>
      </c>
      <c r="E520" t="inlineStr">
        <is>
          <t>GOTLAND</t>
        </is>
      </c>
      <c r="G520" t="n">
        <v>7.2</v>
      </c>
      <c r="H520" t="n">
        <v>0</v>
      </c>
      <c r="I520" t="n">
        <v>0</v>
      </c>
      <c r="J520" t="n">
        <v>0</v>
      </c>
      <c r="K520" t="n">
        <v>0</v>
      </c>
      <c r="L520" t="n">
        <v>0</v>
      </c>
      <c r="M520" t="n">
        <v>0</v>
      </c>
      <c r="N520" t="n">
        <v>0</v>
      </c>
      <c r="O520" t="n">
        <v>0</v>
      </c>
      <c r="P520" t="n">
        <v>0</v>
      </c>
      <c r="Q520" t="n">
        <v>0</v>
      </c>
      <c r="R520" s="2" t="inlineStr"/>
    </row>
    <row r="521" ht="15" customHeight="1">
      <c r="A521" t="inlineStr">
        <is>
          <t>A 12322-2025</t>
        </is>
      </c>
      <c r="B521" s="1" t="n">
        <v>45730</v>
      </c>
      <c r="C521" s="1" t="n">
        <v>46031</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14797-2024</t>
        </is>
      </c>
      <c r="B522" s="1" t="n">
        <v>45397.87030092593</v>
      </c>
      <c r="C522" s="1" t="n">
        <v>46031</v>
      </c>
      <c r="D522" t="inlineStr">
        <is>
          <t>GOTLANDS LÄN</t>
        </is>
      </c>
      <c r="E522" t="inlineStr">
        <is>
          <t>GOTLAND</t>
        </is>
      </c>
      <c r="G522" t="n">
        <v>8.1</v>
      </c>
      <c r="H522" t="n">
        <v>0</v>
      </c>
      <c r="I522" t="n">
        <v>0</v>
      </c>
      <c r="J522" t="n">
        <v>0</v>
      </c>
      <c r="K522" t="n">
        <v>0</v>
      </c>
      <c r="L522" t="n">
        <v>0</v>
      </c>
      <c r="M522" t="n">
        <v>0</v>
      </c>
      <c r="N522" t="n">
        <v>0</v>
      </c>
      <c r="O522" t="n">
        <v>0</v>
      </c>
      <c r="P522" t="n">
        <v>0</v>
      </c>
      <c r="Q522" t="n">
        <v>0</v>
      </c>
      <c r="R522" s="2" t="inlineStr"/>
    </row>
    <row r="523" ht="15" customHeight="1">
      <c r="A523" t="inlineStr">
        <is>
          <t>A 999-2024</t>
        </is>
      </c>
      <c r="B523" s="1" t="n">
        <v>45301</v>
      </c>
      <c r="C523" s="1" t="n">
        <v>46031</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61596-2023</t>
        </is>
      </c>
      <c r="B524" s="1" t="n">
        <v>45265</v>
      </c>
      <c r="C524" s="1" t="n">
        <v>46031</v>
      </c>
      <c r="D524" t="inlineStr">
        <is>
          <t>GOTLANDS LÄN</t>
        </is>
      </c>
      <c r="E524" t="inlineStr">
        <is>
          <t>GOTLAND</t>
        </is>
      </c>
      <c r="G524" t="n">
        <v>1.7</v>
      </c>
      <c r="H524" t="n">
        <v>0</v>
      </c>
      <c r="I524" t="n">
        <v>0</v>
      </c>
      <c r="J524" t="n">
        <v>0</v>
      </c>
      <c r="K524" t="n">
        <v>0</v>
      </c>
      <c r="L524" t="n">
        <v>0</v>
      </c>
      <c r="M524" t="n">
        <v>0</v>
      </c>
      <c r="N524" t="n">
        <v>0</v>
      </c>
      <c r="O524" t="n">
        <v>0</v>
      </c>
      <c r="P524" t="n">
        <v>0</v>
      </c>
      <c r="Q524" t="n">
        <v>0</v>
      </c>
      <c r="R524" s="2" t="inlineStr"/>
    </row>
    <row r="525" ht="15" customHeight="1">
      <c r="A525" t="inlineStr">
        <is>
          <t>A 14638-2025</t>
        </is>
      </c>
      <c r="B525" s="1" t="n">
        <v>45742</v>
      </c>
      <c r="C525" s="1" t="n">
        <v>46031</v>
      </c>
      <c r="D525" t="inlineStr">
        <is>
          <t>GOTLANDS LÄN</t>
        </is>
      </c>
      <c r="E525" t="inlineStr">
        <is>
          <t>GOTLAND</t>
        </is>
      </c>
      <c r="G525" t="n">
        <v>13.4</v>
      </c>
      <c r="H525" t="n">
        <v>0</v>
      </c>
      <c r="I525" t="n">
        <v>0</v>
      </c>
      <c r="J525" t="n">
        <v>0</v>
      </c>
      <c r="K525" t="n">
        <v>0</v>
      </c>
      <c r="L525" t="n">
        <v>0</v>
      </c>
      <c r="M525" t="n">
        <v>0</v>
      </c>
      <c r="N525" t="n">
        <v>0</v>
      </c>
      <c r="O525" t="n">
        <v>0</v>
      </c>
      <c r="P525" t="n">
        <v>0</v>
      </c>
      <c r="Q525" t="n">
        <v>0</v>
      </c>
      <c r="R525" s="2" t="inlineStr"/>
    </row>
    <row r="526" ht="15" customHeight="1">
      <c r="A526" t="inlineStr">
        <is>
          <t>A 60675-2021</t>
        </is>
      </c>
      <c r="B526" s="1" t="n">
        <v>44496.64855324074</v>
      </c>
      <c r="C526" s="1" t="n">
        <v>46031</v>
      </c>
      <c r="D526" t="inlineStr">
        <is>
          <t>GOTLANDS LÄN</t>
        </is>
      </c>
      <c r="E526" t="inlineStr">
        <is>
          <t>GOTLAND</t>
        </is>
      </c>
      <c r="G526" t="n">
        <v>4.6</v>
      </c>
      <c r="H526" t="n">
        <v>0</v>
      </c>
      <c r="I526" t="n">
        <v>0</v>
      </c>
      <c r="J526" t="n">
        <v>0</v>
      </c>
      <c r="K526" t="n">
        <v>0</v>
      </c>
      <c r="L526" t="n">
        <v>0</v>
      </c>
      <c r="M526" t="n">
        <v>0</v>
      </c>
      <c r="N526" t="n">
        <v>0</v>
      </c>
      <c r="O526" t="n">
        <v>0</v>
      </c>
      <c r="P526" t="n">
        <v>0</v>
      </c>
      <c r="Q526" t="n">
        <v>0</v>
      </c>
      <c r="R526" s="2" t="inlineStr"/>
    </row>
    <row r="527" ht="15" customHeight="1">
      <c r="A527" t="inlineStr">
        <is>
          <t>A 37728-2024</t>
        </is>
      </c>
      <c r="B527" s="1" t="n">
        <v>45541</v>
      </c>
      <c r="C527" s="1" t="n">
        <v>46031</v>
      </c>
      <c r="D527" t="inlineStr">
        <is>
          <t>GOTLANDS LÄN</t>
        </is>
      </c>
      <c r="E527" t="inlineStr">
        <is>
          <t>GOTLAND</t>
        </is>
      </c>
      <c r="G527" t="n">
        <v>0.4</v>
      </c>
      <c r="H527" t="n">
        <v>0</v>
      </c>
      <c r="I527" t="n">
        <v>0</v>
      </c>
      <c r="J527" t="n">
        <v>0</v>
      </c>
      <c r="K527" t="n">
        <v>0</v>
      </c>
      <c r="L527" t="n">
        <v>0</v>
      </c>
      <c r="M527" t="n">
        <v>0</v>
      </c>
      <c r="N527" t="n">
        <v>0</v>
      </c>
      <c r="O527" t="n">
        <v>0</v>
      </c>
      <c r="P527" t="n">
        <v>0</v>
      </c>
      <c r="Q527" t="n">
        <v>0</v>
      </c>
      <c r="R527" s="2" t="inlineStr"/>
    </row>
    <row r="528" ht="15" customHeight="1">
      <c r="A528" t="inlineStr">
        <is>
          <t>A 22287-2022</t>
        </is>
      </c>
      <c r="B528" s="1" t="n">
        <v>44712</v>
      </c>
      <c r="C528" s="1" t="n">
        <v>46031</v>
      </c>
      <c r="D528" t="inlineStr">
        <is>
          <t>GOTLANDS LÄN</t>
        </is>
      </c>
      <c r="E528" t="inlineStr">
        <is>
          <t>GOTLAND</t>
        </is>
      </c>
      <c r="G528" t="n">
        <v>6.1</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46031</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65249-2023</t>
        </is>
      </c>
      <c r="B530" s="1" t="n">
        <v>45290</v>
      </c>
      <c r="C530" s="1" t="n">
        <v>46031</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13910-2025</t>
        </is>
      </c>
      <c r="B531" s="1" t="n">
        <v>45737</v>
      </c>
      <c r="C531" s="1" t="n">
        <v>46031</v>
      </c>
      <c r="D531" t="inlineStr">
        <is>
          <t>GOTLANDS LÄN</t>
        </is>
      </c>
      <c r="E531" t="inlineStr">
        <is>
          <t>GOTLAND</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17780-2022</t>
        </is>
      </c>
      <c r="B532" s="1" t="n">
        <v>44682.82622685185</v>
      </c>
      <c r="C532" s="1" t="n">
        <v>46031</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46031</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14536-2021</t>
        </is>
      </c>
      <c r="B534" s="1" t="n">
        <v>44279.66168981481</v>
      </c>
      <c r="C534" s="1" t="n">
        <v>46031</v>
      </c>
      <c r="D534" t="inlineStr">
        <is>
          <t>GOTLANDS LÄN</t>
        </is>
      </c>
      <c r="E534" t="inlineStr">
        <is>
          <t>GOTLAND</t>
        </is>
      </c>
      <c r="G534" t="n">
        <v>8.5</v>
      </c>
      <c r="H534" t="n">
        <v>0</v>
      </c>
      <c r="I534" t="n">
        <v>0</v>
      </c>
      <c r="J534" t="n">
        <v>0</v>
      </c>
      <c r="K534" t="n">
        <v>0</v>
      </c>
      <c r="L534" t="n">
        <v>0</v>
      </c>
      <c r="M534" t="n">
        <v>0</v>
      </c>
      <c r="N534" t="n">
        <v>0</v>
      </c>
      <c r="O534" t="n">
        <v>0</v>
      </c>
      <c r="P534" t="n">
        <v>0</v>
      </c>
      <c r="Q534" t="n">
        <v>0</v>
      </c>
      <c r="R534" s="2" t="inlineStr"/>
    </row>
    <row r="535" ht="15" customHeight="1">
      <c r="A535" t="inlineStr">
        <is>
          <t>A 11874-2024</t>
        </is>
      </c>
      <c r="B535" s="1" t="n">
        <v>45376.46956018519</v>
      </c>
      <c r="C535" s="1" t="n">
        <v>46031</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42041-2024</t>
        </is>
      </c>
      <c r="B536" s="1" t="n">
        <v>45561</v>
      </c>
      <c r="C536" s="1" t="n">
        <v>46031</v>
      </c>
      <c r="D536" t="inlineStr">
        <is>
          <t>GOTLANDS LÄN</t>
        </is>
      </c>
      <c r="E536" t="inlineStr">
        <is>
          <t>GOTLAND</t>
        </is>
      </c>
      <c r="G536" t="n">
        <v>3.2</v>
      </c>
      <c r="H536" t="n">
        <v>0</v>
      </c>
      <c r="I536" t="n">
        <v>0</v>
      </c>
      <c r="J536" t="n">
        <v>0</v>
      </c>
      <c r="K536" t="n">
        <v>0</v>
      </c>
      <c r="L536" t="n">
        <v>0</v>
      </c>
      <c r="M536" t="n">
        <v>0</v>
      </c>
      <c r="N536" t="n">
        <v>0</v>
      </c>
      <c r="O536" t="n">
        <v>0</v>
      </c>
      <c r="P536" t="n">
        <v>0</v>
      </c>
      <c r="Q536" t="n">
        <v>0</v>
      </c>
      <c r="R536" s="2" t="inlineStr"/>
    </row>
    <row r="537" ht="15" customHeight="1">
      <c r="A537" t="inlineStr">
        <is>
          <t>A 61694-2023</t>
        </is>
      </c>
      <c r="B537" s="1" t="n">
        <v>45264</v>
      </c>
      <c r="C537" s="1" t="n">
        <v>46031</v>
      </c>
      <c r="D537" t="inlineStr">
        <is>
          <t>GOTLANDS LÄN</t>
        </is>
      </c>
      <c r="E537" t="inlineStr">
        <is>
          <t>GOTLAND</t>
        </is>
      </c>
      <c r="G537" t="n">
        <v>4.6</v>
      </c>
      <c r="H537" t="n">
        <v>0</v>
      </c>
      <c r="I537" t="n">
        <v>0</v>
      </c>
      <c r="J537" t="n">
        <v>0</v>
      </c>
      <c r="K537" t="n">
        <v>0</v>
      </c>
      <c r="L537" t="n">
        <v>0</v>
      </c>
      <c r="M537" t="n">
        <v>0</v>
      </c>
      <c r="N537" t="n">
        <v>0</v>
      </c>
      <c r="O537" t="n">
        <v>0</v>
      </c>
      <c r="P537" t="n">
        <v>0</v>
      </c>
      <c r="Q537" t="n">
        <v>0</v>
      </c>
      <c r="R537" s="2" t="inlineStr"/>
    </row>
    <row r="538" ht="15" customHeight="1">
      <c r="A538" t="inlineStr">
        <is>
          <t>A 64555-2023</t>
        </is>
      </c>
      <c r="B538" s="1" t="n">
        <v>45281</v>
      </c>
      <c r="C538" s="1" t="n">
        <v>46031</v>
      </c>
      <c r="D538" t="inlineStr">
        <is>
          <t>GOTLANDS LÄN</t>
        </is>
      </c>
      <c r="E538" t="inlineStr">
        <is>
          <t>GOTLAND</t>
        </is>
      </c>
      <c r="G538" t="n">
        <v>3.5</v>
      </c>
      <c r="H538" t="n">
        <v>0</v>
      </c>
      <c r="I538" t="n">
        <v>0</v>
      </c>
      <c r="J538" t="n">
        <v>0</v>
      </c>
      <c r="K538" t="n">
        <v>0</v>
      </c>
      <c r="L538" t="n">
        <v>0</v>
      </c>
      <c r="M538" t="n">
        <v>0</v>
      </c>
      <c r="N538" t="n">
        <v>0</v>
      </c>
      <c r="O538" t="n">
        <v>0</v>
      </c>
      <c r="P538" t="n">
        <v>0</v>
      </c>
      <c r="Q538" t="n">
        <v>0</v>
      </c>
      <c r="R538" s="2" t="inlineStr"/>
    </row>
    <row r="539" ht="15" customHeight="1">
      <c r="A539" t="inlineStr">
        <is>
          <t>A 64831-2023</t>
        </is>
      </c>
      <c r="B539" s="1" t="n">
        <v>45282.44924768519</v>
      </c>
      <c r="C539" s="1" t="n">
        <v>46031</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14804-2021</t>
        </is>
      </c>
      <c r="B540" s="1" t="n">
        <v>44280</v>
      </c>
      <c r="C540" s="1" t="n">
        <v>46031</v>
      </c>
      <c r="D540" t="inlineStr">
        <is>
          <t>GOTLANDS LÄN</t>
        </is>
      </c>
      <c r="E540" t="inlineStr">
        <is>
          <t>GOTLAND</t>
        </is>
      </c>
      <c r="G540" t="n">
        <v>2.2</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46031</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27602-2023</t>
        </is>
      </c>
      <c r="B542" s="1" t="n">
        <v>45097</v>
      </c>
      <c r="C542" s="1" t="n">
        <v>46031</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4377-2023</t>
        </is>
      </c>
      <c r="B543" s="1" t="n">
        <v>44955.5502662037</v>
      </c>
      <c r="C543" s="1" t="n">
        <v>46031</v>
      </c>
      <c r="D543" t="inlineStr">
        <is>
          <t>GOTLANDS LÄN</t>
        </is>
      </c>
      <c r="E543" t="inlineStr">
        <is>
          <t>GOTLAND</t>
        </is>
      </c>
      <c r="F543" t="inlineStr">
        <is>
          <t>Kyrkan</t>
        </is>
      </c>
      <c r="G543" t="n">
        <v>0.6</v>
      </c>
      <c r="H543" t="n">
        <v>0</v>
      </c>
      <c r="I543" t="n">
        <v>0</v>
      </c>
      <c r="J543" t="n">
        <v>0</v>
      </c>
      <c r="K543" t="n">
        <v>0</v>
      </c>
      <c r="L543" t="n">
        <v>0</v>
      </c>
      <c r="M543" t="n">
        <v>0</v>
      </c>
      <c r="N543" t="n">
        <v>0</v>
      </c>
      <c r="O543" t="n">
        <v>0</v>
      </c>
      <c r="P543" t="n">
        <v>0</v>
      </c>
      <c r="Q543" t="n">
        <v>0</v>
      </c>
      <c r="R543" s="2" t="inlineStr"/>
    </row>
    <row r="544" ht="15" customHeight="1">
      <c r="A544" t="inlineStr">
        <is>
          <t>A 4387-2023</t>
        </is>
      </c>
      <c r="B544" s="1" t="n">
        <v>44955.73359953704</v>
      </c>
      <c r="C544" s="1" t="n">
        <v>46031</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39479-2022</t>
        </is>
      </c>
      <c r="B545" s="1" t="n">
        <v>44818</v>
      </c>
      <c r="C545" s="1" t="n">
        <v>46031</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51963-2024</t>
        </is>
      </c>
      <c r="B546" s="1" t="n">
        <v>45607.64833333333</v>
      </c>
      <c r="C546" s="1" t="n">
        <v>46031</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811-2023</t>
        </is>
      </c>
      <c r="B547" s="1" t="n">
        <v>44931</v>
      </c>
      <c r="C547" s="1" t="n">
        <v>46031</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46389-2021</t>
        </is>
      </c>
      <c r="B548" s="1" t="n">
        <v>44443</v>
      </c>
      <c r="C548" s="1" t="n">
        <v>46031</v>
      </c>
      <c r="D548" t="inlineStr">
        <is>
          <t>GOTLANDS LÄN</t>
        </is>
      </c>
      <c r="E548" t="inlineStr">
        <is>
          <t>GOTLAND</t>
        </is>
      </c>
      <c r="F548" t="inlineStr">
        <is>
          <t>Kyrkan</t>
        </is>
      </c>
      <c r="G548" t="n">
        <v>2.1</v>
      </c>
      <c r="H548" t="n">
        <v>0</v>
      </c>
      <c r="I548" t="n">
        <v>0</v>
      </c>
      <c r="J548" t="n">
        <v>0</v>
      </c>
      <c r="K548" t="n">
        <v>0</v>
      </c>
      <c r="L548" t="n">
        <v>0</v>
      </c>
      <c r="M548" t="n">
        <v>0</v>
      </c>
      <c r="N548" t="n">
        <v>0</v>
      </c>
      <c r="O548" t="n">
        <v>0</v>
      </c>
      <c r="P548" t="n">
        <v>0</v>
      </c>
      <c r="Q548" t="n">
        <v>0</v>
      </c>
      <c r="R548" s="2" t="inlineStr"/>
    </row>
    <row r="549" ht="15" customHeight="1">
      <c r="A549" t="inlineStr">
        <is>
          <t>A 26810-2021</t>
        </is>
      </c>
      <c r="B549" s="1" t="n">
        <v>44349.55087962963</v>
      </c>
      <c r="C549" s="1" t="n">
        <v>46031</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5923-2023</t>
        </is>
      </c>
      <c r="B550" s="1" t="n">
        <v>44963.69503472222</v>
      </c>
      <c r="C550" s="1" t="n">
        <v>46031</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33853-2024</t>
        </is>
      </c>
      <c r="B551" s="1" t="n">
        <v>45520.64298611111</v>
      </c>
      <c r="C551" s="1" t="n">
        <v>46031</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18918-2025</t>
        </is>
      </c>
      <c r="B552" s="1" t="n">
        <v>45764</v>
      </c>
      <c r="C552" s="1" t="n">
        <v>46031</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2674-2023</t>
        </is>
      </c>
      <c r="B553" s="1" t="n">
        <v>44944</v>
      </c>
      <c r="C553" s="1" t="n">
        <v>46031</v>
      </c>
      <c r="D553" t="inlineStr">
        <is>
          <t>GOTLANDS LÄN</t>
        </is>
      </c>
      <c r="E553" t="inlineStr">
        <is>
          <t>GOTLAND</t>
        </is>
      </c>
      <c r="G553" t="n">
        <v>2.5</v>
      </c>
      <c r="H553" t="n">
        <v>0</v>
      </c>
      <c r="I553" t="n">
        <v>0</v>
      </c>
      <c r="J553" t="n">
        <v>0</v>
      </c>
      <c r="K553" t="n">
        <v>0</v>
      </c>
      <c r="L553" t="n">
        <v>0</v>
      </c>
      <c r="M553" t="n">
        <v>0</v>
      </c>
      <c r="N553" t="n">
        <v>0</v>
      </c>
      <c r="O553" t="n">
        <v>0</v>
      </c>
      <c r="P553" t="n">
        <v>0</v>
      </c>
      <c r="Q553" t="n">
        <v>0</v>
      </c>
      <c r="R553" s="2" t="inlineStr"/>
    </row>
    <row r="554" ht="15" customHeight="1">
      <c r="A554" t="inlineStr">
        <is>
          <t>A 10655-2023</t>
        </is>
      </c>
      <c r="B554" s="1" t="n">
        <v>44988.49543981482</v>
      </c>
      <c r="C554" s="1" t="n">
        <v>46031</v>
      </c>
      <c r="D554" t="inlineStr">
        <is>
          <t>GOTLANDS LÄN</t>
        </is>
      </c>
      <c r="E554" t="inlineStr">
        <is>
          <t>GOTLAND</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2719-2023</t>
        </is>
      </c>
      <c r="B555" s="1" t="n">
        <v>44944.55361111111</v>
      </c>
      <c r="C555" s="1" t="n">
        <v>46031</v>
      </c>
      <c r="D555" t="inlineStr">
        <is>
          <t>GOTLANDS LÄN</t>
        </is>
      </c>
      <c r="E555" t="inlineStr">
        <is>
          <t>GOTLAND</t>
        </is>
      </c>
      <c r="G555" t="n">
        <v>0.5</v>
      </c>
      <c r="H555" t="n">
        <v>0</v>
      </c>
      <c r="I555" t="n">
        <v>0</v>
      </c>
      <c r="J555" t="n">
        <v>0</v>
      </c>
      <c r="K555" t="n">
        <v>0</v>
      </c>
      <c r="L555" t="n">
        <v>0</v>
      </c>
      <c r="M555" t="n">
        <v>0</v>
      </c>
      <c r="N555" t="n">
        <v>0</v>
      </c>
      <c r="O555" t="n">
        <v>0</v>
      </c>
      <c r="P555" t="n">
        <v>0</v>
      </c>
      <c r="Q555" t="n">
        <v>0</v>
      </c>
      <c r="R555" s="2" t="inlineStr"/>
    </row>
    <row r="556" ht="15" customHeight="1">
      <c r="A556" t="inlineStr">
        <is>
          <t>A 26891-2024</t>
        </is>
      </c>
      <c r="B556" s="1" t="n">
        <v>45470.65540509259</v>
      </c>
      <c r="C556" s="1" t="n">
        <v>46031</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42007-2023</t>
        </is>
      </c>
      <c r="B557" s="1" t="n">
        <v>45177</v>
      </c>
      <c r="C557" s="1" t="n">
        <v>46031</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9887-2025</t>
        </is>
      </c>
      <c r="B558" s="1" t="n">
        <v>45716</v>
      </c>
      <c r="C558" s="1" t="n">
        <v>46031</v>
      </c>
      <c r="D558" t="inlineStr">
        <is>
          <t>GOTLANDS LÄN</t>
        </is>
      </c>
      <c r="E558" t="inlineStr">
        <is>
          <t>GOTLAND</t>
        </is>
      </c>
      <c r="G558" t="n">
        <v>7.5</v>
      </c>
      <c r="H558" t="n">
        <v>0</v>
      </c>
      <c r="I558" t="n">
        <v>0</v>
      </c>
      <c r="J558" t="n">
        <v>0</v>
      </c>
      <c r="K558" t="n">
        <v>0</v>
      </c>
      <c r="L558" t="n">
        <v>0</v>
      </c>
      <c r="M558" t="n">
        <v>0</v>
      </c>
      <c r="N558" t="n">
        <v>0</v>
      </c>
      <c r="O558" t="n">
        <v>0</v>
      </c>
      <c r="P558" t="n">
        <v>0</v>
      </c>
      <c r="Q558" t="n">
        <v>0</v>
      </c>
      <c r="R558" s="2" t="inlineStr"/>
    </row>
    <row r="559" ht="15" customHeight="1">
      <c r="A559" t="inlineStr">
        <is>
          <t>A 38165-2023</t>
        </is>
      </c>
      <c r="B559" s="1" t="n">
        <v>45161</v>
      </c>
      <c r="C559" s="1" t="n">
        <v>46031</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27596-2023</t>
        </is>
      </c>
      <c r="B560" s="1" t="n">
        <v>45097</v>
      </c>
      <c r="C560" s="1" t="n">
        <v>46031</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24825-2024</t>
        </is>
      </c>
      <c r="B561" s="1" t="n">
        <v>45461</v>
      </c>
      <c r="C561" s="1" t="n">
        <v>46031</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6696-2023</t>
        </is>
      </c>
      <c r="B562" s="1" t="n">
        <v>44966.66425925926</v>
      </c>
      <c r="C562" s="1" t="n">
        <v>46031</v>
      </c>
      <c r="D562" t="inlineStr">
        <is>
          <t>GOTLANDS LÄN</t>
        </is>
      </c>
      <c r="E562" t="inlineStr">
        <is>
          <t>GOTLAND</t>
        </is>
      </c>
      <c r="G562" t="n">
        <v>1.5</v>
      </c>
      <c r="H562" t="n">
        <v>0</v>
      </c>
      <c r="I562" t="n">
        <v>0</v>
      </c>
      <c r="J562" t="n">
        <v>0</v>
      </c>
      <c r="K562" t="n">
        <v>0</v>
      </c>
      <c r="L562" t="n">
        <v>0</v>
      </c>
      <c r="M562" t="n">
        <v>0</v>
      </c>
      <c r="N562" t="n">
        <v>0</v>
      </c>
      <c r="O562" t="n">
        <v>0</v>
      </c>
      <c r="P562" t="n">
        <v>0</v>
      </c>
      <c r="Q562" t="n">
        <v>0</v>
      </c>
      <c r="R562" s="2" t="inlineStr"/>
    </row>
    <row r="563" ht="15" customHeight="1">
      <c r="A563" t="inlineStr">
        <is>
          <t>A 21247-2022</t>
        </is>
      </c>
      <c r="B563" s="1" t="n">
        <v>44705.38832175926</v>
      </c>
      <c r="C563" s="1" t="n">
        <v>46031</v>
      </c>
      <c r="D563" t="inlineStr">
        <is>
          <t>GOTLANDS LÄN</t>
        </is>
      </c>
      <c r="E563" t="inlineStr">
        <is>
          <t>GOTLAND</t>
        </is>
      </c>
      <c r="G563" t="n">
        <v>16.2</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44929.87122685185</v>
      </c>
      <c r="C564" s="1" t="n">
        <v>46031</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2714-2023</t>
        </is>
      </c>
      <c r="B565" s="1" t="n">
        <v>44944.54896990741</v>
      </c>
      <c r="C565" s="1" t="n">
        <v>46031</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4421-2024</t>
        </is>
      </c>
      <c r="B566" s="1" t="n">
        <v>45327.45173611111</v>
      </c>
      <c r="C566" s="1" t="n">
        <v>46031</v>
      </c>
      <c r="D566" t="inlineStr">
        <is>
          <t>GOTLANDS LÄN</t>
        </is>
      </c>
      <c r="E566" t="inlineStr">
        <is>
          <t>GOTLAND</t>
        </is>
      </c>
      <c r="G566" t="n">
        <v>5.1</v>
      </c>
      <c r="H566" t="n">
        <v>0</v>
      </c>
      <c r="I566" t="n">
        <v>0</v>
      </c>
      <c r="J566" t="n">
        <v>0</v>
      </c>
      <c r="K566" t="n">
        <v>0</v>
      </c>
      <c r="L566" t="n">
        <v>0</v>
      </c>
      <c r="M566" t="n">
        <v>0</v>
      </c>
      <c r="N566" t="n">
        <v>0</v>
      </c>
      <c r="O566" t="n">
        <v>0</v>
      </c>
      <c r="P566" t="n">
        <v>0</v>
      </c>
      <c r="Q566" t="n">
        <v>0</v>
      </c>
      <c r="R566" s="2" t="inlineStr"/>
    </row>
    <row r="567" ht="15" customHeight="1">
      <c r="A567" t="inlineStr">
        <is>
          <t>A 51782-2023</t>
        </is>
      </c>
      <c r="B567" s="1" t="n">
        <v>45222.80952546297</v>
      </c>
      <c r="C567" s="1" t="n">
        <v>46031</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54268-2022</t>
        </is>
      </c>
      <c r="B568" s="1" t="n">
        <v>44882</v>
      </c>
      <c r="C568" s="1" t="n">
        <v>46031</v>
      </c>
      <c r="D568" t="inlineStr">
        <is>
          <t>GOTLANDS LÄN</t>
        </is>
      </c>
      <c r="E568" t="inlineStr">
        <is>
          <t>GOTLAND</t>
        </is>
      </c>
      <c r="G568" t="n">
        <v>2.7</v>
      </c>
      <c r="H568" t="n">
        <v>0</v>
      </c>
      <c r="I568" t="n">
        <v>0</v>
      </c>
      <c r="J568" t="n">
        <v>0</v>
      </c>
      <c r="K568" t="n">
        <v>0</v>
      </c>
      <c r="L568" t="n">
        <v>0</v>
      </c>
      <c r="M568" t="n">
        <v>0</v>
      </c>
      <c r="N568" t="n">
        <v>0</v>
      </c>
      <c r="O568" t="n">
        <v>0</v>
      </c>
      <c r="P568" t="n">
        <v>0</v>
      </c>
      <c r="Q568" t="n">
        <v>0</v>
      </c>
      <c r="R568" s="2" t="inlineStr"/>
    </row>
    <row r="569" ht="15" customHeight="1">
      <c r="A569" t="inlineStr">
        <is>
          <t>A 57534-2022</t>
        </is>
      </c>
      <c r="B569" s="1" t="n">
        <v>44896</v>
      </c>
      <c r="C569" s="1" t="n">
        <v>46031</v>
      </c>
      <c r="D569" t="inlineStr">
        <is>
          <t>GOTLANDS LÄN</t>
        </is>
      </c>
      <c r="E569" t="inlineStr">
        <is>
          <t>GOTLAND</t>
        </is>
      </c>
      <c r="G569" t="n">
        <v>0.6</v>
      </c>
      <c r="H569" t="n">
        <v>0</v>
      </c>
      <c r="I569" t="n">
        <v>0</v>
      </c>
      <c r="J569" t="n">
        <v>0</v>
      </c>
      <c r="K569" t="n">
        <v>0</v>
      </c>
      <c r="L569" t="n">
        <v>0</v>
      </c>
      <c r="M569" t="n">
        <v>0</v>
      </c>
      <c r="N569" t="n">
        <v>0</v>
      </c>
      <c r="O569" t="n">
        <v>0</v>
      </c>
      <c r="P569" t="n">
        <v>0</v>
      </c>
      <c r="Q569" t="n">
        <v>0</v>
      </c>
      <c r="R569" s="2" t="inlineStr"/>
    </row>
    <row r="570" ht="15" customHeight="1">
      <c r="A570" t="inlineStr">
        <is>
          <t>A 25866-2022</t>
        </is>
      </c>
      <c r="B570" s="1" t="n">
        <v>44733</v>
      </c>
      <c r="C570" s="1" t="n">
        <v>46031</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43229-2023</t>
        </is>
      </c>
      <c r="B571" s="1" t="n">
        <v>45183.46704861111</v>
      </c>
      <c r="C571" s="1" t="n">
        <v>46031</v>
      </c>
      <c r="D571" t="inlineStr">
        <is>
          <t>GOTLANDS LÄN</t>
        </is>
      </c>
      <c r="E571" t="inlineStr">
        <is>
          <t>GOTLAND</t>
        </is>
      </c>
      <c r="G571" t="n">
        <v>7.1</v>
      </c>
      <c r="H571" t="n">
        <v>0</v>
      </c>
      <c r="I571" t="n">
        <v>0</v>
      </c>
      <c r="J571" t="n">
        <v>0</v>
      </c>
      <c r="K571" t="n">
        <v>0</v>
      </c>
      <c r="L571" t="n">
        <v>0</v>
      </c>
      <c r="M571" t="n">
        <v>0</v>
      </c>
      <c r="N571" t="n">
        <v>0</v>
      </c>
      <c r="O571" t="n">
        <v>0</v>
      </c>
      <c r="P571" t="n">
        <v>0</v>
      </c>
      <c r="Q571" t="n">
        <v>0</v>
      </c>
      <c r="R571" s="2" t="inlineStr"/>
    </row>
    <row r="572" ht="15" customHeight="1">
      <c r="A572" t="inlineStr">
        <is>
          <t>A 1175-2025</t>
        </is>
      </c>
      <c r="B572" s="1" t="n">
        <v>45667.34449074074</v>
      </c>
      <c r="C572" s="1" t="n">
        <v>46031</v>
      </c>
      <c r="D572" t="inlineStr">
        <is>
          <t>GOTLANDS LÄN</t>
        </is>
      </c>
      <c r="E572" t="inlineStr">
        <is>
          <t>GOTLAND</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27095-2022</t>
        </is>
      </c>
      <c r="B573" s="1" t="n">
        <v>44741</v>
      </c>
      <c r="C573" s="1" t="n">
        <v>46031</v>
      </c>
      <c r="D573" t="inlineStr">
        <is>
          <t>GOTLANDS LÄN</t>
        </is>
      </c>
      <c r="E573" t="inlineStr">
        <is>
          <t>GOTLAND</t>
        </is>
      </c>
      <c r="F573" t="inlineStr">
        <is>
          <t>Övriga Aktiebolag</t>
        </is>
      </c>
      <c r="G573" t="n">
        <v>2.9</v>
      </c>
      <c r="H573" t="n">
        <v>0</v>
      </c>
      <c r="I573" t="n">
        <v>0</v>
      </c>
      <c r="J573" t="n">
        <v>0</v>
      </c>
      <c r="K573" t="n">
        <v>0</v>
      </c>
      <c r="L573" t="n">
        <v>0</v>
      </c>
      <c r="M573" t="n">
        <v>0</v>
      </c>
      <c r="N573" t="n">
        <v>0</v>
      </c>
      <c r="O573" t="n">
        <v>0</v>
      </c>
      <c r="P573" t="n">
        <v>0</v>
      </c>
      <c r="Q573" t="n">
        <v>0</v>
      </c>
      <c r="R573" s="2" t="inlineStr"/>
    </row>
    <row r="574" ht="15" customHeight="1">
      <c r="A574" t="inlineStr">
        <is>
          <t>A 22899-2023</t>
        </is>
      </c>
      <c r="B574" s="1" t="n">
        <v>45072</v>
      </c>
      <c r="C574" s="1" t="n">
        <v>46031</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23978-2023</t>
        </is>
      </c>
      <c r="B575" s="1" t="n">
        <v>45078</v>
      </c>
      <c r="C575" s="1" t="n">
        <v>46031</v>
      </c>
      <c r="D575" t="inlineStr">
        <is>
          <t>GOTLANDS LÄN</t>
        </is>
      </c>
      <c r="E575" t="inlineStr">
        <is>
          <t>GOTLAND</t>
        </is>
      </c>
      <c r="F575" t="inlineStr">
        <is>
          <t>Naturvårdsverket</t>
        </is>
      </c>
      <c r="G575" t="n">
        <v>1.7</v>
      </c>
      <c r="H575" t="n">
        <v>0</v>
      </c>
      <c r="I575" t="n">
        <v>0</v>
      </c>
      <c r="J575" t="n">
        <v>0</v>
      </c>
      <c r="K575" t="n">
        <v>0</v>
      </c>
      <c r="L575" t="n">
        <v>0</v>
      </c>
      <c r="M575" t="n">
        <v>0</v>
      </c>
      <c r="N575" t="n">
        <v>0</v>
      </c>
      <c r="O575" t="n">
        <v>0</v>
      </c>
      <c r="P575" t="n">
        <v>0</v>
      </c>
      <c r="Q575" t="n">
        <v>0</v>
      </c>
      <c r="R575" s="2" t="inlineStr"/>
    </row>
    <row r="576" ht="15" customHeight="1">
      <c r="A576" t="inlineStr">
        <is>
          <t>A 34407-2023</t>
        </is>
      </c>
      <c r="B576" s="1" t="n">
        <v>45132</v>
      </c>
      <c r="C576" s="1" t="n">
        <v>46031</v>
      </c>
      <c r="D576" t="inlineStr">
        <is>
          <t>GOTLANDS LÄN</t>
        </is>
      </c>
      <c r="E576" t="inlineStr">
        <is>
          <t>GOTLAND</t>
        </is>
      </c>
      <c r="G576" t="n">
        <v>4.4</v>
      </c>
      <c r="H576" t="n">
        <v>0</v>
      </c>
      <c r="I576" t="n">
        <v>0</v>
      </c>
      <c r="J576" t="n">
        <v>0</v>
      </c>
      <c r="K576" t="n">
        <v>0</v>
      </c>
      <c r="L576" t="n">
        <v>0</v>
      </c>
      <c r="M576" t="n">
        <v>0</v>
      </c>
      <c r="N576" t="n">
        <v>0</v>
      </c>
      <c r="O576" t="n">
        <v>0</v>
      </c>
      <c r="P576" t="n">
        <v>0</v>
      </c>
      <c r="Q576" t="n">
        <v>0</v>
      </c>
      <c r="R576" s="2" t="inlineStr"/>
    </row>
    <row r="577" ht="15" customHeight="1">
      <c r="A577" t="inlineStr">
        <is>
          <t>A 11013-2024</t>
        </is>
      </c>
      <c r="B577" s="1" t="n">
        <v>45370</v>
      </c>
      <c r="C577" s="1" t="n">
        <v>46031</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27694-2024</t>
        </is>
      </c>
      <c r="B578" s="1" t="n">
        <v>45475</v>
      </c>
      <c r="C578" s="1" t="n">
        <v>46031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15083-2025</t>
        </is>
      </c>
      <c r="B579" s="1" t="n">
        <v>45743</v>
      </c>
      <c r="C579" s="1" t="n">
        <v>46031</v>
      </c>
      <c r="D579" t="inlineStr">
        <is>
          <t>GOTLANDS LÄN</t>
        </is>
      </c>
      <c r="E579" t="inlineStr">
        <is>
          <t>GOTLAND</t>
        </is>
      </c>
      <c r="G579" t="n">
        <v>2.3</v>
      </c>
      <c r="H579" t="n">
        <v>0</v>
      </c>
      <c r="I579" t="n">
        <v>0</v>
      </c>
      <c r="J579" t="n">
        <v>0</v>
      </c>
      <c r="K579" t="n">
        <v>0</v>
      </c>
      <c r="L579" t="n">
        <v>0</v>
      </c>
      <c r="M579" t="n">
        <v>0</v>
      </c>
      <c r="N579" t="n">
        <v>0</v>
      </c>
      <c r="O579" t="n">
        <v>0</v>
      </c>
      <c r="P579" t="n">
        <v>0</v>
      </c>
      <c r="Q579" t="n">
        <v>0</v>
      </c>
      <c r="R579" s="2" t="inlineStr"/>
    </row>
    <row r="580" ht="15" customHeight="1">
      <c r="A580" t="inlineStr">
        <is>
          <t>A 13037-2025</t>
        </is>
      </c>
      <c r="B580" s="1" t="n">
        <v>45734</v>
      </c>
      <c r="C580" s="1" t="n">
        <v>46031</v>
      </c>
      <c r="D580" t="inlineStr">
        <is>
          <t>GOTLANDS LÄN</t>
        </is>
      </c>
      <c r="E580" t="inlineStr">
        <is>
          <t>GOTLAND</t>
        </is>
      </c>
      <c r="G580" t="n">
        <v>9.5</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46031</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44228-2022</t>
        </is>
      </c>
      <c r="B582" s="1" t="n">
        <v>44839.51599537037</v>
      </c>
      <c r="C582" s="1" t="n">
        <v>46031</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58132-2023</t>
        </is>
      </c>
      <c r="B583" s="1" t="n">
        <v>45250</v>
      </c>
      <c r="C583" s="1" t="n">
        <v>46031</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49884-2023</t>
        </is>
      </c>
      <c r="B584" s="1" t="n">
        <v>45213</v>
      </c>
      <c r="C584" s="1" t="n">
        <v>46031</v>
      </c>
      <c r="D584" t="inlineStr">
        <is>
          <t>GOTLANDS LÄN</t>
        </is>
      </c>
      <c r="E584" t="inlineStr">
        <is>
          <t>GOTLAND</t>
        </is>
      </c>
      <c r="G584" t="n">
        <v>8.9</v>
      </c>
      <c r="H584" t="n">
        <v>0</v>
      </c>
      <c r="I584" t="n">
        <v>0</v>
      </c>
      <c r="J584" t="n">
        <v>0</v>
      </c>
      <c r="K584" t="n">
        <v>0</v>
      </c>
      <c r="L584" t="n">
        <v>0</v>
      </c>
      <c r="M584" t="n">
        <v>0</v>
      </c>
      <c r="N584" t="n">
        <v>0</v>
      </c>
      <c r="O584" t="n">
        <v>0</v>
      </c>
      <c r="P584" t="n">
        <v>0</v>
      </c>
      <c r="Q584" t="n">
        <v>0</v>
      </c>
      <c r="R584" s="2" t="inlineStr"/>
    </row>
    <row r="585" ht="15" customHeight="1">
      <c r="A585" t="inlineStr">
        <is>
          <t>A 876-2024</t>
        </is>
      </c>
      <c r="B585" s="1" t="n">
        <v>45301</v>
      </c>
      <c r="C585" s="1" t="n">
        <v>46031</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22704-2023</t>
        </is>
      </c>
      <c r="B586" s="1" t="n">
        <v>45071</v>
      </c>
      <c r="C586" s="1" t="n">
        <v>46031</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28425-2023</t>
        </is>
      </c>
      <c r="B587" s="1" t="n">
        <v>45102</v>
      </c>
      <c r="C587" s="1" t="n">
        <v>46031</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58476-2022</t>
        </is>
      </c>
      <c r="B588" s="1" t="n">
        <v>44902</v>
      </c>
      <c r="C588" s="1" t="n">
        <v>46031</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43200-2023</t>
        </is>
      </c>
      <c r="B589" s="1" t="n">
        <v>45183</v>
      </c>
      <c r="C589" s="1" t="n">
        <v>46031</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43223-2023</t>
        </is>
      </c>
      <c r="B590" s="1" t="n">
        <v>45183.45642361111</v>
      </c>
      <c r="C590" s="1" t="n">
        <v>46031</v>
      </c>
      <c r="D590" t="inlineStr">
        <is>
          <t>GOTLANDS LÄN</t>
        </is>
      </c>
      <c r="E590" t="inlineStr">
        <is>
          <t>GOTLAND</t>
        </is>
      </c>
      <c r="G590" t="n">
        <v>1.8</v>
      </c>
      <c r="H590" t="n">
        <v>0</v>
      </c>
      <c r="I590" t="n">
        <v>0</v>
      </c>
      <c r="J590" t="n">
        <v>0</v>
      </c>
      <c r="K590" t="n">
        <v>0</v>
      </c>
      <c r="L590" t="n">
        <v>0</v>
      </c>
      <c r="M590" t="n">
        <v>0</v>
      </c>
      <c r="N590" t="n">
        <v>0</v>
      </c>
      <c r="O590" t="n">
        <v>0</v>
      </c>
      <c r="P590" t="n">
        <v>0</v>
      </c>
      <c r="Q590" t="n">
        <v>0</v>
      </c>
      <c r="R590" s="2" t="inlineStr"/>
    </row>
    <row r="591" ht="15" customHeight="1">
      <c r="A591" t="inlineStr">
        <is>
          <t>A 12327-2025</t>
        </is>
      </c>
      <c r="B591" s="1" t="n">
        <v>45730</v>
      </c>
      <c r="C591" s="1" t="n">
        <v>46031</v>
      </c>
      <c r="D591" t="inlineStr">
        <is>
          <t>GOTLANDS LÄN</t>
        </is>
      </c>
      <c r="E591" t="inlineStr">
        <is>
          <t>GOTLAND</t>
        </is>
      </c>
      <c r="G591" t="n">
        <v>1.8</v>
      </c>
      <c r="H591" t="n">
        <v>0</v>
      </c>
      <c r="I591" t="n">
        <v>0</v>
      </c>
      <c r="J591" t="n">
        <v>0</v>
      </c>
      <c r="K591" t="n">
        <v>0</v>
      </c>
      <c r="L591" t="n">
        <v>0</v>
      </c>
      <c r="M591" t="n">
        <v>0</v>
      </c>
      <c r="N591" t="n">
        <v>0</v>
      </c>
      <c r="O591" t="n">
        <v>0</v>
      </c>
      <c r="P591" t="n">
        <v>0</v>
      </c>
      <c r="Q591" t="n">
        <v>0</v>
      </c>
      <c r="R591" s="2" t="inlineStr"/>
    </row>
    <row r="592" ht="15" customHeight="1">
      <c r="A592" t="inlineStr">
        <is>
          <t>A 3431-2025</t>
        </is>
      </c>
      <c r="B592" s="1" t="n">
        <v>45680.42935185185</v>
      </c>
      <c r="C592" s="1" t="n">
        <v>46031</v>
      </c>
      <c r="D592" t="inlineStr">
        <is>
          <t>GOTLANDS LÄN</t>
        </is>
      </c>
      <c r="E592" t="inlineStr">
        <is>
          <t>GOTLAND</t>
        </is>
      </c>
      <c r="G592" t="n">
        <v>4.8</v>
      </c>
      <c r="H592" t="n">
        <v>0</v>
      </c>
      <c r="I592" t="n">
        <v>0</v>
      </c>
      <c r="J592" t="n">
        <v>0</v>
      </c>
      <c r="K592" t="n">
        <v>0</v>
      </c>
      <c r="L592" t="n">
        <v>0</v>
      </c>
      <c r="M592" t="n">
        <v>0</v>
      </c>
      <c r="N592" t="n">
        <v>0</v>
      </c>
      <c r="O592" t="n">
        <v>0</v>
      </c>
      <c r="P592" t="n">
        <v>0</v>
      </c>
      <c r="Q592" t="n">
        <v>0</v>
      </c>
      <c r="R592" s="2" t="inlineStr"/>
    </row>
    <row r="593" ht="15" customHeight="1">
      <c r="A593" t="inlineStr">
        <is>
          <t>A 12209-2024</t>
        </is>
      </c>
      <c r="B593" s="1" t="n">
        <v>45378</v>
      </c>
      <c r="C593" s="1" t="n">
        <v>46031</v>
      </c>
      <c r="D593" t="inlineStr">
        <is>
          <t>GOTLANDS LÄN</t>
        </is>
      </c>
      <c r="E593" t="inlineStr">
        <is>
          <t>GOTLAND</t>
        </is>
      </c>
      <c r="G593" t="n">
        <v>5.3</v>
      </c>
      <c r="H593" t="n">
        <v>0</v>
      </c>
      <c r="I593" t="n">
        <v>0</v>
      </c>
      <c r="J593" t="n">
        <v>0</v>
      </c>
      <c r="K593" t="n">
        <v>0</v>
      </c>
      <c r="L593" t="n">
        <v>0</v>
      </c>
      <c r="M593" t="n">
        <v>0</v>
      </c>
      <c r="N593" t="n">
        <v>0</v>
      </c>
      <c r="O593" t="n">
        <v>0</v>
      </c>
      <c r="P593" t="n">
        <v>0</v>
      </c>
      <c r="Q593" t="n">
        <v>0</v>
      </c>
      <c r="R593" s="2" t="inlineStr"/>
    </row>
    <row r="594" ht="15" customHeight="1">
      <c r="A594" t="inlineStr">
        <is>
          <t>A 12210-2024</t>
        </is>
      </c>
      <c r="B594" s="1" t="n">
        <v>45378</v>
      </c>
      <c r="C594" s="1" t="n">
        <v>46031</v>
      </c>
      <c r="D594" t="inlineStr">
        <is>
          <t>GOTLANDS LÄN</t>
        </is>
      </c>
      <c r="E594" t="inlineStr">
        <is>
          <t>GOTLAND</t>
        </is>
      </c>
      <c r="G594" t="n">
        <v>4.1</v>
      </c>
      <c r="H594" t="n">
        <v>0</v>
      </c>
      <c r="I594" t="n">
        <v>0</v>
      </c>
      <c r="J594" t="n">
        <v>0</v>
      </c>
      <c r="K594" t="n">
        <v>0</v>
      </c>
      <c r="L594" t="n">
        <v>0</v>
      </c>
      <c r="M594" t="n">
        <v>0</v>
      </c>
      <c r="N594" t="n">
        <v>0</v>
      </c>
      <c r="O594" t="n">
        <v>0</v>
      </c>
      <c r="P594" t="n">
        <v>0</v>
      </c>
      <c r="Q594" t="n">
        <v>0</v>
      </c>
      <c r="R594" s="2" t="inlineStr"/>
    </row>
    <row r="595" ht="15" customHeight="1">
      <c r="A595" t="inlineStr">
        <is>
          <t>A 1364-2025</t>
        </is>
      </c>
      <c r="B595" s="1" t="n">
        <v>45667.63929398148</v>
      </c>
      <c r="C595" s="1" t="n">
        <v>46031</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15042-2025</t>
        </is>
      </c>
      <c r="B596" s="1" t="n">
        <v>45743</v>
      </c>
      <c r="C596" s="1" t="n">
        <v>46031</v>
      </c>
      <c r="D596" t="inlineStr">
        <is>
          <t>GOTLANDS LÄN</t>
        </is>
      </c>
      <c r="E596" t="inlineStr">
        <is>
          <t>GOTLAND</t>
        </is>
      </c>
      <c r="G596" t="n">
        <v>8.5</v>
      </c>
      <c r="H596" t="n">
        <v>0</v>
      </c>
      <c r="I596" t="n">
        <v>0</v>
      </c>
      <c r="J596" t="n">
        <v>0</v>
      </c>
      <c r="K596" t="n">
        <v>0</v>
      </c>
      <c r="L596" t="n">
        <v>0</v>
      </c>
      <c r="M596" t="n">
        <v>0</v>
      </c>
      <c r="N596" t="n">
        <v>0</v>
      </c>
      <c r="O596" t="n">
        <v>0</v>
      </c>
      <c r="P596" t="n">
        <v>0</v>
      </c>
      <c r="Q596" t="n">
        <v>0</v>
      </c>
      <c r="R596" s="2" t="inlineStr"/>
    </row>
    <row r="597" ht="15" customHeight="1">
      <c r="A597" t="inlineStr">
        <is>
          <t>A 2180-2025</t>
        </is>
      </c>
      <c r="B597" s="1" t="n">
        <v>45673</v>
      </c>
      <c r="C597" s="1" t="n">
        <v>46031</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15436-2025</t>
        </is>
      </c>
      <c r="B598" s="1" t="n">
        <v>45747.47462962963</v>
      </c>
      <c r="C598" s="1" t="n">
        <v>46031</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49257-2024</t>
        </is>
      </c>
      <c r="B599" s="1" t="n">
        <v>45595.47627314815</v>
      </c>
      <c r="C599" s="1" t="n">
        <v>46031</v>
      </c>
      <c r="D599" t="inlineStr">
        <is>
          <t>GOTLANDS LÄN</t>
        </is>
      </c>
      <c r="E599" t="inlineStr">
        <is>
          <t>GOTLAND</t>
        </is>
      </c>
      <c r="G599" t="n">
        <v>6.3</v>
      </c>
      <c r="H599" t="n">
        <v>0</v>
      </c>
      <c r="I599" t="n">
        <v>0</v>
      </c>
      <c r="J599" t="n">
        <v>0</v>
      </c>
      <c r="K599" t="n">
        <v>0</v>
      </c>
      <c r="L599" t="n">
        <v>0</v>
      </c>
      <c r="M599" t="n">
        <v>0</v>
      </c>
      <c r="N599" t="n">
        <v>0</v>
      </c>
      <c r="O599" t="n">
        <v>0</v>
      </c>
      <c r="P599" t="n">
        <v>0</v>
      </c>
      <c r="Q599" t="n">
        <v>0</v>
      </c>
      <c r="R599" s="2" t="inlineStr"/>
    </row>
    <row r="600" ht="15" customHeight="1">
      <c r="A600" t="inlineStr">
        <is>
          <t>A 37202-2024</t>
        </is>
      </c>
      <c r="B600" s="1" t="n">
        <v>45539.67310185185</v>
      </c>
      <c r="C600" s="1" t="n">
        <v>46031</v>
      </c>
      <c r="D600" t="inlineStr">
        <is>
          <t>GOTLANDS LÄN</t>
        </is>
      </c>
      <c r="E600" t="inlineStr">
        <is>
          <t>GOTLAND</t>
        </is>
      </c>
      <c r="G600" t="n">
        <v>0.3</v>
      </c>
      <c r="H600" t="n">
        <v>0</v>
      </c>
      <c r="I600" t="n">
        <v>0</v>
      </c>
      <c r="J600" t="n">
        <v>0</v>
      </c>
      <c r="K600" t="n">
        <v>0</v>
      </c>
      <c r="L600" t="n">
        <v>0</v>
      </c>
      <c r="M600" t="n">
        <v>0</v>
      </c>
      <c r="N600" t="n">
        <v>0</v>
      </c>
      <c r="O600" t="n">
        <v>0</v>
      </c>
      <c r="P600" t="n">
        <v>0</v>
      </c>
      <c r="Q600" t="n">
        <v>0</v>
      </c>
      <c r="R600" s="2" t="inlineStr"/>
    </row>
    <row r="601" ht="15" customHeight="1">
      <c r="A601" t="inlineStr">
        <is>
          <t>A 56115-2023</t>
        </is>
      </c>
      <c r="B601" s="1" t="n">
        <v>45236</v>
      </c>
      <c r="C601" s="1" t="n">
        <v>46031</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2774-2024</t>
        </is>
      </c>
      <c r="B602" s="1" t="n">
        <v>45314.62375</v>
      </c>
      <c r="C602" s="1" t="n">
        <v>46031</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60709-2023</t>
        </is>
      </c>
      <c r="B603" s="1" t="n">
        <v>45260</v>
      </c>
      <c r="C603" s="1" t="n">
        <v>46031</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64208-2021</t>
        </is>
      </c>
      <c r="B604" s="1" t="n">
        <v>44510</v>
      </c>
      <c r="C604" s="1" t="n">
        <v>46031</v>
      </c>
      <c r="D604" t="inlineStr">
        <is>
          <t>GOTLANDS LÄN</t>
        </is>
      </c>
      <c r="E604" t="inlineStr">
        <is>
          <t>GOTLAND</t>
        </is>
      </c>
      <c r="G604" t="n">
        <v>4.7</v>
      </c>
      <c r="H604" t="n">
        <v>0</v>
      </c>
      <c r="I604" t="n">
        <v>0</v>
      </c>
      <c r="J604" t="n">
        <v>0</v>
      </c>
      <c r="K604" t="n">
        <v>0</v>
      </c>
      <c r="L604" t="n">
        <v>0</v>
      </c>
      <c r="M604" t="n">
        <v>0</v>
      </c>
      <c r="N604" t="n">
        <v>0</v>
      </c>
      <c r="O604" t="n">
        <v>0</v>
      </c>
      <c r="P604" t="n">
        <v>0</v>
      </c>
      <c r="Q604" t="n">
        <v>0</v>
      </c>
      <c r="R604" s="2" t="inlineStr"/>
    </row>
    <row r="605" ht="15" customHeight="1">
      <c r="A605" t="inlineStr">
        <is>
          <t>A 39764-2022</t>
        </is>
      </c>
      <c r="B605" s="1" t="n">
        <v>44819</v>
      </c>
      <c r="C605" s="1" t="n">
        <v>46031</v>
      </c>
      <c r="D605" t="inlineStr">
        <is>
          <t>GOTLANDS LÄN</t>
        </is>
      </c>
      <c r="E605" t="inlineStr">
        <is>
          <t>GOTLAND</t>
        </is>
      </c>
      <c r="F605" t="inlineStr">
        <is>
          <t>Kyrkan</t>
        </is>
      </c>
      <c r="G605" t="n">
        <v>3.7</v>
      </c>
      <c r="H605" t="n">
        <v>0</v>
      </c>
      <c r="I605" t="n">
        <v>0</v>
      </c>
      <c r="J605" t="n">
        <v>0</v>
      </c>
      <c r="K605" t="n">
        <v>0</v>
      </c>
      <c r="L605" t="n">
        <v>0</v>
      </c>
      <c r="M605" t="n">
        <v>0</v>
      </c>
      <c r="N605" t="n">
        <v>0</v>
      </c>
      <c r="O605" t="n">
        <v>0</v>
      </c>
      <c r="P605" t="n">
        <v>0</v>
      </c>
      <c r="Q605" t="n">
        <v>0</v>
      </c>
      <c r="R605" s="2" t="inlineStr"/>
    </row>
    <row r="606" ht="15" customHeight="1">
      <c r="A606" t="inlineStr">
        <is>
          <t>A 58211-2024</t>
        </is>
      </c>
      <c r="B606" s="1" t="n">
        <v>45632.49292824074</v>
      </c>
      <c r="C606" s="1" t="n">
        <v>46031</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30956-2024</t>
        </is>
      </c>
      <c r="B607" s="1" t="n">
        <v>45499.42527777778</v>
      </c>
      <c r="C607" s="1" t="n">
        <v>46031</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30892-2024</t>
        </is>
      </c>
      <c r="B608" s="1" t="n">
        <v>45491</v>
      </c>
      <c r="C608" s="1" t="n">
        <v>46031</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14635-2023</t>
        </is>
      </c>
      <c r="B609" s="1" t="n">
        <v>45013.69365740741</v>
      </c>
      <c r="C609" s="1" t="n">
        <v>46031</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59469-2024</t>
        </is>
      </c>
      <c r="B610" s="1" t="n">
        <v>45638</v>
      </c>
      <c r="C610" s="1" t="n">
        <v>46031</v>
      </c>
      <c r="D610" t="inlineStr">
        <is>
          <t>GOTLANDS LÄN</t>
        </is>
      </c>
      <c r="E610" t="inlineStr">
        <is>
          <t>GOTLAND</t>
        </is>
      </c>
      <c r="G610" t="n">
        <v>0.4</v>
      </c>
      <c r="H610" t="n">
        <v>0</v>
      </c>
      <c r="I610" t="n">
        <v>0</v>
      </c>
      <c r="J610" t="n">
        <v>0</v>
      </c>
      <c r="K610" t="n">
        <v>0</v>
      </c>
      <c r="L610" t="n">
        <v>0</v>
      </c>
      <c r="M610" t="n">
        <v>0</v>
      </c>
      <c r="N610" t="n">
        <v>0</v>
      </c>
      <c r="O610" t="n">
        <v>0</v>
      </c>
      <c r="P610" t="n">
        <v>0</v>
      </c>
      <c r="Q610" t="n">
        <v>0</v>
      </c>
      <c r="R610" s="2" t="inlineStr"/>
    </row>
    <row r="611" ht="15" customHeight="1">
      <c r="A611" t="inlineStr">
        <is>
          <t>A 7858-2025</t>
        </is>
      </c>
      <c r="B611" s="1" t="n">
        <v>45706.68633101852</v>
      </c>
      <c r="C611" s="1" t="n">
        <v>46031</v>
      </c>
      <c r="D611" t="inlineStr">
        <is>
          <t>GOTLANDS LÄN</t>
        </is>
      </c>
      <c r="E611" t="inlineStr">
        <is>
          <t>GOTLAND</t>
        </is>
      </c>
      <c r="G611" t="n">
        <v>3</v>
      </c>
      <c r="H611" t="n">
        <v>0</v>
      </c>
      <c r="I611" t="n">
        <v>0</v>
      </c>
      <c r="J611" t="n">
        <v>0</v>
      </c>
      <c r="K611" t="n">
        <v>0</v>
      </c>
      <c r="L611" t="n">
        <v>0</v>
      </c>
      <c r="M611" t="n">
        <v>0</v>
      </c>
      <c r="N611" t="n">
        <v>0</v>
      </c>
      <c r="O611" t="n">
        <v>0</v>
      </c>
      <c r="P611" t="n">
        <v>0</v>
      </c>
      <c r="Q611" t="n">
        <v>0</v>
      </c>
      <c r="R611" s="2" t="inlineStr"/>
    </row>
    <row r="612" ht="15" customHeight="1">
      <c r="A612" t="inlineStr">
        <is>
          <t>A 53935-2024</t>
        </is>
      </c>
      <c r="B612" s="1" t="n">
        <v>45615</v>
      </c>
      <c r="C612" s="1" t="n">
        <v>46031</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18223-2025</t>
        </is>
      </c>
      <c r="B613" s="1" t="n">
        <v>45761</v>
      </c>
      <c r="C613" s="1" t="n">
        <v>46031</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4420-2025</t>
        </is>
      </c>
      <c r="B614" s="1" t="n">
        <v>45686.47157407407</v>
      </c>
      <c r="C614" s="1" t="n">
        <v>46031</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5891-2025</t>
        </is>
      </c>
      <c r="B615" s="1" t="n">
        <v>45695.38327546296</v>
      </c>
      <c r="C615" s="1" t="n">
        <v>46031</v>
      </c>
      <c r="D615" t="inlineStr">
        <is>
          <t>GOTLANDS LÄN</t>
        </is>
      </c>
      <c r="E615" t="inlineStr">
        <is>
          <t>GOTLAND</t>
        </is>
      </c>
      <c r="G615" t="n">
        <v>0.8</v>
      </c>
      <c r="H615" t="n">
        <v>0</v>
      </c>
      <c r="I615" t="n">
        <v>0</v>
      </c>
      <c r="J615" t="n">
        <v>0</v>
      </c>
      <c r="K615" t="n">
        <v>0</v>
      </c>
      <c r="L615" t="n">
        <v>0</v>
      </c>
      <c r="M615" t="n">
        <v>0</v>
      </c>
      <c r="N615" t="n">
        <v>0</v>
      </c>
      <c r="O615" t="n">
        <v>0</v>
      </c>
      <c r="P615" t="n">
        <v>0</v>
      </c>
      <c r="Q615" t="n">
        <v>0</v>
      </c>
      <c r="R615" s="2" t="inlineStr"/>
    </row>
    <row r="616" ht="15" customHeight="1">
      <c r="A616" t="inlineStr">
        <is>
          <t>A 7835-2024</t>
        </is>
      </c>
      <c r="B616" s="1" t="n">
        <v>45349.83138888889</v>
      </c>
      <c r="C616" s="1" t="n">
        <v>46031</v>
      </c>
      <c r="D616" t="inlineStr">
        <is>
          <t>GOTLANDS LÄN</t>
        </is>
      </c>
      <c r="E616" t="inlineStr">
        <is>
          <t>GOTLAND</t>
        </is>
      </c>
      <c r="G616" t="n">
        <v>3.8</v>
      </c>
      <c r="H616" t="n">
        <v>0</v>
      </c>
      <c r="I616" t="n">
        <v>0</v>
      </c>
      <c r="J616" t="n">
        <v>0</v>
      </c>
      <c r="K616" t="n">
        <v>0</v>
      </c>
      <c r="L616" t="n">
        <v>0</v>
      </c>
      <c r="M616" t="n">
        <v>0</v>
      </c>
      <c r="N616" t="n">
        <v>0</v>
      </c>
      <c r="O616" t="n">
        <v>0</v>
      </c>
      <c r="P616" t="n">
        <v>0</v>
      </c>
      <c r="Q616" t="n">
        <v>0</v>
      </c>
      <c r="R616" s="2" t="inlineStr"/>
    </row>
    <row r="617" ht="15" customHeight="1">
      <c r="A617" t="inlineStr">
        <is>
          <t>A 20794-2025</t>
        </is>
      </c>
      <c r="B617" s="1" t="n">
        <v>45776</v>
      </c>
      <c r="C617" s="1" t="n">
        <v>46031</v>
      </c>
      <c r="D617" t="inlineStr">
        <is>
          <t>GOTLANDS LÄN</t>
        </is>
      </c>
      <c r="E617" t="inlineStr">
        <is>
          <t>GOTLAND</t>
        </is>
      </c>
      <c r="G617" t="n">
        <v>6</v>
      </c>
      <c r="H617" t="n">
        <v>0</v>
      </c>
      <c r="I617" t="n">
        <v>0</v>
      </c>
      <c r="J617" t="n">
        <v>0</v>
      </c>
      <c r="K617" t="n">
        <v>0</v>
      </c>
      <c r="L617" t="n">
        <v>0</v>
      </c>
      <c r="M617" t="n">
        <v>0</v>
      </c>
      <c r="N617" t="n">
        <v>0</v>
      </c>
      <c r="O617" t="n">
        <v>0</v>
      </c>
      <c r="P617" t="n">
        <v>0</v>
      </c>
      <c r="Q617" t="n">
        <v>0</v>
      </c>
      <c r="R617" s="2" t="inlineStr"/>
    </row>
    <row r="618" ht="15" customHeight="1">
      <c r="A618" t="inlineStr">
        <is>
          <t>A 20805-2025</t>
        </is>
      </c>
      <c r="B618" s="1" t="n">
        <v>45776</v>
      </c>
      <c r="C618" s="1" t="n">
        <v>46031</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21389-2025</t>
        </is>
      </c>
      <c r="B619" s="1" t="n">
        <v>45782</v>
      </c>
      <c r="C619" s="1" t="n">
        <v>46031</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c r="A620" t="inlineStr">
        <is>
          <t>A 21651-2025</t>
        </is>
      </c>
      <c r="B620" s="1" t="n">
        <v>45783</v>
      </c>
      <c r="C620" s="1" t="n">
        <v>46031</v>
      </c>
      <c r="D620" t="inlineStr">
        <is>
          <t>GOTLANDS LÄN</t>
        </is>
      </c>
      <c r="E620" t="inlineStr">
        <is>
          <t>GOTLAND</t>
        </is>
      </c>
      <c r="G620" t="n">
        <v>4.2</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2026-01-09T10:50:11Z</dcterms:created>
  <dcterms:modified xmlns:dcterms="http://purl.org/dc/terms/" xmlns:xsi="http://www.w3.org/2001/XMLSchema-instance" xsi:type="dcterms:W3CDTF">2026-01-09T10:50:12Z</dcterms:modified>
</cp:coreProperties>
</file>