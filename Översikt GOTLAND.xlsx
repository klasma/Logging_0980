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46001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46001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46001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46001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46001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46001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46001</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46001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46001</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46001</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61664-2023</t>
        </is>
      </c>
      <c r="B12" s="1" t="n">
        <v>45265</v>
      </c>
      <c r="C12" s="1" t="n">
        <v>46001</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46001</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46001</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46001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46001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46001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46001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46001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46001</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46001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46001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46001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46001</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46001</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46001</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46001</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46001</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46001</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46001</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46001</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46001</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46001</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46001</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46001</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46001</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46001</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46001</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46001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46001</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46001</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46001</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46001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46001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46001</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46001</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46001</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46001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46001</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17766-2024</t>
        </is>
      </c>
      <c r="B50" s="1" t="n">
        <v>45418</v>
      </c>
      <c r="C50" s="1" t="n">
        <v>46001</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1719-2025</t>
        </is>
      </c>
      <c r="B51" s="1" t="n">
        <v>45671</v>
      </c>
      <c r="C51" s="1" t="n">
        <v>46001</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584-2023</t>
        </is>
      </c>
      <c r="B52" s="1" t="n">
        <v>44930</v>
      </c>
      <c r="C52" s="1" t="n">
        <v>46001</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46001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46001</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46001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46001</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46001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46001</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46001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46001</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46001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46001</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46001</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56687-2025</t>
        </is>
      </c>
      <c r="B64" s="1" t="n">
        <v>45975.84065972222</v>
      </c>
      <c r="C64" s="1" t="n">
        <v>46001</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44944-2022</t>
        </is>
      </c>
      <c r="B65" s="1" t="n">
        <v>44841</v>
      </c>
      <c r="C65" s="1" t="n">
        <v>46001</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46001</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46001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46001</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46001</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46001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46001</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46001</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57773-2025</t>
        </is>
      </c>
      <c r="B73" s="1" t="n">
        <v>45981.56349537037</v>
      </c>
      <c r="C73" s="1" t="n">
        <v>46001</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54527-2023</t>
        </is>
      </c>
      <c r="B74" s="1" t="n">
        <v>45233</v>
      </c>
      <c r="C74" s="1" t="n">
        <v>46001</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46001</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54527-2023</t>
        </is>
      </c>
      <c r="B76" s="1" t="n">
        <v>45233</v>
      </c>
      <c r="C76" s="1" t="n">
        <v>46001</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446-2023</t>
        </is>
      </c>
      <c r="B77" s="1" t="n">
        <v>44929</v>
      </c>
      <c r="C77" s="1" t="n">
        <v>46001</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7038-2023</t>
        </is>
      </c>
      <c r="B78" s="1" t="n">
        <v>44968</v>
      </c>
      <c r="C78" s="1" t="n">
        <v>46001</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46001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46001</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16375-2025</t>
        </is>
      </c>
      <c r="B81" s="1" t="n">
        <v>45751.41064814815</v>
      </c>
      <c r="C81" s="1" t="n">
        <v>46001</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46001</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46001</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46001</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46001</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46001</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46001</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46001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46001</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54523-2023</t>
        </is>
      </c>
      <c r="B90" s="1" t="n">
        <v>45233</v>
      </c>
      <c r="C90" s="1" t="n">
        <v>46001</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6159-2023</t>
        </is>
      </c>
      <c r="B91" s="1" t="n">
        <v>44964</v>
      </c>
      <c r="C91" s="1" t="n">
        <v>46001</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40099-2025</t>
        </is>
      </c>
      <c r="B92" s="1" t="n">
        <v>45894.48462962963</v>
      </c>
      <c r="C92" s="1" t="n">
        <v>46001</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43197-2023</t>
        </is>
      </c>
      <c r="B93" s="1" t="n">
        <v>45183</v>
      </c>
      <c r="C93" s="1" t="n">
        <v>46001</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1971-2023</t>
        </is>
      </c>
      <c r="B94" s="1" t="n">
        <v>44939</v>
      </c>
      <c r="C94" s="1" t="n">
        <v>46001</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20833-2024</t>
        </is>
      </c>
      <c r="B95" s="1" t="n">
        <v>45439</v>
      </c>
      <c r="C95" s="1" t="n">
        <v>46001</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57463-2025</t>
        </is>
      </c>
      <c r="B96" s="1" t="n">
        <v>45980.54174768519</v>
      </c>
      <c r="C96" s="1" t="n">
        <v>46001</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46001</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52309-2025</t>
        </is>
      </c>
      <c r="B98" s="1" t="n">
        <v>45953.64381944444</v>
      </c>
      <c r="C98" s="1" t="n">
        <v>46001</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44933-2022</t>
        </is>
      </c>
      <c r="B99" s="1" t="n">
        <v>44841</v>
      </c>
      <c r="C99" s="1" t="n">
        <v>46001</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2485-2025</t>
        </is>
      </c>
      <c r="B100" s="1" t="n">
        <v>45673</v>
      </c>
      <c r="C100" s="1" t="n">
        <v>46001</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46001</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46001</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46001</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46001</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46001</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46001</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46001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46001</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46001</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46001</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46001</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20831-2024</t>
        </is>
      </c>
      <c r="B112" s="1" t="n">
        <v>45439</v>
      </c>
      <c r="C112" s="1" t="n">
        <v>46001</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49709-2025</t>
        </is>
      </c>
      <c r="B113" s="1" t="n">
        <v>45939.68228009259</v>
      </c>
      <c r="C113" s="1" t="n">
        <v>46001</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43013-2022</t>
        </is>
      </c>
      <c r="B114" s="1" t="n">
        <v>44833</v>
      </c>
      <c r="C114" s="1" t="n">
        <v>46001</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46001</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46001</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17982-2023</t>
        </is>
      </c>
      <c r="B117" s="1" t="n">
        <v>45040</v>
      </c>
      <c r="C117" s="1" t="n">
        <v>46001</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46001</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46001</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46001</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46001</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46001</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46001</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46001</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46001</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46001</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46001</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46001</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46001</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46001</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46001</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43219-2023</t>
        </is>
      </c>
      <c r="B132" s="1" t="n">
        <v>45183</v>
      </c>
      <c r="C132" s="1" t="n">
        <v>46001</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12914-2025</t>
        </is>
      </c>
      <c r="B133" s="1" t="n">
        <v>45733</v>
      </c>
      <c r="C133" s="1" t="n">
        <v>46001</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28261-2024</t>
        </is>
      </c>
      <c r="B134" s="1" t="n">
        <v>45477</v>
      </c>
      <c r="C134" s="1" t="n">
        <v>46001</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28261-2024 artfynd.xlsx", "A 28261-2024")</f>
        <v/>
      </c>
      <c r="T134">
        <f>HYPERLINK("https://klasma.github.io/Logging_0980/kartor/A 28261-2024 karta.png", "A 28261-2024")</f>
        <v/>
      </c>
      <c r="V134">
        <f>HYPERLINK("https://klasma.github.io/Logging_0980/klagomål/A 28261-2024 FSC-klagomål.docx", "A 28261-2024")</f>
        <v/>
      </c>
      <c r="W134">
        <f>HYPERLINK("https://klasma.github.io/Logging_0980/klagomålsmail/A 28261-2024 FSC-klagomål mail.docx", "A 28261-2024")</f>
        <v/>
      </c>
      <c r="X134">
        <f>HYPERLINK("https://klasma.github.io/Logging_0980/tillsyn/A 28261-2024 tillsynsbegäran.docx", "A 28261-2024")</f>
        <v/>
      </c>
      <c r="Y134">
        <f>HYPERLINK("https://klasma.github.io/Logging_0980/tillsynsmail/A 28261-2024 tillsynsbegäran mail.docx", "A 28261-2024")</f>
        <v/>
      </c>
    </row>
    <row r="135" ht="15" customHeight="1">
      <c r="A135" t="inlineStr">
        <is>
          <t>A 55649-2024</t>
        </is>
      </c>
      <c r="B135" s="1" t="n">
        <v>45622.63053240741</v>
      </c>
      <c r="C135" s="1" t="n">
        <v>46001</v>
      </c>
      <c r="D135" t="inlineStr">
        <is>
          <t>GOTLANDS LÄN</t>
        </is>
      </c>
      <c r="E135" t="inlineStr">
        <is>
          <t>GOTLAND</t>
        </is>
      </c>
      <c r="G135" t="n">
        <v>4.6</v>
      </c>
      <c r="H135" t="n">
        <v>2</v>
      </c>
      <c r="I135" t="n">
        <v>0</v>
      </c>
      <c r="J135" t="n">
        <v>0</v>
      </c>
      <c r="K135" t="n">
        <v>0</v>
      </c>
      <c r="L135" t="n">
        <v>0</v>
      </c>
      <c r="M135" t="n">
        <v>0</v>
      </c>
      <c r="N135" t="n">
        <v>0</v>
      </c>
      <c r="O135" t="n">
        <v>0</v>
      </c>
      <c r="P135" t="n">
        <v>0</v>
      </c>
      <c r="Q135" t="n">
        <v>2</v>
      </c>
      <c r="R135" s="2" t="inlineStr">
        <is>
          <t>Sankt pers nycklar
Blåsippa</t>
        </is>
      </c>
      <c r="S135">
        <f>HYPERLINK("https://klasma.github.io/Logging_0980/artfynd/A 55649-2024 artfynd.xlsx", "A 55649-2024")</f>
        <v/>
      </c>
      <c r="T135">
        <f>HYPERLINK("https://klasma.github.io/Logging_0980/kartor/A 55649-2024 karta.png", "A 55649-2024")</f>
        <v/>
      </c>
      <c r="V135">
        <f>HYPERLINK("https://klasma.github.io/Logging_0980/klagomål/A 55649-2024 FSC-klagomål.docx", "A 55649-2024")</f>
        <v/>
      </c>
      <c r="W135">
        <f>HYPERLINK("https://klasma.github.io/Logging_0980/klagomålsmail/A 55649-2024 FSC-klagomål mail.docx", "A 55649-2024")</f>
        <v/>
      </c>
      <c r="X135">
        <f>HYPERLINK("https://klasma.github.io/Logging_0980/tillsyn/A 55649-2024 tillsynsbegäran.docx", "A 55649-2024")</f>
        <v/>
      </c>
      <c r="Y135">
        <f>HYPERLINK("https://klasma.github.io/Logging_0980/tillsynsmail/A 55649-2024 tillsynsbegäran mail.docx", "A 55649-2024")</f>
        <v/>
      </c>
    </row>
    <row r="136" ht="15" customHeight="1">
      <c r="A136" t="inlineStr">
        <is>
          <t>A 28276-2024</t>
        </is>
      </c>
      <c r="B136" s="1" t="n">
        <v>45477</v>
      </c>
      <c r="C136" s="1" t="n">
        <v>46001</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21879-2025</t>
        </is>
      </c>
      <c r="B137" s="1" t="n">
        <v>45784.40533564815</v>
      </c>
      <c r="C137" s="1" t="n">
        <v>46001</v>
      </c>
      <c r="D137" t="inlineStr">
        <is>
          <t>GOTLANDS LÄN</t>
        </is>
      </c>
      <c r="E137" t="inlineStr">
        <is>
          <t>GOTLAND</t>
        </is>
      </c>
      <c r="G137" t="n">
        <v>11.1</v>
      </c>
      <c r="H137" t="n">
        <v>0</v>
      </c>
      <c r="I137" t="n">
        <v>1</v>
      </c>
      <c r="J137" t="n">
        <v>0</v>
      </c>
      <c r="K137" t="n">
        <v>0</v>
      </c>
      <c r="L137" t="n">
        <v>1</v>
      </c>
      <c r="M137" t="n">
        <v>0</v>
      </c>
      <c r="N137" t="n">
        <v>0</v>
      </c>
      <c r="O137" t="n">
        <v>1</v>
      </c>
      <c r="P137" t="n">
        <v>1</v>
      </c>
      <c r="Q137" t="n">
        <v>2</v>
      </c>
      <c r="R137" s="2" t="inlineStr">
        <is>
          <t>Ask
Murgröna</t>
        </is>
      </c>
      <c r="S137">
        <f>HYPERLINK("https://klasma.github.io/Logging_0980/artfynd/A 21879-2025 artfynd.xlsx", "A 21879-2025")</f>
        <v/>
      </c>
      <c r="T137">
        <f>HYPERLINK("https://klasma.github.io/Logging_0980/kartor/A 21879-2025 karta.png", "A 21879-2025")</f>
        <v/>
      </c>
      <c r="V137">
        <f>HYPERLINK("https://klasma.github.io/Logging_0980/klagomål/A 21879-2025 FSC-klagomål.docx", "A 21879-2025")</f>
        <v/>
      </c>
      <c r="W137">
        <f>HYPERLINK("https://klasma.github.io/Logging_0980/klagomålsmail/A 21879-2025 FSC-klagomål mail.docx", "A 21879-2025")</f>
        <v/>
      </c>
      <c r="X137">
        <f>HYPERLINK("https://klasma.github.io/Logging_0980/tillsyn/A 21879-2025 tillsynsbegäran.docx", "A 21879-2025")</f>
        <v/>
      </c>
      <c r="Y137">
        <f>HYPERLINK("https://klasma.github.io/Logging_0980/tillsynsmail/A 21879-2025 tillsynsbegäran mail.docx", "A 21879-2025")</f>
        <v/>
      </c>
    </row>
    <row r="138" ht="15" customHeight="1">
      <c r="A138" t="inlineStr">
        <is>
          <t>A 24-2021</t>
        </is>
      </c>
      <c r="B138" s="1" t="n">
        <v>44197</v>
      </c>
      <c r="C138" s="1" t="n">
        <v>46001</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46001</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46001</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46001</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46001</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46001</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46001</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10440-2024</t>
        </is>
      </c>
      <c r="B145" s="1" t="n">
        <v>45366.32818287037</v>
      </c>
      <c r="C145" s="1" t="n">
        <v>46001</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44304-2021</t>
        </is>
      </c>
      <c r="B146" s="1" t="n">
        <v>44434</v>
      </c>
      <c r="C146" s="1" t="n">
        <v>46001</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39812-2025</t>
        </is>
      </c>
      <c r="B147" s="1" t="n">
        <v>45891</v>
      </c>
      <c r="C147" s="1" t="n">
        <v>46001</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25977-2024</t>
        </is>
      </c>
      <c r="B148" s="1" t="n">
        <v>45467.69356481481</v>
      </c>
      <c r="C148" s="1" t="n">
        <v>46001</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26461-2025</t>
        </is>
      </c>
      <c r="B149" s="1" t="n">
        <v>45807.43337962963</v>
      </c>
      <c r="C149" s="1" t="n">
        <v>46001</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65927-2021</t>
        </is>
      </c>
      <c r="B150" s="1" t="n">
        <v>44516</v>
      </c>
      <c r="C150" s="1" t="n">
        <v>46001</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35467-2021</t>
        </is>
      </c>
      <c r="B151" s="1" t="n">
        <v>44385</v>
      </c>
      <c r="C151" s="1" t="n">
        <v>46001</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61796-2022</t>
        </is>
      </c>
      <c r="B152" s="1" t="n">
        <v>44917</v>
      </c>
      <c r="C152" s="1" t="n">
        <v>46001</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44619-2025</t>
        </is>
      </c>
      <c r="B153" s="1" t="n">
        <v>45917</v>
      </c>
      <c r="C153" s="1" t="n">
        <v>46001</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34141-2024</t>
        </is>
      </c>
      <c r="B154" s="1" t="n">
        <v>45524.36229166666</v>
      </c>
      <c r="C154" s="1" t="n">
        <v>46001</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15637-2024</t>
        </is>
      </c>
      <c r="B155" s="1" t="n">
        <v>45403.6684837963</v>
      </c>
      <c r="C155" s="1" t="n">
        <v>46001</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9862-2024</t>
        </is>
      </c>
      <c r="B156" s="1" t="n">
        <v>45363</v>
      </c>
      <c r="C156" s="1" t="n">
        <v>46001</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2476-2025</t>
        </is>
      </c>
      <c r="B157" s="1" t="n">
        <v>45673</v>
      </c>
      <c r="C157" s="1" t="n">
        <v>46001</v>
      </c>
      <c r="D157" t="inlineStr">
        <is>
          <t>GOTLANDS LÄN</t>
        </is>
      </c>
      <c r="E157" t="inlineStr">
        <is>
          <t>GOTLAND</t>
        </is>
      </c>
      <c r="G157" t="n">
        <v>3.1</v>
      </c>
      <c r="H157" t="n">
        <v>0</v>
      </c>
      <c r="I157" t="n">
        <v>1</v>
      </c>
      <c r="J157" t="n">
        <v>0</v>
      </c>
      <c r="K157" t="n">
        <v>0</v>
      </c>
      <c r="L157" t="n">
        <v>0</v>
      </c>
      <c r="M157" t="n">
        <v>0</v>
      </c>
      <c r="N157" t="n">
        <v>0</v>
      </c>
      <c r="O157" t="n">
        <v>0</v>
      </c>
      <c r="P157" t="n">
        <v>0</v>
      </c>
      <c r="Q157" t="n">
        <v>1</v>
      </c>
      <c r="R157" s="2" t="inlineStr">
        <is>
          <t>Kryddspindling</t>
        </is>
      </c>
      <c r="S157">
        <f>HYPERLINK("https://klasma.github.io/Logging_0980/artfynd/A 2476-2025 artfynd.xlsx", "A 2476-2025")</f>
        <v/>
      </c>
      <c r="T157">
        <f>HYPERLINK("https://klasma.github.io/Logging_0980/kartor/A 2476-2025 karta.png", "A 2476-2025")</f>
        <v/>
      </c>
      <c r="V157">
        <f>HYPERLINK("https://klasma.github.io/Logging_0980/klagomål/A 2476-2025 FSC-klagomål.docx", "A 2476-2025")</f>
        <v/>
      </c>
      <c r="W157">
        <f>HYPERLINK("https://klasma.github.io/Logging_0980/klagomålsmail/A 2476-2025 FSC-klagomål mail.docx", "A 2476-2025")</f>
        <v/>
      </c>
      <c r="X157">
        <f>HYPERLINK("https://klasma.github.io/Logging_0980/tillsyn/A 2476-2025 tillsynsbegäran.docx", "A 2476-2025")</f>
        <v/>
      </c>
      <c r="Y157">
        <f>HYPERLINK("https://klasma.github.io/Logging_0980/tillsynsmail/A 2476-2025 tillsynsbegäran mail.docx", "A 2476-2025")</f>
        <v/>
      </c>
    </row>
    <row r="158" ht="15" customHeight="1">
      <c r="A158" t="inlineStr">
        <is>
          <t>A 12924-2025</t>
        </is>
      </c>
      <c r="B158" s="1" t="n">
        <v>45734</v>
      </c>
      <c r="C158" s="1" t="n">
        <v>46001</v>
      </c>
      <c r="D158" t="inlineStr">
        <is>
          <t>GOTLANDS LÄN</t>
        </is>
      </c>
      <c r="E158" t="inlineStr">
        <is>
          <t>GOTLAND</t>
        </is>
      </c>
      <c r="G158" t="n">
        <v>11.7</v>
      </c>
      <c r="H158" t="n">
        <v>0</v>
      </c>
      <c r="I158" t="n">
        <v>0</v>
      </c>
      <c r="J158" t="n">
        <v>0</v>
      </c>
      <c r="K158" t="n">
        <v>1</v>
      </c>
      <c r="L158" t="n">
        <v>0</v>
      </c>
      <c r="M158" t="n">
        <v>0</v>
      </c>
      <c r="N158" t="n">
        <v>0</v>
      </c>
      <c r="O158" t="n">
        <v>1</v>
      </c>
      <c r="P158" t="n">
        <v>1</v>
      </c>
      <c r="Q158" t="n">
        <v>1</v>
      </c>
      <c r="R158" s="2" t="inlineStr">
        <is>
          <t>Gotlandsmåra</t>
        </is>
      </c>
      <c r="S158">
        <f>HYPERLINK("https://klasma.github.io/Logging_0980/artfynd/A 12924-2025 artfynd.xlsx", "A 12924-2025")</f>
        <v/>
      </c>
      <c r="T158">
        <f>HYPERLINK("https://klasma.github.io/Logging_0980/kartor/A 12924-2025 karta.png", "A 12924-2025")</f>
        <v/>
      </c>
      <c r="V158">
        <f>HYPERLINK("https://klasma.github.io/Logging_0980/klagomål/A 12924-2025 FSC-klagomål.docx", "A 12924-2025")</f>
        <v/>
      </c>
      <c r="W158">
        <f>HYPERLINK("https://klasma.github.io/Logging_0980/klagomålsmail/A 12924-2025 FSC-klagomål mail.docx", "A 12924-2025")</f>
        <v/>
      </c>
      <c r="X158">
        <f>HYPERLINK("https://klasma.github.io/Logging_0980/tillsyn/A 12924-2025 tillsynsbegäran.docx", "A 12924-2025")</f>
        <v/>
      </c>
      <c r="Y158">
        <f>HYPERLINK("https://klasma.github.io/Logging_0980/tillsynsmail/A 12924-2025 tillsynsbegäran mail.docx", "A 12924-2025")</f>
        <v/>
      </c>
    </row>
    <row r="159" ht="15" customHeight="1">
      <c r="A159" t="inlineStr">
        <is>
          <t>A 10995-2023</t>
        </is>
      </c>
      <c r="B159" s="1" t="n">
        <v>44986</v>
      </c>
      <c r="C159" s="1" t="n">
        <v>46001</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49726-2025</t>
        </is>
      </c>
      <c r="B160" s="1" t="n">
        <v>45939.84466435185</v>
      </c>
      <c r="C160" s="1" t="n">
        <v>46001</v>
      </c>
      <c r="D160" t="inlineStr">
        <is>
          <t>GOTLANDS LÄN</t>
        </is>
      </c>
      <c r="E160" t="inlineStr">
        <is>
          <t>GOTLAND</t>
        </is>
      </c>
      <c r="F160" t="inlineStr">
        <is>
          <t>Kyrkan</t>
        </is>
      </c>
      <c r="G160" t="n">
        <v>5.4</v>
      </c>
      <c r="H160" t="n">
        <v>0</v>
      </c>
      <c r="I160" t="n">
        <v>0</v>
      </c>
      <c r="J160" t="n">
        <v>1</v>
      </c>
      <c r="K160" t="n">
        <v>0</v>
      </c>
      <c r="L160" t="n">
        <v>0</v>
      </c>
      <c r="M160" t="n">
        <v>0</v>
      </c>
      <c r="N160" t="n">
        <v>0</v>
      </c>
      <c r="O160" t="n">
        <v>1</v>
      </c>
      <c r="P160" t="n">
        <v>0</v>
      </c>
      <c r="Q160" t="n">
        <v>1</v>
      </c>
      <c r="R160" s="2" t="inlineStr">
        <is>
          <t>Odörspindling</t>
        </is>
      </c>
      <c r="S160">
        <f>HYPERLINK("https://klasma.github.io/Logging_0980/artfynd/A 49726-2025 artfynd.xlsx", "A 49726-2025")</f>
        <v/>
      </c>
      <c r="T160">
        <f>HYPERLINK("https://klasma.github.io/Logging_0980/kartor/A 49726-2025 karta.png", "A 49726-2025")</f>
        <v/>
      </c>
      <c r="V160">
        <f>HYPERLINK("https://klasma.github.io/Logging_0980/klagomål/A 49726-2025 FSC-klagomål.docx", "A 49726-2025")</f>
        <v/>
      </c>
      <c r="W160">
        <f>HYPERLINK("https://klasma.github.io/Logging_0980/klagomålsmail/A 49726-2025 FSC-klagomål mail.docx", "A 49726-2025")</f>
        <v/>
      </c>
      <c r="X160">
        <f>HYPERLINK("https://klasma.github.io/Logging_0980/tillsyn/A 49726-2025 tillsynsbegäran.docx", "A 49726-2025")</f>
        <v/>
      </c>
      <c r="Y160">
        <f>HYPERLINK("https://klasma.github.io/Logging_0980/tillsynsmail/A 49726-2025 tillsynsbegäran mail.docx", "A 49726-2025")</f>
        <v/>
      </c>
    </row>
    <row r="161" ht="15" customHeight="1">
      <c r="A161" t="inlineStr">
        <is>
          <t>A 20429-2025</t>
        </is>
      </c>
      <c r="B161" s="1" t="n">
        <v>45775.47728009259</v>
      </c>
      <c r="C161" s="1" t="n">
        <v>46001</v>
      </c>
      <c r="D161" t="inlineStr">
        <is>
          <t>GOTLANDS LÄN</t>
        </is>
      </c>
      <c r="E161" t="inlineStr">
        <is>
          <t>GOTLAND</t>
        </is>
      </c>
      <c r="G161" t="n">
        <v>1.4</v>
      </c>
      <c r="H161" t="n">
        <v>1</v>
      </c>
      <c r="I161" t="n">
        <v>0</v>
      </c>
      <c r="J161" t="n">
        <v>0</v>
      </c>
      <c r="K161" t="n">
        <v>0</v>
      </c>
      <c r="L161" t="n">
        <v>0</v>
      </c>
      <c r="M161" t="n">
        <v>0</v>
      </c>
      <c r="N161" t="n">
        <v>0</v>
      </c>
      <c r="O161" t="n">
        <v>0</v>
      </c>
      <c r="P161" t="n">
        <v>0</v>
      </c>
      <c r="Q161" t="n">
        <v>1</v>
      </c>
      <c r="R161" s="2" t="inlineStr">
        <is>
          <t>Äkta lopplummer</t>
        </is>
      </c>
      <c r="S161">
        <f>HYPERLINK("https://klasma.github.io/Logging_0980/artfynd/A 20429-2025 artfynd.xlsx", "A 20429-2025")</f>
        <v/>
      </c>
      <c r="T161">
        <f>HYPERLINK("https://klasma.github.io/Logging_0980/kartor/A 20429-2025 karta.png", "A 20429-2025")</f>
        <v/>
      </c>
      <c r="V161">
        <f>HYPERLINK("https://klasma.github.io/Logging_0980/klagomål/A 20429-2025 FSC-klagomål.docx", "A 20429-2025")</f>
        <v/>
      </c>
      <c r="W161">
        <f>HYPERLINK("https://klasma.github.io/Logging_0980/klagomålsmail/A 20429-2025 FSC-klagomål mail.docx", "A 20429-2025")</f>
        <v/>
      </c>
      <c r="X161">
        <f>HYPERLINK("https://klasma.github.io/Logging_0980/tillsyn/A 20429-2025 tillsynsbegäran.docx", "A 20429-2025")</f>
        <v/>
      </c>
      <c r="Y161">
        <f>HYPERLINK("https://klasma.github.io/Logging_0980/tillsynsmail/A 20429-2025 tillsynsbegäran mail.docx", "A 20429-2025")</f>
        <v/>
      </c>
    </row>
    <row r="162" ht="15" customHeight="1">
      <c r="A162" t="inlineStr">
        <is>
          <t>A 13939-2021</t>
        </is>
      </c>
      <c r="B162" s="1" t="n">
        <v>44277</v>
      </c>
      <c r="C162" s="1" t="n">
        <v>46001</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62552-2022</t>
        </is>
      </c>
      <c r="B163" s="1" t="n">
        <v>44924</v>
      </c>
      <c r="C163" s="1" t="n">
        <v>46001</v>
      </c>
      <c r="D163" t="inlineStr">
        <is>
          <t>GOTLANDS LÄN</t>
        </is>
      </c>
      <c r="E163" t="inlineStr">
        <is>
          <t>GOTLAND</t>
        </is>
      </c>
      <c r="G163" t="n">
        <v>1.6</v>
      </c>
      <c r="H163" t="n">
        <v>0</v>
      </c>
      <c r="I163" t="n">
        <v>0</v>
      </c>
      <c r="J163" t="n">
        <v>1</v>
      </c>
      <c r="K163" t="n">
        <v>0</v>
      </c>
      <c r="L163" t="n">
        <v>0</v>
      </c>
      <c r="M163" t="n">
        <v>0</v>
      </c>
      <c r="N163" t="n">
        <v>0</v>
      </c>
      <c r="O163" t="n">
        <v>1</v>
      </c>
      <c r="P163" t="n">
        <v>0</v>
      </c>
      <c r="Q163" t="n">
        <v>1</v>
      </c>
      <c r="R163" s="2" t="inlineStr">
        <is>
          <t>Äggspindling</t>
        </is>
      </c>
      <c r="S163">
        <f>HYPERLINK("https://klasma.github.io/Logging_0980/artfynd/A 62552-2022 artfynd.xlsx", "A 62552-2022")</f>
        <v/>
      </c>
      <c r="T163">
        <f>HYPERLINK("https://klasma.github.io/Logging_0980/kartor/A 62552-2022 karta.png", "A 62552-2022")</f>
        <v/>
      </c>
      <c r="V163">
        <f>HYPERLINK("https://klasma.github.io/Logging_0980/klagomål/A 62552-2022 FSC-klagomål.docx", "A 62552-2022")</f>
        <v/>
      </c>
      <c r="W163">
        <f>HYPERLINK("https://klasma.github.io/Logging_0980/klagomålsmail/A 62552-2022 FSC-klagomål mail.docx", "A 62552-2022")</f>
        <v/>
      </c>
      <c r="X163">
        <f>HYPERLINK("https://klasma.github.io/Logging_0980/tillsyn/A 62552-2022 tillsynsbegäran.docx", "A 62552-2022")</f>
        <v/>
      </c>
      <c r="Y163">
        <f>HYPERLINK("https://klasma.github.io/Logging_0980/tillsynsmail/A 62552-2022 tillsynsbegäran mail.docx", "A 62552-2022")</f>
        <v/>
      </c>
    </row>
    <row r="164" ht="15" customHeight="1">
      <c r="A164" t="inlineStr">
        <is>
          <t>A 44088-2022</t>
        </is>
      </c>
      <c r="B164" s="1" t="n">
        <v>44839</v>
      </c>
      <c r="C164" s="1" t="n">
        <v>46001</v>
      </c>
      <c r="D164" t="inlineStr">
        <is>
          <t>GOTLANDS LÄN</t>
        </is>
      </c>
      <c r="E164" t="inlineStr">
        <is>
          <t>GOTLAND</t>
        </is>
      </c>
      <c r="G164" t="n">
        <v>1.5</v>
      </c>
      <c r="H164" t="n">
        <v>0</v>
      </c>
      <c r="I164" t="n">
        <v>1</v>
      </c>
      <c r="J164" t="n">
        <v>0</v>
      </c>
      <c r="K164" t="n">
        <v>0</v>
      </c>
      <c r="L164" t="n">
        <v>0</v>
      </c>
      <c r="M164" t="n">
        <v>0</v>
      </c>
      <c r="N164" t="n">
        <v>0</v>
      </c>
      <c r="O164" t="n">
        <v>0</v>
      </c>
      <c r="P164" t="n">
        <v>0</v>
      </c>
      <c r="Q164" t="n">
        <v>1</v>
      </c>
      <c r="R164" s="2" t="inlineStr">
        <is>
          <t>Strävlosta</t>
        </is>
      </c>
      <c r="S164">
        <f>HYPERLINK("https://klasma.github.io/Logging_0980/artfynd/A 44088-2022 artfynd.xlsx", "A 44088-2022")</f>
        <v/>
      </c>
      <c r="T164">
        <f>HYPERLINK("https://klasma.github.io/Logging_0980/kartor/A 44088-2022 karta.png", "A 44088-2022")</f>
        <v/>
      </c>
      <c r="V164">
        <f>HYPERLINK("https://klasma.github.io/Logging_0980/klagomål/A 44088-2022 FSC-klagomål.docx", "A 44088-2022")</f>
        <v/>
      </c>
      <c r="W164">
        <f>HYPERLINK("https://klasma.github.io/Logging_0980/klagomålsmail/A 44088-2022 FSC-klagomål mail.docx", "A 44088-2022")</f>
        <v/>
      </c>
      <c r="X164">
        <f>HYPERLINK("https://klasma.github.io/Logging_0980/tillsyn/A 44088-2022 tillsynsbegäran.docx", "A 44088-2022")</f>
        <v/>
      </c>
      <c r="Y164">
        <f>HYPERLINK("https://klasma.github.io/Logging_0980/tillsynsmail/A 44088-2022 tillsynsbegäran mail.docx", "A 44088-2022")</f>
        <v/>
      </c>
    </row>
    <row r="165" ht="15" customHeight="1">
      <c r="A165" t="inlineStr">
        <is>
          <t>A 44308-2021</t>
        </is>
      </c>
      <c r="B165" s="1" t="n">
        <v>44434</v>
      </c>
      <c r="C165" s="1" t="n">
        <v>46001</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447-2023</t>
        </is>
      </c>
      <c r="B166" s="1" t="n">
        <v>44929</v>
      </c>
      <c r="C166" s="1" t="n">
        <v>46001</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46001</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49304-2024</t>
        </is>
      </c>
      <c r="B168" s="1" t="n">
        <v>45595.54996527778</v>
      </c>
      <c r="C168" s="1" t="n">
        <v>46001</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46001</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64700-2021</t>
        </is>
      </c>
      <c r="B170" s="1" t="n">
        <v>44511</v>
      </c>
      <c r="C170" s="1" t="n">
        <v>46001</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27589-2023</t>
        </is>
      </c>
      <c r="B171" s="1" t="n">
        <v>45097</v>
      </c>
      <c r="C171" s="1" t="n">
        <v>46001</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46001</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46001</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46001</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46001</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46001</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46001</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22782-2023</t>
        </is>
      </c>
      <c r="B178" s="1" t="n">
        <v>45072</v>
      </c>
      <c r="C178" s="1" t="n">
        <v>46001</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46001</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46001</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46001</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46001</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46001</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46001</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46001</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19901-2021</t>
        </is>
      </c>
      <c r="B186" s="1" t="n">
        <v>44312</v>
      </c>
      <c r="C186" s="1" t="n">
        <v>46001</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36313-2021</t>
        </is>
      </c>
      <c r="B187" s="1" t="n">
        <v>44390</v>
      </c>
      <c r="C187" s="1" t="n">
        <v>46001</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46001</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46001</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46001</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17585-2021</t>
        </is>
      </c>
      <c r="B191" s="1" t="n">
        <v>44299</v>
      </c>
      <c r="C191" s="1" t="n">
        <v>46001</v>
      </c>
      <c r="D191" t="inlineStr">
        <is>
          <t>GOTLANDS LÄN</t>
        </is>
      </c>
      <c r="E191" t="inlineStr">
        <is>
          <t>GOTLAND</t>
        </is>
      </c>
      <c r="G191" t="n">
        <v>5.4</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46001</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11400-2021</t>
        </is>
      </c>
      <c r="B193" s="1" t="n">
        <v>44263</v>
      </c>
      <c r="C193" s="1" t="n">
        <v>46001</v>
      </c>
      <c r="D193" t="inlineStr">
        <is>
          <t>GOTLANDS LÄN</t>
        </is>
      </c>
      <c r="E193" t="inlineStr">
        <is>
          <t>GOTLAND</t>
        </is>
      </c>
      <c r="G193" t="n">
        <v>5.6</v>
      </c>
      <c r="H193" t="n">
        <v>0</v>
      </c>
      <c r="I193" t="n">
        <v>0</v>
      </c>
      <c r="J193" t="n">
        <v>0</v>
      </c>
      <c r="K193" t="n">
        <v>0</v>
      </c>
      <c r="L193" t="n">
        <v>0</v>
      </c>
      <c r="M193" t="n">
        <v>0</v>
      </c>
      <c r="N193" t="n">
        <v>0</v>
      </c>
      <c r="O193" t="n">
        <v>0</v>
      </c>
      <c r="P193" t="n">
        <v>0</v>
      </c>
      <c r="Q193" t="n">
        <v>0</v>
      </c>
      <c r="R193" s="2" t="inlineStr"/>
    </row>
    <row r="194" ht="15" customHeight="1">
      <c r="A194" t="inlineStr">
        <is>
          <t>A 8329-2021</t>
        </is>
      </c>
      <c r="B194" s="1" t="n">
        <v>44244</v>
      </c>
      <c r="C194" s="1" t="n">
        <v>46001</v>
      </c>
      <c r="D194" t="inlineStr">
        <is>
          <t>GOTLANDS LÄN</t>
        </is>
      </c>
      <c r="E194" t="inlineStr">
        <is>
          <t>GOTLAND</t>
        </is>
      </c>
      <c r="F194" t="inlineStr">
        <is>
          <t>Kyrkan</t>
        </is>
      </c>
      <c r="G194" t="n">
        <v>4.5</v>
      </c>
      <c r="H194" t="n">
        <v>0</v>
      </c>
      <c r="I194" t="n">
        <v>0</v>
      </c>
      <c r="J194" t="n">
        <v>0</v>
      </c>
      <c r="K194" t="n">
        <v>0</v>
      </c>
      <c r="L194" t="n">
        <v>0</v>
      </c>
      <c r="M194" t="n">
        <v>0</v>
      </c>
      <c r="N194" t="n">
        <v>0</v>
      </c>
      <c r="O194" t="n">
        <v>0</v>
      </c>
      <c r="P194" t="n">
        <v>0</v>
      </c>
      <c r="Q194" t="n">
        <v>0</v>
      </c>
      <c r="R194" s="2" t="inlineStr"/>
    </row>
    <row r="195" ht="15" customHeight="1">
      <c r="A195" t="inlineStr">
        <is>
          <t>A 44108-2022</t>
        </is>
      </c>
      <c r="B195" s="1" t="n">
        <v>44839.38159722222</v>
      </c>
      <c r="C195" s="1" t="n">
        <v>46001</v>
      </c>
      <c r="D195" t="inlineStr">
        <is>
          <t>GOTLANDS LÄN</t>
        </is>
      </c>
      <c r="E195" t="inlineStr">
        <is>
          <t>GOTLAND</t>
        </is>
      </c>
      <c r="G195" t="n">
        <v>12.9</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46001</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46001</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46001</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32647-2021</t>
        </is>
      </c>
      <c r="B199" s="1" t="n">
        <v>44375</v>
      </c>
      <c r="C199" s="1" t="n">
        <v>46001</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19892-2021</t>
        </is>
      </c>
      <c r="B200" s="1" t="n">
        <v>44312</v>
      </c>
      <c r="C200" s="1" t="n">
        <v>46001</v>
      </c>
      <c r="D200" t="inlineStr">
        <is>
          <t>GOTLANDS LÄN</t>
        </is>
      </c>
      <c r="E200" t="inlineStr">
        <is>
          <t>GOTLAND</t>
        </is>
      </c>
      <c r="G200" t="n">
        <v>5.3</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46001</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22498-2022</t>
        </is>
      </c>
      <c r="B202" s="1" t="n">
        <v>44713.64682870371</v>
      </c>
      <c r="C202" s="1" t="n">
        <v>46001</v>
      </c>
      <c r="D202" t="inlineStr">
        <is>
          <t>GOTLANDS LÄN</t>
        </is>
      </c>
      <c r="E202" t="inlineStr">
        <is>
          <t>GOTLAND</t>
        </is>
      </c>
      <c r="G202" t="n">
        <v>0.7</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46001</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46001</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8700-2021</t>
        </is>
      </c>
      <c r="B205" s="1" t="n">
        <v>44246</v>
      </c>
      <c r="C205" s="1" t="n">
        <v>46001</v>
      </c>
      <c r="D205" t="inlineStr">
        <is>
          <t>GOTLANDS LÄN</t>
        </is>
      </c>
      <c r="E205" t="inlineStr">
        <is>
          <t>GOTLAND</t>
        </is>
      </c>
      <c r="G205" t="n">
        <v>0.1</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46001</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46001</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46001</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46001</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46001</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46001</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46001</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46001</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47369-2021</t>
        </is>
      </c>
      <c r="B214" s="1" t="n">
        <v>44447</v>
      </c>
      <c r="C214" s="1" t="n">
        <v>46001</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11029-2022</t>
        </is>
      </c>
      <c r="B215" s="1" t="n">
        <v>44628</v>
      </c>
      <c r="C215" s="1" t="n">
        <v>46001</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46001</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46001</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46001</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46001</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46001</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46001</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46001</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46001</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46001</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46001</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46001</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46001</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46001</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1229-2021</t>
        </is>
      </c>
      <c r="B229" s="1" t="n">
        <v>44208</v>
      </c>
      <c r="C229" s="1" t="n">
        <v>46001</v>
      </c>
      <c r="D229" t="inlineStr">
        <is>
          <t>GOTLANDS LÄN</t>
        </is>
      </c>
      <c r="E229" t="inlineStr">
        <is>
          <t>GOTLAND</t>
        </is>
      </c>
      <c r="G229" t="n">
        <v>5.3</v>
      </c>
      <c r="H229" t="n">
        <v>0</v>
      </c>
      <c r="I229" t="n">
        <v>0</v>
      </c>
      <c r="J229" t="n">
        <v>0</v>
      </c>
      <c r="K229" t="n">
        <v>0</v>
      </c>
      <c r="L229" t="n">
        <v>0</v>
      </c>
      <c r="M229" t="n">
        <v>0</v>
      </c>
      <c r="N229" t="n">
        <v>0</v>
      </c>
      <c r="O229" t="n">
        <v>0</v>
      </c>
      <c r="P229" t="n">
        <v>0</v>
      </c>
      <c r="Q229" t="n">
        <v>0</v>
      </c>
      <c r="R229" s="2" t="inlineStr"/>
    </row>
    <row r="230" ht="15" customHeight="1">
      <c r="A230" t="inlineStr">
        <is>
          <t>A 3271-2021</t>
        </is>
      </c>
      <c r="B230" s="1" t="n">
        <v>44217</v>
      </c>
      <c r="C230" s="1" t="n">
        <v>46001</v>
      </c>
      <c r="D230" t="inlineStr">
        <is>
          <t>GOTLANDS LÄN</t>
        </is>
      </c>
      <c r="E230" t="inlineStr">
        <is>
          <t>GOTLAND</t>
        </is>
      </c>
      <c r="G230" t="n">
        <v>0.7</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46001</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46001</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46001</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46001</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21507-2021</t>
        </is>
      </c>
      <c r="B235" s="1" t="n">
        <v>44321</v>
      </c>
      <c r="C235" s="1" t="n">
        <v>46001</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46001</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30282-2022</t>
        </is>
      </c>
      <c r="B237" s="1" t="n">
        <v>44760</v>
      </c>
      <c r="C237" s="1" t="n">
        <v>46001</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4868-2024</t>
        </is>
      </c>
      <c r="B238" s="1" t="n">
        <v>45329</v>
      </c>
      <c r="C238" s="1" t="n">
        <v>46001</v>
      </c>
      <c r="D238" t="inlineStr">
        <is>
          <t>GOTLANDS LÄN</t>
        </is>
      </c>
      <c r="E238" t="inlineStr">
        <is>
          <t>GOTLAND</t>
        </is>
      </c>
      <c r="G238" t="n">
        <v>7.1</v>
      </c>
      <c r="H238" t="n">
        <v>0</v>
      </c>
      <c r="I238" t="n">
        <v>0</v>
      </c>
      <c r="J238" t="n">
        <v>0</v>
      </c>
      <c r="K238" t="n">
        <v>0</v>
      </c>
      <c r="L238" t="n">
        <v>0</v>
      </c>
      <c r="M238" t="n">
        <v>0</v>
      </c>
      <c r="N238" t="n">
        <v>0</v>
      </c>
      <c r="O238" t="n">
        <v>0</v>
      </c>
      <c r="P238" t="n">
        <v>0</v>
      </c>
      <c r="Q238" t="n">
        <v>0</v>
      </c>
      <c r="R238" s="2" t="inlineStr"/>
    </row>
    <row r="239" ht="15" customHeight="1">
      <c r="A239" t="inlineStr">
        <is>
          <t>A 9613-2025</t>
        </is>
      </c>
      <c r="B239" s="1" t="n">
        <v>45715</v>
      </c>
      <c r="C239" s="1" t="n">
        <v>46001</v>
      </c>
      <c r="D239" t="inlineStr">
        <is>
          <t>GOTLANDS LÄN</t>
        </is>
      </c>
      <c r="E239" t="inlineStr">
        <is>
          <t>GOTLAND</t>
        </is>
      </c>
      <c r="G239" t="n">
        <v>3.5</v>
      </c>
      <c r="H239" t="n">
        <v>0</v>
      </c>
      <c r="I239" t="n">
        <v>0</v>
      </c>
      <c r="J239" t="n">
        <v>0</v>
      </c>
      <c r="K239" t="n">
        <v>0</v>
      </c>
      <c r="L239" t="n">
        <v>0</v>
      </c>
      <c r="M239" t="n">
        <v>0</v>
      </c>
      <c r="N239" t="n">
        <v>0</v>
      </c>
      <c r="O239" t="n">
        <v>0</v>
      </c>
      <c r="P239" t="n">
        <v>0</v>
      </c>
      <c r="Q239" t="n">
        <v>0</v>
      </c>
      <c r="R239" s="2" t="inlineStr"/>
    </row>
    <row r="240" ht="15" customHeight="1">
      <c r="A240" t="inlineStr">
        <is>
          <t>A 5751-2024</t>
        </is>
      </c>
      <c r="B240" s="1" t="n">
        <v>45335.32702546296</v>
      </c>
      <c r="C240" s="1" t="n">
        <v>46001</v>
      </c>
      <c r="D240" t="inlineStr">
        <is>
          <t>GOTLANDS LÄN</t>
        </is>
      </c>
      <c r="E240" t="inlineStr">
        <is>
          <t>GOTLAND</t>
        </is>
      </c>
      <c r="G240" t="n">
        <v>4.2</v>
      </c>
      <c r="H240" t="n">
        <v>0</v>
      </c>
      <c r="I240" t="n">
        <v>0</v>
      </c>
      <c r="J240" t="n">
        <v>0</v>
      </c>
      <c r="K240" t="n">
        <v>0</v>
      </c>
      <c r="L240" t="n">
        <v>0</v>
      </c>
      <c r="M240" t="n">
        <v>0</v>
      </c>
      <c r="N240" t="n">
        <v>0</v>
      </c>
      <c r="O240" t="n">
        <v>0</v>
      </c>
      <c r="P240" t="n">
        <v>0</v>
      </c>
      <c r="Q240" t="n">
        <v>0</v>
      </c>
      <c r="R240" s="2" t="inlineStr"/>
    </row>
    <row r="241" ht="15" customHeight="1">
      <c r="A241" t="inlineStr">
        <is>
          <t>A 32330-2024</t>
        </is>
      </c>
      <c r="B241" s="1" t="n">
        <v>45512</v>
      </c>
      <c r="C241" s="1" t="n">
        <v>46001</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15595-2024</t>
        </is>
      </c>
      <c r="B242" s="1" t="n">
        <v>45401.81480324074</v>
      </c>
      <c r="C242" s="1" t="n">
        <v>46001</v>
      </c>
      <c r="D242" t="inlineStr">
        <is>
          <t>GOTLANDS LÄN</t>
        </is>
      </c>
      <c r="E242" t="inlineStr">
        <is>
          <t>GOTLAND</t>
        </is>
      </c>
      <c r="G242" t="n">
        <v>6.4</v>
      </c>
      <c r="H242" t="n">
        <v>0</v>
      </c>
      <c r="I242" t="n">
        <v>0</v>
      </c>
      <c r="J242" t="n">
        <v>0</v>
      </c>
      <c r="K242" t="n">
        <v>0</v>
      </c>
      <c r="L242" t="n">
        <v>0</v>
      </c>
      <c r="M242" t="n">
        <v>0</v>
      </c>
      <c r="N242" t="n">
        <v>0</v>
      </c>
      <c r="O242" t="n">
        <v>0</v>
      </c>
      <c r="P242" t="n">
        <v>0</v>
      </c>
      <c r="Q242" t="n">
        <v>0</v>
      </c>
      <c r="R242" s="2" t="inlineStr"/>
    </row>
    <row r="243" ht="15" customHeight="1">
      <c r="A243" t="inlineStr">
        <is>
          <t>A 24966-2023</t>
        </is>
      </c>
      <c r="B243" s="1" t="n">
        <v>45085</v>
      </c>
      <c r="C243" s="1" t="n">
        <v>46001</v>
      </c>
      <c r="D243" t="inlineStr">
        <is>
          <t>GOTLANDS LÄN</t>
        </is>
      </c>
      <c r="E243" t="inlineStr">
        <is>
          <t>GOTLAND</t>
        </is>
      </c>
      <c r="G243" t="n">
        <v>7</v>
      </c>
      <c r="H243" t="n">
        <v>0</v>
      </c>
      <c r="I243" t="n">
        <v>0</v>
      </c>
      <c r="J243" t="n">
        <v>0</v>
      </c>
      <c r="K243" t="n">
        <v>0</v>
      </c>
      <c r="L243" t="n">
        <v>0</v>
      </c>
      <c r="M243" t="n">
        <v>0</v>
      </c>
      <c r="N243" t="n">
        <v>0</v>
      </c>
      <c r="O243" t="n">
        <v>0</v>
      </c>
      <c r="P243" t="n">
        <v>0</v>
      </c>
      <c r="Q243" t="n">
        <v>0</v>
      </c>
      <c r="R243" s="2" t="inlineStr"/>
    </row>
    <row r="244" ht="15" customHeight="1">
      <c r="A244" t="inlineStr">
        <is>
          <t>A 46189-2022</t>
        </is>
      </c>
      <c r="B244" s="1" t="n">
        <v>44847</v>
      </c>
      <c r="C244" s="1" t="n">
        <v>46001</v>
      </c>
      <c r="D244" t="inlineStr">
        <is>
          <t>GOTLANDS LÄN</t>
        </is>
      </c>
      <c r="E244" t="inlineStr">
        <is>
          <t>GOTLAND</t>
        </is>
      </c>
      <c r="G244" t="n">
        <v>0.4</v>
      </c>
      <c r="H244" t="n">
        <v>0</v>
      </c>
      <c r="I244" t="n">
        <v>0</v>
      </c>
      <c r="J244" t="n">
        <v>0</v>
      </c>
      <c r="K244" t="n">
        <v>0</v>
      </c>
      <c r="L244" t="n">
        <v>0</v>
      </c>
      <c r="M244" t="n">
        <v>0</v>
      </c>
      <c r="N244" t="n">
        <v>0</v>
      </c>
      <c r="O244" t="n">
        <v>0</v>
      </c>
      <c r="P244" t="n">
        <v>0</v>
      </c>
      <c r="Q244" t="n">
        <v>0</v>
      </c>
      <c r="R244" s="2" t="inlineStr"/>
    </row>
    <row r="245" ht="15" customHeight="1">
      <c r="A245" t="inlineStr">
        <is>
          <t>A 22031-2024</t>
        </is>
      </c>
      <c r="B245" s="1" t="n">
        <v>45443.60075231481</v>
      </c>
      <c r="C245" s="1" t="n">
        <v>46001</v>
      </c>
      <c r="D245" t="inlineStr">
        <is>
          <t>GOTLANDS LÄN</t>
        </is>
      </c>
      <c r="E245" t="inlineStr">
        <is>
          <t>GOTLAND</t>
        </is>
      </c>
      <c r="G245" t="n">
        <v>2.3</v>
      </c>
      <c r="H245" t="n">
        <v>0</v>
      </c>
      <c r="I245" t="n">
        <v>0</v>
      </c>
      <c r="J245" t="n">
        <v>0</v>
      </c>
      <c r="K245" t="n">
        <v>0</v>
      </c>
      <c r="L245" t="n">
        <v>0</v>
      </c>
      <c r="M245" t="n">
        <v>0</v>
      </c>
      <c r="N245" t="n">
        <v>0</v>
      </c>
      <c r="O245" t="n">
        <v>0</v>
      </c>
      <c r="P245" t="n">
        <v>0</v>
      </c>
      <c r="Q245" t="n">
        <v>0</v>
      </c>
      <c r="R245" s="2" t="inlineStr"/>
    </row>
    <row r="246" ht="15" customHeight="1">
      <c r="A246" t="inlineStr">
        <is>
          <t>A 49314-2024</t>
        </is>
      </c>
      <c r="B246" s="1" t="n">
        <v>45595.55893518519</v>
      </c>
      <c r="C246" s="1" t="n">
        <v>46001</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44919-2022</t>
        </is>
      </c>
      <c r="B247" s="1" t="n">
        <v>44841</v>
      </c>
      <c r="C247" s="1" t="n">
        <v>46001</v>
      </c>
      <c r="D247" t="inlineStr">
        <is>
          <t>GOTLANDS LÄN</t>
        </is>
      </c>
      <c r="E247" t="inlineStr">
        <is>
          <t>GOTLAND</t>
        </is>
      </c>
      <c r="G247" t="n">
        <v>2.2</v>
      </c>
      <c r="H247" t="n">
        <v>0</v>
      </c>
      <c r="I247" t="n">
        <v>0</v>
      </c>
      <c r="J247" t="n">
        <v>0</v>
      </c>
      <c r="K247" t="n">
        <v>0</v>
      </c>
      <c r="L247" t="n">
        <v>0</v>
      </c>
      <c r="M247" t="n">
        <v>0</v>
      </c>
      <c r="N247" t="n">
        <v>0</v>
      </c>
      <c r="O247" t="n">
        <v>0</v>
      </c>
      <c r="P247" t="n">
        <v>0</v>
      </c>
      <c r="Q247" t="n">
        <v>0</v>
      </c>
      <c r="R247" s="2" t="inlineStr"/>
    </row>
    <row r="248" ht="15" customHeight="1">
      <c r="A248" t="inlineStr">
        <is>
          <t>A 57356-2023</t>
        </is>
      </c>
      <c r="B248" s="1" t="n">
        <v>45240</v>
      </c>
      <c r="C248" s="1" t="n">
        <v>46001</v>
      </c>
      <c r="D248" t="inlineStr">
        <is>
          <t>GOTLANDS LÄN</t>
        </is>
      </c>
      <c r="E248" t="inlineStr">
        <is>
          <t>GOTLAND</t>
        </is>
      </c>
      <c r="G248" t="n">
        <v>6.4</v>
      </c>
      <c r="H248" t="n">
        <v>0</v>
      </c>
      <c r="I248" t="n">
        <v>0</v>
      </c>
      <c r="J248" t="n">
        <v>0</v>
      </c>
      <c r="K248" t="n">
        <v>0</v>
      </c>
      <c r="L248" t="n">
        <v>0</v>
      </c>
      <c r="M248" t="n">
        <v>0</v>
      </c>
      <c r="N248" t="n">
        <v>0</v>
      </c>
      <c r="O248" t="n">
        <v>0</v>
      </c>
      <c r="P248" t="n">
        <v>0</v>
      </c>
      <c r="Q248" t="n">
        <v>0</v>
      </c>
      <c r="R248" s="2" t="inlineStr"/>
    </row>
    <row r="249" ht="15" customHeight="1">
      <c r="A249" t="inlineStr">
        <is>
          <t>A 10656-2024</t>
        </is>
      </c>
      <c r="B249" s="1" t="n">
        <v>45368</v>
      </c>
      <c r="C249" s="1" t="n">
        <v>46001</v>
      </c>
      <c r="D249" t="inlineStr">
        <is>
          <t>GOTLANDS LÄN</t>
        </is>
      </c>
      <c r="E249" t="inlineStr">
        <is>
          <t>GOTLAND</t>
        </is>
      </c>
      <c r="G249" t="n">
        <v>1.5</v>
      </c>
      <c r="H249" t="n">
        <v>0</v>
      </c>
      <c r="I249" t="n">
        <v>0</v>
      </c>
      <c r="J249" t="n">
        <v>0</v>
      </c>
      <c r="K249" t="n">
        <v>0</v>
      </c>
      <c r="L249" t="n">
        <v>0</v>
      </c>
      <c r="M249" t="n">
        <v>0</v>
      </c>
      <c r="N249" t="n">
        <v>0</v>
      </c>
      <c r="O249" t="n">
        <v>0</v>
      </c>
      <c r="P249" t="n">
        <v>0</v>
      </c>
      <c r="Q249" t="n">
        <v>0</v>
      </c>
      <c r="R249" s="2" t="inlineStr"/>
    </row>
    <row r="250" ht="15" customHeight="1">
      <c r="A250" t="inlineStr">
        <is>
          <t>A 48503-2023</t>
        </is>
      </c>
      <c r="B250" s="1" t="n">
        <v>45207</v>
      </c>
      <c r="C250" s="1" t="n">
        <v>46001</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20356-2022</t>
        </is>
      </c>
      <c r="B251" s="1" t="n">
        <v>44699</v>
      </c>
      <c r="C251" s="1" t="n">
        <v>46001</v>
      </c>
      <c r="D251" t="inlineStr">
        <is>
          <t>GOTLANDS LÄN</t>
        </is>
      </c>
      <c r="E251" t="inlineStr">
        <is>
          <t>GOTLAND</t>
        </is>
      </c>
      <c r="F251" t="inlineStr">
        <is>
          <t>Övriga Aktiebolag</t>
        </is>
      </c>
      <c r="G251" t="n">
        <v>4.4</v>
      </c>
      <c r="H251" t="n">
        <v>0</v>
      </c>
      <c r="I251" t="n">
        <v>0</v>
      </c>
      <c r="J251" t="n">
        <v>0</v>
      </c>
      <c r="K251" t="n">
        <v>0</v>
      </c>
      <c r="L251" t="n">
        <v>0</v>
      </c>
      <c r="M251" t="n">
        <v>0</v>
      </c>
      <c r="N251" t="n">
        <v>0</v>
      </c>
      <c r="O251" t="n">
        <v>0</v>
      </c>
      <c r="P251" t="n">
        <v>0</v>
      </c>
      <c r="Q251" t="n">
        <v>0</v>
      </c>
      <c r="R251" s="2" t="inlineStr"/>
    </row>
    <row r="252" ht="15" customHeight="1">
      <c r="A252" t="inlineStr">
        <is>
          <t>A 28506-2023</t>
        </is>
      </c>
      <c r="B252" s="1" t="n">
        <v>45103</v>
      </c>
      <c r="C252" s="1" t="n">
        <v>46001</v>
      </c>
      <c r="D252" t="inlineStr">
        <is>
          <t>GOTLANDS LÄN</t>
        </is>
      </c>
      <c r="E252" t="inlineStr">
        <is>
          <t>GOTLAND</t>
        </is>
      </c>
      <c r="G252" t="n">
        <v>3.2</v>
      </c>
      <c r="H252" t="n">
        <v>0</v>
      </c>
      <c r="I252" t="n">
        <v>0</v>
      </c>
      <c r="J252" t="n">
        <v>0</v>
      </c>
      <c r="K252" t="n">
        <v>0</v>
      </c>
      <c r="L252" t="n">
        <v>0</v>
      </c>
      <c r="M252" t="n">
        <v>0</v>
      </c>
      <c r="N252" t="n">
        <v>0</v>
      </c>
      <c r="O252" t="n">
        <v>0</v>
      </c>
      <c r="P252" t="n">
        <v>0</v>
      </c>
      <c r="Q252" t="n">
        <v>0</v>
      </c>
      <c r="R252" s="2" t="inlineStr"/>
    </row>
    <row r="253" ht="15" customHeight="1">
      <c r="A253" t="inlineStr">
        <is>
          <t>A 21420-2024</t>
        </is>
      </c>
      <c r="B253" s="1" t="n">
        <v>45441.38293981482</v>
      </c>
      <c r="C253" s="1" t="n">
        <v>46001</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65901-2021</t>
        </is>
      </c>
      <c r="B254" s="1" t="n">
        <v>44516</v>
      </c>
      <c r="C254" s="1" t="n">
        <v>46001</v>
      </c>
      <c r="D254" t="inlineStr">
        <is>
          <t>GOTLANDS LÄN</t>
        </is>
      </c>
      <c r="E254" t="inlineStr">
        <is>
          <t>GOTLAND</t>
        </is>
      </c>
      <c r="G254" t="n">
        <v>4.9</v>
      </c>
      <c r="H254" t="n">
        <v>0</v>
      </c>
      <c r="I254" t="n">
        <v>0</v>
      </c>
      <c r="J254" t="n">
        <v>0</v>
      </c>
      <c r="K254" t="n">
        <v>0</v>
      </c>
      <c r="L254" t="n">
        <v>0</v>
      </c>
      <c r="M254" t="n">
        <v>0</v>
      </c>
      <c r="N254" t="n">
        <v>0</v>
      </c>
      <c r="O254" t="n">
        <v>0</v>
      </c>
      <c r="P254" t="n">
        <v>0</v>
      </c>
      <c r="Q254" t="n">
        <v>0</v>
      </c>
      <c r="R254" s="2" t="inlineStr"/>
    </row>
    <row r="255" ht="15" customHeight="1">
      <c r="A255" t="inlineStr">
        <is>
          <t>A 23188-2025</t>
        </is>
      </c>
      <c r="B255" s="1" t="n">
        <v>45791</v>
      </c>
      <c r="C255" s="1" t="n">
        <v>46001</v>
      </c>
      <c r="D255" t="inlineStr">
        <is>
          <t>GOTLANDS LÄN</t>
        </is>
      </c>
      <c r="E255" t="inlineStr">
        <is>
          <t>GOTLAND</t>
        </is>
      </c>
      <c r="G255" t="n">
        <v>6.2</v>
      </c>
      <c r="H255" t="n">
        <v>0</v>
      </c>
      <c r="I255" t="n">
        <v>0</v>
      </c>
      <c r="J255" t="n">
        <v>0</v>
      </c>
      <c r="K255" t="n">
        <v>0</v>
      </c>
      <c r="L255" t="n">
        <v>0</v>
      </c>
      <c r="M255" t="n">
        <v>0</v>
      </c>
      <c r="N255" t="n">
        <v>0</v>
      </c>
      <c r="O255" t="n">
        <v>0</v>
      </c>
      <c r="P255" t="n">
        <v>0</v>
      </c>
      <c r="Q255" t="n">
        <v>0</v>
      </c>
      <c r="R255" s="2" t="inlineStr"/>
    </row>
    <row r="256" ht="15" customHeight="1">
      <c r="A256" t="inlineStr">
        <is>
          <t>A 44649-2021</t>
        </is>
      </c>
      <c r="B256" s="1" t="n">
        <v>44437</v>
      </c>
      <c r="C256" s="1" t="n">
        <v>46001</v>
      </c>
      <c r="D256" t="inlineStr">
        <is>
          <t>GOTLANDS LÄN</t>
        </is>
      </c>
      <c r="E256" t="inlineStr">
        <is>
          <t>GOTLAND</t>
        </is>
      </c>
      <c r="G256" t="n">
        <v>8.1</v>
      </c>
      <c r="H256" t="n">
        <v>0</v>
      </c>
      <c r="I256" t="n">
        <v>0</v>
      </c>
      <c r="J256" t="n">
        <v>0</v>
      </c>
      <c r="K256" t="n">
        <v>0</v>
      </c>
      <c r="L256" t="n">
        <v>0</v>
      </c>
      <c r="M256" t="n">
        <v>0</v>
      </c>
      <c r="N256" t="n">
        <v>0</v>
      </c>
      <c r="O256" t="n">
        <v>0</v>
      </c>
      <c r="P256" t="n">
        <v>0</v>
      </c>
      <c r="Q256" t="n">
        <v>0</v>
      </c>
      <c r="R256" s="2" t="inlineStr"/>
    </row>
    <row r="257" ht="15" customHeight="1">
      <c r="A257" t="inlineStr">
        <is>
          <t>A 23473-2025</t>
        </is>
      </c>
      <c r="B257" s="1" t="n">
        <v>45792</v>
      </c>
      <c r="C257" s="1" t="n">
        <v>46001</v>
      </c>
      <c r="D257" t="inlineStr">
        <is>
          <t>GOTLANDS LÄN</t>
        </is>
      </c>
      <c r="E257" t="inlineStr">
        <is>
          <t>GOTLAND</t>
        </is>
      </c>
      <c r="G257" t="n">
        <v>3.6</v>
      </c>
      <c r="H257" t="n">
        <v>0</v>
      </c>
      <c r="I257" t="n">
        <v>0</v>
      </c>
      <c r="J257" t="n">
        <v>0</v>
      </c>
      <c r="K257" t="n">
        <v>0</v>
      </c>
      <c r="L257" t="n">
        <v>0</v>
      </c>
      <c r="M257" t="n">
        <v>0</v>
      </c>
      <c r="N257" t="n">
        <v>0</v>
      </c>
      <c r="O257" t="n">
        <v>0</v>
      </c>
      <c r="P257" t="n">
        <v>0</v>
      </c>
      <c r="Q257" t="n">
        <v>0</v>
      </c>
      <c r="R257" s="2" t="inlineStr"/>
    </row>
    <row r="258" ht="15" customHeight="1">
      <c r="A258" t="inlineStr">
        <is>
          <t>A 9947-2024</t>
        </is>
      </c>
      <c r="B258" s="1" t="n">
        <v>45363</v>
      </c>
      <c r="C258" s="1" t="n">
        <v>46001</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23856-2025</t>
        </is>
      </c>
      <c r="B259" s="1" t="n">
        <v>45793</v>
      </c>
      <c r="C259" s="1" t="n">
        <v>46001</v>
      </c>
      <c r="D259" t="inlineStr">
        <is>
          <t>GOTLANDS LÄN</t>
        </is>
      </c>
      <c r="E259" t="inlineStr">
        <is>
          <t>GOTLAND</t>
        </is>
      </c>
      <c r="G259" t="n">
        <v>4.4</v>
      </c>
      <c r="H259" t="n">
        <v>0</v>
      </c>
      <c r="I259" t="n">
        <v>0</v>
      </c>
      <c r="J259" t="n">
        <v>0</v>
      </c>
      <c r="K259" t="n">
        <v>0</v>
      </c>
      <c r="L259" t="n">
        <v>0</v>
      </c>
      <c r="M259" t="n">
        <v>0</v>
      </c>
      <c r="N259" t="n">
        <v>0</v>
      </c>
      <c r="O259" t="n">
        <v>0</v>
      </c>
      <c r="P259" t="n">
        <v>0</v>
      </c>
      <c r="Q259" t="n">
        <v>0</v>
      </c>
      <c r="R259" s="2" t="inlineStr"/>
    </row>
    <row r="260" ht="15" customHeight="1">
      <c r="A260" t="inlineStr">
        <is>
          <t>A 17682-2024</t>
        </is>
      </c>
      <c r="B260" s="1" t="n">
        <v>45418.42966435185</v>
      </c>
      <c r="C260" s="1" t="n">
        <v>46001</v>
      </c>
      <c r="D260" t="inlineStr">
        <is>
          <t>GOTLANDS LÄN</t>
        </is>
      </c>
      <c r="E260" t="inlineStr">
        <is>
          <t>GOTLAND</t>
        </is>
      </c>
      <c r="G260" t="n">
        <v>2.9</v>
      </c>
      <c r="H260" t="n">
        <v>0</v>
      </c>
      <c r="I260" t="n">
        <v>0</v>
      </c>
      <c r="J260" t="n">
        <v>0</v>
      </c>
      <c r="K260" t="n">
        <v>0</v>
      </c>
      <c r="L260" t="n">
        <v>0</v>
      </c>
      <c r="M260" t="n">
        <v>0</v>
      </c>
      <c r="N260" t="n">
        <v>0</v>
      </c>
      <c r="O260" t="n">
        <v>0</v>
      </c>
      <c r="P260" t="n">
        <v>0</v>
      </c>
      <c r="Q260" t="n">
        <v>0</v>
      </c>
      <c r="R260" s="2" t="inlineStr"/>
    </row>
    <row r="261" ht="15" customHeight="1">
      <c r="A261" t="inlineStr">
        <is>
          <t>A 57522-2022</t>
        </is>
      </c>
      <c r="B261" s="1" t="n">
        <v>44896</v>
      </c>
      <c r="C261" s="1" t="n">
        <v>46001</v>
      </c>
      <c r="D261" t="inlineStr">
        <is>
          <t>GOTLANDS LÄN</t>
        </is>
      </c>
      <c r="E261" t="inlineStr">
        <is>
          <t>GOTLAND</t>
        </is>
      </c>
      <c r="G261" t="n">
        <v>2</v>
      </c>
      <c r="H261" t="n">
        <v>0</v>
      </c>
      <c r="I261" t="n">
        <v>0</v>
      </c>
      <c r="J261" t="n">
        <v>0</v>
      </c>
      <c r="K261" t="n">
        <v>0</v>
      </c>
      <c r="L261" t="n">
        <v>0</v>
      </c>
      <c r="M261" t="n">
        <v>0</v>
      </c>
      <c r="N261" t="n">
        <v>0</v>
      </c>
      <c r="O261" t="n">
        <v>0</v>
      </c>
      <c r="P261" t="n">
        <v>0</v>
      </c>
      <c r="Q261" t="n">
        <v>0</v>
      </c>
      <c r="R261" s="2" t="inlineStr"/>
    </row>
    <row r="262" ht="15" customHeight="1">
      <c r="A262" t="inlineStr">
        <is>
          <t>A 15073-2025</t>
        </is>
      </c>
      <c r="B262" s="1" t="n">
        <v>45743</v>
      </c>
      <c r="C262" s="1" t="n">
        <v>46001</v>
      </c>
      <c r="D262" t="inlineStr">
        <is>
          <t>GOTLANDS LÄN</t>
        </is>
      </c>
      <c r="E262" t="inlineStr">
        <is>
          <t>GOTLAND</t>
        </is>
      </c>
      <c r="G262" t="n">
        <v>12.1</v>
      </c>
      <c r="H262" t="n">
        <v>0</v>
      </c>
      <c r="I262" t="n">
        <v>0</v>
      </c>
      <c r="J262" t="n">
        <v>0</v>
      </c>
      <c r="K262" t="n">
        <v>0</v>
      </c>
      <c r="L262" t="n">
        <v>0</v>
      </c>
      <c r="M262" t="n">
        <v>0</v>
      </c>
      <c r="N262" t="n">
        <v>0</v>
      </c>
      <c r="O262" t="n">
        <v>0</v>
      </c>
      <c r="P262" t="n">
        <v>0</v>
      </c>
      <c r="Q262" t="n">
        <v>0</v>
      </c>
      <c r="R262" s="2" t="inlineStr"/>
    </row>
    <row r="263" ht="15" customHeight="1">
      <c r="A263" t="inlineStr">
        <is>
          <t>A 6749-2025</t>
        </is>
      </c>
      <c r="B263" s="1" t="n">
        <v>45700</v>
      </c>
      <c r="C263" s="1" t="n">
        <v>46001</v>
      </c>
      <c r="D263" t="inlineStr">
        <is>
          <t>GOTLANDS LÄN</t>
        </is>
      </c>
      <c r="E263" t="inlineStr">
        <is>
          <t>GOTLAND</t>
        </is>
      </c>
      <c r="G263" t="n">
        <v>4.5</v>
      </c>
      <c r="H263" t="n">
        <v>0</v>
      </c>
      <c r="I263" t="n">
        <v>0</v>
      </c>
      <c r="J263" t="n">
        <v>0</v>
      </c>
      <c r="K263" t="n">
        <v>0</v>
      </c>
      <c r="L263" t="n">
        <v>0</v>
      </c>
      <c r="M263" t="n">
        <v>0</v>
      </c>
      <c r="N263" t="n">
        <v>0</v>
      </c>
      <c r="O263" t="n">
        <v>0</v>
      </c>
      <c r="P263" t="n">
        <v>0</v>
      </c>
      <c r="Q263" t="n">
        <v>0</v>
      </c>
      <c r="R263" s="2" t="inlineStr"/>
    </row>
    <row r="264" ht="15" customHeight="1">
      <c r="A264" t="inlineStr">
        <is>
          <t>A 27593-2023</t>
        </is>
      </c>
      <c r="B264" s="1" t="n">
        <v>45097</v>
      </c>
      <c r="C264" s="1" t="n">
        <v>46001</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23698-2025</t>
        </is>
      </c>
      <c r="B265" s="1" t="n">
        <v>45793</v>
      </c>
      <c r="C265" s="1" t="n">
        <v>46001</v>
      </c>
      <c r="D265" t="inlineStr">
        <is>
          <t>GOTLANDS LÄN</t>
        </is>
      </c>
      <c r="E265" t="inlineStr">
        <is>
          <t>GOTLAND</t>
        </is>
      </c>
      <c r="G265" t="n">
        <v>0.8</v>
      </c>
      <c r="H265" t="n">
        <v>0</v>
      </c>
      <c r="I265" t="n">
        <v>0</v>
      </c>
      <c r="J265" t="n">
        <v>0</v>
      </c>
      <c r="K265" t="n">
        <v>0</v>
      </c>
      <c r="L265" t="n">
        <v>0</v>
      </c>
      <c r="M265" t="n">
        <v>0</v>
      </c>
      <c r="N265" t="n">
        <v>0</v>
      </c>
      <c r="O265" t="n">
        <v>0</v>
      </c>
      <c r="P265" t="n">
        <v>0</v>
      </c>
      <c r="Q265" t="n">
        <v>0</v>
      </c>
      <c r="R265" s="2" t="inlineStr"/>
    </row>
    <row r="266" ht="15" customHeight="1">
      <c r="A266" t="inlineStr">
        <is>
          <t>A 18993-2025</t>
        </is>
      </c>
      <c r="B266" s="1" t="n">
        <v>45764</v>
      </c>
      <c r="C266" s="1" t="n">
        <v>46001</v>
      </c>
      <c r="D266" t="inlineStr">
        <is>
          <t>GOTLANDS LÄN</t>
        </is>
      </c>
      <c r="E266" t="inlineStr">
        <is>
          <t>GOTLAND</t>
        </is>
      </c>
      <c r="G266" t="n">
        <v>3</v>
      </c>
      <c r="H266" t="n">
        <v>0</v>
      </c>
      <c r="I266" t="n">
        <v>0</v>
      </c>
      <c r="J266" t="n">
        <v>0</v>
      </c>
      <c r="K266" t="n">
        <v>0</v>
      </c>
      <c r="L266" t="n">
        <v>0</v>
      </c>
      <c r="M266" t="n">
        <v>0</v>
      </c>
      <c r="N266" t="n">
        <v>0</v>
      </c>
      <c r="O266" t="n">
        <v>0</v>
      </c>
      <c r="P266" t="n">
        <v>0</v>
      </c>
      <c r="Q266" t="n">
        <v>0</v>
      </c>
      <c r="R266" s="2" t="inlineStr"/>
    </row>
    <row r="267" ht="15" customHeight="1">
      <c r="A267" t="inlineStr">
        <is>
          <t>A 63516-2023</t>
        </is>
      </c>
      <c r="B267" s="1" t="n">
        <v>45274</v>
      </c>
      <c r="C267" s="1" t="n">
        <v>46001</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30135-2025</t>
        </is>
      </c>
      <c r="B268" s="1" t="n">
        <v>45826</v>
      </c>
      <c r="C268" s="1" t="n">
        <v>46001</v>
      </c>
      <c r="D268" t="inlineStr">
        <is>
          <t>GOTLANDS LÄN</t>
        </is>
      </c>
      <c r="E268" t="inlineStr">
        <is>
          <t>GOTLAND</t>
        </is>
      </c>
      <c r="G268" t="n">
        <v>2.7</v>
      </c>
      <c r="H268" t="n">
        <v>0</v>
      </c>
      <c r="I268" t="n">
        <v>0</v>
      </c>
      <c r="J268" t="n">
        <v>0</v>
      </c>
      <c r="K268" t="n">
        <v>0</v>
      </c>
      <c r="L268" t="n">
        <v>0</v>
      </c>
      <c r="M268" t="n">
        <v>0</v>
      </c>
      <c r="N268" t="n">
        <v>0</v>
      </c>
      <c r="O268" t="n">
        <v>0</v>
      </c>
      <c r="P268" t="n">
        <v>0</v>
      </c>
      <c r="Q268" t="n">
        <v>0</v>
      </c>
      <c r="R268" s="2" t="inlineStr"/>
    </row>
    <row r="269" ht="15" customHeight="1">
      <c r="A269" t="inlineStr">
        <is>
          <t>A 12599-2025</t>
        </is>
      </c>
      <c r="B269" s="1" t="n">
        <v>45733.29546296296</v>
      </c>
      <c r="C269" s="1" t="n">
        <v>46001</v>
      </c>
      <c r="D269" t="inlineStr">
        <is>
          <t>GOTLANDS LÄN</t>
        </is>
      </c>
      <c r="E269" t="inlineStr">
        <is>
          <t>GOTLAND</t>
        </is>
      </c>
      <c r="G269" t="n">
        <v>4.7</v>
      </c>
      <c r="H269" t="n">
        <v>0</v>
      </c>
      <c r="I269" t="n">
        <v>0</v>
      </c>
      <c r="J269" t="n">
        <v>0</v>
      </c>
      <c r="K269" t="n">
        <v>0</v>
      </c>
      <c r="L269" t="n">
        <v>0</v>
      </c>
      <c r="M269" t="n">
        <v>0</v>
      </c>
      <c r="N269" t="n">
        <v>0</v>
      </c>
      <c r="O269" t="n">
        <v>0</v>
      </c>
      <c r="P269" t="n">
        <v>0</v>
      </c>
      <c r="Q269" t="n">
        <v>0</v>
      </c>
      <c r="R269" s="2" t="inlineStr"/>
    </row>
    <row r="270" ht="15" customHeight="1">
      <c r="A270" t="inlineStr">
        <is>
          <t>A 35141-2025</t>
        </is>
      </c>
      <c r="B270" s="1" t="n">
        <v>45852.65206018519</v>
      </c>
      <c r="C270" s="1" t="n">
        <v>46001</v>
      </c>
      <c r="D270" t="inlineStr">
        <is>
          <t>GOTLANDS LÄN</t>
        </is>
      </c>
      <c r="E270" t="inlineStr">
        <is>
          <t>GOTLAND</t>
        </is>
      </c>
      <c r="G270" t="n">
        <v>1</v>
      </c>
      <c r="H270" t="n">
        <v>0</v>
      </c>
      <c r="I270" t="n">
        <v>0</v>
      </c>
      <c r="J270" t="n">
        <v>0</v>
      </c>
      <c r="K270" t="n">
        <v>0</v>
      </c>
      <c r="L270" t="n">
        <v>0</v>
      </c>
      <c r="M270" t="n">
        <v>0</v>
      </c>
      <c r="N270" t="n">
        <v>0</v>
      </c>
      <c r="O270" t="n">
        <v>0</v>
      </c>
      <c r="P270" t="n">
        <v>0</v>
      </c>
      <c r="Q270" t="n">
        <v>0</v>
      </c>
      <c r="R270" s="2" t="inlineStr"/>
    </row>
    <row r="271" ht="15" customHeight="1">
      <c r="A271" t="inlineStr">
        <is>
          <t>A 35142-2025</t>
        </is>
      </c>
      <c r="B271" s="1" t="n">
        <v>45852.65532407408</v>
      </c>
      <c r="C271" s="1" t="n">
        <v>46001</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24001-2021</t>
        </is>
      </c>
      <c r="B272" s="1" t="n">
        <v>44335</v>
      </c>
      <c r="C272" s="1" t="n">
        <v>46001</v>
      </c>
      <c r="D272" t="inlineStr">
        <is>
          <t>GOTLANDS LÄN</t>
        </is>
      </c>
      <c r="E272" t="inlineStr">
        <is>
          <t>GOTLAND</t>
        </is>
      </c>
      <c r="G272" t="n">
        <v>3.4</v>
      </c>
      <c r="H272" t="n">
        <v>0</v>
      </c>
      <c r="I272" t="n">
        <v>0</v>
      </c>
      <c r="J272" t="n">
        <v>0</v>
      </c>
      <c r="K272" t="n">
        <v>0</v>
      </c>
      <c r="L272" t="n">
        <v>0</v>
      </c>
      <c r="M272" t="n">
        <v>0</v>
      </c>
      <c r="N272" t="n">
        <v>0</v>
      </c>
      <c r="O272" t="n">
        <v>0</v>
      </c>
      <c r="P272" t="n">
        <v>0</v>
      </c>
      <c r="Q272" t="n">
        <v>0</v>
      </c>
      <c r="R272" s="2" t="inlineStr"/>
    </row>
    <row r="273" ht="15" customHeight="1">
      <c r="A273" t="inlineStr">
        <is>
          <t>A 39819-2025</t>
        </is>
      </c>
      <c r="B273" s="1" t="n">
        <v>45891.53418981482</v>
      </c>
      <c r="C273" s="1" t="n">
        <v>46001</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5462-2025</t>
        </is>
      </c>
      <c r="B274" s="1" t="n">
        <v>45693.29331018519</v>
      </c>
      <c r="C274" s="1" t="n">
        <v>46001</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39814-2025</t>
        </is>
      </c>
      <c r="B275" s="1" t="n">
        <v>45891.52694444444</v>
      </c>
      <c r="C275" s="1" t="n">
        <v>46001</v>
      </c>
      <c r="D275" t="inlineStr">
        <is>
          <t>GOTLANDS LÄN</t>
        </is>
      </c>
      <c r="E275" t="inlineStr">
        <is>
          <t>GOTLAND</t>
        </is>
      </c>
      <c r="G275" t="n">
        <v>4.5</v>
      </c>
      <c r="H275" t="n">
        <v>0</v>
      </c>
      <c r="I275" t="n">
        <v>0</v>
      </c>
      <c r="J275" t="n">
        <v>0</v>
      </c>
      <c r="K275" t="n">
        <v>0</v>
      </c>
      <c r="L275" t="n">
        <v>0</v>
      </c>
      <c r="M275" t="n">
        <v>0</v>
      </c>
      <c r="N275" t="n">
        <v>0</v>
      </c>
      <c r="O275" t="n">
        <v>0</v>
      </c>
      <c r="P275" t="n">
        <v>0</v>
      </c>
      <c r="Q275" t="n">
        <v>0</v>
      </c>
      <c r="R275" s="2" t="inlineStr"/>
    </row>
    <row r="276" ht="15" customHeight="1">
      <c r="A276" t="inlineStr">
        <is>
          <t>A 30365-2024</t>
        </is>
      </c>
      <c r="B276" s="1" t="n">
        <v>45491.3716087963</v>
      </c>
      <c r="C276" s="1" t="n">
        <v>46001</v>
      </c>
      <c r="D276" t="inlineStr">
        <is>
          <t>GOTLANDS LÄN</t>
        </is>
      </c>
      <c r="E276" t="inlineStr">
        <is>
          <t>GOTLAND</t>
        </is>
      </c>
      <c r="G276" t="n">
        <v>0.5</v>
      </c>
      <c r="H276" t="n">
        <v>0</v>
      </c>
      <c r="I276" t="n">
        <v>0</v>
      </c>
      <c r="J276" t="n">
        <v>0</v>
      </c>
      <c r="K276" t="n">
        <v>0</v>
      </c>
      <c r="L276" t="n">
        <v>0</v>
      </c>
      <c r="M276" t="n">
        <v>0</v>
      </c>
      <c r="N276" t="n">
        <v>0</v>
      </c>
      <c r="O276" t="n">
        <v>0</v>
      </c>
      <c r="P276" t="n">
        <v>0</v>
      </c>
      <c r="Q276" t="n">
        <v>0</v>
      </c>
      <c r="R276" s="2" t="inlineStr"/>
    </row>
    <row r="277" ht="15" customHeight="1">
      <c r="A277" t="inlineStr">
        <is>
          <t>A 39849-2025</t>
        </is>
      </c>
      <c r="B277" s="1" t="n">
        <v>45891.58502314815</v>
      </c>
      <c r="C277" s="1" t="n">
        <v>46001</v>
      </c>
      <c r="D277" t="inlineStr">
        <is>
          <t>GOTLANDS LÄN</t>
        </is>
      </c>
      <c r="E277" t="inlineStr">
        <is>
          <t>GOTLAND</t>
        </is>
      </c>
      <c r="G277" t="n">
        <v>6.1</v>
      </c>
      <c r="H277" t="n">
        <v>0</v>
      </c>
      <c r="I277" t="n">
        <v>0</v>
      </c>
      <c r="J277" t="n">
        <v>0</v>
      </c>
      <c r="K277" t="n">
        <v>0</v>
      </c>
      <c r="L277" t="n">
        <v>0</v>
      </c>
      <c r="M277" t="n">
        <v>0</v>
      </c>
      <c r="N277" t="n">
        <v>0</v>
      </c>
      <c r="O277" t="n">
        <v>0</v>
      </c>
      <c r="P277" t="n">
        <v>0</v>
      </c>
      <c r="Q277" t="n">
        <v>0</v>
      </c>
      <c r="R277" s="2" t="inlineStr"/>
    </row>
    <row r="278" ht="15" customHeight="1">
      <c r="A278" t="inlineStr">
        <is>
          <t>A 1681-2023</t>
        </is>
      </c>
      <c r="B278" s="1" t="n">
        <v>44938.39715277778</v>
      </c>
      <c r="C278" s="1" t="n">
        <v>46001</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39752-2025</t>
        </is>
      </c>
      <c r="B279" s="1" t="n">
        <v>45891</v>
      </c>
      <c r="C279" s="1" t="n">
        <v>46001</v>
      </c>
      <c r="D279" t="inlineStr">
        <is>
          <t>GOTLANDS LÄN</t>
        </is>
      </c>
      <c r="E279" t="inlineStr">
        <is>
          <t>GOTLAND</t>
        </is>
      </c>
      <c r="G279" t="n">
        <v>5.3</v>
      </c>
      <c r="H279" t="n">
        <v>0</v>
      </c>
      <c r="I279" t="n">
        <v>0</v>
      </c>
      <c r="J279" t="n">
        <v>0</v>
      </c>
      <c r="K279" t="n">
        <v>0</v>
      </c>
      <c r="L279" t="n">
        <v>0</v>
      </c>
      <c r="M279" t="n">
        <v>0</v>
      </c>
      <c r="N279" t="n">
        <v>0</v>
      </c>
      <c r="O279" t="n">
        <v>0</v>
      </c>
      <c r="P279" t="n">
        <v>0</v>
      </c>
      <c r="Q279" t="n">
        <v>0</v>
      </c>
      <c r="R279" s="2" t="inlineStr"/>
    </row>
    <row r="280" ht="15" customHeight="1">
      <c r="A280" t="inlineStr">
        <is>
          <t>A 38649-2025</t>
        </is>
      </c>
      <c r="B280" s="1" t="n">
        <v>45884</v>
      </c>
      <c r="C280" s="1" t="n">
        <v>46001</v>
      </c>
      <c r="D280" t="inlineStr">
        <is>
          <t>GOTLANDS LÄN</t>
        </is>
      </c>
      <c r="E280" t="inlineStr">
        <is>
          <t>GOTLAND</t>
        </is>
      </c>
      <c r="G280" t="n">
        <v>1.5</v>
      </c>
      <c r="H280" t="n">
        <v>0</v>
      </c>
      <c r="I280" t="n">
        <v>0</v>
      </c>
      <c r="J280" t="n">
        <v>0</v>
      </c>
      <c r="K280" t="n">
        <v>0</v>
      </c>
      <c r="L280" t="n">
        <v>0</v>
      </c>
      <c r="M280" t="n">
        <v>0</v>
      </c>
      <c r="N280" t="n">
        <v>0</v>
      </c>
      <c r="O280" t="n">
        <v>0</v>
      </c>
      <c r="P280" t="n">
        <v>0</v>
      </c>
      <c r="Q280" t="n">
        <v>0</v>
      </c>
      <c r="R280" s="2" t="inlineStr"/>
    </row>
    <row r="281" ht="15" customHeight="1">
      <c r="A281" t="inlineStr">
        <is>
          <t>A 39816-2025</t>
        </is>
      </c>
      <c r="B281" s="1" t="n">
        <v>45891</v>
      </c>
      <c r="C281" s="1" t="n">
        <v>46001</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40103-2025</t>
        </is>
      </c>
      <c r="B282" s="1" t="n">
        <v>45894.4880324074</v>
      </c>
      <c r="C282" s="1" t="n">
        <v>46001</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40373-2025</t>
        </is>
      </c>
      <c r="B283" s="1" t="n">
        <v>45895.51821759259</v>
      </c>
      <c r="C283" s="1" t="n">
        <v>46001</v>
      </c>
      <c r="D283" t="inlineStr">
        <is>
          <t>GOTLANDS LÄN</t>
        </is>
      </c>
      <c r="E283" t="inlineStr">
        <is>
          <t>GOTLAND</t>
        </is>
      </c>
      <c r="G283" t="n">
        <v>0.6</v>
      </c>
      <c r="H283" t="n">
        <v>0</v>
      </c>
      <c r="I283" t="n">
        <v>0</v>
      </c>
      <c r="J283" t="n">
        <v>0</v>
      </c>
      <c r="K283" t="n">
        <v>0</v>
      </c>
      <c r="L283" t="n">
        <v>0</v>
      </c>
      <c r="M283" t="n">
        <v>0</v>
      </c>
      <c r="N283" t="n">
        <v>0</v>
      </c>
      <c r="O283" t="n">
        <v>0</v>
      </c>
      <c r="P283" t="n">
        <v>0</v>
      </c>
      <c r="Q283" t="n">
        <v>0</v>
      </c>
      <c r="R283" s="2" t="inlineStr"/>
    </row>
    <row r="284" ht="15" customHeight="1">
      <c r="A284" t="inlineStr">
        <is>
          <t>A 40499-2025</t>
        </is>
      </c>
      <c r="B284" s="1" t="n">
        <v>45896.32517361111</v>
      </c>
      <c r="C284" s="1" t="n">
        <v>46001</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40372-2025</t>
        </is>
      </c>
      <c r="B285" s="1" t="n">
        <v>45895.5162037037</v>
      </c>
      <c r="C285" s="1" t="n">
        <v>46001</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25796-2025</t>
        </is>
      </c>
      <c r="B286" s="1" t="n">
        <v>45804.39543981481</v>
      </c>
      <c r="C286" s="1" t="n">
        <v>46001</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6099-2024</t>
        </is>
      </c>
      <c r="B287" s="1" t="n">
        <v>45337</v>
      </c>
      <c r="C287" s="1" t="n">
        <v>46001</v>
      </c>
      <c r="D287" t="inlineStr">
        <is>
          <t>GOTLANDS LÄN</t>
        </is>
      </c>
      <c r="E287" t="inlineStr">
        <is>
          <t>GOTLAND</t>
        </is>
      </c>
      <c r="G287" t="n">
        <v>12.6</v>
      </c>
      <c r="H287" t="n">
        <v>0</v>
      </c>
      <c r="I287" t="n">
        <v>0</v>
      </c>
      <c r="J287" t="n">
        <v>0</v>
      </c>
      <c r="K287" t="n">
        <v>0</v>
      </c>
      <c r="L287" t="n">
        <v>0</v>
      </c>
      <c r="M287" t="n">
        <v>0</v>
      </c>
      <c r="N287" t="n">
        <v>0</v>
      </c>
      <c r="O287" t="n">
        <v>0</v>
      </c>
      <c r="P287" t="n">
        <v>0</v>
      </c>
      <c r="Q287" t="n">
        <v>0</v>
      </c>
      <c r="R287" s="2" t="inlineStr"/>
    </row>
    <row r="288" ht="15" customHeight="1">
      <c r="A288" t="inlineStr">
        <is>
          <t>A 1273-2023</t>
        </is>
      </c>
      <c r="B288" s="1" t="n">
        <v>44936</v>
      </c>
      <c r="C288" s="1" t="n">
        <v>46001</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39278-2025</t>
        </is>
      </c>
      <c r="B289" s="1" t="n">
        <v>45889</v>
      </c>
      <c r="C289" s="1" t="n">
        <v>46001</v>
      </c>
      <c r="D289" t="inlineStr">
        <is>
          <t>GOTLANDS LÄN</t>
        </is>
      </c>
      <c r="E289" t="inlineStr">
        <is>
          <t>GOTLAND</t>
        </is>
      </c>
      <c r="G289" t="n">
        <v>3.7</v>
      </c>
      <c r="H289" t="n">
        <v>0</v>
      </c>
      <c r="I289" t="n">
        <v>0</v>
      </c>
      <c r="J289" t="n">
        <v>0</v>
      </c>
      <c r="K289" t="n">
        <v>0</v>
      </c>
      <c r="L289" t="n">
        <v>0</v>
      </c>
      <c r="M289" t="n">
        <v>0</v>
      </c>
      <c r="N289" t="n">
        <v>0</v>
      </c>
      <c r="O289" t="n">
        <v>0</v>
      </c>
      <c r="P289" t="n">
        <v>0</v>
      </c>
      <c r="Q289" t="n">
        <v>0</v>
      </c>
      <c r="R289" s="2" t="inlineStr"/>
    </row>
    <row r="290" ht="15" customHeight="1">
      <c r="A290" t="inlineStr">
        <is>
          <t>A 58780-2024</t>
        </is>
      </c>
      <c r="B290" s="1" t="n">
        <v>45635.84113425926</v>
      </c>
      <c r="C290" s="1" t="n">
        <v>46001</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45692-2023</t>
        </is>
      </c>
      <c r="B291" s="1" t="n">
        <v>45195</v>
      </c>
      <c r="C291" s="1" t="n">
        <v>46001</v>
      </c>
      <c r="D291" t="inlineStr">
        <is>
          <t>GOTLANDS LÄN</t>
        </is>
      </c>
      <c r="E291" t="inlineStr">
        <is>
          <t>GOTLAND</t>
        </is>
      </c>
      <c r="G291" t="n">
        <v>5.3</v>
      </c>
      <c r="H291" t="n">
        <v>0</v>
      </c>
      <c r="I291" t="n">
        <v>0</v>
      </c>
      <c r="J291" t="n">
        <v>0</v>
      </c>
      <c r="K291" t="n">
        <v>0</v>
      </c>
      <c r="L291" t="n">
        <v>0</v>
      </c>
      <c r="M291" t="n">
        <v>0</v>
      </c>
      <c r="N291" t="n">
        <v>0</v>
      </c>
      <c r="O291" t="n">
        <v>0</v>
      </c>
      <c r="P291" t="n">
        <v>0</v>
      </c>
      <c r="Q291" t="n">
        <v>0</v>
      </c>
      <c r="R291" s="2" t="inlineStr"/>
    </row>
    <row r="292" ht="15" customHeight="1">
      <c r="A292" t="inlineStr">
        <is>
          <t>A 33876-2024</t>
        </is>
      </c>
      <c r="B292" s="1" t="n">
        <v>45521.87988425926</v>
      </c>
      <c r="C292" s="1" t="n">
        <v>46001</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26457-2025</t>
        </is>
      </c>
      <c r="B293" s="1" t="n">
        <v>45807.42773148148</v>
      </c>
      <c r="C293" s="1" t="n">
        <v>46001</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26467-2025</t>
        </is>
      </c>
      <c r="B294" s="1" t="n">
        <v>45807.44640046296</v>
      </c>
      <c r="C294" s="1" t="n">
        <v>46001</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26465-2025</t>
        </is>
      </c>
      <c r="B295" s="1" t="n">
        <v>45807.44377314814</v>
      </c>
      <c r="C295" s="1" t="n">
        <v>46001</v>
      </c>
      <c r="D295" t="inlineStr">
        <is>
          <t>GOTLANDS LÄN</t>
        </is>
      </c>
      <c r="E295" t="inlineStr">
        <is>
          <t>GOTLAND</t>
        </is>
      </c>
      <c r="G295" t="n">
        <v>4.5</v>
      </c>
      <c r="H295" t="n">
        <v>0</v>
      </c>
      <c r="I295" t="n">
        <v>0</v>
      </c>
      <c r="J295" t="n">
        <v>0</v>
      </c>
      <c r="K295" t="n">
        <v>0</v>
      </c>
      <c r="L295" t="n">
        <v>0</v>
      </c>
      <c r="M295" t="n">
        <v>0</v>
      </c>
      <c r="N295" t="n">
        <v>0</v>
      </c>
      <c r="O295" t="n">
        <v>0</v>
      </c>
      <c r="P295" t="n">
        <v>0</v>
      </c>
      <c r="Q295" t="n">
        <v>0</v>
      </c>
      <c r="R295" s="2" t="inlineStr"/>
    </row>
    <row r="296" ht="15" customHeight="1">
      <c r="A296" t="inlineStr">
        <is>
          <t>A 41435-2025</t>
        </is>
      </c>
      <c r="B296" s="1" t="n">
        <v>45901.39974537037</v>
      </c>
      <c r="C296" s="1" t="n">
        <v>46001</v>
      </c>
      <c r="D296" t="inlineStr">
        <is>
          <t>GOTLANDS LÄN</t>
        </is>
      </c>
      <c r="E296" t="inlineStr">
        <is>
          <t>GOTLAND</t>
        </is>
      </c>
      <c r="G296" t="n">
        <v>4.9</v>
      </c>
      <c r="H296" t="n">
        <v>0</v>
      </c>
      <c r="I296" t="n">
        <v>0</v>
      </c>
      <c r="J296" t="n">
        <v>0</v>
      </c>
      <c r="K296" t="n">
        <v>0</v>
      </c>
      <c r="L296" t="n">
        <v>0</v>
      </c>
      <c r="M296" t="n">
        <v>0</v>
      </c>
      <c r="N296" t="n">
        <v>0</v>
      </c>
      <c r="O296" t="n">
        <v>0</v>
      </c>
      <c r="P296" t="n">
        <v>0</v>
      </c>
      <c r="Q296" t="n">
        <v>0</v>
      </c>
      <c r="R296" s="2" t="inlineStr"/>
    </row>
    <row r="297" ht="15" customHeight="1">
      <c r="A297" t="inlineStr">
        <is>
          <t>A 28285-2024</t>
        </is>
      </c>
      <c r="B297" s="1" t="n">
        <v>45477</v>
      </c>
      <c r="C297" s="1" t="n">
        <v>46001</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61100-2022</t>
        </is>
      </c>
      <c r="B298" s="1" t="n">
        <v>44915</v>
      </c>
      <c r="C298" s="1" t="n">
        <v>46001</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26660-2025</t>
        </is>
      </c>
      <c r="B299" s="1" t="n">
        <v>45810.39737268518</v>
      </c>
      <c r="C299" s="1" t="n">
        <v>46001</v>
      </c>
      <c r="D299" t="inlineStr">
        <is>
          <t>GOTLANDS LÄN</t>
        </is>
      </c>
      <c r="E299" t="inlineStr">
        <is>
          <t>GOTLAND</t>
        </is>
      </c>
      <c r="G299" t="n">
        <v>1.8</v>
      </c>
      <c r="H299" t="n">
        <v>0</v>
      </c>
      <c r="I299" t="n">
        <v>0</v>
      </c>
      <c r="J299" t="n">
        <v>0</v>
      </c>
      <c r="K299" t="n">
        <v>0</v>
      </c>
      <c r="L299" t="n">
        <v>0</v>
      </c>
      <c r="M299" t="n">
        <v>0</v>
      </c>
      <c r="N299" t="n">
        <v>0</v>
      </c>
      <c r="O299" t="n">
        <v>0</v>
      </c>
      <c r="P299" t="n">
        <v>0</v>
      </c>
      <c r="Q299" t="n">
        <v>0</v>
      </c>
      <c r="R299" s="2" t="inlineStr"/>
    </row>
    <row r="300" ht="15" customHeight="1">
      <c r="A300" t="inlineStr">
        <is>
          <t>A 61682-2024</t>
        </is>
      </c>
      <c r="B300" s="1" t="n">
        <v>45647.48824074074</v>
      </c>
      <c r="C300" s="1" t="n">
        <v>46001</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41551-2025</t>
        </is>
      </c>
      <c r="B301" s="1" t="n">
        <v>45901.58854166666</v>
      </c>
      <c r="C301" s="1" t="n">
        <v>46001</v>
      </c>
      <c r="D301" t="inlineStr">
        <is>
          <t>GOTLANDS LÄN</t>
        </is>
      </c>
      <c r="E301" t="inlineStr">
        <is>
          <t>GOTLAND</t>
        </is>
      </c>
      <c r="G301" t="n">
        <v>5.6</v>
      </c>
      <c r="H301" t="n">
        <v>0</v>
      </c>
      <c r="I301" t="n">
        <v>0</v>
      </c>
      <c r="J301" t="n">
        <v>0</v>
      </c>
      <c r="K301" t="n">
        <v>0</v>
      </c>
      <c r="L301" t="n">
        <v>0</v>
      </c>
      <c r="M301" t="n">
        <v>0</v>
      </c>
      <c r="N301" t="n">
        <v>0</v>
      </c>
      <c r="O301" t="n">
        <v>0</v>
      </c>
      <c r="P301" t="n">
        <v>0</v>
      </c>
      <c r="Q301" t="n">
        <v>0</v>
      </c>
      <c r="R301" s="2" t="inlineStr"/>
    </row>
    <row r="302" ht="15" customHeight="1">
      <c r="A302" t="inlineStr">
        <is>
          <t>A 27371-2025</t>
        </is>
      </c>
      <c r="B302" s="1" t="n">
        <v>45812</v>
      </c>
      <c r="C302" s="1" t="n">
        <v>46001</v>
      </c>
      <c r="D302" t="inlineStr">
        <is>
          <t>GOTLANDS LÄN</t>
        </is>
      </c>
      <c r="E302" t="inlineStr">
        <is>
          <t>GOTLAND</t>
        </is>
      </c>
      <c r="G302" t="n">
        <v>8</v>
      </c>
      <c r="H302" t="n">
        <v>0</v>
      </c>
      <c r="I302" t="n">
        <v>0</v>
      </c>
      <c r="J302" t="n">
        <v>0</v>
      </c>
      <c r="K302" t="n">
        <v>0</v>
      </c>
      <c r="L302" t="n">
        <v>0</v>
      </c>
      <c r="M302" t="n">
        <v>0</v>
      </c>
      <c r="N302" t="n">
        <v>0</v>
      </c>
      <c r="O302" t="n">
        <v>0</v>
      </c>
      <c r="P302" t="n">
        <v>0</v>
      </c>
      <c r="Q302" t="n">
        <v>0</v>
      </c>
      <c r="R302" s="2" t="inlineStr"/>
    </row>
    <row r="303" ht="15" customHeight="1">
      <c r="A303" t="inlineStr">
        <is>
          <t>A 27355-2025</t>
        </is>
      </c>
      <c r="B303" s="1" t="n">
        <v>45812</v>
      </c>
      <c r="C303" s="1" t="n">
        <v>46001</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6739-2025</t>
        </is>
      </c>
      <c r="B304" s="1" t="n">
        <v>45700</v>
      </c>
      <c r="C304" s="1" t="n">
        <v>46001</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7850-2025</t>
        </is>
      </c>
      <c r="B305" s="1" t="n">
        <v>45706</v>
      </c>
      <c r="C305" s="1" t="n">
        <v>46001</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58388-2022</t>
        </is>
      </c>
      <c r="B306" s="1" t="n">
        <v>44894</v>
      </c>
      <c r="C306" s="1" t="n">
        <v>46001</v>
      </c>
      <c r="D306" t="inlineStr">
        <is>
          <t>GOTLANDS LÄN</t>
        </is>
      </c>
      <c r="E306" t="inlineStr">
        <is>
          <t>GOTLAND</t>
        </is>
      </c>
      <c r="F306" t="inlineStr">
        <is>
          <t>Övriga statliga verk och myndigheter</t>
        </is>
      </c>
      <c r="G306" t="n">
        <v>3.1</v>
      </c>
      <c r="H306" t="n">
        <v>0</v>
      </c>
      <c r="I306" t="n">
        <v>0</v>
      </c>
      <c r="J306" t="n">
        <v>0</v>
      </c>
      <c r="K306" t="n">
        <v>0</v>
      </c>
      <c r="L306" t="n">
        <v>0</v>
      </c>
      <c r="M306" t="n">
        <v>0</v>
      </c>
      <c r="N306" t="n">
        <v>0</v>
      </c>
      <c r="O306" t="n">
        <v>0</v>
      </c>
      <c r="P306" t="n">
        <v>0</v>
      </c>
      <c r="Q306" t="n">
        <v>0</v>
      </c>
      <c r="R306" s="2" t="inlineStr"/>
    </row>
    <row r="307" ht="15" customHeight="1">
      <c r="A307" t="inlineStr">
        <is>
          <t>A 8444-2025</t>
        </is>
      </c>
      <c r="B307" s="1" t="n">
        <v>45709</v>
      </c>
      <c r="C307" s="1" t="n">
        <v>46001</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21792-2024</t>
        </is>
      </c>
      <c r="B308" s="1" t="n">
        <v>45442.64326388889</v>
      </c>
      <c r="C308" s="1" t="n">
        <v>46001</v>
      </c>
      <c r="D308" t="inlineStr">
        <is>
          <t>GOTLANDS LÄN</t>
        </is>
      </c>
      <c r="E308" t="inlineStr">
        <is>
          <t>GOTLAND</t>
        </is>
      </c>
      <c r="G308" t="n">
        <v>1</v>
      </c>
      <c r="H308" t="n">
        <v>0</v>
      </c>
      <c r="I308" t="n">
        <v>0</v>
      </c>
      <c r="J308" t="n">
        <v>0</v>
      </c>
      <c r="K308" t="n">
        <v>0</v>
      </c>
      <c r="L308" t="n">
        <v>0</v>
      </c>
      <c r="M308" t="n">
        <v>0</v>
      </c>
      <c r="N308" t="n">
        <v>0</v>
      </c>
      <c r="O308" t="n">
        <v>0</v>
      </c>
      <c r="P308" t="n">
        <v>0</v>
      </c>
      <c r="Q308" t="n">
        <v>0</v>
      </c>
      <c r="R308" s="2" t="inlineStr"/>
    </row>
    <row r="309" ht="15" customHeight="1">
      <c r="A309" t="inlineStr">
        <is>
          <t>A 42608-2025</t>
        </is>
      </c>
      <c r="B309" s="1" t="n">
        <v>45905</v>
      </c>
      <c r="C309" s="1" t="n">
        <v>46001</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16373-2025</t>
        </is>
      </c>
      <c r="B310" s="1" t="n">
        <v>45751</v>
      </c>
      <c r="C310" s="1" t="n">
        <v>46001</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17688-2024</t>
        </is>
      </c>
      <c r="B311" s="1" t="n">
        <v>45418.43575231481</v>
      </c>
      <c r="C311" s="1" t="n">
        <v>46001</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7837-2024</t>
        </is>
      </c>
      <c r="B312" s="1" t="n">
        <v>45349.83787037037</v>
      </c>
      <c r="C312" s="1" t="n">
        <v>46001</v>
      </c>
      <c r="D312" t="inlineStr">
        <is>
          <t>GOTLANDS LÄN</t>
        </is>
      </c>
      <c r="E312" t="inlineStr">
        <is>
          <t>GOTLAND</t>
        </is>
      </c>
      <c r="G312" t="n">
        <v>5</v>
      </c>
      <c r="H312" t="n">
        <v>0</v>
      </c>
      <c r="I312" t="n">
        <v>0</v>
      </c>
      <c r="J312" t="n">
        <v>0</v>
      </c>
      <c r="K312" t="n">
        <v>0</v>
      </c>
      <c r="L312" t="n">
        <v>0</v>
      </c>
      <c r="M312" t="n">
        <v>0</v>
      </c>
      <c r="N312" t="n">
        <v>0</v>
      </c>
      <c r="O312" t="n">
        <v>0</v>
      </c>
      <c r="P312" t="n">
        <v>0</v>
      </c>
      <c r="Q312" t="n">
        <v>0</v>
      </c>
      <c r="R312" s="2" t="inlineStr"/>
    </row>
    <row r="313" ht="15" customHeight="1">
      <c r="A313" t="inlineStr">
        <is>
          <t>A 19905-2025</t>
        </is>
      </c>
      <c r="B313" s="1" t="n">
        <v>45771</v>
      </c>
      <c r="C313" s="1" t="n">
        <v>46001</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29196-2025</t>
        </is>
      </c>
      <c r="B314" s="1" t="n">
        <v>45822</v>
      </c>
      <c r="C314" s="1" t="n">
        <v>46001</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10158-2025</t>
        </is>
      </c>
      <c r="B315" s="1" t="n">
        <v>45719</v>
      </c>
      <c r="C315" s="1" t="n">
        <v>46001</v>
      </c>
      <c r="D315" t="inlineStr">
        <is>
          <t>GOTLANDS LÄN</t>
        </is>
      </c>
      <c r="E315" t="inlineStr">
        <is>
          <t>GOTLAND</t>
        </is>
      </c>
      <c r="G315" t="n">
        <v>3.5</v>
      </c>
      <c r="H315" t="n">
        <v>0</v>
      </c>
      <c r="I315" t="n">
        <v>0</v>
      </c>
      <c r="J315" t="n">
        <v>0</v>
      </c>
      <c r="K315" t="n">
        <v>0</v>
      </c>
      <c r="L315" t="n">
        <v>0</v>
      </c>
      <c r="M315" t="n">
        <v>0</v>
      </c>
      <c r="N315" t="n">
        <v>0</v>
      </c>
      <c r="O315" t="n">
        <v>0</v>
      </c>
      <c r="P315" t="n">
        <v>0</v>
      </c>
      <c r="Q315" t="n">
        <v>0</v>
      </c>
      <c r="R315" s="2" t="inlineStr"/>
    </row>
    <row r="316" ht="15" customHeight="1">
      <c r="A316" t="inlineStr">
        <is>
          <t>A 29207-2025</t>
        </is>
      </c>
      <c r="B316" s="1" t="n">
        <v>45823</v>
      </c>
      <c r="C316" s="1" t="n">
        <v>46001</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4568-2025</t>
        </is>
      </c>
      <c r="B317" s="1" t="n">
        <v>45687</v>
      </c>
      <c r="C317" s="1" t="n">
        <v>46001</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43911-2025</t>
        </is>
      </c>
      <c r="B318" s="1" t="n">
        <v>45914.3881712963</v>
      </c>
      <c r="C318" s="1" t="n">
        <v>46001</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44410-2025</t>
        </is>
      </c>
      <c r="B319" s="1" t="n">
        <v>45916.53699074074</v>
      </c>
      <c r="C319" s="1" t="n">
        <v>46001</v>
      </c>
      <c r="D319" t="inlineStr">
        <is>
          <t>GOTLANDS LÄN</t>
        </is>
      </c>
      <c r="E319" t="inlineStr">
        <is>
          <t>GOTLAND</t>
        </is>
      </c>
      <c r="G319" t="n">
        <v>2.3</v>
      </c>
      <c r="H319" t="n">
        <v>0</v>
      </c>
      <c r="I319" t="n">
        <v>0</v>
      </c>
      <c r="J319" t="n">
        <v>0</v>
      </c>
      <c r="K319" t="n">
        <v>0</v>
      </c>
      <c r="L319" t="n">
        <v>0</v>
      </c>
      <c r="M319" t="n">
        <v>0</v>
      </c>
      <c r="N319" t="n">
        <v>0</v>
      </c>
      <c r="O319" t="n">
        <v>0</v>
      </c>
      <c r="P319" t="n">
        <v>0</v>
      </c>
      <c r="Q319" t="n">
        <v>0</v>
      </c>
      <c r="R319" s="2" t="inlineStr"/>
    </row>
    <row r="320" ht="15" customHeight="1">
      <c r="A320" t="inlineStr">
        <is>
          <t>A 43951-2025</t>
        </is>
      </c>
      <c r="B320" s="1" t="n">
        <v>45915.38119212963</v>
      </c>
      <c r="C320" s="1" t="n">
        <v>46001</v>
      </c>
      <c r="D320" t="inlineStr">
        <is>
          <t>GOTLANDS LÄN</t>
        </is>
      </c>
      <c r="E320" t="inlineStr">
        <is>
          <t>GOTLAND</t>
        </is>
      </c>
      <c r="G320" t="n">
        <v>4.4</v>
      </c>
      <c r="H320" t="n">
        <v>0</v>
      </c>
      <c r="I320" t="n">
        <v>0</v>
      </c>
      <c r="J320" t="n">
        <v>0</v>
      </c>
      <c r="K320" t="n">
        <v>0</v>
      </c>
      <c r="L320" t="n">
        <v>0</v>
      </c>
      <c r="M320" t="n">
        <v>0</v>
      </c>
      <c r="N320" t="n">
        <v>0</v>
      </c>
      <c r="O320" t="n">
        <v>0</v>
      </c>
      <c r="P320" t="n">
        <v>0</v>
      </c>
      <c r="Q320" t="n">
        <v>0</v>
      </c>
      <c r="R320" s="2" t="inlineStr"/>
    </row>
    <row r="321" ht="15" customHeight="1">
      <c r="A321" t="inlineStr">
        <is>
          <t>A 44405-2025</t>
        </is>
      </c>
      <c r="B321" s="1" t="n">
        <v>45916.52405092592</v>
      </c>
      <c r="C321" s="1" t="n">
        <v>46001</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53561-2025</t>
        </is>
      </c>
      <c r="B322" s="1" t="n">
        <v>45960.4059375</v>
      </c>
      <c r="C322" s="1" t="n">
        <v>46001</v>
      </c>
      <c r="D322" t="inlineStr">
        <is>
          <t>GOTLANDS LÄN</t>
        </is>
      </c>
      <c r="E322" t="inlineStr">
        <is>
          <t>GOTLAND</t>
        </is>
      </c>
      <c r="F322" t="inlineStr">
        <is>
          <t>Övriga Aktiebolag</t>
        </is>
      </c>
      <c r="G322" t="n">
        <v>2.4</v>
      </c>
      <c r="H322" t="n">
        <v>0</v>
      </c>
      <c r="I322" t="n">
        <v>0</v>
      </c>
      <c r="J322" t="n">
        <v>0</v>
      </c>
      <c r="K322" t="n">
        <v>0</v>
      </c>
      <c r="L322" t="n">
        <v>0</v>
      </c>
      <c r="M322" t="n">
        <v>0</v>
      </c>
      <c r="N322" t="n">
        <v>0</v>
      </c>
      <c r="O322" t="n">
        <v>0</v>
      </c>
      <c r="P322" t="n">
        <v>0</v>
      </c>
      <c r="Q322" t="n">
        <v>0</v>
      </c>
      <c r="R322" s="2" t="inlineStr"/>
    </row>
    <row r="323" ht="15" customHeight="1">
      <c r="A323" t="inlineStr">
        <is>
          <t>A 30061-2025</t>
        </is>
      </c>
      <c r="B323" s="1" t="n">
        <v>45826.61488425926</v>
      </c>
      <c r="C323" s="1" t="n">
        <v>46001</v>
      </c>
      <c r="D323" t="inlineStr">
        <is>
          <t>GOTLANDS LÄN</t>
        </is>
      </c>
      <c r="E323" t="inlineStr">
        <is>
          <t>GOTLAND</t>
        </is>
      </c>
      <c r="G323" t="n">
        <v>4.1</v>
      </c>
      <c r="H323" t="n">
        <v>0</v>
      </c>
      <c r="I323" t="n">
        <v>0</v>
      </c>
      <c r="J323" t="n">
        <v>0</v>
      </c>
      <c r="K323" t="n">
        <v>0</v>
      </c>
      <c r="L323" t="n">
        <v>0</v>
      </c>
      <c r="M323" t="n">
        <v>0</v>
      </c>
      <c r="N323" t="n">
        <v>0</v>
      </c>
      <c r="O323" t="n">
        <v>0</v>
      </c>
      <c r="P323" t="n">
        <v>0</v>
      </c>
      <c r="Q323" t="n">
        <v>0</v>
      </c>
      <c r="R323" s="2" t="inlineStr"/>
    </row>
    <row r="324" ht="15" customHeight="1">
      <c r="A324" t="inlineStr">
        <is>
          <t>A 53587-2025</t>
        </is>
      </c>
      <c r="B324" s="1" t="n">
        <v>45960.43681712963</v>
      </c>
      <c r="C324" s="1" t="n">
        <v>46001</v>
      </c>
      <c r="D324" t="inlineStr">
        <is>
          <t>GOTLANDS LÄN</t>
        </is>
      </c>
      <c r="E324" t="inlineStr">
        <is>
          <t>GOTLAND</t>
        </is>
      </c>
      <c r="F324" t="inlineStr">
        <is>
          <t>Övriga Aktiebolag</t>
        </is>
      </c>
      <c r="G324" t="n">
        <v>1.7</v>
      </c>
      <c r="H324" t="n">
        <v>0</v>
      </c>
      <c r="I324" t="n">
        <v>0</v>
      </c>
      <c r="J324" t="n">
        <v>0</v>
      </c>
      <c r="K324" t="n">
        <v>0</v>
      </c>
      <c r="L324" t="n">
        <v>0</v>
      </c>
      <c r="M324" t="n">
        <v>0</v>
      </c>
      <c r="N324" t="n">
        <v>0</v>
      </c>
      <c r="O324" t="n">
        <v>0</v>
      </c>
      <c r="P324" t="n">
        <v>0</v>
      </c>
      <c r="Q324" t="n">
        <v>0</v>
      </c>
      <c r="R324" s="2" t="inlineStr"/>
    </row>
    <row r="325" ht="15" customHeight="1">
      <c r="A325" t="inlineStr">
        <is>
          <t>A 35512-2023</t>
        </is>
      </c>
      <c r="B325" s="1" t="n">
        <v>45147.25623842593</v>
      </c>
      <c r="C325" s="1" t="n">
        <v>46001</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5905-2024</t>
        </is>
      </c>
      <c r="B326" s="1" t="n">
        <v>45335.88993055555</v>
      </c>
      <c r="C326" s="1" t="n">
        <v>46001</v>
      </c>
      <c r="D326" t="inlineStr">
        <is>
          <t>GOTLANDS LÄN</t>
        </is>
      </c>
      <c r="E326" t="inlineStr">
        <is>
          <t>GOTLAND</t>
        </is>
      </c>
      <c r="G326" t="n">
        <v>3</v>
      </c>
      <c r="H326" t="n">
        <v>0</v>
      </c>
      <c r="I326" t="n">
        <v>0</v>
      </c>
      <c r="J326" t="n">
        <v>0</v>
      </c>
      <c r="K326" t="n">
        <v>0</v>
      </c>
      <c r="L326" t="n">
        <v>0</v>
      </c>
      <c r="M326" t="n">
        <v>0</v>
      </c>
      <c r="N326" t="n">
        <v>0</v>
      </c>
      <c r="O326" t="n">
        <v>0</v>
      </c>
      <c r="P326" t="n">
        <v>0</v>
      </c>
      <c r="Q326" t="n">
        <v>0</v>
      </c>
      <c r="R326" s="2" t="inlineStr"/>
    </row>
    <row r="327" ht="15" customHeight="1">
      <c r="A327" t="inlineStr">
        <is>
          <t>A 58160-2024</t>
        </is>
      </c>
      <c r="B327" s="1" t="n">
        <v>45632.44927083333</v>
      </c>
      <c r="C327" s="1" t="n">
        <v>46001</v>
      </c>
      <c r="D327" t="inlineStr">
        <is>
          <t>GOTLANDS LÄN</t>
        </is>
      </c>
      <c r="E327" t="inlineStr">
        <is>
          <t>GOTLAND</t>
        </is>
      </c>
      <c r="G327" t="n">
        <v>5.6</v>
      </c>
      <c r="H327" t="n">
        <v>0</v>
      </c>
      <c r="I327" t="n">
        <v>0</v>
      </c>
      <c r="J327" t="n">
        <v>0</v>
      </c>
      <c r="K327" t="n">
        <v>0</v>
      </c>
      <c r="L327" t="n">
        <v>0</v>
      </c>
      <c r="M327" t="n">
        <v>0</v>
      </c>
      <c r="N327" t="n">
        <v>0</v>
      </c>
      <c r="O327" t="n">
        <v>0</v>
      </c>
      <c r="P327" t="n">
        <v>0</v>
      </c>
      <c r="Q327" t="n">
        <v>0</v>
      </c>
      <c r="R327" s="2" t="inlineStr"/>
    </row>
    <row r="328" ht="15" customHeight="1">
      <c r="A328" t="inlineStr">
        <is>
          <t>A 1291-2023</t>
        </is>
      </c>
      <c r="B328" s="1" t="n">
        <v>44936.47561342592</v>
      </c>
      <c r="C328" s="1" t="n">
        <v>46001</v>
      </c>
      <c r="D328" t="inlineStr">
        <is>
          <t>GOTLANDS LÄN</t>
        </is>
      </c>
      <c r="E328" t="inlineStr">
        <is>
          <t>GOTLAND</t>
        </is>
      </c>
      <c r="G328" t="n">
        <v>7.4</v>
      </c>
      <c r="H328" t="n">
        <v>0</v>
      </c>
      <c r="I328" t="n">
        <v>0</v>
      </c>
      <c r="J328" t="n">
        <v>0</v>
      </c>
      <c r="K328" t="n">
        <v>0</v>
      </c>
      <c r="L328" t="n">
        <v>0</v>
      </c>
      <c r="M328" t="n">
        <v>0</v>
      </c>
      <c r="N328" t="n">
        <v>0</v>
      </c>
      <c r="O328" t="n">
        <v>0</v>
      </c>
      <c r="P328" t="n">
        <v>0</v>
      </c>
      <c r="Q328" t="n">
        <v>0</v>
      </c>
      <c r="R328" s="2" t="inlineStr"/>
    </row>
    <row r="329" ht="15" customHeight="1">
      <c r="A329" t="inlineStr">
        <is>
          <t>A 57652-2023</t>
        </is>
      </c>
      <c r="B329" s="1" t="n">
        <v>45246</v>
      </c>
      <c r="C329" s="1" t="n">
        <v>46001</v>
      </c>
      <c r="D329" t="inlineStr">
        <is>
          <t>GOTLANDS LÄN</t>
        </is>
      </c>
      <c r="E329" t="inlineStr">
        <is>
          <t>GOTLAND</t>
        </is>
      </c>
      <c r="G329" t="n">
        <v>7.2</v>
      </c>
      <c r="H329" t="n">
        <v>0</v>
      </c>
      <c r="I329" t="n">
        <v>0</v>
      </c>
      <c r="J329" t="n">
        <v>0</v>
      </c>
      <c r="K329" t="n">
        <v>0</v>
      </c>
      <c r="L329" t="n">
        <v>0</v>
      </c>
      <c r="M329" t="n">
        <v>0</v>
      </c>
      <c r="N329" t="n">
        <v>0</v>
      </c>
      <c r="O329" t="n">
        <v>0</v>
      </c>
      <c r="P329" t="n">
        <v>0</v>
      </c>
      <c r="Q329" t="n">
        <v>0</v>
      </c>
      <c r="R329" s="2" t="inlineStr"/>
    </row>
    <row r="330" ht="15" customHeight="1">
      <c r="A330" t="inlineStr">
        <is>
          <t>A 49315-2024</t>
        </is>
      </c>
      <c r="B330" s="1" t="n">
        <v>45595</v>
      </c>
      <c r="C330" s="1" t="n">
        <v>46001</v>
      </c>
      <c r="D330" t="inlineStr">
        <is>
          <t>GOTLANDS LÄN</t>
        </is>
      </c>
      <c r="E330" t="inlineStr">
        <is>
          <t>GOTLAND</t>
        </is>
      </c>
      <c r="G330" t="n">
        <v>1.5</v>
      </c>
      <c r="H330" t="n">
        <v>0</v>
      </c>
      <c r="I330" t="n">
        <v>0</v>
      </c>
      <c r="J330" t="n">
        <v>0</v>
      </c>
      <c r="K330" t="n">
        <v>0</v>
      </c>
      <c r="L330" t="n">
        <v>0</v>
      </c>
      <c r="M330" t="n">
        <v>0</v>
      </c>
      <c r="N330" t="n">
        <v>0</v>
      </c>
      <c r="O330" t="n">
        <v>0</v>
      </c>
      <c r="P330" t="n">
        <v>0</v>
      </c>
      <c r="Q330" t="n">
        <v>0</v>
      </c>
      <c r="R330" s="2" t="inlineStr"/>
    </row>
    <row r="331" ht="15" customHeight="1">
      <c r="A331" t="inlineStr">
        <is>
          <t>A 45106-2024</t>
        </is>
      </c>
      <c r="B331" s="1" t="n">
        <v>45575</v>
      </c>
      <c r="C331" s="1" t="n">
        <v>46001</v>
      </c>
      <c r="D331" t="inlineStr">
        <is>
          <t>GOTLANDS LÄN</t>
        </is>
      </c>
      <c r="E331" t="inlineStr">
        <is>
          <t>GOTLAND</t>
        </is>
      </c>
      <c r="G331" t="n">
        <v>10</v>
      </c>
      <c r="H331" t="n">
        <v>0</v>
      </c>
      <c r="I331" t="n">
        <v>0</v>
      </c>
      <c r="J331" t="n">
        <v>0</v>
      </c>
      <c r="K331" t="n">
        <v>0</v>
      </c>
      <c r="L331" t="n">
        <v>0</v>
      </c>
      <c r="M331" t="n">
        <v>0</v>
      </c>
      <c r="N331" t="n">
        <v>0</v>
      </c>
      <c r="O331" t="n">
        <v>0</v>
      </c>
      <c r="P331" t="n">
        <v>0</v>
      </c>
      <c r="Q331" t="n">
        <v>0</v>
      </c>
      <c r="R331" s="2" t="inlineStr"/>
    </row>
    <row r="332" ht="15" customHeight="1">
      <c r="A332" t="inlineStr">
        <is>
          <t>A 45112-2024</t>
        </is>
      </c>
      <c r="B332" s="1" t="n">
        <v>45575</v>
      </c>
      <c r="C332" s="1" t="n">
        <v>46001</v>
      </c>
      <c r="D332" t="inlineStr">
        <is>
          <t>GOTLANDS LÄN</t>
        </is>
      </c>
      <c r="E332" t="inlineStr">
        <is>
          <t>GOTLAND</t>
        </is>
      </c>
      <c r="G332" t="n">
        <v>5.1</v>
      </c>
      <c r="H332" t="n">
        <v>0</v>
      </c>
      <c r="I332" t="n">
        <v>0</v>
      </c>
      <c r="J332" t="n">
        <v>0</v>
      </c>
      <c r="K332" t="n">
        <v>0</v>
      </c>
      <c r="L332" t="n">
        <v>0</v>
      </c>
      <c r="M332" t="n">
        <v>0</v>
      </c>
      <c r="N332" t="n">
        <v>0</v>
      </c>
      <c r="O332" t="n">
        <v>0</v>
      </c>
      <c r="P332" t="n">
        <v>0</v>
      </c>
      <c r="Q332" t="n">
        <v>0</v>
      </c>
      <c r="R332" s="2" t="inlineStr"/>
    </row>
    <row r="333" ht="15" customHeight="1">
      <c r="A333" t="inlineStr">
        <is>
          <t>A 2676-2023</t>
        </is>
      </c>
      <c r="B333" s="1" t="n">
        <v>44944</v>
      </c>
      <c r="C333" s="1" t="n">
        <v>46001</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32379-2025</t>
        </is>
      </c>
      <c r="B334" s="1" t="n">
        <v>45837</v>
      </c>
      <c r="C334" s="1" t="n">
        <v>46001</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54584-2025</t>
        </is>
      </c>
      <c r="B335" s="1" t="n">
        <v>45965.71788194445</v>
      </c>
      <c r="C335" s="1" t="n">
        <v>46001</v>
      </c>
      <c r="D335" t="inlineStr">
        <is>
          <t>GOTLANDS LÄN</t>
        </is>
      </c>
      <c r="E335" t="inlineStr">
        <is>
          <t>GOTLAND</t>
        </is>
      </c>
      <c r="G335" t="n">
        <v>3.5</v>
      </c>
      <c r="H335" t="n">
        <v>0</v>
      </c>
      <c r="I335" t="n">
        <v>0</v>
      </c>
      <c r="J335" t="n">
        <v>0</v>
      </c>
      <c r="K335" t="n">
        <v>0</v>
      </c>
      <c r="L335" t="n">
        <v>0</v>
      </c>
      <c r="M335" t="n">
        <v>0</v>
      </c>
      <c r="N335" t="n">
        <v>0</v>
      </c>
      <c r="O335" t="n">
        <v>0</v>
      </c>
      <c r="P335" t="n">
        <v>0</v>
      </c>
      <c r="Q335" t="n">
        <v>0</v>
      </c>
      <c r="R335" s="2" t="inlineStr"/>
    </row>
    <row r="336" ht="15" customHeight="1">
      <c r="A336" t="inlineStr">
        <is>
          <t>A 3150-2025</t>
        </is>
      </c>
      <c r="B336" s="1" t="n">
        <v>45679.28974537037</v>
      </c>
      <c r="C336" s="1" t="n">
        <v>46001</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8484-2025</t>
        </is>
      </c>
      <c r="B337" s="1" t="n">
        <v>45709</v>
      </c>
      <c r="C337" s="1" t="n">
        <v>46001</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7635-2025</t>
        </is>
      </c>
      <c r="B338" s="1" t="n">
        <v>45705</v>
      </c>
      <c r="C338" s="1" t="n">
        <v>46001</v>
      </c>
      <c r="D338" t="inlineStr">
        <is>
          <t>GOTLANDS LÄN</t>
        </is>
      </c>
      <c r="E338" t="inlineStr">
        <is>
          <t>GOTLAND</t>
        </is>
      </c>
      <c r="G338" t="n">
        <v>0.9</v>
      </c>
      <c r="H338" t="n">
        <v>0</v>
      </c>
      <c r="I338" t="n">
        <v>0</v>
      </c>
      <c r="J338" t="n">
        <v>0</v>
      </c>
      <c r="K338" t="n">
        <v>0</v>
      </c>
      <c r="L338" t="n">
        <v>0</v>
      </c>
      <c r="M338" t="n">
        <v>0</v>
      </c>
      <c r="N338" t="n">
        <v>0</v>
      </c>
      <c r="O338" t="n">
        <v>0</v>
      </c>
      <c r="P338" t="n">
        <v>0</v>
      </c>
      <c r="Q338" t="n">
        <v>0</v>
      </c>
      <c r="R338" s="2" t="inlineStr"/>
    </row>
    <row r="339" ht="15" customHeight="1">
      <c r="A339" t="inlineStr">
        <is>
          <t>A 7636-2025</t>
        </is>
      </c>
      <c r="B339" s="1" t="n">
        <v>45705.7687962963</v>
      </c>
      <c r="C339" s="1" t="n">
        <v>46001</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7639-2025</t>
        </is>
      </c>
      <c r="B340" s="1" t="n">
        <v>45705.77465277778</v>
      </c>
      <c r="C340" s="1" t="n">
        <v>46001</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32467-2025</t>
        </is>
      </c>
      <c r="B341" s="1" t="n">
        <v>45838.42111111111</v>
      </c>
      <c r="C341" s="1" t="n">
        <v>46001</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16109-2025</t>
        </is>
      </c>
      <c r="B342" s="1" t="n">
        <v>45750</v>
      </c>
      <c r="C342" s="1" t="n">
        <v>46001</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20356-2022</t>
        </is>
      </c>
      <c r="B343" s="1" t="n">
        <v>44699</v>
      </c>
      <c r="C343" s="1" t="n">
        <v>46001</v>
      </c>
      <c r="D343" t="inlineStr">
        <is>
          <t>GOTLANDS LÄN</t>
        </is>
      </c>
      <c r="E343" t="inlineStr">
        <is>
          <t>GOTLAND</t>
        </is>
      </c>
      <c r="F343" t="inlineStr">
        <is>
          <t>Övriga Aktiebolag</t>
        </is>
      </c>
      <c r="G343" t="n">
        <v>4.4</v>
      </c>
      <c r="H343" t="n">
        <v>0</v>
      </c>
      <c r="I343" t="n">
        <v>0</v>
      </c>
      <c r="J343" t="n">
        <v>0</v>
      </c>
      <c r="K343" t="n">
        <v>0</v>
      </c>
      <c r="L343" t="n">
        <v>0</v>
      </c>
      <c r="M343" t="n">
        <v>0</v>
      </c>
      <c r="N343" t="n">
        <v>0</v>
      </c>
      <c r="O343" t="n">
        <v>0</v>
      </c>
      <c r="P343" t="n">
        <v>0</v>
      </c>
      <c r="Q343" t="n">
        <v>0</v>
      </c>
      <c r="R343" s="2" t="inlineStr"/>
    </row>
    <row r="344" ht="15" customHeight="1">
      <c r="A344" t="inlineStr">
        <is>
          <t>A 48734-2022</t>
        </is>
      </c>
      <c r="B344" s="1" t="n">
        <v>44855</v>
      </c>
      <c r="C344" s="1" t="n">
        <v>46001</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14141-2024</t>
        </is>
      </c>
      <c r="B345" s="1" t="n">
        <v>45392.85193287037</v>
      </c>
      <c r="C345" s="1" t="n">
        <v>46001</v>
      </c>
      <c r="D345" t="inlineStr">
        <is>
          <t>GOTLANDS LÄN</t>
        </is>
      </c>
      <c r="E345" t="inlineStr">
        <is>
          <t>GOTLAND</t>
        </is>
      </c>
      <c r="G345" t="n">
        <v>5.3</v>
      </c>
      <c r="H345" t="n">
        <v>0</v>
      </c>
      <c r="I345" t="n">
        <v>0</v>
      </c>
      <c r="J345" t="n">
        <v>0</v>
      </c>
      <c r="K345" t="n">
        <v>0</v>
      </c>
      <c r="L345" t="n">
        <v>0</v>
      </c>
      <c r="M345" t="n">
        <v>0</v>
      </c>
      <c r="N345" t="n">
        <v>0</v>
      </c>
      <c r="O345" t="n">
        <v>0</v>
      </c>
      <c r="P345" t="n">
        <v>0</v>
      </c>
      <c r="Q345" t="n">
        <v>0</v>
      </c>
      <c r="R345" s="2" t="inlineStr"/>
    </row>
    <row r="346" ht="15" customHeight="1">
      <c r="A346" t="inlineStr">
        <is>
          <t>A 33007-2025</t>
        </is>
      </c>
      <c r="B346" s="1" t="n">
        <v>45840</v>
      </c>
      <c r="C346" s="1" t="n">
        <v>46001</v>
      </c>
      <c r="D346" t="inlineStr">
        <is>
          <t>GOTLANDS LÄN</t>
        </is>
      </c>
      <c r="E346" t="inlineStr">
        <is>
          <t>GOTLAND</t>
        </is>
      </c>
      <c r="G346" t="n">
        <v>4.9</v>
      </c>
      <c r="H346" t="n">
        <v>0</v>
      </c>
      <c r="I346" t="n">
        <v>0</v>
      </c>
      <c r="J346" t="n">
        <v>0</v>
      </c>
      <c r="K346" t="n">
        <v>0</v>
      </c>
      <c r="L346" t="n">
        <v>0</v>
      </c>
      <c r="M346" t="n">
        <v>0</v>
      </c>
      <c r="N346" t="n">
        <v>0</v>
      </c>
      <c r="O346" t="n">
        <v>0</v>
      </c>
      <c r="P346" t="n">
        <v>0</v>
      </c>
      <c r="Q346" t="n">
        <v>0</v>
      </c>
      <c r="R346" s="2" t="inlineStr"/>
    </row>
    <row r="347" ht="15" customHeight="1">
      <c r="A347" t="inlineStr">
        <is>
          <t>A 29809-2022</t>
        </is>
      </c>
      <c r="B347" s="1" t="n">
        <v>44755.8713425926</v>
      </c>
      <c r="C347" s="1" t="n">
        <v>46001</v>
      </c>
      <c r="D347" t="inlineStr">
        <is>
          <t>GOTLANDS LÄN</t>
        </is>
      </c>
      <c r="E347" t="inlineStr">
        <is>
          <t>GOTLAND</t>
        </is>
      </c>
      <c r="G347" t="n">
        <v>11.5</v>
      </c>
      <c r="H347" t="n">
        <v>0</v>
      </c>
      <c r="I347" t="n">
        <v>0</v>
      </c>
      <c r="J347" t="n">
        <v>0</v>
      </c>
      <c r="K347" t="n">
        <v>0</v>
      </c>
      <c r="L347" t="n">
        <v>0</v>
      </c>
      <c r="M347" t="n">
        <v>0</v>
      </c>
      <c r="N347" t="n">
        <v>0</v>
      </c>
      <c r="O347" t="n">
        <v>0</v>
      </c>
      <c r="P347" t="n">
        <v>0</v>
      </c>
      <c r="Q347" t="n">
        <v>0</v>
      </c>
      <c r="R347" s="2" t="inlineStr"/>
    </row>
    <row r="348" ht="15" customHeight="1">
      <c r="A348" t="inlineStr">
        <is>
          <t>A 26391-2025</t>
        </is>
      </c>
      <c r="B348" s="1" t="n">
        <v>45806</v>
      </c>
      <c r="C348" s="1" t="n">
        <v>46001</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57685-2022</t>
        </is>
      </c>
      <c r="B349" s="1" t="n">
        <v>44897.4777662037</v>
      </c>
      <c r="C349" s="1" t="n">
        <v>46001</v>
      </c>
      <c r="D349" t="inlineStr">
        <is>
          <t>GOTLANDS LÄN</t>
        </is>
      </c>
      <c r="E349" t="inlineStr">
        <is>
          <t>GOTLAND</t>
        </is>
      </c>
      <c r="G349" t="n">
        <v>3.7</v>
      </c>
      <c r="H349" t="n">
        <v>0</v>
      </c>
      <c r="I349" t="n">
        <v>0</v>
      </c>
      <c r="J349" t="n">
        <v>0</v>
      </c>
      <c r="K349" t="n">
        <v>0</v>
      </c>
      <c r="L349" t="n">
        <v>0</v>
      </c>
      <c r="M349" t="n">
        <v>0</v>
      </c>
      <c r="N349" t="n">
        <v>0</v>
      </c>
      <c r="O349" t="n">
        <v>0</v>
      </c>
      <c r="P349" t="n">
        <v>0</v>
      </c>
      <c r="Q349" t="n">
        <v>0</v>
      </c>
      <c r="R349" s="2" t="inlineStr"/>
    </row>
    <row r="350" ht="15" customHeight="1">
      <c r="A350" t="inlineStr">
        <is>
          <t>A 46836-2025</t>
        </is>
      </c>
      <c r="B350" s="1" t="n">
        <v>45928.31511574074</v>
      </c>
      <c r="C350" s="1" t="n">
        <v>46001</v>
      </c>
      <c r="D350" t="inlineStr">
        <is>
          <t>GOTLANDS LÄN</t>
        </is>
      </c>
      <c r="E350" t="inlineStr">
        <is>
          <t>GOTLAND</t>
        </is>
      </c>
      <c r="G350" t="n">
        <v>2.8</v>
      </c>
      <c r="H350" t="n">
        <v>0</v>
      </c>
      <c r="I350" t="n">
        <v>0</v>
      </c>
      <c r="J350" t="n">
        <v>0</v>
      </c>
      <c r="K350" t="n">
        <v>0</v>
      </c>
      <c r="L350" t="n">
        <v>0</v>
      </c>
      <c r="M350" t="n">
        <v>0</v>
      </c>
      <c r="N350" t="n">
        <v>0</v>
      </c>
      <c r="O350" t="n">
        <v>0</v>
      </c>
      <c r="P350" t="n">
        <v>0</v>
      </c>
      <c r="Q350" t="n">
        <v>0</v>
      </c>
      <c r="R350" s="2" t="inlineStr"/>
    </row>
    <row r="351" ht="15" customHeight="1">
      <c r="A351" t="inlineStr">
        <is>
          <t>A 30815-2023</t>
        </is>
      </c>
      <c r="B351" s="1" t="n">
        <v>45112</v>
      </c>
      <c r="C351" s="1" t="n">
        <v>46001</v>
      </c>
      <c r="D351" t="inlineStr">
        <is>
          <t>GOTLANDS LÄN</t>
        </is>
      </c>
      <c r="E351" t="inlineStr">
        <is>
          <t>GOTLAND</t>
        </is>
      </c>
      <c r="G351" t="n">
        <v>6</v>
      </c>
      <c r="H351" t="n">
        <v>0</v>
      </c>
      <c r="I351" t="n">
        <v>0</v>
      </c>
      <c r="J351" t="n">
        <v>0</v>
      </c>
      <c r="K351" t="n">
        <v>0</v>
      </c>
      <c r="L351" t="n">
        <v>0</v>
      </c>
      <c r="M351" t="n">
        <v>0</v>
      </c>
      <c r="N351" t="n">
        <v>0</v>
      </c>
      <c r="O351" t="n">
        <v>0</v>
      </c>
      <c r="P351" t="n">
        <v>0</v>
      </c>
      <c r="Q351" t="n">
        <v>0</v>
      </c>
      <c r="R351" s="2" t="inlineStr"/>
    </row>
    <row r="352" ht="15" customHeight="1">
      <c r="A352" t="inlineStr">
        <is>
          <t>A 15413-2025</t>
        </is>
      </c>
      <c r="B352" s="1" t="n">
        <v>45747.451875</v>
      </c>
      <c r="C352" s="1" t="n">
        <v>46001</v>
      </c>
      <c r="D352" t="inlineStr">
        <is>
          <t>GOTLANDS LÄN</t>
        </is>
      </c>
      <c r="E352" t="inlineStr">
        <is>
          <t>GOTLAND</t>
        </is>
      </c>
      <c r="G352" t="n">
        <v>0.6</v>
      </c>
      <c r="H352" t="n">
        <v>0</v>
      </c>
      <c r="I352" t="n">
        <v>0</v>
      </c>
      <c r="J352" t="n">
        <v>0</v>
      </c>
      <c r="K352" t="n">
        <v>0</v>
      </c>
      <c r="L352" t="n">
        <v>0</v>
      </c>
      <c r="M352" t="n">
        <v>0</v>
      </c>
      <c r="N352" t="n">
        <v>0</v>
      </c>
      <c r="O352" t="n">
        <v>0</v>
      </c>
      <c r="P352" t="n">
        <v>0</v>
      </c>
      <c r="Q352" t="n">
        <v>0</v>
      </c>
      <c r="R352" s="2" t="inlineStr"/>
    </row>
    <row r="353" ht="15" customHeight="1">
      <c r="A353" t="inlineStr">
        <is>
          <t>A 35123-2025</t>
        </is>
      </c>
      <c r="B353" s="1" t="n">
        <v>45852.614375</v>
      </c>
      <c r="C353" s="1" t="n">
        <v>46001</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7034-2023</t>
        </is>
      </c>
      <c r="B354" s="1" t="n">
        <v>44968.32108796296</v>
      </c>
      <c r="C354" s="1" t="n">
        <v>46001</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7042-2023</t>
        </is>
      </c>
      <c r="B355" s="1" t="n">
        <v>44968</v>
      </c>
      <c r="C355" s="1" t="n">
        <v>46001</v>
      </c>
      <c r="D355" t="inlineStr">
        <is>
          <t>GOTLANDS LÄN</t>
        </is>
      </c>
      <c r="E355" t="inlineStr">
        <is>
          <t>GOTLAND</t>
        </is>
      </c>
      <c r="G355" t="n">
        <v>0.7</v>
      </c>
      <c r="H355" t="n">
        <v>0</v>
      </c>
      <c r="I355" t="n">
        <v>0</v>
      </c>
      <c r="J355" t="n">
        <v>0</v>
      </c>
      <c r="K355" t="n">
        <v>0</v>
      </c>
      <c r="L355" t="n">
        <v>0</v>
      </c>
      <c r="M355" t="n">
        <v>0</v>
      </c>
      <c r="N355" t="n">
        <v>0</v>
      </c>
      <c r="O355" t="n">
        <v>0</v>
      </c>
      <c r="P355" t="n">
        <v>0</v>
      </c>
      <c r="Q355" t="n">
        <v>0</v>
      </c>
      <c r="R355" s="2" t="inlineStr"/>
    </row>
    <row r="356" ht="15" customHeight="1">
      <c r="A356" t="inlineStr">
        <is>
          <t>A 23516-2023</t>
        </is>
      </c>
      <c r="B356" s="1" t="n">
        <v>45076.93391203704</v>
      </c>
      <c r="C356" s="1" t="n">
        <v>46001</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35096-2025</t>
        </is>
      </c>
      <c r="B357" s="1" t="n">
        <v>45852.54356481481</v>
      </c>
      <c r="C357" s="1" t="n">
        <v>46001</v>
      </c>
      <c r="D357" t="inlineStr">
        <is>
          <t>GOTLANDS LÄN</t>
        </is>
      </c>
      <c r="E357" t="inlineStr">
        <is>
          <t>GOTLAND</t>
        </is>
      </c>
      <c r="F357" t="inlineStr">
        <is>
          <t>Kyrkan</t>
        </is>
      </c>
      <c r="G357" t="n">
        <v>1</v>
      </c>
      <c r="H357" t="n">
        <v>0</v>
      </c>
      <c r="I357" t="n">
        <v>0</v>
      </c>
      <c r="J357" t="n">
        <v>0</v>
      </c>
      <c r="K357" t="n">
        <v>0</v>
      </c>
      <c r="L357" t="n">
        <v>0</v>
      </c>
      <c r="M357" t="n">
        <v>0</v>
      </c>
      <c r="N357" t="n">
        <v>0</v>
      </c>
      <c r="O357" t="n">
        <v>0</v>
      </c>
      <c r="P357" t="n">
        <v>0</v>
      </c>
      <c r="Q357" t="n">
        <v>0</v>
      </c>
      <c r="R357" s="2" t="inlineStr"/>
    </row>
    <row r="358" ht="15" customHeight="1">
      <c r="A358" t="inlineStr">
        <is>
          <t>A 64660-2023</t>
        </is>
      </c>
      <c r="B358" s="1" t="n">
        <v>45281.60122685185</v>
      </c>
      <c r="C358" s="1" t="n">
        <v>46001</v>
      </c>
      <c r="D358" t="inlineStr">
        <is>
          <t>GOTLANDS LÄN</t>
        </is>
      </c>
      <c r="E358" t="inlineStr">
        <is>
          <t>GOTLAND</t>
        </is>
      </c>
      <c r="G358" t="n">
        <v>6.3</v>
      </c>
      <c r="H358" t="n">
        <v>0</v>
      </c>
      <c r="I358" t="n">
        <v>0</v>
      </c>
      <c r="J358" t="n">
        <v>0</v>
      </c>
      <c r="K358" t="n">
        <v>0</v>
      </c>
      <c r="L358" t="n">
        <v>0</v>
      </c>
      <c r="M358" t="n">
        <v>0</v>
      </c>
      <c r="N358" t="n">
        <v>0</v>
      </c>
      <c r="O358" t="n">
        <v>0</v>
      </c>
      <c r="P358" t="n">
        <v>0</v>
      </c>
      <c r="Q358" t="n">
        <v>0</v>
      </c>
      <c r="R358" s="2" t="inlineStr"/>
    </row>
    <row r="359" ht="15" customHeight="1">
      <c r="A359" t="inlineStr">
        <is>
          <t>A 63763-2023</t>
        </is>
      </c>
      <c r="B359" s="1" t="n">
        <v>45278.33944444444</v>
      </c>
      <c r="C359" s="1" t="n">
        <v>46001</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30104-2025</t>
        </is>
      </c>
      <c r="B360" s="1" t="n">
        <v>45826.68806712963</v>
      </c>
      <c r="C360" s="1" t="n">
        <v>46001</v>
      </c>
      <c r="D360" t="inlineStr">
        <is>
          <t>GOTLANDS LÄN</t>
        </is>
      </c>
      <c r="E360" t="inlineStr">
        <is>
          <t>GOTLAND</t>
        </is>
      </c>
      <c r="G360" t="n">
        <v>15.4</v>
      </c>
      <c r="H360" t="n">
        <v>0</v>
      </c>
      <c r="I360" t="n">
        <v>0</v>
      </c>
      <c r="J360" t="n">
        <v>0</v>
      </c>
      <c r="K360" t="n">
        <v>0</v>
      </c>
      <c r="L360" t="n">
        <v>0</v>
      </c>
      <c r="M360" t="n">
        <v>0</v>
      </c>
      <c r="N360" t="n">
        <v>0</v>
      </c>
      <c r="O360" t="n">
        <v>0</v>
      </c>
      <c r="P360" t="n">
        <v>0</v>
      </c>
      <c r="Q360" t="n">
        <v>0</v>
      </c>
      <c r="R360" s="2" t="inlineStr"/>
    </row>
    <row r="361" ht="15" customHeight="1">
      <c r="A361" t="inlineStr">
        <is>
          <t>A 35290-2025</t>
        </is>
      </c>
      <c r="B361" s="1" t="n">
        <v>45854.38502314815</v>
      </c>
      <c r="C361" s="1" t="n">
        <v>46001</v>
      </c>
      <c r="D361" t="inlineStr">
        <is>
          <t>GOTLANDS LÄN</t>
        </is>
      </c>
      <c r="E361" t="inlineStr">
        <is>
          <t>GOTLAND</t>
        </is>
      </c>
      <c r="G361" t="n">
        <v>5.4</v>
      </c>
      <c r="H361" t="n">
        <v>0</v>
      </c>
      <c r="I361" t="n">
        <v>0</v>
      </c>
      <c r="J361" t="n">
        <v>0</v>
      </c>
      <c r="K361" t="n">
        <v>0</v>
      </c>
      <c r="L361" t="n">
        <v>0</v>
      </c>
      <c r="M361" t="n">
        <v>0</v>
      </c>
      <c r="N361" t="n">
        <v>0</v>
      </c>
      <c r="O361" t="n">
        <v>0</v>
      </c>
      <c r="P361" t="n">
        <v>0</v>
      </c>
      <c r="Q361" t="n">
        <v>0</v>
      </c>
      <c r="R361" s="2" t="inlineStr"/>
    </row>
    <row r="362" ht="15" customHeight="1">
      <c r="A362" t="inlineStr">
        <is>
          <t>A 32669-2024</t>
        </is>
      </c>
      <c r="B362" s="1" t="n">
        <v>45514</v>
      </c>
      <c r="C362" s="1" t="n">
        <v>46001</v>
      </c>
      <c r="D362" t="inlineStr">
        <is>
          <t>GOTLANDS LÄN</t>
        </is>
      </c>
      <c r="E362" t="inlineStr">
        <is>
          <t>GOTLAND</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35537-2025</t>
        </is>
      </c>
      <c r="B363" s="1" t="n">
        <v>45856</v>
      </c>
      <c r="C363" s="1" t="n">
        <v>46001</v>
      </c>
      <c r="D363" t="inlineStr">
        <is>
          <t>GOTLANDS LÄN</t>
        </is>
      </c>
      <c r="E363" t="inlineStr">
        <is>
          <t>GOTLAND</t>
        </is>
      </c>
      <c r="G363" t="n">
        <v>16.8</v>
      </c>
      <c r="H363" t="n">
        <v>0</v>
      </c>
      <c r="I363" t="n">
        <v>0</v>
      </c>
      <c r="J363" t="n">
        <v>0</v>
      </c>
      <c r="K363" t="n">
        <v>0</v>
      </c>
      <c r="L363" t="n">
        <v>0</v>
      </c>
      <c r="M363" t="n">
        <v>0</v>
      </c>
      <c r="N363" t="n">
        <v>0</v>
      </c>
      <c r="O363" t="n">
        <v>0</v>
      </c>
      <c r="P363" t="n">
        <v>0</v>
      </c>
      <c r="Q363" t="n">
        <v>0</v>
      </c>
      <c r="R363" s="2" t="inlineStr"/>
    </row>
    <row r="364" ht="15" customHeight="1">
      <c r="A364" t="inlineStr">
        <is>
          <t>A 63229-2021</t>
        </is>
      </c>
      <c r="B364" s="1" t="n">
        <v>44508.34518518519</v>
      </c>
      <c r="C364" s="1" t="n">
        <v>46001</v>
      </c>
      <c r="D364" t="inlineStr">
        <is>
          <t>GOTLANDS LÄN</t>
        </is>
      </c>
      <c r="E364" t="inlineStr">
        <is>
          <t>GOTLAND</t>
        </is>
      </c>
      <c r="F364" t="inlineStr">
        <is>
          <t>Kyrkan</t>
        </is>
      </c>
      <c r="G364" t="n">
        <v>3.8</v>
      </c>
      <c r="H364" t="n">
        <v>0</v>
      </c>
      <c r="I364" t="n">
        <v>0</v>
      </c>
      <c r="J364" t="n">
        <v>0</v>
      </c>
      <c r="K364" t="n">
        <v>0</v>
      </c>
      <c r="L364" t="n">
        <v>0</v>
      </c>
      <c r="M364" t="n">
        <v>0</v>
      </c>
      <c r="N364" t="n">
        <v>0</v>
      </c>
      <c r="O364" t="n">
        <v>0</v>
      </c>
      <c r="P364" t="n">
        <v>0</v>
      </c>
      <c r="Q364" t="n">
        <v>0</v>
      </c>
      <c r="R364" s="2" t="inlineStr"/>
    </row>
    <row r="365" ht="15" customHeight="1">
      <c r="A365" t="inlineStr">
        <is>
          <t>A 46375-2024</t>
        </is>
      </c>
      <c r="B365" s="1" t="n">
        <v>45582</v>
      </c>
      <c r="C365" s="1" t="n">
        <v>46001</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47637-2025</t>
        </is>
      </c>
      <c r="B366" s="1" t="n">
        <v>45931.49753472222</v>
      </c>
      <c r="C366" s="1" t="n">
        <v>46001</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15216-2025</t>
        </is>
      </c>
      <c r="B367" s="1" t="n">
        <v>45744</v>
      </c>
      <c r="C367" s="1" t="n">
        <v>46001</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43790-2024</t>
        </is>
      </c>
      <c r="B368" s="1" t="n">
        <v>45571</v>
      </c>
      <c r="C368" s="1" t="n">
        <v>46001</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15001-2025</t>
        </is>
      </c>
      <c r="B369" s="1" t="n">
        <v>45743</v>
      </c>
      <c r="C369" s="1" t="n">
        <v>46001</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30488-2025</t>
        </is>
      </c>
      <c r="B370" s="1" t="n">
        <v>45830</v>
      </c>
      <c r="C370" s="1" t="n">
        <v>46001</v>
      </c>
      <c r="D370" t="inlineStr">
        <is>
          <t>GOTLANDS LÄN</t>
        </is>
      </c>
      <c r="E370" t="inlineStr">
        <is>
          <t>GOTLAND</t>
        </is>
      </c>
      <c r="F370" t="inlineStr">
        <is>
          <t>Kyrkan</t>
        </is>
      </c>
      <c r="G370" t="n">
        <v>3.9</v>
      </c>
      <c r="H370" t="n">
        <v>0</v>
      </c>
      <c r="I370" t="n">
        <v>0</v>
      </c>
      <c r="J370" t="n">
        <v>0</v>
      </c>
      <c r="K370" t="n">
        <v>0</v>
      </c>
      <c r="L370" t="n">
        <v>0</v>
      </c>
      <c r="M370" t="n">
        <v>0</v>
      </c>
      <c r="N370" t="n">
        <v>0</v>
      </c>
      <c r="O370" t="n">
        <v>0</v>
      </c>
      <c r="P370" t="n">
        <v>0</v>
      </c>
      <c r="Q370" t="n">
        <v>0</v>
      </c>
      <c r="R370" s="2" t="inlineStr"/>
    </row>
    <row r="371" ht="15" customHeight="1">
      <c r="A371" t="inlineStr">
        <is>
          <t>A 17847-2025</t>
        </is>
      </c>
      <c r="B371" s="1" t="n">
        <v>45758</v>
      </c>
      <c r="C371" s="1" t="n">
        <v>46001</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18742-2025</t>
        </is>
      </c>
      <c r="B372" s="1" t="n">
        <v>45763</v>
      </c>
      <c r="C372" s="1" t="n">
        <v>46001</v>
      </c>
      <c r="D372" t="inlineStr">
        <is>
          <t>GOTLANDS LÄN</t>
        </is>
      </c>
      <c r="E372" t="inlineStr">
        <is>
          <t>GOTLAND</t>
        </is>
      </c>
      <c r="G372" t="n">
        <v>3.4</v>
      </c>
      <c r="H372" t="n">
        <v>0</v>
      </c>
      <c r="I372" t="n">
        <v>0</v>
      </c>
      <c r="J372" t="n">
        <v>0</v>
      </c>
      <c r="K372" t="n">
        <v>0</v>
      </c>
      <c r="L372" t="n">
        <v>0</v>
      </c>
      <c r="M372" t="n">
        <v>0</v>
      </c>
      <c r="N372" t="n">
        <v>0</v>
      </c>
      <c r="O372" t="n">
        <v>0</v>
      </c>
      <c r="P372" t="n">
        <v>0</v>
      </c>
      <c r="Q372" t="n">
        <v>0</v>
      </c>
      <c r="R372" s="2" t="inlineStr"/>
    </row>
    <row r="373" ht="15" customHeight="1">
      <c r="A373" t="inlineStr">
        <is>
          <t>A 36319-2025</t>
        </is>
      </c>
      <c r="B373" s="1" t="n">
        <v>45868</v>
      </c>
      <c r="C373" s="1" t="n">
        <v>46001</v>
      </c>
      <c r="D373" t="inlineStr">
        <is>
          <t>GOTLANDS LÄN</t>
        </is>
      </c>
      <c r="E373" t="inlineStr">
        <is>
          <t>GOTLAND</t>
        </is>
      </c>
      <c r="G373" t="n">
        <v>2.9</v>
      </c>
      <c r="H373" t="n">
        <v>0</v>
      </c>
      <c r="I373" t="n">
        <v>0</v>
      </c>
      <c r="J373" t="n">
        <v>0</v>
      </c>
      <c r="K373" t="n">
        <v>0</v>
      </c>
      <c r="L373" t="n">
        <v>0</v>
      </c>
      <c r="M373" t="n">
        <v>0</v>
      </c>
      <c r="N373" t="n">
        <v>0</v>
      </c>
      <c r="O373" t="n">
        <v>0</v>
      </c>
      <c r="P373" t="n">
        <v>0</v>
      </c>
      <c r="Q373" t="n">
        <v>0</v>
      </c>
      <c r="R373" s="2" t="inlineStr"/>
    </row>
    <row r="374" ht="15" customHeight="1">
      <c r="A374" t="inlineStr">
        <is>
          <t>A 56799-2025</t>
        </is>
      </c>
      <c r="B374" s="1" t="n">
        <v>45978.43392361111</v>
      </c>
      <c r="C374" s="1" t="n">
        <v>46001</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35129-2025</t>
        </is>
      </c>
      <c r="B375" s="1" t="n">
        <v>45852.63224537037</v>
      </c>
      <c r="C375" s="1" t="n">
        <v>46001</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1734-2025</t>
        </is>
      </c>
      <c r="B376" s="1" t="n">
        <v>45671.3840625</v>
      </c>
      <c r="C376" s="1" t="n">
        <v>46001</v>
      </c>
      <c r="D376" t="inlineStr">
        <is>
          <t>GOTLANDS LÄN</t>
        </is>
      </c>
      <c r="E376" t="inlineStr">
        <is>
          <t>GOTLAND</t>
        </is>
      </c>
      <c r="G376" t="n">
        <v>1.9</v>
      </c>
      <c r="H376" t="n">
        <v>0</v>
      </c>
      <c r="I376" t="n">
        <v>0</v>
      </c>
      <c r="J376" t="n">
        <v>0</v>
      </c>
      <c r="K376" t="n">
        <v>0</v>
      </c>
      <c r="L376" t="n">
        <v>0</v>
      </c>
      <c r="M376" t="n">
        <v>0</v>
      </c>
      <c r="N376" t="n">
        <v>0</v>
      </c>
      <c r="O376" t="n">
        <v>0</v>
      </c>
      <c r="P376" t="n">
        <v>0</v>
      </c>
      <c r="Q376" t="n">
        <v>0</v>
      </c>
      <c r="R376" s="2" t="inlineStr"/>
    </row>
    <row r="377" ht="15" customHeight="1">
      <c r="A377" t="inlineStr">
        <is>
          <t>A 20993-2023</t>
        </is>
      </c>
      <c r="B377" s="1" t="n">
        <v>45056</v>
      </c>
      <c r="C377" s="1" t="n">
        <v>46001</v>
      </c>
      <c r="D377" t="inlineStr">
        <is>
          <t>GOTLANDS LÄN</t>
        </is>
      </c>
      <c r="E377" t="inlineStr">
        <is>
          <t>GOTLAND</t>
        </is>
      </c>
      <c r="G377" t="n">
        <v>7.1</v>
      </c>
      <c r="H377" t="n">
        <v>0</v>
      </c>
      <c r="I377" t="n">
        <v>0</v>
      </c>
      <c r="J377" t="n">
        <v>0</v>
      </c>
      <c r="K377" t="n">
        <v>0</v>
      </c>
      <c r="L377" t="n">
        <v>0</v>
      </c>
      <c r="M377" t="n">
        <v>0</v>
      </c>
      <c r="N377" t="n">
        <v>0</v>
      </c>
      <c r="O377" t="n">
        <v>0</v>
      </c>
      <c r="P377" t="n">
        <v>0</v>
      </c>
      <c r="Q377" t="n">
        <v>0</v>
      </c>
      <c r="R377" s="2" t="inlineStr"/>
    </row>
    <row r="378" ht="15" customHeight="1">
      <c r="A378" t="inlineStr">
        <is>
          <t>A 47147-2025</t>
        </is>
      </c>
      <c r="B378" s="1" t="n">
        <v>45929</v>
      </c>
      <c r="C378" s="1" t="n">
        <v>46001</v>
      </c>
      <c r="D378" t="inlineStr">
        <is>
          <t>GOTLANDS LÄN</t>
        </is>
      </c>
      <c r="E378" t="inlineStr">
        <is>
          <t>GOTLAND</t>
        </is>
      </c>
      <c r="G378" t="n">
        <v>2.3</v>
      </c>
      <c r="H378" t="n">
        <v>0</v>
      </c>
      <c r="I378" t="n">
        <v>0</v>
      </c>
      <c r="J378" t="n">
        <v>0</v>
      </c>
      <c r="K378" t="n">
        <v>0</v>
      </c>
      <c r="L378" t="n">
        <v>0</v>
      </c>
      <c r="M378" t="n">
        <v>0</v>
      </c>
      <c r="N378" t="n">
        <v>0</v>
      </c>
      <c r="O378" t="n">
        <v>0</v>
      </c>
      <c r="P378" t="n">
        <v>0</v>
      </c>
      <c r="Q378" t="n">
        <v>0</v>
      </c>
      <c r="R378" s="2" t="inlineStr"/>
    </row>
    <row r="379" ht="15" customHeight="1">
      <c r="A379" t="inlineStr">
        <is>
          <t>A 32378-2025</t>
        </is>
      </c>
      <c r="B379" s="1" t="n">
        <v>45837</v>
      </c>
      <c r="C379" s="1" t="n">
        <v>46001</v>
      </c>
      <c r="D379" t="inlineStr">
        <is>
          <t>GOTLANDS LÄN</t>
        </is>
      </c>
      <c r="E379" t="inlineStr">
        <is>
          <t>GOTLAND</t>
        </is>
      </c>
      <c r="G379" t="n">
        <v>4.1</v>
      </c>
      <c r="H379" t="n">
        <v>0</v>
      </c>
      <c r="I379" t="n">
        <v>0</v>
      </c>
      <c r="J379" t="n">
        <v>0</v>
      </c>
      <c r="K379" t="n">
        <v>0</v>
      </c>
      <c r="L379" t="n">
        <v>0</v>
      </c>
      <c r="M379" t="n">
        <v>0</v>
      </c>
      <c r="N379" t="n">
        <v>0</v>
      </c>
      <c r="O379" t="n">
        <v>0</v>
      </c>
      <c r="P379" t="n">
        <v>0</v>
      </c>
      <c r="Q379" t="n">
        <v>0</v>
      </c>
      <c r="R379" s="2" t="inlineStr"/>
    </row>
    <row r="380" ht="15" customHeight="1">
      <c r="A380" t="inlineStr">
        <is>
          <t>A 12596-2023</t>
        </is>
      </c>
      <c r="B380" s="1" t="n">
        <v>45000.43310185185</v>
      </c>
      <c r="C380" s="1" t="n">
        <v>46001</v>
      </c>
      <c r="D380" t="inlineStr">
        <is>
          <t>GOTLANDS LÄN</t>
        </is>
      </c>
      <c r="E380" t="inlineStr">
        <is>
          <t>GOTLAND</t>
        </is>
      </c>
      <c r="G380" t="n">
        <v>4.1</v>
      </c>
      <c r="H380" t="n">
        <v>0</v>
      </c>
      <c r="I380" t="n">
        <v>0</v>
      </c>
      <c r="J380" t="n">
        <v>0</v>
      </c>
      <c r="K380" t="n">
        <v>0</v>
      </c>
      <c r="L380" t="n">
        <v>0</v>
      </c>
      <c r="M380" t="n">
        <v>0</v>
      </c>
      <c r="N380" t="n">
        <v>0</v>
      </c>
      <c r="O380" t="n">
        <v>0</v>
      </c>
      <c r="P380" t="n">
        <v>0</v>
      </c>
      <c r="Q380" t="n">
        <v>0</v>
      </c>
      <c r="R380" s="2" t="inlineStr"/>
    </row>
    <row r="381" ht="15" customHeight="1">
      <c r="A381" t="inlineStr">
        <is>
          <t>A 2125-2025</t>
        </is>
      </c>
      <c r="B381" s="1" t="n">
        <v>45672.64940972222</v>
      </c>
      <c r="C381" s="1" t="n">
        <v>46001</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35550-2025</t>
        </is>
      </c>
      <c r="B382" s="1" t="n">
        <v>45856.49324074074</v>
      </c>
      <c r="C382" s="1" t="n">
        <v>46001</v>
      </c>
      <c r="D382" t="inlineStr">
        <is>
          <t>GOTLANDS LÄN</t>
        </is>
      </c>
      <c r="E382" t="inlineStr">
        <is>
          <t>GOTLAND</t>
        </is>
      </c>
      <c r="G382" t="n">
        <v>3.2</v>
      </c>
      <c r="H382" t="n">
        <v>0</v>
      </c>
      <c r="I382" t="n">
        <v>0</v>
      </c>
      <c r="J382" t="n">
        <v>0</v>
      </c>
      <c r="K382" t="n">
        <v>0</v>
      </c>
      <c r="L382" t="n">
        <v>0</v>
      </c>
      <c r="M382" t="n">
        <v>0</v>
      </c>
      <c r="N382" t="n">
        <v>0</v>
      </c>
      <c r="O382" t="n">
        <v>0</v>
      </c>
      <c r="P382" t="n">
        <v>0</v>
      </c>
      <c r="Q382" t="n">
        <v>0</v>
      </c>
      <c r="R382" s="2" t="inlineStr"/>
    </row>
    <row r="383" ht="15" customHeight="1">
      <c r="A383" t="inlineStr">
        <is>
          <t>A 12155-2023</t>
        </is>
      </c>
      <c r="B383" s="1" t="n">
        <v>44998.49106481481</v>
      </c>
      <c r="C383" s="1" t="n">
        <v>46001</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56688-2025</t>
        </is>
      </c>
      <c r="B384" s="1" t="n">
        <v>45975.84331018518</v>
      </c>
      <c r="C384" s="1" t="n">
        <v>46001</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457-2023</t>
        </is>
      </c>
      <c r="B385" s="1" t="n">
        <v>44929.87238425926</v>
      </c>
      <c r="C385" s="1" t="n">
        <v>46001</v>
      </c>
      <c r="D385" t="inlineStr">
        <is>
          <t>GOTLANDS LÄN</t>
        </is>
      </c>
      <c r="E385" t="inlineStr">
        <is>
          <t>GOTLAND</t>
        </is>
      </c>
      <c r="G385" t="n">
        <v>2.4</v>
      </c>
      <c r="H385" t="n">
        <v>0</v>
      </c>
      <c r="I385" t="n">
        <v>0</v>
      </c>
      <c r="J385" t="n">
        <v>0</v>
      </c>
      <c r="K385" t="n">
        <v>0</v>
      </c>
      <c r="L385" t="n">
        <v>0</v>
      </c>
      <c r="M385" t="n">
        <v>0</v>
      </c>
      <c r="N385" t="n">
        <v>0</v>
      </c>
      <c r="O385" t="n">
        <v>0</v>
      </c>
      <c r="P385" t="n">
        <v>0</v>
      </c>
      <c r="Q385" t="n">
        <v>0</v>
      </c>
      <c r="R385" s="2" t="inlineStr"/>
    </row>
    <row r="386" ht="15" customHeight="1">
      <c r="A386" t="inlineStr">
        <is>
          <t>A 459-2023</t>
        </is>
      </c>
      <c r="B386" s="1" t="n">
        <v>44929.87423611111</v>
      </c>
      <c r="C386" s="1" t="n">
        <v>46001</v>
      </c>
      <c r="D386" t="inlineStr">
        <is>
          <t>GOTLANDS LÄN</t>
        </is>
      </c>
      <c r="E386" t="inlineStr">
        <is>
          <t>GOTLAND</t>
        </is>
      </c>
      <c r="G386" t="n">
        <v>4.2</v>
      </c>
      <c r="H386" t="n">
        <v>0</v>
      </c>
      <c r="I386" t="n">
        <v>0</v>
      </c>
      <c r="J386" t="n">
        <v>0</v>
      </c>
      <c r="K386" t="n">
        <v>0</v>
      </c>
      <c r="L386" t="n">
        <v>0</v>
      </c>
      <c r="M386" t="n">
        <v>0</v>
      </c>
      <c r="N386" t="n">
        <v>0</v>
      </c>
      <c r="O386" t="n">
        <v>0</v>
      </c>
      <c r="P386" t="n">
        <v>0</v>
      </c>
      <c r="Q386" t="n">
        <v>0</v>
      </c>
      <c r="R386" s="2" t="inlineStr"/>
    </row>
    <row r="387" ht="15" customHeight="1">
      <c r="A387" t="inlineStr">
        <is>
          <t>A 38234-2023</t>
        </is>
      </c>
      <c r="B387" s="1" t="n">
        <v>45161.56663194444</v>
      </c>
      <c r="C387" s="1" t="n">
        <v>46001</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50744-2024</t>
        </is>
      </c>
      <c r="B388" s="1" t="n">
        <v>45602.4187037037</v>
      </c>
      <c r="C388" s="1" t="n">
        <v>46001</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47578-2025</t>
        </is>
      </c>
      <c r="B389" s="1" t="n">
        <v>45931</v>
      </c>
      <c r="C389" s="1" t="n">
        <v>46001</v>
      </c>
      <c r="D389" t="inlineStr">
        <is>
          <t>GOTLANDS LÄN</t>
        </is>
      </c>
      <c r="E389" t="inlineStr">
        <is>
          <t>GOTLAND</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53934-2024</t>
        </is>
      </c>
      <c r="B390" s="1" t="n">
        <v>45615</v>
      </c>
      <c r="C390" s="1" t="n">
        <v>46001</v>
      </c>
      <c r="D390" t="inlineStr">
        <is>
          <t>GOTLANDS LÄN</t>
        </is>
      </c>
      <c r="E390" t="inlineStr">
        <is>
          <t>GOTLAND</t>
        </is>
      </c>
      <c r="G390" t="n">
        <v>5</v>
      </c>
      <c r="H390" t="n">
        <v>0</v>
      </c>
      <c r="I390" t="n">
        <v>0</v>
      </c>
      <c r="J390" t="n">
        <v>0</v>
      </c>
      <c r="K390" t="n">
        <v>0</v>
      </c>
      <c r="L390" t="n">
        <v>0</v>
      </c>
      <c r="M390" t="n">
        <v>0</v>
      </c>
      <c r="N390" t="n">
        <v>0</v>
      </c>
      <c r="O390" t="n">
        <v>0</v>
      </c>
      <c r="P390" t="n">
        <v>0</v>
      </c>
      <c r="Q390" t="n">
        <v>0</v>
      </c>
      <c r="R390" s="2" t="inlineStr"/>
    </row>
    <row r="391" ht="15" customHeight="1">
      <c r="A391" t="inlineStr">
        <is>
          <t>A 6108-2025</t>
        </is>
      </c>
      <c r="B391" s="1" t="n">
        <v>45698.29880787037</v>
      </c>
      <c r="C391" s="1" t="n">
        <v>46001</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21142-2025</t>
        </is>
      </c>
      <c r="B392" s="1" t="n">
        <v>45779</v>
      </c>
      <c r="C392" s="1" t="n">
        <v>46001</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17343-2025</t>
        </is>
      </c>
      <c r="B393" s="1" t="n">
        <v>45756.6687037037</v>
      </c>
      <c r="C393" s="1" t="n">
        <v>46001</v>
      </c>
      <c r="D393" t="inlineStr">
        <is>
          <t>GOTLANDS LÄN</t>
        </is>
      </c>
      <c r="E393" t="inlineStr">
        <is>
          <t>GOTLAND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18938-2025</t>
        </is>
      </c>
      <c r="B394" s="1" t="n">
        <v>45764.49172453704</v>
      </c>
      <c r="C394" s="1" t="n">
        <v>46001</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49724-2025</t>
        </is>
      </c>
      <c r="B395" s="1" t="n">
        <v>45939.83730324074</v>
      </c>
      <c r="C395" s="1" t="n">
        <v>46001</v>
      </c>
      <c r="D395" t="inlineStr">
        <is>
          <t>GOTLANDS LÄN</t>
        </is>
      </c>
      <c r="E395" t="inlineStr">
        <is>
          <t>GOTLAND</t>
        </is>
      </c>
      <c r="F395" t="inlineStr">
        <is>
          <t>Kyrkan</t>
        </is>
      </c>
      <c r="G395" t="n">
        <v>3.1</v>
      </c>
      <c r="H395" t="n">
        <v>0</v>
      </c>
      <c r="I395" t="n">
        <v>0</v>
      </c>
      <c r="J395" t="n">
        <v>0</v>
      </c>
      <c r="K395" t="n">
        <v>0</v>
      </c>
      <c r="L395" t="n">
        <v>0</v>
      </c>
      <c r="M395" t="n">
        <v>0</v>
      </c>
      <c r="N395" t="n">
        <v>0</v>
      </c>
      <c r="O395" t="n">
        <v>0</v>
      </c>
      <c r="P395" t="n">
        <v>0</v>
      </c>
      <c r="Q395" t="n">
        <v>0</v>
      </c>
      <c r="R395" s="2" t="inlineStr"/>
    </row>
    <row r="396" ht="15" customHeight="1">
      <c r="A396" t="inlineStr">
        <is>
          <t>A 49730-2025</t>
        </is>
      </c>
      <c r="B396" s="1" t="n">
        <v>45939.87613425926</v>
      </c>
      <c r="C396" s="1" t="n">
        <v>46001</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30489-2025</t>
        </is>
      </c>
      <c r="B397" s="1" t="n">
        <v>45830</v>
      </c>
      <c r="C397" s="1" t="n">
        <v>46001</v>
      </c>
      <c r="D397" t="inlineStr">
        <is>
          <t>GOTLANDS LÄN</t>
        </is>
      </c>
      <c r="E397" t="inlineStr">
        <is>
          <t>GOTLAND</t>
        </is>
      </c>
      <c r="G397" t="n">
        <v>4.6</v>
      </c>
      <c r="H397" t="n">
        <v>0</v>
      </c>
      <c r="I397" t="n">
        <v>0</v>
      </c>
      <c r="J397" t="n">
        <v>0</v>
      </c>
      <c r="K397" t="n">
        <v>0</v>
      </c>
      <c r="L397" t="n">
        <v>0</v>
      </c>
      <c r="M397" t="n">
        <v>0</v>
      </c>
      <c r="N397" t="n">
        <v>0</v>
      </c>
      <c r="O397" t="n">
        <v>0</v>
      </c>
      <c r="P397" t="n">
        <v>0</v>
      </c>
      <c r="Q397" t="n">
        <v>0</v>
      </c>
      <c r="R397" s="2" t="inlineStr"/>
    </row>
    <row r="398" ht="15" customHeight="1">
      <c r="A398" t="inlineStr">
        <is>
          <t>A 20307-2025</t>
        </is>
      </c>
      <c r="B398" s="1" t="n">
        <v>45774.95546296296</v>
      </c>
      <c r="C398" s="1" t="n">
        <v>46001</v>
      </c>
      <c r="D398" t="inlineStr">
        <is>
          <t>GOTLANDS LÄN</t>
        </is>
      </c>
      <c r="E398" t="inlineStr">
        <is>
          <t>GOTLAND</t>
        </is>
      </c>
      <c r="G398" t="n">
        <v>6.8</v>
      </c>
      <c r="H398" t="n">
        <v>0</v>
      </c>
      <c r="I398" t="n">
        <v>0</v>
      </c>
      <c r="J398" t="n">
        <v>0</v>
      </c>
      <c r="K398" t="n">
        <v>0</v>
      </c>
      <c r="L398" t="n">
        <v>0</v>
      </c>
      <c r="M398" t="n">
        <v>0</v>
      </c>
      <c r="N398" t="n">
        <v>0</v>
      </c>
      <c r="O398" t="n">
        <v>0</v>
      </c>
      <c r="P398" t="n">
        <v>0</v>
      </c>
      <c r="Q398" t="n">
        <v>0</v>
      </c>
      <c r="R398" s="2" t="inlineStr"/>
    </row>
    <row r="399" ht="15" customHeight="1">
      <c r="A399" t="inlineStr">
        <is>
          <t>A 1446-2025</t>
        </is>
      </c>
      <c r="B399" s="1" t="n">
        <v>45669.86035879629</v>
      </c>
      <c r="C399" s="1" t="n">
        <v>46001</v>
      </c>
      <c r="D399" t="inlineStr">
        <is>
          <t>GOTLANDS LÄN</t>
        </is>
      </c>
      <c r="E399" t="inlineStr">
        <is>
          <t>GOTLAND</t>
        </is>
      </c>
      <c r="G399" t="n">
        <v>3.1</v>
      </c>
      <c r="H399" t="n">
        <v>0</v>
      </c>
      <c r="I399" t="n">
        <v>0</v>
      </c>
      <c r="J399" t="n">
        <v>0</v>
      </c>
      <c r="K399" t="n">
        <v>0</v>
      </c>
      <c r="L399" t="n">
        <v>0</v>
      </c>
      <c r="M399" t="n">
        <v>0</v>
      </c>
      <c r="N399" t="n">
        <v>0</v>
      </c>
      <c r="O399" t="n">
        <v>0</v>
      </c>
      <c r="P399" t="n">
        <v>0</v>
      </c>
      <c r="Q399" t="n">
        <v>0</v>
      </c>
      <c r="R399" s="2" t="inlineStr"/>
    </row>
    <row r="400" ht="15" customHeight="1">
      <c r="A400" t="inlineStr">
        <is>
          <t>A 49690-2025</t>
        </is>
      </c>
      <c r="B400" s="1" t="n">
        <v>45939.66730324074</v>
      </c>
      <c r="C400" s="1" t="n">
        <v>46001</v>
      </c>
      <c r="D400" t="inlineStr">
        <is>
          <t>GOTLANDS LÄN</t>
        </is>
      </c>
      <c r="E400" t="inlineStr">
        <is>
          <t>GOTLAND</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33011-2025</t>
        </is>
      </c>
      <c r="B401" s="1" t="n">
        <v>45840</v>
      </c>
      <c r="C401" s="1" t="n">
        <v>46001</v>
      </c>
      <c r="D401" t="inlineStr">
        <is>
          <t>GOTLANDS LÄN</t>
        </is>
      </c>
      <c r="E401" t="inlineStr">
        <is>
          <t>GOTLAND</t>
        </is>
      </c>
      <c r="G401" t="n">
        <v>1.7</v>
      </c>
      <c r="H401" t="n">
        <v>0</v>
      </c>
      <c r="I401" t="n">
        <v>0</v>
      </c>
      <c r="J401" t="n">
        <v>0</v>
      </c>
      <c r="K401" t="n">
        <v>0</v>
      </c>
      <c r="L401" t="n">
        <v>0</v>
      </c>
      <c r="M401" t="n">
        <v>0</v>
      </c>
      <c r="N401" t="n">
        <v>0</v>
      </c>
      <c r="O401" t="n">
        <v>0</v>
      </c>
      <c r="P401" t="n">
        <v>0</v>
      </c>
      <c r="Q401" t="n">
        <v>0</v>
      </c>
      <c r="R401" s="2" t="inlineStr"/>
    </row>
    <row r="402" ht="15" customHeight="1">
      <c r="A402" t="inlineStr">
        <is>
          <t>A 31264-2021</t>
        </is>
      </c>
      <c r="B402" s="1" t="n">
        <v>44368</v>
      </c>
      <c r="C402" s="1" t="n">
        <v>46001</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2292-2021</t>
        </is>
      </c>
      <c r="B403" s="1" t="n">
        <v>44212</v>
      </c>
      <c r="C403" s="1" t="n">
        <v>46001</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43901-2023</t>
        </is>
      </c>
      <c r="B404" s="1" t="n">
        <v>45187</v>
      </c>
      <c r="C404" s="1" t="n">
        <v>46001</v>
      </c>
      <c r="D404" t="inlineStr">
        <is>
          <t>GOTLANDS LÄN</t>
        </is>
      </c>
      <c r="E404" t="inlineStr">
        <is>
          <t>GOTLAND</t>
        </is>
      </c>
      <c r="G404" t="n">
        <v>5.4</v>
      </c>
      <c r="H404" t="n">
        <v>0</v>
      </c>
      <c r="I404" t="n">
        <v>0</v>
      </c>
      <c r="J404" t="n">
        <v>0</v>
      </c>
      <c r="K404" t="n">
        <v>0</v>
      </c>
      <c r="L404" t="n">
        <v>0</v>
      </c>
      <c r="M404" t="n">
        <v>0</v>
      </c>
      <c r="N404" t="n">
        <v>0</v>
      </c>
      <c r="O404" t="n">
        <v>0</v>
      </c>
      <c r="P404" t="n">
        <v>0</v>
      </c>
      <c r="Q404" t="n">
        <v>0</v>
      </c>
      <c r="R404" s="2" t="inlineStr"/>
    </row>
    <row r="405" ht="15" customHeight="1">
      <c r="A405" t="inlineStr">
        <is>
          <t>A 50421-2025</t>
        </is>
      </c>
      <c r="B405" s="1" t="n">
        <v>45944.66049768519</v>
      </c>
      <c r="C405" s="1" t="n">
        <v>46001</v>
      </c>
      <c r="D405" t="inlineStr">
        <is>
          <t>GOTLANDS LÄN</t>
        </is>
      </c>
      <c r="E405" t="inlineStr">
        <is>
          <t>GOTLAND</t>
        </is>
      </c>
      <c r="G405" t="n">
        <v>3.9</v>
      </c>
      <c r="H405" t="n">
        <v>0</v>
      </c>
      <c r="I405" t="n">
        <v>0</v>
      </c>
      <c r="J405" t="n">
        <v>0</v>
      </c>
      <c r="K405" t="n">
        <v>0</v>
      </c>
      <c r="L405" t="n">
        <v>0</v>
      </c>
      <c r="M405" t="n">
        <v>0</v>
      </c>
      <c r="N405" t="n">
        <v>0</v>
      </c>
      <c r="O405" t="n">
        <v>0</v>
      </c>
      <c r="P405" t="n">
        <v>0</v>
      </c>
      <c r="Q405" t="n">
        <v>0</v>
      </c>
      <c r="R405" s="2" t="inlineStr"/>
    </row>
    <row r="406" ht="15" customHeight="1">
      <c r="A406" t="inlineStr">
        <is>
          <t>A 10746-2025</t>
        </is>
      </c>
      <c r="B406" s="1" t="n">
        <v>45722.42766203704</v>
      </c>
      <c r="C406" s="1" t="n">
        <v>46001</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16501-2023</t>
        </is>
      </c>
      <c r="B407" s="1" t="n">
        <v>45029</v>
      </c>
      <c r="C407" s="1" t="n">
        <v>46001</v>
      </c>
      <c r="D407" t="inlineStr">
        <is>
          <t>GOTLANDS LÄN</t>
        </is>
      </c>
      <c r="E407" t="inlineStr">
        <is>
          <t>GOTLAND</t>
        </is>
      </c>
      <c r="G407" t="n">
        <v>3.1</v>
      </c>
      <c r="H407" t="n">
        <v>0</v>
      </c>
      <c r="I407" t="n">
        <v>0</v>
      </c>
      <c r="J407" t="n">
        <v>0</v>
      </c>
      <c r="K407" t="n">
        <v>0</v>
      </c>
      <c r="L407" t="n">
        <v>0</v>
      </c>
      <c r="M407" t="n">
        <v>0</v>
      </c>
      <c r="N407" t="n">
        <v>0</v>
      </c>
      <c r="O407" t="n">
        <v>0</v>
      </c>
      <c r="P407" t="n">
        <v>0</v>
      </c>
      <c r="Q407" t="n">
        <v>0</v>
      </c>
      <c r="R407" s="2" t="inlineStr"/>
    </row>
    <row r="408" ht="15" customHeight="1">
      <c r="A408" t="inlineStr">
        <is>
          <t>A 50431-2025</t>
        </is>
      </c>
      <c r="B408" s="1" t="n">
        <v>45944.68453703704</v>
      </c>
      <c r="C408" s="1" t="n">
        <v>46001</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27930-2021</t>
        </is>
      </c>
      <c r="B409" s="1" t="n">
        <v>44354</v>
      </c>
      <c r="C409" s="1" t="n">
        <v>46001</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50928-2025</t>
        </is>
      </c>
      <c r="B410" s="1" t="n">
        <v>45946.67896990741</v>
      </c>
      <c r="C410" s="1" t="n">
        <v>46001</v>
      </c>
      <c r="D410" t="inlineStr">
        <is>
          <t>GOTLANDS LÄN</t>
        </is>
      </c>
      <c r="E410" t="inlineStr">
        <is>
          <t>GOTLAND</t>
        </is>
      </c>
      <c r="G410" t="n">
        <v>1.3</v>
      </c>
      <c r="H410" t="n">
        <v>0</v>
      </c>
      <c r="I410" t="n">
        <v>0</v>
      </c>
      <c r="J410" t="n">
        <v>0</v>
      </c>
      <c r="K410" t="n">
        <v>0</v>
      </c>
      <c r="L410" t="n">
        <v>0</v>
      </c>
      <c r="M410" t="n">
        <v>0</v>
      </c>
      <c r="N410" t="n">
        <v>0</v>
      </c>
      <c r="O410" t="n">
        <v>0</v>
      </c>
      <c r="P410" t="n">
        <v>0</v>
      </c>
      <c r="Q410" t="n">
        <v>0</v>
      </c>
      <c r="R410" s="2" t="inlineStr"/>
    </row>
    <row r="411" ht="15" customHeight="1">
      <c r="A411" t="inlineStr">
        <is>
          <t>A 61962-2024</t>
        </is>
      </c>
      <c r="B411" s="1" t="n">
        <v>45653.54340277778</v>
      </c>
      <c r="C411" s="1" t="n">
        <v>46001</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10492-2023</t>
        </is>
      </c>
      <c r="B412" s="1" t="n">
        <v>44987</v>
      </c>
      <c r="C412" s="1" t="n">
        <v>46001</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5909-2025</t>
        </is>
      </c>
      <c r="B413" s="1" t="n">
        <v>45695.40634259259</v>
      </c>
      <c r="C413" s="1" t="n">
        <v>46001</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10653-2023</t>
        </is>
      </c>
      <c r="B414" s="1" t="n">
        <v>44988.48859953704</v>
      </c>
      <c r="C414" s="1" t="n">
        <v>46001</v>
      </c>
      <c r="D414" t="inlineStr">
        <is>
          <t>GOTLANDS LÄN</t>
        </is>
      </c>
      <c r="E414" t="inlineStr">
        <is>
          <t>GOTLAND</t>
        </is>
      </c>
      <c r="F414" t="inlineStr">
        <is>
          <t>Kyrkan</t>
        </is>
      </c>
      <c r="G414" t="n">
        <v>3</v>
      </c>
      <c r="H414" t="n">
        <v>0</v>
      </c>
      <c r="I414" t="n">
        <v>0</v>
      </c>
      <c r="J414" t="n">
        <v>0</v>
      </c>
      <c r="K414" t="n">
        <v>0</v>
      </c>
      <c r="L414" t="n">
        <v>0</v>
      </c>
      <c r="M414" t="n">
        <v>0</v>
      </c>
      <c r="N414" t="n">
        <v>0</v>
      </c>
      <c r="O414" t="n">
        <v>0</v>
      </c>
      <c r="P414" t="n">
        <v>0</v>
      </c>
      <c r="Q414" t="n">
        <v>0</v>
      </c>
      <c r="R414" s="2" t="inlineStr"/>
    </row>
    <row r="415" ht="15" customHeight="1">
      <c r="A415" t="inlineStr">
        <is>
          <t>A 59197-2025</t>
        </is>
      </c>
      <c r="B415" s="1" t="n">
        <v>45988.59846064815</v>
      </c>
      <c r="C415" s="1" t="n">
        <v>46001</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4990-2025</t>
        </is>
      </c>
      <c r="B416" s="1" t="n">
        <v>45691</v>
      </c>
      <c r="C416" s="1" t="n">
        <v>46001</v>
      </c>
      <c r="D416" t="inlineStr">
        <is>
          <t>GOTLANDS LÄN</t>
        </is>
      </c>
      <c r="E416" t="inlineStr">
        <is>
          <t>GOTLAND</t>
        </is>
      </c>
      <c r="G416" t="n">
        <v>7.7</v>
      </c>
      <c r="H416" t="n">
        <v>0</v>
      </c>
      <c r="I416" t="n">
        <v>0</v>
      </c>
      <c r="J416" t="n">
        <v>0</v>
      </c>
      <c r="K416" t="n">
        <v>0</v>
      </c>
      <c r="L416" t="n">
        <v>0</v>
      </c>
      <c r="M416" t="n">
        <v>0</v>
      </c>
      <c r="N416" t="n">
        <v>0</v>
      </c>
      <c r="O416" t="n">
        <v>0</v>
      </c>
      <c r="P416" t="n">
        <v>0</v>
      </c>
      <c r="Q416" t="n">
        <v>0</v>
      </c>
      <c r="R416" s="2" t="inlineStr"/>
    </row>
    <row r="417" ht="15" customHeight="1">
      <c r="A417" t="inlineStr">
        <is>
          <t>A 53569-2025</t>
        </is>
      </c>
      <c r="B417" s="1" t="n">
        <v>45960.41155092593</v>
      </c>
      <c r="C417" s="1" t="n">
        <v>46001</v>
      </c>
      <c r="D417" t="inlineStr">
        <is>
          <t>GOTLANDS LÄN</t>
        </is>
      </c>
      <c r="E417" t="inlineStr">
        <is>
          <t>GOTLAND</t>
        </is>
      </c>
      <c r="F417" t="inlineStr">
        <is>
          <t>Övriga Aktiebolag</t>
        </is>
      </c>
      <c r="G417" t="n">
        <v>11.3</v>
      </c>
      <c r="H417" t="n">
        <v>0</v>
      </c>
      <c r="I417" t="n">
        <v>0</v>
      </c>
      <c r="J417" t="n">
        <v>0</v>
      </c>
      <c r="K417" t="n">
        <v>0</v>
      </c>
      <c r="L417" t="n">
        <v>0</v>
      </c>
      <c r="M417" t="n">
        <v>0</v>
      </c>
      <c r="N417" t="n">
        <v>0</v>
      </c>
      <c r="O417" t="n">
        <v>0</v>
      </c>
      <c r="P417" t="n">
        <v>0</v>
      </c>
      <c r="Q417" t="n">
        <v>0</v>
      </c>
      <c r="R417" s="2" t="inlineStr"/>
    </row>
    <row r="418" ht="15" customHeight="1">
      <c r="A418" t="inlineStr">
        <is>
          <t>A 53577-2025</t>
        </is>
      </c>
      <c r="B418" s="1" t="n">
        <v>45960.42224537037</v>
      </c>
      <c r="C418" s="1" t="n">
        <v>46001</v>
      </c>
      <c r="D418" t="inlineStr">
        <is>
          <t>GOTLANDS LÄN</t>
        </is>
      </c>
      <c r="E418" t="inlineStr">
        <is>
          <t>GOTLAND</t>
        </is>
      </c>
      <c r="F418" t="inlineStr">
        <is>
          <t>Övriga Aktiebolag</t>
        </is>
      </c>
      <c r="G418" t="n">
        <v>3.3</v>
      </c>
      <c r="H418" t="n">
        <v>0</v>
      </c>
      <c r="I418" t="n">
        <v>0</v>
      </c>
      <c r="J418" t="n">
        <v>0</v>
      </c>
      <c r="K418" t="n">
        <v>0</v>
      </c>
      <c r="L418" t="n">
        <v>0</v>
      </c>
      <c r="M418" t="n">
        <v>0</v>
      </c>
      <c r="N418" t="n">
        <v>0</v>
      </c>
      <c r="O418" t="n">
        <v>0</v>
      </c>
      <c r="P418" t="n">
        <v>0</v>
      </c>
      <c r="Q418" t="n">
        <v>0</v>
      </c>
      <c r="R418" s="2" t="inlineStr"/>
    </row>
    <row r="419" ht="15" customHeight="1">
      <c r="A419" t="inlineStr">
        <is>
          <t>A 43081-2022</t>
        </is>
      </c>
      <c r="B419" s="1" t="n">
        <v>44833</v>
      </c>
      <c r="C419" s="1" t="n">
        <v>46001</v>
      </c>
      <c r="D419" t="inlineStr">
        <is>
          <t>GOTLANDS LÄN</t>
        </is>
      </c>
      <c r="E419" t="inlineStr">
        <is>
          <t>GOTLAND</t>
        </is>
      </c>
      <c r="G419" t="n">
        <v>6.8</v>
      </c>
      <c r="H419" t="n">
        <v>0</v>
      </c>
      <c r="I419" t="n">
        <v>0</v>
      </c>
      <c r="J419" t="n">
        <v>0</v>
      </c>
      <c r="K419" t="n">
        <v>0</v>
      </c>
      <c r="L419" t="n">
        <v>0</v>
      </c>
      <c r="M419" t="n">
        <v>0</v>
      </c>
      <c r="N419" t="n">
        <v>0</v>
      </c>
      <c r="O419" t="n">
        <v>0</v>
      </c>
      <c r="P419" t="n">
        <v>0</v>
      </c>
      <c r="Q419" t="n">
        <v>0</v>
      </c>
      <c r="R419" s="2" t="inlineStr"/>
    </row>
    <row r="420" ht="15" customHeight="1">
      <c r="A420" t="inlineStr">
        <is>
          <t>A 32958-2021</t>
        </is>
      </c>
      <c r="B420" s="1" t="n">
        <v>44376</v>
      </c>
      <c r="C420" s="1" t="n">
        <v>46001</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5884-2025</t>
        </is>
      </c>
      <c r="B421" s="1" t="n">
        <v>45695.37482638889</v>
      </c>
      <c r="C421" s="1" t="n">
        <v>46001</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5897-2025</t>
        </is>
      </c>
      <c r="B422" s="1" t="n">
        <v>45695.39273148148</v>
      </c>
      <c r="C422" s="1" t="n">
        <v>46001</v>
      </c>
      <c r="D422" t="inlineStr">
        <is>
          <t>GOTLANDS LÄN</t>
        </is>
      </c>
      <c r="E422" t="inlineStr">
        <is>
          <t>GOTLAND</t>
        </is>
      </c>
      <c r="G422" t="n">
        <v>3.7</v>
      </c>
      <c r="H422" t="n">
        <v>0</v>
      </c>
      <c r="I422" t="n">
        <v>0</v>
      </c>
      <c r="J422" t="n">
        <v>0</v>
      </c>
      <c r="K422" t="n">
        <v>0</v>
      </c>
      <c r="L422" t="n">
        <v>0</v>
      </c>
      <c r="M422" t="n">
        <v>0</v>
      </c>
      <c r="N422" t="n">
        <v>0</v>
      </c>
      <c r="O422" t="n">
        <v>0</v>
      </c>
      <c r="P422" t="n">
        <v>0</v>
      </c>
      <c r="Q422" t="n">
        <v>0</v>
      </c>
      <c r="R422" s="2" t="inlineStr"/>
    </row>
    <row r="423" ht="15" customHeight="1">
      <c r="A423" t="inlineStr">
        <is>
          <t>A 49693-2023</t>
        </is>
      </c>
      <c r="B423" s="1" t="n">
        <v>45212.38138888889</v>
      </c>
      <c r="C423" s="1" t="n">
        <v>46001</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49697-2023</t>
        </is>
      </c>
      <c r="B424" s="1" t="n">
        <v>45212.38909722222</v>
      </c>
      <c r="C424" s="1" t="n">
        <v>46001</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51262-2025</t>
        </is>
      </c>
      <c r="B425" s="1" t="n">
        <v>45949.49872685185</v>
      </c>
      <c r="C425" s="1" t="n">
        <v>46001</v>
      </c>
      <c r="D425" t="inlineStr">
        <is>
          <t>GOTLANDS LÄN</t>
        </is>
      </c>
      <c r="E425" t="inlineStr">
        <is>
          <t>GOTLAND</t>
        </is>
      </c>
      <c r="G425" t="n">
        <v>1.6</v>
      </c>
      <c r="H425" t="n">
        <v>0</v>
      </c>
      <c r="I425" t="n">
        <v>0</v>
      </c>
      <c r="J425" t="n">
        <v>0</v>
      </c>
      <c r="K425" t="n">
        <v>0</v>
      </c>
      <c r="L425" t="n">
        <v>0</v>
      </c>
      <c r="M425" t="n">
        <v>0</v>
      </c>
      <c r="N425" t="n">
        <v>0</v>
      </c>
      <c r="O425" t="n">
        <v>0</v>
      </c>
      <c r="P425" t="n">
        <v>0</v>
      </c>
      <c r="Q425" t="n">
        <v>0</v>
      </c>
      <c r="R425" s="2" t="inlineStr"/>
    </row>
    <row r="426" ht="15" customHeight="1">
      <c r="A426" t="inlineStr">
        <is>
          <t>A 17901-2023</t>
        </is>
      </c>
      <c r="B426" s="1" t="n">
        <v>45039</v>
      </c>
      <c r="C426" s="1" t="n">
        <v>46001</v>
      </c>
      <c r="D426" t="inlineStr">
        <is>
          <t>GOTLANDS LÄN</t>
        </is>
      </c>
      <c r="E426" t="inlineStr">
        <is>
          <t>GOTLAND</t>
        </is>
      </c>
      <c r="F426" t="inlineStr">
        <is>
          <t>Kyrkan</t>
        </is>
      </c>
      <c r="G426" t="n">
        <v>0.6</v>
      </c>
      <c r="H426" t="n">
        <v>0</v>
      </c>
      <c r="I426" t="n">
        <v>0</v>
      </c>
      <c r="J426" t="n">
        <v>0</v>
      </c>
      <c r="K426" t="n">
        <v>0</v>
      </c>
      <c r="L426" t="n">
        <v>0</v>
      </c>
      <c r="M426" t="n">
        <v>0</v>
      </c>
      <c r="N426" t="n">
        <v>0</v>
      </c>
      <c r="O426" t="n">
        <v>0</v>
      </c>
      <c r="P426" t="n">
        <v>0</v>
      </c>
      <c r="Q426" t="n">
        <v>0</v>
      </c>
      <c r="R426" s="2" t="inlineStr"/>
    </row>
    <row r="427" ht="15" customHeight="1">
      <c r="A427" t="inlineStr">
        <is>
          <t>A 52892-2021</t>
        </is>
      </c>
      <c r="B427" s="1" t="n">
        <v>44467.49048611111</v>
      </c>
      <c r="C427" s="1" t="n">
        <v>46001</v>
      </c>
      <c r="D427" t="inlineStr">
        <is>
          <t>GOTLANDS LÄN</t>
        </is>
      </c>
      <c r="E427" t="inlineStr">
        <is>
          <t>GOTLAND</t>
        </is>
      </c>
      <c r="G427" t="n">
        <v>2</v>
      </c>
      <c r="H427" t="n">
        <v>0</v>
      </c>
      <c r="I427" t="n">
        <v>0</v>
      </c>
      <c r="J427" t="n">
        <v>0</v>
      </c>
      <c r="K427" t="n">
        <v>0</v>
      </c>
      <c r="L427" t="n">
        <v>0</v>
      </c>
      <c r="M427" t="n">
        <v>0</v>
      </c>
      <c r="N427" t="n">
        <v>0</v>
      </c>
      <c r="O427" t="n">
        <v>0</v>
      </c>
      <c r="P427" t="n">
        <v>0</v>
      </c>
      <c r="Q427" t="n">
        <v>0</v>
      </c>
      <c r="R427" s="2" t="inlineStr"/>
    </row>
    <row r="428" ht="15" customHeight="1">
      <c r="A428" t="inlineStr">
        <is>
          <t>A 46396-2023</t>
        </is>
      </c>
      <c r="B428" s="1" t="n">
        <v>45197</v>
      </c>
      <c r="C428" s="1" t="n">
        <v>46001</v>
      </c>
      <c r="D428" t="inlineStr">
        <is>
          <t>GOTLANDS LÄN</t>
        </is>
      </c>
      <c r="E428" t="inlineStr">
        <is>
          <t>GOTLAND</t>
        </is>
      </c>
      <c r="G428" t="n">
        <v>1.4</v>
      </c>
      <c r="H428" t="n">
        <v>0</v>
      </c>
      <c r="I428" t="n">
        <v>0</v>
      </c>
      <c r="J428" t="n">
        <v>0</v>
      </c>
      <c r="K428" t="n">
        <v>0</v>
      </c>
      <c r="L428" t="n">
        <v>0</v>
      </c>
      <c r="M428" t="n">
        <v>0</v>
      </c>
      <c r="N428" t="n">
        <v>0</v>
      </c>
      <c r="O428" t="n">
        <v>0</v>
      </c>
      <c r="P428" t="n">
        <v>0</v>
      </c>
      <c r="Q428" t="n">
        <v>0</v>
      </c>
      <c r="R428" s="2" t="inlineStr"/>
    </row>
    <row r="429" ht="15" customHeight="1">
      <c r="A429" t="inlineStr">
        <is>
          <t>A 17724-2024</t>
        </is>
      </c>
      <c r="B429" s="1" t="n">
        <v>45418.55096064815</v>
      </c>
      <c r="C429" s="1" t="n">
        <v>46001</v>
      </c>
      <c r="D429" t="inlineStr">
        <is>
          <t>GOTLANDS LÄN</t>
        </is>
      </c>
      <c r="E429" t="inlineStr">
        <is>
          <t>GOTLAND</t>
        </is>
      </c>
      <c r="G429" t="n">
        <v>2</v>
      </c>
      <c r="H429" t="n">
        <v>0</v>
      </c>
      <c r="I429" t="n">
        <v>0</v>
      </c>
      <c r="J429" t="n">
        <v>0</v>
      </c>
      <c r="K429" t="n">
        <v>0</v>
      </c>
      <c r="L429" t="n">
        <v>0</v>
      </c>
      <c r="M429" t="n">
        <v>0</v>
      </c>
      <c r="N429" t="n">
        <v>0</v>
      </c>
      <c r="O429" t="n">
        <v>0</v>
      </c>
      <c r="P429" t="n">
        <v>0</v>
      </c>
      <c r="Q429" t="n">
        <v>0</v>
      </c>
      <c r="R429" s="2" t="inlineStr"/>
    </row>
    <row r="430" ht="15" customHeight="1">
      <c r="A430" t="inlineStr">
        <is>
          <t>A 34312-2024</t>
        </is>
      </c>
      <c r="B430" s="1" t="n">
        <v>45524.69703703704</v>
      </c>
      <c r="C430" s="1" t="n">
        <v>46001</v>
      </c>
      <c r="D430" t="inlineStr">
        <is>
          <t>GOTLANDS LÄN</t>
        </is>
      </c>
      <c r="E430" t="inlineStr">
        <is>
          <t>GOTLAND</t>
        </is>
      </c>
      <c r="G430" t="n">
        <v>2</v>
      </c>
      <c r="H430" t="n">
        <v>0</v>
      </c>
      <c r="I430" t="n">
        <v>0</v>
      </c>
      <c r="J430" t="n">
        <v>0</v>
      </c>
      <c r="K430" t="n">
        <v>0</v>
      </c>
      <c r="L430" t="n">
        <v>0</v>
      </c>
      <c r="M430" t="n">
        <v>0</v>
      </c>
      <c r="N430" t="n">
        <v>0</v>
      </c>
      <c r="O430" t="n">
        <v>0</v>
      </c>
      <c r="P430" t="n">
        <v>0</v>
      </c>
      <c r="Q430" t="n">
        <v>0</v>
      </c>
      <c r="R430" s="2" t="inlineStr"/>
    </row>
    <row r="431" ht="15" customHeight="1">
      <c r="A431" t="inlineStr">
        <is>
          <t>A 52249-2025</t>
        </is>
      </c>
      <c r="B431" s="1" t="n">
        <v>45953.48637731482</v>
      </c>
      <c r="C431" s="1" t="n">
        <v>46001</v>
      </c>
      <c r="D431" t="inlineStr">
        <is>
          <t>GOTLANDS LÄN</t>
        </is>
      </c>
      <c r="E431" t="inlineStr">
        <is>
          <t>GOTLAND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60384-2025</t>
        </is>
      </c>
      <c r="B432" s="1" t="n">
        <v>45995.37947916667</v>
      </c>
      <c r="C432" s="1" t="n">
        <v>46001</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69112-2021</t>
        </is>
      </c>
      <c r="B433" s="1" t="n">
        <v>44530</v>
      </c>
      <c r="C433" s="1" t="n">
        <v>46001</v>
      </c>
      <c r="D433" t="inlineStr">
        <is>
          <t>GOTLANDS LÄN</t>
        </is>
      </c>
      <c r="E433" t="inlineStr">
        <is>
          <t>GOTLAND</t>
        </is>
      </c>
      <c r="G433" t="n">
        <v>4.2</v>
      </c>
      <c r="H433" t="n">
        <v>0</v>
      </c>
      <c r="I433" t="n">
        <v>0</v>
      </c>
      <c r="J433" t="n">
        <v>0</v>
      </c>
      <c r="K433" t="n">
        <v>0</v>
      </c>
      <c r="L433" t="n">
        <v>0</v>
      </c>
      <c r="M433" t="n">
        <v>0</v>
      </c>
      <c r="N433" t="n">
        <v>0</v>
      </c>
      <c r="O433" t="n">
        <v>0</v>
      </c>
      <c r="P433" t="n">
        <v>0</v>
      </c>
      <c r="Q433" t="n">
        <v>0</v>
      </c>
      <c r="R433" s="2" t="inlineStr"/>
    </row>
    <row r="434" ht="15" customHeight="1">
      <c r="A434" t="inlineStr">
        <is>
          <t>A 7638-2025</t>
        </is>
      </c>
      <c r="B434" s="1" t="n">
        <v>45705.77306712963</v>
      </c>
      <c r="C434" s="1" t="n">
        <v>46001</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50482-2024</t>
        </is>
      </c>
      <c r="B435" s="1" t="n">
        <v>45601.48114583334</v>
      </c>
      <c r="C435" s="1" t="n">
        <v>46001</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1394-2023</t>
        </is>
      </c>
      <c r="B436" s="1" t="n">
        <v>44936.72997685185</v>
      </c>
      <c r="C436" s="1" t="n">
        <v>46001</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52637-2025</t>
        </is>
      </c>
      <c r="B437" s="1" t="n">
        <v>45954.75099537037</v>
      </c>
      <c r="C437" s="1" t="n">
        <v>46001</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58230-2024</t>
        </is>
      </c>
      <c r="B438" s="1" t="n">
        <v>45632.51625</v>
      </c>
      <c r="C438" s="1" t="n">
        <v>46001</v>
      </c>
      <c r="D438" t="inlineStr">
        <is>
          <t>GOTLANDS LÄN</t>
        </is>
      </c>
      <c r="E438" t="inlineStr">
        <is>
          <t>GOTLAND</t>
        </is>
      </c>
      <c r="G438" t="n">
        <v>7.3</v>
      </c>
      <c r="H438" t="n">
        <v>0</v>
      </c>
      <c r="I438" t="n">
        <v>0</v>
      </c>
      <c r="J438" t="n">
        <v>0</v>
      </c>
      <c r="K438" t="n">
        <v>0</v>
      </c>
      <c r="L438" t="n">
        <v>0</v>
      </c>
      <c r="M438" t="n">
        <v>0</v>
      </c>
      <c r="N438" t="n">
        <v>0</v>
      </c>
      <c r="O438" t="n">
        <v>0</v>
      </c>
      <c r="P438" t="n">
        <v>0</v>
      </c>
      <c r="Q438" t="n">
        <v>0</v>
      </c>
      <c r="R438" s="2" t="inlineStr"/>
    </row>
    <row r="439" ht="15" customHeight="1">
      <c r="A439" t="inlineStr">
        <is>
          <t>A 1462-2025</t>
        </is>
      </c>
      <c r="B439" s="1" t="n">
        <v>45670.36319444444</v>
      </c>
      <c r="C439" s="1" t="n">
        <v>46001</v>
      </c>
      <c r="D439" t="inlineStr">
        <is>
          <t>GOTLANDS LÄN</t>
        </is>
      </c>
      <c r="E439" t="inlineStr">
        <is>
          <t>GOTLAND</t>
        </is>
      </c>
      <c r="G439" t="n">
        <v>2.8</v>
      </c>
      <c r="H439" t="n">
        <v>0</v>
      </c>
      <c r="I439" t="n">
        <v>0</v>
      </c>
      <c r="J439" t="n">
        <v>0</v>
      </c>
      <c r="K439" t="n">
        <v>0</v>
      </c>
      <c r="L439" t="n">
        <v>0</v>
      </c>
      <c r="M439" t="n">
        <v>0</v>
      </c>
      <c r="N439" t="n">
        <v>0</v>
      </c>
      <c r="O439" t="n">
        <v>0</v>
      </c>
      <c r="P439" t="n">
        <v>0</v>
      </c>
      <c r="Q439" t="n">
        <v>0</v>
      </c>
      <c r="R439" s="2" t="inlineStr"/>
    </row>
    <row r="440" ht="15" customHeight="1">
      <c r="A440" t="inlineStr">
        <is>
          <t>A 61080-2025</t>
        </is>
      </c>
      <c r="B440" s="1" t="n">
        <v>46000.40390046296</v>
      </c>
      <c r="C440" s="1" t="n">
        <v>46001</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25129-2023</t>
        </is>
      </c>
      <c r="B441" s="1" t="n">
        <v>45086.44261574074</v>
      </c>
      <c r="C441" s="1" t="n">
        <v>46001</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24192-2023</t>
        </is>
      </c>
      <c r="B442" s="1" t="n">
        <v>45079</v>
      </c>
      <c r="C442" s="1" t="n">
        <v>46001</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5386-2023</t>
        </is>
      </c>
      <c r="B443" s="1" t="n">
        <v>44959</v>
      </c>
      <c r="C443" s="1" t="n">
        <v>46001</v>
      </c>
      <c r="D443" t="inlineStr">
        <is>
          <t>GOTLANDS LÄN</t>
        </is>
      </c>
      <c r="E443" t="inlineStr">
        <is>
          <t>GOTLAND</t>
        </is>
      </c>
      <c r="G443" t="n">
        <v>5.4</v>
      </c>
      <c r="H443" t="n">
        <v>0</v>
      </c>
      <c r="I443" t="n">
        <v>0</v>
      </c>
      <c r="J443" t="n">
        <v>0</v>
      </c>
      <c r="K443" t="n">
        <v>0</v>
      </c>
      <c r="L443" t="n">
        <v>0</v>
      </c>
      <c r="M443" t="n">
        <v>0</v>
      </c>
      <c r="N443" t="n">
        <v>0</v>
      </c>
      <c r="O443" t="n">
        <v>0</v>
      </c>
      <c r="P443" t="n">
        <v>0</v>
      </c>
      <c r="Q443" t="n">
        <v>0</v>
      </c>
      <c r="R443" s="2" t="inlineStr"/>
    </row>
    <row r="444" ht="15" customHeight="1">
      <c r="A444" t="inlineStr">
        <is>
          <t>A 61078-2025</t>
        </is>
      </c>
      <c r="B444" s="1" t="n">
        <v>46000.3996875</v>
      </c>
      <c r="C444" s="1" t="n">
        <v>46001</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7026-2023</t>
        </is>
      </c>
      <c r="B445" s="1" t="n">
        <v>44968.30340277778</v>
      </c>
      <c r="C445" s="1" t="n">
        <v>46001</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20855-2023</t>
        </is>
      </c>
      <c r="B446" s="1" t="n">
        <v>45058.82172453704</v>
      </c>
      <c r="C446" s="1" t="n">
        <v>46001</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1000-2024</t>
        </is>
      </c>
      <c r="B447" s="1" t="n">
        <v>45301.63371527778</v>
      </c>
      <c r="C447" s="1" t="n">
        <v>46001</v>
      </c>
      <c r="D447" t="inlineStr">
        <is>
          <t>GOTLANDS LÄN</t>
        </is>
      </c>
      <c r="E447" t="inlineStr">
        <is>
          <t>GOTLAND</t>
        </is>
      </c>
      <c r="G447" t="n">
        <v>1</v>
      </c>
      <c r="H447" t="n">
        <v>0</v>
      </c>
      <c r="I447" t="n">
        <v>0</v>
      </c>
      <c r="J447" t="n">
        <v>0</v>
      </c>
      <c r="K447" t="n">
        <v>0</v>
      </c>
      <c r="L447" t="n">
        <v>0</v>
      </c>
      <c r="M447" t="n">
        <v>0</v>
      </c>
      <c r="N447" t="n">
        <v>0</v>
      </c>
      <c r="O447" t="n">
        <v>0</v>
      </c>
      <c r="P447" t="n">
        <v>0</v>
      </c>
      <c r="Q447" t="n">
        <v>0</v>
      </c>
      <c r="R447" s="2" t="inlineStr"/>
    </row>
    <row r="448" ht="15" customHeight="1">
      <c r="A448" t="inlineStr">
        <is>
          <t>A 1010-2024</t>
        </is>
      </c>
      <c r="B448" s="1" t="n">
        <v>45301</v>
      </c>
      <c r="C448" s="1" t="n">
        <v>46001</v>
      </c>
      <c r="D448" t="inlineStr">
        <is>
          <t>GOTLANDS LÄN</t>
        </is>
      </c>
      <c r="E448" t="inlineStr">
        <is>
          <t>GOTLAND</t>
        </is>
      </c>
      <c r="G448" t="n">
        <v>2.4</v>
      </c>
      <c r="H448" t="n">
        <v>0</v>
      </c>
      <c r="I448" t="n">
        <v>0</v>
      </c>
      <c r="J448" t="n">
        <v>0</v>
      </c>
      <c r="K448" t="n">
        <v>0</v>
      </c>
      <c r="L448" t="n">
        <v>0</v>
      </c>
      <c r="M448" t="n">
        <v>0</v>
      </c>
      <c r="N448" t="n">
        <v>0</v>
      </c>
      <c r="O448" t="n">
        <v>0</v>
      </c>
      <c r="P448" t="n">
        <v>0</v>
      </c>
      <c r="Q448" t="n">
        <v>0</v>
      </c>
      <c r="R448" s="2" t="inlineStr"/>
    </row>
    <row r="449" ht="15" customHeight="1">
      <c r="A449" t="inlineStr">
        <is>
          <t>A 47762-2023</t>
        </is>
      </c>
      <c r="B449" s="1" t="n">
        <v>45203.86256944444</v>
      </c>
      <c r="C449" s="1" t="n">
        <v>46001</v>
      </c>
      <c r="D449" t="inlineStr">
        <is>
          <t>GOTLANDS LÄN</t>
        </is>
      </c>
      <c r="E449" t="inlineStr">
        <is>
          <t>GOTLAND</t>
        </is>
      </c>
      <c r="G449" t="n">
        <v>1.3</v>
      </c>
      <c r="H449" t="n">
        <v>0</v>
      </c>
      <c r="I449" t="n">
        <v>0</v>
      </c>
      <c r="J449" t="n">
        <v>0</v>
      </c>
      <c r="K449" t="n">
        <v>0</v>
      </c>
      <c r="L449" t="n">
        <v>0</v>
      </c>
      <c r="M449" t="n">
        <v>0</v>
      </c>
      <c r="N449" t="n">
        <v>0</v>
      </c>
      <c r="O449" t="n">
        <v>0</v>
      </c>
      <c r="P449" t="n">
        <v>0</v>
      </c>
      <c r="Q449" t="n">
        <v>0</v>
      </c>
      <c r="R449" s="2" t="inlineStr"/>
    </row>
    <row r="450" ht="15" customHeight="1">
      <c r="A450" t="inlineStr">
        <is>
          <t>A 46545-2024</t>
        </is>
      </c>
      <c r="B450" s="1" t="n">
        <v>45582.65831018519</v>
      </c>
      <c r="C450" s="1" t="n">
        <v>46001</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60086-2022</t>
        </is>
      </c>
      <c r="B451" s="1" t="n">
        <v>44909</v>
      </c>
      <c r="C451" s="1" t="n">
        <v>46001</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28480-2023</t>
        </is>
      </c>
      <c r="B452" s="1" t="n">
        <v>45103</v>
      </c>
      <c r="C452" s="1" t="n">
        <v>46001</v>
      </c>
      <c r="D452" t="inlineStr">
        <is>
          <t>GOTLANDS LÄN</t>
        </is>
      </c>
      <c r="E452" t="inlineStr">
        <is>
          <t>GOTLAND</t>
        </is>
      </c>
      <c r="G452" t="n">
        <v>5.7</v>
      </c>
      <c r="H452" t="n">
        <v>0</v>
      </c>
      <c r="I452" t="n">
        <v>0</v>
      </c>
      <c r="J452" t="n">
        <v>0</v>
      </c>
      <c r="K452" t="n">
        <v>0</v>
      </c>
      <c r="L452" t="n">
        <v>0</v>
      </c>
      <c r="M452" t="n">
        <v>0</v>
      </c>
      <c r="N452" t="n">
        <v>0</v>
      </c>
      <c r="O452" t="n">
        <v>0</v>
      </c>
      <c r="P452" t="n">
        <v>0</v>
      </c>
      <c r="Q452" t="n">
        <v>0</v>
      </c>
      <c r="R452" s="2" t="inlineStr"/>
    </row>
    <row r="453" ht="15" customHeight="1">
      <c r="A453" t="inlineStr">
        <is>
          <t>A 28485-2023</t>
        </is>
      </c>
      <c r="B453" s="1" t="n">
        <v>45103.43731481482</v>
      </c>
      <c r="C453" s="1" t="n">
        <v>46001</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62915-2021</t>
        </is>
      </c>
      <c r="B454" s="1" t="n">
        <v>44504</v>
      </c>
      <c r="C454" s="1" t="n">
        <v>46001</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44949-2023</t>
        </is>
      </c>
      <c r="B455" s="1" t="n">
        <v>45190.69520833333</v>
      </c>
      <c r="C455" s="1" t="n">
        <v>46001</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37222-2021</t>
        </is>
      </c>
      <c r="B456" s="1" t="n">
        <v>44396</v>
      </c>
      <c r="C456" s="1" t="n">
        <v>46001</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3964-2024</t>
        </is>
      </c>
      <c r="B457" s="1" t="n">
        <v>45322</v>
      </c>
      <c r="C457" s="1" t="n">
        <v>46001</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45084-2024</t>
        </is>
      </c>
      <c r="B458" s="1" t="n">
        <v>45575</v>
      </c>
      <c r="C458" s="1" t="n">
        <v>46001</v>
      </c>
      <c r="D458" t="inlineStr">
        <is>
          <t>GOTLANDS LÄN</t>
        </is>
      </c>
      <c r="E458" t="inlineStr">
        <is>
          <t>GOTLAND</t>
        </is>
      </c>
      <c r="G458" t="n">
        <v>6.8</v>
      </c>
      <c r="H458" t="n">
        <v>0</v>
      </c>
      <c r="I458" t="n">
        <v>0</v>
      </c>
      <c r="J458" t="n">
        <v>0</v>
      </c>
      <c r="K458" t="n">
        <v>0</v>
      </c>
      <c r="L458" t="n">
        <v>0</v>
      </c>
      <c r="M458" t="n">
        <v>0</v>
      </c>
      <c r="N458" t="n">
        <v>0</v>
      </c>
      <c r="O458" t="n">
        <v>0</v>
      </c>
      <c r="P458" t="n">
        <v>0</v>
      </c>
      <c r="Q458" t="n">
        <v>0</v>
      </c>
      <c r="R458" s="2" t="inlineStr"/>
    </row>
    <row r="459" ht="15" customHeight="1">
      <c r="A459" t="inlineStr">
        <is>
          <t>A 5217-2023</t>
        </is>
      </c>
      <c r="B459" s="1" t="n">
        <v>44959.39582175926</v>
      </c>
      <c r="C459" s="1" t="n">
        <v>46001</v>
      </c>
      <c r="D459" t="inlineStr">
        <is>
          <t>GOTLANDS LÄN</t>
        </is>
      </c>
      <c r="E459" t="inlineStr">
        <is>
          <t>GOTLAND</t>
        </is>
      </c>
      <c r="G459" t="n">
        <v>1.9</v>
      </c>
      <c r="H459" t="n">
        <v>0</v>
      </c>
      <c r="I459" t="n">
        <v>0</v>
      </c>
      <c r="J459" t="n">
        <v>0</v>
      </c>
      <c r="K459" t="n">
        <v>0</v>
      </c>
      <c r="L459" t="n">
        <v>0</v>
      </c>
      <c r="M459" t="n">
        <v>0</v>
      </c>
      <c r="N459" t="n">
        <v>0</v>
      </c>
      <c r="O459" t="n">
        <v>0</v>
      </c>
      <c r="P459" t="n">
        <v>0</v>
      </c>
      <c r="Q459" t="n">
        <v>0</v>
      </c>
      <c r="R459" s="2" t="inlineStr"/>
    </row>
    <row r="460" ht="15" customHeight="1">
      <c r="A460" t="inlineStr">
        <is>
          <t>A 1677-2023</t>
        </is>
      </c>
      <c r="B460" s="1" t="n">
        <v>44938</v>
      </c>
      <c r="C460" s="1" t="n">
        <v>46001</v>
      </c>
      <c r="D460" t="inlineStr">
        <is>
          <t>GOTLANDS LÄN</t>
        </is>
      </c>
      <c r="E460" t="inlineStr">
        <is>
          <t>GOTLAND</t>
        </is>
      </c>
      <c r="G460" t="n">
        <v>1.6</v>
      </c>
      <c r="H460" t="n">
        <v>0</v>
      </c>
      <c r="I460" t="n">
        <v>0</v>
      </c>
      <c r="J460" t="n">
        <v>0</v>
      </c>
      <c r="K460" t="n">
        <v>0</v>
      </c>
      <c r="L460" t="n">
        <v>0</v>
      </c>
      <c r="M460" t="n">
        <v>0</v>
      </c>
      <c r="N460" t="n">
        <v>0</v>
      </c>
      <c r="O460" t="n">
        <v>0</v>
      </c>
      <c r="P460" t="n">
        <v>0</v>
      </c>
      <c r="Q460" t="n">
        <v>0</v>
      </c>
      <c r="R460" s="2" t="inlineStr"/>
    </row>
    <row r="461" ht="15" customHeight="1">
      <c r="A461" t="inlineStr">
        <is>
          <t>A 45244-2024</t>
        </is>
      </c>
      <c r="B461" s="1" t="n">
        <v>45576</v>
      </c>
      <c r="C461" s="1" t="n">
        <v>46001</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8260-2023</t>
        </is>
      </c>
      <c r="B462" s="1" t="n">
        <v>44974.61608796296</v>
      </c>
      <c r="C462" s="1" t="n">
        <v>46001</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64969-2023</t>
        </is>
      </c>
      <c r="B463" s="1" t="n">
        <v>45284.54009259259</v>
      </c>
      <c r="C463" s="1" t="n">
        <v>46001</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48843-2024</t>
        </is>
      </c>
      <c r="B464" s="1" t="n">
        <v>45593</v>
      </c>
      <c r="C464" s="1" t="n">
        <v>46001</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17541-2024</t>
        </is>
      </c>
      <c r="B465" s="1" t="n">
        <v>45415</v>
      </c>
      <c r="C465" s="1" t="n">
        <v>46001</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2241-2025</t>
        </is>
      </c>
      <c r="B466" s="1" t="n">
        <v>45673.48710648148</v>
      </c>
      <c r="C466" s="1" t="n">
        <v>46001</v>
      </c>
      <c r="D466" t="inlineStr">
        <is>
          <t>GOTLANDS LÄN</t>
        </is>
      </c>
      <c r="E466" t="inlineStr">
        <is>
          <t>GOTLAND</t>
        </is>
      </c>
      <c r="G466" t="n">
        <v>1</v>
      </c>
      <c r="H466" t="n">
        <v>0</v>
      </c>
      <c r="I466" t="n">
        <v>0</v>
      </c>
      <c r="J466" t="n">
        <v>0</v>
      </c>
      <c r="K466" t="n">
        <v>0</v>
      </c>
      <c r="L466" t="n">
        <v>0</v>
      </c>
      <c r="M466" t="n">
        <v>0</v>
      </c>
      <c r="N466" t="n">
        <v>0</v>
      </c>
      <c r="O466" t="n">
        <v>0</v>
      </c>
      <c r="P466" t="n">
        <v>0</v>
      </c>
      <c r="Q466" t="n">
        <v>0</v>
      </c>
      <c r="R466" s="2" t="inlineStr"/>
    </row>
    <row r="467" ht="15" customHeight="1">
      <c r="A467" t="inlineStr">
        <is>
          <t>A 15434-2024</t>
        </is>
      </c>
      <c r="B467" s="1" t="n">
        <v>45401.38836805556</v>
      </c>
      <c r="C467" s="1" t="n">
        <v>46001</v>
      </c>
      <c r="D467" t="inlineStr">
        <is>
          <t>GOTLANDS LÄN</t>
        </is>
      </c>
      <c r="E467" t="inlineStr">
        <is>
          <t>GOTLAND</t>
        </is>
      </c>
      <c r="G467" t="n">
        <v>2.5</v>
      </c>
      <c r="H467" t="n">
        <v>0</v>
      </c>
      <c r="I467" t="n">
        <v>0</v>
      </c>
      <c r="J467" t="n">
        <v>0</v>
      </c>
      <c r="K467" t="n">
        <v>0</v>
      </c>
      <c r="L467" t="n">
        <v>0</v>
      </c>
      <c r="M467" t="n">
        <v>0</v>
      </c>
      <c r="N467" t="n">
        <v>0</v>
      </c>
      <c r="O467" t="n">
        <v>0</v>
      </c>
      <c r="P467" t="n">
        <v>0</v>
      </c>
      <c r="Q467" t="n">
        <v>0</v>
      </c>
      <c r="R467" s="2" t="inlineStr"/>
    </row>
    <row r="468" ht="15" customHeight="1">
      <c r="A468" t="inlineStr">
        <is>
          <t>A 5943-2024</t>
        </is>
      </c>
      <c r="B468" s="1" t="n">
        <v>45336</v>
      </c>
      <c r="C468" s="1" t="n">
        <v>46001</v>
      </c>
      <c r="D468" t="inlineStr">
        <is>
          <t>GOTLANDS LÄN</t>
        </is>
      </c>
      <c r="E468" t="inlineStr">
        <is>
          <t>GOTLAND</t>
        </is>
      </c>
      <c r="G468" t="n">
        <v>4.3</v>
      </c>
      <c r="H468" t="n">
        <v>0</v>
      </c>
      <c r="I468" t="n">
        <v>0</v>
      </c>
      <c r="J468" t="n">
        <v>0</v>
      </c>
      <c r="K468" t="n">
        <v>0</v>
      </c>
      <c r="L468" t="n">
        <v>0</v>
      </c>
      <c r="M468" t="n">
        <v>0</v>
      </c>
      <c r="N468" t="n">
        <v>0</v>
      </c>
      <c r="O468" t="n">
        <v>0</v>
      </c>
      <c r="P468" t="n">
        <v>0</v>
      </c>
      <c r="Q468" t="n">
        <v>0</v>
      </c>
      <c r="R468" s="2" t="inlineStr"/>
    </row>
    <row r="469" ht="15" customHeight="1">
      <c r="A469" t="inlineStr">
        <is>
          <t>A 54073-2022</t>
        </is>
      </c>
      <c r="B469" s="1" t="n">
        <v>44881.50380787037</v>
      </c>
      <c r="C469" s="1" t="n">
        <v>46001</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16361-2024</t>
        </is>
      </c>
      <c r="B470" s="1" t="n">
        <v>45407</v>
      </c>
      <c r="C470" s="1" t="n">
        <v>46001</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41038-2023</t>
        </is>
      </c>
      <c r="B471" s="1" t="n">
        <v>45173.60959490741</v>
      </c>
      <c r="C471" s="1" t="n">
        <v>46001</v>
      </c>
      <c r="D471" t="inlineStr">
        <is>
          <t>GOTLANDS LÄN</t>
        </is>
      </c>
      <c r="E471" t="inlineStr">
        <is>
          <t>GOTLAND</t>
        </is>
      </c>
      <c r="G471" t="n">
        <v>2.7</v>
      </c>
      <c r="H471" t="n">
        <v>0</v>
      </c>
      <c r="I471" t="n">
        <v>0</v>
      </c>
      <c r="J471" t="n">
        <v>0</v>
      </c>
      <c r="K471" t="n">
        <v>0</v>
      </c>
      <c r="L471" t="n">
        <v>0</v>
      </c>
      <c r="M471" t="n">
        <v>0</v>
      </c>
      <c r="N471" t="n">
        <v>0</v>
      </c>
      <c r="O471" t="n">
        <v>0</v>
      </c>
      <c r="P471" t="n">
        <v>0</v>
      </c>
      <c r="Q471" t="n">
        <v>0</v>
      </c>
      <c r="R471" s="2" t="inlineStr"/>
    </row>
    <row r="472" ht="15" customHeight="1">
      <c r="A472" t="inlineStr">
        <is>
          <t>A 14427-2024</t>
        </is>
      </c>
      <c r="B472" s="1" t="n">
        <v>45394</v>
      </c>
      <c r="C472" s="1" t="n">
        <v>46001</v>
      </c>
      <c r="D472" t="inlineStr">
        <is>
          <t>GOTLANDS LÄN</t>
        </is>
      </c>
      <c r="E472" t="inlineStr">
        <is>
          <t>GOTLAND</t>
        </is>
      </c>
      <c r="G472" t="n">
        <v>1.3</v>
      </c>
      <c r="H472" t="n">
        <v>0</v>
      </c>
      <c r="I472" t="n">
        <v>0</v>
      </c>
      <c r="J472" t="n">
        <v>0</v>
      </c>
      <c r="K472" t="n">
        <v>0</v>
      </c>
      <c r="L472" t="n">
        <v>0</v>
      </c>
      <c r="M472" t="n">
        <v>0</v>
      </c>
      <c r="N472" t="n">
        <v>0</v>
      </c>
      <c r="O472" t="n">
        <v>0</v>
      </c>
      <c r="P472" t="n">
        <v>0</v>
      </c>
      <c r="Q472" t="n">
        <v>0</v>
      </c>
      <c r="R472" s="2" t="inlineStr"/>
    </row>
    <row r="473" ht="15" customHeight="1">
      <c r="A473" t="inlineStr">
        <is>
          <t>A 31802-2024</t>
        </is>
      </c>
      <c r="B473" s="1" t="n">
        <v>45509</v>
      </c>
      <c r="C473" s="1" t="n">
        <v>46001</v>
      </c>
      <c r="D473" t="inlineStr">
        <is>
          <t>GOTLANDS LÄN</t>
        </is>
      </c>
      <c r="E473" t="inlineStr">
        <is>
          <t>GOTLAND</t>
        </is>
      </c>
      <c r="G473" t="n">
        <v>2.8</v>
      </c>
      <c r="H473" t="n">
        <v>0</v>
      </c>
      <c r="I473" t="n">
        <v>0</v>
      </c>
      <c r="J473" t="n">
        <v>0</v>
      </c>
      <c r="K473" t="n">
        <v>0</v>
      </c>
      <c r="L473" t="n">
        <v>0</v>
      </c>
      <c r="M473" t="n">
        <v>0</v>
      </c>
      <c r="N473" t="n">
        <v>0</v>
      </c>
      <c r="O473" t="n">
        <v>0</v>
      </c>
      <c r="P473" t="n">
        <v>0</v>
      </c>
      <c r="Q473" t="n">
        <v>0</v>
      </c>
      <c r="R473" s="2" t="inlineStr"/>
    </row>
    <row r="474" ht="15" customHeight="1">
      <c r="A474" t="inlineStr">
        <is>
          <t>A 8036-2022</t>
        </is>
      </c>
      <c r="B474" s="1" t="n">
        <v>44609.44362268518</v>
      </c>
      <c r="C474" s="1" t="n">
        <v>46001</v>
      </c>
      <c r="D474" t="inlineStr">
        <is>
          <t>GOTLANDS LÄN</t>
        </is>
      </c>
      <c r="E474" t="inlineStr">
        <is>
          <t>GOTLAND</t>
        </is>
      </c>
      <c r="G474" t="n">
        <v>6.1</v>
      </c>
      <c r="H474" t="n">
        <v>0</v>
      </c>
      <c r="I474" t="n">
        <v>0</v>
      </c>
      <c r="J474" t="n">
        <v>0</v>
      </c>
      <c r="K474" t="n">
        <v>0</v>
      </c>
      <c r="L474" t="n">
        <v>0</v>
      </c>
      <c r="M474" t="n">
        <v>0</v>
      </c>
      <c r="N474" t="n">
        <v>0</v>
      </c>
      <c r="O474" t="n">
        <v>0</v>
      </c>
      <c r="P474" t="n">
        <v>0</v>
      </c>
      <c r="Q474" t="n">
        <v>0</v>
      </c>
      <c r="R474" s="2" t="inlineStr"/>
    </row>
    <row r="475" ht="15" customHeight="1">
      <c r="A475" t="inlineStr">
        <is>
          <t>A 12846-2025</t>
        </is>
      </c>
      <c r="B475" s="1" t="n">
        <v>45733.65049768519</v>
      </c>
      <c r="C475" s="1" t="n">
        <v>46001</v>
      </c>
      <c r="D475" t="inlineStr">
        <is>
          <t>GOTLANDS LÄN</t>
        </is>
      </c>
      <c r="E475" t="inlineStr">
        <is>
          <t>GOTLAND</t>
        </is>
      </c>
      <c r="G475" t="n">
        <v>1.7</v>
      </c>
      <c r="H475" t="n">
        <v>0</v>
      </c>
      <c r="I475" t="n">
        <v>0</v>
      </c>
      <c r="J475" t="n">
        <v>0</v>
      </c>
      <c r="K475" t="n">
        <v>0</v>
      </c>
      <c r="L475" t="n">
        <v>0</v>
      </c>
      <c r="M475" t="n">
        <v>0</v>
      </c>
      <c r="N475" t="n">
        <v>0</v>
      </c>
      <c r="O475" t="n">
        <v>0</v>
      </c>
      <c r="P475" t="n">
        <v>0</v>
      </c>
      <c r="Q475" t="n">
        <v>0</v>
      </c>
      <c r="R475" s="2" t="inlineStr"/>
    </row>
    <row r="476" ht="15" customHeight="1">
      <c r="A476" t="inlineStr">
        <is>
          <t>A 46949-2024</t>
        </is>
      </c>
      <c r="B476" s="1" t="n">
        <v>45585</v>
      </c>
      <c r="C476" s="1" t="n">
        <v>46001</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10650-2022</t>
        </is>
      </c>
      <c r="B477" s="1" t="n">
        <v>44624.57945601852</v>
      </c>
      <c r="C477" s="1" t="n">
        <v>46001</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11634-2024</t>
        </is>
      </c>
      <c r="B478" s="1" t="n">
        <v>45373</v>
      </c>
      <c r="C478" s="1" t="n">
        <v>46001</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1351-2025</t>
        </is>
      </c>
      <c r="B479" s="1" t="n">
        <v>45667.62246527777</v>
      </c>
      <c r="C479" s="1" t="n">
        <v>46001</v>
      </c>
      <c r="D479" t="inlineStr">
        <is>
          <t>GOTLANDS LÄN</t>
        </is>
      </c>
      <c r="E479" t="inlineStr">
        <is>
          <t>GOTLAND</t>
        </is>
      </c>
      <c r="G479" t="n">
        <v>1.3</v>
      </c>
      <c r="H479" t="n">
        <v>0</v>
      </c>
      <c r="I479" t="n">
        <v>0</v>
      </c>
      <c r="J479" t="n">
        <v>0</v>
      </c>
      <c r="K479" t="n">
        <v>0</v>
      </c>
      <c r="L479" t="n">
        <v>0</v>
      </c>
      <c r="M479" t="n">
        <v>0</v>
      </c>
      <c r="N479" t="n">
        <v>0</v>
      </c>
      <c r="O479" t="n">
        <v>0</v>
      </c>
      <c r="P479" t="n">
        <v>0</v>
      </c>
      <c r="Q479" t="n">
        <v>0</v>
      </c>
      <c r="R479" s="2" t="inlineStr"/>
    </row>
    <row r="480" ht="15" customHeight="1">
      <c r="A480" t="inlineStr">
        <is>
          <t>A 39496-2022</t>
        </is>
      </c>
      <c r="B480" s="1" t="n">
        <v>44818</v>
      </c>
      <c r="C480" s="1" t="n">
        <v>46001</v>
      </c>
      <c r="D480" t="inlineStr">
        <is>
          <t>GOTLANDS LÄN</t>
        </is>
      </c>
      <c r="E480" t="inlineStr">
        <is>
          <t>GOTLAND</t>
        </is>
      </c>
      <c r="G480" t="n">
        <v>2.4</v>
      </c>
      <c r="H480" t="n">
        <v>0</v>
      </c>
      <c r="I480" t="n">
        <v>0</v>
      </c>
      <c r="J480" t="n">
        <v>0</v>
      </c>
      <c r="K480" t="n">
        <v>0</v>
      </c>
      <c r="L480" t="n">
        <v>0</v>
      </c>
      <c r="M480" t="n">
        <v>0</v>
      </c>
      <c r="N480" t="n">
        <v>0</v>
      </c>
      <c r="O480" t="n">
        <v>0</v>
      </c>
      <c r="P480" t="n">
        <v>0</v>
      </c>
      <c r="Q480" t="n">
        <v>0</v>
      </c>
      <c r="R480" s="2" t="inlineStr"/>
    </row>
    <row r="481" ht="15" customHeight="1">
      <c r="A481" t="inlineStr">
        <is>
          <t>A 49874-2024</t>
        </is>
      </c>
      <c r="B481" s="1" t="n">
        <v>45597.49274305555</v>
      </c>
      <c r="C481" s="1" t="n">
        <v>46001</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42201-2023</t>
        </is>
      </c>
      <c r="B482" s="1" t="n">
        <v>45179</v>
      </c>
      <c r="C482" s="1" t="n">
        <v>46001</v>
      </c>
      <c r="D482" t="inlineStr">
        <is>
          <t>GOTLANDS LÄN</t>
        </is>
      </c>
      <c r="E482" t="inlineStr">
        <is>
          <t>GOTLAND</t>
        </is>
      </c>
      <c r="G482" t="n">
        <v>11.9</v>
      </c>
      <c r="H482" t="n">
        <v>0</v>
      </c>
      <c r="I482" t="n">
        <v>0</v>
      </c>
      <c r="J482" t="n">
        <v>0</v>
      </c>
      <c r="K482" t="n">
        <v>0</v>
      </c>
      <c r="L482" t="n">
        <v>0</v>
      </c>
      <c r="M482" t="n">
        <v>0</v>
      </c>
      <c r="N482" t="n">
        <v>0</v>
      </c>
      <c r="O482" t="n">
        <v>0</v>
      </c>
      <c r="P482" t="n">
        <v>0</v>
      </c>
      <c r="Q482" t="n">
        <v>0</v>
      </c>
      <c r="R482" s="2" t="inlineStr"/>
    </row>
    <row r="483" ht="15" customHeight="1">
      <c r="A483" t="inlineStr">
        <is>
          <t>A 46400-2023</t>
        </is>
      </c>
      <c r="B483" s="1" t="n">
        <v>45197.49290509259</v>
      </c>
      <c r="C483" s="1" t="n">
        <v>46001</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9875-2025</t>
        </is>
      </c>
      <c r="B484" s="1" t="n">
        <v>45716</v>
      </c>
      <c r="C484" s="1" t="n">
        <v>46001</v>
      </c>
      <c r="D484" t="inlineStr">
        <is>
          <t>GOTLANDS LÄN</t>
        </is>
      </c>
      <c r="E484" t="inlineStr">
        <is>
          <t>GOTLAND</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21164-2024</t>
        </is>
      </c>
      <c r="B485" s="1" t="n">
        <v>45440</v>
      </c>
      <c r="C485" s="1" t="n">
        <v>46001</v>
      </c>
      <c r="D485" t="inlineStr">
        <is>
          <t>GOTLANDS LÄN</t>
        </is>
      </c>
      <c r="E485" t="inlineStr">
        <is>
          <t>GOTLAND</t>
        </is>
      </c>
      <c r="G485" t="n">
        <v>6.3</v>
      </c>
      <c r="H485" t="n">
        <v>0</v>
      </c>
      <c r="I485" t="n">
        <v>0</v>
      </c>
      <c r="J485" t="n">
        <v>0</v>
      </c>
      <c r="K485" t="n">
        <v>0</v>
      </c>
      <c r="L485" t="n">
        <v>0</v>
      </c>
      <c r="M485" t="n">
        <v>0</v>
      </c>
      <c r="N485" t="n">
        <v>0</v>
      </c>
      <c r="O485" t="n">
        <v>0</v>
      </c>
      <c r="P485" t="n">
        <v>0</v>
      </c>
      <c r="Q485" t="n">
        <v>0</v>
      </c>
      <c r="R485" s="2" t="inlineStr"/>
    </row>
    <row r="486" ht="15" customHeight="1">
      <c r="A486" t="inlineStr">
        <is>
          <t>A 8045-2022</t>
        </is>
      </c>
      <c r="B486" s="1" t="n">
        <v>44609</v>
      </c>
      <c r="C486" s="1" t="n">
        <v>46001</v>
      </c>
      <c r="D486" t="inlineStr">
        <is>
          <t>GOTLANDS LÄN</t>
        </is>
      </c>
      <c r="E486" t="inlineStr">
        <is>
          <t>GOTLAND</t>
        </is>
      </c>
      <c r="G486" t="n">
        <v>7</v>
      </c>
      <c r="H486" t="n">
        <v>0</v>
      </c>
      <c r="I486" t="n">
        <v>0</v>
      </c>
      <c r="J486" t="n">
        <v>0</v>
      </c>
      <c r="K486" t="n">
        <v>0</v>
      </c>
      <c r="L486" t="n">
        <v>0</v>
      </c>
      <c r="M486" t="n">
        <v>0</v>
      </c>
      <c r="N486" t="n">
        <v>0</v>
      </c>
      <c r="O486" t="n">
        <v>0</v>
      </c>
      <c r="P486" t="n">
        <v>0</v>
      </c>
      <c r="Q486" t="n">
        <v>0</v>
      </c>
      <c r="R486" s="2" t="inlineStr"/>
    </row>
    <row r="487" ht="15" customHeight="1">
      <c r="A487" t="inlineStr">
        <is>
          <t>A 22897-2023</t>
        </is>
      </c>
      <c r="B487" s="1" t="n">
        <v>45072.55239583334</v>
      </c>
      <c r="C487" s="1" t="n">
        <v>46001</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61897-2024</t>
        </is>
      </c>
      <c r="B488" s="1" t="n">
        <v>45652.75685185185</v>
      </c>
      <c r="C488" s="1" t="n">
        <v>46001</v>
      </c>
      <c r="D488" t="inlineStr">
        <is>
          <t>GOTLANDS LÄN</t>
        </is>
      </c>
      <c r="E488" t="inlineStr">
        <is>
          <t>GOTLAND</t>
        </is>
      </c>
      <c r="G488" t="n">
        <v>6.4</v>
      </c>
      <c r="H488" t="n">
        <v>0</v>
      </c>
      <c r="I488" t="n">
        <v>0</v>
      </c>
      <c r="J488" t="n">
        <v>0</v>
      </c>
      <c r="K488" t="n">
        <v>0</v>
      </c>
      <c r="L488" t="n">
        <v>0</v>
      </c>
      <c r="M488" t="n">
        <v>0</v>
      </c>
      <c r="N488" t="n">
        <v>0</v>
      </c>
      <c r="O488" t="n">
        <v>0</v>
      </c>
      <c r="P488" t="n">
        <v>0</v>
      </c>
      <c r="Q488" t="n">
        <v>0</v>
      </c>
      <c r="R488" s="2" t="inlineStr"/>
    </row>
    <row r="489" ht="15" customHeight="1">
      <c r="A489" t="inlineStr">
        <is>
          <t>A 49962-2023</t>
        </is>
      </c>
      <c r="B489" s="1" t="n">
        <v>45215.38775462963</v>
      </c>
      <c r="C489" s="1" t="n">
        <v>46001</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20165-2022</t>
        </is>
      </c>
      <c r="B490" s="1" t="n">
        <v>44698.49854166667</v>
      </c>
      <c r="C490" s="1" t="n">
        <v>46001</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40294-2022</t>
        </is>
      </c>
      <c r="B491" s="1" t="n">
        <v>44821</v>
      </c>
      <c r="C491" s="1" t="n">
        <v>46001</v>
      </c>
      <c r="D491" t="inlineStr">
        <is>
          <t>GOTLANDS LÄN</t>
        </is>
      </c>
      <c r="E491" t="inlineStr">
        <is>
          <t>GOTLAND</t>
        </is>
      </c>
      <c r="G491" t="n">
        <v>1.6</v>
      </c>
      <c r="H491" t="n">
        <v>0</v>
      </c>
      <c r="I491" t="n">
        <v>0</v>
      </c>
      <c r="J491" t="n">
        <v>0</v>
      </c>
      <c r="K491" t="n">
        <v>0</v>
      </c>
      <c r="L491" t="n">
        <v>0</v>
      </c>
      <c r="M491" t="n">
        <v>0</v>
      </c>
      <c r="N491" t="n">
        <v>0</v>
      </c>
      <c r="O491" t="n">
        <v>0</v>
      </c>
      <c r="P491" t="n">
        <v>0</v>
      </c>
      <c r="Q491" t="n">
        <v>0</v>
      </c>
      <c r="R491" s="2" t="inlineStr"/>
    </row>
    <row r="492" ht="15" customHeight="1">
      <c r="A492" t="inlineStr">
        <is>
          <t>A 12032-2025</t>
        </is>
      </c>
      <c r="B492" s="1" t="n">
        <v>45728.64472222222</v>
      </c>
      <c r="C492" s="1" t="n">
        <v>46001</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38787-2023</t>
        </is>
      </c>
      <c r="B493" s="1" t="n">
        <v>45163</v>
      </c>
      <c r="C493" s="1" t="n">
        <v>46001</v>
      </c>
      <c r="D493" t="inlineStr">
        <is>
          <t>GOTLANDS LÄN</t>
        </is>
      </c>
      <c r="E493" t="inlineStr">
        <is>
          <t>GOTLAND</t>
        </is>
      </c>
      <c r="G493" t="n">
        <v>0.4</v>
      </c>
      <c r="H493" t="n">
        <v>0</v>
      </c>
      <c r="I493" t="n">
        <v>0</v>
      </c>
      <c r="J493" t="n">
        <v>0</v>
      </c>
      <c r="K493" t="n">
        <v>0</v>
      </c>
      <c r="L493" t="n">
        <v>0</v>
      </c>
      <c r="M493" t="n">
        <v>0</v>
      </c>
      <c r="N493" t="n">
        <v>0</v>
      </c>
      <c r="O493" t="n">
        <v>0</v>
      </c>
      <c r="P493" t="n">
        <v>0</v>
      </c>
      <c r="Q493" t="n">
        <v>0</v>
      </c>
      <c r="R493" s="2" t="inlineStr"/>
    </row>
    <row r="494" ht="15" customHeight="1">
      <c r="A494" t="inlineStr">
        <is>
          <t>A 43231-2023</t>
        </is>
      </c>
      <c r="B494" s="1" t="n">
        <v>45183.47025462963</v>
      </c>
      <c r="C494" s="1" t="n">
        <v>46001</v>
      </c>
      <c r="D494" t="inlineStr">
        <is>
          <t>GOTLANDS LÄN</t>
        </is>
      </c>
      <c r="E494" t="inlineStr">
        <is>
          <t>GOTLAND</t>
        </is>
      </c>
      <c r="G494" t="n">
        <v>3.6</v>
      </c>
      <c r="H494" t="n">
        <v>0</v>
      </c>
      <c r="I494" t="n">
        <v>0</v>
      </c>
      <c r="J494" t="n">
        <v>0</v>
      </c>
      <c r="K494" t="n">
        <v>0</v>
      </c>
      <c r="L494" t="n">
        <v>0</v>
      </c>
      <c r="M494" t="n">
        <v>0</v>
      </c>
      <c r="N494" t="n">
        <v>0</v>
      </c>
      <c r="O494" t="n">
        <v>0</v>
      </c>
      <c r="P494" t="n">
        <v>0</v>
      </c>
      <c r="Q494" t="n">
        <v>0</v>
      </c>
      <c r="R494" s="2" t="inlineStr"/>
    </row>
    <row r="495" ht="15" customHeight="1">
      <c r="A495" t="inlineStr">
        <is>
          <t>A 17532-2024</t>
        </is>
      </c>
      <c r="B495" s="1" t="n">
        <v>45415</v>
      </c>
      <c r="C495" s="1" t="n">
        <v>46001</v>
      </c>
      <c r="D495" t="inlineStr">
        <is>
          <t>GOTLANDS LÄN</t>
        </is>
      </c>
      <c r="E495" t="inlineStr">
        <is>
          <t>GOTLAND</t>
        </is>
      </c>
      <c r="G495" t="n">
        <v>4.3</v>
      </c>
      <c r="H495" t="n">
        <v>0</v>
      </c>
      <c r="I495" t="n">
        <v>0</v>
      </c>
      <c r="J495" t="n">
        <v>0</v>
      </c>
      <c r="K495" t="n">
        <v>0</v>
      </c>
      <c r="L495" t="n">
        <v>0</v>
      </c>
      <c r="M495" t="n">
        <v>0</v>
      </c>
      <c r="N495" t="n">
        <v>0</v>
      </c>
      <c r="O495" t="n">
        <v>0</v>
      </c>
      <c r="P495" t="n">
        <v>0</v>
      </c>
      <c r="Q495" t="n">
        <v>0</v>
      </c>
      <c r="R495" s="2" t="inlineStr"/>
    </row>
    <row r="496" ht="15" customHeight="1">
      <c r="A496" t="inlineStr">
        <is>
          <t>A 3935-2025</t>
        </is>
      </c>
      <c r="B496" s="1" t="n">
        <v>45684.46070601852</v>
      </c>
      <c r="C496" s="1" t="n">
        <v>46001</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20225-2025</t>
        </is>
      </c>
      <c r="B497" s="1" t="n">
        <v>45772.65802083333</v>
      </c>
      <c r="C497" s="1" t="n">
        <v>46001</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883-2025</t>
        </is>
      </c>
      <c r="B498" s="1" t="n">
        <v>45665</v>
      </c>
      <c r="C498" s="1" t="n">
        <v>46001</v>
      </c>
      <c r="D498" t="inlineStr">
        <is>
          <t>GOTLANDS LÄN</t>
        </is>
      </c>
      <c r="E498" t="inlineStr">
        <is>
          <t>GOTLAND</t>
        </is>
      </c>
      <c r="G498" t="n">
        <v>1.3</v>
      </c>
      <c r="H498" t="n">
        <v>0</v>
      </c>
      <c r="I498" t="n">
        <v>0</v>
      </c>
      <c r="J498" t="n">
        <v>0</v>
      </c>
      <c r="K498" t="n">
        <v>0</v>
      </c>
      <c r="L498" t="n">
        <v>0</v>
      </c>
      <c r="M498" t="n">
        <v>0</v>
      </c>
      <c r="N498" t="n">
        <v>0</v>
      </c>
      <c r="O498" t="n">
        <v>0</v>
      </c>
      <c r="P498" t="n">
        <v>0</v>
      </c>
      <c r="Q498" t="n">
        <v>0</v>
      </c>
      <c r="R498" s="2" t="inlineStr"/>
    </row>
    <row r="499" ht="15" customHeight="1">
      <c r="A499" t="inlineStr">
        <is>
          <t>A 1066-2024</t>
        </is>
      </c>
      <c r="B499" s="1" t="n">
        <v>45302.285</v>
      </c>
      <c r="C499" s="1" t="n">
        <v>46001</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17144-2025</t>
        </is>
      </c>
      <c r="B500" s="1" t="n">
        <v>45755.9499537037</v>
      </c>
      <c r="C500" s="1" t="n">
        <v>46001</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56009-2024</t>
        </is>
      </c>
      <c r="B501" s="1" t="n">
        <v>45623.80864583333</v>
      </c>
      <c r="C501" s="1" t="n">
        <v>46001</v>
      </c>
      <c r="D501" t="inlineStr">
        <is>
          <t>GOTLANDS LÄN</t>
        </is>
      </c>
      <c r="E501" t="inlineStr">
        <is>
          <t>GOTLAND</t>
        </is>
      </c>
      <c r="G501" t="n">
        <v>2.8</v>
      </c>
      <c r="H501" t="n">
        <v>0</v>
      </c>
      <c r="I501" t="n">
        <v>0</v>
      </c>
      <c r="J501" t="n">
        <v>0</v>
      </c>
      <c r="K501" t="n">
        <v>0</v>
      </c>
      <c r="L501" t="n">
        <v>0</v>
      </c>
      <c r="M501" t="n">
        <v>0</v>
      </c>
      <c r="N501" t="n">
        <v>0</v>
      </c>
      <c r="O501" t="n">
        <v>0</v>
      </c>
      <c r="P501" t="n">
        <v>0</v>
      </c>
      <c r="Q501" t="n">
        <v>0</v>
      </c>
      <c r="R501" s="2" t="inlineStr"/>
    </row>
    <row r="502" ht="15" customHeight="1">
      <c r="A502" t="inlineStr">
        <is>
          <t>A 42338-2023</t>
        </is>
      </c>
      <c r="B502" s="1" t="n">
        <v>45180</v>
      </c>
      <c r="C502" s="1" t="n">
        <v>46001</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581-2023</t>
        </is>
      </c>
      <c r="B503" s="1" t="n">
        <v>44930</v>
      </c>
      <c r="C503" s="1" t="n">
        <v>46001</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61386-2023</t>
        </is>
      </c>
      <c r="B504" s="1" t="n">
        <v>45264</v>
      </c>
      <c r="C504" s="1" t="n">
        <v>46001</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873-2024</t>
        </is>
      </c>
      <c r="B505" s="1" t="n">
        <v>45301</v>
      </c>
      <c r="C505" s="1" t="n">
        <v>46001</v>
      </c>
      <c r="D505" t="inlineStr">
        <is>
          <t>GOTLANDS LÄN</t>
        </is>
      </c>
      <c r="E505" t="inlineStr">
        <is>
          <t>GOTLAND</t>
        </is>
      </c>
      <c r="G505" t="n">
        <v>2.7</v>
      </c>
      <c r="H505" t="n">
        <v>0</v>
      </c>
      <c r="I505" t="n">
        <v>0</v>
      </c>
      <c r="J505" t="n">
        <v>0</v>
      </c>
      <c r="K505" t="n">
        <v>0</v>
      </c>
      <c r="L505" t="n">
        <v>0</v>
      </c>
      <c r="M505" t="n">
        <v>0</v>
      </c>
      <c r="N505" t="n">
        <v>0</v>
      </c>
      <c r="O505" t="n">
        <v>0</v>
      </c>
      <c r="P505" t="n">
        <v>0</v>
      </c>
      <c r="Q505" t="n">
        <v>0</v>
      </c>
      <c r="R505" s="2" t="inlineStr"/>
    </row>
    <row r="506" ht="15" customHeight="1">
      <c r="A506" t="inlineStr">
        <is>
          <t>A 49411-2023</t>
        </is>
      </c>
      <c r="B506" s="1" t="n">
        <v>45205</v>
      </c>
      <c r="C506" s="1" t="n">
        <v>46001</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22275-2023</t>
        </is>
      </c>
      <c r="B507" s="1" t="n">
        <v>45070.39875</v>
      </c>
      <c r="C507" s="1" t="n">
        <v>46001</v>
      </c>
      <c r="D507" t="inlineStr">
        <is>
          <t>GOTLANDS LÄN</t>
        </is>
      </c>
      <c r="E507" t="inlineStr">
        <is>
          <t>GOTLAND</t>
        </is>
      </c>
      <c r="G507" t="n">
        <v>7.2</v>
      </c>
      <c r="H507" t="n">
        <v>0</v>
      </c>
      <c r="I507" t="n">
        <v>0</v>
      </c>
      <c r="J507" t="n">
        <v>0</v>
      </c>
      <c r="K507" t="n">
        <v>0</v>
      </c>
      <c r="L507" t="n">
        <v>0</v>
      </c>
      <c r="M507" t="n">
        <v>0</v>
      </c>
      <c r="N507" t="n">
        <v>0</v>
      </c>
      <c r="O507" t="n">
        <v>0</v>
      </c>
      <c r="P507" t="n">
        <v>0</v>
      </c>
      <c r="Q507" t="n">
        <v>0</v>
      </c>
      <c r="R507" s="2" t="inlineStr"/>
    </row>
    <row r="508" ht="15" customHeight="1">
      <c r="A508" t="inlineStr">
        <is>
          <t>A 12322-2025</t>
        </is>
      </c>
      <c r="B508" s="1" t="n">
        <v>45730</v>
      </c>
      <c r="C508" s="1" t="n">
        <v>46001</v>
      </c>
      <c r="D508" t="inlineStr">
        <is>
          <t>GOTLANDS LÄN</t>
        </is>
      </c>
      <c r="E508" t="inlineStr">
        <is>
          <t>GOTLAND</t>
        </is>
      </c>
      <c r="G508" t="n">
        <v>1.4</v>
      </c>
      <c r="H508" t="n">
        <v>0</v>
      </c>
      <c r="I508" t="n">
        <v>0</v>
      </c>
      <c r="J508" t="n">
        <v>0</v>
      </c>
      <c r="K508" t="n">
        <v>0</v>
      </c>
      <c r="L508" t="n">
        <v>0</v>
      </c>
      <c r="M508" t="n">
        <v>0</v>
      </c>
      <c r="N508" t="n">
        <v>0</v>
      </c>
      <c r="O508" t="n">
        <v>0</v>
      </c>
      <c r="P508" t="n">
        <v>0</v>
      </c>
      <c r="Q508" t="n">
        <v>0</v>
      </c>
      <c r="R508" s="2" t="inlineStr"/>
    </row>
    <row r="509" ht="15" customHeight="1">
      <c r="A509" t="inlineStr">
        <is>
          <t>A 14797-2024</t>
        </is>
      </c>
      <c r="B509" s="1" t="n">
        <v>45397.87030092593</v>
      </c>
      <c r="C509" s="1" t="n">
        <v>46001</v>
      </c>
      <c r="D509" t="inlineStr">
        <is>
          <t>GOTLANDS LÄN</t>
        </is>
      </c>
      <c r="E509" t="inlineStr">
        <is>
          <t>GOTLAND</t>
        </is>
      </c>
      <c r="G509" t="n">
        <v>8.1</v>
      </c>
      <c r="H509" t="n">
        <v>0</v>
      </c>
      <c r="I509" t="n">
        <v>0</v>
      </c>
      <c r="J509" t="n">
        <v>0</v>
      </c>
      <c r="K509" t="n">
        <v>0</v>
      </c>
      <c r="L509" t="n">
        <v>0</v>
      </c>
      <c r="M509" t="n">
        <v>0</v>
      </c>
      <c r="N509" t="n">
        <v>0</v>
      </c>
      <c r="O509" t="n">
        <v>0</v>
      </c>
      <c r="P509" t="n">
        <v>0</v>
      </c>
      <c r="Q509" t="n">
        <v>0</v>
      </c>
      <c r="R509" s="2" t="inlineStr"/>
    </row>
    <row r="510" ht="15" customHeight="1">
      <c r="A510" t="inlineStr">
        <is>
          <t>A 999-2024</t>
        </is>
      </c>
      <c r="B510" s="1" t="n">
        <v>45301</v>
      </c>
      <c r="C510" s="1" t="n">
        <v>46001</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61596-2023</t>
        </is>
      </c>
      <c r="B511" s="1" t="n">
        <v>45265</v>
      </c>
      <c r="C511" s="1" t="n">
        <v>46001</v>
      </c>
      <c r="D511" t="inlineStr">
        <is>
          <t>GOTLANDS LÄN</t>
        </is>
      </c>
      <c r="E511" t="inlineStr">
        <is>
          <t>GOTLAND</t>
        </is>
      </c>
      <c r="G511" t="n">
        <v>1.7</v>
      </c>
      <c r="H511" t="n">
        <v>0</v>
      </c>
      <c r="I511" t="n">
        <v>0</v>
      </c>
      <c r="J511" t="n">
        <v>0</v>
      </c>
      <c r="K511" t="n">
        <v>0</v>
      </c>
      <c r="L511" t="n">
        <v>0</v>
      </c>
      <c r="M511" t="n">
        <v>0</v>
      </c>
      <c r="N511" t="n">
        <v>0</v>
      </c>
      <c r="O511" t="n">
        <v>0</v>
      </c>
      <c r="P511" t="n">
        <v>0</v>
      </c>
      <c r="Q511" t="n">
        <v>0</v>
      </c>
      <c r="R511" s="2" t="inlineStr"/>
    </row>
    <row r="512" ht="15" customHeight="1">
      <c r="A512" t="inlineStr">
        <is>
          <t>A 14638-2025</t>
        </is>
      </c>
      <c r="B512" s="1" t="n">
        <v>45742</v>
      </c>
      <c r="C512" s="1" t="n">
        <v>46001</v>
      </c>
      <c r="D512" t="inlineStr">
        <is>
          <t>GOTLANDS LÄN</t>
        </is>
      </c>
      <c r="E512" t="inlineStr">
        <is>
          <t>GOTLAND</t>
        </is>
      </c>
      <c r="G512" t="n">
        <v>13.4</v>
      </c>
      <c r="H512" t="n">
        <v>0</v>
      </c>
      <c r="I512" t="n">
        <v>0</v>
      </c>
      <c r="J512" t="n">
        <v>0</v>
      </c>
      <c r="K512" t="n">
        <v>0</v>
      </c>
      <c r="L512" t="n">
        <v>0</v>
      </c>
      <c r="M512" t="n">
        <v>0</v>
      </c>
      <c r="N512" t="n">
        <v>0</v>
      </c>
      <c r="O512" t="n">
        <v>0</v>
      </c>
      <c r="P512" t="n">
        <v>0</v>
      </c>
      <c r="Q512" t="n">
        <v>0</v>
      </c>
      <c r="R512" s="2" t="inlineStr"/>
    </row>
    <row r="513" ht="15" customHeight="1">
      <c r="A513" t="inlineStr">
        <is>
          <t>A 60675-2021</t>
        </is>
      </c>
      <c r="B513" s="1" t="n">
        <v>44496.64855324074</v>
      </c>
      <c r="C513" s="1" t="n">
        <v>46001</v>
      </c>
      <c r="D513" t="inlineStr">
        <is>
          <t>GOTLANDS LÄN</t>
        </is>
      </c>
      <c r="E513" t="inlineStr">
        <is>
          <t>GOTLAND</t>
        </is>
      </c>
      <c r="G513" t="n">
        <v>4.6</v>
      </c>
      <c r="H513" t="n">
        <v>0</v>
      </c>
      <c r="I513" t="n">
        <v>0</v>
      </c>
      <c r="J513" t="n">
        <v>0</v>
      </c>
      <c r="K513" t="n">
        <v>0</v>
      </c>
      <c r="L513" t="n">
        <v>0</v>
      </c>
      <c r="M513" t="n">
        <v>0</v>
      </c>
      <c r="N513" t="n">
        <v>0</v>
      </c>
      <c r="O513" t="n">
        <v>0</v>
      </c>
      <c r="P513" t="n">
        <v>0</v>
      </c>
      <c r="Q513" t="n">
        <v>0</v>
      </c>
      <c r="R513" s="2" t="inlineStr"/>
    </row>
    <row r="514" ht="15" customHeight="1">
      <c r="A514" t="inlineStr">
        <is>
          <t>A 37728-2024</t>
        </is>
      </c>
      <c r="B514" s="1" t="n">
        <v>45541</v>
      </c>
      <c r="C514" s="1" t="n">
        <v>46001</v>
      </c>
      <c r="D514" t="inlineStr">
        <is>
          <t>GOTLANDS LÄN</t>
        </is>
      </c>
      <c r="E514" t="inlineStr">
        <is>
          <t>GOTLAND</t>
        </is>
      </c>
      <c r="G514" t="n">
        <v>0.4</v>
      </c>
      <c r="H514" t="n">
        <v>0</v>
      </c>
      <c r="I514" t="n">
        <v>0</v>
      </c>
      <c r="J514" t="n">
        <v>0</v>
      </c>
      <c r="K514" t="n">
        <v>0</v>
      </c>
      <c r="L514" t="n">
        <v>0</v>
      </c>
      <c r="M514" t="n">
        <v>0</v>
      </c>
      <c r="N514" t="n">
        <v>0</v>
      </c>
      <c r="O514" t="n">
        <v>0</v>
      </c>
      <c r="P514" t="n">
        <v>0</v>
      </c>
      <c r="Q514" t="n">
        <v>0</v>
      </c>
      <c r="R514" s="2" t="inlineStr"/>
    </row>
    <row r="515" ht="15" customHeight="1">
      <c r="A515" t="inlineStr">
        <is>
          <t>A 22287-2022</t>
        </is>
      </c>
      <c r="B515" s="1" t="n">
        <v>44712</v>
      </c>
      <c r="C515" s="1" t="n">
        <v>46001</v>
      </c>
      <c r="D515" t="inlineStr">
        <is>
          <t>GOTLANDS LÄN</t>
        </is>
      </c>
      <c r="E515" t="inlineStr">
        <is>
          <t>GOTLAND</t>
        </is>
      </c>
      <c r="G515" t="n">
        <v>6.1</v>
      </c>
      <c r="H515" t="n">
        <v>0</v>
      </c>
      <c r="I515" t="n">
        <v>0</v>
      </c>
      <c r="J515" t="n">
        <v>0</v>
      </c>
      <c r="K515" t="n">
        <v>0</v>
      </c>
      <c r="L515" t="n">
        <v>0</v>
      </c>
      <c r="M515" t="n">
        <v>0</v>
      </c>
      <c r="N515" t="n">
        <v>0</v>
      </c>
      <c r="O515" t="n">
        <v>0</v>
      </c>
      <c r="P515" t="n">
        <v>0</v>
      </c>
      <c r="Q515" t="n">
        <v>0</v>
      </c>
      <c r="R515" s="2" t="inlineStr"/>
    </row>
    <row r="516" ht="15" customHeight="1">
      <c r="A516" t="inlineStr">
        <is>
          <t>A 54074-2022</t>
        </is>
      </c>
      <c r="B516" s="1" t="n">
        <v>44881</v>
      </c>
      <c r="C516" s="1" t="n">
        <v>46001</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65249-2023</t>
        </is>
      </c>
      <c r="B517" s="1" t="n">
        <v>45290</v>
      </c>
      <c r="C517" s="1" t="n">
        <v>46001</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13910-2025</t>
        </is>
      </c>
      <c r="B518" s="1" t="n">
        <v>45737</v>
      </c>
      <c r="C518" s="1" t="n">
        <v>46001</v>
      </c>
      <c r="D518" t="inlineStr">
        <is>
          <t>GOTLANDS LÄN</t>
        </is>
      </c>
      <c r="E518" t="inlineStr">
        <is>
          <t>GOTLAND</t>
        </is>
      </c>
      <c r="F518" t="inlineStr">
        <is>
          <t>Kommuner</t>
        </is>
      </c>
      <c r="G518" t="n">
        <v>3.2</v>
      </c>
      <c r="H518" t="n">
        <v>0</v>
      </c>
      <c r="I518" t="n">
        <v>0</v>
      </c>
      <c r="J518" t="n">
        <v>0</v>
      </c>
      <c r="K518" t="n">
        <v>0</v>
      </c>
      <c r="L518" t="n">
        <v>0</v>
      </c>
      <c r="M518" t="n">
        <v>0</v>
      </c>
      <c r="N518" t="n">
        <v>0</v>
      </c>
      <c r="O518" t="n">
        <v>0</v>
      </c>
      <c r="P518" t="n">
        <v>0</v>
      </c>
      <c r="Q518" t="n">
        <v>0</v>
      </c>
      <c r="R518" s="2" t="inlineStr"/>
    </row>
    <row r="519" ht="15" customHeight="1">
      <c r="A519" t="inlineStr">
        <is>
          <t>A 17780-2022</t>
        </is>
      </c>
      <c r="B519" s="1" t="n">
        <v>44682.82622685185</v>
      </c>
      <c r="C519" s="1" t="n">
        <v>46001</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46001</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14536-2021</t>
        </is>
      </c>
      <c r="B521" s="1" t="n">
        <v>44279.66168981481</v>
      </c>
      <c r="C521" s="1" t="n">
        <v>46001</v>
      </c>
      <c r="D521" t="inlineStr">
        <is>
          <t>GOTLANDS LÄN</t>
        </is>
      </c>
      <c r="E521" t="inlineStr">
        <is>
          <t>GOTLAND</t>
        </is>
      </c>
      <c r="G521" t="n">
        <v>8.5</v>
      </c>
      <c r="H521" t="n">
        <v>0</v>
      </c>
      <c r="I521" t="n">
        <v>0</v>
      </c>
      <c r="J521" t="n">
        <v>0</v>
      </c>
      <c r="K521" t="n">
        <v>0</v>
      </c>
      <c r="L521" t="n">
        <v>0</v>
      </c>
      <c r="M521" t="n">
        <v>0</v>
      </c>
      <c r="N521" t="n">
        <v>0</v>
      </c>
      <c r="O521" t="n">
        <v>0</v>
      </c>
      <c r="P521" t="n">
        <v>0</v>
      </c>
      <c r="Q521" t="n">
        <v>0</v>
      </c>
      <c r="R521" s="2" t="inlineStr"/>
    </row>
    <row r="522" ht="15" customHeight="1">
      <c r="A522" t="inlineStr">
        <is>
          <t>A 11874-2024</t>
        </is>
      </c>
      <c r="B522" s="1" t="n">
        <v>45376.46956018519</v>
      </c>
      <c r="C522" s="1" t="n">
        <v>46001</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42041-2024</t>
        </is>
      </c>
      <c r="B523" s="1" t="n">
        <v>45561</v>
      </c>
      <c r="C523" s="1" t="n">
        <v>46001</v>
      </c>
      <c r="D523" t="inlineStr">
        <is>
          <t>GOTLANDS LÄN</t>
        </is>
      </c>
      <c r="E523" t="inlineStr">
        <is>
          <t>GOTLAND</t>
        </is>
      </c>
      <c r="G523" t="n">
        <v>3.2</v>
      </c>
      <c r="H523" t="n">
        <v>0</v>
      </c>
      <c r="I523" t="n">
        <v>0</v>
      </c>
      <c r="J523" t="n">
        <v>0</v>
      </c>
      <c r="K523" t="n">
        <v>0</v>
      </c>
      <c r="L523" t="n">
        <v>0</v>
      </c>
      <c r="M523" t="n">
        <v>0</v>
      </c>
      <c r="N523" t="n">
        <v>0</v>
      </c>
      <c r="O523" t="n">
        <v>0</v>
      </c>
      <c r="P523" t="n">
        <v>0</v>
      </c>
      <c r="Q523" t="n">
        <v>0</v>
      </c>
      <c r="R523" s="2" t="inlineStr"/>
    </row>
    <row r="524" ht="15" customHeight="1">
      <c r="A524" t="inlineStr">
        <is>
          <t>A 61694-2023</t>
        </is>
      </c>
      <c r="B524" s="1" t="n">
        <v>45264</v>
      </c>
      <c r="C524" s="1" t="n">
        <v>46001</v>
      </c>
      <c r="D524" t="inlineStr">
        <is>
          <t>GOTLANDS LÄN</t>
        </is>
      </c>
      <c r="E524" t="inlineStr">
        <is>
          <t>GOTLAND</t>
        </is>
      </c>
      <c r="G524" t="n">
        <v>4.6</v>
      </c>
      <c r="H524" t="n">
        <v>0</v>
      </c>
      <c r="I524" t="n">
        <v>0</v>
      </c>
      <c r="J524" t="n">
        <v>0</v>
      </c>
      <c r="K524" t="n">
        <v>0</v>
      </c>
      <c r="L524" t="n">
        <v>0</v>
      </c>
      <c r="M524" t="n">
        <v>0</v>
      </c>
      <c r="N524" t="n">
        <v>0</v>
      </c>
      <c r="O524" t="n">
        <v>0</v>
      </c>
      <c r="P524" t="n">
        <v>0</v>
      </c>
      <c r="Q524" t="n">
        <v>0</v>
      </c>
      <c r="R524" s="2" t="inlineStr"/>
    </row>
    <row r="525" ht="15" customHeight="1">
      <c r="A525" t="inlineStr">
        <is>
          <t>A 64555-2023</t>
        </is>
      </c>
      <c r="B525" s="1" t="n">
        <v>45281</v>
      </c>
      <c r="C525" s="1" t="n">
        <v>46001</v>
      </c>
      <c r="D525" t="inlineStr">
        <is>
          <t>GOTLANDS LÄN</t>
        </is>
      </c>
      <c r="E525" t="inlineStr">
        <is>
          <t>GOTLAND</t>
        </is>
      </c>
      <c r="G525" t="n">
        <v>3.5</v>
      </c>
      <c r="H525" t="n">
        <v>0</v>
      </c>
      <c r="I525" t="n">
        <v>0</v>
      </c>
      <c r="J525" t="n">
        <v>0</v>
      </c>
      <c r="K525" t="n">
        <v>0</v>
      </c>
      <c r="L525" t="n">
        <v>0</v>
      </c>
      <c r="M525" t="n">
        <v>0</v>
      </c>
      <c r="N525" t="n">
        <v>0</v>
      </c>
      <c r="O525" t="n">
        <v>0</v>
      </c>
      <c r="P525" t="n">
        <v>0</v>
      </c>
      <c r="Q525" t="n">
        <v>0</v>
      </c>
      <c r="R525" s="2" t="inlineStr"/>
    </row>
    <row r="526" ht="15" customHeight="1">
      <c r="A526" t="inlineStr">
        <is>
          <t>A 64831-2023</t>
        </is>
      </c>
      <c r="B526" s="1" t="n">
        <v>45282.44924768519</v>
      </c>
      <c r="C526" s="1" t="n">
        <v>46001</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14804-2021</t>
        </is>
      </c>
      <c r="B527" s="1" t="n">
        <v>44280</v>
      </c>
      <c r="C527" s="1" t="n">
        <v>46001</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999-2023</t>
        </is>
      </c>
      <c r="B528" s="1" t="n">
        <v>44935</v>
      </c>
      <c r="C528" s="1" t="n">
        <v>46001</v>
      </c>
      <c r="D528" t="inlineStr">
        <is>
          <t>GOTLANDS LÄN</t>
        </is>
      </c>
      <c r="E528" t="inlineStr">
        <is>
          <t>GOTLAND</t>
        </is>
      </c>
      <c r="G528" t="n">
        <v>4.7</v>
      </c>
      <c r="H528" t="n">
        <v>0</v>
      </c>
      <c r="I528" t="n">
        <v>0</v>
      </c>
      <c r="J528" t="n">
        <v>0</v>
      </c>
      <c r="K528" t="n">
        <v>0</v>
      </c>
      <c r="L528" t="n">
        <v>0</v>
      </c>
      <c r="M528" t="n">
        <v>0</v>
      </c>
      <c r="N528" t="n">
        <v>0</v>
      </c>
      <c r="O528" t="n">
        <v>0</v>
      </c>
      <c r="P528" t="n">
        <v>0</v>
      </c>
      <c r="Q528" t="n">
        <v>0</v>
      </c>
      <c r="R528" s="2" t="inlineStr"/>
    </row>
    <row r="529" ht="15" customHeight="1">
      <c r="A529" t="inlineStr">
        <is>
          <t>A 27602-2023</t>
        </is>
      </c>
      <c r="B529" s="1" t="n">
        <v>45097</v>
      </c>
      <c r="C529" s="1" t="n">
        <v>46001</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4377-2023</t>
        </is>
      </c>
      <c r="B530" s="1" t="n">
        <v>44955.5502662037</v>
      </c>
      <c r="C530" s="1" t="n">
        <v>46001</v>
      </c>
      <c r="D530" t="inlineStr">
        <is>
          <t>GOTLANDS LÄN</t>
        </is>
      </c>
      <c r="E530" t="inlineStr">
        <is>
          <t>GOTLAND</t>
        </is>
      </c>
      <c r="F530" t="inlineStr">
        <is>
          <t>Kyrkan</t>
        </is>
      </c>
      <c r="G530" t="n">
        <v>0.6</v>
      </c>
      <c r="H530" t="n">
        <v>0</v>
      </c>
      <c r="I530" t="n">
        <v>0</v>
      </c>
      <c r="J530" t="n">
        <v>0</v>
      </c>
      <c r="K530" t="n">
        <v>0</v>
      </c>
      <c r="L530" t="n">
        <v>0</v>
      </c>
      <c r="M530" t="n">
        <v>0</v>
      </c>
      <c r="N530" t="n">
        <v>0</v>
      </c>
      <c r="O530" t="n">
        <v>0</v>
      </c>
      <c r="P530" t="n">
        <v>0</v>
      </c>
      <c r="Q530" t="n">
        <v>0</v>
      </c>
      <c r="R530" s="2" t="inlineStr"/>
    </row>
    <row r="531" ht="15" customHeight="1">
      <c r="A531" t="inlineStr">
        <is>
          <t>A 4387-2023</t>
        </is>
      </c>
      <c r="B531" s="1" t="n">
        <v>44955.73359953704</v>
      </c>
      <c r="C531" s="1" t="n">
        <v>46001</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46001</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51963-2024</t>
        </is>
      </c>
      <c r="B533" s="1" t="n">
        <v>45607.64833333333</v>
      </c>
      <c r="C533" s="1" t="n">
        <v>46001</v>
      </c>
      <c r="D533" t="inlineStr">
        <is>
          <t>GOTLANDS LÄN</t>
        </is>
      </c>
      <c r="E533" t="inlineStr">
        <is>
          <t>GOTLAND</t>
        </is>
      </c>
      <c r="G533" t="n">
        <v>2.4</v>
      </c>
      <c r="H533" t="n">
        <v>0</v>
      </c>
      <c r="I533" t="n">
        <v>0</v>
      </c>
      <c r="J533" t="n">
        <v>0</v>
      </c>
      <c r="K533" t="n">
        <v>0</v>
      </c>
      <c r="L533" t="n">
        <v>0</v>
      </c>
      <c r="M533" t="n">
        <v>0</v>
      </c>
      <c r="N533" t="n">
        <v>0</v>
      </c>
      <c r="O533" t="n">
        <v>0</v>
      </c>
      <c r="P533" t="n">
        <v>0</v>
      </c>
      <c r="Q533" t="n">
        <v>0</v>
      </c>
      <c r="R533" s="2" t="inlineStr"/>
    </row>
    <row r="534" ht="15" customHeight="1">
      <c r="A534" t="inlineStr">
        <is>
          <t>A 811-2023</t>
        </is>
      </c>
      <c r="B534" s="1" t="n">
        <v>44931</v>
      </c>
      <c r="C534" s="1" t="n">
        <v>46001</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46389-2021</t>
        </is>
      </c>
      <c r="B535" s="1" t="n">
        <v>44443</v>
      </c>
      <c r="C535" s="1" t="n">
        <v>46001</v>
      </c>
      <c r="D535" t="inlineStr">
        <is>
          <t>GOTLANDS LÄN</t>
        </is>
      </c>
      <c r="E535" t="inlineStr">
        <is>
          <t>GOTLAND</t>
        </is>
      </c>
      <c r="F535" t="inlineStr">
        <is>
          <t>Kyrkan</t>
        </is>
      </c>
      <c r="G535" t="n">
        <v>2.1</v>
      </c>
      <c r="H535" t="n">
        <v>0</v>
      </c>
      <c r="I535" t="n">
        <v>0</v>
      </c>
      <c r="J535" t="n">
        <v>0</v>
      </c>
      <c r="K535" t="n">
        <v>0</v>
      </c>
      <c r="L535" t="n">
        <v>0</v>
      </c>
      <c r="M535" t="n">
        <v>0</v>
      </c>
      <c r="N535" t="n">
        <v>0</v>
      </c>
      <c r="O535" t="n">
        <v>0</v>
      </c>
      <c r="P535" t="n">
        <v>0</v>
      </c>
      <c r="Q535" t="n">
        <v>0</v>
      </c>
      <c r="R535" s="2" t="inlineStr"/>
    </row>
    <row r="536" ht="15" customHeight="1">
      <c r="A536" t="inlineStr">
        <is>
          <t>A 26810-2021</t>
        </is>
      </c>
      <c r="B536" s="1" t="n">
        <v>44349.55087962963</v>
      </c>
      <c r="C536" s="1" t="n">
        <v>46001</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5923-2023</t>
        </is>
      </c>
      <c r="B537" s="1" t="n">
        <v>44963.69503472222</v>
      </c>
      <c r="C537" s="1" t="n">
        <v>46001</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33853-2024</t>
        </is>
      </c>
      <c r="B538" s="1" t="n">
        <v>45520.64298611111</v>
      </c>
      <c r="C538" s="1" t="n">
        <v>46001</v>
      </c>
      <c r="D538" t="inlineStr">
        <is>
          <t>GOTLANDS LÄN</t>
        </is>
      </c>
      <c r="E538" t="inlineStr">
        <is>
          <t>GOTLAND</t>
        </is>
      </c>
      <c r="G538" t="n">
        <v>3.9</v>
      </c>
      <c r="H538" t="n">
        <v>0</v>
      </c>
      <c r="I538" t="n">
        <v>0</v>
      </c>
      <c r="J538" t="n">
        <v>0</v>
      </c>
      <c r="K538" t="n">
        <v>0</v>
      </c>
      <c r="L538" t="n">
        <v>0</v>
      </c>
      <c r="M538" t="n">
        <v>0</v>
      </c>
      <c r="N538" t="n">
        <v>0</v>
      </c>
      <c r="O538" t="n">
        <v>0</v>
      </c>
      <c r="P538" t="n">
        <v>0</v>
      </c>
      <c r="Q538" t="n">
        <v>0</v>
      </c>
      <c r="R538" s="2" t="inlineStr"/>
    </row>
    <row r="539" ht="15" customHeight="1">
      <c r="A539" t="inlineStr">
        <is>
          <t>A 18918-2025</t>
        </is>
      </c>
      <c r="B539" s="1" t="n">
        <v>45764</v>
      </c>
      <c r="C539" s="1" t="n">
        <v>46001</v>
      </c>
      <c r="D539" t="inlineStr">
        <is>
          <t>GOTLANDS LÄN</t>
        </is>
      </c>
      <c r="E539" t="inlineStr">
        <is>
          <t>GOTLAND</t>
        </is>
      </c>
      <c r="G539" t="n">
        <v>1.7</v>
      </c>
      <c r="H539" t="n">
        <v>0</v>
      </c>
      <c r="I539" t="n">
        <v>0</v>
      </c>
      <c r="J539" t="n">
        <v>0</v>
      </c>
      <c r="K539" t="n">
        <v>0</v>
      </c>
      <c r="L539" t="n">
        <v>0</v>
      </c>
      <c r="M539" t="n">
        <v>0</v>
      </c>
      <c r="N539" t="n">
        <v>0</v>
      </c>
      <c r="O539" t="n">
        <v>0</v>
      </c>
      <c r="P539" t="n">
        <v>0</v>
      </c>
      <c r="Q539" t="n">
        <v>0</v>
      </c>
      <c r="R539" s="2" t="inlineStr"/>
    </row>
    <row r="540" ht="15" customHeight="1">
      <c r="A540" t="inlineStr">
        <is>
          <t>A 2674-2023</t>
        </is>
      </c>
      <c r="B540" s="1" t="n">
        <v>44944</v>
      </c>
      <c r="C540" s="1" t="n">
        <v>46001</v>
      </c>
      <c r="D540" t="inlineStr">
        <is>
          <t>GOTLANDS LÄN</t>
        </is>
      </c>
      <c r="E540" t="inlineStr">
        <is>
          <t>GOTLAND</t>
        </is>
      </c>
      <c r="G540" t="n">
        <v>2.5</v>
      </c>
      <c r="H540" t="n">
        <v>0</v>
      </c>
      <c r="I540" t="n">
        <v>0</v>
      </c>
      <c r="J540" t="n">
        <v>0</v>
      </c>
      <c r="K540" t="n">
        <v>0</v>
      </c>
      <c r="L540" t="n">
        <v>0</v>
      </c>
      <c r="M540" t="n">
        <v>0</v>
      </c>
      <c r="N540" t="n">
        <v>0</v>
      </c>
      <c r="O540" t="n">
        <v>0</v>
      </c>
      <c r="P540" t="n">
        <v>0</v>
      </c>
      <c r="Q540" t="n">
        <v>0</v>
      </c>
      <c r="R540" s="2" t="inlineStr"/>
    </row>
    <row r="541" ht="15" customHeight="1">
      <c r="A541" t="inlineStr">
        <is>
          <t>A 10655-2023</t>
        </is>
      </c>
      <c r="B541" s="1" t="n">
        <v>44988.49543981482</v>
      </c>
      <c r="C541" s="1" t="n">
        <v>46001</v>
      </c>
      <c r="D541" t="inlineStr">
        <is>
          <t>GOTLANDS LÄN</t>
        </is>
      </c>
      <c r="E541" t="inlineStr">
        <is>
          <t>GOTLAND</t>
        </is>
      </c>
      <c r="F541" t="inlineStr">
        <is>
          <t>Kyrkan</t>
        </is>
      </c>
      <c r="G541" t="n">
        <v>2</v>
      </c>
      <c r="H541" t="n">
        <v>0</v>
      </c>
      <c r="I541" t="n">
        <v>0</v>
      </c>
      <c r="J541" t="n">
        <v>0</v>
      </c>
      <c r="K541" t="n">
        <v>0</v>
      </c>
      <c r="L541" t="n">
        <v>0</v>
      </c>
      <c r="M541" t="n">
        <v>0</v>
      </c>
      <c r="N541" t="n">
        <v>0</v>
      </c>
      <c r="O541" t="n">
        <v>0</v>
      </c>
      <c r="P541" t="n">
        <v>0</v>
      </c>
      <c r="Q541" t="n">
        <v>0</v>
      </c>
      <c r="R541" s="2" t="inlineStr"/>
    </row>
    <row r="542" ht="15" customHeight="1">
      <c r="A542" t="inlineStr">
        <is>
          <t>A 2719-2023</t>
        </is>
      </c>
      <c r="B542" s="1" t="n">
        <v>44944.55361111111</v>
      </c>
      <c r="C542" s="1" t="n">
        <v>46001</v>
      </c>
      <c r="D542" t="inlineStr">
        <is>
          <t>GOTLANDS LÄN</t>
        </is>
      </c>
      <c r="E542" t="inlineStr">
        <is>
          <t>GOTLAND</t>
        </is>
      </c>
      <c r="G542" t="n">
        <v>0.5</v>
      </c>
      <c r="H542" t="n">
        <v>0</v>
      </c>
      <c r="I542" t="n">
        <v>0</v>
      </c>
      <c r="J542" t="n">
        <v>0</v>
      </c>
      <c r="K542" t="n">
        <v>0</v>
      </c>
      <c r="L542" t="n">
        <v>0</v>
      </c>
      <c r="M542" t="n">
        <v>0</v>
      </c>
      <c r="N542" t="n">
        <v>0</v>
      </c>
      <c r="O542" t="n">
        <v>0</v>
      </c>
      <c r="P542" t="n">
        <v>0</v>
      </c>
      <c r="Q542" t="n">
        <v>0</v>
      </c>
      <c r="R542" s="2" t="inlineStr"/>
    </row>
    <row r="543" ht="15" customHeight="1">
      <c r="A543" t="inlineStr">
        <is>
          <t>A 26891-2024</t>
        </is>
      </c>
      <c r="B543" s="1" t="n">
        <v>45470.65540509259</v>
      </c>
      <c r="C543" s="1" t="n">
        <v>46001</v>
      </c>
      <c r="D543" t="inlineStr">
        <is>
          <t>GOTLANDS LÄN</t>
        </is>
      </c>
      <c r="E543" t="inlineStr">
        <is>
          <t>GOTLAND</t>
        </is>
      </c>
      <c r="G543" t="n">
        <v>0.8</v>
      </c>
      <c r="H543" t="n">
        <v>0</v>
      </c>
      <c r="I543" t="n">
        <v>0</v>
      </c>
      <c r="J543" t="n">
        <v>0</v>
      </c>
      <c r="K543" t="n">
        <v>0</v>
      </c>
      <c r="L543" t="n">
        <v>0</v>
      </c>
      <c r="M543" t="n">
        <v>0</v>
      </c>
      <c r="N543" t="n">
        <v>0</v>
      </c>
      <c r="O543" t="n">
        <v>0</v>
      </c>
      <c r="P543" t="n">
        <v>0</v>
      </c>
      <c r="Q543" t="n">
        <v>0</v>
      </c>
      <c r="R543" s="2" t="inlineStr"/>
    </row>
    <row r="544" ht="15" customHeight="1">
      <c r="A544" t="inlineStr">
        <is>
          <t>A 42007-2023</t>
        </is>
      </c>
      <c r="B544" s="1" t="n">
        <v>45177</v>
      </c>
      <c r="C544" s="1" t="n">
        <v>46001</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9887-2025</t>
        </is>
      </c>
      <c r="B545" s="1" t="n">
        <v>45716</v>
      </c>
      <c r="C545" s="1" t="n">
        <v>46001</v>
      </c>
      <c r="D545" t="inlineStr">
        <is>
          <t>GOTLANDS LÄN</t>
        </is>
      </c>
      <c r="E545" t="inlineStr">
        <is>
          <t>GOTLAND</t>
        </is>
      </c>
      <c r="G545" t="n">
        <v>7.5</v>
      </c>
      <c r="H545" t="n">
        <v>0</v>
      </c>
      <c r="I545" t="n">
        <v>0</v>
      </c>
      <c r="J545" t="n">
        <v>0</v>
      </c>
      <c r="K545" t="n">
        <v>0</v>
      </c>
      <c r="L545" t="n">
        <v>0</v>
      </c>
      <c r="M545" t="n">
        <v>0</v>
      </c>
      <c r="N545" t="n">
        <v>0</v>
      </c>
      <c r="O545" t="n">
        <v>0</v>
      </c>
      <c r="P545" t="n">
        <v>0</v>
      </c>
      <c r="Q545" t="n">
        <v>0</v>
      </c>
      <c r="R545" s="2" t="inlineStr"/>
    </row>
    <row r="546" ht="15" customHeight="1">
      <c r="A546" t="inlineStr">
        <is>
          <t>A 38165-2023</t>
        </is>
      </c>
      <c r="B546" s="1" t="n">
        <v>45161</v>
      </c>
      <c r="C546" s="1" t="n">
        <v>46001</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27596-2023</t>
        </is>
      </c>
      <c r="B547" s="1" t="n">
        <v>45097</v>
      </c>
      <c r="C547" s="1" t="n">
        <v>46001</v>
      </c>
      <c r="D547" t="inlineStr">
        <is>
          <t>GOTLANDS LÄN</t>
        </is>
      </c>
      <c r="E547" t="inlineStr">
        <is>
          <t>GOTLAND</t>
        </is>
      </c>
      <c r="G547" t="n">
        <v>3.6</v>
      </c>
      <c r="H547" t="n">
        <v>0</v>
      </c>
      <c r="I547" t="n">
        <v>0</v>
      </c>
      <c r="J547" t="n">
        <v>0</v>
      </c>
      <c r="K547" t="n">
        <v>0</v>
      </c>
      <c r="L547" t="n">
        <v>0</v>
      </c>
      <c r="M547" t="n">
        <v>0</v>
      </c>
      <c r="N547" t="n">
        <v>0</v>
      </c>
      <c r="O547" t="n">
        <v>0</v>
      </c>
      <c r="P547" t="n">
        <v>0</v>
      </c>
      <c r="Q547" t="n">
        <v>0</v>
      </c>
      <c r="R547" s="2" t="inlineStr"/>
    </row>
    <row r="548" ht="15" customHeight="1">
      <c r="A548" t="inlineStr">
        <is>
          <t>A 24825-2024</t>
        </is>
      </c>
      <c r="B548" s="1" t="n">
        <v>45461</v>
      </c>
      <c r="C548" s="1" t="n">
        <v>46001</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6696-2023</t>
        </is>
      </c>
      <c r="B549" s="1" t="n">
        <v>44966.66425925926</v>
      </c>
      <c r="C549" s="1" t="n">
        <v>46001</v>
      </c>
      <c r="D549" t="inlineStr">
        <is>
          <t>GOTLANDS LÄN</t>
        </is>
      </c>
      <c r="E549" t="inlineStr">
        <is>
          <t>GOTLAND</t>
        </is>
      </c>
      <c r="G549" t="n">
        <v>1.5</v>
      </c>
      <c r="H549" t="n">
        <v>0</v>
      </c>
      <c r="I549" t="n">
        <v>0</v>
      </c>
      <c r="J549" t="n">
        <v>0</v>
      </c>
      <c r="K549" t="n">
        <v>0</v>
      </c>
      <c r="L549" t="n">
        <v>0</v>
      </c>
      <c r="M549" t="n">
        <v>0</v>
      </c>
      <c r="N549" t="n">
        <v>0</v>
      </c>
      <c r="O549" t="n">
        <v>0</v>
      </c>
      <c r="P549" t="n">
        <v>0</v>
      </c>
      <c r="Q549" t="n">
        <v>0</v>
      </c>
      <c r="R549" s="2" t="inlineStr"/>
    </row>
    <row r="550" ht="15" customHeight="1">
      <c r="A550" t="inlineStr">
        <is>
          <t>A 21247-2022</t>
        </is>
      </c>
      <c r="B550" s="1" t="n">
        <v>44705.38832175926</v>
      </c>
      <c r="C550" s="1" t="n">
        <v>46001</v>
      </c>
      <c r="D550" t="inlineStr">
        <is>
          <t>GOTLANDS LÄN</t>
        </is>
      </c>
      <c r="E550" t="inlineStr">
        <is>
          <t>GOTLAND</t>
        </is>
      </c>
      <c r="G550" t="n">
        <v>16.2</v>
      </c>
      <c r="H550" t="n">
        <v>0</v>
      </c>
      <c r="I550" t="n">
        <v>0</v>
      </c>
      <c r="J550" t="n">
        <v>0</v>
      </c>
      <c r="K550" t="n">
        <v>0</v>
      </c>
      <c r="L550" t="n">
        <v>0</v>
      </c>
      <c r="M550" t="n">
        <v>0</v>
      </c>
      <c r="N550" t="n">
        <v>0</v>
      </c>
      <c r="O550" t="n">
        <v>0</v>
      </c>
      <c r="P550" t="n">
        <v>0</v>
      </c>
      <c r="Q550" t="n">
        <v>0</v>
      </c>
      <c r="R550" s="2" t="inlineStr"/>
    </row>
    <row r="551" ht="15" customHeight="1">
      <c r="A551" t="inlineStr">
        <is>
          <t>A 456-2023</t>
        </is>
      </c>
      <c r="B551" s="1" t="n">
        <v>44929.87122685185</v>
      </c>
      <c r="C551" s="1" t="n">
        <v>46001</v>
      </c>
      <c r="D551" t="inlineStr">
        <is>
          <t>GOTLANDS LÄN</t>
        </is>
      </c>
      <c r="E551" t="inlineStr">
        <is>
          <t>GOTLAND</t>
        </is>
      </c>
      <c r="G551" t="n">
        <v>3.2</v>
      </c>
      <c r="H551" t="n">
        <v>0</v>
      </c>
      <c r="I551" t="n">
        <v>0</v>
      </c>
      <c r="J551" t="n">
        <v>0</v>
      </c>
      <c r="K551" t="n">
        <v>0</v>
      </c>
      <c r="L551" t="n">
        <v>0</v>
      </c>
      <c r="M551" t="n">
        <v>0</v>
      </c>
      <c r="N551" t="n">
        <v>0</v>
      </c>
      <c r="O551" t="n">
        <v>0</v>
      </c>
      <c r="P551" t="n">
        <v>0</v>
      </c>
      <c r="Q551" t="n">
        <v>0</v>
      </c>
      <c r="R551" s="2" t="inlineStr"/>
    </row>
    <row r="552" ht="15" customHeight="1">
      <c r="A552" t="inlineStr">
        <is>
          <t>A 2714-2023</t>
        </is>
      </c>
      <c r="B552" s="1" t="n">
        <v>44944.54896990741</v>
      </c>
      <c r="C552" s="1" t="n">
        <v>46001</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4421-2024</t>
        </is>
      </c>
      <c r="B553" s="1" t="n">
        <v>45327.45173611111</v>
      </c>
      <c r="C553" s="1" t="n">
        <v>46001</v>
      </c>
      <c r="D553" t="inlineStr">
        <is>
          <t>GOTLANDS LÄN</t>
        </is>
      </c>
      <c r="E553" t="inlineStr">
        <is>
          <t>GOTLAND</t>
        </is>
      </c>
      <c r="G553" t="n">
        <v>5.1</v>
      </c>
      <c r="H553" t="n">
        <v>0</v>
      </c>
      <c r="I553" t="n">
        <v>0</v>
      </c>
      <c r="J553" t="n">
        <v>0</v>
      </c>
      <c r="K553" t="n">
        <v>0</v>
      </c>
      <c r="L553" t="n">
        <v>0</v>
      </c>
      <c r="M553" t="n">
        <v>0</v>
      </c>
      <c r="N553" t="n">
        <v>0</v>
      </c>
      <c r="O553" t="n">
        <v>0</v>
      </c>
      <c r="P553" t="n">
        <v>0</v>
      </c>
      <c r="Q553" t="n">
        <v>0</v>
      </c>
      <c r="R553" s="2" t="inlineStr"/>
    </row>
    <row r="554" ht="15" customHeight="1">
      <c r="A554" t="inlineStr">
        <is>
          <t>A 51782-2023</t>
        </is>
      </c>
      <c r="B554" s="1" t="n">
        <v>45222.80952546297</v>
      </c>
      <c r="C554" s="1" t="n">
        <v>46001</v>
      </c>
      <c r="D554" t="inlineStr">
        <is>
          <t>GOTLANDS LÄN</t>
        </is>
      </c>
      <c r="E554" t="inlineStr">
        <is>
          <t>GOTLAND</t>
        </is>
      </c>
      <c r="G554" t="n">
        <v>1.2</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46001</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57534-2022</t>
        </is>
      </c>
      <c r="B556" s="1" t="n">
        <v>44896</v>
      </c>
      <c r="C556" s="1" t="n">
        <v>46001</v>
      </c>
      <c r="D556" t="inlineStr">
        <is>
          <t>GOTLANDS LÄN</t>
        </is>
      </c>
      <c r="E556" t="inlineStr">
        <is>
          <t>GOTLAND</t>
        </is>
      </c>
      <c r="G556" t="n">
        <v>0.6</v>
      </c>
      <c r="H556" t="n">
        <v>0</v>
      </c>
      <c r="I556" t="n">
        <v>0</v>
      </c>
      <c r="J556" t="n">
        <v>0</v>
      </c>
      <c r="K556" t="n">
        <v>0</v>
      </c>
      <c r="L556" t="n">
        <v>0</v>
      </c>
      <c r="M556" t="n">
        <v>0</v>
      </c>
      <c r="N556" t="n">
        <v>0</v>
      </c>
      <c r="O556" t="n">
        <v>0</v>
      </c>
      <c r="P556" t="n">
        <v>0</v>
      </c>
      <c r="Q556" t="n">
        <v>0</v>
      </c>
      <c r="R556" s="2" t="inlineStr"/>
    </row>
    <row r="557" ht="15" customHeight="1">
      <c r="A557" t="inlineStr">
        <is>
          <t>A 25866-2022</t>
        </is>
      </c>
      <c r="B557" s="1" t="n">
        <v>44733</v>
      </c>
      <c r="C557" s="1" t="n">
        <v>46001</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43229-2023</t>
        </is>
      </c>
      <c r="B558" s="1" t="n">
        <v>45183.46704861111</v>
      </c>
      <c r="C558" s="1" t="n">
        <v>46001</v>
      </c>
      <c r="D558" t="inlineStr">
        <is>
          <t>GOTLANDS LÄN</t>
        </is>
      </c>
      <c r="E558" t="inlineStr">
        <is>
          <t>GOTLAND</t>
        </is>
      </c>
      <c r="G558" t="n">
        <v>7.1</v>
      </c>
      <c r="H558" t="n">
        <v>0</v>
      </c>
      <c r="I558" t="n">
        <v>0</v>
      </c>
      <c r="J558" t="n">
        <v>0</v>
      </c>
      <c r="K558" t="n">
        <v>0</v>
      </c>
      <c r="L558" t="n">
        <v>0</v>
      </c>
      <c r="M558" t="n">
        <v>0</v>
      </c>
      <c r="N558" t="n">
        <v>0</v>
      </c>
      <c r="O558" t="n">
        <v>0</v>
      </c>
      <c r="P558" t="n">
        <v>0</v>
      </c>
      <c r="Q558" t="n">
        <v>0</v>
      </c>
      <c r="R558" s="2" t="inlineStr"/>
    </row>
    <row r="559" ht="15" customHeight="1">
      <c r="A559" t="inlineStr">
        <is>
          <t>A 1175-2025</t>
        </is>
      </c>
      <c r="B559" s="1" t="n">
        <v>45667.34449074074</v>
      </c>
      <c r="C559" s="1" t="n">
        <v>46001</v>
      </c>
      <c r="D559" t="inlineStr">
        <is>
          <t>GOTLANDS LÄN</t>
        </is>
      </c>
      <c r="E559" t="inlineStr">
        <is>
          <t>GOTLAND</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27095-2022</t>
        </is>
      </c>
      <c r="B560" s="1" t="n">
        <v>44741</v>
      </c>
      <c r="C560" s="1" t="n">
        <v>46001</v>
      </c>
      <c r="D560" t="inlineStr">
        <is>
          <t>GOTLANDS LÄN</t>
        </is>
      </c>
      <c r="E560" t="inlineStr">
        <is>
          <t>GOTLAND</t>
        </is>
      </c>
      <c r="F560" t="inlineStr">
        <is>
          <t>Övriga Aktiebolag</t>
        </is>
      </c>
      <c r="G560" t="n">
        <v>2.9</v>
      </c>
      <c r="H560" t="n">
        <v>0</v>
      </c>
      <c r="I560" t="n">
        <v>0</v>
      </c>
      <c r="J560" t="n">
        <v>0</v>
      </c>
      <c r="K560" t="n">
        <v>0</v>
      </c>
      <c r="L560" t="n">
        <v>0</v>
      </c>
      <c r="M560" t="n">
        <v>0</v>
      </c>
      <c r="N560" t="n">
        <v>0</v>
      </c>
      <c r="O560" t="n">
        <v>0</v>
      </c>
      <c r="P560" t="n">
        <v>0</v>
      </c>
      <c r="Q560" t="n">
        <v>0</v>
      </c>
      <c r="R560" s="2" t="inlineStr"/>
    </row>
    <row r="561" ht="15" customHeight="1">
      <c r="A561" t="inlineStr">
        <is>
          <t>A 22899-2023</t>
        </is>
      </c>
      <c r="B561" s="1" t="n">
        <v>45072</v>
      </c>
      <c r="C561" s="1" t="n">
        <v>46001</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23978-2023</t>
        </is>
      </c>
      <c r="B562" s="1" t="n">
        <v>45078</v>
      </c>
      <c r="C562" s="1" t="n">
        <v>46001</v>
      </c>
      <c r="D562" t="inlineStr">
        <is>
          <t>GOTLANDS LÄN</t>
        </is>
      </c>
      <c r="E562" t="inlineStr">
        <is>
          <t>GOTLAND</t>
        </is>
      </c>
      <c r="F562" t="inlineStr">
        <is>
          <t>Naturvårdsverket</t>
        </is>
      </c>
      <c r="G562" t="n">
        <v>1.7</v>
      </c>
      <c r="H562" t="n">
        <v>0</v>
      </c>
      <c r="I562" t="n">
        <v>0</v>
      </c>
      <c r="J562" t="n">
        <v>0</v>
      </c>
      <c r="K562" t="n">
        <v>0</v>
      </c>
      <c r="L562" t="n">
        <v>0</v>
      </c>
      <c r="M562" t="n">
        <v>0</v>
      </c>
      <c r="N562" t="n">
        <v>0</v>
      </c>
      <c r="O562" t="n">
        <v>0</v>
      </c>
      <c r="P562" t="n">
        <v>0</v>
      </c>
      <c r="Q562" t="n">
        <v>0</v>
      </c>
      <c r="R562" s="2" t="inlineStr"/>
    </row>
    <row r="563" ht="15" customHeight="1">
      <c r="A563" t="inlineStr">
        <is>
          <t>A 34407-2023</t>
        </is>
      </c>
      <c r="B563" s="1" t="n">
        <v>45132</v>
      </c>
      <c r="C563" s="1" t="n">
        <v>46001</v>
      </c>
      <c r="D563" t="inlineStr">
        <is>
          <t>GOTLANDS LÄN</t>
        </is>
      </c>
      <c r="E563" t="inlineStr">
        <is>
          <t>GOTLAND</t>
        </is>
      </c>
      <c r="G563" t="n">
        <v>4.4</v>
      </c>
      <c r="H563" t="n">
        <v>0</v>
      </c>
      <c r="I563" t="n">
        <v>0</v>
      </c>
      <c r="J563" t="n">
        <v>0</v>
      </c>
      <c r="K563" t="n">
        <v>0</v>
      </c>
      <c r="L563" t="n">
        <v>0</v>
      </c>
      <c r="M563" t="n">
        <v>0</v>
      </c>
      <c r="N563" t="n">
        <v>0</v>
      </c>
      <c r="O563" t="n">
        <v>0</v>
      </c>
      <c r="P563" t="n">
        <v>0</v>
      </c>
      <c r="Q563" t="n">
        <v>0</v>
      </c>
      <c r="R563" s="2" t="inlineStr"/>
    </row>
    <row r="564" ht="15" customHeight="1">
      <c r="A564" t="inlineStr">
        <is>
          <t>A 11013-2024</t>
        </is>
      </c>
      <c r="B564" s="1" t="n">
        <v>45370</v>
      </c>
      <c r="C564" s="1" t="n">
        <v>46001</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27694-2024</t>
        </is>
      </c>
      <c r="B565" s="1" t="n">
        <v>45475</v>
      </c>
      <c r="C565" s="1" t="n">
        <v>46001</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15083-2025</t>
        </is>
      </c>
      <c r="B566" s="1" t="n">
        <v>45743</v>
      </c>
      <c r="C566" s="1" t="n">
        <v>46001</v>
      </c>
      <c r="D566" t="inlineStr">
        <is>
          <t>GOTLANDS LÄN</t>
        </is>
      </c>
      <c r="E566" t="inlineStr">
        <is>
          <t>GOTLAND</t>
        </is>
      </c>
      <c r="G566" t="n">
        <v>2.3</v>
      </c>
      <c r="H566" t="n">
        <v>0</v>
      </c>
      <c r="I566" t="n">
        <v>0</v>
      </c>
      <c r="J566" t="n">
        <v>0</v>
      </c>
      <c r="K566" t="n">
        <v>0</v>
      </c>
      <c r="L566" t="n">
        <v>0</v>
      </c>
      <c r="M566" t="n">
        <v>0</v>
      </c>
      <c r="N566" t="n">
        <v>0</v>
      </c>
      <c r="O566" t="n">
        <v>0</v>
      </c>
      <c r="P566" t="n">
        <v>0</v>
      </c>
      <c r="Q566" t="n">
        <v>0</v>
      </c>
      <c r="R566" s="2" t="inlineStr"/>
    </row>
    <row r="567" ht="15" customHeight="1">
      <c r="A567" t="inlineStr">
        <is>
          <t>A 13037-2025</t>
        </is>
      </c>
      <c r="B567" s="1" t="n">
        <v>45734</v>
      </c>
      <c r="C567" s="1" t="n">
        <v>46001</v>
      </c>
      <c r="D567" t="inlineStr">
        <is>
          <t>GOTLANDS LÄN</t>
        </is>
      </c>
      <c r="E567" t="inlineStr">
        <is>
          <t>GOTLAND</t>
        </is>
      </c>
      <c r="G567" t="n">
        <v>9.5</v>
      </c>
      <c r="H567" t="n">
        <v>0</v>
      </c>
      <c r="I567" t="n">
        <v>0</v>
      </c>
      <c r="J567" t="n">
        <v>0</v>
      </c>
      <c r="K567" t="n">
        <v>0</v>
      </c>
      <c r="L567" t="n">
        <v>0</v>
      </c>
      <c r="M567" t="n">
        <v>0</v>
      </c>
      <c r="N567" t="n">
        <v>0</v>
      </c>
      <c r="O567" t="n">
        <v>0</v>
      </c>
      <c r="P567" t="n">
        <v>0</v>
      </c>
      <c r="Q567" t="n">
        <v>0</v>
      </c>
      <c r="R567" s="2" t="inlineStr"/>
    </row>
    <row r="568" ht="15" customHeight="1">
      <c r="A568" t="inlineStr">
        <is>
          <t>A 458-2023</t>
        </is>
      </c>
      <c r="B568" s="1" t="n">
        <v>44929</v>
      </c>
      <c r="C568" s="1" t="n">
        <v>46001</v>
      </c>
      <c r="D568" t="inlineStr">
        <is>
          <t>GOTLANDS LÄN</t>
        </is>
      </c>
      <c r="E568" t="inlineStr">
        <is>
          <t>GOTLAND</t>
        </is>
      </c>
      <c r="G568" t="n">
        <v>3.6</v>
      </c>
      <c r="H568" t="n">
        <v>0</v>
      </c>
      <c r="I568" t="n">
        <v>0</v>
      </c>
      <c r="J568" t="n">
        <v>0</v>
      </c>
      <c r="K568" t="n">
        <v>0</v>
      </c>
      <c r="L568" t="n">
        <v>0</v>
      </c>
      <c r="M568" t="n">
        <v>0</v>
      </c>
      <c r="N568" t="n">
        <v>0</v>
      </c>
      <c r="O568" t="n">
        <v>0</v>
      </c>
      <c r="P568" t="n">
        <v>0</v>
      </c>
      <c r="Q568" t="n">
        <v>0</v>
      </c>
      <c r="R568" s="2" t="inlineStr"/>
    </row>
    <row r="569" ht="15" customHeight="1">
      <c r="A569" t="inlineStr">
        <is>
          <t>A 44228-2022</t>
        </is>
      </c>
      <c r="B569" s="1" t="n">
        <v>44839.51599537037</v>
      </c>
      <c r="C569" s="1" t="n">
        <v>46001</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58132-2023</t>
        </is>
      </c>
      <c r="B570" s="1" t="n">
        <v>45250</v>
      </c>
      <c r="C570" s="1" t="n">
        <v>46001</v>
      </c>
      <c r="D570" t="inlineStr">
        <is>
          <t>GOTLANDS LÄN</t>
        </is>
      </c>
      <c r="E570" t="inlineStr">
        <is>
          <t>GOTLAND</t>
        </is>
      </c>
      <c r="G570" t="n">
        <v>3.1</v>
      </c>
      <c r="H570" t="n">
        <v>0</v>
      </c>
      <c r="I570" t="n">
        <v>0</v>
      </c>
      <c r="J570" t="n">
        <v>0</v>
      </c>
      <c r="K570" t="n">
        <v>0</v>
      </c>
      <c r="L570" t="n">
        <v>0</v>
      </c>
      <c r="M570" t="n">
        <v>0</v>
      </c>
      <c r="N570" t="n">
        <v>0</v>
      </c>
      <c r="O570" t="n">
        <v>0</v>
      </c>
      <c r="P570" t="n">
        <v>0</v>
      </c>
      <c r="Q570" t="n">
        <v>0</v>
      </c>
      <c r="R570" s="2" t="inlineStr"/>
    </row>
    <row r="571" ht="15" customHeight="1">
      <c r="A571" t="inlineStr">
        <is>
          <t>A 49884-2023</t>
        </is>
      </c>
      <c r="B571" s="1" t="n">
        <v>45213</v>
      </c>
      <c r="C571" s="1" t="n">
        <v>46001</v>
      </c>
      <c r="D571" t="inlineStr">
        <is>
          <t>GOTLANDS LÄN</t>
        </is>
      </c>
      <c r="E571" t="inlineStr">
        <is>
          <t>GOTLAND</t>
        </is>
      </c>
      <c r="G571" t="n">
        <v>8.9</v>
      </c>
      <c r="H571" t="n">
        <v>0</v>
      </c>
      <c r="I571" t="n">
        <v>0</v>
      </c>
      <c r="J571" t="n">
        <v>0</v>
      </c>
      <c r="K571" t="n">
        <v>0</v>
      </c>
      <c r="L571" t="n">
        <v>0</v>
      </c>
      <c r="M571" t="n">
        <v>0</v>
      </c>
      <c r="N571" t="n">
        <v>0</v>
      </c>
      <c r="O571" t="n">
        <v>0</v>
      </c>
      <c r="P571" t="n">
        <v>0</v>
      </c>
      <c r="Q571" t="n">
        <v>0</v>
      </c>
      <c r="R571" s="2" t="inlineStr"/>
    </row>
    <row r="572" ht="15" customHeight="1">
      <c r="A572" t="inlineStr">
        <is>
          <t>A 876-2024</t>
        </is>
      </c>
      <c r="B572" s="1" t="n">
        <v>45301</v>
      </c>
      <c r="C572" s="1" t="n">
        <v>46001</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22704-2023</t>
        </is>
      </c>
      <c r="B573" s="1" t="n">
        <v>45071</v>
      </c>
      <c r="C573" s="1" t="n">
        <v>46001</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28425-2023</t>
        </is>
      </c>
      <c r="B574" s="1" t="n">
        <v>45102</v>
      </c>
      <c r="C574" s="1" t="n">
        <v>46001</v>
      </c>
      <c r="D574" t="inlineStr">
        <is>
          <t>GOTLANDS LÄN</t>
        </is>
      </c>
      <c r="E574" t="inlineStr">
        <is>
          <t>GOTLAND</t>
        </is>
      </c>
      <c r="G574" t="n">
        <v>0.5</v>
      </c>
      <c r="H574" t="n">
        <v>0</v>
      </c>
      <c r="I574" t="n">
        <v>0</v>
      </c>
      <c r="J574" t="n">
        <v>0</v>
      </c>
      <c r="K574" t="n">
        <v>0</v>
      </c>
      <c r="L574" t="n">
        <v>0</v>
      </c>
      <c r="M574" t="n">
        <v>0</v>
      </c>
      <c r="N574" t="n">
        <v>0</v>
      </c>
      <c r="O574" t="n">
        <v>0</v>
      </c>
      <c r="P574" t="n">
        <v>0</v>
      </c>
      <c r="Q574" t="n">
        <v>0</v>
      </c>
      <c r="R574" s="2" t="inlineStr"/>
    </row>
    <row r="575" ht="15" customHeight="1">
      <c r="A575" t="inlineStr">
        <is>
          <t>A 58476-2022</t>
        </is>
      </c>
      <c r="B575" s="1" t="n">
        <v>44902</v>
      </c>
      <c r="C575" s="1" t="n">
        <v>46001</v>
      </c>
      <c r="D575" t="inlineStr">
        <is>
          <t>GOTLANDS LÄN</t>
        </is>
      </c>
      <c r="E575" t="inlineStr">
        <is>
          <t>GOTLAND</t>
        </is>
      </c>
      <c r="G575" t="n">
        <v>0.9</v>
      </c>
      <c r="H575" t="n">
        <v>0</v>
      </c>
      <c r="I575" t="n">
        <v>0</v>
      </c>
      <c r="J575" t="n">
        <v>0</v>
      </c>
      <c r="K575" t="n">
        <v>0</v>
      </c>
      <c r="L575" t="n">
        <v>0</v>
      </c>
      <c r="M575" t="n">
        <v>0</v>
      </c>
      <c r="N575" t="n">
        <v>0</v>
      </c>
      <c r="O575" t="n">
        <v>0</v>
      </c>
      <c r="P575" t="n">
        <v>0</v>
      </c>
      <c r="Q575" t="n">
        <v>0</v>
      </c>
      <c r="R575" s="2" t="inlineStr"/>
    </row>
    <row r="576" ht="15" customHeight="1">
      <c r="A576" t="inlineStr">
        <is>
          <t>A 43200-2023</t>
        </is>
      </c>
      <c r="B576" s="1" t="n">
        <v>45183</v>
      </c>
      <c r="C576" s="1" t="n">
        <v>46001</v>
      </c>
      <c r="D576" t="inlineStr">
        <is>
          <t>GOTLANDS LÄN</t>
        </is>
      </c>
      <c r="E576" t="inlineStr">
        <is>
          <t>GOTLAND</t>
        </is>
      </c>
      <c r="G576" t="n">
        <v>0.5</v>
      </c>
      <c r="H576" t="n">
        <v>0</v>
      </c>
      <c r="I576" t="n">
        <v>0</v>
      </c>
      <c r="J576" t="n">
        <v>0</v>
      </c>
      <c r="K576" t="n">
        <v>0</v>
      </c>
      <c r="L576" t="n">
        <v>0</v>
      </c>
      <c r="M576" t="n">
        <v>0</v>
      </c>
      <c r="N576" t="n">
        <v>0</v>
      </c>
      <c r="O576" t="n">
        <v>0</v>
      </c>
      <c r="P576" t="n">
        <v>0</v>
      </c>
      <c r="Q576" t="n">
        <v>0</v>
      </c>
      <c r="R576" s="2" t="inlineStr"/>
    </row>
    <row r="577" ht="15" customHeight="1">
      <c r="A577" t="inlineStr">
        <is>
          <t>A 43223-2023</t>
        </is>
      </c>
      <c r="B577" s="1" t="n">
        <v>45183.45642361111</v>
      </c>
      <c r="C577" s="1" t="n">
        <v>46001</v>
      </c>
      <c r="D577" t="inlineStr">
        <is>
          <t>GOTLANDS LÄN</t>
        </is>
      </c>
      <c r="E577" t="inlineStr">
        <is>
          <t>GOTLAND</t>
        </is>
      </c>
      <c r="G577" t="n">
        <v>1.8</v>
      </c>
      <c r="H577" t="n">
        <v>0</v>
      </c>
      <c r="I577" t="n">
        <v>0</v>
      </c>
      <c r="J577" t="n">
        <v>0</v>
      </c>
      <c r="K577" t="n">
        <v>0</v>
      </c>
      <c r="L577" t="n">
        <v>0</v>
      </c>
      <c r="M577" t="n">
        <v>0</v>
      </c>
      <c r="N577" t="n">
        <v>0</v>
      </c>
      <c r="O577" t="n">
        <v>0</v>
      </c>
      <c r="P577" t="n">
        <v>0</v>
      </c>
      <c r="Q577" t="n">
        <v>0</v>
      </c>
      <c r="R577" s="2" t="inlineStr"/>
    </row>
    <row r="578" ht="15" customHeight="1">
      <c r="A578" t="inlineStr">
        <is>
          <t>A 12327-2025</t>
        </is>
      </c>
      <c r="B578" s="1" t="n">
        <v>45730</v>
      </c>
      <c r="C578" s="1" t="n">
        <v>46001</v>
      </c>
      <c r="D578" t="inlineStr">
        <is>
          <t>GOTLANDS LÄN</t>
        </is>
      </c>
      <c r="E578" t="inlineStr">
        <is>
          <t>GOTLAND</t>
        </is>
      </c>
      <c r="G578" t="n">
        <v>1.8</v>
      </c>
      <c r="H578" t="n">
        <v>0</v>
      </c>
      <c r="I578" t="n">
        <v>0</v>
      </c>
      <c r="J578" t="n">
        <v>0</v>
      </c>
      <c r="K578" t="n">
        <v>0</v>
      </c>
      <c r="L578" t="n">
        <v>0</v>
      </c>
      <c r="M578" t="n">
        <v>0</v>
      </c>
      <c r="N578" t="n">
        <v>0</v>
      </c>
      <c r="O578" t="n">
        <v>0</v>
      </c>
      <c r="P578" t="n">
        <v>0</v>
      </c>
      <c r="Q578" t="n">
        <v>0</v>
      </c>
      <c r="R578" s="2" t="inlineStr"/>
    </row>
    <row r="579" ht="15" customHeight="1">
      <c r="A579" t="inlineStr">
        <is>
          <t>A 3431-2025</t>
        </is>
      </c>
      <c r="B579" s="1" t="n">
        <v>45680.42935185185</v>
      </c>
      <c r="C579" s="1" t="n">
        <v>46001</v>
      </c>
      <c r="D579" t="inlineStr">
        <is>
          <t>GOTLANDS LÄN</t>
        </is>
      </c>
      <c r="E579" t="inlineStr">
        <is>
          <t>GOTLAND</t>
        </is>
      </c>
      <c r="G579" t="n">
        <v>4.8</v>
      </c>
      <c r="H579" t="n">
        <v>0</v>
      </c>
      <c r="I579" t="n">
        <v>0</v>
      </c>
      <c r="J579" t="n">
        <v>0</v>
      </c>
      <c r="K579" t="n">
        <v>0</v>
      </c>
      <c r="L579" t="n">
        <v>0</v>
      </c>
      <c r="M579" t="n">
        <v>0</v>
      </c>
      <c r="N579" t="n">
        <v>0</v>
      </c>
      <c r="O579" t="n">
        <v>0</v>
      </c>
      <c r="P579" t="n">
        <v>0</v>
      </c>
      <c r="Q579" t="n">
        <v>0</v>
      </c>
      <c r="R579" s="2" t="inlineStr"/>
    </row>
    <row r="580" ht="15" customHeight="1">
      <c r="A580" t="inlineStr">
        <is>
          <t>A 12209-2024</t>
        </is>
      </c>
      <c r="B580" s="1" t="n">
        <v>45378</v>
      </c>
      <c r="C580" s="1" t="n">
        <v>46001</v>
      </c>
      <c r="D580" t="inlineStr">
        <is>
          <t>GOTLANDS LÄN</t>
        </is>
      </c>
      <c r="E580" t="inlineStr">
        <is>
          <t>GOTLAND</t>
        </is>
      </c>
      <c r="G580" t="n">
        <v>5.3</v>
      </c>
      <c r="H580" t="n">
        <v>0</v>
      </c>
      <c r="I580" t="n">
        <v>0</v>
      </c>
      <c r="J580" t="n">
        <v>0</v>
      </c>
      <c r="K580" t="n">
        <v>0</v>
      </c>
      <c r="L580" t="n">
        <v>0</v>
      </c>
      <c r="M580" t="n">
        <v>0</v>
      </c>
      <c r="N580" t="n">
        <v>0</v>
      </c>
      <c r="O580" t="n">
        <v>0</v>
      </c>
      <c r="P580" t="n">
        <v>0</v>
      </c>
      <c r="Q580" t="n">
        <v>0</v>
      </c>
      <c r="R580" s="2" t="inlineStr"/>
    </row>
    <row r="581" ht="15" customHeight="1">
      <c r="A581" t="inlineStr">
        <is>
          <t>A 12210-2024</t>
        </is>
      </c>
      <c r="B581" s="1" t="n">
        <v>45378</v>
      </c>
      <c r="C581" s="1" t="n">
        <v>46001</v>
      </c>
      <c r="D581" t="inlineStr">
        <is>
          <t>GOTLANDS LÄN</t>
        </is>
      </c>
      <c r="E581" t="inlineStr">
        <is>
          <t>GOTLAND</t>
        </is>
      </c>
      <c r="G581" t="n">
        <v>4.1</v>
      </c>
      <c r="H581" t="n">
        <v>0</v>
      </c>
      <c r="I581" t="n">
        <v>0</v>
      </c>
      <c r="J581" t="n">
        <v>0</v>
      </c>
      <c r="K581" t="n">
        <v>0</v>
      </c>
      <c r="L581" t="n">
        <v>0</v>
      </c>
      <c r="M581" t="n">
        <v>0</v>
      </c>
      <c r="N581" t="n">
        <v>0</v>
      </c>
      <c r="O581" t="n">
        <v>0</v>
      </c>
      <c r="P581" t="n">
        <v>0</v>
      </c>
      <c r="Q581" t="n">
        <v>0</v>
      </c>
      <c r="R581" s="2" t="inlineStr"/>
    </row>
    <row r="582" ht="15" customHeight="1">
      <c r="A582" t="inlineStr">
        <is>
          <t>A 1364-2025</t>
        </is>
      </c>
      <c r="B582" s="1" t="n">
        <v>45667.63929398148</v>
      </c>
      <c r="C582" s="1" t="n">
        <v>46001</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15042-2025</t>
        </is>
      </c>
      <c r="B583" s="1" t="n">
        <v>45743</v>
      </c>
      <c r="C583" s="1" t="n">
        <v>46001</v>
      </c>
      <c r="D583" t="inlineStr">
        <is>
          <t>GOTLANDS LÄN</t>
        </is>
      </c>
      <c r="E583" t="inlineStr">
        <is>
          <t>GOTLAND</t>
        </is>
      </c>
      <c r="G583" t="n">
        <v>8.5</v>
      </c>
      <c r="H583" t="n">
        <v>0</v>
      </c>
      <c r="I583" t="n">
        <v>0</v>
      </c>
      <c r="J583" t="n">
        <v>0</v>
      </c>
      <c r="K583" t="n">
        <v>0</v>
      </c>
      <c r="L583" t="n">
        <v>0</v>
      </c>
      <c r="M583" t="n">
        <v>0</v>
      </c>
      <c r="N583" t="n">
        <v>0</v>
      </c>
      <c r="O583" t="n">
        <v>0</v>
      </c>
      <c r="P583" t="n">
        <v>0</v>
      </c>
      <c r="Q583" t="n">
        <v>0</v>
      </c>
      <c r="R583" s="2" t="inlineStr"/>
    </row>
    <row r="584" ht="15" customHeight="1">
      <c r="A584" t="inlineStr">
        <is>
          <t>A 2180-2025</t>
        </is>
      </c>
      <c r="B584" s="1" t="n">
        <v>45673</v>
      </c>
      <c r="C584" s="1" t="n">
        <v>46001</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15436-2025</t>
        </is>
      </c>
      <c r="B585" s="1" t="n">
        <v>45747.47462962963</v>
      </c>
      <c r="C585" s="1" t="n">
        <v>46001</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49257-2024</t>
        </is>
      </c>
      <c r="B586" s="1" t="n">
        <v>45595.47627314815</v>
      </c>
      <c r="C586" s="1" t="n">
        <v>46001</v>
      </c>
      <c r="D586" t="inlineStr">
        <is>
          <t>GOTLANDS LÄN</t>
        </is>
      </c>
      <c r="E586" t="inlineStr">
        <is>
          <t>GOTLAND</t>
        </is>
      </c>
      <c r="G586" t="n">
        <v>6.3</v>
      </c>
      <c r="H586" t="n">
        <v>0</v>
      </c>
      <c r="I586" t="n">
        <v>0</v>
      </c>
      <c r="J586" t="n">
        <v>0</v>
      </c>
      <c r="K586" t="n">
        <v>0</v>
      </c>
      <c r="L586" t="n">
        <v>0</v>
      </c>
      <c r="M586" t="n">
        <v>0</v>
      </c>
      <c r="N586" t="n">
        <v>0</v>
      </c>
      <c r="O586" t="n">
        <v>0</v>
      </c>
      <c r="P586" t="n">
        <v>0</v>
      </c>
      <c r="Q586" t="n">
        <v>0</v>
      </c>
      <c r="R586" s="2" t="inlineStr"/>
    </row>
    <row r="587" ht="15" customHeight="1">
      <c r="A587" t="inlineStr">
        <is>
          <t>A 37202-2024</t>
        </is>
      </c>
      <c r="B587" s="1" t="n">
        <v>45539.67310185185</v>
      </c>
      <c r="C587" s="1" t="n">
        <v>46001</v>
      </c>
      <c r="D587" t="inlineStr">
        <is>
          <t>GOTLANDS LÄN</t>
        </is>
      </c>
      <c r="E587" t="inlineStr">
        <is>
          <t>GOTLAND</t>
        </is>
      </c>
      <c r="G587" t="n">
        <v>0.3</v>
      </c>
      <c r="H587" t="n">
        <v>0</v>
      </c>
      <c r="I587" t="n">
        <v>0</v>
      </c>
      <c r="J587" t="n">
        <v>0</v>
      </c>
      <c r="K587" t="n">
        <v>0</v>
      </c>
      <c r="L587" t="n">
        <v>0</v>
      </c>
      <c r="M587" t="n">
        <v>0</v>
      </c>
      <c r="N587" t="n">
        <v>0</v>
      </c>
      <c r="O587" t="n">
        <v>0</v>
      </c>
      <c r="P587" t="n">
        <v>0</v>
      </c>
      <c r="Q587" t="n">
        <v>0</v>
      </c>
      <c r="R587" s="2" t="inlineStr"/>
    </row>
    <row r="588" ht="15" customHeight="1">
      <c r="A588" t="inlineStr">
        <is>
          <t>A 56115-2023</t>
        </is>
      </c>
      <c r="B588" s="1" t="n">
        <v>45236</v>
      </c>
      <c r="C588" s="1" t="n">
        <v>46001</v>
      </c>
      <c r="D588" t="inlineStr">
        <is>
          <t>GOTLANDS LÄN</t>
        </is>
      </c>
      <c r="E588" t="inlineStr">
        <is>
          <t>GOTLAND</t>
        </is>
      </c>
      <c r="G588" t="n">
        <v>2</v>
      </c>
      <c r="H588" t="n">
        <v>0</v>
      </c>
      <c r="I588" t="n">
        <v>0</v>
      </c>
      <c r="J588" t="n">
        <v>0</v>
      </c>
      <c r="K588" t="n">
        <v>0</v>
      </c>
      <c r="L588" t="n">
        <v>0</v>
      </c>
      <c r="M588" t="n">
        <v>0</v>
      </c>
      <c r="N588" t="n">
        <v>0</v>
      </c>
      <c r="O588" t="n">
        <v>0</v>
      </c>
      <c r="P588" t="n">
        <v>0</v>
      </c>
      <c r="Q588" t="n">
        <v>0</v>
      </c>
      <c r="R588" s="2" t="inlineStr"/>
    </row>
    <row r="589" ht="15" customHeight="1">
      <c r="A589" t="inlineStr">
        <is>
          <t>A 2774-2024</t>
        </is>
      </c>
      <c r="B589" s="1" t="n">
        <v>45314.62375</v>
      </c>
      <c r="C589" s="1" t="n">
        <v>46001</v>
      </c>
      <c r="D589" t="inlineStr">
        <is>
          <t>GOTLANDS LÄN</t>
        </is>
      </c>
      <c r="E589" t="inlineStr">
        <is>
          <t>GOTLAND</t>
        </is>
      </c>
      <c r="G589" t="n">
        <v>1</v>
      </c>
      <c r="H589" t="n">
        <v>0</v>
      </c>
      <c r="I589" t="n">
        <v>0</v>
      </c>
      <c r="J589" t="n">
        <v>0</v>
      </c>
      <c r="K589" t="n">
        <v>0</v>
      </c>
      <c r="L589" t="n">
        <v>0</v>
      </c>
      <c r="M589" t="n">
        <v>0</v>
      </c>
      <c r="N589" t="n">
        <v>0</v>
      </c>
      <c r="O589" t="n">
        <v>0</v>
      </c>
      <c r="P589" t="n">
        <v>0</v>
      </c>
      <c r="Q589" t="n">
        <v>0</v>
      </c>
      <c r="R589" s="2" t="inlineStr"/>
    </row>
    <row r="590" ht="15" customHeight="1">
      <c r="A590" t="inlineStr">
        <is>
          <t>A 60709-2023</t>
        </is>
      </c>
      <c r="B590" s="1" t="n">
        <v>45260</v>
      </c>
      <c r="C590" s="1" t="n">
        <v>46001</v>
      </c>
      <c r="D590" t="inlineStr">
        <is>
          <t>GOTLANDS LÄN</t>
        </is>
      </c>
      <c r="E590" t="inlineStr">
        <is>
          <t>GOTLAND</t>
        </is>
      </c>
      <c r="G590" t="n">
        <v>1.7</v>
      </c>
      <c r="H590" t="n">
        <v>0</v>
      </c>
      <c r="I590" t="n">
        <v>0</v>
      </c>
      <c r="J590" t="n">
        <v>0</v>
      </c>
      <c r="K590" t="n">
        <v>0</v>
      </c>
      <c r="L590" t="n">
        <v>0</v>
      </c>
      <c r="M590" t="n">
        <v>0</v>
      </c>
      <c r="N590" t="n">
        <v>0</v>
      </c>
      <c r="O590" t="n">
        <v>0</v>
      </c>
      <c r="P590" t="n">
        <v>0</v>
      </c>
      <c r="Q590" t="n">
        <v>0</v>
      </c>
      <c r="R590" s="2" t="inlineStr"/>
    </row>
    <row r="591" ht="15" customHeight="1">
      <c r="A591" t="inlineStr">
        <is>
          <t>A 64208-2021</t>
        </is>
      </c>
      <c r="B591" s="1" t="n">
        <v>44510</v>
      </c>
      <c r="C591" s="1" t="n">
        <v>46001</v>
      </c>
      <c r="D591" t="inlineStr">
        <is>
          <t>GOTLANDS LÄN</t>
        </is>
      </c>
      <c r="E591" t="inlineStr">
        <is>
          <t>GOTLAND</t>
        </is>
      </c>
      <c r="G591" t="n">
        <v>4.7</v>
      </c>
      <c r="H591" t="n">
        <v>0</v>
      </c>
      <c r="I591" t="n">
        <v>0</v>
      </c>
      <c r="J591" t="n">
        <v>0</v>
      </c>
      <c r="K591" t="n">
        <v>0</v>
      </c>
      <c r="L591" t="n">
        <v>0</v>
      </c>
      <c r="M591" t="n">
        <v>0</v>
      </c>
      <c r="N591" t="n">
        <v>0</v>
      </c>
      <c r="O591" t="n">
        <v>0</v>
      </c>
      <c r="P591" t="n">
        <v>0</v>
      </c>
      <c r="Q591" t="n">
        <v>0</v>
      </c>
      <c r="R591" s="2" t="inlineStr"/>
    </row>
    <row r="592" ht="15" customHeight="1">
      <c r="A592" t="inlineStr">
        <is>
          <t>A 39764-2022</t>
        </is>
      </c>
      <c r="B592" s="1" t="n">
        <v>44819</v>
      </c>
      <c r="C592" s="1" t="n">
        <v>46001</v>
      </c>
      <c r="D592" t="inlineStr">
        <is>
          <t>GOTLANDS LÄN</t>
        </is>
      </c>
      <c r="E592" t="inlineStr">
        <is>
          <t>GOTLAND</t>
        </is>
      </c>
      <c r="F592" t="inlineStr">
        <is>
          <t>Kyrkan</t>
        </is>
      </c>
      <c r="G592" t="n">
        <v>3.7</v>
      </c>
      <c r="H592" t="n">
        <v>0</v>
      </c>
      <c r="I592" t="n">
        <v>0</v>
      </c>
      <c r="J592" t="n">
        <v>0</v>
      </c>
      <c r="K592" t="n">
        <v>0</v>
      </c>
      <c r="L592" t="n">
        <v>0</v>
      </c>
      <c r="M592" t="n">
        <v>0</v>
      </c>
      <c r="N592" t="n">
        <v>0</v>
      </c>
      <c r="O592" t="n">
        <v>0</v>
      </c>
      <c r="P592" t="n">
        <v>0</v>
      </c>
      <c r="Q592" t="n">
        <v>0</v>
      </c>
      <c r="R592" s="2" t="inlineStr"/>
    </row>
    <row r="593" ht="15" customHeight="1">
      <c r="A593" t="inlineStr">
        <is>
          <t>A 58211-2024</t>
        </is>
      </c>
      <c r="B593" s="1" t="n">
        <v>45632.49292824074</v>
      </c>
      <c r="C593" s="1" t="n">
        <v>46001</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30956-2024</t>
        </is>
      </c>
      <c r="B594" s="1" t="n">
        <v>45499.42527777778</v>
      </c>
      <c r="C594" s="1" t="n">
        <v>46001</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30892-2024</t>
        </is>
      </c>
      <c r="B595" s="1" t="n">
        <v>45491</v>
      </c>
      <c r="C595" s="1" t="n">
        <v>46001</v>
      </c>
      <c r="D595" t="inlineStr">
        <is>
          <t>GOTLANDS LÄN</t>
        </is>
      </c>
      <c r="E595" t="inlineStr">
        <is>
          <t>GOTLAND</t>
        </is>
      </c>
      <c r="G595" t="n">
        <v>6.1</v>
      </c>
      <c r="H595" t="n">
        <v>0</v>
      </c>
      <c r="I595" t="n">
        <v>0</v>
      </c>
      <c r="J595" t="n">
        <v>0</v>
      </c>
      <c r="K595" t="n">
        <v>0</v>
      </c>
      <c r="L595" t="n">
        <v>0</v>
      </c>
      <c r="M595" t="n">
        <v>0</v>
      </c>
      <c r="N595" t="n">
        <v>0</v>
      </c>
      <c r="O595" t="n">
        <v>0</v>
      </c>
      <c r="P595" t="n">
        <v>0</v>
      </c>
      <c r="Q595" t="n">
        <v>0</v>
      </c>
      <c r="R595" s="2" t="inlineStr"/>
    </row>
    <row r="596" ht="15" customHeight="1">
      <c r="A596" t="inlineStr">
        <is>
          <t>A 14635-2023</t>
        </is>
      </c>
      <c r="B596" s="1" t="n">
        <v>45013.69365740741</v>
      </c>
      <c r="C596" s="1" t="n">
        <v>46001</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59469-2024</t>
        </is>
      </c>
      <c r="B597" s="1" t="n">
        <v>45638</v>
      </c>
      <c r="C597" s="1" t="n">
        <v>46001</v>
      </c>
      <c r="D597" t="inlineStr">
        <is>
          <t>GOTLANDS LÄN</t>
        </is>
      </c>
      <c r="E597" t="inlineStr">
        <is>
          <t>GOTLAND</t>
        </is>
      </c>
      <c r="G597" t="n">
        <v>0.4</v>
      </c>
      <c r="H597" t="n">
        <v>0</v>
      </c>
      <c r="I597" t="n">
        <v>0</v>
      </c>
      <c r="J597" t="n">
        <v>0</v>
      </c>
      <c r="K597" t="n">
        <v>0</v>
      </c>
      <c r="L597" t="n">
        <v>0</v>
      </c>
      <c r="M597" t="n">
        <v>0</v>
      </c>
      <c r="N597" t="n">
        <v>0</v>
      </c>
      <c r="O597" t="n">
        <v>0</v>
      </c>
      <c r="P597" t="n">
        <v>0</v>
      </c>
      <c r="Q597" t="n">
        <v>0</v>
      </c>
      <c r="R597" s="2" t="inlineStr"/>
    </row>
    <row r="598" ht="15" customHeight="1">
      <c r="A598" t="inlineStr">
        <is>
          <t>A 7858-2025</t>
        </is>
      </c>
      <c r="B598" s="1" t="n">
        <v>45706.68633101852</v>
      </c>
      <c r="C598" s="1" t="n">
        <v>46001</v>
      </c>
      <c r="D598" t="inlineStr">
        <is>
          <t>GOTLANDS LÄN</t>
        </is>
      </c>
      <c r="E598" t="inlineStr">
        <is>
          <t>GOTLAND</t>
        </is>
      </c>
      <c r="G598" t="n">
        <v>3</v>
      </c>
      <c r="H598" t="n">
        <v>0</v>
      </c>
      <c r="I598" t="n">
        <v>0</v>
      </c>
      <c r="J598" t="n">
        <v>0</v>
      </c>
      <c r="K598" t="n">
        <v>0</v>
      </c>
      <c r="L598" t="n">
        <v>0</v>
      </c>
      <c r="M598" t="n">
        <v>0</v>
      </c>
      <c r="N598" t="n">
        <v>0</v>
      </c>
      <c r="O598" t="n">
        <v>0</v>
      </c>
      <c r="P598" t="n">
        <v>0</v>
      </c>
      <c r="Q598" t="n">
        <v>0</v>
      </c>
      <c r="R598" s="2" t="inlineStr"/>
    </row>
    <row r="599" ht="15" customHeight="1">
      <c r="A599" t="inlineStr">
        <is>
          <t>A 53935-2024</t>
        </is>
      </c>
      <c r="B599" s="1" t="n">
        <v>45615</v>
      </c>
      <c r="C599" s="1" t="n">
        <v>46001</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18223-2025</t>
        </is>
      </c>
      <c r="B600" s="1" t="n">
        <v>45761</v>
      </c>
      <c r="C600" s="1" t="n">
        <v>46001</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4420-2025</t>
        </is>
      </c>
      <c r="B601" s="1" t="n">
        <v>45686.47157407407</v>
      </c>
      <c r="C601" s="1" t="n">
        <v>46001</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5891-2025</t>
        </is>
      </c>
      <c r="B602" s="1" t="n">
        <v>45695.38327546296</v>
      </c>
      <c r="C602" s="1" t="n">
        <v>46001</v>
      </c>
      <c r="D602" t="inlineStr">
        <is>
          <t>GOTLANDS LÄN</t>
        </is>
      </c>
      <c r="E602" t="inlineStr">
        <is>
          <t>GOTLAND</t>
        </is>
      </c>
      <c r="G602" t="n">
        <v>0.8</v>
      </c>
      <c r="H602" t="n">
        <v>0</v>
      </c>
      <c r="I602" t="n">
        <v>0</v>
      </c>
      <c r="J602" t="n">
        <v>0</v>
      </c>
      <c r="K602" t="n">
        <v>0</v>
      </c>
      <c r="L602" t="n">
        <v>0</v>
      </c>
      <c r="M602" t="n">
        <v>0</v>
      </c>
      <c r="N602" t="n">
        <v>0</v>
      </c>
      <c r="O602" t="n">
        <v>0</v>
      </c>
      <c r="P602" t="n">
        <v>0</v>
      </c>
      <c r="Q602" t="n">
        <v>0</v>
      </c>
      <c r="R602" s="2" t="inlineStr"/>
    </row>
    <row r="603" ht="15" customHeight="1">
      <c r="A603" t="inlineStr">
        <is>
          <t>A 7835-2024</t>
        </is>
      </c>
      <c r="B603" s="1" t="n">
        <v>45349.83138888889</v>
      </c>
      <c r="C603" s="1" t="n">
        <v>46001</v>
      </c>
      <c r="D603" t="inlineStr">
        <is>
          <t>GOTLANDS LÄN</t>
        </is>
      </c>
      <c r="E603" t="inlineStr">
        <is>
          <t>GOTLAND</t>
        </is>
      </c>
      <c r="G603" t="n">
        <v>3.8</v>
      </c>
      <c r="H603" t="n">
        <v>0</v>
      </c>
      <c r="I603" t="n">
        <v>0</v>
      </c>
      <c r="J603" t="n">
        <v>0</v>
      </c>
      <c r="K603" t="n">
        <v>0</v>
      </c>
      <c r="L603" t="n">
        <v>0</v>
      </c>
      <c r="M603" t="n">
        <v>0</v>
      </c>
      <c r="N603" t="n">
        <v>0</v>
      </c>
      <c r="O603" t="n">
        <v>0</v>
      </c>
      <c r="P603" t="n">
        <v>0</v>
      </c>
      <c r="Q603" t="n">
        <v>0</v>
      </c>
      <c r="R603" s="2" t="inlineStr"/>
    </row>
    <row r="604" ht="15" customHeight="1">
      <c r="A604" t="inlineStr">
        <is>
          <t>A 20794-2025</t>
        </is>
      </c>
      <c r="B604" s="1" t="n">
        <v>45776</v>
      </c>
      <c r="C604" s="1" t="n">
        <v>46001</v>
      </c>
      <c r="D604" t="inlineStr">
        <is>
          <t>GOTLANDS LÄN</t>
        </is>
      </c>
      <c r="E604" t="inlineStr">
        <is>
          <t>GOTLAND</t>
        </is>
      </c>
      <c r="G604" t="n">
        <v>6</v>
      </c>
      <c r="H604" t="n">
        <v>0</v>
      </c>
      <c r="I604" t="n">
        <v>0</v>
      </c>
      <c r="J604" t="n">
        <v>0</v>
      </c>
      <c r="K604" t="n">
        <v>0</v>
      </c>
      <c r="L604" t="n">
        <v>0</v>
      </c>
      <c r="M604" t="n">
        <v>0</v>
      </c>
      <c r="N604" t="n">
        <v>0</v>
      </c>
      <c r="O604" t="n">
        <v>0</v>
      </c>
      <c r="P604" t="n">
        <v>0</v>
      </c>
      <c r="Q604" t="n">
        <v>0</v>
      </c>
      <c r="R604" s="2" t="inlineStr"/>
    </row>
    <row r="605" ht="15" customHeight="1">
      <c r="A605" t="inlineStr">
        <is>
          <t>A 20805-2025</t>
        </is>
      </c>
      <c r="B605" s="1" t="n">
        <v>45776</v>
      </c>
      <c r="C605" s="1" t="n">
        <v>46001</v>
      </c>
      <c r="D605" t="inlineStr">
        <is>
          <t>GOTLANDS LÄN</t>
        </is>
      </c>
      <c r="E605" t="inlineStr">
        <is>
          <t>GOTLAND</t>
        </is>
      </c>
      <c r="G605" t="n">
        <v>3.1</v>
      </c>
      <c r="H605" t="n">
        <v>0</v>
      </c>
      <c r="I605" t="n">
        <v>0</v>
      </c>
      <c r="J605" t="n">
        <v>0</v>
      </c>
      <c r="K605" t="n">
        <v>0</v>
      </c>
      <c r="L605" t="n">
        <v>0</v>
      </c>
      <c r="M605" t="n">
        <v>0</v>
      </c>
      <c r="N605" t="n">
        <v>0</v>
      </c>
      <c r="O605" t="n">
        <v>0</v>
      </c>
      <c r="P605" t="n">
        <v>0</v>
      </c>
      <c r="Q605" t="n">
        <v>0</v>
      </c>
      <c r="R605" s="2" t="inlineStr"/>
    </row>
    <row r="606" ht="15" customHeight="1">
      <c r="A606" t="inlineStr">
        <is>
          <t>A 21389-2025</t>
        </is>
      </c>
      <c r="B606" s="1" t="n">
        <v>45782</v>
      </c>
      <c r="C606" s="1" t="n">
        <v>46001</v>
      </c>
      <c r="D606" t="inlineStr">
        <is>
          <t>GOTLANDS LÄN</t>
        </is>
      </c>
      <c r="E606" t="inlineStr">
        <is>
          <t>GOTLAND</t>
        </is>
      </c>
      <c r="G606" t="n">
        <v>4.1</v>
      </c>
      <c r="H606" t="n">
        <v>0</v>
      </c>
      <c r="I606" t="n">
        <v>0</v>
      </c>
      <c r="J606" t="n">
        <v>0</v>
      </c>
      <c r="K606" t="n">
        <v>0</v>
      </c>
      <c r="L606" t="n">
        <v>0</v>
      </c>
      <c r="M606" t="n">
        <v>0</v>
      </c>
      <c r="N606" t="n">
        <v>0</v>
      </c>
      <c r="O606" t="n">
        <v>0</v>
      </c>
      <c r="P606" t="n">
        <v>0</v>
      </c>
      <c r="Q606" t="n">
        <v>0</v>
      </c>
      <c r="R606" s="2" t="inlineStr"/>
    </row>
    <row r="607">
      <c r="A607" t="inlineStr">
        <is>
          <t>A 21651-2025</t>
        </is>
      </c>
      <c r="B607" s="1" t="n">
        <v>45783</v>
      </c>
      <c r="C607" s="1" t="n">
        <v>46001</v>
      </c>
      <c r="D607" t="inlineStr">
        <is>
          <t>GOTLANDS LÄN</t>
        </is>
      </c>
      <c r="E607" t="inlineStr">
        <is>
          <t>GOTLAND</t>
        </is>
      </c>
      <c r="G607" t="n">
        <v>4.2</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2025-12-10T10:25:46Z</dcterms:created>
  <dcterms:modified xmlns:dcterms="http://purl.org/dc/terms/" xmlns:xsi="http://www.w3.org/2001/XMLSchema-instance" xsi:type="dcterms:W3CDTF">2025-12-10T10:25:47Z</dcterms:modified>
</cp:coreProperties>
</file>